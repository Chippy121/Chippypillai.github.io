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ippy/Downloads/"/>
    </mc:Choice>
  </mc:AlternateContent>
  <xr:revisionPtr revIDLastSave="0" documentId="13_ncr:1_{12B7BDC4-D2F6-B443-BF63-E9ACC96EA529}" xr6:coauthVersionLast="47" xr6:coauthVersionMax="47" xr10:uidLastSave="{00000000-0000-0000-0000-000000000000}"/>
  <bookViews>
    <workbookView xWindow="0" yWindow="500" windowWidth="25220" windowHeight="17500" firstSheet="4" activeTab="11" xr2:uid="{00000000-000D-0000-FFFF-FFFF00000000}"/>
  </bookViews>
  <sheets>
    <sheet name="Helpdesk Tickets 2024" sheetId="1" r:id="rId1"/>
    <sheet name="Baseline performance" sheetId="8" r:id="rId2"/>
    <sheet name="Pivot table for delay" sheetId="9" r:id="rId3"/>
    <sheet name="Technician level" sheetId="15" r:id="rId4"/>
    <sheet name="Pareto Analysis for delay reaso" sheetId="10" r:id="rId5"/>
    <sheet name="Resolution by ticket priority" sheetId="12" r:id="rId6"/>
    <sheet name="Data Insight" sheetId="20" r:id="rId7"/>
    <sheet name="Top Contributing Factors" sheetId="19" r:id="rId8"/>
    <sheet name="Sheet1" sheetId="14" r:id="rId9"/>
    <sheet name="Sheet9" sheetId="23" r:id="rId10"/>
    <sheet name="Solution Design" sheetId="27" r:id="rId11"/>
    <sheet name="Improvement" sheetId="28" r:id="rId12"/>
  </sheets>
  <definedNames>
    <definedName name="_xlnm._FilterDatabase" localSheetId="0" hidden="1">'Helpdesk Tickets 2024'!$A$1:$AB$2348</definedName>
  </definedNames>
  <calcPr calcId="191029"/>
  <pivotCaches>
    <pivotCache cacheId="8" r:id="rId13"/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" i="1"/>
  <c r="AH2" i="1" s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C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3" i="1"/>
  <c r="AL4" i="1"/>
  <c r="AL5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6" i="1"/>
  <c r="AK3" i="1"/>
  <c r="AK4" i="1"/>
  <c r="AK5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22" i="1"/>
  <c r="AC23" i="1"/>
  <c r="AC20" i="1"/>
  <c r="AC21" i="1"/>
  <c r="AC19" i="1"/>
  <c r="AC14" i="1"/>
  <c r="AC15" i="1"/>
  <c r="AC16" i="1"/>
  <c r="AC17" i="1"/>
  <c r="AC18" i="1"/>
  <c r="AC12" i="1"/>
  <c r="AC13" i="1"/>
  <c r="AC11" i="1"/>
  <c r="AC10" i="1"/>
  <c r="AC3" i="1"/>
  <c r="AC4" i="1"/>
  <c r="AC5" i="1"/>
  <c r="AC6" i="1"/>
  <c r="AC7" i="1"/>
  <c r="AC8" i="1"/>
  <c r="AC9" i="1"/>
  <c r="AL2" i="1"/>
  <c r="AK2" i="1"/>
  <c r="D4" i="19"/>
  <c r="D5" i="19" s="1"/>
  <c r="D6" i="19" s="1"/>
  <c r="D7" i="19" s="1"/>
  <c r="D3" i="19"/>
  <c r="D2" i="19"/>
  <c r="C3" i="19"/>
  <c r="C4" i="19"/>
  <c r="C5" i="19"/>
  <c r="C6" i="19"/>
  <c r="C7" i="19"/>
  <c r="C2" i="19"/>
  <c r="M3" i="14"/>
  <c r="M2" i="14"/>
  <c r="M1" i="14"/>
  <c r="D5" i="10"/>
  <c r="E5" i="10"/>
  <c r="E6" i="10" s="1"/>
  <c r="E7" i="10" s="1"/>
  <c r="D12" i="9"/>
  <c r="D11" i="9"/>
  <c r="D10" i="9"/>
  <c r="D9" i="9"/>
  <c r="D8" i="9"/>
  <c r="D7" i="9"/>
  <c r="D6" i="9"/>
  <c r="D5" i="9"/>
  <c r="E5" i="9" s="1"/>
  <c r="D6" i="10"/>
  <c r="D7" i="10"/>
  <c r="D8" i="10"/>
  <c r="D9" i="10"/>
  <c r="D10" i="10"/>
  <c r="D11" i="10"/>
  <c r="D12" i="10"/>
  <c r="N6" i="8" a="1"/>
  <c r="N6" i="8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" i="1"/>
  <c r="E8" i="10" l="1"/>
  <c r="E9" i="10" s="1"/>
  <c r="E10" i="10" s="1"/>
  <c r="E11" i="10" s="1"/>
  <c r="E12" i="10" s="1"/>
  <c r="E6" i="9"/>
  <c r="E7" i="9" s="1"/>
  <c r="E8" i="9" s="1"/>
  <c r="E9" i="9" s="1"/>
  <c r="E10" i="9" s="1"/>
  <c r="E11" i="9" s="1"/>
  <c r="E1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<sst xmlns="http://schemas.openxmlformats.org/spreadsheetml/2006/main" count="47135" uniqueCount="7278">
  <si>
    <t>Ticket_ID</t>
  </si>
  <si>
    <t>Date_Opened</t>
  </si>
  <si>
    <t>Date_Closed</t>
  </si>
  <si>
    <t>Resolution_Time_Hours</t>
  </si>
  <si>
    <t>Resolution_Time_Days</t>
  </si>
  <si>
    <t>Category</t>
  </si>
  <si>
    <t>Subcategory</t>
  </si>
  <si>
    <t>Priority</t>
  </si>
  <si>
    <t>SLA_Target_Hours</t>
  </si>
  <si>
    <t>SLA_Status</t>
  </si>
  <si>
    <t>Channel</t>
  </si>
  <si>
    <t>Assigned_Tier</t>
  </si>
  <si>
    <t>Technician_ID</t>
  </si>
  <si>
    <t>Technician_Experience</t>
  </si>
  <si>
    <t>First_Contact_Resolution</t>
  </si>
  <si>
    <t>Escalated</t>
  </si>
  <si>
    <t>Number_of_Handoffs</t>
  </si>
  <si>
    <t>Reopened</t>
  </si>
  <si>
    <t>CSAT_Score</t>
  </si>
  <si>
    <t>Response_Time_Hours</t>
  </si>
  <si>
    <t>Wait_Time_Hours</t>
  </si>
  <si>
    <t>Knowledge_Base_Used</t>
  </si>
  <si>
    <t>KB_Article_Quality</t>
  </si>
  <si>
    <t>Initial_Info_Complete</t>
  </si>
  <si>
    <t>User_Department</t>
  </si>
  <si>
    <t>Day_of_Week</t>
  </si>
  <si>
    <t>Time_Period</t>
  </si>
  <si>
    <t>TKT-2024-10000</t>
  </si>
  <si>
    <t>2024-12-12 18:24:30</t>
  </si>
  <si>
    <t>2024-12-26 11:42:30</t>
  </si>
  <si>
    <t>Access Requests</t>
  </si>
  <si>
    <t>Admin Rights</t>
  </si>
  <si>
    <t>Medium</t>
  </si>
  <si>
    <t>Breached</t>
  </si>
  <si>
    <t>Portal</t>
  </si>
  <si>
    <t>Tier 1</t>
  </si>
  <si>
    <t>TECH-19</t>
  </si>
  <si>
    <t>Senior</t>
  </si>
  <si>
    <t>No</t>
  </si>
  <si>
    <t>Yes</t>
  </si>
  <si>
    <t>Excellent</t>
  </si>
  <si>
    <t>Executive</t>
  </si>
  <si>
    <t>Thursday</t>
  </si>
  <si>
    <t>Evening</t>
  </si>
  <si>
    <t>TKT-2024-10001</t>
  </si>
  <si>
    <t>2024-08-19 18:40:51</t>
  </si>
  <si>
    <t>2024-08-24 06:58:51</t>
  </si>
  <si>
    <t>VPN Access</t>
  </si>
  <si>
    <t>High</t>
  </si>
  <si>
    <t>Met</t>
  </si>
  <si>
    <t>TECH-10</t>
  </si>
  <si>
    <t>Junior</t>
  </si>
  <si>
    <t>Poor</t>
  </si>
  <si>
    <t>Legal</t>
  </si>
  <si>
    <t>Tuesday</t>
  </si>
  <si>
    <t>Afternoon</t>
  </si>
  <si>
    <t>TKT-2024-10002</t>
  </si>
  <si>
    <t>2024-10-27 01:19:10</t>
  </si>
  <si>
    <t>2024-11-02 15:43:10</t>
  </si>
  <si>
    <t>Hardware Issues</t>
  </si>
  <si>
    <t>Printer</t>
  </si>
  <si>
    <t>TECH-20</t>
  </si>
  <si>
    <t>Mid-level</t>
  </si>
  <si>
    <t>Fair</t>
  </si>
  <si>
    <t>Finance</t>
  </si>
  <si>
    <t>TKT-2024-10003</t>
  </si>
  <si>
    <t>2024-01-22 15:06:47</t>
  </si>
  <si>
    <t>2024-02-05 13:36:47</t>
  </si>
  <si>
    <t>Network Connectivity</t>
  </si>
  <si>
    <t>VPN Connection</t>
  </si>
  <si>
    <t>Email</t>
  </si>
  <si>
    <t>Tier 2</t>
  </si>
  <si>
    <t>TECH-14</t>
  </si>
  <si>
    <t>Operations</t>
  </si>
  <si>
    <t>TKT-2024-10004</t>
  </si>
  <si>
    <t>2024-07-17 15:21:02</t>
  </si>
  <si>
    <t>2024-08-08 06:03:02</t>
  </si>
  <si>
    <t>Password Reset</t>
  </si>
  <si>
    <t>Windows Password</t>
  </si>
  <si>
    <t>Low</t>
  </si>
  <si>
    <t>TECH-7</t>
  </si>
  <si>
    <t>IT</t>
  </si>
  <si>
    <t>Wednesday</t>
  </si>
  <si>
    <t>Morning</t>
  </si>
  <si>
    <t>TKT-2024-10005</t>
  </si>
  <si>
    <t>2024-07-31 10:29:27</t>
  </si>
  <si>
    <t>2024-08-04 20:11:27</t>
  </si>
  <si>
    <t>Application Errors</t>
  </si>
  <si>
    <t>Login Issues</t>
  </si>
  <si>
    <t>TECH-8</t>
  </si>
  <si>
    <t>TKT-2024-10006</t>
  </si>
  <si>
    <t>2024-03-01 08:08:57</t>
  </si>
  <si>
    <t>2024-03-03 15:08:57</t>
  </si>
  <si>
    <t>Other</t>
  </si>
  <si>
    <t>Documentation</t>
  </si>
  <si>
    <t>Critical</t>
  </si>
  <si>
    <t>Phone</t>
  </si>
  <si>
    <t>TECH-22</t>
  </si>
  <si>
    <t>TKT-2024-10007</t>
  </si>
  <si>
    <t>2024-02-20 22:38:18</t>
  </si>
  <si>
    <t>2024-03-05 05:38:18</t>
  </si>
  <si>
    <t>Email/Calendar</t>
  </si>
  <si>
    <t>Distribution List</t>
  </si>
  <si>
    <t>Friday</t>
  </si>
  <si>
    <t>TKT-2024-10008</t>
  </si>
  <si>
    <t>2024-12-01 05:04:42</t>
  </si>
  <si>
    <t>2024-12-06 16:16:42</t>
  </si>
  <si>
    <t>TECH-3</t>
  </si>
  <si>
    <t>Sales</t>
  </si>
  <si>
    <t>Monday</t>
  </si>
  <si>
    <t>TKT-2024-10009</t>
  </si>
  <si>
    <t>2024-11-04 11:32:20</t>
  </si>
  <si>
    <t>2024-11-13 01:26:20</t>
  </si>
  <si>
    <t>Walk-in</t>
  </si>
  <si>
    <t>TECH-23</t>
  </si>
  <si>
    <t>Marketing</t>
  </si>
  <si>
    <t>TKT-2024-10010</t>
  </si>
  <si>
    <t>2024-11-09 03:02:29</t>
  </si>
  <si>
    <t>2024-11-27 10:38:29</t>
  </si>
  <si>
    <t>TECH-13</t>
  </si>
  <si>
    <t>TKT-2024-10011</t>
  </si>
  <si>
    <t>2024-07-05 20:22:40</t>
  </si>
  <si>
    <t>2024-07-18 13:22:40</t>
  </si>
  <si>
    <t>Good</t>
  </si>
  <si>
    <t>TKT-2024-10012</t>
  </si>
  <si>
    <t>2024-05-03 13:26:11</t>
  </si>
  <si>
    <t>2024-05-07 22:02:11</t>
  </si>
  <si>
    <t>Monitor</t>
  </si>
  <si>
    <t>TECH-5</t>
  </si>
  <si>
    <t>TKT-2024-10013</t>
  </si>
  <si>
    <t>2024-09-03 14:59:05</t>
  </si>
  <si>
    <t>2024-09-11 19:53:05</t>
  </si>
  <si>
    <t>Desktop</t>
  </si>
  <si>
    <t>Chat</t>
  </si>
  <si>
    <t>TECH-16</t>
  </si>
  <si>
    <t>TKT-2024-10014</t>
  </si>
  <si>
    <t>2024-05-11 23:55:29</t>
  </si>
  <si>
    <t>2024-05-16 05:13:29</t>
  </si>
  <si>
    <t>TECH-4</t>
  </si>
  <si>
    <t>TKT-2024-10015</t>
  </si>
  <si>
    <t>2024-03-17 02:13:39</t>
  </si>
  <si>
    <t>2024-03-30 22:31:39</t>
  </si>
  <si>
    <t>Software Installation</t>
  </si>
  <si>
    <t>Drivers</t>
  </si>
  <si>
    <t>TECH-6</t>
  </si>
  <si>
    <t>TKT-2024-10016</t>
  </si>
  <si>
    <t>2024-01-27 09:58:07</t>
  </si>
  <si>
    <t>2024-02-18 07:46:07</t>
  </si>
  <si>
    <t>TKT-2024-10017</t>
  </si>
  <si>
    <t>2024-06-02 15:50:14</t>
  </si>
  <si>
    <t>2024-06-04 09:44:14</t>
  </si>
  <si>
    <t>Crash</t>
  </si>
  <si>
    <t>TKT-2024-10018</t>
  </si>
  <si>
    <t>2024-06-25 23:30:11</t>
  </si>
  <si>
    <t>2024-07-01 22:42:11</t>
  </si>
  <si>
    <t>TECH-12</t>
  </si>
  <si>
    <t>TKT-2024-10019</t>
  </si>
  <si>
    <t>2024-12-26 19:28:37</t>
  </si>
  <si>
    <t>2025-01-22 05:16:37</t>
  </si>
  <si>
    <t>Application Access</t>
  </si>
  <si>
    <t>TKT-2024-10020</t>
  </si>
  <si>
    <t>2024-07-25 04:37:39</t>
  </si>
  <si>
    <t>2024-08-05 02:37:39</t>
  </si>
  <si>
    <t>Training Request</t>
  </si>
  <si>
    <t>TECH-17</t>
  </si>
  <si>
    <t>TKT-2024-10021</t>
  </si>
  <si>
    <t>2024-11-02 04:43:16</t>
  </si>
  <si>
    <t>2024-11-10 20:37:16</t>
  </si>
  <si>
    <t>TECH-25</t>
  </si>
  <si>
    <t>TKT-2024-10022</t>
  </si>
  <si>
    <t>2024-06-16 22:38:10</t>
  </si>
  <si>
    <t>2024-06-22 22:50:10</t>
  </si>
  <si>
    <t>File Share</t>
  </si>
  <si>
    <t>TKT-2024-10023</t>
  </si>
  <si>
    <t>2024-12-21 18:11:55</t>
  </si>
  <si>
    <t>2024-12-31 18:17:55</t>
  </si>
  <si>
    <t>TKT-2024-10024</t>
  </si>
  <si>
    <t>2024-01-10 00:57:53</t>
  </si>
  <si>
    <t>2024-01-14 01:33:53</t>
  </si>
  <si>
    <t>HR</t>
  </si>
  <si>
    <t>TKT-2024-10025</t>
  </si>
  <si>
    <t>2024-04-09 10:32:40</t>
  </si>
  <si>
    <t>2024-04-18 20:14:40</t>
  </si>
  <si>
    <t>Performance</t>
  </si>
  <si>
    <t>TKT-2024-10026</t>
  </si>
  <si>
    <t>2024-08-12 09:01:04</t>
  </si>
  <si>
    <t>2024-08-29 23:19:04</t>
  </si>
  <si>
    <t>Account Unlock</t>
  </si>
  <si>
    <t>TECH-1</t>
  </si>
  <si>
    <t>TKT-2024-10027</t>
  </si>
  <si>
    <t>2024-01-09 15:29:25</t>
  </si>
  <si>
    <t>2024-01-12 15:41:25</t>
  </si>
  <si>
    <t>TECH-24</t>
  </si>
  <si>
    <t>TKT-2024-10028</t>
  </si>
  <si>
    <t>2024-05-09 10:18:04</t>
  </si>
  <si>
    <t>2024-05-16 18:54:04</t>
  </si>
  <si>
    <t>TKT-2024-10029</t>
  </si>
  <si>
    <t>2024-03-10 15:30:08</t>
  </si>
  <si>
    <t>2024-03-17 08:42:08</t>
  </si>
  <si>
    <t>TKT-2024-10030</t>
  </si>
  <si>
    <t>2024-04-16 16:26:23</t>
  </si>
  <si>
    <t>2024-05-03 18:14:23</t>
  </si>
  <si>
    <t>TECH-2</t>
  </si>
  <si>
    <t>TKT-2024-10031</t>
  </si>
  <si>
    <t>2024-09-11 16:03:07</t>
  </si>
  <si>
    <t>2024-10-03 17:15:07</t>
  </si>
  <si>
    <t>TKT-2024-10032</t>
  </si>
  <si>
    <t>2024-01-03 13:26:14</t>
  </si>
  <si>
    <t>2024-01-06 16:26:14</t>
  </si>
  <si>
    <t>TKT-2024-10033</t>
  </si>
  <si>
    <t>2024-08-03 16:10:41</t>
  </si>
  <si>
    <t>2024-08-16 09:40:41</t>
  </si>
  <si>
    <t>WiFi Issues</t>
  </si>
  <si>
    <t>TKT-2024-10034</t>
  </si>
  <si>
    <t>2024-05-29 02:24:59</t>
  </si>
  <si>
    <t>2024-06-06 23:54:59</t>
  </si>
  <si>
    <t>TKT-2024-10035</t>
  </si>
  <si>
    <t>2024-03-26 15:00:04</t>
  </si>
  <si>
    <t>2024-03-29 21:06:04</t>
  </si>
  <si>
    <t>Slow Network</t>
  </si>
  <si>
    <t>TECH-18</t>
  </si>
  <si>
    <t>TKT-2024-10036</t>
  </si>
  <si>
    <t>2024-08-28 11:19:10</t>
  </si>
  <si>
    <t>2024-10-06 07:43:10</t>
  </si>
  <si>
    <t>TKT-2024-10037</t>
  </si>
  <si>
    <t>2024-11-25 22:50:16</t>
  </si>
  <si>
    <t>2024-11-28 20:08:16</t>
  </si>
  <si>
    <t>Docking Station</t>
  </si>
  <si>
    <t>TKT-2024-10038</t>
  </si>
  <si>
    <t>2024-05-24 01:20:00</t>
  </si>
  <si>
    <t>2024-05-31 21:20:00</t>
  </si>
  <si>
    <t>TKT-2024-10039</t>
  </si>
  <si>
    <t>2024-12-26 10:28:38</t>
  </si>
  <si>
    <t>2025-01-08 15:34:38</t>
  </si>
  <si>
    <t>TKT-2024-10040</t>
  </si>
  <si>
    <t>2024-07-15 13:56:48</t>
  </si>
  <si>
    <t>2024-08-02 20:14:48</t>
  </si>
  <si>
    <t>TKT-2024-10041</t>
  </si>
  <si>
    <t>2024-04-11 06:22:24</t>
  </si>
  <si>
    <t>2024-04-22 10:28:24</t>
  </si>
  <si>
    <t>VPN Client</t>
  </si>
  <si>
    <t>TKT-2024-10042</t>
  </si>
  <si>
    <t>2024-10-13 17:11:30</t>
  </si>
  <si>
    <t>2024-10-27 10:23:30</t>
  </si>
  <si>
    <t>Application Password</t>
  </si>
  <si>
    <t>TKT-2024-10043</t>
  </si>
  <si>
    <t>2024-12-03 17:52:58</t>
  </si>
  <si>
    <t>2024-12-15 22:28:58</t>
  </si>
  <si>
    <t>TKT-2024-10044</t>
  </si>
  <si>
    <t>2024-04-01 04:21:04</t>
  </si>
  <si>
    <t>2024-04-04 19:09:04</t>
  </si>
  <si>
    <t>TKT-2024-10045</t>
  </si>
  <si>
    <t>2024-11-20 14:38:12</t>
  </si>
  <si>
    <t>2024-11-27 18:38:12</t>
  </si>
  <si>
    <t>TKT-2024-10046</t>
  </si>
  <si>
    <t>2024-10-13 13:23:24</t>
  </si>
  <si>
    <t>2024-11-09 20:05:24</t>
  </si>
  <si>
    <t>TKT-2024-10047</t>
  </si>
  <si>
    <t>2024-09-20 17:12:02</t>
  </si>
  <si>
    <t>2024-09-27 18:30:02</t>
  </si>
  <si>
    <t>MS Office</t>
  </si>
  <si>
    <t>TKT-2024-10048</t>
  </si>
  <si>
    <t>2024-03-27 17:54:22</t>
  </si>
  <si>
    <t>2024-04-06 12:06:22</t>
  </si>
  <si>
    <t>TKT-2024-10049</t>
  </si>
  <si>
    <t>2024-07-23 23:58:19</t>
  </si>
  <si>
    <t>2024-08-05 05:34:19</t>
  </si>
  <si>
    <t>Email Password</t>
  </si>
  <si>
    <t>TKT-2024-10050</t>
  </si>
  <si>
    <t>2024-10-13 11:19:25</t>
  </si>
  <si>
    <t>2024-10-17 16:19:25</t>
  </si>
  <si>
    <t>TKT-2024-10051</t>
  </si>
  <si>
    <t>2024-04-13 01:15:49</t>
  </si>
  <si>
    <t>2024-04-18 16:33:49</t>
  </si>
  <si>
    <t>TKT-2024-10052</t>
  </si>
  <si>
    <t>2024-06-20 05:30:34</t>
  </si>
  <si>
    <t>2024-07-05 06:00:34</t>
  </si>
  <si>
    <t>TECH-9</t>
  </si>
  <si>
    <t>TKT-2024-10053</t>
  </si>
  <si>
    <t>2024-06-07 21:56:15</t>
  </si>
  <si>
    <t>2024-06-16 02:38:15</t>
  </si>
  <si>
    <t>Laptop</t>
  </si>
  <si>
    <t>TKT-2024-10054</t>
  </si>
  <si>
    <t>2024-11-11 06:42:28</t>
  </si>
  <si>
    <t>2024-11-17 14:48:28</t>
  </si>
  <si>
    <t>TKT-2024-10055</t>
  </si>
  <si>
    <t>2024-10-02 19:09:54</t>
  </si>
  <si>
    <t>2024-10-15 07:15:54</t>
  </si>
  <si>
    <t>TKT-2024-10056</t>
  </si>
  <si>
    <t>2024-03-28 09:51:39</t>
  </si>
  <si>
    <t>2024-04-04 00:51:39</t>
  </si>
  <si>
    <t>General Inquiry</t>
  </si>
  <si>
    <t>TKT-2024-10057</t>
  </si>
  <si>
    <t>2024-11-22 13:31:23</t>
  </si>
  <si>
    <t>2024-11-26 00:19:23</t>
  </si>
  <si>
    <t>Mailbox Full</t>
  </si>
  <si>
    <t>TKT-2024-10058</t>
  </si>
  <si>
    <t>2024-04-25 06:49:31</t>
  </si>
  <si>
    <t>2024-05-05 03:07:31</t>
  </si>
  <si>
    <t>TECH-11</t>
  </si>
  <si>
    <t>TKT-2024-10059</t>
  </si>
  <si>
    <t>2024-11-29 06:39:47</t>
  </si>
  <si>
    <t>2024-12-18 08:03:47</t>
  </si>
  <si>
    <t>TKT-2024-10060</t>
  </si>
  <si>
    <t>2024-05-28 10:45:46</t>
  </si>
  <si>
    <t>2024-06-06 14:57:46</t>
  </si>
  <si>
    <t>TKT-2024-10061</t>
  </si>
  <si>
    <t>2024-10-23 13:08:51</t>
  </si>
  <si>
    <t>2024-10-29 15:08:51</t>
  </si>
  <si>
    <t>Features Not Working</t>
  </si>
  <si>
    <t>TKT-2024-10062</t>
  </si>
  <si>
    <t>2024-02-04 04:55:15</t>
  </si>
  <si>
    <t>2024-02-09 08:43:15</t>
  </si>
  <si>
    <t>TKT-2024-10063</t>
  </si>
  <si>
    <t>2024-10-17 18:30:50</t>
  </si>
  <si>
    <t>2024-10-24 15:30:50</t>
  </si>
  <si>
    <t>TKT-2024-10064</t>
  </si>
  <si>
    <t>2024-03-03 02:50:32</t>
  </si>
  <si>
    <t>2024-03-10 15:14:32</t>
  </si>
  <si>
    <t>Business Apps</t>
  </si>
  <si>
    <t>TKT-2024-10065</t>
  </si>
  <si>
    <t>2024-10-06 11:08:34</t>
  </si>
  <si>
    <t>2024-10-17 23:50:34</t>
  </si>
  <si>
    <t>TKT-2024-10066</t>
  </si>
  <si>
    <t>2024-11-18 16:42:31</t>
  </si>
  <si>
    <t>2024-12-14 06:24:31</t>
  </si>
  <si>
    <t>TKT-2024-10067</t>
  </si>
  <si>
    <t>2024-07-18 13:52:48</t>
  </si>
  <si>
    <t>2024-07-21 19:16:48</t>
  </si>
  <si>
    <t>TKT-2024-10068</t>
  </si>
  <si>
    <t>2024-03-17 04:32:18</t>
  </si>
  <si>
    <t>2024-03-20 15:38:18</t>
  </si>
  <si>
    <t>TKT-2024-10069</t>
  </si>
  <si>
    <t>2024-12-27 19:10:42</t>
  </si>
  <si>
    <t>2025-01-09 03:58:42</t>
  </si>
  <si>
    <t>TKT-2024-10070</t>
  </si>
  <si>
    <t>2024-07-27 05:42:58</t>
  </si>
  <si>
    <t>2024-08-05 11:06:58</t>
  </si>
  <si>
    <t>TKT-2024-10071</t>
  </si>
  <si>
    <t>2024-01-08 06:45:46</t>
  </si>
  <si>
    <t>2024-01-24 21:57:46</t>
  </si>
  <si>
    <t>TKT-2024-10072</t>
  </si>
  <si>
    <t>2024-02-25 04:03:54</t>
  </si>
  <si>
    <t>2024-03-16 05:27:54</t>
  </si>
  <si>
    <t>TKT-2024-10073</t>
  </si>
  <si>
    <t>2024-12-16 14:38:18</t>
  </si>
  <si>
    <t>2024-12-22 20:08:18</t>
  </si>
  <si>
    <t>TKT-2024-10074</t>
  </si>
  <si>
    <t>2024-05-21 07:43:07</t>
  </si>
  <si>
    <t>2024-05-29 21:37:07</t>
  </si>
  <si>
    <t>TKT-2024-10075</t>
  </si>
  <si>
    <t>2024-02-16 08:09:50</t>
  </si>
  <si>
    <t>2024-02-27 00:21:50</t>
  </si>
  <si>
    <t>TKT-2024-10076</t>
  </si>
  <si>
    <t>2024-02-23 10:48:04</t>
  </si>
  <si>
    <t>2024-02-27 19:12:04</t>
  </si>
  <si>
    <t>TKT-2024-10077</t>
  </si>
  <si>
    <t>2024-04-20 01:45:51</t>
  </si>
  <si>
    <t>2024-04-28 21:27:51</t>
  </si>
  <si>
    <t>TKT-2024-10078</t>
  </si>
  <si>
    <t>2024-04-23 04:11:46</t>
  </si>
  <si>
    <t>2024-05-09 21:11:46</t>
  </si>
  <si>
    <t>TKT-2024-10079</t>
  </si>
  <si>
    <t>2024-12-23 12:01:16</t>
  </si>
  <si>
    <t>2024-12-30 20:49:16</t>
  </si>
  <si>
    <t>TKT-2024-10080</t>
  </si>
  <si>
    <t>2024-07-22 14:14:41</t>
  </si>
  <si>
    <t>2024-08-02 14:08:41</t>
  </si>
  <si>
    <t>Cannot Send/Receive</t>
  </si>
  <si>
    <t>TKT-2024-10081</t>
  </si>
  <si>
    <t>2024-04-03 07:23:51</t>
  </si>
  <si>
    <t>2024-04-12 06:11:51</t>
  </si>
  <si>
    <t>TKT-2024-10082</t>
  </si>
  <si>
    <t>2024-02-17 09:43:29</t>
  </si>
  <si>
    <t>2024-03-24 21:25:29</t>
  </si>
  <si>
    <t>TKT-2024-10083</t>
  </si>
  <si>
    <t>2024-01-08 00:34:29</t>
  </si>
  <si>
    <t>2024-01-18 16:52:29</t>
  </si>
  <si>
    <t>TKT-2024-10084</t>
  </si>
  <si>
    <t>2024-12-25 23:04:10</t>
  </si>
  <si>
    <t>2025-01-06 11:46:10</t>
  </si>
  <si>
    <t>TKT-2024-10085</t>
  </si>
  <si>
    <t>2024-07-05 07:08:55</t>
  </si>
  <si>
    <t>2024-07-12 17:50:55</t>
  </si>
  <si>
    <t>TKT-2024-10086</t>
  </si>
  <si>
    <t>2024-01-15 17:58:30</t>
  </si>
  <si>
    <t>2024-01-29 23:28:30</t>
  </si>
  <si>
    <t>TKT-2024-10087</t>
  </si>
  <si>
    <t>2024-05-18 14:26:21</t>
  </si>
  <si>
    <t>2024-05-23 05:32:21</t>
  </si>
  <si>
    <t>TKT-2024-10088</t>
  </si>
  <si>
    <t>2024-01-24 14:33:08</t>
  </si>
  <si>
    <t>2024-02-03 09:03:08</t>
  </si>
  <si>
    <t>TKT-2024-10089</t>
  </si>
  <si>
    <t>2024-01-29 01:11:09</t>
  </si>
  <si>
    <t>2024-02-08 14:47:09</t>
  </si>
  <si>
    <t>TKT-2024-10090</t>
  </si>
  <si>
    <t>2024-03-25 11:51:24</t>
  </si>
  <si>
    <t>2024-04-03 20:39:24</t>
  </si>
  <si>
    <t>TKT-2024-10091</t>
  </si>
  <si>
    <t>2024-11-04 03:40:18</t>
  </si>
  <si>
    <t>2024-11-18 03:46:18</t>
  </si>
  <si>
    <t>TKT-2024-10092</t>
  </si>
  <si>
    <t>2024-05-19 13:18:49</t>
  </si>
  <si>
    <t>2024-05-26 10:00:49</t>
  </si>
  <si>
    <t>TKT-2024-10093</t>
  </si>
  <si>
    <t>2024-11-01 11:12:12</t>
  </si>
  <si>
    <t>2024-11-05 17:48:12</t>
  </si>
  <si>
    <t>TKT-2024-10094</t>
  </si>
  <si>
    <t>2024-07-31 04:37:39</t>
  </si>
  <si>
    <t>2024-08-18 08:01:39</t>
  </si>
  <si>
    <t>TKT-2024-10095</t>
  </si>
  <si>
    <t>2024-03-26 03:01:19</t>
  </si>
  <si>
    <t>2024-04-03 06:07:19</t>
  </si>
  <si>
    <t>TECH-21</t>
  </si>
  <si>
    <t>TKT-2024-10096</t>
  </si>
  <si>
    <t>2024-05-07 12:20:46</t>
  </si>
  <si>
    <t>2024-05-12 00:56:46</t>
  </si>
  <si>
    <t>TKT-2024-10097</t>
  </si>
  <si>
    <t>2024-04-27 09:27:26</t>
  </si>
  <si>
    <t>2024-05-06 12:27:26</t>
  </si>
  <si>
    <t>TKT-2024-10098</t>
  </si>
  <si>
    <t>2024-08-10 12:48:18</t>
  </si>
  <si>
    <t>2024-08-17 19:18:18</t>
  </si>
  <si>
    <t>TKT-2024-10099</t>
  </si>
  <si>
    <t>2024-07-14 21:14:51</t>
  </si>
  <si>
    <t>2024-07-23 18:14:51</t>
  </si>
  <si>
    <t>TKT-2024-10100</t>
  </si>
  <si>
    <t>2024-11-30 15:20:45</t>
  </si>
  <si>
    <t>2024-12-08 14:20:45</t>
  </si>
  <si>
    <t>TKT-2024-10101</t>
  </si>
  <si>
    <t>2024-12-10 04:59:10</t>
  </si>
  <si>
    <t>2024-12-18 23:53:10</t>
  </si>
  <si>
    <t>TKT-2024-10102</t>
  </si>
  <si>
    <t>2024-08-28 15:15:18</t>
  </si>
  <si>
    <t>2024-08-31 16:21:18</t>
  </si>
  <si>
    <t>TKT-2024-10103</t>
  </si>
  <si>
    <t>2024-12-03 04:43:07</t>
  </si>
  <si>
    <t>2024-12-09 12:01:07</t>
  </si>
  <si>
    <t>TKT-2024-10104</t>
  </si>
  <si>
    <t>2024-01-15 10:46:55</t>
  </si>
  <si>
    <t>2024-01-25 04:04:55</t>
  </si>
  <si>
    <t>Calendar Sync</t>
  </si>
  <si>
    <t>TKT-2024-10105</t>
  </si>
  <si>
    <t>2024-03-11 19:06:57</t>
  </si>
  <si>
    <t>2024-03-16 07:24:57</t>
  </si>
  <si>
    <t>TKT-2024-10106</t>
  </si>
  <si>
    <t>2024-11-09 02:23:44</t>
  </si>
  <si>
    <t>2024-11-18 13:17:44</t>
  </si>
  <si>
    <t>Miscellaneous</t>
  </si>
  <si>
    <t>TKT-2024-10107</t>
  </si>
  <si>
    <t>2024-11-08 23:45:21</t>
  </si>
  <si>
    <t>2024-11-15 16:39:21</t>
  </si>
  <si>
    <t>TKT-2024-10108</t>
  </si>
  <si>
    <t>2024-01-25 07:08:31</t>
  </si>
  <si>
    <t>2024-02-02 16:14:31</t>
  </si>
  <si>
    <t>Ethernet</t>
  </si>
  <si>
    <t>TKT-2024-10109</t>
  </si>
  <si>
    <t>2024-04-24 22:09:25</t>
  </si>
  <si>
    <t>2024-05-02 23:33:25</t>
  </si>
  <si>
    <t>TKT-2024-10110</t>
  </si>
  <si>
    <t>2024-02-14 08:57:20</t>
  </si>
  <si>
    <t>2024-02-15 23:33:20</t>
  </si>
  <si>
    <t>TKT-2024-10111</t>
  </si>
  <si>
    <t>2024-11-15 16:56:37</t>
  </si>
  <si>
    <t>2024-11-18 18:38:37</t>
  </si>
  <si>
    <t>Keyboard/Mouse</t>
  </si>
  <si>
    <t>TKT-2024-10112</t>
  </si>
  <si>
    <t>2024-04-15 10:53:25</t>
  </si>
  <si>
    <t>2024-04-22 21:53:25</t>
  </si>
  <si>
    <t>TKT-2024-10113</t>
  </si>
  <si>
    <t>2024-05-25 07:30:18</t>
  </si>
  <si>
    <t>2024-05-29 18:12:18</t>
  </si>
  <si>
    <t>TKT-2024-10114</t>
  </si>
  <si>
    <t>2024-09-20 12:36:58</t>
  </si>
  <si>
    <t>2024-09-26 16:24:58</t>
  </si>
  <si>
    <t>TKT-2024-10115</t>
  </si>
  <si>
    <t>2024-07-02 05:35:55</t>
  </si>
  <si>
    <t>2024-07-08 12:23:55</t>
  </si>
  <si>
    <t>TKT-2024-10116</t>
  </si>
  <si>
    <t>2024-09-08 21:41:34</t>
  </si>
  <si>
    <t>2024-09-21 00:53:34</t>
  </si>
  <si>
    <t>TKT-2024-10117</t>
  </si>
  <si>
    <t>2024-11-08 04:11:20</t>
  </si>
  <si>
    <t>2024-11-19 10:17:20</t>
  </si>
  <si>
    <t>TKT-2024-10118</t>
  </si>
  <si>
    <t>2024-06-11 21:00:49</t>
  </si>
  <si>
    <t>2024-06-30 00:18:49</t>
  </si>
  <si>
    <t>TKT-2024-10119</t>
  </si>
  <si>
    <t>2024-04-06 05:17:53</t>
  </si>
  <si>
    <t>2024-04-17 09:35:53</t>
  </si>
  <si>
    <t>TKT-2024-10120</t>
  </si>
  <si>
    <t>2024-11-01 11:36:23</t>
  </si>
  <si>
    <t>2024-11-10 11:00:23</t>
  </si>
  <si>
    <t>TKT-2024-10121</t>
  </si>
  <si>
    <t>2024-03-15 22:01:21</t>
  </si>
  <si>
    <t>2024-03-23 18:25:21</t>
  </si>
  <si>
    <t>TKT-2024-10122</t>
  </si>
  <si>
    <t>2024-12-02 23:47:45</t>
  </si>
  <si>
    <t>2024-12-17 10:11:45</t>
  </si>
  <si>
    <t>TKT-2024-10123</t>
  </si>
  <si>
    <t>2024-04-28 16:29:29</t>
  </si>
  <si>
    <t>2024-05-08 23:29:29</t>
  </si>
  <si>
    <t>TKT-2024-10124</t>
  </si>
  <si>
    <t>2024-10-06 05:03:00</t>
  </si>
  <si>
    <t>2024-10-10 08:03:00</t>
  </si>
  <si>
    <t>TECH-15</t>
  </si>
  <si>
    <t>TKT-2024-10125</t>
  </si>
  <si>
    <t>2024-09-16 03:10:50</t>
  </si>
  <si>
    <t>2024-09-27 22:10:50</t>
  </si>
  <si>
    <t>TKT-2024-10126</t>
  </si>
  <si>
    <t>2024-06-07 10:30:17</t>
  </si>
  <si>
    <t>2024-06-19 13:06:17</t>
  </si>
  <si>
    <t>TKT-2024-10127</t>
  </si>
  <si>
    <t>2024-03-20 04:43:11</t>
  </si>
  <si>
    <t>2024-03-27 17:49:11</t>
  </si>
  <si>
    <t>TKT-2024-10128</t>
  </si>
  <si>
    <t>2024-07-06 12:17:32</t>
  </si>
  <si>
    <t>2024-07-10 16:41:32</t>
  </si>
  <si>
    <t>TKT-2024-10129</t>
  </si>
  <si>
    <t>2024-05-08 02:59:58</t>
  </si>
  <si>
    <t>2024-05-17 08:53:58</t>
  </si>
  <si>
    <t>TKT-2024-10130</t>
  </si>
  <si>
    <t>2024-01-26 19:56:49</t>
  </si>
  <si>
    <t>2024-02-06 01:02:49</t>
  </si>
  <si>
    <t>TKT-2024-10131</t>
  </si>
  <si>
    <t>2024-09-23 16:06:08</t>
  </si>
  <si>
    <t>2024-09-30 19:06:08</t>
  </si>
  <si>
    <t>TKT-2024-10132</t>
  </si>
  <si>
    <t>2024-02-15 20:34:34</t>
  </si>
  <si>
    <t>2024-02-21 00:22:34</t>
  </si>
  <si>
    <t>TKT-2024-10133</t>
  </si>
  <si>
    <t>2024-09-15 01:52:21</t>
  </si>
  <si>
    <t>2024-09-27 07:46:21</t>
  </si>
  <si>
    <t>TKT-2024-10134</t>
  </si>
  <si>
    <t>2024-01-28 14:36:23</t>
  </si>
  <si>
    <t>2024-02-02 02:06:23</t>
  </si>
  <si>
    <t>TKT-2024-10135</t>
  </si>
  <si>
    <t>2024-04-12 00:30:40</t>
  </si>
  <si>
    <t>2024-04-19 08:36:40</t>
  </si>
  <si>
    <t>TKT-2024-10136</t>
  </si>
  <si>
    <t>2024-06-12 21:59:06</t>
  </si>
  <si>
    <t>2024-06-17 03:17:06</t>
  </si>
  <si>
    <t>TKT-2024-10137</t>
  </si>
  <si>
    <t>2024-10-23 22:48:59</t>
  </si>
  <si>
    <t>2024-10-25 13:12:59</t>
  </si>
  <si>
    <t>TKT-2024-10138</t>
  </si>
  <si>
    <t>2024-06-14 10:24:28</t>
  </si>
  <si>
    <t>2024-06-17 22:42:28</t>
  </si>
  <si>
    <t>TKT-2024-10139</t>
  </si>
  <si>
    <t>2024-03-27 08:09:07</t>
  </si>
  <si>
    <t>2024-04-02 13:45:07</t>
  </si>
  <si>
    <t>TKT-2024-10140</t>
  </si>
  <si>
    <t>2024-12-18 12:39:34</t>
  </si>
  <si>
    <t>2024-12-28 21:39:34</t>
  </si>
  <si>
    <t>TKT-2024-10141</t>
  </si>
  <si>
    <t>2024-08-13 04:24:59</t>
  </si>
  <si>
    <t>2024-08-30 21:24:59</t>
  </si>
  <si>
    <t>TKT-2024-10142</t>
  </si>
  <si>
    <t>2024-11-02 16:35:38</t>
  </si>
  <si>
    <t>2024-11-13 21:35:38</t>
  </si>
  <si>
    <t>TKT-2024-10143</t>
  </si>
  <si>
    <t>2024-10-01 00:50:01</t>
  </si>
  <si>
    <t>2024-10-13 10:20:01</t>
  </si>
  <si>
    <t>TKT-2024-10144</t>
  </si>
  <si>
    <t>2024-12-04 15:29:50</t>
  </si>
  <si>
    <t>2024-12-21 08:29:50</t>
  </si>
  <si>
    <t>TKT-2024-10145</t>
  </si>
  <si>
    <t>2024-02-27 06:25:26</t>
  </si>
  <si>
    <t>2024-03-09 18:25:26</t>
  </si>
  <si>
    <t>TKT-2024-10146</t>
  </si>
  <si>
    <t>2024-08-04 07:41:32</t>
  </si>
  <si>
    <t>2024-08-11 16:53:32</t>
  </si>
  <si>
    <t>TKT-2024-10147</t>
  </si>
  <si>
    <t>2024-04-12 11:46:32</t>
  </si>
  <si>
    <t>2024-04-20 01:46:32</t>
  </si>
  <si>
    <t>TKT-2024-10148</t>
  </si>
  <si>
    <t>2024-06-28 07:17:18</t>
  </si>
  <si>
    <t>2024-08-03 03:41:18</t>
  </si>
  <si>
    <t>TKT-2024-10149</t>
  </si>
  <si>
    <t>2024-08-22 16:42:38</t>
  </si>
  <si>
    <t>2024-08-30 00:42:38</t>
  </si>
  <si>
    <t>TKT-2024-10150</t>
  </si>
  <si>
    <t>2024-02-26 00:12:16</t>
  </si>
  <si>
    <t>2024-03-28 18:48:16</t>
  </si>
  <si>
    <t>TKT-2024-10151</t>
  </si>
  <si>
    <t>2024-02-19 21:06:24</t>
  </si>
  <si>
    <t>2024-03-06 17:36:24</t>
  </si>
  <si>
    <t>TKT-2024-10152</t>
  </si>
  <si>
    <t>2024-07-12 19:50:36</t>
  </si>
  <si>
    <t>2024-07-26 20:38:36</t>
  </si>
  <si>
    <t>TKT-2024-10153</t>
  </si>
  <si>
    <t>2024-12-01 12:16:35</t>
  </si>
  <si>
    <t>2024-12-31 22:58:35</t>
  </si>
  <si>
    <t>TKT-2024-10154</t>
  </si>
  <si>
    <t>2024-07-27 14:18:29</t>
  </si>
  <si>
    <t>2024-07-30 16:24:29</t>
  </si>
  <si>
    <t>TKT-2024-10155</t>
  </si>
  <si>
    <t>2024-06-04 20:35:48</t>
  </si>
  <si>
    <t>2024-06-17 12:23:48</t>
  </si>
  <si>
    <t>TKT-2024-10156</t>
  </si>
  <si>
    <t>2024-06-25 17:51:03</t>
  </si>
  <si>
    <t>2024-07-16 00:21:03</t>
  </si>
  <si>
    <t>TKT-2024-10157</t>
  </si>
  <si>
    <t>2024-09-06 00:48:56</t>
  </si>
  <si>
    <t>2024-09-17 02:24:56</t>
  </si>
  <si>
    <t>TKT-2024-10158</t>
  </si>
  <si>
    <t>2024-06-15 13:45:21</t>
  </si>
  <si>
    <t>2024-06-23 21:33:21</t>
  </si>
  <si>
    <t>TKT-2024-10159</t>
  </si>
  <si>
    <t>2024-10-23 07:48:42</t>
  </si>
  <si>
    <t>2024-11-05 07:42:42</t>
  </si>
  <si>
    <t>TKT-2024-10160</t>
  </si>
  <si>
    <t>2024-02-12 10:16:12</t>
  </si>
  <si>
    <t>2024-02-19 22:40:12</t>
  </si>
  <si>
    <t>TKT-2024-10161</t>
  </si>
  <si>
    <t>2024-06-18 00:00:34</t>
  </si>
  <si>
    <t>2024-06-29 23:00:34</t>
  </si>
  <si>
    <t>TKT-2024-10162</t>
  </si>
  <si>
    <t>2024-06-17 09:02:09</t>
  </si>
  <si>
    <t>2024-06-19 06:26:09</t>
  </si>
  <si>
    <t>TKT-2024-10163</t>
  </si>
  <si>
    <t>2024-08-25 09:11:20</t>
  </si>
  <si>
    <t>2024-09-03 05:59:20</t>
  </si>
  <si>
    <t>TKT-2024-10164</t>
  </si>
  <si>
    <t>2024-04-22 00:44:43</t>
  </si>
  <si>
    <t>2024-05-06 16:14:43</t>
  </si>
  <si>
    <t>TKT-2024-10165</t>
  </si>
  <si>
    <t>2024-06-21 02:57:53</t>
  </si>
  <si>
    <t>2024-07-18 04:45:53</t>
  </si>
  <si>
    <t>TKT-2024-10166</t>
  </si>
  <si>
    <t>2024-04-03 11:21:09</t>
  </si>
  <si>
    <t>2024-04-16 18:15:09</t>
  </si>
  <si>
    <t>TKT-2024-10167</t>
  </si>
  <si>
    <t>2024-07-29 03:02:29</t>
  </si>
  <si>
    <t>2024-08-11 13:20:29</t>
  </si>
  <si>
    <t>TKT-2024-10168</t>
  </si>
  <si>
    <t>2024-03-15 01:03:41</t>
  </si>
  <si>
    <t>2024-03-21 05:15:41</t>
  </si>
  <si>
    <t>TKT-2024-10169</t>
  </si>
  <si>
    <t>2024-03-02 16:17:13</t>
  </si>
  <si>
    <t>2024-03-10 21:53:13</t>
  </si>
  <si>
    <t>TKT-2024-10170</t>
  </si>
  <si>
    <t>2024-03-25 13:01:47</t>
  </si>
  <si>
    <t>2024-04-01 11:25:47</t>
  </si>
  <si>
    <t>TKT-2024-10171</t>
  </si>
  <si>
    <t>2024-08-08 14:16:55</t>
  </si>
  <si>
    <t>2024-08-17 18:10:55</t>
  </si>
  <si>
    <t>TKT-2024-10172</t>
  </si>
  <si>
    <t>2024-05-24 01:17:48</t>
  </si>
  <si>
    <t>2024-06-02 14:11:48</t>
  </si>
  <si>
    <t>TKT-2024-10173</t>
  </si>
  <si>
    <t>2024-03-16 19:12:11</t>
  </si>
  <si>
    <t>2024-03-24 06:30:11</t>
  </si>
  <si>
    <t>TKT-2024-10174</t>
  </si>
  <si>
    <t>2024-04-10 11:50:28</t>
  </si>
  <si>
    <t>2024-04-11 23:32:28</t>
  </si>
  <si>
    <t>TKT-2024-10175</t>
  </si>
  <si>
    <t>2024-02-26 01:52:37</t>
  </si>
  <si>
    <t>2024-03-05 10:10:37</t>
  </si>
  <si>
    <t>TKT-2024-10176</t>
  </si>
  <si>
    <t>2024-10-30 14:16:27</t>
  </si>
  <si>
    <t>2024-11-12 06:34:27</t>
  </si>
  <si>
    <t>TKT-2024-10177</t>
  </si>
  <si>
    <t>2024-03-11 23:18:06</t>
  </si>
  <si>
    <t>2024-03-22 15:24:06</t>
  </si>
  <si>
    <t>TKT-2024-10178</t>
  </si>
  <si>
    <t>2024-04-02 22:55:58</t>
  </si>
  <si>
    <t>2024-04-17 04:43:58</t>
  </si>
  <si>
    <t>TKT-2024-10179</t>
  </si>
  <si>
    <t>2024-12-05 20:29:03</t>
  </si>
  <si>
    <t>2024-12-09 23:53:03</t>
  </si>
  <si>
    <t>TKT-2024-10180</t>
  </si>
  <si>
    <t>2024-10-15 11:50:30</t>
  </si>
  <si>
    <t>2024-10-18 21:44:30</t>
  </si>
  <si>
    <t>TKT-2024-10181</t>
  </si>
  <si>
    <t>2024-01-23 05:28:02</t>
  </si>
  <si>
    <t>2024-01-27 22:46:02</t>
  </si>
  <si>
    <t>TKT-2024-10182</t>
  </si>
  <si>
    <t>2024-04-22 15:32:20</t>
  </si>
  <si>
    <t>2024-04-23 00:26:20</t>
  </si>
  <si>
    <t>TKT-2024-10183</t>
  </si>
  <si>
    <t>2024-08-10 20:04:21</t>
  </si>
  <si>
    <t>2024-08-12 03:10:21</t>
  </si>
  <si>
    <t>TKT-2024-10184</t>
  </si>
  <si>
    <t>2024-06-07 14:25:25</t>
  </si>
  <si>
    <t>2024-06-21 09:19:25</t>
  </si>
  <si>
    <t>TKT-2024-10185</t>
  </si>
  <si>
    <t>2024-09-04 11:23:07</t>
  </si>
  <si>
    <t>2024-09-12 13:53:07</t>
  </si>
  <si>
    <t>TKT-2024-10186</t>
  </si>
  <si>
    <t>2024-01-08 04:21:46</t>
  </si>
  <si>
    <t>2024-01-11 17:57:46</t>
  </si>
  <si>
    <t>TKT-2024-10187</t>
  </si>
  <si>
    <t>2024-05-13 13:34:22</t>
  </si>
  <si>
    <t>2024-05-23 17:58:22</t>
  </si>
  <si>
    <t>TKT-2024-10188</t>
  </si>
  <si>
    <t>2024-11-13 16:05:00</t>
  </si>
  <si>
    <t>2024-11-22 02:17:00</t>
  </si>
  <si>
    <t>TKT-2024-10189</t>
  </si>
  <si>
    <t>2024-03-04 17:33:59</t>
  </si>
  <si>
    <t>2024-03-05 22:27:59</t>
  </si>
  <si>
    <t>TKT-2024-10190</t>
  </si>
  <si>
    <t>2024-02-25 10:16:10</t>
  </si>
  <si>
    <t>2024-03-04 16:04:10</t>
  </si>
  <si>
    <t>TKT-2024-10191</t>
  </si>
  <si>
    <t>2024-07-05 20:40:27</t>
  </si>
  <si>
    <t>2024-07-12 04:58:27</t>
  </si>
  <si>
    <t>TKT-2024-10192</t>
  </si>
  <si>
    <t>2024-07-19 21:42:50</t>
  </si>
  <si>
    <t>2024-07-28 14:00:50</t>
  </si>
  <si>
    <t>TKT-2024-10193</t>
  </si>
  <si>
    <t>2024-02-03 06:31:00</t>
  </si>
  <si>
    <t>2024-02-13 13:25:00</t>
  </si>
  <si>
    <t>TKT-2024-10194</t>
  </si>
  <si>
    <t>2024-11-11 05:50:02</t>
  </si>
  <si>
    <t>2024-11-18 19:20:02</t>
  </si>
  <si>
    <t>TKT-2024-10195</t>
  </si>
  <si>
    <t>2024-12-06 23:59:53</t>
  </si>
  <si>
    <t>2024-12-19 16:41:53</t>
  </si>
  <si>
    <t>TKT-2024-10196</t>
  </si>
  <si>
    <t>2024-12-14 00:24:38</t>
  </si>
  <si>
    <t>2024-12-19 09:24:38</t>
  </si>
  <si>
    <t>TKT-2024-10197</t>
  </si>
  <si>
    <t>2024-10-15 03:42:44</t>
  </si>
  <si>
    <t>2024-10-16 10:06:44</t>
  </si>
  <si>
    <t>TKT-2024-10198</t>
  </si>
  <si>
    <t>2024-07-22 16:02:11</t>
  </si>
  <si>
    <t>2024-08-04 16:02:11</t>
  </si>
  <si>
    <t>Adobe Suite</t>
  </si>
  <si>
    <t>TKT-2024-10199</t>
  </si>
  <si>
    <t>2024-02-26 04:36:53</t>
  </si>
  <si>
    <t>2024-03-01 20:42:53</t>
  </si>
  <si>
    <t>TKT-2024-10200</t>
  </si>
  <si>
    <t>2024-01-02 02:31:20</t>
  </si>
  <si>
    <t>2024-01-12 13:19:20</t>
  </si>
  <si>
    <t>TKT-2024-10201</t>
  </si>
  <si>
    <t>2024-07-05 22:46:57</t>
  </si>
  <si>
    <t>2024-07-17 01:04:57</t>
  </si>
  <si>
    <t>TKT-2024-10202</t>
  </si>
  <si>
    <t>2024-04-03 05:49:26</t>
  </si>
  <si>
    <t>2024-04-14 15:43:26</t>
  </si>
  <si>
    <t>TKT-2024-10203</t>
  </si>
  <si>
    <t>2024-10-31 13:34:32</t>
  </si>
  <si>
    <t>2024-11-04 00:22:32</t>
  </si>
  <si>
    <t>TKT-2024-10204</t>
  </si>
  <si>
    <t>2024-04-10 11:10:59</t>
  </si>
  <si>
    <t>2024-04-14 00:58:59</t>
  </si>
  <si>
    <t>TKT-2024-10205</t>
  </si>
  <si>
    <t>2024-06-27 16:38:17</t>
  </si>
  <si>
    <t>2024-07-09 01:32:17</t>
  </si>
  <si>
    <t>TKT-2024-10206</t>
  </si>
  <si>
    <t>2024-06-27 07:40:50</t>
  </si>
  <si>
    <t>2024-07-09 11:16:50</t>
  </si>
  <si>
    <t>TKT-2024-10207</t>
  </si>
  <si>
    <t>2024-05-20 01:29:14</t>
  </si>
  <si>
    <t>2024-06-01 16:11:14</t>
  </si>
  <si>
    <t>TKT-2024-10208</t>
  </si>
  <si>
    <t>2024-02-09 17:05:33</t>
  </si>
  <si>
    <t>2024-02-18 22:29:33</t>
  </si>
  <si>
    <t>TKT-2024-10209</t>
  </si>
  <si>
    <t>2024-07-23 01:26:13</t>
  </si>
  <si>
    <t>2024-08-20 22:44:13</t>
  </si>
  <si>
    <t>TKT-2024-10210</t>
  </si>
  <si>
    <t>2024-10-28 07:31:08</t>
  </si>
  <si>
    <t>2024-11-06 00:49:08</t>
  </si>
  <si>
    <t>TKT-2024-10211</t>
  </si>
  <si>
    <t>2024-10-06 17:50:00</t>
  </si>
  <si>
    <t>2024-11-03 00:38:00</t>
  </si>
  <si>
    <t>TKT-2024-10212</t>
  </si>
  <si>
    <t>2024-05-14 02:10:41</t>
  </si>
  <si>
    <t>2024-05-21 05:46:41</t>
  </si>
  <si>
    <t>TKT-2024-10213</t>
  </si>
  <si>
    <t>2024-05-15 11:14:39</t>
  </si>
  <si>
    <t>2024-05-29 16:14:39</t>
  </si>
  <si>
    <t>TKT-2024-10214</t>
  </si>
  <si>
    <t>2024-04-17 22:08:41</t>
  </si>
  <si>
    <t>2024-05-02 19:08:41</t>
  </si>
  <si>
    <t>TKT-2024-10215</t>
  </si>
  <si>
    <t>2024-03-23 13:52:59</t>
  </si>
  <si>
    <t>2024-04-06 08:22:59</t>
  </si>
  <si>
    <t>TKT-2024-10216</t>
  </si>
  <si>
    <t>2024-05-25 20:41:10</t>
  </si>
  <si>
    <t>2024-06-01 12:11:10</t>
  </si>
  <si>
    <t>TKT-2024-10217</t>
  </si>
  <si>
    <t>2024-07-02 06:11:21</t>
  </si>
  <si>
    <t>2024-07-12 10:47:21</t>
  </si>
  <si>
    <t>TKT-2024-10218</t>
  </si>
  <si>
    <t>2024-09-26 12:11:46</t>
  </si>
  <si>
    <t>2024-09-29 21:11:46</t>
  </si>
  <si>
    <t>TKT-2024-10219</t>
  </si>
  <si>
    <t>2024-03-07 07:15:33</t>
  </si>
  <si>
    <t>2024-03-13 21:15:33</t>
  </si>
  <si>
    <t>TKT-2024-10220</t>
  </si>
  <si>
    <t>2024-08-11 16:04:24</t>
  </si>
  <si>
    <t>2024-08-25 16:52:24</t>
  </si>
  <si>
    <t>TKT-2024-10221</t>
  </si>
  <si>
    <t>2024-06-18 19:13:30</t>
  </si>
  <si>
    <t>2024-06-26 23:31:30</t>
  </si>
  <si>
    <t>TKT-2024-10222</t>
  </si>
  <si>
    <t>2024-10-15 05:53:03</t>
  </si>
  <si>
    <t>2024-10-29 04:17:03</t>
  </si>
  <si>
    <t>TKT-2024-10223</t>
  </si>
  <si>
    <t>2024-10-17 22:34:16</t>
  </si>
  <si>
    <t>2024-10-24 23:22:16</t>
  </si>
  <si>
    <t>TKT-2024-10224</t>
  </si>
  <si>
    <t>2024-12-17 19:03:55</t>
  </si>
  <si>
    <t>2024-12-21 01:45:55</t>
  </si>
  <si>
    <t>TKT-2024-10225</t>
  </si>
  <si>
    <t>2024-07-30 00:34:32</t>
  </si>
  <si>
    <t>2024-09-03 19:16:32</t>
  </si>
  <si>
    <t>TKT-2024-10226</t>
  </si>
  <si>
    <t>2024-04-18 11:51:25</t>
  </si>
  <si>
    <t>2024-04-25 08:03:25</t>
  </si>
  <si>
    <t>TKT-2024-10227</t>
  </si>
  <si>
    <t>2024-02-25 17:42:59</t>
  </si>
  <si>
    <t>2024-02-29 06:54:59</t>
  </si>
  <si>
    <t>TKT-2024-10228</t>
  </si>
  <si>
    <t>2024-04-09 01:17:40</t>
  </si>
  <si>
    <t>2024-04-14 08:47:40</t>
  </si>
  <si>
    <t>TKT-2024-10229</t>
  </si>
  <si>
    <t>2024-08-13 16:10:31</t>
  </si>
  <si>
    <t>2024-08-29 02:46:31</t>
  </si>
  <si>
    <t>TKT-2024-10230</t>
  </si>
  <si>
    <t>2024-11-18 02:12:20</t>
  </si>
  <si>
    <t>2024-12-02 07:06:20</t>
  </si>
  <si>
    <t>TKT-2024-10231</t>
  </si>
  <si>
    <t>2024-01-07 01:44:59</t>
  </si>
  <si>
    <t>2024-01-20 02:38:59</t>
  </si>
  <si>
    <t>TKT-2024-10232</t>
  </si>
  <si>
    <t>2024-02-11 04:46:52</t>
  </si>
  <si>
    <t>2024-02-22 01:16:52</t>
  </si>
  <si>
    <t>TKT-2024-10233</t>
  </si>
  <si>
    <t>2024-04-27 01:11:04</t>
  </si>
  <si>
    <t>2024-05-11 08:47:04</t>
  </si>
  <si>
    <t>TKT-2024-10234</t>
  </si>
  <si>
    <t>2024-01-15 06:16:25</t>
  </si>
  <si>
    <t>2024-01-21 20:22:25</t>
  </si>
  <si>
    <t>TKT-2024-10235</t>
  </si>
  <si>
    <t>2024-09-19 19:08:10</t>
  </si>
  <si>
    <t>2024-09-29 03:50:10</t>
  </si>
  <si>
    <t>TKT-2024-10236</t>
  </si>
  <si>
    <t>2024-09-18 13:21:36</t>
  </si>
  <si>
    <t>2024-10-02 05:03:36</t>
  </si>
  <si>
    <t>TKT-2024-10237</t>
  </si>
  <si>
    <t>2024-05-18 01:57:13</t>
  </si>
  <si>
    <t>2024-05-20 15:21:13</t>
  </si>
  <si>
    <t>TKT-2024-10238</t>
  </si>
  <si>
    <t>2024-07-22 21:30:41</t>
  </si>
  <si>
    <t>2024-07-26 20:42:41</t>
  </si>
  <si>
    <t>TKT-2024-10239</t>
  </si>
  <si>
    <t>2024-10-16 05:50:35</t>
  </si>
  <si>
    <t>2024-10-22 16:14:35</t>
  </si>
  <si>
    <t>TKT-2024-10240</t>
  </si>
  <si>
    <t>2024-08-01 05:53:19</t>
  </si>
  <si>
    <t>2024-08-10 07:05:19</t>
  </si>
  <si>
    <t>TKT-2024-10241</t>
  </si>
  <si>
    <t>2024-11-27 17:56:04</t>
  </si>
  <si>
    <t>2024-12-01 18:08:04</t>
  </si>
  <si>
    <t>TKT-2024-10242</t>
  </si>
  <si>
    <t>2024-08-19 07:45:45</t>
  </si>
  <si>
    <t>2024-08-23 14:39:45</t>
  </si>
  <si>
    <t>TKT-2024-10243</t>
  </si>
  <si>
    <t>2024-04-03 12:12:08</t>
  </si>
  <si>
    <t>2024-04-10 12:18:08</t>
  </si>
  <si>
    <t>TKT-2024-10244</t>
  </si>
  <si>
    <t>2024-09-01 23:16:19</t>
  </si>
  <si>
    <t>2024-09-08 17:10:19</t>
  </si>
  <si>
    <t>TKT-2024-10245</t>
  </si>
  <si>
    <t>2024-11-04 00:33:52</t>
  </si>
  <si>
    <t>2024-11-10 07:21:52</t>
  </si>
  <si>
    <t>TKT-2024-10246</t>
  </si>
  <si>
    <t>2024-07-23 19:03:28</t>
  </si>
  <si>
    <t>2024-07-28 05:45:28</t>
  </si>
  <si>
    <t>TKT-2024-10247</t>
  </si>
  <si>
    <t>2024-09-30 16:54:13</t>
  </si>
  <si>
    <t>2024-10-04 11:00:13</t>
  </si>
  <si>
    <t>TKT-2024-10248</t>
  </si>
  <si>
    <t>2024-05-07 05:50:08</t>
  </si>
  <si>
    <t>2024-05-19 12:38:08</t>
  </si>
  <si>
    <t>TKT-2024-10249</t>
  </si>
  <si>
    <t>2024-08-29 16:09:56</t>
  </si>
  <si>
    <t>2024-08-31 09:51:56</t>
  </si>
  <si>
    <t>TKT-2024-10250</t>
  </si>
  <si>
    <t>2024-12-07 05:33:38</t>
  </si>
  <si>
    <t>2024-12-21 06:15:38</t>
  </si>
  <si>
    <t>TKT-2024-10251</t>
  </si>
  <si>
    <t>2024-12-12 15:55:36</t>
  </si>
  <si>
    <t>2024-12-30 21:31:36</t>
  </si>
  <si>
    <t>TKT-2024-10252</t>
  </si>
  <si>
    <t>2024-12-27 16:12:18</t>
  </si>
  <si>
    <t>2025-01-04 22:24:18</t>
  </si>
  <si>
    <t>TKT-2024-10253</t>
  </si>
  <si>
    <t>2024-02-17 17:25:22</t>
  </si>
  <si>
    <t>2024-03-03 18:55:22</t>
  </si>
  <si>
    <t>TKT-2024-10254</t>
  </si>
  <si>
    <t>2024-04-26 22:04:49</t>
  </si>
  <si>
    <t>2024-05-10 05:04:49</t>
  </si>
  <si>
    <t>TKT-2024-10255</t>
  </si>
  <si>
    <t>2024-02-13 03:52:32</t>
  </si>
  <si>
    <t>2024-02-25 11:46:32</t>
  </si>
  <si>
    <t>TKT-2024-10256</t>
  </si>
  <si>
    <t>2024-07-23 06:39:17</t>
  </si>
  <si>
    <t>2024-07-27 06:39:17</t>
  </si>
  <si>
    <t>TKT-2024-10257</t>
  </si>
  <si>
    <t>2024-09-11 07:18:28</t>
  </si>
  <si>
    <t>2024-09-19 20:06:28</t>
  </si>
  <si>
    <t>TKT-2024-10258</t>
  </si>
  <si>
    <t>2024-01-18 06:51:45</t>
  </si>
  <si>
    <t>2024-01-26 02:39:45</t>
  </si>
  <si>
    <t>TKT-2024-10259</t>
  </si>
  <si>
    <t>2024-09-02 05:00:08</t>
  </si>
  <si>
    <t>2024-09-11 09:24:08</t>
  </si>
  <si>
    <t>TKT-2024-10260</t>
  </si>
  <si>
    <t>2024-02-08 20:04:30</t>
  </si>
  <si>
    <t>2024-02-16 07:16:30</t>
  </si>
  <si>
    <t>TKT-2024-10261</t>
  </si>
  <si>
    <t>2024-05-18 16:26:16</t>
  </si>
  <si>
    <t>2024-05-25 05:20:16</t>
  </si>
  <si>
    <t>TKT-2024-10262</t>
  </si>
  <si>
    <t>2024-06-25 12:34:30</t>
  </si>
  <si>
    <t>2024-06-28 15:10:30</t>
  </si>
  <si>
    <t>TKT-2024-10263</t>
  </si>
  <si>
    <t>2024-03-18 01:05:52</t>
  </si>
  <si>
    <t>2024-03-22 02:11:52</t>
  </si>
  <si>
    <t>TKT-2024-10264</t>
  </si>
  <si>
    <t>2024-02-26 11:56:02</t>
  </si>
  <si>
    <t>2024-02-29 07:02:02</t>
  </si>
  <si>
    <t>TKT-2024-10265</t>
  </si>
  <si>
    <t>2024-01-24 16:01:08</t>
  </si>
  <si>
    <t>2024-02-04 06:19:08</t>
  </si>
  <si>
    <t>TKT-2024-10266</t>
  </si>
  <si>
    <t>2024-06-04 04:37:53</t>
  </si>
  <si>
    <t>2024-06-10 00:37:53</t>
  </si>
  <si>
    <t>TKT-2024-10267</t>
  </si>
  <si>
    <t>2024-05-03 10:18:20</t>
  </si>
  <si>
    <t>2024-05-15 05:54:20</t>
  </si>
  <si>
    <t>TKT-2024-10268</t>
  </si>
  <si>
    <t>2024-11-21 13:16:08</t>
  </si>
  <si>
    <t>2024-11-29 03:04:08</t>
  </si>
  <si>
    <t>TKT-2024-10269</t>
  </si>
  <si>
    <t>2024-01-17 00:17:31</t>
  </si>
  <si>
    <t>2024-01-30 23:11:31</t>
  </si>
  <si>
    <t>TKT-2024-10270</t>
  </si>
  <si>
    <t>2024-11-21 05:21:31</t>
  </si>
  <si>
    <t>2024-11-22 16:03:31</t>
  </si>
  <si>
    <t>TKT-2024-10271</t>
  </si>
  <si>
    <t>2024-06-04 20:55:08</t>
  </si>
  <si>
    <t>2024-06-08 09:13:08</t>
  </si>
  <si>
    <t>TKT-2024-10272</t>
  </si>
  <si>
    <t>2024-09-14 09:44:52</t>
  </si>
  <si>
    <t>2024-09-23 11:26:52</t>
  </si>
  <si>
    <t>TKT-2024-10273</t>
  </si>
  <si>
    <t>2024-06-01 20:53:17</t>
  </si>
  <si>
    <t>2024-06-15 03:29:17</t>
  </si>
  <si>
    <t>TKT-2024-10274</t>
  </si>
  <si>
    <t>2024-07-12 09:06:50</t>
  </si>
  <si>
    <t>2024-07-18 20:54:50</t>
  </si>
  <si>
    <t>TKT-2024-10275</t>
  </si>
  <si>
    <t>2024-03-12 11:00:45</t>
  </si>
  <si>
    <t>2024-03-23 16:30:45</t>
  </si>
  <si>
    <t>TKT-2024-10276</t>
  </si>
  <si>
    <t>2024-10-19 22:20:17</t>
  </si>
  <si>
    <t>2024-10-30 04:32:17</t>
  </si>
  <si>
    <t>TKT-2024-10277</t>
  </si>
  <si>
    <t>2024-08-31 03:32:47</t>
  </si>
  <si>
    <t>2024-09-06 05:38:47</t>
  </si>
  <si>
    <t>TKT-2024-10278</t>
  </si>
  <si>
    <t>2024-07-11 06:54:53</t>
  </si>
  <si>
    <t>2024-07-17 22:42:53</t>
  </si>
  <si>
    <t>TKT-2024-10279</t>
  </si>
  <si>
    <t>2024-08-29 23:20:44</t>
  </si>
  <si>
    <t>2024-09-03 05:26:44</t>
  </si>
  <si>
    <t>TKT-2024-10280</t>
  </si>
  <si>
    <t>2024-03-21 12:06:23</t>
  </si>
  <si>
    <t>2024-04-12 08:24:23</t>
  </si>
  <si>
    <t>TKT-2024-10281</t>
  </si>
  <si>
    <t>2024-05-19 15:15:11</t>
  </si>
  <si>
    <t>2024-05-31 00:45:11</t>
  </si>
  <si>
    <t>TKT-2024-10282</t>
  </si>
  <si>
    <t>2024-04-24 05:13:40</t>
  </si>
  <si>
    <t>2024-05-07 07:13:40</t>
  </si>
  <si>
    <t>TKT-2024-10283</t>
  </si>
  <si>
    <t>2024-03-16 15:51:26</t>
  </si>
  <si>
    <t>2024-03-24 05:51:26</t>
  </si>
  <si>
    <t>TKT-2024-10284</t>
  </si>
  <si>
    <t>2024-10-05 00:44:45</t>
  </si>
  <si>
    <t>2024-10-09 06:56:45</t>
  </si>
  <si>
    <t>TKT-2024-10285</t>
  </si>
  <si>
    <t>2024-09-29 02:50:24</t>
  </si>
  <si>
    <t>2024-10-12 17:08:24</t>
  </si>
  <si>
    <t>TKT-2024-10286</t>
  </si>
  <si>
    <t>2024-05-20 10:07:27</t>
  </si>
  <si>
    <t>2024-05-27 04:37:27</t>
  </si>
  <si>
    <t>TKT-2024-10287</t>
  </si>
  <si>
    <t>2024-05-24 09:47:22</t>
  </si>
  <si>
    <t>2024-05-28 20:29:22</t>
  </si>
  <si>
    <t>TKT-2024-10288</t>
  </si>
  <si>
    <t>2024-03-06 07:47:40</t>
  </si>
  <si>
    <t>2024-03-25 18:53:40</t>
  </si>
  <si>
    <t>TKT-2024-10289</t>
  </si>
  <si>
    <t>2024-07-30 19:50:57</t>
  </si>
  <si>
    <t>2024-08-04 10:44:57</t>
  </si>
  <si>
    <t>TKT-2024-10290</t>
  </si>
  <si>
    <t>2024-03-02 23:36:45</t>
  </si>
  <si>
    <t>2024-03-13 04:54:45</t>
  </si>
  <si>
    <t>TKT-2024-10291</t>
  </si>
  <si>
    <t>2024-02-27 16:26:27</t>
  </si>
  <si>
    <t>2024-03-06 06:20:27</t>
  </si>
  <si>
    <t>TKT-2024-10292</t>
  </si>
  <si>
    <t>2024-11-01 01:00:15</t>
  </si>
  <si>
    <t>2024-11-08 06:48:15</t>
  </si>
  <si>
    <t>TKT-2024-10293</t>
  </si>
  <si>
    <t>2024-10-30 16:55:21</t>
  </si>
  <si>
    <t>2024-11-06 06:43:21</t>
  </si>
  <si>
    <t>TKT-2024-10294</t>
  </si>
  <si>
    <t>2024-05-08 18:07:50</t>
  </si>
  <si>
    <t>2024-05-19 07:37:50</t>
  </si>
  <si>
    <t>TKT-2024-10295</t>
  </si>
  <si>
    <t>2024-09-09 05:55:46</t>
  </si>
  <si>
    <t>2024-09-11 03:01:46</t>
  </si>
  <si>
    <t>TKT-2024-10296</t>
  </si>
  <si>
    <t>2024-12-29 02:45:26</t>
  </si>
  <si>
    <t>2025-01-10 08:57:26</t>
  </si>
  <si>
    <t>TKT-2024-10297</t>
  </si>
  <si>
    <t>2024-07-26 17:19:46</t>
  </si>
  <si>
    <t>2024-07-31 07:25:46</t>
  </si>
  <si>
    <t>TKT-2024-10298</t>
  </si>
  <si>
    <t>2024-10-08 01:54:45</t>
  </si>
  <si>
    <t>2024-10-16 21:12:45</t>
  </si>
  <si>
    <t>TKT-2024-10299</t>
  </si>
  <si>
    <t>2024-02-25 04:10:12</t>
  </si>
  <si>
    <t>2024-02-29 08:22:12</t>
  </si>
  <si>
    <t>TKT-2024-10300</t>
  </si>
  <si>
    <t>2024-12-01 18:32:40</t>
  </si>
  <si>
    <t>2024-12-25 13:26:40</t>
  </si>
  <si>
    <t>TKT-2024-10301</t>
  </si>
  <si>
    <t>2024-01-22 23:08:06</t>
  </si>
  <si>
    <t>2024-02-06 18:56:06</t>
  </si>
  <si>
    <t>TKT-2024-10302</t>
  </si>
  <si>
    <t>2024-06-26 22:41:05</t>
  </si>
  <si>
    <t>2024-07-01 09:41:05</t>
  </si>
  <si>
    <t>TKT-2024-10303</t>
  </si>
  <si>
    <t>2024-05-02 06:58:12</t>
  </si>
  <si>
    <t>2024-05-11 15:58:12</t>
  </si>
  <si>
    <t>TKT-2024-10304</t>
  </si>
  <si>
    <t>2024-06-27 00:57:37</t>
  </si>
  <si>
    <t>2024-07-08 13:39:37</t>
  </si>
  <si>
    <t>TKT-2024-10305</t>
  </si>
  <si>
    <t>2024-09-25 02:55:40</t>
  </si>
  <si>
    <t>2024-10-03 23:43:40</t>
  </si>
  <si>
    <t>TKT-2024-10306</t>
  </si>
  <si>
    <t>2024-04-10 22:24:39</t>
  </si>
  <si>
    <t>2024-04-17 09:00:39</t>
  </si>
  <si>
    <t>TKT-2024-10307</t>
  </si>
  <si>
    <t>2024-03-17 09:36:32</t>
  </si>
  <si>
    <t>2024-03-31 23:12:32</t>
  </si>
  <si>
    <t>TKT-2024-10308</t>
  </si>
  <si>
    <t>2024-07-04 23:08:24</t>
  </si>
  <si>
    <t>2024-07-08 18:44:24</t>
  </si>
  <si>
    <t>TKT-2024-10309</t>
  </si>
  <si>
    <t>2024-06-25 07:22:05</t>
  </si>
  <si>
    <t>2024-07-01 12:52:05</t>
  </si>
  <si>
    <t>TKT-2024-10310</t>
  </si>
  <si>
    <t>2024-08-03 22:38:55</t>
  </si>
  <si>
    <t>2024-08-07 07:38:55</t>
  </si>
  <si>
    <t>TKT-2024-10311</t>
  </si>
  <si>
    <t>2024-04-16 12:56:32</t>
  </si>
  <si>
    <t>2024-04-28 10:02:32</t>
  </si>
  <si>
    <t>TKT-2024-10312</t>
  </si>
  <si>
    <t>2024-12-03 06:54:28</t>
  </si>
  <si>
    <t>2024-12-12 16:18:28</t>
  </si>
  <si>
    <t>TKT-2024-10313</t>
  </si>
  <si>
    <t>2024-05-28 20:44:27</t>
  </si>
  <si>
    <t>2024-06-14 01:50:27</t>
  </si>
  <si>
    <t>TKT-2024-10314</t>
  </si>
  <si>
    <t>2024-06-18 07:56:56</t>
  </si>
  <si>
    <t>2024-06-26 11:50:56</t>
  </si>
  <si>
    <t>TKT-2024-10315</t>
  </si>
  <si>
    <t>2024-01-29 02:40:36</t>
  </si>
  <si>
    <t>2024-02-06 07:28:36</t>
  </si>
  <si>
    <t>TKT-2024-10316</t>
  </si>
  <si>
    <t>2024-05-26 04:20:35</t>
  </si>
  <si>
    <t>2024-06-03 10:08:35</t>
  </si>
  <si>
    <t>TKT-2024-10317</t>
  </si>
  <si>
    <t>2024-07-26 09:45:49</t>
  </si>
  <si>
    <t>2024-08-08 22:09:49</t>
  </si>
  <si>
    <t>TKT-2024-10318</t>
  </si>
  <si>
    <t>2024-11-30 21:37:22</t>
  </si>
  <si>
    <t>2024-12-08 20:19:22</t>
  </si>
  <si>
    <t>TKT-2024-10319</t>
  </si>
  <si>
    <t>2024-03-02 14:55:34</t>
  </si>
  <si>
    <t>2024-03-29 05:13:34</t>
  </si>
  <si>
    <t>TKT-2024-10320</t>
  </si>
  <si>
    <t>2024-02-26 01:55:49</t>
  </si>
  <si>
    <t>2024-03-08 06:19:49</t>
  </si>
  <si>
    <t>TKT-2024-10321</t>
  </si>
  <si>
    <t>2024-01-02 17:15:20</t>
  </si>
  <si>
    <t>2024-01-13 02:57:20</t>
  </si>
  <si>
    <t>TKT-2024-10322</t>
  </si>
  <si>
    <t>2024-02-14 16:16:28</t>
  </si>
  <si>
    <t>2024-02-22 17:40:28</t>
  </si>
  <si>
    <t>TKT-2024-10323</t>
  </si>
  <si>
    <t>2024-06-13 02:02:02</t>
  </si>
  <si>
    <t>2024-06-22 04:38:02</t>
  </si>
  <si>
    <t>TKT-2024-10324</t>
  </si>
  <si>
    <t>2024-05-01 06:00:08</t>
  </si>
  <si>
    <t>2024-05-10 05:24:08</t>
  </si>
  <si>
    <t>TKT-2024-10325</t>
  </si>
  <si>
    <t>2024-05-30 18:53:53</t>
  </si>
  <si>
    <t>2024-06-02 01:29:53</t>
  </si>
  <si>
    <t>TKT-2024-10326</t>
  </si>
  <si>
    <t>2024-11-27 23:46:26</t>
  </si>
  <si>
    <t>2024-12-10 02:16:26</t>
  </si>
  <si>
    <t>TKT-2024-10327</t>
  </si>
  <si>
    <t>2024-01-05 11:00:27</t>
  </si>
  <si>
    <t>2024-01-17 18:24:27</t>
  </si>
  <si>
    <t>TKT-2024-10328</t>
  </si>
  <si>
    <t>2024-11-25 05:12:39</t>
  </si>
  <si>
    <t>2024-11-29 08:06:39</t>
  </si>
  <si>
    <t>TKT-2024-10329</t>
  </si>
  <si>
    <t>2024-12-05 00:47:22</t>
  </si>
  <si>
    <t>2024-12-12 02:47:22</t>
  </si>
  <si>
    <t>TKT-2024-10330</t>
  </si>
  <si>
    <t>2024-04-10 15:41:05</t>
  </si>
  <si>
    <t>2024-04-19 18:53:05</t>
  </si>
  <si>
    <t>TKT-2024-10331</t>
  </si>
  <si>
    <t>2024-07-14 18:24:39</t>
  </si>
  <si>
    <t>2024-07-18 08:36:39</t>
  </si>
  <si>
    <t>TKT-2024-10332</t>
  </si>
  <si>
    <t>2024-03-11 06:24:50</t>
  </si>
  <si>
    <t>2024-04-02 11:36:50</t>
  </si>
  <si>
    <t>TKT-2024-10333</t>
  </si>
  <si>
    <t>2024-10-19 21:40:10</t>
  </si>
  <si>
    <t>2024-11-07 19:16:10</t>
  </si>
  <si>
    <t>TKT-2024-10334</t>
  </si>
  <si>
    <t>2024-10-27 03:41:41</t>
  </si>
  <si>
    <t>2024-10-31 10:35:41</t>
  </si>
  <si>
    <t>TKT-2024-10335</t>
  </si>
  <si>
    <t>2024-04-26 06:31:12</t>
  </si>
  <si>
    <t>2024-05-06 09:55:12</t>
  </si>
  <si>
    <t>TKT-2024-10336</t>
  </si>
  <si>
    <t>2024-10-19 03:27:22</t>
  </si>
  <si>
    <t>2024-10-29 21:57:22</t>
  </si>
  <si>
    <t>TKT-2024-10337</t>
  </si>
  <si>
    <t>2024-11-20 15:03:51</t>
  </si>
  <si>
    <t>2024-11-23 00:39:51</t>
  </si>
  <si>
    <t>TKT-2024-10338</t>
  </si>
  <si>
    <t>2024-08-26 02:28:33</t>
  </si>
  <si>
    <t>2024-09-10 23:16:33</t>
  </si>
  <si>
    <t>TKT-2024-10339</t>
  </si>
  <si>
    <t>2024-02-16 19:57:09</t>
  </si>
  <si>
    <t>2024-03-02 17:57:09</t>
  </si>
  <si>
    <t>TKT-2024-10340</t>
  </si>
  <si>
    <t>2024-06-04 10:26:18</t>
  </si>
  <si>
    <t>2024-06-06 03:08:18</t>
  </si>
  <si>
    <t>TKT-2024-10341</t>
  </si>
  <si>
    <t>2024-12-09 23:25:25</t>
  </si>
  <si>
    <t>2024-12-16 09:01:25</t>
  </si>
  <si>
    <t>TKT-2024-10342</t>
  </si>
  <si>
    <t>2024-12-15 23:30:23</t>
  </si>
  <si>
    <t>2024-12-23 11:48:23</t>
  </si>
  <si>
    <t>TKT-2024-10343</t>
  </si>
  <si>
    <t>2024-01-06 21:37:41</t>
  </si>
  <si>
    <t>2024-01-13 17:13:41</t>
  </si>
  <si>
    <t>TKT-2024-10344</t>
  </si>
  <si>
    <t>2024-08-29 20:49:17</t>
  </si>
  <si>
    <t>2024-09-11 03:01:17</t>
  </si>
  <si>
    <t>TKT-2024-10345</t>
  </si>
  <si>
    <t>2024-01-25 15:40:47</t>
  </si>
  <si>
    <t>2024-02-02 15:10:47</t>
  </si>
  <si>
    <t>TKT-2024-10346</t>
  </si>
  <si>
    <t>2024-05-31 03:20:39</t>
  </si>
  <si>
    <t>2024-06-07 23:14:39</t>
  </si>
  <si>
    <t>TKT-2024-10347</t>
  </si>
  <si>
    <t>2024-12-02 21:00:49</t>
  </si>
  <si>
    <t>2024-12-09 13:18:49</t>
  </si>
  <si>
    <t>TKT-2024-10348</t>
  </si>
  <si>
    <t>2024-02-17 07:17:45</t>
  </si>
  <si>
    <t>2024-02-23 20:17:45</t>
  </si>
  <si>
    <t>TKT-2024-10349</t>
  </si>
  <si>
    <t>2024-05-05 23:53:46</t>
  </si>
  <si>
    <t>2024-05-10 06:23:46</t>
  </si>
  <si>
    <t>TKT-2024-10350</t>
  </si>
  <si>
    <t>2024-10-27 10:53:15</t>
  </si>
  <si>
    <t>2024-11-05 15:05:15</t>
  </si>
  <si>
    <t>TKT-2024-10351</t>
  </si>
  <si>
    <t>2024-07-07 02:18:37</t>
  </si>
  <si>
    <t>2024-07-29 02:12:37</t>
  </si>
  <si>
    <t>TKT-2024-10352</t>
  </si>
  <si>
    <t>2024-12-05 05:32:20</t>
  </si>
  <si>
    <t>2024-12-25 15:38:20</t>
  </si>
  <si>
    <t>TKT-2024-10353</t>
  </si>
  <si>
    <t>2024-01-19 18:18:19</t>
  </si>
  <si>
    <t>2024-01-25 04:30:19</t>
  </si>
  <si>
    <t>TKT-2024-10354</t>
  </si>
  <si>
    <t>2024-04-06 02:33:06</t>
  </si>
  <si>
    <t>2024-04-13 01:57:06</t>
  </si>
  <si>
    <t>TKT-2024-10355</t>
  </si>
  <si>
    <t>2024-10-04 03:25:51</t>
  </si>
  <si>
    <t>2024-10-08 14:37:51</t>
  </si>
  <si>
    <t>TKT-2024-10356</t>
  </si>
  <si>
    <t>2024-03-14 21:58:21</t>
  </si>
  <si>
    <t>2024-03-25 07:22:21</t>
  </si>
  <si>
    <t>TKT-2024-10357</t>
  </si>
  <si>
    <t>2024-05-09 16:21:19</t>
  </si>
  <si>
    <t>2024-05-18 11:15:19</t>
  </si>
  <si>
    <t>TKT-2024-10358</t>
  </si>
  <si>
    <t>2024-07-14 07:27:10</t>
  </si>
  <si>
    <t>2024-08-11 03:03:10</t>
  </si>
  <si>
    <t>TKT-2024-10359</t>
  </si>
  <si>
    <t>2024-05-19 20:22:05</t>
  </si>
  <si>
    <t>2024-05-24 01:52:05</t>
  </si>
  <si>
    <t>TKT-2024-10360</t>
  </si>
  <si>
    <t>2024-09-28 11:04:44</t>
  </si>
  <si>
    <t>2024-10-01 10:34:44</t>
  </si>
  <si>
    <t>TKT-2024-10361</t>
  </si>
  <si>
    <t>2024-01-11 14:58:55</t>
  </si>
  <si>
    <t>2024-01-17 19:34:55</t>
  </si>
  <si>
    <t>TKT-2024-10362</t>
  </si>
  <si>
    <t>2024-09-02 18:21:50</t>
  </si>
  <si>
    <t>2024-09-21 11:33:50</t>
  </si>
  <si>
    <t>TKT-2024-10363</t>
  </si>
  <si>
    <t>2024-10-10 18:57:26</t>
  </si>
  <si>
    <t>2024-10-25 15:33:26</t>
  </si>
  <si>
    <t>TKT-2024-10364</t>
  </si>
  <si>
    <t>2024-01-09 12:49:42</t>
  </si>
  <si>
    <t>2024-01-12 20:19:42</t>
  </si>
  <si>
    <t>TKT-2024-10365</t>
  </si>
  <si>
    <t>2024-05-08 15:33:02</t>
  </si>
  <si>
    <t>2024-05-14 00:27:02</t>
  </si>
  <si>
    <t>TKT-2024-10366</t>
  </si>
  <si>
    <t>2024-06-16 13:00:57</t>
  </si>
  <si>
    <t>2024-06-25 14:36:57</t>
  </si>
  <si>
    <t>TKT-2024-10367</t>
  </si>
  <si>
    <t>2024-12-02 18:10:22</t>
  </si>
  <si>
    <t>2024-12-10 00:28:22</t>
  </si>
  <si>
    <t>TKT-2024-10368</t>
  </si>
  <si>
    <t>2024-05-23 21:47:24</t>
  </si>
  <si>
    <t>2024-05-30 15:29:24</t>
  </si>
  <si>
    <t>TKT-2024-10369</t>
  </si>
  <si>
    <t>2024-03-05 02:47:53</t>
  </si>
  <si>
    <t>2024-03-15 16:05:53</t>
  </si>
  <si>
    <t>TKT-2024-10370</t>
  </si>
  <si>
    <t>2024-07-30 09:22:57</t>
  </si>
  <si>
    <t>2024-08-05 01:34:57</t>
  </si>
  <si>
    <t>TKT-2024-10371</t>
  </si>
  <si>
    <t>2024-09-15 15:59:07</t>
  </si>
  <si>
    <t>2024-09-25 23:47:07</t>
  </si>
  <si>
    <t>TKT-2024-10372</t>
  </si>
  <si>
    <t>2024-01-13 10:41:55</t>
  </si>
  <si>
    <t>2024-01-31 20:17:55</t>
  </si>
  <si>
    <t>TKT-2024-10373</t>
  </si>
  <si>
    <t>2024-09-17 14:52:35</t>
  </si>
  <si>
    <t>2024-09-20 02:04:35</t>
  </si>
  <si>
    <t>TKT-2024-10374</t>
  </si>
  <si>
    <t>2024-05-28 10:49:07</t>
  </si>
  <si>
    <t>2024-06-04 14:25:07</t>
  </si>
  <si>
    <t>TKT-2024-10375</t>
  </si>
  <si>
    <t>2024-09-27 16:48:17</t>
  </si>
  <si>
    <t>2024-09-29 10:06:17</t>
  </si>
  <si>
    <t>TKT-2024-10376</t>
  </si>
  <si>
    <t>2024-02-15 22:21:30</t>
  </si>
  <si>
    <t>2024-03-23 14:51:30</t>
  </si>
  <si>
    <t>TKT-2024-10377</t>
  </si>
  <si>
    <t>2024-02-17 03:20:37</t>
  </si>
  <si>
    <t>2024-02-21 17:20:37</t>
  </si>
  <si>
    <t>TKT-2024-10378</t>
  </si>
  <si>
    <t>2024-05-17 23:41:06</t>
  </si>
  <si>
    <t>2024-06-05 06:41:06</t>
  </si>
  <si>
    <t>TKT-2024-10379</t>
  </si>
  <si>
    <t>2024-12-11 03:19:28</t>
  </si>
  <si>
    <t>2024-12-23 23:37:28</t>
  </si>
  <si>
    <t>TKT-2024-10380</t>
  </si>
  <si>
    <t>2024-01-03 15:03:40</t>
  </si>
  <si>
    <t>2024-01-07 06:45:40</t>
  </si>
  <si>
    <t>TKT-2024-10381</t>
  </si>
  <si>
    <t>2024-05-01 16:53:16</t>
  </si>
  <si>
    <t>2024-05-08 14:05:16</t>
  </si>
  <si>
    <t>TKT-2024-10382</t>
  </si>
  <si>
    <t>2024-12-28 17:01:39</t>
  </si>
  <si>
    <t>2025-01-11 07:07:39</t>
  </si>
  <si>
    <t>TKT-2024-10383</t>
  </si>
  <si>
    <t>2024-02-06 12:19:48</t>
  </si>
  <si>
    <t>2024-02-24 22:19:48</t>
  </si>
  <si>
    <t>TKT-2024-10384</t>
  </si>
  <si>
    <t>2024-10-27 03:35:58</t>
  </si>
  <si>
    <t>2024-11-02 23:23:58</t>
  </si>
  <si>
    <t>TKT-2024-10385</t>
  </si>
  <si>
    <t>2024-12-27 13:19:35</t>
  </si>
  <si>
    <t>2024-12-31 01:25:35</t>
  </si>
  <si>
    <t>TKT-2024-10386</t>
  </si>
  <si>
    <t>2024-10-06 17:15:37</t>
  </si>
  <si>
    <t>2024-10-13 06:15:37</t>
  </si>
  <si>
    <t>TKT-2024-10387</t>
  </si>
  <si>
    <t>2024-04-11 06:10:29</t>
  </si>
  <si>
    <t>2024-04-14 18:22:29</t>
  </si>
  <si>
    <t>TKT-2024-10388</t>
  </si>
  <si>
    <t>2024-08-17 04:00:00</t>
  </si>
  <si>
    <t>2024-08-27 01:30:00</t>
  </si>
  <si>
    <t>TKT-2024-10389</t>
  </si>
  <si>
    <t>2024-04-05 08:24:19</t>
  </si>
  <si>
    <t>2024-04-21 12:30:19</t>
  </si>
  <si>
    <t>TKT-2024-10390</t>
  </si>
  <si>
    <t>2024-04-02 08:58:02</t>
  </si>
  <si>
    <t>2024-05-09 13:46:02</t>
  </si>
  <si>
    <t>TKT-2024-10391</t>
  </si>
  <si>
    <t>2024-06-24 00:12:28</t>
  </si>
  <si>
    <t>2024-07-06 04:48:28</t>
  </si>
  <si>
    <t>TKT-2024-10392</t>
  </si>
  <si>
    <t>2024-09-19 20:50:23</t>
  </si>
  <si>
    <t>2024-09-25 18:26:23</t>
  </si>
  <si>
    <t>TKT-2024-10393</t>
  </si>
  <si>
    <t>2024-09-21 07:23:57</t>
  </si>
  <si>
    <t>2024-10-05 17:47:57</t>
  </si>
  <si>
    <t>TKT-2024-10394</t>
  </si>
  <si>
    <t>2024-02-19 15:14:14</t>
  </si>
  <si>
    <t>2024-02-23 04:14:14</t>
  </si>
  <si>
    <t>TKT-2024-10395</t>
  </si>
  <si>
    <t>2024-12-11 18:50:54</t>
  </si>
  <si>
    <t>2024-12-23 10:56:54</t>
  </si>
  <si>
    <t>TKT-2024-10396</t>
  </si>
  <si>
    <t>2024-09-06 13:38:50</t>
  </si>
  <si>
    <t>2024-09-13 14:56:50</t>
  </si>
  <si>
    <t>TKT-2024-10397</t>
  </si>
  <si>
    <t>2024-10-24 19:31:56</t>
  </si>
  <si>
    <t>2024-10-30 14:07:56</t>
  </si>
  <si>
    <t>TKT-2024-10398</t>
  </si>
  <si>
    <t>2024-10-15 10:03:47</t>
  </si>
  <si>
    <t>2024-10-29 05:39:47</t>
  </si>
  <si>
    <t>TKT-2024-10399</t>
  </si>
  <si>
    <t>2024-03-01 14:08:54</t>
  </si>
  <si>
    <t>2024-03-21 05:44:54</t>
  </si>
  <si>
    <t>TKT-2024-10400</t>
  </si>
  <si>
    <t>2024-04-19 21:23:28</t>
  </si>
  <si>
    <t>2024-05-05 21:17:28</t>
  </si>
  <si>
    <t>TKT-2024-10401</t>
  </si>
  <si>
    <t>2024-04-10 03:49:11</t>
  </si>
  <si>
    <t>2024-04-14 21:07:11</t>
  </si>
  <si>
    <t>TKT-2024-10402</t>
  </si>
  <si>
    <t>2024-08-10 19:03:03</t>
  </si>
  <si>
    <t>2024-08-19 01:51:03</t>
  </si>
  <si>
    <t>TKT-2024-10403</t>
  </si>
  <si>
    <t>2024-01-21 16:41:50</t>
  </si>
  <si>
    <t>2024-01-25 13:17:50</t>
  </si>
  <si>
    <t>TKT-2024-10404</t>
  </si>
  <si>
    <t>2024-05-01 14:06:53</t>
  </si>
  <si>
    <t>2024-05-14 10:30:53</t>
  </si>
  <si>
    <t>TKT-2024-10405</t>
  </si>
  <si>
    <t>2024-12-29 20:00:56</t>
  </si>
  <si>
    <t>2025-01-20 22:42:56</t>
  </si>
  <si>
    <t>TKT-2024-10406</t>
  </si>
  <si>
    <t>2024-03-09 16:05:29</t>
  </si>
  <si>
    <t>2024-03-12 16:23:29</t>
  </si>
  <si>
    <t>TKT-2024-10407</t>
  </si>
  <si>
    <t>2024-04-02 08:08:35</t>
  </si>
  <si>
    <t>2024-04-05 10:20:35</t>
  </si>
  <si>
    <t>TKT-2024-10408</t>
  </si>
  <si>
    <t>2024-08-01 07:45:01</t>
  </si>
  <si>
    <t>2024-08-14 01:09:01</t>
  </si>
  <si>
    <t>TKT-2024-10409</t>
  </si>
  <si>
    <t>2024-04-11 09:05:21</t>
  </si>
  <si>
    <t>2024-04-14 01:17:21</t>
  </si>
  <si>
    <t>TKT-2024-10410</t>
  </si>
  <si>
    <t>2024-08-07 17:39:23</t>
  </si>
  <si>
    <t>2024-08-16 18:03:23</t>
  </si>
  <si>
    <t>TKT-2024-10411</t>
  </si>
  <si>
    <t>2024-09-13 02:53:49</t>
  </si>
  <si>
    <t>2024-09-22 02:05:49</t>
  </si>
  <si>
    <t>TKT-2024-10412</t>
  </si>
  <si>
    <t>2024-07-13 11:25:21</t>
  </si>
  <si>
    <t>2024-07-21 06:25:21</t>
  </si>
  <si>
    <t>TKT-2024-10413</t>
  </si>
  <si>
    <t>2024-05-06 20:37:48</t>
  </si>
  <si>
    <t>2024-06-09 19:13:48</t>
  </si>
  <si>
    <t>TKT-2024-10414</t>
  </si>
  <si>
    <t>2024-04-04 21:39:04</t>
  </si>
  <si>
    <t>2024-04-11 07:21:04</t>
  </si>
  <si>
    <t>TKT-2024-10415</t>
  </si>
  <si>
    <t>2024-07-26 12:15:27</t>
  </si>
  <si>
    <t>2024-08-04 21:57:27</t>
  </si>
  <si>
    <t>TKT-2024-10416</t>
  </si>
  <si>
    <t>2024-04-15 12:14:14</t>
  </si>
  <si>
    <t>2024-04-24 23:02:14</t>
  </si>
  <si>
    <t>TKT-2024-10417</t>
  </si>
  <si>
    <t>2024-05-03 17:09:05</t>
  </si>
  <si>
    <t>2024-05-11 17:57:05</t>
  </si>
  <si>
    <t>TKT-2024-10418</t>
  </si>
  <si>
    <t>2024-10-23 10:56:06</t>
  </si>
  <si>
    <t>2024-10-27 20:50:06</t>
  </si>
  <si>
    <t>TKT-2024-10419</t>
  </si>
  <si>
    <t>2024-05-11 18:24:05</t>
  </si>
  <si>
    <t>2024-06-02 08:54:05</t>
  </si>
  <si>
    <t>TKT-2024-10420</t>
  </si>
  <si>
    <t>2024-12-22 19:04:01</t>
  </si>
  <si>
    <t>2025-01-01 03:04:01</t>
  </si>
  <si>
    <t>TKT-2024-10421</t>
  </si>
  <si>
    <t>2024-05-17 23:44:42</t>
  </si>
  <si>
    <t>2024-05-21 23:26:42</t>
  </si>
  <si>
    <t>TKT-2024-10422</t>
  </si>
  <si>
    <t>2024-10-19 23:28:56</t>
  </si>
  <si>
    <t>2024-10-28 00:46:56</t>
  </si>
  <si>
    <t>TKT-2024-10423</t>
  </si>
  <si>
    <t>2024-09-14 19:28:14</t>
  </si>
  <si>
    <t>2024-09-18 03:22:14</t>
  </si>
  <si>
    <t>TKT-2024-10424</t>
  </si>
  <si>
    <t>2024-06-15 02:19:27</t>
  </si>
  <si>
    <t>2024-06-20 06:01:27</t>
  </si>
  <si>
    <t>TKT-2024-10425</t>
  </si>
  <si>
    <t>2024-11-10 18:58:21</t>
  </si>
  <si>
    <t>2024-11-19 10:58:21</t>
  </si>
  <si>
    <t>TKT-2024-10426</t>
  </si>
  <si>
    <t>2024-10-12 04:54:13</t>
  </si>
  <si>
    <t>2024-10-13 21:48:13</t>
  </si>
  <si>
    <t>TKT-2024-10427</t>
  </si>
  <si>
    <t>2024-07-06 14:58:00</t>
  </si>
  <si>
    <t>2024-07-13 16:40:00</t>
  </si>
  <si>
    <t>TKT-2024-10428</t>
  </si>
  <si>
    <t>2024-11-25 21:45:17</t>
  </si>
  <si>
    <t>2024-12-03 14:39:17</t>
  </si>
  <si>
    <t>TKT-2024-10429</t>
  </si>
  <si>
    <t>2024-10-09 00:48:59</t>
  </si>
  <si>
    <t>2024-10-22 00:24:59</t>
  </si>
  <si>
    <t>TKT-2024-10430</t>
  </si>
  <si>
    <t>2024-09-05 18:25:59</t>
  </si>
  <si>
    <t>2024-09-11 20:25:59</t>
  </si>
  <si>
    <t>TKT-2024-10431</t>
  </si>
  <si>
    <t>2024-12-16 05:44:53</t>
  </si>
  <si>
    <t>2024-12-27 06:26:53</t>
  </si>
  <si>
    <t>TKT-2024-10432</t>
  </si>
  <si>
    <t>2024-05-04 00:14:42</t>
  </si>
  <si>
    <t>2024-05-18 15:44:42</t>
  </si>
  <si>
    <t>TKT-2024-10433</t>
  </si>
  <si>
    <t>2024-10-06 05:30:16</t>
  </si>
  <si>
    <t>2024-10-12 19:42:16</t>
  </si>
  <si>
    <t>TKT-2024-10434</t>
  </si>
  <si>
    <t>2024-12-02 11:22:10</t>
  </si>
  <si>
    <t>2024-12-14 23:04:10</t>
  </si>
  <si>
    <t>TKT-2024-10435</t>
  </si>
  <si>
    <t>2024-09-13 19:08:43</t>
  </si>
  <si>
    <t>2024-09-18 12:20:43</t>
  </si>
  <si>
    <t>TKT-2024-10436</t>
  </si>
  <si>
    <t>2024-12-11 23:01:36</t>
  </si>
  <si>
    <t>2024-12-18 08:31:36</t>
  </si>
  <si>
    <t>TKT-2024-10437</t>
  </si>
  <si>
    <t>2024-03-06 17:42:50</t>
  </si>
  <si>
    <t>2024-03-13 11:36:50</t>
  </si>
  <si>
    <t>TKT-2024-10438</t>
  </si>
  <si>
    <t>2024-01-22 23:06:25</t>
  </si>
  <si>
    <t>2024-01-30 08:24:25</t>
  </si>
  <si>
    <t>TKT-2024-10439</t>
  </si>
  <si>
    <t>2024-03-26 13:21:01</t>
  </si>
  <si>
    <t>2024-03-28 07:33:01</t>
  </si>
  <si>
    <t>TKT-2024-10440</t>
  </si>
  <si>
    <t>2024-01-16 00:34:45</t>
  </si>
  <si>
    <t>2024-01-20 17:22:45</t>
  </si>
  <si>
    <t>TKT-2024-10441</t>
  </si>
  <si>
    <t>2024-04-30 00:30:54</t>
  </si>
  <si>
    <t>2024-05-07 00:00:54</t>
  </si>
  <si>
    <t>TKT-2024-10442</t>
  </si>
  <si>
    <t>2024-12-04 13:49:02</t>
  </si>
  <si>
    <t>2024-12-16 02:43:02</t>
  </si>
  <si>
    <t>TKT-2024-10443</t>
  </si>
  <si>
    <t>2024-11-16 08:07:53</t>
  </si>
  <si>
    <t>2024-11-27 06:07:53</t>
  </si>
  <si>
    <t>TKT-2024-10444</t>
  </si>
  <si>
    <t>2024-03-04 07:18:51</t>
  </si>
  <si>
    <t>2024-04-05 06:42:51</t>
  </si>
  <si>
    <t>TKT-2024-10445</t>
  </si>
  <si>
    <t>2024-02-16 05:46:44</t>
  </si>
  <si>
    <t>2024-03-29 15:40:44</t>
  </si>
  <si>
    <t>TKT-2024-10446</t>
  </si>
  <si>
    <t>2024-01-15 22:34:57</t>
  </si>
  <si>
    <t>2024-01-29 21:46:57</t>
  </si>
  <si>
    <t>TKT-2024-10447</t>
  </si>
  <si>
    <t>2024-09-02 12:49:18</t>
  </si>
  <si>
    <t>2024-09-12 18:25:18</t>
  </si>
  <si>
    <t>TKT-2024-10448</t>
  </si>
  <si>
    <t>2024-04-14 12:41:52</t>
  </si>
  <si>
    <t>2024-04-24 02:59:52</t>
  </si>
  <si>
    <t>TKT-2024-10449</t>
  </si>
  <si>
    <t>2024-01-15 00:56:15</t>
  </si>
  <si>
    <t>2024-01-27 12:56:15</t>
  </si>
  <si>
    <t>TKT-2024-10450</t>
  </si>
  <si>
    <t>2024-10-04 00:26:26</t>
  </si>
  <si>
    <t>2024-10-07 19:38:26</t>
  </si>
  <si>
    <t>TKT-2024-10451</t>
  </si>
  <si>
    <t>2024-07-16 01:30:39</t>
  </si>
  <si>
    <t>2024-07-31 11:06:39</t>
  </si>
  <si>
    <t>TKT-2024-10452</t>
  </si>
  <si>
    <t>2024-02-01 20:33:46</t>
  </si>
  <si>
    <t>2024-02-11 23:09:46</t>
  </si>
  <si>
    <t>TKT-2024-10453</t>
  </si>
  <si>
    <t>2024-02-08 02:24:00</t>
  </si>
  <si>
    <t>2024-02-18 21:24:00</t>
  </si>
  <si>
    <t>TKT-2024-10454</t>
  </si>
  <si>
    <t>2024-04-12 10:00:20</t>
  </si>
  <si>
    <t>2024-04-20 18:06:20</t>
  </si>
  <si>
    <t>TKT-2024-10455</t>
  </si>
  <si>
    <t>2024-09-23 18:22:04</t>
  </si>
  <si>
    <t>2024-09-30 07:28:04</t>
  </si>
  <si>
    <t>TKT-2024-10456</t>
  </si>
  <si>
    <t>2024-11-02 13:24:27</t>
  </si>
  <si>
    <t>2024-11-10 13:54:27</t>
  </si>
  <si>
    <t>TKT-2024-10457</t>
  </si>
  <si>
    <t>2024-08-05 20:27:20</t>
  </si>
  <si>
    <t>2024-08-12 10:39:20</t>
  </si>
  <si>
    <t>TKT-2024-10458</t>
  </si>
  <si>
    <t>2024-03-28 15:07:03</t>
  </si>
  <si>
    <t>2024-04-11 20:49:03</t>
  </si>
  <si>
    <t>TKT-2024-10459</t>
  </si>
  <si>
    <t>2024-07-06 16:43:52</t>
  </si>
  <si>
    <t>2024-07-11 20:43:52</t>
  </si>
  <si>
    <t>TKT-2024-10460</t>
  </si>
  <si>
    <t>2024-05-08 07:21:49</t>
  </si>
  <si>
    <t>2024-05-21 13:33:49</t>
  </si>
  <si>
    <t>TKT-2024-10461</t>
  </si>
  <si>
    <t>2024-03-29 13:40:06</t>
  </si>
  <si>
    <t>2024-04-06 18:10:06</t>
  </si>
  <si>
    <t>TKT-2024-10462</t>
  </si>
  <si>
    <t>2024-09-13 17:28:03</t>
  </si>
  <si>
    <t>2024-09-26 04:58:03</t>
  </si>
  <si>
    <t>TKT-2024-10463</t>
  </si>
  <si>
    <t>2024-03-09 23:54:45</t>
  </si>
  <si>
    <t>2024-03-18 02:42:45</t>
  </si>
  <si>
    <t>TKT-2024-10464</t>
  </si>
  <si>
    <t>2024-10-29 05:46:14</t>
  </si>
  <si>
    <t>2024-11-09 00:10:14</t>
  </si>
  <si>
    <t>TKT-2024-10465</t>
  </si>
  <si>
    <t>2024-12-20 21:16:57</t>
  </si>
  <si>
    <t>2024-12-27 05:58:57</t>
  </si>
  <si>
    <t>TKT-2024-10466</t>
  </si>
  <si>
    <t>2024-06-28 10:15:59</t>
  </si>
  <si>
    <t>2024-07-08 19:45:59</t>
  </si>
  <si>
    <t>TKT-2024-10467</t>
  </si>
  <si>
    <t>2024-07-03 19:50:16</t>
  </si>
  <si>
    <t>2024-07-15 23:02:16</t>
  </si>
  <si>
    <t>TKT-2024-10468</t>
  </si>
  <si>
    <t>2024-07-04 17:44:05</t>
  </si>
  <si>
    <t>2024-07-17 07:14:05</t>
  </si>
  <si>
    <t>TKT-2024-10469</t>
  </si>
  <si>
    <t>2024-10-26 05:20:11</t>
  </si>
  <si>
    <t>2024-10-30 21:02:11</t>
  </si>
  <si>
    <t>TKT-2024-10470</t>
  </si>
  <si>
    <t>2024-06-19 12:27:37</t>
  </si>
  <si>
    <t>2024-06-22 01:45:37</t>
  </si>
  <si>
    <t>TKT-2024-10471</t>
  </si>
  <si>
    <t>2024-04-30 05:10:19</t>
  </si>
  <si>
    <t>2024-05-09 13:34:19</t>
  </si>
  <si>
    <t>TKT-2024-10472</t>
  </si>
  <si>
    <t>2024-11-24 11:59:59</t>
  </si>
  <si>
    <t>2024-12-01 21:29:59</t>
  </si>
  <si>
    <t>TKT-2024-10473</t>
  </si>
  <si>
    <t>2024-05-12 08:53:49</t>
  </si>
  <si>
    <t>2024-05-22 18:53:49</t>
  </si>
  <si>
    <t>TKT-2024-10474</t>
  </si>
  <si>
    <t>2024-01-09 06:07:53</t>
  </si>
  <si>
    <t>2024-01-18 16:55:53</t>
  </si>
  <si>
    <t>TKT-2024-10475</t>
  </si>
  <si>
    <t>2024-03-19 01:03:26</t>
  </si>
  <si>
    <t>2024-03-24 10:51:26</t>
  </si>
  <si>
    <t>TKT-2024-10476</t>
  </si>
  <si>
    <t>2024-09-29 17:37:27</t>
  </si>
  <si>
    <t>2024-10-02 06:01:27</t>
  </si>
  <si>
    <t>TKT-2024-10477</t>
  </si>
  <si>
    <t>2024-01-16 12:40:00</t>
  </si>
  <si>
    <t>2024-01-21 20:10:00</t>
  </si>
  <si>
    <t>TKT-2024-10478</t>
  </si>
  <si>
    <t>2024-07-14 19:52:19</t>
  </si>
  <si>
    <t>2024-07-21 00:46:19</t>
  </si>
  <si>
    <t>TKT-2024-10479</t>
  </si>
  <si>
    <t>2024-03-12 08:10:52</t>
  </si>
  <si>
    <t>2024-03-20 22:52:52</t>
  </si>
  <si>
    <t>TKT-2024-10480</t>
  </si>
  <si>
    <t>2024-03-23 03:58:16</t>
  </si>
  <si>
    <t>2024-04-03 18:46:16</t>
  </si>
  <si>
    <t>TKT-2024-10481</t>
  </si>
  <si>
    <t>2024-06-28 21:01:52</t>
  </si>
  <si>
    <t>2024-07-07 06:19:52</t>
  </si>
  <si>
    <t>TKT-2024-10482</t>
  </si>
  <si>
    <t>2024-06-26 10:35:21</t>
  </si>
  <si>
    <t>2024-07-17 05:05:21</t>
  </si>
  <si>
    <t>TKT-2024-10483</t>
  </si>
  <si>
    <t>2024-09-23 08:29:53</t>
  </si>
  <si>
    <t>2024-10-13 10:47:53</t>
  </si>
  <si>
    <t>TKT-2024-10484</t>
  </si>
  <si>
    <t>2024-11-13 01:17:30</t>
  </si>
  <si>
    <t>2024-11-20 08:41:30</t>
  </si>
  <si>
    <t>TKT-2024-10485</t>
  </si>
  <si>
    <t>2024-02-13 03:18:52</t>
  </si>
  <si>
    <t>2024-02-21 04:06:52</t>
  </si>
  <si>
    <t>TKT-2024-10486</t>
  </si>
  <si>
    <t>2024-12-11 17:44:33</t>
  </si>
  <si>
    <t>2024-12-18 14:44:33</t>
  </si>
  <si>
    <t>TKT-2024-10487</t>
  </si>
  <si>
    <t>2024-09-13 09:01:05</t>
  </si>
  <si>
    <t>2024-09-19 18:49:05</t>
  </si>
  <si>
    <t>TKT-2024-10488</t>
  </si>
  <si>
    <t>2024-06-16 17:32:01</t>
  </si>
  <si>
    <t>2024-07-18 23:56:01</t>
  </si>
  <si>
    <t>TKT-2024-10489</t>
  </si>
  <si>
    <t>2024-03-13 16:07:21</t>
  </si>
  <si>
    <t>2024-03-26 22:31:21</t>
  </si>
  <si>
    <t>TKT-2024-10490</t>
  </si>
  <si>
    <t>2024-04-26 23:19:32</t>
  </si>
  <si>
    <t>2024-04-30 04:07:32</t>
  </si>
  <si>
    <t>TKT-2024-10491</t>
  </si>
  <si>
    <t>2024-09-08 22:59:41</t>
  </si>
  <si>
    <t>2024-09-23 03:29:41</t>
  </si>
  <si>
    <t>TKT-2024-10492</t>
  </si>
  <si>
    <t>2024-08-23 01:58:58</t>
  </si>
  <si>
    <t>2024-08-27 23:22:58</t>
  </si>
  <si>
    <t>TKT-2024-10493</t>
  </si>
  <si>
    <t>2024-04-01 13:08:38</t>
  </si>
  <si>
    <t>2024-04-08 00:26:38</t>
  </si>
  <si>
    <t>TKT-2024-10494</t>
  </si>
  <si>
    <t>2024-09-15 05:45:43</t>
  </si>
  <si>
    <t>2024-09-19 07:45:43</t>
  </si>
  <si>
    <t>TKT-2024-10495</t>
  </si>
  <si>
    <t>2024-11-25 23:44:24</t>
  </si>
  <si>
    <t>2024-11-29 14:50:24</t>
  </si>
  <si>
    <t>TKT-2024-10496</t>
  </si>
  <si>
    <t>2024-02-27 07:34:51</t>
  </si>
  <si>
    <t>2024-03-05 08:04:51</t>
  </si>
  <si>
    <t>TKT-2024-10497</t>
  </si>
  <si>
    <t>2024-09-17 16:29:32</t>
  </si>
  <si>
    <t>2024-09-30 22:29:32</t>
  </si>
  <si>
    <t>TKT-2024-10498</t>
  </si>
  <si>
    <t>2024-01-04 04:53:00</t>
  </si>
  <si>
    <t>2024-01-08 19:29:00</t>
  </si>
  <si>
    <t>TKT-2024-10499</t>
  </si>
  <si>
    <t>2024-11-18 12:36:34</t>
  </si>
  <si>
    <t>2024-11-26 22:06:34</t>
  </si>
  <si>
    <t>TKT-2024-10500</t>
  </si>
  <si>
    <t>2024-08-26 09:19:14</t>
  </si>
  <si>
    <t>2024-09-06 20:25:14</t>
  </si>
  <si>
    <t>TKT-2024-10501</t>
  </si>
  <si>
    <t>2024-12-27 01:04:04</t>
  </si>
  <si>
    <t>2025-01-05 00:04:04</t>
  </si>
  <si>
    <t>TKT-2024-10502</t>
  </si>
  <si>
    <t>2024-09-17 02:42:46</t>
  </si>
  <si>
    <t>2024-09-27 11:12:46</t>
  </si>
  <si>
    <t>TKT-2024-10503</t>
  </si>
  <si>
    <t>2024-01-30 20:39:29</t>
  </si>
  <si>
    <t>2024-02-07 21:33:29</t>
  </si>
  <si>
    <t>TKT-2024-10504</t>
  </si>
  <si>
    <t>2024-04-09 00:35:52</t>
  </si>
  <si>
    <t>2024-04-15 10:05:52</t>
  </si>
  <si>
    <t>TKT-2024-10505</t>
  </si>
  <si>
    <t>2024-01-16 15:22:02</t>
  </si>
  <si>
    <t>2024-01-29 17:52:02</t>
  </si>
  <si>
    <t>TKT-2024-10506</t>
  </si>
  <si>
    <t>2024-11-17 04:43:13</t>
  </si>
  <si>
    <t>2024-11-26 11:07:13</t>
  </si>
  <si>
    <t>TKT-2024-10507</t>
  </si>
  <si>
    <t>2024-11-28 15:15:39</t>
  </si>
  <si>
    <t>2024-12-08 01:51:39</t>
  </si>
  <si>
    <t>TKT-2024-10508</t>
  </si>
  <si>
    <t>2024-05-20 02:47:06</t>
  </si>
  <si>
    <t>2024-06-03 00:53:06</t>
  </si>
  <si>
    <t>TKT-2024-10509</t>
  </si>
  <si>
    <t>2024-01-14 01:59:52</t>
  </si>
  <si>
    <t>2024-01-25 23:29:52</t>
  </si>
  <si>
    <t>TKT-2024-10510</t>
  </si>
  <si>
    <t>2024-11-09 10:24:56</t>
  </si>
  <si>
    <t>2024-11-19 21:12:56</t>
  </si>
  <si>
    <t>TKT-2024-10511</t>
  </si>
  <si>
    <t>2024-05-10 07:38:56</t>
  </si>
  <si>
    <t>2024-05-20 03:26:56</t>
  </si>
  <si>
    <t>TKT-2024-10512</t>
  </si>
  <si>
    <t>2024-04-22 06:10:54</t>
  </si>
  <si>
    <t>2024-05-08 06:58:54</t>
  </si>
  <si>
    <t>TKT-2024-10513</t>
  </si>
  <si>
    <t>2024-02-26 17:41:18</t>
  </si>
  <si>
    <t>2024-03-10 14:35:18</t>
  </si>
  <si>
    <t>TKT-2024-10514</t>
  </si>
  <si>
    <t>2024-04-16 19:26:03</t>
  </si>
  <si>
    <t>2024-04-23 09:02:03</t>
  </si>
  <si>
    <t>TKT-2024-10515</t>
  </si>
  <si>
    <t>2024-05-14 02:46:11</t>
  </si>
  <si>
    <t>2024-06-12 05:40:11</t>
  </si>
  <si>
    <t>TKT-2024-10516</t>
  </si>
  <si>
    <t>2024-11-05 21:21:20</t>
  </si>
  <si>
    <t>2024-11-07 16:51:20</t>
  </si>
  <si>
    <t>TKT-2024-10517</t>
  </si>
  <si>
    <t>2024-04-07 07:12:57</t>
  </si>
  <si>
    <t>2024-04-15 10:00:57</t>
  </si>
  <si>
    <t>TKT-2024-10518</t>
  </si>
  <si>
    <t>2024-06-01 18:43:58</t>
  </si>
  <si>
    <t>2024-06-20 12:49:58</t>
  </si>
  <si>
    <t>TKT-2024-10519</t>
  </si>
  <si>
    <t>2024-03-07 19:54:56</t>
  </si>
  <si>
    <t>2024-03-10 21:18:56</t>
  </si>
  <si>
    <t>TKT-2024-10520</t>
  </si>
  <si>
    <t>2024-07-07 16:25:16</t>
  </si>
  <si>
    <t>2024-07-17 02:19:16</t>
  </si>
  <si>
    <t>TKT-2024-10521</t>
  </si>
  <si>
    <t>2024-05-16 02:21:52</t>
  </si>
  <si>
    <t>2024-05-23 15:33:52</t>
  </si>
  <si>
    <t>TKT-2024-10522</t>
  </si>
  <si>
    <t>2024-02-16 01:51:18</t>
  </si>
  <si>
    <t>2024-03-16 11:03:18</t>
  </si>
  <si>
    <t>TKT-2024-10523</t>
  </si>
  <si>
    <t>2024-09-03 22:27:30</t>
  </si>
  <si>
    <t>2024-09-13 05:57:30</t>
  </si>
  <si>
    <t>TKT-2024-10524</t>
  </si>
  <si>
    <t>2024-06-05 04:09:31</t>
  </si>
  <si>
    <t>2024-06-13 02:27:31</t>
  </si>
  <si>
    <t>TKT-2024-10525</t>
  </si>
  <si>
    <t>2024-08-02 16:14:04</t>
  </si>
  <si>
    <t>2024-08-09 23:08:04</t>
  </si>
  <si>
    <t>TKT-2024-10526</t>
  </si>
  <si>
    <t>2024-10-01 11:02:58</t>
  </si>
  <si>
    <t>2024-10-11 02:44:58</t>
  </si>
  <si>
    <t>TKT-2024-10527</t>
  </si>
  <si>
    <t>2024-12-22 19:12:21</t>
  </si>
  <si>
    <t>2024-12-24 03:00:21</t>
  </si>
  <si>
    <t>TKT-2024-10528</t>
  </si>
  <si>
    <t>2024-12-19 15:09:57</t>
  </si>
  <si>
    <t>2025-01-03 03:03:57</t>
  </si>
  <si>
    <t>TKT-2024-10529</t>
  </si>
  <si>
    <t>2024-04-27 08:01:37</t>
  </si>
  <si>
    <t>2024-04-30 09:13:37</t>
  </si>
  <si>
    <t>TKT-2024-10530</t>
  </si>
  <si>
    <t>2024-06-23 09:02:40</t>
  </si>
  <si>
    <t>2024-07-18 05:32:40</t>
  </si>
  <si>
    <t>TKT-2024-10531</t>
  </si>
  <si>
    <t>2024-07-18 13:05:25</t>
  </si>
  <si>
    <t>2024-07-28 13:05:25</t>
  </si>
  <si>
    <t>TKT-2024-10532</t>
  </si>
  <si>
    <t>2024-07-08 18:58:35</t>
  </si>
  <si>
    <t>2024-07-17 10:22:35</t>
  </si>
  <si>
    <t>TKT-2024-10533</t>
  </si>
  <si>
    <t>2024-03-08 10:12:32</t>
  </si>
  <si>
    <t>2024-03-21 14:36:32</t>
  </si>
  <si>
    <t>TKT-2024-10534</t>
  </si>
  <si>
    <t>2024-06-11 18:44:06</t>
  </si>
  <si>
    <t>2024-06-19 21:38:06</t>
  </si>
  <si>
    <t>TKT-2024-10535</t>
  </si>
  <si>
    <t>2024-09-04 10:03:26</t>
  </si>
  <si>
    <t>2024-09-07 02:09:26</t>
  </si>
  <si>
    <t>TKT-2024-10536</t>
  </si>
  <si>
    <t>2024-05-20 15:33:19</t>
  </si>
  <si>
    <t>2024-05-29 02:03:19</t>
  </si>
  <si>
    <t>TKT-2024-10537</t>
  </si>
  <si>
    <t>2024-01-11 05:54:51</t>
  </si>
  <si>
    <t>2024-01-24 02:42:51</t>
  </si>
  <si>
    <t>TKT-2024-10538</t>
  </si>
  <si>
    <t>2024-10-15 02:02:37</t>
  </si>
  <si>
    <t>2024-10-22 13:38:37</t>
  </si>
  <si>
    <t>TKT-2024-10539</t>
  </si>
  <si>
    <t>2024-02-15 12:26:55</t>
  </si>
  <si>
    <t>2024-03-04 00:50:55</t>
  </si>
  <si>
    <t>TKT-2024-10540</t>
  </si>
  <si>
    <t>2024-08-31 02:17:36</t>
  </si>
  <si>
    <t>2024-09-10 15:29:36</t>
  </si>
  <si>
    <t>TKT-2024-10541</t>
  </si>
  <si>
    <t>2024-07-26 02:47:36</t>
  </si>
  <si>
    <t>2024-08-03 14:59:36</t>
  </si>
  <si>
    <t>TKT-2024-10542</t>
  </si>
  <si>
    <t>2024-03-12 17:10:45</t>
  </si>
  <si>
    <t>2024-04-07 03:22:45</t>
  </si>
  <si>
    <t>TKT-2024-10543</t>
  </si>
  <si>
    <t>2024-09-16 02:45:26</t>
  </si>
  <si>
    <t>2024-09-21 03:09:26</t>
  </si>
  <si>
    <t>TKT-2024-10544</t>
  </si>
  <si>
    <t>2024-03-05 13:21:49</t>
  </si>
  <si>
    <t>2024-03-09 02:21:49</t>
  </si>
  <si>
    <t>TKT-2024-10545</t>
  </si>
  <si>
    <t>2024-02-16 14:09:12</t>
  </si>
  <si>
    <t>2024-02-19 18:51:12</t>
  </si>
  <si>
    <t>TKT-2024-10546</t>
  </si>
  <si>
    <t>2024-09-08 18:22:51</t>
  </si>
  <si>
    <t>2024-09-29 00:16:51</t>
  </si>
  <si>
    <t>TKT-2024-10547</t>
  </si>
  <si>
    <t>2024-10-12 00:17:38</t>
  </si>
  <si>
    <t>2024-10-23 02:05:38</t>
  </si>
  <si>
    <t>TKT-2024-10548</t>
  </si>
  <si>
    <t>2024-12-30 04:26:31</t>
  </si>
  <si>
    <t>2025-01-02 22:56:31</t>
  </si>
  <si>
    <t>TKT-2024-10549</t>
  </si>
  <si>
    <t>2024-02-15 06:24:22</t>
  </si>
  <si>
    <t>2024-02-16 14:24:22</t>
  </si>
  <si>
    <t>TKT-2024-10550</t>
  </si>
  <si>
    <t>2024-04-20 17:39:07</t>
  </si>
  <si>
    <t>2024-04-29 23:15:07</t>
  </si>
  <si>
    <t>TKT-2024-10551</t>
  </si>
  <si>
    <t>2024-12-26 02:20:17</t>
  </si>
  <si>
    <t>2024-12-27 09:50:17</t>
  </si>
  <si>
    <t>TKT-2024-10552</t>
  </si>
  <si>
    <t>2024-04-26 14:00:40</t>
  </si>
  <si>
    <t>2024-05-16 06:18:40</t>
  </si>
  <si>
    <t>TKT-2024-10553</t>
  </si>
  <si>
    <t>2024-12-06 01:49:43</t>
  </si>
  <si>
    <t>2024-12-16 04:13:43</t>
  </si>
  <si>
    <t>TKT-2024-10554</t>
  </si>
  <si>
    <t>2024-11-07 12:46:47</t>
  </si>
  <si>
    <t>2024-11-26 15:40:47</t>
  </si>
  <si>
    <t>TKT-2024-10555</t>
  </si>
  <si>
    <t>2024-12-15 23:24:54</t>
  </si>
  <si>
    <t>2024-12-19 07:12:54</t>
  </si>
  <si>
    <t>TKT-2024-10556</t>
  </si>
  <si>
    <t>2024-12-19 21:13:18</t>
  </si>
  <si>
    <t>2024-12-29 17:13:18</t>
  </si>
  <si>
    <t>TKT-2024-10557</t>
  </si>
  <si>
    <t>2024-12-27 13:49:36</t>
  </si>
  <si>
    <t>2025-01-05 15:49:36</t>
  </si>
  <si>
    <t>TKT-2024-10558</t>
  </si>
  <si>
    <t>2024-05-09 06:39:35</t>
  </si>
  <si>
    <t>2024-05-12 22:15:35</t>
  </si>
  <si>
    <t>TKT-2024-10559</t>
  </si>
  <si>
    <t>2024-08-06 03:10:25</t>
  </si>
  <si>
    <t>2024-08-09 06:46:25</t>
  </si>
  <si>
    <t>TKT-2024-10560</t>
  </si>
  <si>
    <t>2024-01-31 19:52:36</t>
  </si>
  <si>
    <t>2024-02-02 17:04:36</t>
  </si>
  <si>
    <t>TKT-2024-10561</t>
  </si>
  <si>
    <t>2024-10-12 17:17:33</t>
  </si>
  <si>
    <t>2024-10-27 08:47:33</t>
  </si>
  <si>
    <t>TKT-2024-10562</t>
  </si>
  <si>
    <t>2024-09-05 21:05:51</t>
  </si>
  <si>
    <t>2024-09-18 11:29:51</t>
  </si>
  <si>
    <t>TKT-2024-10563</t>
  </si>
  <si>
    <t>2024-09-17 00:14:50</t>
  </si>
  <si>
    <t>2024-09-19 20:44:50</t>
  </si>
  <si>
    <t>TKT-2024-10564</t>
  </si>
  <si>
    <t>2024-05-03 12:44:23</t>
  </si>
  <si>
    <t>2024-05-29 12:32:23</t>
  </si>
  <si>
    <t>TKT-2024-10565</t>
  </si>
  <si>
    <t>2024-05-19 12:35:44</t>
  </si>
  <si>
    <t>2024-06-01 04:35:44</t>
  </si>
  <si>
    <t>TKT-2024-10566</t>
  </si>
  <si>
    <t>2024-11-01 05:06:22</t>
  </si>
  <si>
    <t>2024-11-10 16:18:22</t>
  </si>
  <si>
    <t>TKT-2024-10567</t>
  </si>
  <si>
    <t>2024-04-17 02:09:37</t>
  </si>
  <si>
    <t>2024-04-28 02:21:37</t>
  </si>
  <si>
    <t>TKT-2024-10568</t>
  </si>
  <si>
    <t>2024-05-24 15:42:17</t>
  </si>
  <si>
    <t>2024-06-06 10:00:17</t>
  </si>
  <si>
    <t>TKT-2024-10569</t>
  </si>
  <si>
    <t>2024-08-19 03:52:54</t>
  </si>
  <si>
    <t>2024-08-20 21:34:54</t>
  </si>
  <si>
    <t>TKT-2024-10570</t>
  </si>
  <si>
    <t>2024-01-29 11:11:09</t>
  </si>
  <si>
    <t>2024-02-05 10:53:09</t>
  </si>
  <si>
    <t>TKT-2024-10571</t>
  </si>
  <si>
    <t>2024-06-01 12:12:03</t>
  </si>
  <si>
    <t>2024-06-08 15:18:03</t>
  </si>
  <si>
    <t>TKT-2024-10572</t>
  </si>
  <si>
    <t>2024-01-07 13:41:07</t>
  </si>
  <si>
    <t>2024-01-21 00:29:07</t>
  </si>
  <si>
    <t>TKT-2024-10573</t>
  </si>
  <si>
    <t>2024-06-08 13:37:25</t>
  </si>
  <si>
    <t>2024-06-14 23:31:25</t>
  </si>
  <si>
    <t>TKT-2024-10574</t>
  </si>
  <si>
    <t>2024-06-17 18:27:09</t>
  </si>
  <si>
    <t>2024-06-24 01:57:09</t>
  </si>
  <si>
    <t>TKT-2024-10575</t>
  </si>
  <si>
    <t>2024-08-14 23:38:29</t>
  </si>
  <si>
    <t>2024-08-17 00:32:29</t>
  </si>
  <si>
    <t>TKT-2024-10576</t>
  </si>
  <si>
    <t>2024-10-29 16:44:14</t>
  </si>
  <si>
    <t>2024-11-06 22:50:14</t>
  </si>
  <si>
    <t>TKT-2024-10577</t>
  </si>
  <si>
    <t>2024-07-08 21:26:22</t>
  </si>
  <si>
    <t>2024-07-16 05:56:22</t>
  </si>
  <si>
    <t>TKT-2024-10578</t>
  </si>
  <si>
    <t>2024-10-25 19:17:24</t>
  </si>
  <si>
    <t>2024-11-01 17:59:24</t>
  </si>
  <si>
    <t>TKT-2024-10579</t>
  </si>
  <si>
    <t>2024-01-24 10:41:24</t>
  </si>
  <si>
    <t>2024-01-30 21:29:24</t>
  </si>
  <si>
    <t>TKT-2024-10580</t>
  </si>
  <si>
    <t>2024-01-14 07:12:37</t>
  </si>
  <si>
    <t>2024-02-06 13:42:37</t>
  </si>
  <si>
    <t>TKT-2024-10581</t>
  </si>
  <si>
    <t>2024-06-28 21:18:35</t>
  </si>
  <si>
    <t>2024-07-04 08:06:35</t>
  </si>
  <si>
    <t>TKT-2024-10582</t>
  </si>
  <si>
    <t>2024-10-03 20:02:07</t>
  </si>
  <si>
    <t>2024-10-07 13:14:07</t>
  </si>
  <si>
    <t>TKT-2024-10583</t>
  </si>
  <si>
    <t>2024-07-14 22:21:06</t>
  </si>
  <si>
    <t>2024-07-25 17:33:06</t>
  </si>
  <si>
    <t>TKT-2024-10584</t>
  </si>
  <si>
    <t>2024-06-17 23:39:55</t>
  </si>
  <si>
    <t>2024-07-13 17:33:55</t>
  </si>
  <si>
    <t>TKT-2024-10585</t>
  </si>
  <si>
    <t>2024-04-13 18:52:44</t>
  </si>
  <si>
    <t>2024-04-22 16:52:44</t>
  </si>
  <si>
    <t>TKT-2024-10586</t>
  </si>
  <si>
    <t>2024-09-23 19:07:57</t>
  </si>
  <si>
    <t>2024-10-04 02:31:57</t>
  </si>
  <si>
    <t>TKT-2024-10587</t>
  </si>
  <si>
    <t>2024-10-03 19:08:28</t>
  </si>
  <si>
    <t>2024-10-07 01:38:28</t>
  </si>
  <si>
    <t>TKT-2024-10588</t>
  </si>
  <si>
    <t>2024-12-15 15:49:54</t>
  </si>
  <si>
    <t>2024-12-24 01:55:54</t>
  </si>
  <si>
    <t>TKT-2024-10589</t>
  </si>
  <si>
    <t>2024-11-15 22:58:04</t>
  </si>
  <si>
    <t>2024-11-25 08:46:04</t>
  </si>
  <si>
    <t>TKT-2024-10590</t>
  </si>
  <si>
    <t>2024-05-07 16:05:31</t>
  </si>
  <si>
    <t>2024-05-21 20:47:31</t>
  </si>
  <si>
    <t>TKT-2024-10591</t>
  </si>
  <si>
    <t>2024-03-01 13:26:52</t>
  </si>
  <si>
    <t>2024-03-05 01:20:52</t>
  </si>
  <si>
    <t>TKT-2024-10592</t>
  </si>
  <si>
    <t>2024-11-03 14:40:19</t>
  </si>
  <si>
    <t>2024-11-14 23:52:19</t>
  </si>
  <si>
    <t>TKT-2024-10593</t>
  </si>
  <si>
    <t>2024-01-12 07:20:54</t>
  </si>
  <si>
    <t>2024-01-15 10:20:54</t>
  </si>
  <si>
    <t>TKT-2024-10594</t>
  </si>
  <si>
    <t>2024-03-26 06:58:58</t>
  </si>
  <si>
    <t>2024-05-07 02:28:58</t>
  </si>
  <si>
    <t>TKT-2024-10595</t>
  </si>
  <si>
    <t>2024-03-13 22:58:20</t>
  </si>
  <si>
    <t>2024-03-20 05:16:20</t>
  </si>
  <si>
    <t>TKT-2024-10596</t>
  </si>
  <si>
    <t>2024-04-01 00:26:01</t>
  </si>
  <si>
    <t>2024-04-10 13:32:01</t>
  </si>
  <si>
    <t>TKT-2024-10597</t>
  </si>
  <si>
    <t>2024-06-20 06:34:06</t>
  </si>
  <si>
    <t>2024-07-06 04:04:06</t>
  </si>
  <si>
    <t>TKT-2024-10598</t>
  </si>
  <si>
    <t>2024-08-24 06:09:36</t>
  </si>
  <si>
    <t>2024-08-27 15:27:36</t>
  </si>
  <si>
    <t>TKT-2024-10599</t>
  </si>
  <si>
    <t>2024-12-07 15:25:03</t>
  </si>
  <si>
    <t>2024-12-18 02:55:03</t>
  </si>
  <si>
    <t>TKT-2024-10600</t>
  </si>
  <si>
    <t>2024-08-28 01:10:20</t>
  </si>
  <si>
    <t>2024-09-09 15:10:20</t>
  </si>
  <si>
    <t>TKT-2024-10601</t>
  </si>
  <si>
    <t>2024-12-29 00:47:09</t>
  </si>
  <si>
    <t>2025-01-08 04:35:09</t>
  </si>
  <si>
    <t>TKT-2024-10602</t>
  </si>
  <si>
    <t>2024-03-05 06:46:41</t>
  </si>
  <si>
    <t>2024-03-10 20:52:41</t>
  </si>
  <si>
    <t>TKT-2024-10603</t>
  </si>
  <si>
    <t>2024-07-02 17:09:56</t>
  </si>
  <si>
    <t>2024-07-13 09:21:56</t>
  </si>
  <si>
    <t>TKT-2024-10604</t>
  </si>
  <si>
    <t>2024-09-17 10:20:34</t>
  </si>
  <si>
    <t>2024-09-28 02:02:34</t>
  </si>
  <si>
    <t>TKT-2024-10605</t>
  </si>
  <si>
    <t>2024-05-21 04:02:53</t>
  </si>
  <si>
    <t>2024-06-01 05:32:53</t>
  </si>
  <si>
    <t>TKT-2024-10606</t>
  </si>
  <si>
    <t>2024-08-10 03:17:36</t>
  </si>
  <si>
    <t>2024-08-19 16:29:36</t>
  </si>
  <si>
    <t>TKT-2024-10607</t>
  </si>
  <si>
    <t>2024-11-05 21:58:45</t>
  </si>
  <si>
    <t>2024-12-17 12:10:45</t>
  </si>
  <si>
    <t>TKT-2024-10608</t>
  </si>
  <si>
    <t>2024-11-24 18:55:45</t>
  </si>
  <si>
    <t>2024-12-08 07:37:45</t>
  </si>
  <si>
    <t>TKT-2024-10609</t>
  </si>
  <si>
    <t>2024-05-20 12:20:07</t>
  </si>
  <si>
    <t>2024-05-24 21:32:07</t>
  </si>
  <si>
    <t>TKT-2024-10610</t>
  </si>
  <si>
    <t>2024-02-22 20:11:18</t>
  </si>
  <si>
    <t>2024-02-27 09:35:18</t>
  </si>
  <si>
    <t>TKT-2024-10611</t>
  </si>
  <si>
    <t>2024-07-04 15:52:22</t>
  </si>
  <si>
    <t>2024-07-09 03:52:22</t>
  </si>
  <si>
    <t>TKT-2024-10612</t>
  </si>
  <si>
    <t>2024-07-18 04:45:05</t>
  </si>
  <si>
    <t>2024-07-22 10:09:05</t>
  </si>
  <si>
    <t>TKT-2024-10613</t>
  </si>
  <si>
    <t>2024-02-24 04:56:37</t>
  </si>
  <si>
    <t>2024-03-09 22:14:37</t>
  </si>
  <si>
    <t>TKT-2024-10614</t>
  </si>
  <si>
    <t>2024-12-07 16:46:46</t>
  </si>
  <si>
    <t>2024-12-11 14:22:46</t>
  </si>
  <si>
    <t>TKT-2024-10615</t>
  </si>
  <si>
    <t>2024-02-20 02:23:53</t>
  </si>
  <si>
    <t>2024-02-26 02:29:53</t>
  </si>
  <si>
    <t>TKT-2024-10616</t>
  </si>
  <si>
    <t>2024-08-19 00:21:29</t>
  </si>
  <si>
    <t>2024-08-27 01:27:29</t>
  </si>
  <si>
    <t>TKT-2024-10617</t>
  </si>
  <si>
    <t>2024-08-14 18:38:28</t>
  </si>
  <si>
    <t>2024-08-27 18:50:28</t>
  </si>
  <si>
    <t>TKT-2024-10618</t>
  </si>
  <si>
    <t>2024-11-02 07:20:41</t>
  </si>
  <si>
    <t>2024-11-10 09:02:41</t>
  </si>
  <si>
    <t>TKT-2024-10619</t>
  </si>
  <si>
    <t>2024-10-10 00:00:36</t>
  </si>
  <si>
    <t>2024-10-29 19:30:36</t>
  </si>
  <si>
    <t>TKT-2024-10620</t>
  </si>
  <si>
    <t>2024-06-11 18:47:49</t>
  </si>
  <si>
    <t>2024-07-10 05:59:49</t>
  </si>
  <si>
    <t>TKT-2024-10621</t>
  </si>
  <si>
    <t>2024-10-02 21:56:43</t>
  </si>
  <si>
    <t>2024-10-16 07:26:43</t>
  </si>
  <si>
    <t>TKT-2024-10622</t>
  </si>
  <si>
    <t>2024-06-12 22:06:43</t>
  </si>
  <si>
    <t>2024-06-16 11:06:43</t>
  </si>
  <si>
    <t>TKT-2024-10623</t>
  </si>
  <si>
    <t>2024-11-20 05:21:31</t>
  </si>
  <si>
    <t>2024-11-29 07:27:31</t>
  </si>
  <si>
    <t>TKT-2024-10624</t>
  </si>
  <si>
    <t>2024-07-04 02:50:33</t>
  </si>
  <si>
    <t>2024-07-09 18:20:33</t>
  </si>
  <si>
    <t>TKT-2024-10625</t>
  </si>
  <si>
    <t>2024-05-02 09:27:36</t>
  </si>
  <si>
    <t>2024-05-04 18:09:36</t>
  </si>
  <si>
    <t>TKT-2024-10626</t>
  </si>
  <si>
    <t>2024-01-18 19:22:55</t>
  </si>
  <si>
    <t>2024-01-20 12:28:55</t>
  </si>
  <si>
    <t>TKT-2024-10627</t>
  </si>
  <si>
    <t>2024-05-08 06:22:55</t>
  </si>
  <si>
    <t>2024-05-21 19:34:55</t>
  </si>
  <si>
    <t>TKT-2024-10628</t>
  </si>
  <si>
    <t>2024-06-11 07:42:02</t>
  </si>
  <si>
    <t>2024-06-14 13:06:02</t>
  </si>
  <si>
    <t>TKT-2024-10629</t>
  </si>
  <si>
    <t>2024-09-02 20:16:14</t>
  </si>
  <si>
    <t>2024-09-09 21:46:14</t>
  </si>
  <si>
    <t>TKT-2024-10630</t>
  </si>
  <si>
    <t>2024-05-18 22:12:02</t>
  </si>
  <si>
    <t>2024-06-09 23:42:02</t>
  </si>
  <si>
    <t>TKT-2024-10631</t>
  </si>
  <si>
    <t>2024-08-17 09:14:42</t>
  </si>
  <si>
    <t>2024-08-21 13:02:42</t>
  </si>
  <si>
    <t>TKT-2024-10632</t>
  </si>
  <si>
    <t>2024-02-02 19:25:23</t>
  </si>
  <si>
    <t>2024-03-16 11:25:23</t>
  </si>
  <si>
    <t>TKT-2024-10633</t>
  </si>
  <si>
    <t>2024-08-17 12:50:45</t>
  </si>
  <si>
    <t>2024-08-20 18:14:45</t>
  </si>
  <si>
    <t>TKT-2024-10634</t>
  </si>
  <si>
    <t>2024-08-11 01:18:24</t>
  </si>
  <si>
    <t>2024-08-16 07:06:24</t>
  </si>
  <si>
    <t>TKT-2024-10635</t>
  </si>
  <si>
    <t>2024-11-27 16:08:58</t>
  </si>
  <si>
    <t>2024-12-08 11:50:58</t>
  </si>
  <si>
    <t>TKT-2024-10636</t>
  </si>
  <si>
    <t>2024-05-31 03:41:55</t>
  </si>
  <si>
    <t>2024-06-10 14:23:55</t>
  </si>
  <si>
    <t>TKT-2024-10637</t>
  </si>
  <si>
    <t>2024-05-09 07:24:54</t>
  </si>
  <si>
    <t>2024-05-29 02:06:54</t>
  </si>
  <si>
    <t>TKT-2024-10638</t>
  </si>
  <si>
    <t>2024-06-09 05:14:20</t>
  </si>
  <si>
    <t>2024-06-15 23:38:20</t>
  </si>
  <si>
    <t>TKT-2024-10639</t>
  </si>
  <si>
    <t>2024-02-03 13:39:11</t>
  </si>
  <si>
    <t>2024-02-09 23:21:11</t>
  </si>
  <si>
    <t>TKT-2024-10640</t>
  </si>
  <si>
    <t>2024-05-06 05:12:56</t>
  </si>
  <si>
    <t>2024-05-07 14:18:56</t>
  </si>
  <si>
    <t>TKT-2024-10641</t>
  </si>
  <si>
    <t>2024-09-14 12:34:58</t>
  </si>
  <si>
    <t>2024-09-28 12:16:58</t>
  </si>
  <si>
    <t>TKT-2024-10642</t>
  </si>
  <si>
    <t>2024-03-22 15:23:08</t>
  </si>
  <si>
    <t>2024-04-02 03:29:08</t>
  </si>
  <si>
    <t>TKT-2024-10643</t>
  </si>
  <si>
    <t>2024-10-15 07:54:18</t>
  </si>
  <si>
    <t>2024-10-19 21:06:18</t>
  </si>
  <si>
    <t>TKT-2024-10644</t>
  </si>
  <si>
    <t>2024-11-24 21:21:10</t>
  </si>
  <si>
    <t>2024-12-08 11:45:10</t>
  </si>
  <si>
    <t>TKT-2024-10645</t>
  </si>
  <si>
    <t>2024-02-14 19:24:37</t>
  </si>
  <si>
    <t>2024-02-25 19:48:37</t>
  </si>
  <si>
    <t>TKT-2024-10646</t>
  </si>
  <si>
    <t>2024-03-27 18:05:39</t>
  </si>
  <si>
    <t>2024-04-01 12:35:39</t>
  </si>
  <si>
    <t>TKT-2024-10647</t>
  </si>
  <si>
    <t>2024-12-06 17:53:05</t>
  </si>
  <si>
    <t>2024-12-17 14:53:05</t>
  </si>
  <si>
    <t>TKT-2024-10648</t>
  </si>
  <si>
    <t>2024-09-08 09:27:01</t>
  </si>
  <si>
    <t>2024-09-16 18:39:01</t>
  </si>
  <si>
    <t>TKT-2024-10649</t>
  </si>
  <si>
    <t>2024-02-16 19:41:02</t>
  </si>
  <si>
    <t>2024-02-23 07:53:02</t>
  </si>
  <si>
    <t>TKT-2024-10650</t>
  </si>
  <si>
    <t>2024-08-07 09:06:43</t>
  </si>
  <si>
    <t>2024-08-13 15:24:43</t>
  </si>
  <si>
    <t>TKT-2024-10651</t>
  </si>
  <si>
    <t>2024-11-04 04:27:07</t>
  </si>
  <si>
    <t>2024-11-07 08:09:07</t>
  </si>
  <si>
    <t>TKT-2024-10652</t>
  </si>
  <si>
    <t>2024-10-24 17:24:08</t>
  </si>
  <si>
    <t>2024-10-31 08:42:08</t>
  </si>
  <si>
    <t>TKT-2024-10653</t>
  </si>
  <si>
    <t>2024-02-04 14:50:20</t>
  </si>
  <si>
    <t>2024-02-13 17:26:20</t>
  </si>
  <si>
    <t>TKT-2024-10654</t>
  </si>
  <si>
    <t>2024-03-02 20:45:12</t>
  </si>
  <si>
    <t>2024-03-05 23:33:12</t>
  </si>
  <si>
    <t>TKT-2024-10655</t>
  </si>
  <si>
    <t>2024-07-30 03:30:25</t>
  </si>
  <si>
    <t>2024-08-22 12:42:25</t>
  </si>
  <si>
    <t>TKT-2024-10656</t>
  </si>
  <si>
    <t>2024-07-04 08:20:33</t>
  </si>
  <si>
    <t>2024-07-15 10:08:33</t>
  </si>
  <si>
    <t>TKT-2024-10657</t>
  </si>
  <si>
    <t>2024-05-07 21:50:29</t>
  </si>
  <si>
    <t>2024-05-16 12:14:29</t>
  </si>
  <si>
    <t>TKT-2024-10658</t>
  </si>
  <si>
    <t>2024-08-10 19:59:09</t>
  </si>
  <si>
    <t>2024-08-17 04:59:09</t>
  </si>
  <si>
    <t>TKT-2024-10659</t>
  </si>
  <si>
    <t>2024-11-14 01:35:25</t>
  </si>
  <si>
    <t>2024-11-20 10:11:25</t>
  </si>
  <si>
    <t>TKT-2024-10660</t>
  </si>
  <si>
    <t>2024-06-23 05:08:09</t>
  </si>
  <si>
    <t>2024-06-30 11:38:09</t>
  </si>
  <si>
    <t>TKT-2024-10661</t>
  </si>
  <si>
    <t>2024-03-27 13:42:55</t>
  </si>
  <si>
    <t>2024-04-07 18:06:55</t>
  </si>
  <si>
    <t>TKT-2024-10662</t>
  </si>
  <si>
    <t>2024-10-15 07:19:10</t>
  </si>
  <si>
    <t>2024-10-19 03:43:10</t>
  </si>
  <si>
    <t>TKT-2024-10663</t>
  </si>
  <si>
    <t>2024-05-07 03:51:00</t>
  </si>
  <si>
    <t>2024-05-08 01:15:00</t>
  </si>
  <si>
    <t>TKT-2024-10664</t>
  </si>
  <si>
    <t>2024-11-06 22:24:01</t>
  </si>
  <si>
    <t>2024-12-05 09:48:01</t>
  </si>
  <si>
    <t>TKT-2024-10665</t>
  </si>
  <si>
    <t>2024-11-16 11:32:12</t>
  </si>
  <si>
    <t>2024-11-23 10:32:12</t>
  </si>
  <si>
    <t>TKT-2024-10666</t>
  </si>
  <si>
    <t>2024-02-18 22:58:46</t>
  </si>
  <si>
    <t>2024-02-27 03:52:46</t>
  </si>
  <si>
    <t>TKT-2024-10667</t>
  </si>
  <si>
    <t>2024-11-06 13:21:17</t>
  </si>
  <si>
    <t>2024-11-10 01:27:17</t>
  </si>
  <si>
    <t>TKT-2024-10668</t>
  </si>
  <si>
    <t>2024-11-28 23:39:14</t>
  </si>
  <si>
    <t>2024-12-12 07:33:14</t>
  </si>
  <si>
    <t>TKT-2024-10669</t>
  </si>
  <si>
    <t>2024-06-13 05:12:50</t>
  </si>
  <si>
    <t>2024-06-17 19:12:50</t>
  </si>
  <si>
    <t>TKT-2024-10670</t>
  </si>
  <si>
    <t>2024-06-05 02:41:41</t>
  </si>
  <si>
    <t>2024-06-16 23:23:41</t>
  </si>
  <si>
    <t>TKT-2024-10671</t>
  </si>
  <si>
    <t>2024-07-16 15:04:19</t>
  </si>
  <si>
    <t>2024-08-01 15:04:19</t>
  </si>
  <si>
    <t>TKT-2024-10672</t>
  </si>
  <si>
    <t>2024-02-06 07:22:06</t>
  </si>
  <si>
    <t>2024-02-19 11:58:06</t>
  </si>
  <si>
    <t>TKT-2024-10673</t>
  </si>
  <si>
    <t>2024-05-25 14:45:49</t>
  </si>
  <si>
    <t>2024-06-08 07:33:49</t>
  </si>
  <si>
    <t>TKT-2024-10674</t>
  </si>
  <si>
    <t>2024-04-28 16:51:31</t>
  </si>
  <si>
    <t>2024-05-07 07:03:31</t>
  </si>
  <si>
    <t>TKT-2024-10675</t>
  </si>
  <si>
    <t>2024-07-27 20:23:42</t>
  </si>
  <si>
    <t>2024-08-06 19:23:42</t>
  </si>
  <si>
    <t>TKT-2024-10676</t>
  </si>
  <si>
    <t>2024-03-18 19:57:46</t>
  </si>
  <si>
    <t>2024-03-29 10:27:46</t>
  </si>
  <si>
    <t>TKT-2024-10677</t>
  </si>
  <si>
    <t>2024-04-13 13:13:39</t>
  </si>
  <si>
    <t>2024-04-20 15:49:39</t>
  </si>
  <si>
    <t>TKT-2024-10678</t>
  </si>
  <si>
    <t>2024-10-31 02:38:53</t>
  </si>
  <si>
    <t>2024-11-03 04:44:53</t>
  </si>
  <si>
    <t>TKT-2024-10679</t>
  </si>
  <si>
    <t>2024-09-14 15:59:33</t>
  </si>
  <si>
    <t>2024-09-27 07:05:33</t>
  </si>
  <si>
    <t>TKT-2024-10680</t>
  </si>
  <si>
    <t>2024-03-15 22:58:31</t>
  </si>
  <si>
    <t>2024-03-23 00:46:31</t>
  </si>
  <si>
    <t>TKT-2024-10681</t>
  </si>
  <si>
    <t>2024-01-10 23:40:43</t>
  </si>
  <si>
    <t>2024-01-17 03:40:43</t>
  </si>
  <si>
    <t>TKT-2024-10682</t>
  </si>
  <si>
    <t>2024-08-30 16:45:13</t>
  </si>
  <si>
    <t>2024-09-02 00:09:13</t>
  </si>
  <si>
    <t>TKT-2024-10683</t>
  </si>
  <si>
    <t>2024-02-03 19:53:23</t>
  </si>
  <si>
    <t>2024-02-05 15:29:23</t>
  </si>
  <si>
    <t>TKT-2024-10684</t>
  </si>
  <si>
    <t>2024-10-17 18:13:40</t>
  </si>
  <si>
    <t>2024-10-23 02:55:40</t>
  </si>
  <si>
    <t>TKT-2024-10685</t>
  </si>
  <si>
    <t>2024-05-10 06:43:40</t>
  </si>
  <si>
    <t>2024-05-20 05:01:40</t>
  </si>
  <si>
    <t>TKT-2024-10686</t>
  </si>
  <si>
    <t>2024-01-16 20:12:10</t>
  </si>
  <si>
    <t>2024-01-30 10:00:10</t>
  </si>
  <si>
    <t>TKT-2024-10687</t>
  </si>
  <si>
    <t>2024-02-18 15:17:55</t>
  </si>
  <si>
    <t>2024-02-24 23:29:55</t>
  </si>
  <si>
    <t>TKT-2024-10688</t>
  </si>
  <si>
    <t>2024-10-22 03:20:50</t>
  </si>
  <si>
    <t>2024-10-30 01:38:50</t>
  </si>
  <si>
    <t>TKT-2024-10689</t>
  </si>
  <si>
    <t>2024-07-31 09:18:34</t>
  </si>
  <si>
    <t>2024-08-06 12:06:34</t>
  </si>
  <si>
    <t>TKT-2024-10690</t>
  </si>
  <si>
    <t>2024-12-19 16:49:28</t>
  </si>
  <si>
    <t>2024-12-27 17:49:28</t>
  </si>
  <si>
    <t>TKT-2024-10691</t>
  </si>
  <si>
    <t>2024-02-28 02:25:16</t>
  </si>
  <si>
    <t>2024-03-14 07:55:16</t>
  </si>
  <si>
    <t>TKT-2024-10692</t>
  </si>
  <si>
    <t>2024-11-06 03:46:07</t>
  </si>
  <si>
    <t>2024-11-10 04:52:07</t>
  </si>
  <si>
    <t>TKT-2024-10693</t>
  </si>
  <si>
    <t>2024-02-24 08:52:12</t>
  </si>
  <si>
    <t>2024-03-15 15:52:12</t>
  </si>
  <si>
    <t>TKT-2024-10694</t>
  </si>
  <si>
    <t>2024-01-29 10:28:22</t>
  </si>
  <si>
    <t>2024-02-04 23:10:22</t>
  </si>
  <si>
    <t>TKT-2024-10695</t>
  </si>
  <si>
    <t>2024-06-29 20:16:00</t>
  </si>
  <si>
    <t>2024-07-10 07:28:00</t>
  </si>
  <si>
    <t>TKT-2024-10696</t>
  </si>
  <si>
    <t>2024-10-10 13:51:13</t>
  </si>
  <si>
    <t>2024-10-21 22:09:13</t>
  </si>
  <si>
    <t>TKT-2024-10697</t>
  </si>
  <si>
    <t>2024-07-27 09:33:19</t>
  </si>
  <si>
    <t>2024-07-30 16:03:19</t>
  </si>
  <si>
    <t>TKT-2024-10698</t>
  </si>
  <si>
    <t>2024-09-13 17:59:02</t>
  </si>
  <si>
    <t>2024-09-21 06:29:02</t>
  </si>
  <si>
    <t>TKT-2024-10699</t>
  </si>
  <si>
    <t>2024-04-26 11:33:53</t>
  </si>
  <si>
    <t>2024-05-09 01:57:53</t>
  </si>
  <si>
    <t>TKT-2024-10700</t>
  </si>
  <si>
    <t>2024-09-27 20:16:35</t>
  </si>
  <si>
    <t>2024-10-04 11:34:35</t>
  </si>
  <si>
    <t>TKT-2024-10701</t>
  </si>
  <si>
    <t>2024-03-10 00:15:45</t>
  </si>
  <si>
    <t>2024-03-14 07:39:45</t>
  </si>
  <si>
    <t>TKT-2024-10702</t>
  </si>
  <si>
    <t>2024-03-07 21:26:18</t>
  </si>
  <si>
    <t>2024-03-12 12:14:18</t>
  </si>
  <si>
    <t>TKT-2024-10703</t>
  </si>
  <si>
    <t>2024-06-06 12:33:04</t>
  </si>
  <si>
    <t>2024-06-27 19:45:04</t>
  </si>
  <si>
    <t>TKT-2024-10704</t>
  </si>
  <si>
    <t>2024-02-17 10:06:34</t>
  </si>
  <si>
    <t>2024-02-23 09:42:34</t>
  </si>
  <si>
    <t>TKT-2024-10705</t>
  </si>
  <si>
    <t>2024-06-14 18:34:34</t>
  </si>
  <si>
    <t>2024-06-27 15:34:34</t>
  </si>
  <si>
    <t>TKT-2024-10706</t>
  </si>
  <si>
    <t>2024-06-06 08:37:20</t>
  </si>
  <si>
    <t>2024-06-20 13:31:20</t>
  </si>
  <si>
    <t>TKT-2024-10707</t>
  </si>
  <si>
    <t>2024-02-19 15:32:46</t>
  </si>
  <si>
    <t>2024-03-16 05:44:46</t>
  </si>
  <si>
    <t>TKT-2024-10708</t>
  </si>
  <si>
    <t>2024-11-21 10:39:19</t>
  </si>
  <si>
    <t>2024-12-02 15:15:19</t>
  </si>
  <si>
    <t>TKT-2024-10709</t>
  </si>
  <si>
    <t>2024-04-08 04:53:11</t>
  </si>
  <si>
    <t>2024-04-09 17:17:11</t>
  </si>
  <si>
    <t>TKT-2024-10710</t>
  </si>
  <si>
    <t>2024-12-10 20:56:20</t>
  </si>
  <si>
    <t>2025-01-23 19:44:20</t>
  </si>
  <si>
    <t>TKT-2024-10711</t>
  </si>
  <si>
    <t>2024-09-10 06:12:58</t>
  </si>
  <si>
    <t>2024-09-19 15:42:58</t>
  </si>
  <si>
    <t>TKT-2024-10712</t>
  </si>
  <si>
    <t>2024-02-27 21:36:13</t>
  </si>
  <si>
    <t>2024-03-19 12:24:13</t>
  </si>
  <si>
    <t>TKT-2024-10713</t>
  </si>
  <si>
    <t>2024-01-15 17:22:16</t>
  </si>
  <si>
    <t>2024-02-02 23:52:16</t>
  </si>
  <si>
    <t>TKT-2024-10714</t>
  </si>
  <si>
    <t>2024-05-18 11:51:15</t>
  </si>
  <si>
    <t>2024-06-06 00:57:15</t>
  </si>
  <si>
    <t>TKT-2024-10715</t>
  </si>
  <si>
    <t>2024-01-04 15:14:16</t>
  </si>
  <si>
    <t>2024-01-12 08:32:16</t>
  </si>
  <si>
    <t>TKT-2024-10716</t>
  </si>
  <si>
    <t>2024-12-07 14:54:09</t>
  </si>
  <si>
    <t>2024-12-15 10:42:09</t>
  </si>
  <si>
    <t>TKT-2024-10717</t>
  </si>
  <si>
    <t>2024-04-04 05:55:25</t>
  </si>
  <si>
    <t>2024-04-16 12:55:25</t>
  </si>
  <si>
    <t>TKT-2024-10718</t>
  </si>
  <si>
    <t>2024-01-27 08:08:25</t>
  </si>
  <si>
    <t>2024-02-02 14:02:25</t>
  </si>
  <si>
    <t>TKT-2024-10719</t>
  </si>
  <si>
    <t>2024-02-01 08:08:28</t>
  </si>
  <si>
    <t>2024-02-27 02:38:28</t>
  </si>
  <si>
    <t>TKT-2024-10720</t>
  </si>
  <si>
    <t>2024-08-06 16:22:55</t>
  </si>
  <si>
    <t>2024-08-14 11:28:55</t>
  </si>
  <si>
    <t>TKT-2024-10721</t>
  </si>
  <si>
    <t>2024-10-04 11:25:29</t>
  </si>
  <si>
    <t>2024-10-13 16:13:29</t>
  </si>
  <si>
    <t>TKT-2024-10722</t>
  </si>
  <si>
    <t>2024-10-10 03:04:23</t>
  </si>
  <si>
    <t>2024-10-27 13:28:23</t>
  </si>
  <si>
    <t>TKT-2024-10723</t>
  </si>
  <si>
    <t>2024-05-29 08:48:55</t>
  </si>
  <si>
    <t>2024-06-09 12:00:55</t>
  </si>
  <si>
    <t>TKT-2024-10724</t>
  </si>
  <si>
    <t>2024-07-05 17:41:14</t>
  </si>
  <si>
    <t>2024-08-01 09:41:14</t>
  </si>
  <si>
    <t>TKT-2024-10725</t>
  </si>
  <si>
    <t>2024-03-22 20:15:42</t>
  </si>
  <si>
    <t>2024-03-26 23:03:42</t>
  </si>
  <si>
    <t>TKT-2024-10726</t>
  </si>
  <si>
    <t>2024-06-16 14:33:00</t>
  </si>
  <si>
    <t>2024-06-27 00:21:00</t>
  </si>
  <si>
    <t>TKT-2024-10727</t>
  </si>
  <si>
    <t>2024-09-12 10:25:41</t>
  </si>
  <si>
    <t>2024-09-15 11:25:41</t>
  </si>
  <si>
    <t>TKT-2024-10728</t>
  </si>
  <si>
    <t>2024-03-05 14:54:10</t>
  </si>
  <si>
    <t>2024-03-12 17:42:10</t>
  </si>
  <si>
    <t>TKT-2024-10729</t>
  </si>
  <si>
    <t>2024-04-10 23:00:04</t>
  </si>
  <si>
    <t>2024-04-20 05:36:04</t>
  </si>
  <si>
    <t>TKT-2024-10730</t>
  </si>
  <si>
    <t>2024-02-20 12:13:41</t>
  </si>
  <si>
    <t>2024-03-09 11:01:41</t>
  </si>
  <si>
    <t>TKT-2024-10731</t>
  </si>
  <si>
    <t>2024-11-19 09:32:21</t>
  </si>
  <si>
    <t>2024-11-21 11:44:21</t>
  </si>
  <si>
    <t>TKT-2024-10732</t>
  </si>
  <si>
    <t>2024-03-29 08:51:30</t>
  </si>
  <si>
    <t>2024-04-02 16:33:30</t>
  </si>
  <si>
    <t>TKT-2024-10733</t>
  </si>
  <si>
    <t>2024-10-25 14:39:44</t>
  </si>
  <si>
    <t>2024-11-06 21:57:44</t>
  </si>
  <si>
    <t>TKT-2024-10734</t>
  </si>
  <si>
    <t>2024-05-02 10:09:50</t>
  </si>
  <si>
    <t>2024-05-03 17:33:50</t>
  </si>
  <si>
    <t>TKT-2024-10735</t>
  </si>
  <si>
    <t>2024-04-01 23:03:02</t>
  </si>
  <si>
    <t>2024-04-11 01:51:02</t>
  </si>
  <si>
    <t>TKT-2024-10736</t>
  </si>
  <si>
    <t>2024-07-08 18:49:53</t>
  </si>
  <si>
    <t>2024-07-26 12:43:53</t>
  </si>
  <si>
    <t>TKT-2024-10737</t>
  </si>
  <si>
    <t>2024-04-30 18:27:45</t>
  </si>
  <si>
    <t>2024-05-17 13:09:45</t>
  </si>
  <si>
    <t>TKT-2024-10738</t>
  </si>
  <si>
    <t>2024-07-07 09:46:43</t>
  </si>
  <si>
    <t>2024-07-11 08:22:43</t>
  </si>
  <si>
    <t>TKT-2024-10739</t>
  </si>
  <si>
    <t>2024-12-15 14:39:29</t>
  </si>
  <si>
    <t>2024-12-25 02:51:29</t>
  </si>
  <si>
    <t>TKT-2024-10740</t>
  </si>
  <si>
    <t>2024-05-26 20:17:00</t>
  </si>
  <si>
    <t>2024-06-01 04:17:00</t>
  </si>
  <si>
    <t>TKT-2024-10741</t>
  </si>
  <si>
    <t>2024-08-12 06:44:15</t>
  </si>
  <si>
    <t>2024-08-28 06:26:15</t>
  </si>
  <si>
    <t>TKT-2024-10742</t>
  </si>
  <si>
    <t>2024-02-11 16:57:05</t>
  </si>
  <si>
    <t>2024-02-20 18:45:05</t>
  </si>
  <si>
    <t>TKT-2024-10743</t>
  </si>
  <si>
    <t>2024-08-28 14:58:49</t>
  </si>
  <si>
    <t>2024-09-04 04:52:49</t>
  </si>
  <si>
    <t>TKT-2024-10744</t>
  </si>
  <si>
    <t>2024-10-12 03:04:28</t>
  </si>
  <si>
    <t>2024-11-09 13:28:28</t>
  </si>
  <si>
    <t>TKT-2024-10745</t>
  </si>
  <si>
    <t>2024-01-31 15:03:29</t>
  </si>
  <si>
    <t>2024-02-07 11:33:29</t>
  </si>
  <si>
    <t>TKT-2024-10746</t>
  </si>
  <si>
    <t>2024-04-18 11:40:07</t>
  </si>
  <si>
    <t>2024-04-20 05:16:07</t>
  </si>
  <si>
    <t>TKT-2024-10747</t>
  </si>
  <si>
    <t>2024-01-04 12:17:00</t>
  </si>
  <si>
    <t>2024-01-16 17:35:00</t>
  </si>
  <si>
    <t>TKT-2024-10748</t>
  </si>
  <si>
    <t>2024-05-07 12:23:25</t>
  </si>
  <si>
    <t>2024-05-15 18:17:25</t>
  </si>
  <si>
    <t>TKT-2024-10749</t>
  </si>
  <si>
    <t>2024-07-23 19:14:38</t>
  </si>
  <si>
    <t>2024-07-30 03:20:38</t>
  </si>
  <si>
    <t>TKT-2024-10750</t>
  </si>
  <si>
    <t>2024-03-23 07:26:49</t>
  </si>
  <si>
    <t>2024-03-25 00:14:49</t>
  </si>
  <si>
    <t>TKT-2024-10751</t>
  </si>
  <si>
    <t>2024-09-29 19:26:37</t>
  </si>
  <si>
    <t>2024-10-13 11:38:37</t>
  </si>
  <si>
    <t>TKT-2024-10752</t>
  </si>
  <si>
    <t>2024-08-11 08:41:13</t>
  </si>
  <si>
    <t>2024-08-17 12:35:13</t>
  </si>
  <si>
    <t>TKT-2024-10753</t>
  </si>
  <si>
    <t>2024-05-09 21:33:55</t>
  </si>
  <si>
    <t>2024-05-24 03:27:55</t>
  </si>
  <si>
    <t>TKT-2024-10754</t>
  </si>
  <si>
    <t>2024-02-16 23:21:46</t>
  </si>
  <si>
    <t>2024-03-08 19:21:46</t>
  </si>
  <si>
    <t>TKT-2024-10755</t>
  </si>
  <si>
    <t>2024-04-21 20:35:35</t>
  </si>
  <si>
    <t>2024-05-05 06:59:35</t>
  </si>
  <si>
    <t>TKT-2024-10756</t>
  </si>
  <si>
    <t>2024-10-22 03:34:16</t>
  </si>
  <si>
    <t>2024-10-26 07:46:16</t>
  </si>
  <si>
    <t>TKT-2024-10757</t>
  </si>
  <si>
    <t>2024-07-29 19:20:28</t>
  </si>
  <si>
    <t>2024-08-12 16:02:28</t>
  </si>
  <si>
    <t>TKT-2024-10758</t>
  </si>
  <si>
    <t>2024-10-07 14:30:54</t>
  </si>
  <si>
    <t>2024-10-14 01:42:54</t>
  </si>
  <si>
    <t>TKT-2024-10759</t>
  </si>
  <si>
    <t>2024-06-05 20:17:37</t>
  </si>
  <si>
    <t>2024-06-09 18:05:37</t>
  </si>
  <si>
    <t>TKT-2024-10760</t>
  </si>
  <si>
    <t>2024-04-30 17:25:19</t>
  </si>
  <si>
    <t>2024-05-06 20:01:19</t>
  </si>
  <si>
    <t>TKT-2024-10761</t>
  </si>
  <si>
    <t>2024-10-26 07:29:52</t>
  </si>
  <si>
    <t>2024-11-09 15:11:52</t>
  </si>
  <si>
    <t>TKT-2024-10762</t>
  </si>
  <si>
    <t>2024-11-21 08:22:54</t>
  </si>
  <si>
    <t>2024-11-27 22:28:54</t>
  </si>
  <si>
    <t>TKT-2024-10763</t>
  </si>
  <si>
    <t>2024-01-22 04:59:33</t>
  </si>
  <si>
    <t>2024-01-29 06:53:33</t>
  </si>
  <si>
    <t>TKT-2024-10764</t>
  </si>
  <si>
    <t>2024-02-06 09:23:31</t>
  </si>
  <si>
    <t>2024-02-12 11:05:31</t>
  </si>
  <si>
    <t>TKT-2024-10765</t>
  </si>
  <si>
    <t>2024-03-28 10:52:26</t>
  </si>
  <si>
    <t>2024-04-17 01:52:26</t>
  </si>
  <si>
    <t>TKT-2024-10766</t>
  </si>
  <si>
    <t>2024-11-15 21:34:12</t>
  </si>
  <si>
    <t>2024-11-25 06:58:12</t>
  </si>
  <si>
    <t>TKT-2024-10767</t>
  </si>
  <si>
    <t>2024-06-24 23:07:10</t>
  </si>
  <si>
    <t>2024-06-30 02:49:10</t>
  </si>
  <si>
    <t>TKT-2024-10768</t>
  </si>
  <si>
    <t>2024-03-14 14:14:43</t>
  </si>
  <si>
    <t>2024-03-24 23:20:43</t>
  </si>
  <si>
    <t>TKT-2024-10769</t>
  </si>
  <si>
    <t>2024-10-15 17:49:31</t>
  </si>
  <si>
    <t>2024-10-26 12:13:31</t>
  </si>
  <si>
    <t>TKT-2024-10770</t>
  </si>
  <si>
    <t>2024-05-13 07:06:44</t>
  </si>
  <si>
    <t>2024-05-19 11:24:44</t>
  </si>
  <si>
    <t>TKT-2024-10771</t>
  </si>
  <si>
    <t>2024-01-10 18:42:42</t>
  </si>
  <si>
    <t>2024-01-14 21:54:42</t>
  </si>
  <si>
    <t>TKT-2024-10772</t>
  </si>
  <si>
    <t>2024-03-13 17:32:21</t>
  </si>
  <si>
    <t>2024-03-22 12:14:21</t>
  </si>
  <si>
    <t>TKT-2024-10773</t>
  </si>
  <si>
    <t>2024-10-30 18:07:23</t>
  </si>
  <si>
    <t>2024-11-08 07:49:23</t>
  </si>
  <si>
    <t>TKT-2024-10774</t>
  </si>
  <si>
    <t>2024-09-25 02:46:13</t>
  </si>
  <si>
    <t>2024-10-04 01:22:13</t>
  </si>
  <si>
    <t>TKT-2024-10775</t>
  </si>
  <si>
    <t>2024-03-19 22:55:35</t>
  </si>
  <si>
    <t>2024-03-31 12:13:35</t>
  </si>
  <si>
    <t>TKT-2024-10776</t>
  </si>
  <si>
    <t>2024-01-24 03:39:27</t>
  </si>
  <si>
    <t>2024-01-27 12:33:27</t>
  </si>
  <si>
    <t>TKT-2024-10777</t>
  </si>
  <si>
    <t>2024-10-16 18:33:08</t>
  </si>
  <si>
    <t>2024-11-28 05:39:08</t>
  </si>
  <si>
    <t>TKT-2024-10778</t>
  </si>
  <si>
    <t>2024-07-23 16:40:15</t>
  </si>
  <si>
    <t>2024-07-29 23:16:15</t>
  </si>
  <si>
    <t>TKT-2024-10779</t>
  </si>
  <si>
    <t>2024-06-26 22:01:30</t>
  </si>
  <si>
    <t>2024-07-05 22:55:30</t>
  </si>
  <si>
    <t>TKT-2024-10780</t>
  </si>
  <si>
    <t>2024-01-12 07:49:12</t>
  </si>
  <si>
    <t>2024-01-16 23:55:12</t>
  </si>
  <si>
    <t>TKT-2024-10781</t>
  </si>
  <si>
    <t>2024-10-12 18:29:12</t>
  </si>
  <si>
    <t>2024-10-21 02:47:12</t>
  </si>
  <si>
    <t>TKT-2024-10782</t>
  </si>
  <si>
    <t>2024-10-25 21:44:21</t>
  </si>
  <si>
    <t>2024-10-31 04:26:21</t>
  </si>
  <si>
    <t>TKT-2024-10783</t>
  </si>
  <si>
    <t>2024-10-12 18:42:37</t>
  </si>
  <si>
    <t>2024-10-23 08:24:37</t>
  </si>
  <si>
    <t>TKT-2024-10784</t>
  </si>
  <si>
    <t>2024-07-28 11:28:05</t>
  </si>
  <si>
    <t>2024-08-04 05:28:05</t>
  </si>
  <si>
    <t>TKT-2024-10785</t>
  </si>
  <si>
    <t>2024-05-18 02:11:56</t>
  </si>
  <si>
    <t>2024-05-25 05:29:56</t>
  </si>
  <si>
    <t>TKT-2024-10786</t>
  </si>
  <si>
    <t>2024-05-05 12:51:23</t>
  </si>
  <si>
    <t>2024-05-14 04:21:23</t>
  </si>
  <si>
    <t>TKT-2024-10787</t>
  </si>
  <si>
    <t>2024-05-06 17:40:12</t>
  </si>
  <si>
    <t>2024-05-18 09:40:12</t>
  </si>
  <si>
    <t>TKT-2024-10788</t>
  </si>
  <si>
    <t>2024-07-29 13:26:00</t>
  </si>
  <si>
    <t>2024-08-10 23:56:00</t>
  </si>
  <si>
    <t>TKT-2024-10789</t>
  </si>
  <si>
    <t>2024-06-20 08:55:47</t>
  </si>
  <si>
    <t>2024-06-26 12:31:47</t>
  </si>
  <si>
    <t>TKT-2024-10790</t>
  </si>
  <si>
    <t>2024-05-22 19:35:01</t>
  </si>
  <si>
    <t>2024-05-31 02:47:01</t>
  </si>
  <si>
    <t>TKT-2024-10791</t>
  </si>
  <si>
    <t>2024-10-28 11:06:49</t>
  </si>
  <si>
    <t>2024-11-09 02:06:49</t>
  </si>
  <si>
    <t>TKT-2024-10792</t>
  </si>
  <si>
    <t>2024-01-14 07:44:31</t>
  </si>
  <si>
    <t>2024-01-21 22:08:31</t>
  </si>
  <si>
    <t>TKT-2024-10793</t>
  </si>
  <si>
    <t>2024-04-25 00:48:29</t>
  </si>
  <si>
    <t>2024-05-08 06:06:29</t>
  </si>
  <si>
    <t>TKT-2024-10794</t>
  </si>
  <si>
    <t>2024-07-19 16:21:10</t>
  </si>
  <si>
    <t>2024-07-23 08:15:10</t>
  </si>
  <si>
    <t>TKT-2024-10795</t>
  </si>
  <si>
    <t>2024-05-31 22:14:38</t>
  </si>
  <si>
    <t>2024-06-09 14:08:38</t>
  </si>
  <si>
    <t>TKT-2024-10796</t>
  </si>
  <si>
    <t>2024-11-18 11:30:21</t>
  </si>
  <si>
    <t>2024-12-31 18:42:21</t>
  </si>
  <si>
    <t>TKT-2024-10797</t>
  </si>
  <si>
    <t>2024-09-03 00:28:33</t>
  </si>
  <si>
    <t>2024-09-19 03:28:33</t>
  </si>
  <si>
    <t>TKT-2024-10798</t>
  </si>
  <si>
    <t>2024-06-13 15:56:17</t>
  </si>
  <si>
    <t>2024-06-21 21:08:17</t>
  </si>
  <si>
    <t>TKT-2024-10799</t>
  </si>
  <si>
    <t>2024-10-04 02:48:24</t>
  </si>
  <si>
    <t>2024-10-07 17:18:24</t>
  </si>
  <si>
    <t>TKT-2024-10800</t>
  </si>
  <si>
    <t>2024-07-21 06:51:22</t>
  </si>
  <si>
    <t>2024-07-24 02:27:22</t>
  </si>
  <si>
    <t>TKT-2024-10801</t>
  </si>
  <si>
    <t>2024-02-22 20:02:45</t>
  </si>
  <si>
    <t>2024-03-08 14:20:45</t>
  </si>
  <si>
    <t>TKT-2024-10802</t>
  </si>
  <si>
    <t>2024-02-15 15:30:02</t>
  </si>
  <si>
    <t>2024-02-19 14:48:02</t>
  </si>
  <si>
    <t>TKT-2024-10803</t>
  </si>
  <si>
    <t>2024-08-08 06:44:13</t>
  </si>
  <si>
    <t>2024-08-17 18:38:13</t>
  </si>
  <si>
    <t>TKT-2024-10804</t>
  </si>
  <si>
    <t>2024-03-17 14:21:12</t>
  </si>
  <si>
    <t>2024-04-02 04:09:12</t>
  </si>
  <si>
    <t>TKT-2024-10805</t>
  </si>
  <si>
    <t>2024-09-04 05:46:20</t>
  </si>
  <si>
    <t>2024-09-12 22:28:20</t>
  </si>
  <si>
    <t>TKT-2024-10806</t>
  </si>
  <si>
    <t>2024-04-21 02:05:42</t>
  </si>
  <si>
    <t>2024-04-29 07:41:42</t>
  </si>
  <si>
    <t>TKT-2024-10807</t>
  </si>
  <si>
    <t>2024-04-06 21:41:01</t>
  </si>
  <si>
    <t>2024-04-20 02:17:01</t>
  </si>
  <si>
    <t>TKT-2024-10808</t>
  </si>
  <si>
    <t>2024-07-25 06:23:22</t>
  </si>
  <si>
    <t>2024-07-30 22:41:22</t>
  </si>
  <si>
    <t>TKT-2024-10809</t>
  </si>
  <si>
    <t>2024-11-27 03:31:06</t>
  </si>
  <si>
    <t>2024-11-28 00:01:06</t>
  </si>
  <si>
    <t>TKT-2024-10810</t>
  </si>
  <si>
    <t>2024-01-15 23:04:54</t>
  </si>
  <si>
    <t>2024-01-20 05:04:54</t>
  </si>
  <si>
    <t>TKT-2024-10811</t>
  </si>
  <si>
    <t>2024-04-17 08:17:15</t>
  </si>
  <si>
    <t>2024-04-26 07:47:15</t>
  </si>
  <si>
    <t>TKT-2024-10812</t>
  </si>
  <si>
    <t>2024-10-13 20:06:20</t>
  </si>
  <si>
    <t>2024-10-15 05:24:20</t>
  </si>
  <si>
    <t>TKT-2024-10813</t>
  </si>
  <si>
    <t>2024-11-22 23:25:40</t>
  </si>
  <si>
    <t>2024-12-02 23:49:40</t>
  </si>
  <si>
    <t>TKT-2024-10814</t>
  </si>
  <si>
    <t>2024-04-10 15:10:28</t>
  </si>
  <si>
    <t>2024-04-18 04:10:28</t>
  </si>
  <si>
    <t>TKT-2024-10815</t>
  </si>
  <si>
    <t>2024-01-01 05:05:51</t>
  </si>
  <si>
    <t>2024-01-08 11:59:51</t>
  </si>
  <si>
    <t>TKT-2024-10816</t>
  </si>
  <si>
    <t>2024-07-27 01:03:48</t>
  </si>
  <si>
    <t>2024-08-01 15:27:48</t>
  </si>
  <si>
    <t>TKT-2024-10817</t>
  </si>
  <si>
    <t>2024-03-15 02:29:59</t>
  </si>
  <si>
    <t>2024-03-18 09:17:59</t>
  </si>
  <si>
    <t>TKT-2024-10818</t>
  </si>
  <si>
    <t>2024-07-28 09:35:31</t>
  </si>
  <si>
    <t>2024-08-01 19:17:31</t>
  </si>
  <si>
    <t>TKT-2024-10819</t>
  </si>
  <si>
    <t>2024-07-04 12:26:42</t>
  </si>
  <si>
    <t>2024-07-11 20:02:42</t>
  </si>
  <si>
    <t>TKT-2024-10820</t>
  </si>
  <si>
    <t>2024-01-18 10:08:21</t>
  </si>
  <si>
    <t>2024-01-26 20:38:21</t>
  </si>
  <si>
    <t>TKT-2024-10821</t>
  </si>
  <si>
    <t>2024-01-14 23:11:06</t>
  </si>
  <si>
    <t>2024-01-24 06:35:06</t>
  </si>
  <si>
    <t>TKT-2024-10822</t>
  </si>
  <si>
    <t>2024-10-04 19:54:30</t>
  </si>
  <si>
    <t>2024-10-16 19:00:30</t>
  </si>
  <si>
    <t>TKT-2024-10823</t>
  </si>
  <si>
    <t>2024-12-24 02:19:45</t>
  </si>
  <si>
    <t>2024-12-29 12:25:45</t>
  </si>
  <si>
    <t>TKT-2024-10824</t>
  </si>
  <si>
    <t>2024-03-06 19:53:11</t>
  </si>
  <si>
    <t>2024-03-15 19:05:11</t>
  </si>
  <si>
    <t>TKT-2024-10825</t>
  </si>
  <si>
    <t>2024-03-20 22:19:37</t>
  </si>
  <si>
    <t>2024-03-25 12:55:37</t>
  </si>
  <si>
    <t>TKT-2024-10826</t>
  </si>
  <si>
    <t>2024-03-27 15:53:19</t>
  </si>
  <si>
    <t>2024-03-31 16:35:19</t>
  </si>
  <si>
    <t>TKT-2024-10827</t>
  </si>
  <si>
    <t>2024-09-29 02:29:02</t>
  </si>
  <si>
    <t>2024-10-06 21:47:02</t>
  </si>
  <si>
    <t>TKT-2024-10828</t>
  </si>
  <si>
    <t>2024-01-12 19:21:16</t>
  </si>
  <si>
    <t>2024-01-25 01:27:16</t>
  </si>
  <si>
    <t>TKT-2024-10829</t>
  </si>
  <si>
    <t>2024-11-06 23:03:48</t>
  </si>
  <si>
    <t>2024-11-15 16:51:48</t>
  </si>
  <si>
    <t>TKT-2024-10830</t>
  </si>
  <si>
    <t>2024-04-03 22:09:13</t>
  </si>
  <si>
    <t>2024-04-15 04:51:13</t>
  </si>
  <si>
    <t>TKT-2024-10831</t>
  </si>
  <si>
    <t>2024-06-25 21:08:11</t>
  </si>
  <si>
    <t>2024-06-29 07:20:11</t>
  </si>
  <si>
    <t>TKT-2024-10832</t>
  </si>
  <si>
    <t>2024-09-22 09:09:04</t>
  </si>
  <si>
    <t>2024-09-29 13:15:04</t>
  </si>
  <si>
    <t>TKT-2024-10833</t>
  </si>
  <si>
    <t>2024-02-01 07:06:57</t>
  </si>
  <si>
    <t>2024-02-08 07:54:57</t>
  </si>
  <si>
    <t>TKT-2024-10834</t>
  </si>
  <si>
    <t>2024-07-30 05:14:40</t>
  </si>
  <si>
    <t>2024-08-04 09:14:40</t>
  </si>
  <si>
    <t>TKT-2024-10835</t>
  </si>
  <si>
    <t>2024-02-02 07:02:17</t>
  </si>
  <si>
    <t>2024-02-05 22:08:17</t>
  </si>
  <si>
    <t>TKT-2024-10836</t>
  </si>
  <si>
    <t>2024-10-19 12:04:05</t>
  </si>
  <si>
    <t>2024-10-28 10:58:05</t>
  </si>
  <si>
    <t>TKT-2024-10837</t>
  </si>
  <si>
    <t>2024-03-03 00:13:38</t>
  </si>
  <si>
    <t>2024-03-24 09:25:38</t>
  </si>
  <si>
    <t>TKT-2024-10838</t>
  </si>
  <si>
    <t>2024-06-09 09:43:40</t>
  </si>
  <si>
    <t>2024-06-18 14:55:40</t>
  </si>
  <si>
    <t>TKT-2024-10839</t>
  </si>
  <si>
    <t>2024-06-12 22:57:16</t>
  </si>
  <si>
    <t>2024-06-14 19:03:16</t>
  </si>
  <si>
    <t>TKT-2024-10840</t>
  </si>
  <si>
    <t>2024-10-16 13:39:12</t>
  </si>
  <si>
    <t>2024-10-24 22:39:12</t>
  </si>
  <si>
    <t>TKT-2024-10841</t>
  </si>
  <si>
    <t>2024-02-27 14:47:39</t>
  </si>
  <si>
    <t>2024-03-07 05:29:39</t>
  </si>
  <si>
    <t>TKT-2024-10842</t>
  </si>
  <si>
    <t>2024-04-30 18:57:23</t>
  </si>
  <si>
    <t>2024-05-08 09:03:23</t>
  </si>
  <si>
    <t>TKT-2024-10843</t>
  </si>
  <si>
    <t>2024-02-22 02:15:04</t>
  </si>
  <si>
    <t>2024-02-25 09:03:04</t>
  </si>
  <si>
    <t>TKT-2024-10844</t>
  </si>
  <si>
    <t>2024-12-23 14:53:12</t>
  </si>
  <si>
    <t>2024-12-30 19:47:12</t>
  </si>
  <si>
    <t>TKT-2024-10845</t>
  </si>
  <si>
    <t>2024-08-30 09:08:13</t>
  </si>
  <si>
    <t>2024-10-07 11:44:13</t>
  </si>
  <si>
    <t>TKT-2024-10846</t>
  </si>
  <si>
    <t>2024-04-10 17:22:05</t>
  </si>
  <si>
    <t>2024-04-18 07:04:05</t>
  </si>
  <si>
    <t>TKT-2024-10847</t>
  </si>
  <si>
    <t>2024-02-21 16:35:06</t>
  </si>
  <si>
    <t>2024-03-06 17:23:06</t>
  </si>
  <si>
    <t>TKT-2024-10848</t>
  </si>
  <si>
    <t>2024-08-31 09:06:21</t>
  </si>
  <si>
    <t>2024-09-06 17:36:21</t>
  </si>
  <si>
    <t>TKT-2024-10849</t>
  </si>
  <si>
    <t>2024-08-12 06:29:26</t>
  </si>
  <si>
    <t>2024-08-21 10:05:26</t>
  </si>
  <si>
    <t>TKT-2024-10850</t>
  </si>
  <si>
    <t>2024-04-02 18:54:12</t>
  </si>
  <si>
    <t>2024-04-11 01:06:12</t>
  </si>
  <si>
    <t>TKT-2024-10851</t>
  </si>
  <si>
    <t>2024-03-29 10:47:08</t>
  </si>
  <si>
    <t>2024-04-10 12:35:08</t>
  </si>
  <si>
    <t>TKT-2024-10852</t>
  </si>
  <si>
    <t>2024-09-19 13:20:15</t>
  </si>
  <si>
    <t>2024-09-23 21:56:15</t>
  </si>
  <si>
    <t>TKT-2024-10853</t>
  </si>
  <si>
    <t>2024-11-28 11:08:27</t>
  </si>
  <si>
    <t>2024-12-07 18:50:27</t>
  </si>
  <si>
    <t>TKT-2024-10854</t>
  </si>
  <si>
    <t>2024-03-04 08:49:17</t>
  </si>
  <si>
    <t>2024-03-13 06:19:17</t>
  </si>
  <si>
    <t>TKT-2024-10855</t>
  </si>
  <si>
    <t>2024-12-29 02:31:54</t>
  </si>
  <si>
    <t>2024-12-30 23:43:54</t>
  </si>
  <si>
    <t>TKT-2024-10856</t>
  </si>
  <si>
    <t>2024-04-21 06:12:48</t>
  </si>
  <si>
    <t>2024-05-02 13:24:48</t>
  </si>
  <si>
    <t>TKT-2024-10857</t>
  </si>
  <si>
    <t>2024-03-01 19:48:12</t>
  </si>
  <si>
    <t>2024-03-10 23:12:12</t>
  </si>
  <si>
    <t>TKT-2024-10858</t>
  </si>
  <si>
    <t>2024-02-17 05:24:16</t>
  </si>
  <si>
    <t>2024-03-17 20:12:16</t>
  </si>
  <si>
    <t>TKT-2024-10859</t>
  </si>
  <si>
    <t>2024-07-28 02:20:33</t>
  </si>
  <si>
    <t>2024-08-01 11:32:33</t>
  </si>
  <si>
    <t>TKT-2024-10860</t>
  </si>
  <si>
    <t>2024-02-07 10:51:54</t>
  </si>
  <si>
    <t>2024-03-13 07:57:54</t>
  </si>
  <si>
    <t>TKT-2024-10861</t>
  </si>
  <si>
    <t>2024-02-05 15:26:48</t>
  </si>
  <si>
    <t>2024-02-14 01:02:48</t>
  </si>
  <si>
    <t>TKT-2024-10862</t>
  </si>
  <si>
    <t>2024-12-08 06:32:24</t>
  </si>
  <si>
    <t>2024-12-11 09:38:24</t>
  </si>
  <si>
    <t>TKT-2024-10863</t>
  </si>
  <si>
    <t>2024-01-11 02:42:07</t>
  </si>
  <si>
    <t>2024-01-24 12:18:07</t>
  </si>
  <si>
    <t>TKT-2024-10864</t>
  </si>
  <si>
    <t>2024-09-05 09:56:21</t>
  </si>
  <si>
    <t>2024-09-19 04:14:21</t>
  </si>
  <si>
    <t>TKT-2024-10865</t>
  </si>
  <si>
    <t>2024-02-14 00:48:56</t>
  </si>
  <si>
    <t>2024-02-18 22:24:56</t>
  </si>
  <si>
    <t>TKT-2024-10866</t>
  </si>
  <si>
    <t>2024-10-25 00:40:33</t>
  </si>
  <si>
    <t>2024-11-08 02:10:33</t>
  </si>
  <si>
    <t>TKT-2024-10867</t>
  </si>
  <si>
    <t>2024-04-22 20:48:48</t>
  </si>
  <si>
    <t>2024-05-21 12:42:48</t>
  </si>
  <si>
    <t>TKT-2024-10868</t>
  </si>
  <si>
    <t>2024-03-08 14:06:16</t>
  </si>
  <si>
    <t>2024-03-11 16:12:16</t>
  </si>
  <si>
    <t>TKT-2024-10869</t>
  </si>
  <si>
    <t>2024-03-23 23:13:54</t>
  </si>
  <si>
    <t>2024-04-02 22:49:54</t>
  </si>
  <si>
    <t>TKT-2024-10870</t>
  </si>
  <si>
    <t>2024-09-22 01:02:55</t>
  </si>
  <si>
    <t>2024-10-02 11:20:55</t>
  </si>
  <si>
    <t>TKT-2024-10871</t>
  </si>
  <si>
    <t>2024-03-18 05:16:44</t>
  </si>
  <si>
    <t>2024-03-30 04:34:44</t>
  </si>
  <si>
    <t>TKT-2024-10872</t>
  </si>
  <si>
    <t>2024-10-22 18:48:38</t>
  </si>
  <si>
    <t>2024-10-26 11:24:38</t>
  </si>
  <si>
    <t>TKT-2024-10873</t>
  </si>
  <si>
    <t>2024-11-27 01:47:38</t>
  </si>
  <si>
    <t>2024-12-09 14:23:38</t>
  </si>
  <si>
    <t>TKT-2024-10874</t>
  </si>
  <si>
    <t>2024-09-01 05:24:31</t>
  </si>
  <si>
    <t>2024-09-14 16:30:31</t>
  </si>
  <si>
    <t>TKT-2024-10875</t>
  </si>
  <si>
    <t>2024-10-07 16:44:15</t>
  </si>
  <si>
    <t>2024-10-10 22:38:15</t>
  </si>
  <si>
    <t>TKT-2024-10876</t>
  </si>
  <si>
    <t>2024-06-08 01:49:42</t>
  </si>
  <si>
    <t>2024-06-15 21:19:42</t>
  </si>
  <si>
    <t>TKT-2024-10877</t>
  </si>
  <si>
    <t>2024-01-02 00:25:14</t>
  </si>
  <si>
    <t>2024-01-11 19:43:14</t>
  </si>
  <si>
    <t>TKT-2024-10878</t>
  </si>
  <si>
    <t>2024-03-06 05:52:57</t>
  </si>
  <si>
    <t>2024-03-16 08:52:57</t>
  </si>
  <si>
    <t>TKT-2024-10879</t>
  </si>
  <si>
    <t>2024-06-10 10:39:50</t>
  </si>
  <si>
    <t>2024-06-17 07:51:50</t>
  </si>
  <si>
    <t>TKT-2024-10880</t>
  </si>
  <si>
    <t>2024-01-08 15:38:50</t>
  </si>
  <si>
    <t>2024-01-12 14:50:50</t>
  </si>
  <si>
    <t>TKT-2024-10881</t>
  </si>
  <si>
    <t>2024-11-28 18:25:37</t>
  </si>
  <si>
    <t>2024-12-03 06:49:37</t>
  </si>
  <si>
    <t>TKT-2024-10882</t>
  </si>
  <si>
    <t>2024-12-22 09:29:49</t>
  </si>
  <si>
    <t>2024-12-28 16:17:49</t>
  </si>
  <si>
    <t>TKT-2024-10883</t>
  </si>
  <si>
    <t>2024-02-12 02:22:46</t>
  </si>
  <si>
    <t>2024-02-26 23:16:46</t>
  </si>
  <si>
    <t>TKT-2024-10884</t>
  </si>
  <si>
    <t>2024-09-25 20:00:27</t>
  </si>
  <si>
    <t>2024-09-30 05:30:27</t>
  </si>
  <si>
    <t>TKT-2024-10885</t>
  </si>
  <si>
    <t>2024-04-02 12:44:57</t>
  </si>
  <si>
    <t>2024-04-16 14:14:57</t>
  </si>
  <si>
    <t>TKT-2024-10886</t>
  </si>
  <si>
    <t>2024-09-02 23:53:22</t>
  </si>
  <si>
    <t>2024-09-09 21:35:22</t>
  </si>
  <si>
    <t>TKT-2024-10887</t>
  </si>
  <si>
    <t>2024-10-14 04:01:37</t>
  </si>
  <si>
    <t>2024-10-17 06:55:37</t>
  </si>
  <si>
    <t>TKT-2024-10888</t>
  </si>
  <si>
    <t>2024-08-21 04:53:45</t>
  </si>
  <si>
    <t>2024-08-24 07:41:45</t>
  </si>
  <si>
    <t>TKT-2024-10889</t>
  </si>
  <si>
    <t>2024-05-28 06:48:50</t>
  </si>
  <si>
    <t>2024-06-07 16:00:50</t>
  </si>
  <si>
    <t>TKT-2024-10890</t>
  </si>
  <si>
    <t>2024-12-27 21:58:27</t>
  </si>
  <si>
    <t>2025-01-07 07:10:27</t>
  </si>
  <si>
    <t>TKT-2024-10891</t>
  </si>
  <si>
    <t>2024-09-19 13:33:19</t>
  </si>
  <si>
    <t>2024-09-25 01:33:19</t>
  </si>
  <si>
    <t>TKT-2024-10892</t>
  </si>
  <si>
    <t>2024-04-13 17:33:41</t>
  </si>
  <si>
    <t>2024-04-17 05:21:41</t>
  </si>
  <si>
    <t>TKT-2024-10893</t>
  </si>
  <si>
    <t>2024-05-18 18:27:52</t>
  </si>
  <si>
    <t>2024-05-31 18:21:52</t>
  </si>
  <si>
    <t>TKT-2024-10894</t>
  </si>
  <si>
    <t>2024-02-19 10:19:43</t>
  </si>
  <si>
    <t>2024-03-03 05:25:43</t>
  </si>
  <si>
    <t>TKT-2024-10895</t>
  </si>
  <si>
    <t>2024-05-20 15:34:17</t>
  </si>
  <si>
    <t>2024-05-26 20:58:17</t>
  </si>
  <si>
    <t>TKT-2024-10896</t>
  </si>
  <si>
    <t>2024-03-20 22:32:57</t>
  </si>
  <si>
    <t>2024-04-19 14:20:57</t>
  </si>
  <si>
    <t>TKT-2024-10897</t>
  </si>
  <si>
    <t>2024-05-06 01:31:14</t>
  </si>
  <si>
    <t>2024-05-21 05:25:14</t>
  </si>
  <si>
    <t>TKT-2024-10898</t>
  </si>
  <si>
    <t>2024-10-05 23:11:05</t>
  </si>
  <si>
    <t>2024-10-09 06:53:05</t>
  </si>
  <si>
    <t>TKT-2024-10899</t>
  </si>
  <si>
    <t>2024-11-19 08:02:27</t>
  </si>
  <si>
    <t>2024-11-30 00:08:27</t>
  </si>
  <si>
    <t>TKT-2024-10900</t>
  </si>
  <si>
    <t>2024-07-16 03:16:50</t>
  </si>
  <si>
    <t>2024-07-20 13:34:50</t>
  </si>
  <si>
    <t>TKT-2024-10901</t>
  </si>
  <si>
    <t>2024-04-25 00:55:34</t>
  </si>
  <si>
    <t>2024-05-08 12:31:34</t>
  </si>
  <si>
    <t>TKT-2024-10902</t>
  </si>
  <si>
    <t>2024-05-27 22:55:09</t>
  </si>
  <si>
    <t>2024-06-05 12:31:09</t>
  </si>
  <si>
    <t>TKT-2024-10903</t>
  </si>
  <si>
    <t>2024-05-23 05:49:14</t>
  </si>
  <si>
    <t>2024-06-02 08:55:14</t>
  </si>
  <si>
    <t>TKT-2024-10904</t>
  </si>
  <si>
    <t>2024-09-10 15:49:14</t>
  </si>
  <si>
    <t>2024-09-23 17:25:14</t>
  </si>
  <si>
    <t>TKT-2024-10905</t>
  </si>
  <si>
    <t>2024-05-13 09:33:53</t>
  </si>
  <si>
    <t>2024-05-22 20:27:53</t>
  </si>
  <si>
    <t>TKT-2024-10906</t>
  </si>
  <si>
    <t>2024-09-16 10:17:07</t>
  </si>
  <si>
    <t>2024-09-23 16:29:07</t>
  </si>
  <si>
    <t>TKT-2024-10907</t>
  </si>
  <si>
    <t>2024-10-10 02:36:18</t>
  </si>
  <si>
    <t>2024-10-15 20:24:18</t>
  </si>
  <si>
    <t>TKT-2024-10908</t>
  </si>
  <si>
    <t>2024-04-09 10:08:27</t>
  </si>
  <si>
    <t>2024-04-17 13:08:27</t>
  </si>
  <si>
    <t>TKT-2024-10909</t>
  </si>
  <si>
    <t>2024-12-14 01:13:01</t>
  </si>
  <si>
    <t>2024-12-19 07:07:01</t>
  </si>
  <si>
    <t>TKT-2024-10910</t>
  </si>
  <si>
    <t>2024-03-04 08:59:26</t>
  </si>
  <si>
    <t>2024-03-11 08:47:26</t>
  </si>
  <si>
    <t>TKT-2024-10911</t>
  </si>
  <si>
    <t>2024-05-02 18:09:59</t>
  </si>
  <si>
    <t>2024-05-09 12:03:59</t>
  </si>
  <si>
    <t>TKT-2024-10912</t>
  </si>
  <si>
    <t>2024-10-08 04:39:18</t>
  </si>
  <si>
    <t>2024-10-12 05:33:18</t>
  </si>
  <si>
    <t>TKT-2024-10913</t>
  </si>
  <si>
    <t>2024-04-21 15:25:44</t>
  </si>
  <si>
    <t>2024-04-25 08:49:44</t>
  </si>
  <si>
    <t>TKT-2024-10914</t>
  </si>
  <si>
    <t>2024-09-07 22:49:53</t>
  </si>
  <si>
    <t>2024-09-14 00:31:53</t>
  </si>
  <si>
    <t>TKT-2024-10915</t>
  </si>
  <si>
    <t>2024-07-14 17:48:55</t>
  </si>
  <si>
    <t>2024-08-04 18:30:55</t>
  </si>
  <si>
    <t>TKT-2024-10916</t>
  </si>
  <si>
    <t>2024-12-24 06:53:54</t>
  </si>
  <si>
    <t>2025-01-03 03:29:54</t>
  </si>
  <si>
    <t>TKT-2024-10917</t>
  </si>
  <si>
    <t>2024-07-17 10:48:30</t>
  </si>
  <si>
    <t>2024-08-06 07:06:30</t>
  </si>
  <si>
    <t>TKT-2024-10918</t>
  </si>
  <si>
    <t>2024-05-30 03:17:21</t>
  </si>
  <si>
    <t>2024-06-06 15:41:21</t>
  </si>
  <si>
    <t>TKT-2024-10919</t>
  </si>
  <si>
    <t>2024-07-01 08:21:05</t>
  </si>
  <si>
    <t>2024-07-08 06:15:05</t>
  </si>
  <si>
    <t>TKT-2024-10920</t>
  </si>
  <si>
    <t>2024-05-20 05:52:50</t>
  </si>
  <si>
    <t>2024-06-10 20:16:50</t>
  </si>
  <si>
    <t>TKT-2024-10921</t>
  </si>
  <si>
    <t>2024-12-27 15:04:59</t>
  </si>
  <si>
    <t>2024-12-31 06:46:59</t>
  </si>
  <si>
    <t>TKT-2024-10922</t>
  </si>
  <si>
    <t>2024-12-11 00:05:00</t>
  </si>
  <si>
    <t>2024-12-24 19:41:00</t>
  </si>
  <si>
    <t>TKT-2024-10923</t>
  </si>
  <si>
    <t>2024-06-01 19:27:26</t>
  </si>
  <si>
    <t>2024-06-17 08:09:26</t>
  </si>
  <si>
    <t>TKT-2024-10924</t>
  </si>
  <si>
    <t>2024-02-17 20:12:52</t>
  </si>
  <si>
    <t>2024-03-01 10:12:52</t>
  </si>
  <si>
    <t>TKT-2024-10925</t>
  </si>
  <si>
    <t>2024-10-01 09:43:43</t>
  </si>
  <si>
    <t>2024-10-10 04:49:43</t>
  </si>
  <si>
    <t>TKT-2024-10926</t>
  </si>
  <si>
    <t>2024-03-21 12:02:42</t>
  </si>
  <si>
    <t>2024-03-25 04:56:42</t>
  </si>
  <si>
    <t>TKT-2024-10927</t>
  </si>
  <si>
    <t>2024-11-04 07:12:56</t>
  </si>
  <si>
    <t>2024-11-10 18:18:56</t>
  </si>
  <si>
    <t>TKT-2024-10928</t>
  </si>
  <si>
    <t>2024-10-26 22:15:07</t>
  </si>
  <si>
    <t>2024-11-02 06:45:07</t>
  </si>
  <si>
    <t>TKT-2024-10929</t>
  </si>
  <si>
    <t>2024-04-30 22:04:03</t>
  </si>
  <si>
    <t>2024-05-04 06:52:03</t>
  </si>
  <si>
    <t>TKT-2024-10930</t>
  </si>
  <si>
    <t>2024-11-16 21:00:21</t>
  </si>
  <si>
    <t>2024-11-25 17:18:21</t>
  </si>
  <si>
    <t>TKT-2024-10931</t>
  </si>
  <si>
    <t>2024-04-01 09:24:42</t>
  </si>
  <si>
    <t>2024-04-13 12:00:42</t>
  </si>
  <si>
    <t>TKT-2024-10932</t>
  </si>
  <si>
    <t>2024-01-02 05:54:46</t>
  </si>
  <si>
    <t>2024-01-05 15:06:46</t>
  </si>
  <si>
    <t>TKT-2024-10933</t>
  </si>
  <si>
    <t>2024-03-26 05:32:03</t>
  </si>
  <si>
    <t>2024-04-05 00:14:03</t>
  </si>
  <si>
    <t>TKT-2024-10934</t>
  </si>
  <si>
    <t>2024-08-07 01:45:47</t>
  </si>
  <si>
    <t>2024-08-12 16:09:47</t>
  </si>
  <si>
    <t>TKT-2024-10935</t>
  </si>
  <si>
    <t>2024-12-16 02:58:59</t>
  </si>
  <si>
    <t>2024-12-28 09:22:59</t>
  </si>
  <si>
    <t>TKT-2024-10936</t>
  </si>
  <si>
    <t>2024-09-26 03:59:14</t>
  </si>
  <si>
    <t>2024-10-08 15:35:14</t>
  </si>
  <si>
    <t>TKT-2024-10937</t>
  </si>
  <si>
    <t>2024-04-23 16:29:01</t>
  </si>
  <si>
    <t>2024-04-29 23:11:01</t>
  </si>
  <si>
    <t>TKT-2024-10938</t>
  </si>
  <si>
    <t>2024-09-03 00:37:19</t>
  </si>
  <si>
    <t>2024-09-07 01:01:19</t>
  </si>
  <si>
    <t>TKT-2024-10939</t>
  </si>
  <si>
    <t>2024-08-05 05:19:04</t>
  </si>
  <si>
    <t>2024-08-11 02:43:04</t>
  </si>
  <si>
    <t>TKT-2024-10940</t>
  </si>
  <si>
    <t>2024-03-12 03:34:12</t>
  </si>
  <si>
    <t>2024-03-25 18:28:12</t>
  </si>
  <si>
    <t>TKT-2024-10941</t>
  </si>
  <si>
    <t>2024-12-03 08:39:06</t>
  </si>
  <si>
    <t>2024-12-12 05:15:06</t>
  </si>
  <si>
    <t>TKT-2024-10942</t>
  </si>
  <si>
    <t>2024-05-16 07:39:18</t>
  </si>
  <si>
    <t>2024-05-18 03:39:18</t>
  </si>
  <si>
    <t>TKT-2024-10943</t>
  </si>
  <si>
    <t>2024-01-29 22:41:35</t>
  </si>
  <si>
    <t>2024-02-05 02:05:35</t>
  </si>
  <si>
    <t>TKT-2024-10944</t>
  </si>
  <si>
    <t>2024-08-18 05:50:18</t>
  </si>
  <si>
    <t>2024-08-22 10:38:18</t>
  </si>
  <si>
    <t>TKT-2024-10945</t>
  </si>
  <si>
    <t>2024-01-06 20:00:00</t>
  </si>
  <si>
    <t>2024-01-11 08:54:00</t>
  </si>
  <si>
    <t>TKT-2024-10946</t>
  </si>
  <si>
    <t>2024-03-04 18:47:32</t>
  </si>
  <si>
    <t>2024-03-08 03:17:32</t>
  </si>
  <si>
    <t>TKT-2024-10947</t>
  </si>
  <si>
    <t>2024-06-23 09:08:14</t>
  </si>
  <si>
    <t>2024-06-25 05:26:14</t>
  </si>
  <si>
    <t>TKT-2024-10948</t>
  </si>
  <si>
    <t>2024-08-12 20:56:56</t>
  </si>
  <si>
    <t>2024-08-25 23:44:56</t>
  </si>
  <si>
    <t>TKT-2024-10949</t>
  </si>
  <si>
    <t>2024-11-07 09:08:42</t>
  </si>
  <si>
    <t>2024-11-14 18:02:42</t>
  </si>
  <si>
    <t>TKT-2024-10950</t>
  </si>
  <si>
    <t>2024-07-25 08:45:29</t>
  </si>
  <si>
    <t>2024-07-28 01:51:29</t>
  </si>
  <si>
    <t>TKT-2024-10951</t>
  </si>
  <si>
    <t>2024-08-01 22:38:36</t>
  </si>
  <si>
    <t>2024-08-05 21:32:36</t>
  </si>
  <si>
    <t>TKT-2024-10952</t>
  </si>
  <si>
    <t>2024-05-08 15:25:12</t>
  </si>
  <si>
    <t>2024-05-17 18:13:12</t>
  </si>
  <si>
    <t>TKT-2024-10953</t>
  </si>
  <si>
    <t>2024-07-11 23:59:29</t>
  </si>
  <si>
    <t>2024-07-15 13:05:29</t>
  </si>
  <si>
    <t>TKT-2024-10954</t>
  </si>
  <si>
    <t>2024-06-19 08:52:06</t>
  </si>
  <si>
    <t>2024-06-26 06:28:06</t>
  </si>
  <si>
    <t>TKT-2024-10955</t>
  </si>
  <si>
    <t>2024-01-12 18:43:34</t>
  </si>
  <si>
    <t>2024-02-05 15:07:34</t>
  </si>
  <si>
    <t>TKT-2024-10956</t>
  </si>
  <si>
    <t>2024-11-02 22:35:05</t>
  </si>
  <si>
    <t>2024-11-10 22:23:05</t>
  </si>
  <si>
    <t>TKT-2024-10957</t>
  </si>
  <si>
    <t>2024-10-03 05:25:41</t>
  </si>
  <si>
    <t>2024-10-10 14:31:41</t>
  </si>
  <si>
    <t>TKT-2024-10958</t>
  </si>
  <si>
    <t>2024-06-25 18:12:59</t>
  </si>
  <si>
    <t>2024-07-06 23:00:59</t>
  </si>
  <si>
    <t>TKT-2024-10959</t>
  </si>
  <si>
    <t>2024-08-10 19:23:13</t>
  </si>
  <si>
    <t>2024-09-07 15:29:13</t>
  </si>
  <si>
    <t>TKT-2024-10960</t>
  </si>
  <si>
    <t>2024-01-08 04:46:55</t>
  </si>
  <si>
    <t>2024-01-12 08:40:55</t>
  </si>
  <si>
    <t>TKT-2024-10961</t>
  </si>
  <si>
    <t>2024-08-31 12:07:54</t>
  </si>
  <si>
    <t>2024-09-13 10:37:54</t>
  </si>
  <si>
    <t>TKT-2024-10962</t>
  </si>
  <si>
    <t>2024-09-08 14:23:49</t>
  </si>
  <si>
    <t>2024-09-16 09:05:49</t>
  </si>
  <si>
    <t>TKT-2024-10963</t>
  </si>
  <si>
    <t>2024-10-28 04:07:58</t>
  </si>
  <si>
    <t>2024-11-12 13:13:58</t>
  </si>
  <si>
    <t>TKT-2024-10964</t>
  </si>
  <si>
    <t>2024-11-28 19:28:10</t>
  </si>
  <si>
    <t>2024-12-08 02:16:10</t>
  </si>
  <si>
    <t>TKT-2024-10965</t>
  </si>
  <si>
    <t>2024-02-27 22:07:50</t>
  </si>
  <si>
    <t>2024-03-01 00:37:50</t>
  </si>
  <si>
    <t>TKT-2024-10966</t>
  </si>
  <si>
    <t>2024-03-16 10:43:14</t>
  </si>
  <si>
    <t>2024-03-24 10:49:14</t>
  </si>
  <si>
    <t>TKT-2024-10967</t>
  </si>
  <si>
    <t>2024-07-24 09:25:14</t>
  </si>
  <si>
    <t>2024-08-03 17:49:14</t>
  </si>
  <si>
    <t>TKT-2024-10968</t>
  </si>
  <si>
    <t>2024-07-15 17:39:38</t>
  </si>
  <si>
    <t>2024-08-11 17:09:38</t>
  </si>
  <si>
    <t>TKT-2024-10969</t>
  </si>
  <si>
    <t>2024-04-12 00:20:04</t>
  </si>
  <si>
    <t>2024-04-19 12:02:04</t>
  </si>
  <si>
    <t>TKT-2024-10970</t>
  </si>
  <si>
    <t>2024-06-29 03:05:23</t>
  </si>
  <si>
    <t>2024-07-07 03:53:23</t>
  </si>
  <si>
    <t>TKT-2024-10971</t>
  </si>
  <si>
    <t>2024-01-08 00:47:34</t>
  </si>
  <si>
    <t>2024-01-16 11:11:34</t>
  </si>
  <si>
    <t>TKT-2024-10972</t>
  </si>
  <si>
    <t>2024-07-24 09:55:17</t>
  </si>
  <si>
    <t>2024-08-01 12:19:17</t>
  </si>
  <si>
    <t>TKT-2024-10973</t>
  </si>
  <si>
    <t>2024-12-30 00:37:06</t>
  </si>
  <si>
    <t>2025-01-12 16:49:06</t>
  </si>
  <si>
    <t>TKT-2024-10974</t>
  </si>
  <si>
    <t>2024-02-16 12:13:54</t>
  </si>
  <si>
    <t>2024-02-23 00:31:54</t>
  </si>
  <si>
    <t>TKT-2024-10975</t>
  </si>
  <si>
    <t>2024-01-28 00:25:59</t>
  </si>
  <si>
    <t>2024-02-03 07:49:59</t>
  </si>
  <si>
    <t>TKT-2024-10976</t>
  </si>
  <si>
    <t>2024-07-29 01:03:58</t>
  </si>
  <si>
    <t>2024-08-04 21:51:58</t>
  </si>
  <si>
    <t>TKT-2024-10977</t>
  </si>
  <si>
    <t>2024-12-21 20:46:56</t>
  </si>
  <si>
    <t>2024-12-25 23:16:56</t>
  </si>
  <si>
    <t>TKT-2024-10978</t>
  </si>
  <si>
    <t>2024-09-24 04:22:44</t>
  </si>
  <si>
    <t>2024-10-01 17:58:44</t>
  </si>
  <si>
    <t>TKT-2024-10979</t>
  </si>
  <si>
    <t>2024-10-13 23:51:09</t>
  </si>
  <si>
    <t>2024-10-28 17:09:09</t>
  </si>
  <si>
    <t>TKT-2024-10980</t>
  </si>
  <si>
    <t>2024-11-20 15:26:06</t>
  </si>
  <si>
    <t>2024-11-24 22:50:06</t>
  </si>
  <si>
    <t>TKT-2024-10981</t>
  </si>
  <si>
    <t>2024-05-15 03:10:49</t>
  </si>
  <si>
    <t>2024-05-18 01:28:49</t>
  </si>
  <si>
    <t>TKT-2024-10982</t>
  </si>
  <si>
    <t>2024-12-01 11:56:59</t>
  </si>
  <si>
    <t>2024-12-11 18:14:59</t>
  </si>
  <si>
    <t>TKT-2024-10983</t>
  </si>
  <si>
    <t>2024-11-28 07:46:02</t>
  </si>
  <si>
    <t>2024-12-13 06:34:02</t>
  </si>
  <si>
    <t>TKT-2024-10984</t>
  </si>
  <si>
    <t>2024-01-27 12:09:16</t>
  </si>
  <si>
    <t>2024-02-08 21:21:16</t>
  </si>
  <si>
    <t>TKT-2024-10985</t>
  </si>
  <si>
    <t>2024-10-31 17:29:40</t>
  </si>
  <si>
    <t>2024-11-03 20:11:40</t>
  </si>
  <si>
    <t>TKT-2024-10986</t>
  </si>
  <si>
    <t>2024-03-09 15:33:32</t>
  </si>
  <si>
    <t>2024-04-08 15:51:32</t>
  </si>
  <si>
    <t>TKT-2024-10987</t>
  </si>
  <si>
    <t>2024-11-24 03:06:46</t>
  </si>
  <si>
    <t>2024-12-04 18:06:46</t>
  </si>
  <si>
    <t>TKT-2024-10988</t>
  </si>
  <si>
    <t>2024-10-31 21:39:22</t>
  </si>
  <si>
    <t>2024-11-11 08:33:22</t>
  </si>
  <si>
    <t>TKT-2024-10989</t>
  </si>
  <si>
    <t>2024-10-05 20:03:55</t>
  </si>
  <si>
    <t>2024-10-14 01:57:55</t>
  </si>
  <si>
    <t>TKT-2024-10990</t>
  </si>
  <si>
    <t>2024-04-29 22:21:24</t>
  </si>
  <si>
    <t>2024-05-06 09:57:24</t>
  </si>
  <si>
    <t>TKT-2024-10991</t>
  </si>
  <si>
    <t>2024-05-26 03:19:04</t>
  </si>
  <si>
    <t>2024-06-02 20:43:04</t>
  </si>
  <si>
    <t>TKT-2024-10992</t>
  </si>
  <si>
    <t>2024-08-01 23:58:19</t>
  </si>
  <si>
    <t>2024-08-12 06:34:19</t>
  </si>
  <si>
    <t>TKT-2024-10993</t>
  </si>
  <si>
    <t>2024-03-28 05:23:52</t>
  </si>
  <si>
    <t>2024-04-19 00:41:52</t>
  </si>
  <si>
    <t>TKT-2024-10994</t>
  </si>
  <si>
    <t>2024-12-27 10:47:35</t>
  </si>
  <si>
    <t>2024-12-31 17:11:35</t>
  </si>
  <si>
    <t>TKT-2024-10995</t>
  </si>
  <si>
    <t>2024-12-05 02:53:17</t>
  </si>
  <si>
    <t>2024-12-18 06:53:17</t>
  </si>
  <si>
    <t>TKT-2024-10996</t>
  </si>
  <si>
    <t>2024-06-19 22:34:16</t>
  </si>
  <si>
    <t>2024-06-25 00:52:16</t>
  </si>
  <si>
    <t>TKT-2024-10997</t>
  </si>
  <si>
    <t>2024-11-22 12:53:05</t>
  </si>
  <si>
    <t>2024-11-30 01:29:05</t>
  </si>
  <si>
    <t>TKT-2024-10998</t>
  </si>
  <si>
    <t>2024-02-19 18:43:31</t>
  </si>
  <si>
    <t>2024-03-15 03:13:31</t>
  </si>
  <si>
    <t>TKT-2024-10999</t>
  </si>
  <si>
    <t>2024-05-22 20:29:27</t>
  </si>
  <si>
    <t>2024-05-31 13:47:27</t>
  </si>
  <si>
    <t>TKT-2024-11000</t>
  </si>
  <si>
    <t>2024-04-16 16:48:06</t>
  </si>
  <si>
    <t>2024-04-26 08:12:06</t>
  </si>
  <si>
    <t>TKT-2024-11001</t>
  </si>
  <si>
    <t>2024-02-29 03:58:51</t>
  </si>
  <si>
    <t>2024-03-08 09:46:51</t>
  </si>
  <si>
    <t>TKT-2024-11002</t>
  </si>
  <si>
    <t>2024-05-05 18:54:38</t>
  </si>
  <si>
    <t>2024-05-08 10:36:38</t>
  </si>
  <si>
    <t>TKT-2024-11003</t>
  </si>
  <si>
    <t>2024-07-14 16:28:04</t>
  </si>
  <si>
    <t>2024-07-22 02:52:04</t>
  </si>
  <si>
    <t>TKT-2024-11004</t>
  </si>
  <si>
    <t>2024-12-20 20:40:02</t>
  </si>
  <si>
    <t>2024-12-30 10:28:02</t>
  </si>
  <si>
    <t>TKT-2024-11005</t>
  </si>
  <si>
    <t>2024-08-20 18:06:25</t>
  </si>
  <si>
    <t>2024-09-04 12:48:25</t>
  </si>
  <si>
    <t>TKT-2024-11006</t>
  </si>
  <si>
    <t>2024-09-29 21:39:34</t>
  </si>
  <si>
    <t>2024-10-12 11:03:34</t>
  </si>
  <si>
    <t>TKT-2024-11007</t>
  </si>
  <si>
    <t>2024-05-21 20:35:39</t>
  </si>
  <si>
    <t>2024-05-29 07:47:39</t>
  </si>
  <si>
    <t>TKT-2024-11008</t>
  </si>
  <si>
    <t>2024-03-02 19:38:16</t>
  </si>
  <si>
    <t>2024-03-06 19:02:16</t>
  </si>
  <si>
    <t>TKT-2024-11009</t>
  </si>
  <si>
    <t>2024-04-06 03:40:38</t>
  </si>
  <si>
    <t>2024-04-13 14:46:38</t>
  </si>
  <si>
    <t>TKT-2024-11010</t>
  </si>
  <si>
    <t>2024-06-01 14:56:20</t>
  </si>
  <si>
    <t>2024-06-08 00:38:20</t>
  </si>
  <si>
    <t>TKT-2024-11011</t>
  </si>
  <si>
    <t>2024-11-29 20:08:33</t>
  </si>
  <si>
    <t>2024-12-03 09:02:33</t>
  </si>
  <si>
    <t>TKT-2024-11012</t>
  </si>
  <si>
    <t>2024-11-30 10:50:24</t>
  </si>
  <si>
    <t>2024-12-05 11:38:24</t>
  </si>
  <si>
    <t>TKT-2024-11013</t>
  </si>
  <si>
    <t>2024-09-29 14:17:44</t>
  </si>
  <si>
    <t>2024-10-14 13:59:44</t>
  </si>
  <si>
    <t>TKT-2024-11014</t>
  </si>
  <si>
    <t>2024-06-19 13:58:21</t>
  </si>
  <si>
    <t>2024-07-04 13:28:21</t>
  </si>
  <si>
    <t>TKT-2024-11015</t>
  </si>
  <si>
    <t>2024-09-28 22:29:51</t>
  </si>
  <si>
    <t>2024-10-10 18:53:51</t>
  </si>
  <si>
    <t>TKT-2024-11016</t>
  </si>
  <si>
    <t>2024-06-20 12:26:21</t>
  </si>
  <si>
    <t>2024-06-23 02:26:21</t>
  </si>
  <si>
    <t>TKT-2024-11017</t>
  </si>
  <si>
    <t>2024-06-01 14:37:03</t>
  </si>
  <si>
    <t>2024-06-23 10:31:03</t>
  </si>
  <si>
    <t>TKT-2024-11018</t>
  </si>
  <si>
    <t>2024-09-23 15:21:59</t>
  </si>
  <si>
    <t>2024-09-27 01:39:59</t>
  </si>
  <si>
    <t>TKT-2024-11019</t>
  </si>
  <si>
    <t>2024-06-07 21:48:29</t>
  </si>
  <si>
    <t>2024-06-27 08:48:29</t>
  </si>
  <si>
    <t>TKT-2024-11020</t>
  </si>
  <si>
    <t>2024-11-04 00:40:14</t>
  </si>
  <si>
    <t>2024-11-14 04:22:14</t>
  </si>
  <si>
    <t>TKT-2024-11021</t>
  </si>
  <si>
    <t>2024-06-16 18:45:24</t>
  </si>
  <si>
    <t>2024-06-28 07:39:24</t>
  </si>
  <si>
    <t>TKT-2024-11022</t>
  </si>
  <si>
    <t>2024-01-10 09:06:43</t>
  </si>
  <si>
    <t>2024-01-20 21:18:43</t>
  </si>
  <si>
    <t>TKT-2024-11023</t>
  </si>
  <si>
    <t>2024-02-23 01:11:38</t>
  </si>
  <si>
    <t>2024-03-03 01:29:38</t>
  </si>
  <si>
    <t>TKT-2024-11024</t>
  </si>
  <si>
    <t>2024-02-28 05:24:14</t>
  </si>
  <si>
    <t>2024-03-07 16:24:14</t>
  </si>
  <si>
    <t>TKT-2024-11025</t>
  </si>
  <si>
    <t>2024-07-01 06:16:57</t>
  </si>
  <si>
    <t>2024-07-10 10:22:57</t>
  </si>
  <si>
    <t>TKT-2024-11026</t>
  </si>
  <si>
    <t>2024-05-07 00:21:26</t>
  </si>
  <si>
    <t>2024-05-12 05:33:26</t>
  </si>
  <si>
    <t>TKT-2024-11027</t>
  </si>
  <si>
    <t>2024-08-08 08:55:06</t>
  </si>
  <si>
    <t>2024-08-15 05:43:06</t>
  </si>
  <si>
    <t>TKT-2024-11028</t>
  </si>
  <si>
    <t>2024-02-20 00:02:05</t>
  </si>
  <si>
    <t>2024-02-29 09:14:05</t>
  </si>
  <si>
    <t>TKT-2024-11029</t>
  </si>
  <si>
    <t>2024-09-18 21:16:35</t>
  </si>
  <si>
    <t>2024-09-23 07:46:35</t>
  </si>
  <si>
    <t>TKT-2024-11030</t>
  </si>
  <si>
    <t>2024-12-19 10:31:38</t>
  </si>
  <si>
    <t>2024-12-30 16:31:38</t>
  </si>
  <si>
    <t>TKT-2024-11031</t>
  </si>
  <si>
    <t>2024-04-22 09:41:39</t>
  </si>
  <si>
    <t>2024-05-01 17:41:39</t>
  </si>
  <si>
    <t>TKT-2024-11032</t>
  </si>
  <si>
    <t>2024-03-16 08:28:36</t>
  </si>
  <si>
    <t>2024-03-25 10:40:36</t>
  </si>
  <si>
    <t>TKT-2024-11033</t>
  </si>
  <si>
    <t>2024-01-26 06:41:37</t>
  </si>
  <si>
    <t>2024-01-30 02:47:37</t>
  </si>
  <si>
    <t>TKT-2024-11034</t>
  </si>
  <si>
    <t>2024-01-10 05:29:00</t>
  </si>
  <si>
    <t>2024-01-24 08:41:00</t>
  </si>
  <si>
    <t>TKT-2024-11035</t>
  </si>
  <si>
    <t>2024-11-06 16:13:00</t>
  </si>
  <si>
    <t>2024-11-17 18:25:00</t>
  </si>
  <si>
    <t>TKT-2024-11036</t>
  </si>
  <si>
    <t>2024-05-20 11:49:41</t>
  </si>
  <si>
    <t>2024-06-28 03:19:41</t>
  </si>
  <si>
    <t>TKT-2024-11037</t>
  </si>
  <si>
    <t>2024-04-11 19:54:57</t>
  </si>
  <si>
    <t>2024-04-17 01:36:57</t>
  </si>
  <si>
    <t>TKT-2024-11038</t>
  </si>
  <si>
    <t>2024-05-30 03:36:21</t>
  </si>
  <si>
    <t>2024-07-09 16:48:21</t>
  </si>
  <si>
    <t>TKT-2024-11039</t>
  </si>
  <si>
    <t>2024-04-25 15:24:33</t>
  </si>
  <si>
    <t>2024-04-28 02:24:33</t>
  </si>
  <si>
    <t>TKT-2024-11040</t>
  </si>
  <si>
    <t>2024-02-07 12:20:12</t>
  </si>
  <si>
    <t>2024-02-16 15:50:12</t>
  </si>
  <si>
    <t>TKT-2024-11041</t>
  </si>
  <si>
    <t>2024-12-02 17:47:22</t>
  </si>
  <si>
    <t>2024-12-15 02:17:22</t>
  </si>
  <si>
    <t>TKT-2024-11042</t>
  </si>
  <si>
    <t>2024-02-17 16:43:23</t>
  </si>
  <si>
    <t>2024-02-28 15:25:23</t>
  </si>
  <si>
    <t>TKT-2024-11043</t>
  </si>
  <si>
    <t>2024-11-11 14:29:43</t>
  </si>
  <si>
    <t>2024-11-12 20:23:43</t>
  </si>
  <si>
    <t>TKT-2024-11044</t>
  </si>
  <si>
    <t>2024-06-23 14:44:13</t>
  </si>
  <si>
    <t>2024-07-07 04:32:13</t>
  </si>
  <si>
    <t>TKT-2024-11045</t>
  </si>
  <si>
    <t>2024-05-25 04:09:15</t>
  </si>
  <si>
    <t>2024-06-04 04:45:15</t>
  </si>
  <si>
    <t>TKT-2024-11046</t>
  </si>
  <si>
    <t>2024-09-12 14:58:02</t>
  </si>
  <si>
    <t>2024-09-21 23:34:02</t>
  </si>
  <si>
    <t>TKT-2024-11047</t>
  </si>
  <si>
    <t>2024-08-26 03:51:23</t>
  </si>
  <si>
    <t>2024-09-16 00:57:23</t>
  </si>
  <si>
    <t>TKT-2024-11048</t>
  </si>
  <si>
    <t>2024-10-25 22:41:27</t>
  </si>
  <si>
    <t>2024-11-07 22:41:27</t>
  </si>
  <si>
    <t>TKT-2024-11049</t>
  </si>
  <si>
    <t>2024-10-06 03:35:56</t>
  </si>
  <si>
    <t>2024-10-17 22:05:56</t>
  </si>
  <si>
    <t>TKT-2024-11050</t>
  </si>
  <si>
    <t>2024-12-01 20:21:34</t>
  </si>
  <si>
    <t>2024-12-11 07:03:34</t>
  </si>
  <si>
    <t>TKT-2024-11051</t>
  </si>
  <si>
    <t>2024-11-09 22:01:15</t>
  </si>
  <si>
    <t>2024-11-16 23:13:15</t>
  </si>
  <si>
    <t>TKT-2024-11052</t>
  </si>
  <si>
    <t>2024-09-17 01:20:48</t>
  </si>
  <si>
    <t>2024-09-29 14:38:48</t>
  </si>
  <si>
    <t>TKT-2024-11053</t>
  </si>
  <si>
    <t>2024-10-16 17:29:20</t>
  </si>
  <si>
    <t>2024-10-29 03:23:20</t>
  </si>
  <si>
    <t>TKT-2024-11054</t>
  </si>
  <si>
    <t>2024-08-09 02:34:48</t>
  </si>
  <si>
    <t>2024-08-13 12:16:48</t>
  </si>
  <si>
    <t>TKT-2024-11055</t>
  </si>
  <si>
    <t>2024-09-13 20:20:40</t>
  </si>
  <si>
    <t>2024-10-03 08:26:40</t>
  </si>
  <si>
    <t>TKT-2024-11056</t>
  </si>
  <si>
    <t>2024-11-21 10:35:14</t>
  </si>
  <si>
    <t>2024-11-30 17:35:14</t>
  </si>
  <si>
    <t>TKT-2024-11057</t>
  </si>
  <si>
    <t>2024-05-24 16:31:29</t>
  </si>
  <si>
    <t>2024-06-04 12:25:29</t>
  </si>
  <si>
    <t>TKT-2024-11058</t>
  </si>
  <si>
    <t>2024-06-24 13:56:26</t>
  </si>
  <si>
    <t>2024-07-01 14:08:26</t>
  </si>
  <si>
    <t>TKT-2024-11059</t>
  </si>
  <si>
    <t>2024-01-06 11:37:44</t>
  </si>
  <si>
    <t>2024-01-12 00:37:44</t>
  </si>
  <si>
    <t>TKT-2024-11060</t>
  </si>
  <si>
    <t>2024-02-25 16:52:15</t>
  </si>
  <si>
    <t>2024-02-28 16:46:15</t>
  </si>
  <si>
    <t>TKT-2024-11061</t>
  </si>
  <si>
    <t>2024-07-03 01:05:40</t>
  </si>
  <si>
    <t>2024-07-10 03:29:40</t>
  </si>
  <si>
    <t>TKT-2024-11062</t>
  </si>
  <si>
    <t>2024-03-02 09:46:34</t>
  </si>
  <si>
    <t>2024-03-23 10:10:34</t>
  </si>
  <si>
    <t>TKT-2024-11063</t>
  </si>
  <si>
    <t>2024-08-24 19:05:12</t>
  </si>
  <si>
    <t>2024-09-02 15:47:12</t>
  </si>
  <si>
    <t>TKT-2024-11064</t>
  </si>
  <si>
    <t>2024-05-11 18:25:12</t>
  </si>
  <si>
    <t>2024-05-15 15:01:12</t>
  </si>
  <si>
    <t>TKT-2024-11065</t>
  </si>
  <si>
    <t>2024-09-28 09:04:37</t>
  </si>
  <si>
    <t>2024-10-06 05:22:37</t>
  </si>
  <si>
    <t>TKT-2024-11066</t>
  </si>
  <si>
    <t>2024-01-04 16:05:50</t>
  </si>
  <si>
    <t>2024-01-11 02:47:50</t>
  </si>
  <si>
    <t>TKT-2024-11067</t>
  </si>
  <si>
    <t>2024-08-05 03:44:18</t>
  </si>
  <si>
    <t>2024-08-13 09:50:18</t>
  </si>
  <si>
    <t>TKT-2024-11068</t>
  </si>
  <si>
    <t>2024-11-02 12:48:06</t>
  </si>
  <si>
    <t>2024-11-06 22:48:06</t>
  </si>
  <si>
    <t>TKT-2024-11069</t>
  </si>
  <si>
    <t>2024-06-01 02:35:44</t>
  </si>
  <si>
    <t>2024-06-09 16:59:44</t>
  </si>
  <si>
    <t>TKT-2024-11070</t>
  </si>
  <si>
    <t>2024-06-13 21:02:18</t>
  </si>
  <si>
    <t>2024-06-17 14:26:18</t>
  </si>
  <si>
    <t>TKT-2024-11071</t>
  </si>
  <si>
    <t>2024-12-22 04:05:19</t>
  </si>
  <si>
    <t>2024-12-29 15:59:19</t>
  </si>
  <si>
    <t>TKT-2024-11072</t>
  </si>
  <si>
    <t>2024-05-23 21:48:56</t>
  </si>
  <si>
    <t>2024-06-06 20:54:56</t>
  </si>
  <si>
    <t>TKT-2024-11073</t>
  </si>
  <si>
    <t>2024-01-25 14:16:26</t>
  </si>
  <si>
    <t>2024-02-07 14:34:26</t>
  </si>
  <si>
    <t>TKT-2024-11074</t>
  </si>
  <si>
    <t>2024-09-11 13:27:49</t>
  </si>
  <si>
    <t>2024-09-22 16:33:49</t>
  </si>
  <si>
    <t>TKT-2024-11075</t>
  </si>
  <si>
    <t>2024-05-25 14:09:17</t>
  </si>
  <si>
    <t>2024-05-29 22:27:17</t>
  </si>
  <si>
    <t>TKT-2024-11076</t>
  </si>
  <si>
    <t>2024-07-07 21:02:28</t>
  </si>
  <si>
    <t>2024-07-20 22:32:28</t>
  </si>
  <si>
    <t>TKT-2024-11077</t>
  </si>
  <si>
    <t>2024-08-04 12:54:00</t>
  </si>
  <si>
    <t>2024-08-12 20:00:00</t>
  </si>
  <si>
    <t>TKT-2024-11078</t>
  </si>
  <si>
    <t>2024-11-27 06:21:58</t>
  </si>
  <si>
    <t>2024-12-05 17:57:58</t>
  </si>
  <si>
    <t>TKT-2024-11079</t>
  </si>
  <si>
    <t>2024-08-21 08:12:18</t>
  </si>
  <si>
    <t>2024-08-30 02:12:18</t>
  </si>
  <si>
    <t>TKT-2024-11080</t>
  </si>
  <si>
    <t>2024-10-29 07:40:34</t>
  </si>
  <si>
    <t>2024-11-02 12:04:34</t>
  </si>
  <si>
    <t>TKT-2024-11081</t>
  </si>
  <si>
    <t>2024-03-27 20:10:14</t>
  </si>
  <si>
    <t>2024-04-04 12:28:14</t>
  </si>
  <si>
    <t>TKT-2024-11082</t>
  </si>
  <si>
    <t>2024-03-26 03:30:46</t>
  </si>
  <si>
    <t>2024-04-04 02:36:46</t>
  </si>
  <si>
    <t>TKT-2024-11083</t>
  </si>
  <si>
    <t>2024-09-19 08:50:19</t>
  </si>
  <si>
    <t>2024-09-26 00:38:19</t>
  </si>
  <si>
    <t>TKT-2024-11084</t>
  </si>
  <si>
    <t>2024-02-12 12:01:49</t>
  </si>
  <si>
    <t>2024-02-16 14:13:49</t>
  </si>
  <si>
    <t>TKT-2024-11085</t>
  </si>
  <si>
    <t>2024-03-14 19:14:15</t>
  </si>
  <si>
    <t>2024-03-19 09:44:15</t>
  </si>
  <si>
    <t>TKT-2024-11086</t>
  </si>
  <si>
    <t>2024-01-08 15:50:32</t>
  </si>
  <si>
    <t>2024-01-12 18:02:32</t>
  </si>
  <si>
    <t>TKT-2024-11087</t>
  </si>
  <si>
    <t>2024-08-20 11:50:05</t>
  </si>
  <si>
    <t>2024-09-02 21:38:05</t>
  </si>
  <si>
    <t>TKT-2024-11088</t>
  </si>
  <si>
    <t>2024-09-17 15:52:28</t>
  </si>
  <si>
    <t>2024-09-18 02:10:28</t>
  </si>
  <si>
    <t>TKT-2024-11089</t>
  </si>
  <si>
    <t>2024-10-03 14:11:50</t>
  </si>
  <si>
    <t>2024-10-11 02:11:50</t>
  </si>
  <si>
    <t>TKT-2024-11090</t>
  </si>
  <si>
    <t>2024-06-04 23:43:36</t>
  </si>
  <si>
    <t>2024-06-17 08:07:36</t>
  </si>
  <si>
    <t>TKT-2024-11091</t>
  </si>
  <si>
    <t>2024-10-29 22:59:39</t>
  </si>
  <si>
    <t>2024-11-08 03:47:39</t>
  </si>
  <si>
    <t>TKT-2024-11092</t>
  </si>
  <si>
    <t>2024-02-14 18:30:33</t>
  </si>
  <si>
    <t>2024-02-26 21:18:33</t>
  </si>
  <si>
    <t>TKT-2024-11093</t>
  </si>
  <si>
    <t>2024-10-02 19:27:21</t>
  </si>
  <si>
    <t>2024-10-16 06:39:21</t>
  </si>
  <si>
    <t>TKT-2024-11094</t>
  </si>
  <si>
    <t>2024-11-01 11:25:38</t>
  </si>
  <si>
    <t>2024-11-10 03:13:38</t>
  </si>
  <si>
    <t>TKT-2024-11095</t>
  </si>
  <si>
    <t>2024-04-09 21:36:35</t>
  </si>
  <si>
    <t>2024-05-05 16:06:35</t>
  </si>
  <si>
    <t>TKT-2024-11096</t>
  </si>
  <si>
    <t>2024-05-14 22:45:06</t>
  </si>
  <si>
    <t>2024-05-25 13:27:06</t>
  </si>
  <si>
    <t>TKT-2024-11097</t>
  </si>
  <si>
    <t>2024-01-04 18:37:48</t>
  </si>
  <si>
    <t>2024-01-18 20:49:48</t>
  </si>
  <si>
    <t>TKT-2024-11098</t>
  </si>
  <si>
    <t>2024-12-05 17:31:27</t>
  </si>
  <si>
    <t>2024-12-18 17:49:27</t>
  </si>
  <si>
    <t>TKT-2024-11099</t>
  </si>
  <si>
    <t>2024-06-08 08:34:05</t>
  </si>
  <si>
    <t>2024-06-12 10:34:05</t>
  </si>
  <si>
    <t>TKT-2024-11100</t>
  </si>
  <si>
    <t>2024-06-02 12:02:59</t>
  </si>
  <si>
    <t>2024-06-14 17:44:59</t>
  </si>
  <si>
    <t>TKT-2024-11101</t>
  </si>
  <si>
    <t>2024-04-17 14:34:49</t>
  </si>
  <si>
    <t>2024-05-13 12:34:49</t>
  </si>
  <si>
    <t>TKT-2024-11102</t>
  </si>
  <si>
    <t>2024-10-24 15:33:21</t>
  </si>
  <si>
    <t>2024-11-03 15:51:21</t>
  </si>
  <si>
    <t>TKT-2024-11103</t>
  </si>
  <si>
    <t>2024-03-27 23:30:16</t>
  </si>
  <si>
    <t>2024-04-08 11:48:16</t>
  </si>
  <si>
    <t>TKT-2024-11104</t>
  </si>
  <si>
    <t>2024-10-31 06:19:19</t>
  </si>
  <si>
    <t>2024-11-11 21:19:19</t>
  </si>
  <si>
    <t>TKT-2024-11105</t>
  </si>
  <si>
    <t>2024-11-07 13:27:41</t>
  </si>
  <si>
    <t>2024-11-11 06:03:41</t>
  </si>
  <si>
    <t>TKT-2024-11106</t>
  </si>
  <si>
    <t>2024-05-23 13:39:21</t>
  </si>
  <si>
    <t>2024-05-29 15:33:21</t>
  </si>
  <si>
    <t>TKT-2024-11107</t>
  </si>
  <si>
    <t>2024-05-06 19:12:51</t>
  </si>
  <si>
    <t>2024-05-16 17:06:51</t>
  </si>
  <si>
    <t>TKT-2024-11108</t>
  </si>
  <si>
    <t>2024-02-05 05:26:09</t>
  </si>
  <si>
    <t>2024-02-08 22:50:09</t>
  </si>
  <si>
    <t>TKT-2024-11109</t>
  </si>
  <si>
    <t>2024-05-22 21:06:58</t>
  </si>
  <si>
    <t>2024-06-06 09:18:58</t>
  </si>
  <si>
    <t>TKT-2024-11110</t>
  </si>
  <si>
    <t>2024-09-13 17:15:57</t>
  </si>
  <si>
    <t>2024-09-22 11:45:57</t>
  </si>
  <si>
    <t>TKT-2024-11111</t>
  </si>
  <si>
    <t>2024-04-10 18:43:05</t>
  </si>
  <si>
    <t>2024-04-19 20:25:05</t>
  </si>
  <si>
    <t>TKT-2024-11112</t>
  </si>
  <si>
    <t>2024-07-11 12:26:25</t>
  </si>
  <si>
    <t>2024-07-18 21:38:25</t>
  </si>
  <si>
    <t>TKT-2024-11113</t>
  </si>
  <si>
    <t>2024-01-28 23:56:20</t>
  </si>
  <si>
    <t>2024-02-04 23:14:20</t>
  </si>
  <si>
    <t>TKT-2024-11114</t>
  </si>
  <si>
    <t>2024-05-23 18:29:37</t>
  </si>
  <si>
    <t>2024-05-29 14:11:37</t>
  </si>
  <si>
    <t>TKT-2024-11115</t>
  </si>
  <si>
    <t>2024-01-06 21:34:36</t>
  </si>
  <si>
    <t>2024-01-10 01:40:36</t>
  </si>
  <si>
    <t>TKT-2024-11116</t>
  </si>
  <si>
    <t>2024-11-25 06:00:54</t>
  </si>
  <si>
    <t>2024-12-07 10:36:54</t>
  </si>
  <si>
    <t>TKT-2024-11117</t>
  </si>
  <si>
    <t>2024-07-21 12:25:46</t>
  </si>
  <si>
    <t>2024-07-25 18:37:46</t>
  </si>
  <si>
    <t>TKT-2024-11118</t>
  </si>
  <si>
    <t>2024-06-08 02:12:24</t>
  </si>
  <si>
    <t>2024-06-12 13:00:24</t>
  </si>
  <si>
    <t>TKT-2024-11119</t>
  </si>
  <si>
    <t>2024-11-16 14:10:52</t>
  </si>
  <si>
    <t>2024-11-20 06:40:52</t>
  </si>
  <si>
    <t>TKT-2024-11120</t>
  </si>
  <si>
    <t>2024-11-18 04:25:16</t>
  </si>
  <si>
    <t>2024-11-24 12:19:16</t>
  </si>
  <si>
    <t>TKT-2024-11121</t>
  </si>
  <si>
    <t>2024-10-23 03:14:15</t>
  </si>
  <si>
    <t>2024-10-30 08:32:15</t>
  </si>
  <si>
    <t>TKT-2024-11122</t>
  </si>
  <si>
    <t>2024-04-01 15:59:30</t>
  </si>
  <si>
    <t>2024-04-08 05:23:30</t>
  </si>
  <si>
    <t>TKT-2024-11123</t>
  </si>
  <si>
    <t>2024-01-05 21:50:42</t>
  </si>
  <si>
    <t>2024-01-14 21:14:42</t>
  </si>
  <si>
    <t>TKT-2024-11124</t>
  </si>
  <si>
    <t>2024-08-29 01:12:07</t>
  </si>
  <si>
    <t>2024-09-25 23:24:07</t>
  </si>
  <si>
    <t>TKT-2024-11125</t>
  </si>
  <si>
    <t>2024-09-29 03:32:15</t>
  </si>
  <si>
    <t>2024-10-12 08:32:15</t>
  </si>
  <si>
    <t>TKT-2024-11126</t>
  </si>
  <si>
    <t>2024-05-20 02:51:23</t>
  </si>
  <si>
    <t>2024-05-29 09:27:23</t>
  </si>
  <si>
    <t>TKT-2024-11127</t>
  </si>
  <si>
    <t>2024-03-01 23:57:31</t>
  </si>
  <si>
    <t>2024-03-05 17:03:31</t>
  </si>
  <si>
    <t>TKT-2024-11128</t>
  </si>
  <si>
    <t>2024-01-11 10:58:12</t>
  </si>
  <si>
    <t>2024-01-12 18:16:12</t>
  </si>
  <si>
    <t>TKT-2024-11129</t>
  </si>
  <si>
    <t>2024-10-04 06:42:54</t>
  </si>
  <si>
    <t>2024-10-17 23:36:54</t>
  </si>
  <si>
    <t>TKT-2024-11130</t>
  </si>
  <si>
    <t>2024-03-29 02:35:21</t>
  </si>
  <si>
    <t>2024-04-05 17:59:21</t>
  </si>
  <si>
    <t>TKT-2024-11131</t>
  </si>
  <si>
    <t>2024-08-20 03:52:39</t>
  </si>
  <si>
    <t>2024-08-23 11:40:39</t>
  </si>
  <si>
    <t>TKT-2024-11132</t>
  </si>
  <si>
    <t>2024-09-25 17:00:07</t>
  </si>
  <si>
    <t>2024-10-03 16:00:07</t>
  </si>
  <si>
    <t>TKT-2024-11133</t>
  </si>
  <si>
    <t>2024-11-20 04:45:49</t>
  </si>
  <si>
    <t>2024-12-02 18:33:49</t>
  </si>
  <si>
    <t>TKT-2024-11134</t>
  </si>
  <si>
    <t>2024-05-13 01:45:16</t>
  </si>
  <si>
    <t>2024-05-26 22:39:16</t>
  </si>
  <si>
    <t>TKT-2024-11135</t>
  </si>
  <si>
    <t>2024-12-25 06:40:11</t>
  </si>
  <si>
    <t>2025-01-23 09:22:11</t>
  </si>
  <si>
    <t>TKT-2024-11136</t>
  </si>
  <si>
    <t>2024-06-20 14:52:53</t>
  </si>
  <si>
    <t>2024-06-23 01:04:53</t>
  </si>
  <si>
    <t>TKT-2024-11137</t>
  </si>
  <si>
    <t>2024-04-26 01:38:06</t>
  </si>
  <si>
    <t>2024-04-30 05:50:06</t>
  </si>
  <si>
    <t>TKT-2024-11138</t>
  </si>
  <si>
    <t>2024-11-01 04:54:05</t>
  </si>
  <si>
    <t>2024-11-08 03:30:05</t>
  </si>
  <si>
    <t>TKT-2024-11139</t>
  </si>
  <si>
    <t>2024-03-16 14:16:27</t>
  </si>
  <si>
    <t>2024-03-23 02:22:27</t>
  </si>
  <si>
    <t>TKT-2024-11140</t>
  </si>
  <si>
    <t>2024-04-07 07:30:33</t>
  </si>
  <si>
    <t>2024-04-10 08:24:33</t>
  </si>
  <si>
    <t>TKT-2024-11141</t>
  </si>
  <si>
    <t>2024-06-19 10:02:15</t>
  </si>
  <si>
    <t>2024-06-24 03:26:15</t>
  </si>
  <si>
    <t>TKT-2024-11142</t>
  </si>
  <si>
    <t>2024-05-19 09:11:47</t>
  </si>
  <si>
    <t>2024-05-31 18:59:47</t>
  </si>
  <si>
    <t>TKT-2024-11143</t>
  </si>
  <si>
    <t>2024-05-16 22:24:32</t>
  </si>
  <si>
    <t>2024-05-25 06:54:32</t>
  </si>
  <si>
    <t>TKT-2024-11144</t>
  </si>
  <si>
    <t>2024-11-14 20:50:01</t>
  </si>
  <si>
    <t>2024-11-25 15:20:01</t>
  </si>
  <si>
    <t>TKT-2024-11145</t>
  </si>
  <si>
    <t>2024-01-17 09:07:54</t>
  </si>
  <si>
    <t>2024-01-24 03:31:54</t>
  </si>
  <si>
    <t>TKT-2024-11146</t>
  </si>
  <si>
    <t>2024-11-18 11:35:56</t>
  </si>
  <si>
    <t>2024-12-04 18:53:56</t>
  </si>
  <si>
    <t>TKT-2024-11147</t>
  </si>
  <si>
    <t>2024-05-30 16:36:26</t>
  </si>
  <si>
    <t>2024-06-07 01:48:26</t>
  </si>
  <si>
    <t>TKT-2024-11148</t>
  </si>
  <si>
    <t>2024-12-10 15:26:10</t>
  </si>
  <si>
    <t>2024-12-17 07:08:10</t>
  </si>
  <si>
    <t>TKT-2024-11149</t>
  </si>
  <si>
    <t>2024-10-30 02:03:34</t>
  </si>
  <si>
    <t>2024-11-11 04:33:34</t>
  </si>
  <si>
    <t>TKT-2024-11150</t>
  </si>
  <si>
    <t>2024-08-30 02:02:52</t>
  </si>
  <si>
    <t>2024-09-19 16:44:52</t>
  </si>
  <si>
    <t>TKT-2024-11151</t>
  </si>
  <si>
    <t>2024-02-06 11:51:57</t>
  </si>
  <si>
    <t>2024-02-17 00:09:57</t>
  </si>
  <si>
    <t>TKT-2024-11152</t>
  </si>
  <si>
    <t>2024-09-05 23:50:35</t>
  </si>
  <si>
    <t>2024-09-13 14:38:35</t>
  </si>
  <si>
    <t>TKT-2024-11153</t>
  </si>
  <si>
    <t>2024-04-01 12:31:13</t>
  </si>
  <si>
    <t>2024-04-15 15:19:13</t>
  </si>
  <si>
    <t>TKT-2024-11154</t>
  </si>
  <si>
    <t>2024-09-16 09:44:52</t>
  </si>
  <si>
    <t>2024-09-20 11:56:52</t>
  </si>
  <si>
    <t>TKT-2024-11155</t>
  </si>
  <si>
    <t>2024-01-11 19:24:35</t>
  </si>
  <si>
    <t>2024-01-31 21:18:35</t>
  </si>
  <si>
    <t>TKT-2024-11156</t>
  </si>
  <si>
    <t>2024-09-30 12:44:59</t>
  </si>
  <si>
    <t>2024-10-29 11:08:59</t>
  </si>
  <si>
    <t>TKT-2024-11157</t>
  </si>
  <si>
    <t>2024-11-12 16:54:32</t>
  </si>
  <si>
    <t>2024-11-16 07:54:32</t>
  </si>
  <si>
    <t>TKT-2024-11158</t>
  </si>
  <si>
    <t>2024-05-25 21:45:12</t>
  </si>
  <si>
    <t>2024-06-07 12:21:12</t>
  </si>
  <si>
    <t>TKT-2024-11159</t>
  </si>
  <si>
    <t>2024-12-06 18:19:39</t>
  </si>
  <si>
    <t>2024-12-14 18:07:39</t>
  </si>
  <si>
    <t>TKT-2024-11160</t>
  </si>
  <si>
    <t>2024-11-14 20:45:49</t>
  </si>
  <si>
    <t>2024-11-17 22:45:49</t>
  </si>
  <si>
    <t>TKT-2024-11161</t>
  </si>
  <si>
    <t>2024-12-27 06:46:25</t>
  </si>
  <si>
    <t>2025-01-06 09:46:25</t>
  </si>
  <si>
    <t>TKT-2024-11162</t>
  </si>
  <si>
    <t>2024-06-22 01:26:19</t>
  </si>
  <si>
    <t>2024-07-01 09:38:19</t>
  </si>
  <si>
    <t>TKT-2024-11163</t>
  </si>
  <si>
    <t>2024-12-28 04:50:24</t>
  </si>
  <si>
    <t>2025-01-12 07:20:24</t>
  </si>
  <si>
    <t>TKT-2024-11164</t>
  </si>
  <si>
    <t>2024-11-24 20:15:59</t>
  </si>
  <si>
    <t>2024-12-03 02:39:59</t>
  </si>
  <si>
    <t>TKT-2024-11165</t>
  </si>
  <si>
    <t>2024-10-12 07:39:36</t>
  </si>
  <si>
    <t>2024-10-24 08:27:36</t>
  </si>
  <si>
    <t>TKT-2024-11166</t>
  </si>
  <si>
    <t>2024-06-19 07:35:19</t>
  </si>
  <si>
    <t>2024-07-26 21:35:19</t>
  </si>
  <si>
    <t>TKT-2024-11167</t>
  </si>
  <si>
    <t>2024-02-21 00:17:59</t>
  </si>
  <si>
    <t>2024-04-05 19:29:59</t>
  </si>
  <si>
    <t>TKT-2024-11168</t>
  </si>
  <si>
    <t>2024-11-05 22:22:57</t>
  </si>
  <si>
    <t>2024-11-13 07:46:57</t>
  </si>
  <si>
    <t>TKT-2024-11169</t>
  </si>
  <si>
    <t>2024-09-09 23:42:10</t>
  </si>
  <si>
    <t>2024-09-19 06:48:10</t>
  </si>
  <si>
    <t>TKT-2024-11170</t>
  </si>
  <si>
    <t>2024-04-15 03:33:26</t>
  </si>
  <si>
    <t>2024-04-25 10:57:26</t>
  </si>
  <si>
    <t>TKT-2024-11171</t>
  </si>
  <si>
    <t>2024-05-30 14:03:58</t>
  </si>
  <si>
    <t>2024-06-02 20:39:58</t>
  </si>
  <si>
    <t>TKT-2024-11172</t>
  </si>
  <si>
    <t>2024-08-25 01:41:18</t>
  </si>
  <si>
    <t>2024-09-07 16:05:18</t>
  </si>
  <si>
    <t>TKT-2024-11173</t>
  </si>
  <si>
    <t>2024-11-26 08:52:33</t>
  </si>
  <si>
    <t>2024-11-30 10:52:33</t>
  </si>
  <si>
    <t>TKT-2024-11174</t>
  </si>
  <si>
    <t>2024-03-08 08:15:01</t>
  </si>
  <si>
    <t>2024-03-17 14:39:01</t>
  </si>
  <si>
    <t>TKT-2024-11175</t>
  </si>
  <si>
    <t>2024-03-28 13:31:37</t>
  </si>
  <si>
    <t>2024-04-02 04:25:37</t>
  </si>
  <si>
    <t>TKT-2024-11176</t>
  </si>
  <si>
    <t>2024-12-14 23:34:42</t>
  </si>
  <si>
    <t>2024-12-27 02:34:42</t>
  </si>
  <si>
    <t>TKT-2024-11177</t>
  </si>
  <si>
    <t>2024-11-20 02:02:47</t>
  </si>
  <si>
    <t>2024-11-25 12:50:47</t>
  </si>
  <si>
    <t>TKT-2024-11178</t>
  </si>
  <si>
    <t>2024-03-09 07:26:51</t>
  </si>
  <si>
    <t>2024-03-12 21:44:51</t>
  </si>
  <si>
    <t>TKT-2024-11179</t>
  </si>
  <si>
    <t>2024-02-01 11:53:25</t>
  </si>
  <si>
    <t>2024-02-05 19:17:25</t>
  </si>
  <si>
    <t>TKT-2024-11180</t>
  </si>
  <si>
    <t>2024-04-08 04:39:11</t>
  </si>
  <si>
    <t>2024-04-12 19:27:11</t>
  </si>
  <si>
    <t>TKT-2024-11181</t>
  </si>
  <si>
    <t>2024-05-23 10:08:36</t>
  </si>
  <si>
    <t>2024-05-26 16:38:36</t>
  </si>
  <si>
    <t>TKT-2024-11182</t>
  </si>
  <si>
    <t>2024-07-26 21:21:50</t>
  </si>
  <si>
    <t>2024-08-08 21:03:50</t>
  </si>
  <si>
    <t>TKT-2024-11183</t>
  </si>
  <si>
    <t>2024-11-13 03:08:21</t>
  </si>
  <si>
    <t>2024-11-27 03:38:21</t>
  </si>
  <si>
    <t>TKT-2024-11184</t>
  </si>
  <si>
    <t>2024-01-15 18:01:41</t>
  </si>
  <si>
    <t>2024-01-22 01:01:41</t>
  </si>
  <si>
    <t>TKT-2024-11185</t>
  </si>
  <si>
    <t>2024-12-25 05:17:17</t>
  </si>
  <si>
    <t>2024-12-28 02:35:17</t>
  </si>
  <si>
    <t>TKT-2024-11186</t>
  </si>
  <si>
    <t>2024-06-27 11:43:07</t>
  </si>
  <si>
    <t>2024-07-05 05:13:07</t>
  </si>
  <si>
    <t>TKT-2024-11187</t>
  </si>
  <si>
    <t>2024-03-17 02:48:42</t>
  </si>
  <si>
    <t>2024-03-26 09:42:42</t>
  </si>
  <si>
    <t>TKT-2024-11188</t>
  </si>
  <si>
    <t>2024-11-28 09:33:43</t>
  </si>
  <si>
    <t>2024-12-16 15:33:43</t>
  </si>
  <si>
    <t>TKT-2024-11189</t>
  </si>
  <si>
    <t>2024-10-15 07:14:17</t>
  </si>
  <si>
    <t>2024-10-18 21:08:17</t>
  </si>
  <si>
    <t>TKT-2024-11190</t>
  </si>
  <si>
    <t>2024-12-10 06:46:07</t>
  </si>
  <si>
    <t>2024-12-23 21:28:07</t>
  </si>
  <si>
    <t>TKT-2024-11191</t>
  </si>
  <si>
    <t>2024-01-18 13:49:00</t>
  </si>
  <si>
    <t>2024-01-29 18:49:00</t>
  </si>
  <si>
    <t>TKT-2024-11192</t>
  </si>
  <si>
    <t>2024-12-05 19:21:35</t>
  </si>
  <si>
    <t>2024-12-10 03:33:35</t>
  </si>
  <si>
    <t>TKT-2024-11193</t>
  </si>
  <si>
    <t>2024-08-20 07:14:17</t>
  </si>
  <si>
    <t>2024-08-31 11:26:17</t>
  </si>
  <si>
    <t>TKT-2024-11194</t>
  </si>
  <si>
    <t>2024-12-04 05:31:07</t>
  </si>
  <si>
    <t>2024-12-17 18:13:07</t>
  </si>
  <si>
    <t>TKT-2024-11195</t>
  </si>
  <si>
    <t>2024-02-22 02:10:09</t>
  </si>
  <si>
    <t>2024-02-26 13:10:09</t>
  </si>
  <si>
    <t>TKT-2024-11196</t>
  </si>
  <si>
    <t>2024-09-22 01:19:49</t>
  </si>
  <si>
    <t>2024-10-07 21:37:49</t>
  </si>
  <si>
    <t>TKT-2024-11197</t>
  </si>
  <si>
    <t>2024-09-15 06:34:06</t>
  </si>
  <si>
    <t>2024-09-19 04:58:06</t>
  </si>
  <si>
    <t>TKT-2024-11198</t>
  </si>
  <si>
    <t>2024-03-02 05:01:14</t>
  </si>
  <si>
    <t>2024-03-15 05:55:14</t>
  </si>
  <si>
    <t>TKT-2024-11199</t>
  </si>
  <si>
    <t>2024-07-28 08:16:27</t>
  </si>
  <si>
    <t>2024-07-31 21:28:27</t>
  </si>
  <si>
    <t>TKT-2024-11200</t>
  </si>
  <si>
    <t>2024-03-09 23:09:45</t>
  </si>
  <si>
    <t>2024-03-16 10:15:45</t>
  </si>
  <si>
    <t>TKT-2024-11201</t>
  </si>
  <si>
    <t>2024-10-19 18:29:59</t>
  </si>
  <si>
    <t>2024-11-02 19:17:59</t>
  </si>
  <si>
    <t>TKT-2024-11202</t>
  </si>
  <si>
    <t>2024-12-01 23:43:48</t>
  </si>
  <si>
    <t>2024-12-05 23:49:48</t>
  </si>
  <si>
    <t>TKT-2024-11203</t>
  </si>
  <si>
    <t>2024-02-28 10:08:14</t>
  </si>
  <si>
    <t>2024-03-02 13:02:14</t>
  </si>
  <si>
    <t>TKT-2024-11204</t>
  </si>
  <si>
    <t>2024-01-28 18:16:52</t>
  </si>
  <si>
    <t>2024-02-05 23:22:52</t>
  </si>
  <si>
    <t>TKT-2024-11205</t>
  </si>
  <si>
    <t>2024-12-07 10:37:04</t>
  </si>
  <si>
    <t>2024-12-16 20:55:04</t>
  </si>
  <si>
    <t>TKT-2024-11206</t>
  </si>
  <si>
    <t>2024-02-19 22:20:52</t>
  </si>
  <si>
    <t>2024-03-01 17:50:52</t>
  </si>
  <si>
    <t>TKT-2024-11207</t>
  </si>
  <si>
    <t>2024-11-03 00:43:05</t>
  </si>
  <si>
    <t>2024-11-07 18:13:05</t>
  </si>
  <si>
    <t>TKT-2024-11208</t>
  </si>
  <si>
    <t>2024-10-13 17:33:50</t>
  </si>
  <si>
    <t>2024-10-27 07:57:50</t>
  </si>
  <si>
    <t>TKT-2024-11209</t>
  </si>
  <si>
    <t>2024-01-12 06:48:34</t>
  </si>
  <si>
    <t>2024-01-21 10:54:34</t>
  </si>
  <si>
    <t>TKT-2024-11210</t>
  </si>
  <si>
    <t>2024-12-18 04:45:21</t>
  </si>
  <si>
    <t>2024-12-22 12:45:21</t>
  </si>
  <si>
    <t>TKT-2024-11211</t>
  </si>
  <si>
    <t>2024-04-15 09:42:16</t>
  </si>
  <si>
    <t>2024-04-29 07:54:16</t>
  </si>
  <si>
    <t>TKT-2024-11212</t>
  </si>
  <si>
    <t>2024-02-28 07:04:48</t>
  </si>
  <si>
    <t>2024-03-07 20:16:48</t>
  </si>
  <si>
    <t>TKT-2024-11213</t>
  </si>
  <si>
    <t>2024-09-15 06:30:25</t>
  </si>
  <si>
    <t>2024-09-19 03:36:25</t>
  </si>
  <si>
    <t>TKT-2024-11214</t>
  </si>
  <si>
    <t>2024-06-05 08:46:37</t>
  </si>
  <si>
    <t>2024-06-12 18:52:37</t>
  </si>
  <si>
    <t>TKT-2024-11215</t>
  </si>
  <si>
    <t>2024-09-03 11:52:46</t>
  </si>
  <si>
    <t>2024-09-28 09:46:46</t>
  </si>
  <si>
    <t>TKT-2024-11216</t>
  </si>
  <si>
    <t>2024-01-03 11:45:42</t>
  </si>
  <si>
    <t>2024-01-20 18:15:42</t>
  </si>
  <si>
    <t>TKT-2024-11217</t>
  </si>
  <si>
    <t>2024-01-28 06:54:15</t>
  </si>
  <si>
    <t>2024-02-03 10:00:15</t>
  </si>
  <si>
    <t>TKT-2024-11218</t>
  </si>
  <si>
    <t>2024-11-14 14:19:25</t>
  </si>
  <si>
    <t>2024-12-05 02:13:25</t>
  </si>
  <si>
    <t>TKT-2024-11219</t>
  </si>
  <si>
    <t>2024-10-20 17:37:47</t>
  </si>
  <si>
    <t>2024-10-25 03:55:47</t>
  </si>
  <si>
    <t>TKT-2024-11220</t>
  </si>
  <si>
    <t>2024-05-20 20:17:23</t>
  </si>
  <si>
    <t>2024-05-31 13:35:23</t>
  </si>
  <si>
    <t>TKT-2024-11221</t>
  </si>
  <si>
    <t>2024-05-07 20:51:49</t>
  </si>
  <si>
    <t>2024-05-11 09:45:49</t>
  </si>
  <si>
    <t>TKT-2024-11222</t>
  </si>
  <si>
    <t>2024-02-20 16:31:58</t>
  </si>
  <si>
    <t>2024-02-26 03:13:58</t>
  </si>
  <si>
    <t>TKT-2024-11223</t>
  </si>
  <si>
    <t>2024-07-15 21:01:57</t>
  </si>
  <si>
    <t>2024-07-23 10:31:57</t>
  </si>
  <si>
    <t>TKT-2024-11224</t>
  </si>
  <si>
    <t>2024-09-14 05:06:24</t>
  </si>
  <si>
    <t>2024-09-25 09:36:24</t>
  </si>
  <si>
    <t>TKT-2024-11225</t>
  </si>
  <si>
    <t>2024-10-21 21:03:37</t>
  </si>
  <si>
    <t>2024-10-30 22:21:37</t>
  </si>
  <si>
    <t>TKT-2024-11226</t>
  </si>
  <si>
    <t>2024-10-30 13:07:10</t>
  </si>
  <si>
    <t>2024-11-05 22:31:10</t>
  </si>
  <si>
    <t>TKT-2024-11227</t>
  </si>
  <si>
    <t>2024-12-30 21:47:32</t>
  </si>
  <si>
    <t>2025-01-14 11:05:32</t>
  </si>
  <si>
    <t>TKT-2024-11228</t>
  </si>
  <si>
    <t>2024-04-02 21:56:00</t>
  </si>
  <si>
    <t>2024-04-11 13:32:00</t>
  </si>
  <si>
    <t>TKT-2024-11229</t>
  </si>
  <si>
    <t>2024-04-25 00:14:26</t>
  </si>
  <si>
    <t>2024-04-29 18:44:26</t>
  </si>
  <si>
    <t>TKT-2024-11230</t>
  </si>
  <si>
    <t>2024-08-10 17:24:41</t>
  </si>
  <si>
    <t>2024-09-14 01:54:41</t>
  </si>
  <si>
    <t>TKT-2024-11231</t>
  </si>
  <si>
    <t>2024-08-23 11:01:26</t>
  </si>
  <si>
    <t>2024-09-18 18:43:26</t>
  </si>
  <si>
    <t>TKT-2024-11232</t>
  </si>
  <si>
    <t>2024-12-30 16:22:57</t>
  </si>
  <si>
    <t>2025-01-06 02:10:57</t>
  </si>
  <si>
    <t>TKT-2024-11233</t>
  </si>
  <si>
    <t>2024-04-25 14:37:28</t>
  </si>
  <si>
    <t>2024-04-29 20:25:28</t>
  </si>
  <si>
    <t>TKT-2024-11234</t>
  </si>
  <si>
    <t>2024-08-05 21:41:11</t>
  </si>
  <si>
    <t>2024-08-09 03:41:11</t>
  </si>
  <si>
    <t>TKT-2024-11235</t>
  </si>
  <si>
    <t>2024-10-18 16:23:16</t>
  </si>
  <si>
    <t>2024-10-29 22:59:16</t>
  </si>
  <si>
    <t>TKT-2024-11236</t>
  </si>
  <si>
    <t>2024-03-26 03:09:50</t>
  </si>
  <si>
    <t>2024-04-02 23:03:50</t>
  </si>
  <si>
    <t>TKT-2024-11237</t>
  </si>
  <si>
    <t>2024-05-02 04:44:34</t>
  </si>
  <si>
    <t>2024-05-20 13:26:34</t>
  </si>
  <si>
    <t>TKT-2024-11238</t>
  </si>
  <si>
    <t>2024-10-04 11:16:33</t>
  </si>
  <si>
    <t>2024-10-09 22:04:33</t>
  </si>
  <si>
    <t>TKT-2024-11239</t>
  </si>
  <si>
    <t>2024-02-11 17:40:03</t>
  </si>
  <si>
    <t>2024-02-24 21:04:03</t>
  </si>
  <si>
    <t>TKT-2024-11240</t>
  </si>
  <si>
    <t>2024-06-12 06:58:28</t>
  </si>
  <si>
    <t>2024-06-22 15:34:28</t>
  </si>
  <si>
    <t>TKT-2024-11241</t>
  </si>
  <si>
    <t>2024-10-09 07:33:33</t>
  </si>
  <si>
    <t>2024-10-10 19:21:33</t>
  </si>
  <si>
    <t>TKT-2024-11242</t>
  </si>
  <si>
    <t>2024-11-06 12:44:01</t>
  </si>
  <si>
    <t>2024-11-09 15:08:01</t>
  </si>
  <si>
    <t>TKT-2024-11243</t>
  </si>
  <si>
    <t>2024-02-19 06:15:52</t>
  </si>
  <si>
    <t>2024-02-27 09:27:52</t>
  </si>
  <si>
    <t>TKT-2024-11244</t>
  </si>
  <si>
    <t>2024-01-12 21:09:46</t>
  </si>
  <si>
    <t>2024-01-19 18:57:46</t>
  </si>
  <si>
    <t>TKT-2024-11245</t>
  </si>
  <si>
    <t>2024-06-23 16:37:35</t>
  </si>
  <si>
    <t>2024-07-05 05:31:35</t>
  </si>
  <si>
    <t>TKT-2024-11246</t>
  </si>
  <si>
    <t>2024-09-29 10:03:46</t>
  </si>
  <si>
    <t>2024-10-01 03:27:46</t>
  </si>
  <si>
    <t>TKT-2024-11247</t>
  </si>
  <si>
    <t>2024-09-30 15:58:26</t>
  </si>
  <si>
    <t>2024-10-06 21:46:26</t>
  </si>
  <si>
    <t>TKT-2024-11248</t>
  </si>
  <si>
    <t>2024-08-04 11:33:53</t>
  </si>
  <si>
    <t>2024-08-10 16:33:53</t>
  </si>
  <si>
    <t>TKT-2024-11249</t>
  </si>
  <si>
    <t>2024-03-28 16:49:55</t>
  </si>
  <si>
    <t>2024-04-11 10:19:55</t>
  </si>
  <si>
    <t>TKT-2024-11250</t>
  </si>
  <si>
    <t>2024-08-18 19:08:28</t>
  </si>
  <si>
    <t>2024-09-04 19:44:28</t>
  </si>
  <si>
    <t>TKT-2024-11251</t>
  </si>
  <si>
    <t>2024-07-24 01:43:16</t>
  </si>
  <si>
    <t>2024-08-01 13:19:16</t>
  </si>
  <si>
    <t>TKT-2024-11252</t>
  </si>
  <si>
    <t>2024-08-30 15:09:23</t>
  </si>
  <si>
    <t>2024-09-04 00:03:23</t>
  </si>
  <si>
    <t>TKT-2024-11253</t>
  </si>
  <si>
    <t>2024-10-28 18:20:05</t>
  </si>
  <si>
    <t>2024-11-05 14:20:05</t>
  </si>
  <si>
    <t>TKT-2024-11254</t>
  </si>
  <si>
    <t>2024-05-19 07:49:48</t>
  </si>
  <si>
    <t>2024-05-26 16:55:48</t>
  </si>
  <si>
    <t>TKT-2024-11255</t>
  </si>
  <si>
    <t>2024-05-17 13:51:30</t>
  </si>
  <si>
    <t>2024-05-29 20:21:30</t>
  </si>
  <si>
    <t>TKT-2024-11256</t>
  </si>
  <si>
    <t>2024-05-14 16:52:07</t>
  </si>
  <si>
    <t>2024-05-20 00:28:07</t>
  </si>
  <si>
    <t>TKT-2024-11257</t>
  </si>
  <si>
    <t>2024-11-09 16:21:15</t>
  </si>
  <si>
    <t>2024-11-18 11:27:15</t>
  </si>
  <si>
    <t>TKT-2024-11258</t>
  </si>
  <si>
    <t>2024-08-14 10:45:02</t>
  </si>
  <si>
    <t>2024-08-24 11:39:02</t>
  </si>
  <si>
    <t>TKT-2024-11259</t>
  </si>
  <si>
    <t>2024-09-02 13:08:52</t>
  </si>
  <si>
    <t>2024-09-09 05:20:52</t>
  </si>
  <si>
    <t>TKT-2024-11260</t>
  </si>
  <si>
    <t>2024-07-28 06:34:15</t>
  </si>
  <si>
    <t>2024-08-04 18:22:15</t>
  </si>
  <si>
    <t>TKT-2024-11261</t>
  </si>
  <si>
    <t>2024-04-09 13:24:06</t>
  </si>
  <si>
    <t>2024-04-13 08:12:06</t>
  </si>
  <si>
    <t>TKT-2024-11262</t>
  </si>
  <si>
    <t>2024-06-30 10:23:01</t>
  </si>
  <si>
    <t>2024-07-06 13:17:01</t>
  </si>
  <si>
    <t>TKT-2024-11263</t>
  </si>
  <si>
    <t>2024-04-14 10:31:15</t>
  </si>
  <si>
    <t>2024-04-29 17:49:15</t>
  </si>
  <si>
    <t>TKT-2024-11264</t>
  </si>
  <si>
    <t>2024-05-28 09:38:24</t>
  </si>
  <si>
    <t>2024-06-11 13:08:24</t>
  </si>
  <si>
    <t>TKT-2024-11265</t>
  </si>
  <si>
    <t>2024-02-27 13:16:23</t>
  </si>
  <si>
    <t>2024-03-13 03:28:23</t>
  </si>
  <si>
    <t>TKT-2024-11266</t>
  </si>
  <si>
    <t>2024-04-10 18:32:04</t>
  </si>
  <si>
    <t>2024-04-18 16:32:04</t>
  </si>
  <si>
    <t>TKT-2024-11267</t>
  </si>
  <si>
    <t>2024-11-26 00:49:24</t>
  </si>
  <si>
    <t>2024-11-30 05:31:24</t>
  </si>
  <si>
    <t>TKT-2024-11268</t>
  </si>
  <si>
    <t>2024-03-08 23:07:11</t>
  </si>
  <si>
    <t>2024-03-10 11:19:11</t>
  </si>
  <si>
    <t>TKT-2024-11269</t>
  </si>
  <si>
    <t>2024-07-27 14:15:38</t>
  </si>
  <si>
    <t>2024-07-31 19:51:38</t>
  </si>
  <si>
    <t>TKT-2024-11270</t>
  </si>
  <si>
    <t>2024-06-08 18:26:27</t>
  </si>
  <si>
    <t>2024-07-08 01:50:27</t>
  </si>
  <si>
    <t>TKT-2024-11271</t>
  </si>
  <si>
    <t>2024-05-27 03:03:11</t>
  </si>
  <si>
    <t>2024-05-30 00:57:11</t>
  </si>
  <si>
    <t>TKT-2024-11272</t>
  </si>
  <si>
    <t>2024-07-12 17:41:06</t>
  </si>
  <si>
    <t>2024-07-27 13:23:06</t>
  </si>
  <si>
    <t>TKT-2024-11273</t>
  </si>
  <si>
    <t>2024-08-02 18:42:32</t>
  </si>
  <si>
    <t>2024-08-09 18:48:32</t>
  </si>
  <si>
    <t>TKT-2024-11274</t>
  </si>
  <si>
    <t>2024-05-15 16:36:53</t>
  </si>
  <si>
    <t>2024-05-28 04:42:53</t>
  </si>
  <si>
    <t>TKT-2024-11275</t>
  </si>
  <si>
    <t>2024-10-22 00:39:06</t>
  </si>
  <si>
    <t>2024-11-05 16:15:06</t>
  </si>
  <si>
    <t>TKT-2024-11276</t>
  </si>
  <si>
    <t>2024-07-01 07:58:23</t>
  </si>
  <si>
    <t>2024-07-04 09:40:23</t>
  </si>
  <si>
    <t>TKT-2024-11277</t>
  </si>
  <si>
    <t>2024-02-12 01:32:38</t>
  </si>
  <si>
    <t>2024-02-26 06:14:38</t>
  </si>
  <si>
    <t>TKT-2024-11278</t>
  </si>
  <si>
    <t>2024-07-18 08:33:42</t>
  </si>
  <si>
    <t>2024-07-26 14:27:42</t>
  </si>
  <si>
    <t>TKT-2024-11279</t>
  </si>
  <si>
    <t>2024-09-15 10:33:23</t>
  </si>
  <si>
    <t>2024-09-27 09:39:23</t>
  </si>
  <si>
    <t>TKT-2024-11280</t>
  </si>
  <si>
    <t>2024-12-02 15:53:53</t>
  </si>
  <si>
    <t>2024-12-06 07:53:53</t>
  </si>
  <si>
    <t>TKT-2024-11281</t>
  </si>
  <si>
    <t>2024-06-25 00:48:14</t>
  </si>
  <si>
    <t>2024-06-30 06:06:14</t>
  </si>
  <si>
    <t>TKT-2024-11282</t>
  </si>
  <si>
    <t>2024-05-30 10:31:19</t>
  </si>
  <si>
    <t>2024-06-14 06:37:19</t>
  </si>
  <si>
    <t>TKT-2024-11283</t>
  </si>
  <si>
    <t>2024-05-13 09:14:02</t>
  </si>
  <si>
    <t>2024-05-15 10:56:02</t>
  </si>
  <si>
    <t>TKT-2024-11284</t>
  </si>
  <si>
    <t>2024-04-07 22:59:47</t>
  </si>
  <si>
    <t>2024-04-16 21:53:47</t>
  </si>
  <si>
    <t>TKT-2024-11285</t>
  </si>
  <si>
    <t>2024-03-23 14:11:30</t>
  </si>
  <si>
    <t>2024-03-30 17:53:30</t>
  </si>
  <si>
    <t>TKT-2024-11286</t>
  </si>
  <si>
    <t>2024-06-22 11:54:38</t>
  </si>
  <si>
    <t>2024-06-29 17:54:38</t>
  </si>
  <si>
    <t>TKT-2024-11287</t>
  </si>
  <si>
    <t>2024-09-03 15:23:50</t>
  </si>
  <si>
    <t>2024-09-10 12:53:50</t>
  </si>
  <si>
    <t>TKT-2024-11288</t>
  </si>
  <si>
    <t>2024-02-24 13:56:27</t>
  </si>
  <si>
    <t>2024-03-17 22:50:27</t>
  </si>
  <si>
    <t>TKT-2024-11289</t>
  </si>
  <si>
    <t>2024-03-07 05:06:25</t>
  </si>
  <si>
    <t>2024-03-13 17:36:25</t>
  </si>
  <si>
    <t>TKT-2024-11290</t>
  </si>
  <si>
    <t>2024-04-19 07:54:12</t>
  </si>
  <si>
    <t>2024-04-20 01:18:12</t>
  </si>
  <si>
    <t>TKT-2024-11291</t>
  </si>
  <si>
    <t>2024-06-03 17:45:23</t>
  </si>
  <si>
    <t>2024-06-07 10:39:23</t>
  </si>
  <si>
    <t>TKT-2024-11292</t>
  </si>
  <si>
    <t>2024-04-17 11:21:55</t>
  </si>
  <si>
    <t>2024-05-13 08:27:55</t>
  </si>
  <si>
    <t>TKT-2024-11293</t>
  </si>
  <si>
    <t>2024-04-07 12:02:26</t>
  </si>
  <si>
    <t>2024-04-13 10:50:26</t>
  </si>
  <si>
    <t>TKT-2024-11294</t>
  </si>
  <si>
    <t>2024-06-22 03:34:05</t>
  </si>
  <si>
    <t>2024-07-02 00:34:05</t>
  </si>
  <si>
    <t>TKT-2024-11295</t>
  </si>
  <si>
    <t>2024-10-26 13:14:22</t>
  </si>
  <si>
    <t>2024-11-08 15:38:22</t>
  </si>
  <si>
    <t>TKT-2024-11296</t>
  </si>
  <si>
    <t>2024-01-21 01:51:23</t>
  </si>
  <si>
    <t>2024-01-26 06:39:23</t>
  </si>
  <si>
    <t>TKT-2024-11297</t>
  </si>
  <si>
    <t>2024-10-04 10:09:39</t>
  </si>
  <si>
    <t>2024-10-30 06:45:39</t>
  </si>
  <si>
    <t>TKT-2024-11298</t>
  </si>
  <si>
    <t>2024-08-02 16:04:54</t>
  </si>
  <si>
    <t>2024-08-09 23:16:54</t>
  </si>
  <si>
    <t>TKT-2024-11299</t>
  </si>
  <si>
    <t>2024-09-27 18:06:34</t>
  </si>
  <si>
    <t>2024-10-07 17:18:34</t>
  </si>
  <si>
    <t>TKT-2024-11300</t>
  </si>
  <si>
    <t>2024-11-21 23:26:09</t>
  </si>
  <si>
    <t>2024-11-28 13:02:09</t>
  </si>
  <si>
    <t>TKT-2024-11301</t>
  </si>
  <si>
    <t>2024-11-09 12:43:29</t>
  </si>
  <si>
    <t>2024-11-23 18:19:29</t>
  </si>
  <si>
    <t>TKT-2024-11302</t>
  </si>
  <si>
    <t>2024-04-14 03:22:20</t>
  </si>
  <si>
    <t>2024-04-20 07:28:20</t>
  </si>
  <si>
    <t>TKT-2024-11303</t>
  </si>
  <si>
    <t>2024-03-19 09:46:54</t>
  </si>
  <si>
    <t>2024-03-25 14:04:54</t>
  </si>
  <si>
    <t>TKT-2024-11304</t>
  </si>
  <si>
    <t>2024-07-05 19:49:18</t>
  </si>
  <si>
    <t>2024-07-10 12:19:18</t>
  </si>
  <si>
    <t>TKT-2024-11305</t>
  </si>
  <si>
    <t>2024-07-25 21:31:51</t>
  </si>
  <si>
    <t>2024-08-03 22:55:51</t>
  </si>
  <si>
    <t>TKT-2024-11306</t>
  </si>
  <si>
    <t>2024-05-24 12:24:06</t>
  </si>
  <si>
    <t>2024-05-28 02:30:06</t>
  </si>
  <si>
    <t>TKT-2024-11307</t>
  </si>
  <si>
    <t>2024-03-09 10:45:46</t>
  </si>
  <si>
    <t>2024-03-14 16:03:46</t>
  </si>
  <si>
    <t>TKT-2024-11308</t>
  </si>
  <si>
    <t>2024-02-10 02:49:25</t>
  </si>
  <si>
    <t>2024-02-17 08:19:25</t>
  </si>
  <si>
    <t>TKT-2024-11309</t>
  </si>
  <si>
    <t>2024-10-09 02:48:46</t>
  </si>
  <si>
    <t>2024-10-16 16:30:46</t>
  </si>
  <si>
    <t>TKT-2024-11310</t>
  </si>
  <si>
    <t>2024-07-06 18:53:05</t>
  </si>
  <si>
    <t>2024-07-13 19:53:05</t>
  </si>
  <si>
    <t>TKT-2024-11311</t>
  </si>
  <si>
    <t>2024-01-23 10:12:27</t>
  </si>
  <si>
    <t>2024-02-01 15:30:27</t>
  </si>
  <si>
    <t>TKT-2024-11312</t>
  </si>
  <si>
    <t>2024-06-25 11:44:34</t>
  </si>
  <si>
    <t>2024-07-02 06:26:34</t>
  </si>
  <si>
    <t>TKT-2024-11313</t>
  </si>
  <si>
    <t>2024-07-24 02:23:13</t>
  </si>
  <si>
    <t>2024-08-02 10:47:13</t>
  </si>
  <si>
    <t>TKT-2024-11314</t>
  </si>
  <si>
    <t>2024-11-05 05:47:34</t>
  </si>
  <si>
    <t>2024-11-17 15:53:34</t>
  </si>
  <si>
    <t>TKT-2024-11315</t>
  </si>
  <si>
    <t>2024-04-09 15:08:12</t>
  </si>
  <si>
    <t>2024-04-13 12:38:12</t>
  </si>
  <si>
    <t>TKT-2024-11316</t>
  </si>
  <si>
    <t>2024-09-27 16:54:04</t>
  </si>
  <si>
    <t>2024-10-07 10:24:04</t>
  </si>
  <si>
    <t>TKT-2024-11317</t>
  </si>
  <si>
    <t>2024-07-12 01:50:41</t>
  </si>
  <si>
    <t>2024-07-17 13:32:41</t>
  </si>
  <si>
    <t>TKT-2024-11318</t>
  </si>
  <si>
    <t>2024-05-21 20:25:21</t>
  </si>
  <si>
    <t>2024-05-24 23:31:21</t>
  </si>
  <si>
    <t>TKT-2024-11319</t>
  </si>
  <si>
    <t>2024-11-11 22:41:21</t>
  </si>
  <si>
    <t>2024-11-15 06:41:21</t>
  </si>
  <si>
    <t>TKT-2024-11320</t>
  </si>
  <si>
    <t>2024-04-29 17:54:01</t>
  </si>
  <si>
    <t>2024-05-04 03:54:01</t>
  </si>
  <si>
    <t>TKT-2024-11321</t>
  </si>
  <si>
    <t>2024-04-11 07:49:03</t>
  </si>
  <si>
    <t>2024-04-15 13:55:03</t>
  </si>
  <si>
    <t>TKT-2024-11322</t>
  </si>
  <si>
    <t>2024-03-21 08:04:18</t>
  </si>
  <si>
    <t>2024-03-25 23:22:18</t>
  </si>
  <si>
    <t>TKT-2024-11323</t>
  </si>
  <si>
    <t>2024-11-18 15:05:07</t>
  </si>
  <si>
    <t>2024-11-26 06:59:07</t>
  </si>
  <si>
    <t>TKT-2024-11324</t>
  </si>
  <si>
    <t>2024-08-26 00:58:35</t>
  </si>
  <si>
    <t>2024-08-31 18:16:35</t>
  </si>
  <si>
    <t>TKT-2024-11325</t>
  </si>
  <si>
    <t>2024-07-29 20:27:43</t>
  </si>
  <si>
    <t>2024-07-31 09:45:43</t>
  </si>
  <si>
    <t>TKT-2024-11326</t>
  </si>
  <si>
    <t>2024-08-30 01:56:59</t>
  </si>
  <si>
    <t>2024-10-06 02:02:59</t>
  </si>
  <si>
    <t>TKT-2024-11327</t>
  </si>
  <si>
    <t>2024-03-01 15:19:14</t>
  </si>
  <si>
    <t>2024-03-06 01:31:14</t>
  </si>
  <si>
    <t>TKT-2024-11328</t>
  </si>
  <si>
    <t>2024-11-10 09:48:44</t>
  </si>
  <si>
    <t>2024-11-26 00:18:44</t>
  </si>
  <si>
    <t>TKT-2024-11329</t>
  </si>
  <si>
    <t>2024-10-23 07:45:25</t>
  </si>
  <si>
    <t>2024-11-02 20:33:25</t>
  </si>
  <si>
    <t>TKT-2024-11330</t>
  </si>
  <si>
    <t>2024-03-20 07:09:19</t>
  </si>
  <si>
    <t>2024-03-29 14:27:19</t>
  </si>
  <si>
    <t>TKT-2024-11331</t>
  </si>
  <si>
    <t>2024-12-02 05:58:24</t>
  </si>
  <si>
    <t>2024-12-06 13:28:24</t>
  </si>
  <si>
    <t>TKT-2024-11332</t>
  </si>
  <si>
    <t>2024-09-13 09:24:23</t>
  </si>
  <si>
    <t>2024-10-03 22:06:23</t>
  </si>
  <si>
    <t>TKT-2024-11333</t>
  </si>
  <si>
    <t>2024-01-13 19:27:29</t>
  </si>
  <si>
    <t>2024-01-23 21:51:29</t>
  </si>
  <si>
    <t>TKT-2024-11334</t>
  </si>
  <si>
    <t>2024-05-05 10:15:09</t>
  </si>
  <si>
    <t>2024-05-18 17:21:09</t>
  </si>
  <si>
    <t>TKT-2024-11335</t>
  </si>
  <si>
    <t>2024-10-30 20:00:00</t>
  </si>
  <si>
    <t>2024-11-12 04:12:00</t>
  </si>
  <si>
    <t>TKT-2024-11336</t>
  </si>
  <si>
    <t>2024-05-19 18:37:23</t>
  </si>
  <si>
    <t>2024-05-26 22:13:23</t>
  </si>
  <si>
    <t>TKT-2024-11337</t>
  </si>
  <si>
    <t>2024-08-11 06:18:16</t>
  </si>
  <si>
    <t>2024-08-21 23:12:16</t>
  </si>
  <si>
    <t>TKT-2024-11338</t>
  </si>
  <si>
    <t>2024-08-08 04:44:50</t>
  </si>
  <si>
    <t>2024-08-09 16:26:50</t>
  </si>
  <si>
    <t>TKT-2024-11339</t>
  </si>
  <si>
    <t>2024-03-15 04:48:55</t>
  </si>
  <si>
    <t>2024-03-22 18:24:55</t>
  </si>
  <si>
    <t>TKT-2024-11340</t>
  </si>
  <si>
    <t>2024-02-04 00:35:30</t>
  </si>
  <si>
    <t>2024-02-14 04:23:30</t>
  </si>
  <si>
    <t>TKT-2024-11341</t>
  </si>
  <si>
    <t>2024-05-02 18:17:16</t>
  </si>
  <si>
    <t>2024-05-25 17:05:16</t>
  </si>
  <si>
    <t>TKT-2024-11342</t>
  </si>
  <si>
    <t>2024-09-21 21:21:03</t>
  </si>
  <si>
    <t>2024-10-12 05:51:03</t>
  </si>
  <si>
    <t>TKT-2024-11343</t>
  </si>
  <si>
    <t>2024-04-02 00:31:25</t>
  </si>
  <si>
    <t>2024-04-08 02:55:25</t>
  </si>
  <si>
    <t>TKT-2024-11344</t>
  </si>
  <si>
    <t>2024-03-20 19:10:58</t>
  </si>
  <si>
    <t>2024-03-27 00:16:58</t>
  </si>
  <si>
    <t>TKT-2024-11345</t>
  </si>
  <si>
    <t>2024-04-29 08:19:20</t>
  </si>
  <si>
    <t>2024-05-02 09:07:20</t>
  </si>
  <si>
    <t>TKT-2024-11346</t>
  </si>
  <si>
    <t>2024-03-06 16:34:01</t>
  </si>
  <si>
    <t>2024-03-20 08:04:01</t>
  </si>
  <si>
    <t>TKT-2024-11347</t>
  </si>
  <si>
    <t>2024-02-21 09:44:55</t>
  </si>
  <si>
    <t>2024-02-28 21:44:55</t>
  </si>
  <si>
    <t>TKT-2024-11348</t>
  </si>
  <si>
    <t>2024-06-20 02:18:03</t>
  </si>
  <si>
    <t>2024-06-28 04:12:03</t>
  </si>
  <si>
    <t>TKT-2024-11349</t>
  </si>
  <si>
    <t>2024-08-18 11:28:08</t>
  </si>
  <si>
    <t>2024-08-29 15:04:08</t>
  </si>
  <si>
    <t>TKT-2024-11350</t>
  </si>
  <si>
    <t>2024-04-04 23:10:58</t>
  </si>
  <si>
    <t>2024-04-14 10:52:58</t>
  </si>
  <si>
    <t>TKT-2024-11351</t>
  </si>
  <si>
    <t>2024-08-17 05:45:37</t>
  </si>
  <si>
    <t>2024-09-05 23:09:37</t>
  </si>
  <si>
    <t>TKT-2024-11352</t>
  </si>
  <si>
    <t>2024-02-04 16:44:12</t>
  </si>
  <si>
    <t>2024-02-12 19:08:12</t>
  </si>
  <si>
    <t>TKT-2024-11353</t>
  </si>
  <si>
    <t>2024-07-03 18:49:09</t>
  </si>
  <si>
    <t>2024-07-07 09:07:09</t>
  </si>
  <si>
    <t>TKT-2024-11354</t>
  </si>
  <si>
    <t>2024-03-02 23:58:36</t>
  </si>
  <si>
    <t>2024-03-12 04:52:36</t>
  </si>
  <si>
    <t>TKT-2024-11355</t>
  </si>
  <si>
    <t>2024-11-06 06:08:56</t>
  </si>
  <si>
    <t>2024-11-15 03:14:56</t>
  </si>
  <si>
    <t>TKT-2024-11356</t>
  </si>
  <si>
    <t>2024-09-09 10:46:32</t>
  </si>
  <si>
    <t>2024-09-22 19:52:32</t>
  </si>
  <si>
    <t>TKT-2024-11357</t>
  </si>
  <si>
    <t>2024-11-12 04:01:33</t>
  </si>
  <si>
    <t>2024-11-17 20:01:33</t>
  </si>
  <si>
    <t>TKT-2024-11358</t>
  </si>
  <si>
    <t>2024-08-22 08:46:13</t>
  </si>
  <si>
    <t>2024-08-28 16:22:13</t>
  </si>
  <si>
    <t>TKT-2024-11359</t>
  </si>
  <si>
    <t>2024-11-05 19:34:39</t>
  </si>
  <si>
    <t>2024-11-13 23:28:39</t>
  </si>
  <si>
    <t>TKT-2024-11360</t>
  </si>
  <si>
    <t>2024-08-06 01:48:52</t>
  </si>
  <si>
    <t>2024-08-11 06:12:52</t>
  </si>
  <si>
    <t>TKT-2024-11361</t>
  </si>
  <si>
    <t>2024-06-29 06:03:20</t>
  </si>
  <si>
    <t>2024-07-12 08:03:20</t>
  </si>
  <si>
    <t>TKT-2024-11362</t>
  </si>
  <si>
    <t>2024-12-20 18:33:08</t>
  </si>
  <si>
    <t>2025-01-16 00:15:08</t>
  </si>
  <si>
    <t>TKT-2024-11363</t>
  </si>
  <si>
    <t>2024-06-03 16:51:31</t>
  </si>
  <si>
    <t>2024-06-11 02:57:31</t>
  </si>
  <si>
    <t>TKT-2024-11364</t>
  </si>
  <si>
    <t>2024-08-08 01:44:40</t>
  </si>
  <si>
    <t>2024-08-12 08:02:40</t>
  </si>
  <si>
    <t>TKT-2024-11365</t>
  </si>
  <si>
    <t>2024-04-05 11:27:55</t>
  </si>
  <si>
    <t>2024-04-16 19:03:55</t>
  </si>
  <si>
    <t>TKT-2024-11366</t>
  </si>
  <si>
    <t>2024-11-25 14:11:01</t>
  </si>
  <si>
    <t>2024-11-30 07:17:01</t>
  </si>
  <si>
    <t>TKT-2024-11367</t>
  </si>
  <si>
    <t>2024-10-24 22:09:34</t>
  </si>
  <si>
    <t>2024-11-02 00:45:34</t>
  </si>
  <si>
    <t>TKT-2024-11368</t>
  </si>
  <si>
    <t>2024-11-06 08:45:42</t>
  </si>
  <si>
    <t>2024-11-18 08:21:42</t>
  </si>
  <si>
    <t>TKT-2024-11369</t>
  </si>
  <si>
    <t>2024-06-04 13:56:58</t>
  </si>
  <si>
    <t>2024-06-12 02:02:58</t>
  </si>
  <si>
    <t>TKT-2024-11370</t>
  </si>
  <si>
    <t>2024-06-24 00:07:24</t>
  </si>
  <si>
    <t>2024-07-21 13:01:24</t>
  </si>
  <si>
    <t>TKT-2024-11371</t>
  </si>
  <si>
    <t>2024-06-01 08:33:09</t>
  </si>
  <si>
    <t>2024-06-05 02:27:09</t>
  </si>
  <si>
    <t>TKT-2024-11372</t>
  </si>
  <si>
    <t>2024-09-09 05:46:16</t>
  </si>
  <si>
    <t>2024-09-16 22:22:16</t>
  </si>
  <si>
    <t>TKT-2024-11373</t>
  </si>
  <si>
    <t>2024-11-19 19:44:51</t>
  </si>
  <si>
    <t>2024-11-24 11:50:51</t>
  </si>
  <si>
    <t>TKT-2024-11374</t>
  </si>
  <si>
    <t>2024-04-26 19:58:33</t>
  </si>
  <si>
    <t>2024-05-08 22:58:33</t>
  </si>
  <si>
    <t>TKT-2024-11375</t>
  </si>
  <si>
    <t>2024-05-08 06:13:01</t>
  </si>
  <si>
    <t>2024-05-12 18:25:01</t>
  </si>
  <si>
    <t>TKT-2024-11376</t>
  </si>
  <si>
    <t>2024-08-11 05:03:11</t>
  </si>
  <si>
    <t>2024-08-17 21:39:11</t>
  </si>
  <si>
    <t>TKT-2024-11377</t>
  </si>
  <si>
    <t>2024-12-23 13:25:08</t>
  </si>
  <si>
    <t>2025-01-02 11:25:08</t>
  </si>
  <si>
    <t>TKT-2024-11378</t>
  </si>
  <si>
    <t>2024-11-16 05:30:31</t>
  </si>
  <si>
    <t>2024-11-22 08:06:31</t>
  </si>
  <si>
    <t>TKT-2024-11379</t>
  </si>
  <si>
    <t>2024-12-19 08:56:46</t>
  </si>
  <si>
    <t>2025-01-16 06:08:46</t>
  </si>
  <si>
    <t>TKT-2024-11380</t>
  </si>
  <si>
    <t>2024-08-26 04:42:50</t>
  </si>
  <si>
    <t>2024-09-02 07:12:50</t>
  </si>
  <si>
    <t>TKT-2024-11381</t>
  </si>
  <si>
    <t>2024-12-02 23:17:44</t>
  </si>
  <si>
    <t>2024-12-10 09:17:44</t>
  </si>
  <si>
    <t>TKT-2024-11382</t>
  </si>
  <si>
    <t>2024-06-23 22:52:11</t>
  </si>
  <si>
    <t>2024-06-27 20:58:11</t>
  </si>
  <si>
    <t>TKT-2024-11383</t>
  </si>
  <si>
    <t>2024-04-10 18:12:34</t>
  </si>
  <si>
    <t>2024-04-26 23:24:34</t>
  </si>
  <si>
    <t>TKT-2024-11384</t>
  </si>
  <si>
    <t>2024-10-25 17:46:53</t>
  </si>
  <si>
    <t>2024-10-29 13:46:53</t>
  </si>
  <si>
    <t>TKT-2024-11385</t>
  </si>
  <si>
    <t>2024-03-29 05:55:11</t>
  </si>
  <si>
    <t>2024-04-08 17:55:11</t>
  </si>
  <si>
    <t>TKT-2024-11386</t>
  </si>
  <si>
    <t>2024-02-27 22:55:20</t>
  </si>
  <si>
    <t>2024-03-06 15:19:20</t>
  </si>
  <si>
    <t>TKT-2024-11387</t>
  </si>
  <si>
    <t>2024-06-25 07:59:57</t>
  </si>
  <si>
    <t>2024-07-02 04:29:57</t>
  </si>
  <si>
    <t>TKT-2024-11388</t>
  </si>
  <si>
    <t>2024-06-28 11:34:51</t>
  </si>
  <si>
    <t>2024-07-11 04:46:51</t>
  </si>
  <si>
    <t>TKT-2024-11389</t>
  </si>
  <si>
    <t>2024-01-18 13:20:41</t>
  </si>
  <si>
    <t>2024-01-25 07:02:41</t>
  </si>
  <si>
    <t>TKT-2024-11390</t>
  </si>
  <si>
    <t>2024-10-11 16:34:40</t>
  </si>
  <si>
    <t>2024-10-20 19:10:40</t>
  </si>
  <si>
    <t>TKT-2024-11391</t>
  </si>
  <si>
    <t>2024-04-18 13:50:13</t>
  </si>
  <si>
    <t>2024-05-01 18:14:13</t>
  </si>
  <si>
    <t>TKT-2024-11392</t>
  </si>
  <si>
    <t>2024-11-11 05:47:10</t>
  </si>
  <si>
    <t>2024-11-19 00:41:10</t>
  </si>
  <si>
    <t>TKT-2024-11393</t>
  </si>
  <si>
    <t>2024-04-21 20:18:43</t>
  </si>
  <si>
    <t>2024-05-01 08:06:43</t>
  </si>
  <si>
    <t>TKT-2024-11394</t>
  </si>
  <si>
    <t>2024-12-08 19:40:43</t>
  </si>
  <si>
    <t>2024-12-12 06:40:43</t>
  </si>
  <si>
    <t>TKT-2024-11395</t>
  </si>
  <si>
    <t>2024-04-16 05:19:24</t>
  </si>
  <si>
    <t>2024-04-26 18:01:24</t>
  </si>
  <si>
    <t>TKT-2024-11396</t>
  </si>
  <si>
    <t>2024-12-24 23:17:41</t>
  </si>
  <si>
    <t>2025-01-02 20:59:41</t>
  </si>
  <si>
    <t>TKT-2024-11397</t>
  </si>
  <si>
    <t>2024-12-29 01:31:09</t>
  </si>
  <si>
    <t>2025-01-07 12:07:09</t>
  </si>
  <si>
    <t>TKT-2024-11398</t>
  </si>
  <si>
    <t>2024-01-05 17:01:03</t>
  </si>
  <si>
    <t>2024-01-09 17:31:03</t>
  </si>
  <si>
    <t>TKT-2024-11399</t>
  </si>
  <si>
    <t>2024-04-16 22:01:18</t>
  </si>
  <si>
    <t>2024-04-25 17:43:18</t>
  </si>
  <si>
    <t>TKT-2024-11400</t>
  </si>
  <si>
    <t>2024-01-04 11:07:21</t>
  </si>
  <si>
    <t>2024-01-11 00:31:21</t>
  </si>
  <si>
    <t>TKT-2024-11401</t>
  </si>
  <si>
    <t>2024-06-12 16:46:08</t>
  </si>
  <si>
    <t>2024-06-14 09:16:08</t>
  </si>
  <si>
    <t>TKT-2024-11402</t>
  </si>
  <si>
    <t>2024-06-03 20:23:20</t>
  </si>
  <si>
    <t>2024-06-10 16:35:20</t>
  </si>
  <si>
    <t>TKT-2024-11403</t>
  </si>
  <si>
    <t>2024-01-25 13:40:35</t>
  </si>
  <si>
    <t>2024-02-07 11:40:35</t>
  </si>
  <si>
    <t>TKT-2024-11404</t>
  </si>
  <si>
    <t>2024-04-23 21:20:13</t>
  </si>
  <si>
    <t>2024-05-07 15:38:13</t>
  </si>
  <si>
    <t>TKT-2024-11405</t>
  </si>
  <si>
    <t>2024-02-17 12:33:11</t>
  </si>
  <si>
    <t>2024-02-27 06:51:11</t>
  </si>
  <si>
    <t>TKT-2024-11406</t>
  </si>
  <si>
    <t>2024-11-10 06:20:15</t>
  </si>
  <si>
    <t>2024-11-22 11:14:15</t>
  </si>
  <si>
    <t>TKT-2024-11407</t>
  </si>
  <si>
    <t>2024-10-24 06:27:40</t>
  </si>
  <si>
    <t>2024-11-03 16:39:40</t>
  </si>
  <si>
    <t>TKT-2024-11408</t>
  </si>
  <si>
    <t>2024-12-22 03:38:08</t>
  </si>
  <si>
    <t>2025-01-04 23:14:08</t>
  </si>
  <si>
    <t>TKT-2024-11409</t>
  </si>
  <si>
    <t>2024-02-15 20:12:09</t>
  </si>
  <si>
    <t>2024-02-24 05:24:09</t>
  </si>
  <si>
    <t>TKT-2024-11410</t>
  </si>
  <si>
    <t>2024-02-16 01:09:54</t>
  </si>
  <si>
    <t>2024-02-21 10:21:54</t>
  </si>
  <si>
    <t>TKT-2024-11411</t>
  </si>
  <si>
    <t>2024-09-03 08:27:31</t>
  </si>
  <si>
    <t>2024-09-08 08:39:31</t>
  </si>
  <si>
    <t>TKT-2024-11412</t>
  </si>
  <si>
    <t>2024-08-05 03:16:58</t>
  </si>
  <si>
    <t>2024-08-08 18:58:58</t>
  </si>
  <si>
    <t>TKT-2024-11413</t>
  </si>
  <si>
    <t>2024-07-28 22:45:37</t>
  </si>
  <si>
    <t>2024-08-02 09:21:37</t>
  </si>
  <si>
    <t>TKT-2024-11414</t>
  </si>
  <si>
    <t>2024-08-29 23:04:14</t>
  </si>
  <si>
    <t>2024-09-09 08:22:14</t>
  </si>
  <si>
    <t>TKT-2024-11415</t>
  </si>
  <si>
    <t>2024-08-31 16:46:07</t>
  </si>
  <si>
    <t>2024-09-05 10:40:07</t>
  </si>
  <si>
    <t>TKT-2024-11416</t>
  </si>
  <si>
    <t>2024-08-18 21:55:49</t>
  </si>
  <si>
    <t>2024-08-31 04:49:49</t>
  </si>
  <si>
    <t>TKT-2024-11417</t>
  </si>
  <si>
    <t>2024-09-14 18:49:53</t>
  </si>
  <si>
    <t>2024-09-17 00:13:53</t>
  </si>
  <si>
    <t>TKT-2024-11418</t>
  </si>
  <si>
    <t>2024-06-30 17:21:41</t>
  </si>
  <si>
    <t>2024-07-04 21:45:41</t>
  </si>
  <si>
    <t>TKT-2024-11419</t>
  </si>
  <si>
    <t>2024-11-13 11:05:33</t>
  </si>
  <si>
    <t>2024-11-18 02:59:33</t>
  </si>
  <si>
    <t>TKT-2024-11420</t>
  </si>
  <si>
    <t>2024-12-18 17:57:17</t>
  </si>
  <si>
    <t>2024-12-31 23:21:17</t>
  </si>
  <si>
    <t>TKT-2024-11421</t>
  </si>
  <si>
    <t>2024-02-13 10:28:39</t>
  </si>
  <si>
    <t>2024-02-22 11:16:39</t>
  </si>
  <si>
    <t>TKT-2024-11422</t>
  </si>
  <si>
    <t>2024-11-11 17:30:06</t>
  </si>
  <si>
    <t>2024-11-13 01:36:06</t>
  </si>
  <si>
    <t>TKT-2024-11423</t>
  </si>
  <si>
    <t>2024-05-26 09:10:10</t>
  </si>
  <si>
    <t>2024-06-09 09:10:10</t>
  </si>
  <si>
    <t>TKT-2024-11424</t>
  </si>
  <si>
    <t>2024-08-22 19:45:04</t>
  </si>
  <si>
    <t>2024-08-25 22:21:04</t>
  </si>
  <si>
    <t>TKT-2024-11425</t>
  </si>
  <si>
    <t>2024-03-10 09:58:23</t>
  </si>
  <si>
    <t>2024-03-24 14:16:23</t>
  </si>
  <si>
    <t>TKT-2024-11426</t>
  </si>
  <si>
    <t>2024-04-13 23:20:37</t>
  </si>
  <si>
    <t>2024-05-10 21:14:37</t>
  </si>
  <si>
    <t>TKT-2024-11427</t>
  </si>
  <si>
    <t>2024-02-14 17:33:51</t>
  </si>
  <si>
    <t>2024-02-24 01:39:51</t>
  </si>
  <si>
    <t>TKT-2024-11428</t>
  </si>
  <si>
    <t>2024-06-28 06:34:59</t>
  </si>
  <si>
    <t>2024-07-10 00:46:59</t>
  </si>
  <si>
    <t>TKT-2024-11429</t>
  </si>
  <si>
    <t>2024-08-27 23:42:29</t>
  </si>
  <si>
    <t>2024-09-05 22:18:29</t>
  </si>
  <si>
    <t>TKT-2024-11430</t>
  </si>
  <si>
    <t>2024-04-25 19:35:58</t>
  </si>
  <si>
    <t>2024-05-02 15:29:58</t>
  </si>
  <si>
    <t>TKT-2024-11431</t>
  </si>
  <si>
    <t>2024-05-16 10:12:49</t>
  </si>
  <si>
    <t>2024-05-30 03:06:49</t>
  </si>
  <si>
    <t>TKT-2024-11432</t>
  </si>
  <si>
    <t>2024-05-15 20:24:28</t>
  </si>
  <si>
    <t>2024-05-18 22:36:28</t>
  </si>
  <si>
    <t>TKT-2024-11433</t>
  </si>
  <si>
    <t>2024-04-27 11:44:46</t>
  </si>
  <si>
    <t>2024-05-05 15:44:46</t>
  </si>
  <si>
    <t>TKT-2024-11434</t>
  </si>
  <si>
    <t>2024-10-31 12:30:43</t>
  </si>
  <si>
    <t>2024-11-08 06:12:43</t>
  </si>
  <si>
    <t>TKT-2024-11435</t>
  </si>
  <si>
    <t>2024-04-15 04:08:23</t>
  </si>
  <si>
    <t>2024-05-01 09:38:23</t>
  </si>
  <si>
    <t>TKT-2024-11436</t>
  </si>
  <si>
    <t>2024-06-20 19:19:48</t>
  </si>
  <si>
    <t>2024-06-24 16:07:48</t>
  </si>
  <si>
    <t>TKT-2024-11437</t>
  </si>
  <si>
    <t>2024-08-11 21:30:33</t>
  </si>
  <si>
    <t>2024-08-15 22:24:33</t>
  </si>
  <si>
    <t>TKT-2024-11438</t>
  </si>
  <si>
    <t>2024-09-29 21:32:30</t>
  </si>
  <si>
    <t>2024-10-06 03:44:30</t>
  </si>
  <si>
    <t>TKT-2024-11439</t>
  </si>
  <si>
    <t>2024-06-16 11:34:53</t>
  </si>
  <si>
    <t>2024-07-22 10:28:53</t>
  </si>
  <si>
    <t>TKT-2024-11440</t>
  </si>
  <si>
    <t>2024-02-21 17:55:36</t>
  </si>
  <si>
    <t>2024-02-25 15:07:36</t>
  </si>
  <si>
    <t>TKT-2024-11441</t>
  </si>
  <si>
    <t>2024-09-26 21:40:14</t>
  </si>
  <si>
    <t>2024-10-02 12:16:14</t>
  </si>
  <si>
    <t>TKT-2024-11442</t>
  </si>
  <si>
    <t>2024-04-03 21:01:28</t>
  </si>
  <si>
    <t>2024-04-14 06:49:28</t>
  </si>
  <si>
    <t>TKT-2024-11443</t>
  </si>
  <si>
    <t>2024-08-04 09:58:34</t>
  </si>
  <si>
    <t>2024-08-23 16:58:34</t>
  </si>
  <si>
    <t>TKT-2024-11444</t>
  </si>
  <si>
    <t>2024-11-30 20:37:45</t>
  </si>
  <si>
    <t>2024-12-08 22:25:45</t>
  </si>
  <si>
    <t>TKT-2024-11445</t>
  </si>
  <si>
    <t>2024-05-13 05:08:21</t>
  </si>
  <si>
    <t>2024-06-02 22:32:21</t>
  </si>
  <si>
    <t>TKT-2024-11446</t>
  </si>
  <si>
    <t>2024-09-18 19:41:58</t>
  </si>
  <si>
    <t>2024-09-22 11:11:58</t>
  </si>
  <si>
    <t>TKT-2024-11447</t>
  </si>
  <si>
    <t>2024-10-07 20:03:32</t>
  </si>
  <si>
    <t>2024-10-18 08:57:32</t>
  </si>
  <si>
    <t>TKT-2024-11448</t>
  </si>
  <si>
    <t>2024-02-02 19:15:30</t>
  </si>
  <si>
    <t>2024-02-15 16:15:30</t>
  </si>
  <si>
    <t>TKT-2024-11449</t>
  </si>
  <si>
    <t>2024-08-05 15:10:11</t>
  </si>
  <si>
    <t>2024-08-06 20:22:11</t>
  </si>
  <si>
    <t>TKT-2024-11450</t>
  </si>
  <si>
    <t>2024-09-22 03:43:05</t>
  </si>
  <si>
    <t>2024-09-28 13:13:05</t>
  </si>
  <si>
    <t>TKT-2024-11451</t>
  </si>
  <si>
    <t>2024-09-01 18:07:08</t>
  </si>
  <si>
    <t>2024-09-07 22:31:08</t>
  </si>
  <si>
    <t>TKT-2024-11452</t>
  </si>
  <si>
    <t>2024-10-20 20:21:34</t>
  </si>
  <si>
    <t>2024-10-28 20:03:34</t>
  </si>
  <si>
    <t>TKT-2024-11453</t>
  </si>
  <si>
    <t>2024-08-19 15:40:10</t>
  </si>
  <si>
    <t>2024-08-28 12:52:10</t>
  </si>
  <si>
    <t>TKT-2024-11454</t>
  </si>
  <si>
    <t>2024-09-21 10:10:27</t>
  </si>
  <si>
    <t>2024-09-25 04:22:27</t>
  </si>
  <si>
    <t>TKT-2024-11455</t>
  </si>
  <si>
    <t>2024-12-20 22:43:00</t>
  </si>
  <si>
    <t>2024-12-24 22:55:00</t>
  </si>
  <si>
    <t>TKT-2024-11456</t>
  </si>
  <si>
    <t>2024-10-21 09:33:02</t>
  </si>
  <si>
    <t>2024-11-01 18:51:02</t>
  </si>
  <si>
    <t>TKT-2024-11457</t>
  </si>
  <si>
    <t>2024-06-01 03:15:33</t>
  </si>
  <si>
    <t>2024-06-07 19:33:33</t>
  </si>
  <si>
    <t>TKT-2024-11458</t>
  </si>
  <si>
    <t>2024-07-22 10:39:41</t>
  </si>
  <si>
    <t>2024-08-01 14:45:41</t>
  </si>
  <si>
    <t>TKT-2024-11459</t>
  </si>
  <si>
    <t>2024-08-16 10:23:57</t>
  </si>
  <si>
    <t>2024-08-22 21:59:57</t>
  </si>
  <si>
    <t>TKT-2024-11460</t>
  </si>
  <si>
    <t>2024-10-15 23:28:51</t>
  </si>
  <si>
    <t>2024-10-24 06:04:51</t>
  </si>
  <si>
    <t>TKT-2024-11461</t>
  </si>
  <si>
    <t>2024-02-11 00:38:08</t>
  </si>
  <si>
    <t>2024-02-14 08:02:08</t>
  </si>
  <si>
    <t>TKT-2024-11462</t>
  </si>
  <si>
    <t>2024-03-07 10:38:20</t>
  </si>
  <si>
    <t>2024-03-20 01:20:20</t>
  </si>
  <si>
    <t>TKT-2024-11463</t>
  </si>
  <si>
    <t>2024-08-29 20:54:58</t>
  </si>
  <si>
    <t>2024-09-08 01:24:58</t>
  </si>
  <si>
    <t>TKT-2024-11464</t>
  </si>
  <si>
    <t>2024-03-02 00:17:39</t>
  </si>
  <si>
    <t>2024-03-06 13:59:39</t>
  </si>
  <si>
    <t>TKT-2024-11465</t>
  </si>
  <si>
    <t>2024-01-08 16:35:49</t>
  </si>
  <si>
    <t>2024-01-16 10:53:49</t>
  </si>
  <si>
    <t>TKT-2024-11466</t>
  </si>
  <si>
    <t>2024-08-24 13:59:18</t>
  </si>
  <si>
    <t>2024-09-01 21:41:18</t>
  </si>
  <si>
    <t>TKT-2024-11467</t>
  </si>
  <si>
    <t>2024-06-18 02:34:26</t>
  </si>
  <si>
    <t>2024-06-30 07:52:26</t>
  </si>
  <si>
    <t>TKT-2024-11468</t>
  </si>
  <si>
    <t>2024-10-02 05:53:53</t>
  </si>
  <si>
    <t>2024-10-14 01:11:53</t>
  </si>
  <si>
    <t>TKT-2024-11469</t>
  </si>
  <si>
    <t>2024-10-09 20:24:21</t>
  </si>
  <si>
    <t>2024-10-18 02:36:21</t>
  </si>
  <si>
    <t>TKT-2024-11470</t>
  </si>
  <si>
    <t>2024-09-28 21:50:14</t>
  </si>
  <si>
    <t>2024-10-10 05:56:14</t>
  </si>
  <si>
    <t>TKT-2024-11471</t>
  </si>
  <si>
    <t>2024-05-13 20:37:42</t>
  </si>
  <si>
    <t>2024-06-02 01:01:42</t>
  </si>
  <si>
    <t>TKT-2024-11472</t>
  </si>
  <si>
    <t>2024-03-27 15:22:45</t>
  </si>
  <si>
    <t>2024-04-10 17:10:45</t>
  </si>
  <si>
    <t>TKT-2024-11473</t>
  </si>
  <si>
    <t>2024-02-13 21:26:35</t>
  </si>
  <si>
    <t>2024-02-19 01:56:35</t>
  </si>
  <si>
    <t>TKT-2024-11474</t>
  </si>
  <si>
    <t>2024-02-13 04:07:20</t>
  </si>
  <si>
    <t>2024-02-27 21:49:20</t>
  </si>
  <si>
    <t>TKT-2024-11475</t>
  </si>
  <si>
    <t>2024-08-31 13:02:32</t>
  </si>
  <si>
    <t>2024-09-17 02:08:32</t>
  </si>
  <si>
    <t>TKT-2024-11476</t>
  </si>
  <si>
    <t>2024-08-24 06:55:36</t>
  </si>
  <si>
    <t>2024-08-27 00:55:36</t>
  </si>
  <si>
    <t>TKT-2024-11477</t>
  </si>
  <si>
    <t>2024-04-20 06:31:20</t>
  </si>
  <si>
    <t>2024-04-21 23:01:20</t>
  </si>
  <si>
    <t>TKT-2024-11478</t>
  </si>
  <si>
    <t>2024-01-02 03:00:48</t>
  </si>
  <si>
    <t>2024-01-09 17:36:48</t>
  </si>
  <si>
    <t>TKT-2024-11479</t>
  </si>
  <si>
    <t>2024-03-07 01:49:59</t>
  </si>
  <si>
    <t>2024-03-09 11:07:59</t>
  </si>
  <si>
    <t>TKT-2024-11480</t>
  </si>
  <si>
    <t>2024-05-28 08:38:36</t>
  </si>
  <si>
    <t>2024-06-10 06:26:36</t>
  </si>
  <si>
    <t>TKT-2024-11481</t>
  </si>
  <si>
    <t>2024-03-26 01:33:09</t>
  </si>
  <si>
    <t>2024-04-05 02:45:09</t>
  </si>
  <si>
    <t>TKT-2024-11482</t>
  </si>
  <si>
    <t>2024-08-31 06:23:03</t>
  </si>
  <si>
    <t>2024-09-11 20:29:03</t>
  </si>
  <si>
    <t>TKT-2024-11483</t>
  </si>
  <si>
    <t>2024-07-19 00:15:09</t>
  </si>
  <si>
    <t>2024-07-23 11:09:09</t>
  </si>
  <si>
    <t>TKT-2024-11484</t>
  </si>
  <si>
    <t>2024-03-18 20:32:36</t>
  </si>
  <si>
    <t>2024-03-23 05:02:36</t>
  </si>
  <si>
    <t>TKT-2024-11485</t>
  </si>
  <si>
    <t>2024-01-10 09:49:49</t>
  </si>
  <si>
    <t>2024-01-21 05:37:49</t>
  </si>
  <si>
    <t>TKT-2024-11486</t>
  </si>
  <si>
    <t>2024-01-01 06:27:20</t>
  </si>
  <si>
    <t>2024-01-05 16:21:20</t>
  </si>
  <si>
    <t>TKT-2024-11487</t>
  </si>
  <si>
    <t>2024-10-02 22:57:29</t>
  </si>
  <si>
    <t>2024-10-16 07:09:29</t>
  </si>
  <si>
    <t>TKT-2024-11488</t>
  </si>
  <si>
    <t>2024-12-09 11:23:55</t>
  </si>
  <si>
    <t>2024-12-22 15:47:55</t>
  </si>
  <si>
    <t>TKT-2024-11489</t>
  </si>
  <si>
    <t>2024-06-12 10:18:03</t>
  </si>
  <si>
    <t>2024-06-21 18:30:03</t>
  </si>
  <si>
    <t>TKT-2024-11490</t>
  </si>
  <si>
    <t>2024-04-14 03:29:49</t>
  </si>
  <si>
    <t>2024-04-21 21:05:49</t>
  </si>
  <si>
    <t>TKT-2024-11491</t>
  </si>
  <si>
    <t>2024-04-28 13:40:04</t>
  </si>
  <si>
    <t>2024-05-08 08:16:04</t>
  </si>
  <si>
    <t>TKT-2024-11492</t>
  </si>
  <si>
    <t>2024-07-23 04:50:32</t>
  </si>
  <si>
    <t>2024-08-05 12:32:32</t>
  </si>
  <si>
    <t>TKT-2024-11493</t>
  </si>
  <si>
    <t>2024-02-15 21:04:01</t>
  </si>
  <si>
    <t>2024-02-18 01:10:01</t>
  </si>
  <si>
    <t>TKT-2024-11494</t>
  </si>
  <si>
    <t>2024-10-16 12:48:46</t>
  </si>
  <si>
    <t>2024-10-19 13:12:46</t>
  </si>
  <si>
    <t>TKT-2024-11495</t>
  </si>
  <si>
    <t>2024-08-03 07:31:05</t>
  </si>
  <si>
    <t>2024-08-07 05:49:05</t>
  </si>
  <si>
    <t>TKT-2024-11496</t>
  </si>
  <si>
    <t>2024-05-10 13:16:46</t>
  </si>
  <si>
    <t>2024-05-16 02:58:46</t>
  </si>
  <si>
    <t>TKT-2024-11497</t>
  </si>
  <si>
    <t>2024-02-11 20:25:10</t>
  </si>
  <si>
    <t>2024-02-20 02:31:10</t>
  </si>
  <si>
    <t>TKT-2024-11498</t>
  </si>
  <si>
    <t>2024-03-17 08:04:16</t>
  </si>
  <si>
    <t>2024-03-25 20:16:16</t>
  </si>
  <si>
    <t>TKT-2024-11499</t>
  </si>
  <si>
    <t>2024-02-20 18:54:57</t>
  </si>
  <si>
    <t>2024-02-26 01:36:57</t>
  </si>
  <si>
    <t>TKT-2024-11500</t>
  </si>
  <si>
    <t>2024-01-01 13:03:56</t>
  </si>
  <si>
    <t>2024-01-12 00:39:56</t>
  </si>
  <si>
    <t>TKT-2024-11501</t>
  </si>
  <si>
    <t>2024-10-25 19:28:30</t>
  </si>
  <si>
    <t>2024-11-05 05:04:30</t>
  </si>
  <si>
    <t>TKT-2024-11502</t>
  </si>
  <si>
    <t>2024-10-15 09:53:40</t>
  </si>
  <si>
    <t>2024-10-19 09:47:40</t>
  </si>
  <si>
    <t>TKT-2024-11503</t>
  </si>
  <si>
    <t>2024-03-14 07:15:35</t>
  </si>
  <si>
    <t>2024-03-16 08:03:35</t>
  </si>
  <si>
    <t>TKT-2024-11504</t>
  </si>
  <si>
    <t>2024-12-17 20:11:28</t>
  </si>
  <si>
    <t>2024-12-21 11:35:28</t>
  </si>
  <si>
    <t>TKT-2024-11505</t>
  </si>
  <si>
    <t>2024-09-28 00:37:50</t>
  </si>
  <si>
    <t>2024-10-02 03:19:50</t>
  </si>
  <si>
    <t>TKT-2024-11506</t>
  </si>
  <si>
    <t>2024-03-03 00:27:19</t>
  </si>
  <si>
    <t>2024-03-08 12:03:19</t>
  </si>
  <si>
    <t>TKT-2024-11507</t>
  </si>
  <si>
    <t>2024-10-03 08:07:13</t>
  </si>
  <si>
    <t>2024-10-10 18:07:13</t>
  </si>
  <si>
    <t>TKT-2024-11508</t>
  </si>
  <si>
    <t>2024-08-14 03:21:59</t>
  </si>
  <si>
    <t>2024-08-20 07:09:59</t>
  </si>
  <si>
    <t>TKT-2024-11509</t>
  </si>
  <si>
    <t>2024-06-17 23:36:54</t>
  </si>
  <si>
    <t>2024-06-29 13:12:54</t>
  </si>
  <si>
    <t>TKT-2024-11510</t>
  </si>
  <si>
    <t>2024-05-25 04:49:54</t>
  </si>
  <si>
    <t>2024-05-29 15:13:54</t>
  </si>
  <si>
    <t>TKT-2024-11511</t>
  </si>
  <si>
    <t>2024-08-20 21:35:36</t>
  </si>
  <si>
    <t>2024-09-03 11:11:36</t>
  </si>
  <si>
    <t>TKT-2024-11512</t>
  </si>
  <si>
    <t>2024-04-27 23:31:26</t>
  </si>
  <si>
    <t>2024-05-16 04:01:26</t>
  </si>
  <si>
    <t>TKT-2024-11513</t>
  </si>
  <si>
    <t>2024-02-11 07:59:58</t>
  </si>
  <si>
    <t>2024-03-07 04:59:58</t>
  </si>
  <si>
    <t>TKT-2024-11514</t>
  </si>
  <si>
    <t>2024-08-29 06:54:37</t>
  </si>
  <si>
    <t>2024-09-02 17:06:37</t>
  </si>
  <si>
    <t>TKT-2024-11515</t>
  </si>
  <si>
    <t>2024-01-23 18:01:16</t>
  </si>
  <si>
    <t>2024-02-04 17:55:16</t>
  </si>
  <si>
    <t>TKT-2024-11516</t>
  </si>
  <si>
    <t>2024-11-11 09:27:09</t>
  </si>
  <si>
    <t>2024-11-29 05:33:09</t>
  </si>
  <si>
    <t>TKT-2024-11517</t>
  </si>
  <si>
    <t>2024-08-06 02:30:44</t>
  </si>
  <si>
    <t>2024-08-12 00:48:44</t>
  </si>
  <si>
    <t>TKT-2024-11518</t>
  </si>
  <si>
    <t>2024-05-03 04:13:40</t>
  </si>
  <si>
    <t>2024-05-11 06:19:40</t>
  </si>
  <si>
    <t>TKT-2024-11519</t>
  </si>
  <si>
    <t>2024-06-15 19:50:09</t>
  </si>
  <si>
    <t>2024-06-25 22:14:09</t>
  </si>
  <si>
    <t>TKT-2024-11520</t>
  </si>
  <si>
    <t>2024-05-12 07:45:33</t>
  </si>
  <si>
    <t>2024-05-29 12:09:33</t>
  </si>
  <si>
    <t>TKT-2024-11521</t>
  </si>
  <si>
    <t>2024-07-16 15:42:31</t>
  </si>
  <si>
    <t>2024-07-25 18:18:31</t>
  </si>
  <si>
    <t>TKT-2024-11522</t>
  </si>
  <si>
    <t>2024-04-09 10:09:49</t>
  </si>
  <si>
    <t>2024-04-18 21:51:49</t>
  </si>
  <si>
    <t>TKT-2024-11523</t>
  </si>
  <si>
    <t>2024-05-21 10:28:37</t>
  </si>
  <si>
    <t>2024-05-31 07:04:37</t>
  </si>
  <si>
    <t>TKT-2024-11524</t>
  </si>
  <si>
    <t>2024-03-01 07:32:25</t>
  </si>
  <si>
    <t>2024-03-17 17:32:25</t>
  </si>
  <si>
    <t>TKT-2024-11525</t>
  </si>
  <si>
    <t>2024-12-30 01:24:03</t>
  </si>
  <si>
    <t>2025-01-01 08:36:03</t>
  </si>
  <si>
    <t>TKT-2024-11526</t>
  </si>
  <si>
    <t>2024-07-09 17:47:24</t>
  </si>
  <si>
    <t>2024-07-19 20:29:24</t>
  </si>
  <si>
    <t>TKT-2024-11527</t>
  </si>
  <si>
    <t>2024-06-21 17:10:07</t>
  </si>
  <si>
    <t>2024-07-01 14:16:07</t>
  </si>
  <si>
    <t>TKT-2024-11528</t>
  </si>
  <si>
    <t>2024-01-15 22:08:07</t>
  </si>
  <si>
    <t>2024-01-24 22:44:07</t>
  </si>
  <si>
    <t>TKT-2024-11529</t>
  </si>
  <si>
    <t>2024-06-25 04:10:23</t>
  </si>
  <si>
    <t>2024-07-01 12:34:23</t>
  </si>
  <si>
    <t>TKT-2024-11530</t>
  </si>
  <si>
    <t>2024-12-30 08:30:59</t>
  </si>
  <si>
    <t>2025-01-08 09:06:59</t>
  </si>
  <si>
    <t>TKT-2024-11531</t>
  </si>
  <si>
    <t>2024-09-13 13:45:20</t>
  </si>
  <si>
    <t>2024-10-04 22:45:20</t>
  </si>
  <si>
    <t>TKT-2024-11532</t>
  </si>
  <si>
    <t>2024-09-03 20:25:15</t>
  </si>
  <si>
    <t>2024-09-15 13:07:15</t>
  </si>
  <si>
    <t>TKT-2024-11533</t>
  </si>
  <si>
    <t>2024-11-09 00:29:39</t>
  </si>
  <si>
    <t>2024-11-22 07:41:39</t>
  </si>
  <si>
    <t>TKT-2024-11534</t>
  </si>
  <si>
    <t>2024-11-22 18:46:36</t>
  </si>
  <si>
    <t>2024-11-26 08:16:36</t>
  </si>
  <si>
    <t>TKT-2024-11535</t>
  </si>
  <si>
    <t>2024-09-12 09:59:56</t>
  </si>
  <si>
    <t>2024-09-25 19:59:56</t>
  </si>
  <si>
    <t>TKT-2024-11536</t>
  </si>
  <si>
    <t>2024-09-27 01:04:13</t>
  </si>
  <si>
    <t>2024-10-01 14:22:13</t>
  </si>
  <si>
    <t>TKT-2024-11537</t>
  </si>
  <si>
    <t>2024-11-07 05:15:34</t>
  </si>
  <si>
    <t>2024-11-14 04:03:34</t>
  </si>
  <si>
    <t>TKT-2024-11538</t>
  </si>
  <si>
    <t>2024-10-08 08:28:25</t>
  </si>
  <si>
    <t>2024-10-14 18:28:25</t>
  </si>
  <si>
    <t>TKT-2024-11539</t>
  </si>
  <si>
    <t>2024-04-03 17:15:28</t>
  </si>
  <si>
    <t>2024-04-21 05:39:28</t>
  </si>
  <si>
    <t>TKT-2024-11540</t>
  </si>
  <si>
    <t>2024-02-01 20:17:48</t>
  </si>
  <si>
    <t>2024-02-09 05:35:48</t>
  </si>
  <si>
    <t>TKT-2024-11541</t>
  </si>
  <si>
    <t>2024-04-17 17:33:14</t>
  </si>
  <si>
    <t>2024-04-25 07:03:14</t>
  </si>
  <si>
    <t>TKT-2024-11542</t>
  </si>
  <si>
    <t>2024-04-09 17:43:24</t>
  </si>
  <si>
    <t>2024-04-12 21:43:24</t>
  </si>
  <si>
    <t>TKT-2024-11543</t>
  </si>
  <si>
    <t>2024-06-06 12:51:37</t>
  </si>
  <si>
    <t>2024-06-13 02:27:37</t>
  </si>
  <si>
    <t>TKT-2024-11544</t>
  </si>
  <si>
    <t>2024-09-04 15:21:31</t>
  </si>
  <si>
    <t>2024-09-13 02:45:31</t>
  </si>
  <si>
    <t>TKT-2024-11545</t>
  </si>
  <si>
    <t>2024-09-06 20:03:04</t>
  </si>
  <si>
    <t>2024-09-18 03:57:04</t>
  </si>
  <si>
    <t>TKT-2024-11546</t>
  </si>
  <si>
    <t>2024-01-21 05:33:55</t>
  </si>
  <si>
    <t>2024-01-22 23:51:55</t>
  </si>
  <si>
    <t>TKT-2024-11547</t>
  </si>
  <si>
    <t>2024-06-01 20:42:27</t>
  </si>
  <si>
    <t>2024-06-13 22:06:27</t>
  </si>
  <si>
    <t>TKT-2024-11548</t>
  </si>
  <si>
    <t>2024-01-09 15:51:00</t>
  </si>
  <si>
    <t>2024-01-22 23:15:00</t>
  </si>
  <si>
    <t>TKT-2024-11549</t>
  </si>
  <si>
    <t>2024-03-12 02:02:05</t>
  </si>
  <si>
    <t>2024-04-03 13:08:05</t>
  </si>
  <si>
    <t>TKT-2024-11550</t>
  </si>
  <si>
    <t>2024-10-27 14:12:03</t>
  </si>
  <si>
    <t>2024-11-08 13:42:03</t>
  </si>
  <si>
    <t>TKT-2024-11551</t>
  </si>
  <si>
    <t>2024-06-16 08:30:19</t>
  </si>
  <si>
    <t>2024-07-02 21:54:19</t>
  </si>
  <si>
    <t>TKT-2024-11552</t>
  </si>
  <si>
    <t>2024-06-05 04:21:01</t>
  </si>
  <si>
    <t>2024-06-08 13:39:01</t>
  </si>
  <si>
    <t>TKT-2024-11553</t>
  </si>
  <si>
    <t>2024-01-31 13:09:23</t>
  </si>
  <si>
    <t>2024-02-07 07:51:23</t>
  </si>
  <si>
    <t>TKT-2024-11554</t>
  </si>
  <si>
    <t>2024-01-18 09:23:30</t>
  </si>
  <si>
    <t>2024-01-26 18:11:30</t>
  </si>
  <si>
    <t>TKT-2024-11555</t>
  </si>
  <si>
    <t>2024-12-18 18:10:15</t>
  </si>
  <si>
    <t>2024-12-25 19:28:15</t>
  </si>
  <si>
    <t>TKT-2024-11556</t>
  </si>
  <si>
    <t>2024-09-08 20:27:31</t>
  </si>
  <si>
    <t>2024-10-15 18:03:31</t>
  </si>
  <si>
    <t>TKT-2024-11557</t>
  </si>
  <si>
    <t>2024-05-26 17:29:09</t>
  </si>
  <si>
    <t>2024-05-29 02:23:09</t>
  </si>
  <si>
    <t>TKT-2024-11558</t>
  </si>
  <si>
    <t>2024-11-22 10:23:27</t>
  </si>
  <si>
    <t>2024-11-28 11:29:27</t>
  </si>
  <si>
    <t>TKT-2024-11559</t>
  </si>
  <si>
    <t>2024-11-12 21:00:57</t>
  </si>
  <si>
    <t>2024-11-19 04:06:57</t>
  </si>
  <si>
    <t>TKT-2024-11560</t>
  </si>
  <si>
    <t>2024-09-23 13:39:36</t>
  </si>
  <si>
    <t>2024-09-26 21:21:36</t>
  </si>
  <si>
    <t>TKT-2024-11561</t>
  </si>
  <si>
    <t>2024-07-09 18:12:44</t>
  </si>
  <si>
    <t>2024-07-21 07:24:44</t>
  </si>
  <si>
    <t>TKT-2024-11562</t>
  </si>
  <si>
    <t>2024-03-18 21:03:23</t>
  </si>
  <si>
    <t>2024-04-02 08:03:23</t>
  </si>
  <si>
    <t>TKT-2024-11563</t>
  </si>
  <si>
    <t>2024-07-23 12:44:39</t>
  </si>
  <si>
    <t>2024-08-01 23:08:39</t>
  </si>
  <si>
    <t>TKT-2024-11564</t>
  </si>
  <si>
    <t>2024-03-20 17:53:13</t>
  </si>
  <si>
    <t>2024-03-29 00:35:13</t>
  </si>
  <si>
    <t>TKT-2024-11565</t>
  </si>
  <si>
    <t>2024-12-22 04:24:03</t>
  </si>
  <si>
    <t>2024-12-23 14:48:03</t>
  </si>
  <si>
    <t>TKT-2024-11566</t>
  </si>
  <si>
    <t>2024-10-20 10:45:21</t>
  </si>
  <si>
    <t>2024-10-29 03:51:21</t>
  </si>
  <si>
    <t>TKT-2024-11567</t>
  </si>
  <si>
    <t>2024-09-09 03:54:50</t>
  </si>
  <si>
    <t>2024-09-17 03:12:50</t>
  </si>
  <si>
    <t>TKT-2024-11568</t>
  </si>
  <si>
    <t>2024-04-27 15:18:47</t>
  </si>
  <si>
    <t>2024-05-23 15:12:47</t>
  </si>
  <si>
    <t>TKT-2024-11569</t>
  </si>
  <si>
    <t>2024-02-16 04:41:19</t>
  </si>
  <si>
    <t>2024-02-25 00:11:19</t>
  </si>
  <si>
    <t>TKT-2024-11570</t>
  </si>
  <si>
    <t>2024-12-05 08:58:41</t>
  </si>
  <si>
    <t>2024-12-17 21:28:41</t>
  </si>
  <si>
    <t>TKT-2024-11571</t>
  </si>
  <si>
    <t>2024-09-17 05:34:35</t>
  </si>
  <si>
    <t>2024-10-01 03:16:35</t>
  </si>
  <si>
    <t>TKT-2024-11572</t>
  </si>
  <si>
    <t>2024-10-01 01:00:35</t>
  </si>
  <si>
    <t>2024-10-10 12:36:35</t>
  </si>
  <si>
    <t>TKT-2024-11573</t>
  </si>
  <si>
    <t>2024-05-20 12:46:37</t>
  </si>
  <si>
    <t>2024-05-24 13:16:37</t>
  </si>
  <si>
    <t>TKT-2024-11574</t>
  </si>
  <si>
    <t>2024-04-13 01:16:54</t>
  </si>
  <si>
    <t>2024-05-24 20:10:54</t>
  </si>
  <si>
    <t>TKT-2024-11575</t>
  </si>
  <si>
    <t>2024-03-18 01:56:50</t>
  </si>
  <si>
    <t>2024-03-27 16:26:50</t>
  </si>
  <si>
    <t>TKT-2024-11576</t>
  </si>
  <si>
    <t>2024-12-13 07:57:49</t>
  </si>
  <si>
    <t>2024-12-21 16:51:49</t>
  </si>
  <si>
    <t>TKT-2024-11577</t>
  </si>
  <si>
    <t>2024-11-21 16:42:37</t>
  </si>
  <si>
    <t>2024-11-29 23:06:37</t>
  </si>
  <si>
    <t>TKT-2024-11578</t>
  </si>
  <si>
    <t>2024-10-05 07:45:34</t>
  </si>
  <si>
    <t>2024-10-12 03:45:34</t>
  </si>
  <si>
    <t>TKT-2024-11579</t>
  </si>
  <si>
    <t>2024-04-27 14:56:18</t>
  </si>
  <si>
    <t>2024-05-10 05:02:18</t>
  </si>
  <si>
    <t>TKT-2024-11580</t>
  </si>
  <si>
    <t>2024-04-26 08:44:00</t>
  </si>
  <si>
    <t>2024-04-30 01:14:00</t>
  </si>
  <si>
    <t>TKT-2024-11581</t>
  </si>
  <si>
    <t>2024-12-13 03:15:37</t>
  </si>
  <si>
    <t>2024-12-26 05:45:37</t>
  </si>
  <si>
    <t>TKT-2024-11582</t>
  </si>
  <si>
    <t>2024-09-17 00:19:35</t>
  </si>
  <si>
    <t>2024-09-27 02:37:35</t>
  </si>
  <si>
    <t>TKT-2024-11583</t>
  </si>
  <si>
    <t>2024-04-03 17:13:43</t>
  </si>
  <si>
    <t>2024-04-11 12:07:43</t>
  </si>
  <si>
    <t>TKT-2024-11584</t>
  </si>
  <si>
    <t>2024-06-06 15:05:02</t>
  </si>
  <si>
    <t>2024-06-14 03:53:02</t>
  </si>
  <si>
    <t>TKT-2024-11585</t>
  </si>
  <si>
    <t>2024-09-25 19:49:42</t>
  </si>
  <si>
    <t>2024-09-29 07:19:42</t>
  </si>
  <si>
    <t>TKT-2024-11586</t>
  </si>
  <si>
    <t>2024-03-19 11:23:01</t>
  </si>
  <si>
    <t>2024-03-21 13:35:01</t>
  </si>
  <si>
    <t>TKT-2024-11587</t>
  </si>
  <si>
    <t>2024-01-06 14:32:59</t>
  </si>
  <si>
    <t>2024-01-10 09:38:59</t>
  </si>
  <si>
    <t>TKT-2024-11588</t>
  </si>
  <si>
    <t>2024-08-20 13:26:11</t>
  </si>
  <si>
    <t>2024-08-29 16:08:11</t>
  </si>
  <si>
    <t>TKT-2024-11589</t>
  </si>
  <si>
    <t>2024-08-03 01:55:26</t>
  </si>
  <si>
    <t>2024-08-10 13:49:26</t>
  </si>
  <si>
    <t>TKT-2024-11590</t>
  </si>
  <si>
    <t>2024-06-09 09:08:08</t>
  </si>
  <si>
    <t>2024-06-22 07:20:08</t>
  </si>
  <si>
    <t>TKT-2024-11591</t>
  </si>
  <si>
    <t>2024-01-06 04:27:46</t>
  </si>
  <si>
    <t>2024-01-09 12:03:46</t>
  </si>
  <si>
    <t>TKT-2024-11592</t>
  </si>
  <si>
    <t>2024-04-21 12:35:15</t>
  </si>
  <si>
    <t>2024-05-02 15:35:15</t>
  </si>
  <si>
    <t>TKT-2024-11593</t>
  </si>
  <si>
    <t>2024-10-22 02:25:26</t>
  </si>
  <si>
    <t>2024-11-02 22:07:26</t>
  </si>
  <si>
    <t>TKT-2024-11594</t>
  </si>
  <si>
    <t>2024-01-27 20:22:36</t>
  </si>
  <si>
    <t>2024-02-03 21:10:36</t>
  </si>
  <si>
    <t>TKT-2024-11595</t>
  </si>
  <si>
    <t>2024-08-01 02:35:43</t>
  </si>
  <si>
    <t>2024-08-05 18:59:43</t>
  </si>
  <si>
    <t>TKT-2024-11596</t>
  </si>
  <si>
    <t>2024-04-20 05:05:48</t>
  </si>
  <si>
    <t>2024-04-27 08:05:48</t>
  </si>
  <si>
    <t>TKT-2024-11597</t>
  </si>
  <si>
    <t>2024-07-11 14:14:24</t>
  </si>
  <si>
    <t>2024-07-20 07:32:24</t>
  </si>
  <si>
    <t>TKT-2024-11598</t>
  </si>
  <si>
    <t>2024-10-25 20:51:22</t>
  </si>
  <si>
    <t>2024-11-04 00:51:22</t>
  </si>
  <si>
    <t>TKT-2024-11599</t>
  </si>
  <si>
    <t>2024-09-20 06:15:34</t>
  </si>
  <si>
    <t>2024-10-01 12:57:34</t>
  </si>
  <si>
    <t>TKT-2024-11600</t>
  </si>
  <si>
    <t>2024-03-29 13:43:25</t>
  </si>
  <si>
    <t>2024-04-04 20:13:25</t>
  </si>
  <si>
    <t>TKT-2024-11601</t>
  </si>
  <si>
    <t>2024-10-30 00:54:30</t>
  </si>
  <si>
    <t>2024-11-04 13:06:30</t>
  </si>
  <si>
    <t>TKT-2024-11602</t>
  </si>
  <si>
    <t>2024-02-17 10:12:05</t>
  </si>
  <si>
    <t>2024-02-25 07:18:05</t>
  </si>
  <si>
    <t>TKT-2024-11603</t>
  </si>
  <si>
    <t>2024-09-15 14:27:42</t>
  </si>
  <si>
    <t>2024-09-22 23:27:42</t>
  </si>
  <si>
    <t>TKT-2024-11604</t>
  </si>
  <si>
    <t>2024-08-08 21:44:28</t>
  </si>
  <si>
    <t>2024-08-15 13:38:28</t>
  </si>
  <si>
    <t>TKT-2024-11605</t>
  </si>
  <si>
    <t>2024-11-13 15:34:31</t>
  </si>
  <si>
    <t>2024-11-19 00:22:31</t>
  </si>
  <si>
    <t>TKT-2024-11606</t>
  </si>
  <si>
    <t>2024-04-01 00:07:35</t>
  </si>
  <si>
    <t>2024-04-06 09:43:35</t>
  </si>
  <si>
    <t>TKT-2024-11607</t>
  </si>
  <si>
    <t>2024-08-27 20:27:05</t>
  </si>
  <si>
    <t>2024-09-08 23:51:05</t>
  </si>
  <si>
    <t>TKT-2024-11608</t>
  </si>
  <si>
    <t>2024-08-05 04:33:37</t>
  </si>
  <si>
    <t>2024-08-18 02:39:37</t>
  </si>
  <si>
    <t>TKT-2024-11609</t>
  </si>
  <si>
    <t>2024-12-11 12:35:53</t>
  </si>
  <si>
    <t>2024-12-16 03:47:53</t>
  </si>
  <si>
    <t>TKT-2024-11610</t>
  </si>
  <si>
    <t>2024-04-05 09:42:08</t>
  </si>
  <si>
    <t>2024-04-10 03:30:08</t>
  </si>
  <si>
    <t>TKT-2024-11611</t>
  </si>
  <si>
    <t>2024-07-17 18:39:21</t>
  </si>
  <si>
    <t>2024-07-28 14:33:21</t>
  </si>
  <si>
    <t>TKT-2024-11612</t>
  </si>
  <si>
    <t>2024-10-24 02:04:51</t>
  </si>
  <si>
    <t>2024-11-06 12:16:51</t>
  </si>
  <si>
    <t>TKT-2024-11613</t>
  </si>
  <si>
    <t>2024-05-05 14:26:22</t>
  </si>
  <si>
    <t>2024-05-13 19:56:22</t>
  </si>
  <si>
    <t>TKT-2024-11614</t>
  </si>
  <si>
    <t>2024-10-24 15:48:39</t>
  </si>
  <si>
    <t>2024-11-12 15:42:39</t>
  </si>
  <si>
    <t>TKT-2024-11615</t>
  </si>
  <si>
    <t>2024-08-02 17:19:12</t>
  </si>
  <si>
    <t>2024-08-16 18:07:12</t>
  </si>
  <si>
    <t>TKT-2024-11616</t>
  </si>
  <si>
    <t>2024-04-16 11:13:38</t>
  </si>
  <si>
    <t>2024-04-23 09:55:38</t>
  </si>
  <si>
    <t>TKT-2024-11617</t>
  </si>
  <si>
    <t>2024-09-20 02:48:01</t>
  </si>
  <si>
    <t>2024-10-02 11:24:01</t>
  </si>
  <si>
    <t>TKT-2024-11618</t>
  </si>
  <si>
    <t>2024-09-19 03:47:24</t>
  </si>
  <si>
    <t>2024-09-22 17:05:24</t>
  </si>
  <si>
    <t>TKT-2024-11619</t>
  </si>
  <si>
    <t>2024-01-19 23:45:15</t>
  </si>
  <si>
    <t>2024-01-28 01:27:15</t>
  </si>
  <si>
    <t>TKT-2024-11620</t>
  </si>
  <si>
    <t>2024-09-14 17:59:56</t>
  </si>
  <si>
    <t>2024-10-02 13:47:56</t>
  </si>
  <si>
    <t>TKT-2024-11621</t>
  </si>
  <si>
    <t>2024-09-14 21:07:06</t>
  </si>
  <si>
    <t>2024-09-23 21:43:06</t>
  </si>
  <si>
    <t>TKT-2024-11622</t>
  </si>
  <si>
    <t>2024-03-01 09:40:00</t>
  </si>
  <si>
    <t>2024-03-08 19:34:00</t>
  </si>
  <si>
    <t>TKT-2024-11623</t>
  </si>
  <si>
    <t>2024-11-08 14:31:50</t>
  </si>
  <si>
    <t>2024-11-17 01:43:50</t>
  </si>
  <si>
    <t>TKT-2024-11624</t>
  </si>
  <si>
    <t>2024-02-04 17:36:28</t>
  </si>
  <si>
    <t>2024-02-13 01:36:28</t>
  </si>
  <si>
    <t>TKT-2024-11625</t>
  </si>
  <si>
    <t>2024-06-12 19:17:35</t>
  </si>
  <si>
    <t>2024-06-23 06:17:35</t>
  </si>
  <si>
    <t>TKT-2024-11626</t>
  </si>
  <si>
    <t>2024-10-22 23:18:44</t>
  </si>
  <si>
    <t>2024-11-10 02:36:44</t>
  </si>
  <si>
    <t>TKT-2024-11627</t>
  </si>
  <si>
    <t>2024-03-08 19:35:28</t>
  </si>
  <si>
    <t>2024-03-20 15:11:28</t>
  </si>
  <si>
    <t>TKT-2024-11628</t>
  </si>
  <si>
    <t>2024-04-24 15:31:47</t>
  </si>
  <si>
    <t>2024-05-06 18:49:47</t>
  </si>
  <si>
    <t>TKT-2024-11629</t>
  </si>
  <si>
    <t>2024-11-11 14:28:54</t>
  </si>
  <si>
    <t>2024-11-26 17:16:54</t>
  </si>
  <si>
    <t>TKT-2024-11630</t>
  </si>
  <si>
    <t>2024-02-23 07:04:34</t>
  </si>
  <si>
    <t>2024-03-01 05:22:34</t>
  </si>
  <si>
    <t>TKT-2024-11631</t>
  </si>
  <si>
    <t>2024-08-06 17:45:19</t>
  </si>
  <si>
    <t>2024-09-05 05:03:19</t>
  </si>
  <si>
    <t>TKT-2024-11632</t>
  </si>
  <si>
    <t>2024-07-03 23:21:05</t>
  </si>
  <si>
    <t>2024-07-12 20:33:05</t>
  </si>
  <si>
    <t>TKT-2024-11633</t>
  </si>
  <si>
    <t>2024-04-18 13:46:03</t>
  </si>
  <si>
    <t>2024-04-23 07:34:03</t>
  </si>
  <si>
    <t>TKT-2024-11634</t>
  </si>
  <si>
    <t>2024-04-11 22:24:08</t>
  </si>
  <si>
    <t>2024-04-19 14:18:08</t>
  </si>
  <si>
    <t>TKT-2024-11635</t>
  </si>
  <si>
    <t>2024-11-06 13:17:57</t>
  </si>
  <si>
    <t>2024-11-12 17:59:57</t>
  </si>
  <si>
    <t>TKT-2024-11636</t>
  </si>
  <si>
    <t>2024-02-06 09:11:08</t>
  </si>
  <si>
    <t>2024-02-23 00:05:08</t>
  </si>
  <si>
    <t>TKT-2024-11637</t>
  </si>
  <si>
    <t>2024-09-24 02:35:49</t>
  </si>
  <si>
    <t>2024-10-30 11:17:49</t>
  </si>
  <si>
    <t>TKT-2024-11638</t>
  </si>
  <si>
    <t>2024-03-16 08:48:54</t>
  </si>
  <si>
    <t>2024-03-23 19:36:54</t>
  </si>
  <si>
    <t>TKT-2024-11639</t>
  </si>
  <si>
    <t>2024-08-12 20:29:05</t>
  </si>
  <si>
    <t>2024-08-22 11:05:05</t>
  </si>
  <si>
    <t>TKT-2024-11640</t>
  </si>
  <si>
    <t>2024-11-19 08:12:52</t>
  </si>
  <si>
    <t>2024-11-26 18:48:52</t>
  </si>
  <si>
    <t>TKT-2024-11641</t>
  </si>
  <si>
    <t>2024-06-19 17:37:31</t>
  </si>
  <si>
    <t>2024-06-29 03:43:31</t>
  </si>
  <si>
    <t>TKT-2024-11642</t>
  </si>
  <si>
    <t>2024-12-24 19:03:40</t>
  </si>
  <si>
    <t>2025-01-05 14:21:40</t>
  </si>
  <si>
    <t>TKT-2024-11643</t>
  </si>
  <si>
    <t>2024-10-25 07:32:44</t>
  </si>
  <si>
    <t>2024-11-02 09:32:44</t>
  </si>
  <si>
    <t>TKT-2024-11644</t>
  </si>
  <si>
    <t>2024-06-28 23:48:36</t>
  </si>
  <si>
    <t>2024-08-05 23:06:36</t>
  </si>
  <si>
    <t>TKT-2024-11645</t>
  </si>
  <si>
    <t>2024-04-16 07:46:54</t>
  </si>
  <si>
    <t>2024-04-24 15:40:54</t>
  </si>
  <si>
    <t>TKT-2024-11646</t>
  </si>
  <si>
    <t>2024-07-09 16:40:28</t>
  </si>
  <si>
    <t>2024-07-11 03:10:28</t>
  </si>
  <si>
    <t>TKT-2024-11647</t>
  </si>
  <si>
    <t>2024-01-04 18:27:34</t>
  </si>
  <si>
    <t>2024-01-10 20:57:34</t>
  </si>
  <si>
    <t>TKT-2024-11648</t>
  </si>
  <si>
    <t>2024-03-12 14:38:14</t>
  </si>
  <si>
    <t>2024-03-19 17:20:14</t>
  </si>
  <si>
    <t>TKT-2024-11649</t>
  </si>
  <si>
    <t>2024-03-04 00:33:39</t>
  </si>
  <si>
    <t>2024-03-11 12:51:39</t>
  </si>
  <si>
    <t>TKT-2024-11650</t>
  </si>
  <si>
    <t>2024-06-24 15:30:01</t>
  </si>
  <si>
    <t>2024-07-02 11:36:01</t>
  </si>
  <si>
    <t>TKT-2024-11651</t>
  </si>
  <si>
    <t>2024-07-15 10:07:47</t>
  </si>
  <si>
    <t>2024-07-26 14:13:47</t>
  </si>
  <si>
    <t>TKT-2024-11652</t>
  </si>
  <si>
    <t>2024-07-15 03:11:26</t>
  </si>
  <si>
    <t>2024-07-21 04:59:26</t>
  </si>
  <si>
    <t>TKT-2024-11653</t>
  </si>
  <si>
    <t>2024-11-23 02:31:58</t>
  </si>
  <si>
    <t>2024-12-02 00:55:58</t>
  </si>
  <si>
    <t>TKT-2024-11654</t>
  </si>
  <si>
    <t>2024-07-07 18:06:39</t>
  </si>
  <si>
    <t>2024-07-13 03:06:39</t>
  </si>
  <si>
    <t>TKT-2024-11655</t>
  </si>
  <si>
    <t>2024-12-18 09:55:36</t>
  </si>
  <si>
    <t>2024-12-19 17:19:36</t>
  </si>
  <si>
    <t>TKT-2024-11656</t>
  </si>
  <si>
    <t>2024-09-02 20:47:43</t>
  </si>
  <si>
    <t>2024-09-16 07:23:43</t>
  </si>
  <si>
    <t>TKT-2024-11657</t>
  </si>
  <si>
    <t>2024-11-22 06:04:59</t>
  </si>
  <si>
    <t>2024-11-25 00:40:59</t>
  </si>
  <si>
    <t>TKT-2024-11658</t>
  </si>
  <si>
    <t>2024-12-07 20:33:52</t>
  </si>
  <si>
    <t>2024-12-10 01:03:52</t>
  </si>
  <si>
    <t>TKT-2024-11659</t>
  </si>
  <si>
    <t>2024-09-05 15:46:53</t>
  </si>
  <si>
    <t>2024-09-14 06:34:53</t>
  </si>
  <si>
    <t>TKT-2024-11660</t>
  </si>
  <si>
    <t>2024-09-23 20:59:25</t>
  </si>
  <si>
    <t>2024-09-28 06:17:25</t>
  </si>
  <si>
    <t>TKT-2024-11661</t>
  </si>
  <si>
    <t>2024-02-26 20:27:47</t>
  </si>
  <si>
    <t>2024-03-05 04:09:47</t>
  </si>
  <si>
    <t>TKT-2024-11662</t>
  </si>
  <si>
    <t>2024-01-03 09:16:04</t>
  </si>
  <si>
    <t>2024-01-16 18:04:04</t>
  </si>
  <si>
    <t>TKT-2024-11663</t>
  </si>
  <si>
    <t>2024-03-02 16:21:06</t>
  </si>
  <si>
    <t>2024-03-13 06:27:06</t>
  </si>
  <si>
    <t>TKT-2024-11664</t>
  </si>
  <si>
    <t>2024-07-27 09:49:17</t>
  </si>
  <si>
    <t>2024-08-09 01:43:17</t>
  </si>
  <si>
    <t>TKT-2024-11665</t>
  </si>
  <si>
    <t>2024-02-28 11:04:07</t>
  </si>
  <si>
    <t>2024-03-21 21:40:07</t>
  </si>
  <si>
    <t>TKT-2024-11666</t>
  </si>
  <si>
    <t>2024-12-22 15:28:33</t>
  </si>
  <si>
    <t>2024-12-27 03:52:33</t>
  </si>
  <si>
    <t>TKT-2024-11667</t>
  </si>
  <si>
    <t>2024-08-09 11:53:11</t>
  </si>
  <si>
    <t>2024-08-17 02:23:11</t>
  </si>
  <si>
    <t>TKT-2024-11668</t>
  </si>
  <si>
    <t>2024-12-04 22:03:00</t>
  </si>
  <si>
    <t>2025-01-17 14:15:00</t>
  </si>
  <si>
    <t>TKT-2024-11669</t>
  </si>
  <si>
    <t>2024-07-30 14:52:38</t>
  </si>
  <si>
    <t>2024-08-06 03:58:38</t>
  </si>
  <si>
    <t>TKT-2024-11670</t>
  </si>
  <si>
    <t>2024-10-12 18:02:35</t>
  </si>
  <si>
    <t>2024-10-15 22:50:35</t>
  </si>
  <si>
    <t>TKT-2024-11671</t>
  </si>
  <si>
    <t>2024-03-03 19:12:45</t>
  </si>
  <si>
    <t>2024-03-10 14:54:45</t>
  </si>
  <si>
    <t>TKT-2024-11672</t>
  </si>
  <si>
    <t>2024-06-08 07:55:57</t>
  </si>
  <si>
    <t>2024-06-21 16:49:57</t>
  </si>
  <si>
    <t>TKT-2024-11673</t>
  </si>
  <si>
    <t>2024-03-31 02:04:47</t>
  </si>
  <si>
    <t>2024-04-03 20:40:47</t>
  </si>
  <si>
    <t>TKT-2024-11674</t>
  </si>
  <si>
    <t>2024-09-12 19:39:40</t>
  </si>
  <si>
    <t>2024-09-26 06:45:40</t>
  </si>
  <si>
    <t>TKT-2024-11675</t>
  </si>
  <si>
    <t>2024-06-06 00:20:04</t>
  </si>
  <si>
    <t>2024-06-30 00:02:04</t>
  </si>
  <si>
    <t>TKT-2024-11676</t>
  </si>
  <si>
    <t>2024-02-09 07:02:04</t>
  </si>
  <si>
    <t>2024-02-16 06:50:04</t>
  </si>
  <si>
    <t>TKT-2024-11677</t>
  </si>
  <si>
    <t>2024-09-28 06:44:25</t>
  </si>
  <si>
    <t>2024-10-08 13:02:25</t>
  </si>
  <si>
    <t>TKT-2024-11678</t>
  </si>
  <si>
    <t>2024-12-09 14:49:56</t>
  </si>
  <si>
    <t>2024-12-13 02:55:56</t>
  </si>
  <si>
    <t>TKT-2024-11679</t>
  </si>
  <si>
    <t>2024-04-30 05:38:36</t>
  </si>
  <si>
    <t>2024-05-12 22:56:36</t>
  </si>
  <si>
    <t>TKT-2024-11680</t>
  </si>
  <si>
    <t>2024-10-07 07:43:04</t>
  </si>
  <si>
    <t>2024-10-16 09:37:04</t>
  </si>
  <si>
    <t>TKT-2024-11681</t>
  </si>
  <si>
    <t>2024-12-29 16:37:04</t>
  </si>
  <si>
    <t>2025-01-02 16:19:04</t>
  </si>
  <si>
    <t>TKT-2024-11682</t>
  </si>
  <si>
    <t>2024-05-11 00:04:38</t>
  </si>
  <si>
    <t>2024-05-15 13:46:38</t>
  </si>
  <si>
    <t>TKT-2024-11683</t>
  </si>
  <si>
    <t>2024-06-23 04:28:39</t>
  </si>
  <si>
    <t>2024-06-27 12:58:39</t>
  </si>
  <si>
    <t>TKT-2024-11684</t>
  </si>
  <si>
    <t>2024-02-27 11:03:32</t>
  </si>
  <si>
    <t>2024-03-04 05:03:32</t>
  </si>
  <si>
    <t>TKT-2024-11685</t>
  </si>
  <si>
    <t>2024-04-20 19:44:07</t>
  </si>
  <si>
    <t>2024-04-25 23:50:07</t>
  </si>
  <si>
    <t>TKT-2024-11686</t>
  </si>
  <si>
    <t>2024-07-02 18:19:34</t>
  </si>
  <si>
    <t>2024-07-06 12:37:34</t>
  </si>
  <si>
    <t>TKT-2024-11687</t>
  </si>
  <si>
    <t>2024-05-01 07:28:32</t>
  </si>
  <si>
    <t>2024-05-10 17:04:32</t>
  </si>
  <si>
    <t>TKT-2024-11688</t>
  </si>
  <si>
    <t>2024-02-22 09:59:27</t>
  </si>
  <si>
    <t>2024-03-05 07:23:27</t>
  </si>
  <si>
    <t>TKT-2024-11689</t>
  </si>
  <si>
    <t>2024-10-17 11:22:06</t>
  </si>
  <si>
    <t>2024-10-28 15:40:06</t>
  </si>
  <si>
    <t>TKT-2024-11690</t>
  </si>
  <si>
    <t>2024-01-05 17:12:37</t>
  </si>
  <si>
    <t>2024-01-12 18:30:37</t>
  </si>
  <si>
    <t>TKT-2024-11691</t>
  </si>
  <si>
    <t>2024-07-19 14:21:12</t>
  </si>
  <si>
    <t>2024-07-22 17:03:12</t>
  </si>
  <si>
    <t>TKT-2024-11692</t>
  </si>
  <si>
    <t>2024-07-23 07:03:21</t>
  </si>
  <si>
    <t>2024-07-26 23:21:21</t>
  </si>
  <si>
    <t>TKT-2024-11693</t>
  </si>
  <si>
    <t>2024-05-05 16:46:49</t>
  </si>
  <si>
    <t>2024-05-07 14:04:49</t>
  </si>
  <si>
    <t>TKT-2024-11694</t>
  </si>
  <si>
    <t>2024-11-09 14:03:01</t>
  </si>
  <si>
    <t>2024-11-14 00:21:01</t>
  </si>
  <si>
    <t>TKT-2024-11695</t>
  </si>
  <si>
    <t>2024-03-30 02:07:32</t>
  </si>
  <si>
    <t>2024-04-01 07:01:32</t>
  </si>
  <si>
    <t>TKT-2024-11696</t>
  </si>
  <si>
    <t>2024-09-05 00:03:11</t>
  </si>
  <si>
    <t>2024-09-10 05:57:11</t>
  </si>
  <si>
    <t>TKT-2024-11697</t>
  </si>
  <si>
    <t>2024-04-17 14:35:25</t>
  </si>
  <si>
    <t>2024-04-24 09:17:25</t>
  </si>
  <si>
    <t>TKT-2024-11698</t>
  </si>
  <si>
    <t>2024-10-10 01:21:22</t>
  </si>
  <si>
    <t>2024-10-23 04:39:22</t>
  </si>
  <si>
    <t>TKT-2024-11699</t>
  </si>
  <si>
    <t>2024-01-05 04:59:25</t>
  </si>
  <si>
    <t>2024-01-11 11:11:25</t>
  </si>
  <si>
    <t>TKT-2024-11700</t>
  </si>
  <si>
    <t>2024-09-08 13:05:46</t>
  </si>
  <si>
    <t>2024-10-06 21:47:46</t>
  </si>
  <si>
    <t>TKT-2024-11701</t>
  </si>
  <si>
    <t>2024-02-02 19:38:39</t>
  </si>
  <si>
    <t>2024-02-07 13:20:39</t>
  </si>
  <si>
    <t>TKT-2024-11702</t>
  </si>
  <si>
    <t>2024-03-07 17:23:10</t>
  </si>
  <si>
    <t>2024-03-11 21:17:10</t>
  </si>
  <si>
    <t>TKT-2024-11703</t>
  </si>
  <si>
    <t>2024-04-10 21:22:13</t>
  </si>
  <si>
    <t>2024-05-01 14:04:13</t>
  </si>
  <si>
    <t>TKT-2024-11704</t>
  </si>
  <si>
    <t>2024-06-11 00:51:46</t>
  </si>
  <si>
    <t>2024-06-19 02:57:46</t>
  </si>
  <si>
    <t>TKT-2024-11705</t>
  </si>
  <si>
    <t>2024-12-12 05:36:17</t>
  </si>
  <si>
    <t>2024-12-15 08:12:17</t>
  </si>
  <si>
    <t>TKT-2024-11706</t>
  </si>
  <si>
    <t>2024-05-04 15:47:26</t>
  </si>
  <si>
    <t>2024-05-12 22:23:26</t>
  </si>
  <si>
    <t>TKT-2024-11707</t>
  </si>
  <si>
    <t>2024-02-20 23:24:26</t>
  </si>
  <si>
    <t>2024-03-05 21:42:26</t>
  </si>
  <si>
    <t>TKT-2024-11708</t>
  </si>
  <si>
    <t>2024-12-10 17:32:41</t>
  </si>
  <si>
    <t>2024-12-22 08:32:41</t>
  </si>
  <si>
    <t>TKT-2024-11709</t>
  </si>
  <si>
    <t>2024-07-04 10:27:16</t>
  </si>
  <si>
    <t>2024-07-23 15:39:16</t>
  </si>
  <si>
    <t>TKT-2024-11710</t>
  </si>
  <si>
    <t>2024-06-22 00:34:27</t>
  </si>
  <si>
    <t>2024-07-01 13:16:27</t>
  </si>
  <si>
    <t>TKT-2024-11711</t>
  </si>
  <si>
    <t>2024-01-24 20:20:50</t>
  </si>
  <si>
    <t>2024-02-07 02:02:50</t>
  </si>
  <si>
    <t>TKT-2024-11712</t>
  </si>
  <si>
    <t>2024-05-11 17:29:14</t>
  </si>
  <si>
    <t>2024-05-24 18:47:14</t>
  </si>
  <si>
    <t>TKT-2024-11713</t>
  </si>
  <si>
    <t>2024-05-21 05:35:29</t>
  </si>
  <si>
    <t>2024-05-25 03:59:29</t>
  </si>
  <si>
    <t>TKT-2024-11714</t>
  </si>
  <si>
    <t>2024-05-31 04:06:31</t>
  </si>
  <si>
    <t>2024-06-03 21:00:31</t>
  </si>
  <si>
    <t>TKT-2024-11715</t>
  </si>
  <si>
    <t>2024-08-28 21:30:19</t>
  </si>
  <si>
    <t>2024-09-19 18:36:19</t>
  </si>
  <si>
    <t>TKT-2024-11716</t>
  </si>
  <si>
    <t>2024-07-05 21:41:44</t>
  </si>
  <si>
    <t>2024-07-08 23:53:44</t>
  </si>
  <si>
    <t>TKT-2024-11717</t>
  </si>
  <si>
    <t>2024-10-08 21:29:46</t>
  </si>
  <si>
    <t>2024-10-17 06:41:46</t>
  </si>
  <si>
    <t>TKT-2024-11718</t>
  </si>
  <si>
    <t>2024-06-13 03:10:36</t>
  </si>
  <si>
    <t>2024-06-27 22:52:36</t>
  </si>
  <si>
    <t>TKT-2024-11719</t>
  </si>
  <si>
    <t>2024-02-05 02:16:12</t>
  </si>
  <si>
    <t>2024-02-14 12:52:12</t>
  </si>
  <si>
    <t>TKT-2024-11720</t>
  </si>
  <si>
    <t>2024-10-03 05:17:28</t>
  </si>
  <si>
    <t>2024-10-16 00:05:28</t>
  </si>
  <si>
    <t>TKT-2024-11721</t>
  </si>
  <si>
    <t>2024-03-15 09:20:40</t>
  </si>
  <si>
    <t>2024-03-24 18:02:40</t>
  </si>
  <si>
    <t>TKT-2024-11722</t>
  </si>
  <si>
    <t>2024-07-25 11:16:33</t>
  </si>
  <si>
    <t>2024-07-29 05:46:33</t>
  </si>
  <si>
    <t>TKT-2024-11723</t>
  </si>
  <si>
    <t>2024-04-12 21:47:28</t>
  </si>
  <si>
    <t>2024-04-21 04:17:28</t>
  </si>
  <si>
    <t>TKT-2024-11724</t>
  </si>
  <si>
    <t>2024-11-20 20:46:39</t>
  </si>
  <si>
    <t>2024-12-26 04:28:39</t>
  </si>
  <si>
    <t>TKT-2024-11725</t>
  </si>
  <si>
    <t>2024-02-15 18:17:44</t>
  </si>
  <si>
    <t>2024-02-23 01:11:44</t>
  </si>
  <si>
    <t>TKT-2024-11726</t>
  </si>
  <si>
    <t>2024-03-09 13:03:22</t>
  </si>
  <si>
    <t>2024-03-11 08:27:22</t>
  </si>
  <si>
    <t>TKT-2024-11727</t>
  </si>
  <si>
    <t>2024-08-09 21:37:59</t>
  </si>
  <si>
    <t>2024-08-23 06:01:59</t>
  </si>
  <si>
    <t>TKT-2024-11728</t>
  </si>
  <si>
    <t>2024-07-29 01:44:54</t>
  </si>
  <si>
    <t>2024-08-10 23:50:54</t>
  </si>
  <si>
    <t>TKT-2024-11729</t>
  </si>
  <si>
    <t>2024-02-23 05:11:08</t>
  </si>
  <si>
    <t>2024-03-05 20:29:08</t>
  </si>
  <si>
    <t>TKT-2024-11730</t>
  </si>
  <si>
    <t>2024-12-17 07:54:13</t>
  </si>
  <si>
    <t>2024-12-27 03:12:13</t>
  </si>
  <si>
    <t>TKT-2024-11731</t>
  </si>
  <si>
    <t>2024-04-23 02:19:22</t>
  </si>
  <si>
    <t>2024-04-27 15:13:22</t>
  </si>
  <si>
    <t>TKT-2024-11732</t>
  </si>
  <si>
    <t>2024-08-21 06:03:47</t>
  </si>
  <si>
    <t>2024-08-27 11:51:47</t>
  </si>
  <si>
    <t>TKT-2024-11733</t>
  </si>
  <si>
    <t>2024-03-24 13:26:17</t>
  </si>
  <si>
    <t>2024-03-28 17:50:17</t>
  </si>
  <si>
    <t>TKT-2024-11734</t>
  </si>
  <si>
    <t>2024-10-17 13:37:10</t>
  </si>
  <si>
    <t>2024-10-31 22:19:10</t>
  </si>
  <si>
    <t>TKT-2024-11735</t>
  </si>
  <si>
    <t>2024-04-13 02:39:59</t>
  </si>
  <si>
    <t>2024-04-21 05:09:59</t>
  </si>
  <si>
    <t>TKT-2024-11736</t>
  </si>
  <si>
    <t>2024-08-20 01:47:18</t>
  </si>
  <si>
    <t>2024-09-10 13:53:18</t>
  </si>
  <si>
    <t>TKT-2024-11737</t>
  </si>
  <si>
    <t>2024-11-20 23:20:49</t>
  </si>
  <si>
    <t>2024-12-02 14:08:49</t>
  </si>
  <si>
    <t>TKT-2024-11738</t>
  </si>
  <si>
    <t>2024-12-12 02:26:37</t>
  </si>
  <si>
    <t>2024-12-24 18:38:37</t>
  </si>
  <si>
    <t>TKT-2024-11739</t>
  </si>
  <si>
    <t>2024-10-20 09:55:38</t>
  </si>
  <si>
    <t>2024-10-23 11:31:38</t>
  </si>
  <si>
    <t>TKT-2024-11740</t>
  </si>
  <si>
    <t>2024-03-30 13:28:23</t>
  </si>
  <si>
    <t>2024-04-06 12:40:23</t>
  </si>
  <si>
    <t>TKT-2024-11741</t>
  </si>
  <si>
    <t>2024-07-21 07:20:15</t>
  </si>
  <si>
    <t>2024-07-28 17:14:15</t>
  </si>
  <si>
    <t>TKT-2024-11742</t>
  </si>
  <si>
    <t>2024-05-19 11:11:56</t>
  </si>
  <si>
    <t>2024-06-08 07:59:56</t>
  </si>
  <si>
    <t>TKT-2024-11743</t>
  </si>
  <si>
    <t>2024-02-19 14:50:14</t>
  </si>
  <si>
    <t>2024-02-22 22:50:14</t>
  </si>
  <si>
    <t>TKT-2024-11744</t>
  </si>
  <si>
    <t>2024-12-05 06:09:59</t>
  </si>
  <si>
    <t>2024-12-18 15:57:59</t>
  </si>
  <si>
    <t>TKT-2024-11745</t>
  </si>
  <si>
    <t>2024-01-17 14:35:30</t>
  </si>
  <si>
    <t>2024-01-25 23:47:30</t>
  </si>
  <si>
    <t>TKT-2024-11746</t>
  </si>
  <si>
    <t>2024-03-28 12:18:26</t>
  </si>
  <si>
    <t>2024-04-07 05:42:26</t>
  </si>
  <si>
    <t>TKT-2024-11747</t>
  </si>
  <si>
    <t>2024-09-02 06:27:01</t>
  </si>
  <si>
    <t>2024-09-08 11:27:01</t>
  </si>
  <si>
    <t>TKT-2024-11748</t>
  </si>
  <si>
    <t>2024-04-25 14:47:29</t>
  </si>
  <si>
    <t>2024-04-29 14:53:29</t>
  </si>
  <si>
    <t>TKT-2024-11749</t>
  </si>
  <si>
    <t>2024-03-11 20:21:14</t>
  </si>
  <si>
    <t>2024-03-18 07:57:14</t>
  </si>
  <si>
    <t>TKT-2024-11750</t>
  </si>
  <si>
    <t>2024-06-16 04:08:22</t>
  </si>
  <si>
    <t>2024-06-24 16:38:22</t>
  </si>
  <si>
    <t>TKT-2024-11751</t>
  </si>
  <si>
    <t>2024-11-09 09:39:42</t>
  </si>
  <si>
    <t>2024-11-10 17:57:42</t>
  </si>
  <si>
    <t>TKT-2024-11752</t>
  </si>
  <si>
    <t>2024-11-15 12:46:08</t>
  </si>
  <si>
    <t>2024-11-27 05:22:08</t>
  </si>
  <si>
    <t>TKT-2024-11753</t>
  </si>
  <si>
    <t>2024-04-10 01:25:24</t>
  </si>
  <si>
    <t>2024-04-18 23:19:24</t>
  </si>
  <si>
    <t>TKT-2024-11754</t>
  </si>
  <si>
    <t>2024-01-18 13:01:34</t>
  </si>
  <si>
    <t>2024-01-26 05:25:34</t>
  </si>
  <si>
    <t>TKT-2024-11755</t>
  </si>
  <si>
    <t>2024-07-07 22:38:55</t>
  </si>
  <si>
    <t>2024-07-12 00:50:55</t>
  </si>
  <si>
    <t>TKT-2024-11756</t>
  </si>
  <si>
    <t>2024-04-07 17:37:17</t>
  </si>
  <si>
    <t>2024-04-16 01:19:17</t>
  </si>
  <si>
    <t>TKT-2024-11757</t>
  </si>
  <si>
    <t>2024-06-28 16:55:39</t>
  </si>
  <si>
    <t>2024-07-02 07:55:39</t>
  </si>
  <si>
    <t>TKT-2024-11758</t>
  </si>
  <si>
    <t>2024-12-18 01:24:49</t>
  </si>
  <si>
    <t>2024-12-25 00:12:49</t>
  </si>
  <si>
    <t>TKT-2024-11759</t>
  </si>
  <si>
    <t>2024-11-20 00:27:04</t>
  </si>
  <si>
    <t>2024-11-29 05:03:04</t>
  </si>
  <si>
    <t>TKT-2024-11760</t>
  </si>
  <si>
    <t>2024-04-23 13:52:15</t>
  </si>
  <si>
    <t>2024-04-24 20:52:15</t>
  </si>
  <si>
    <t>TKT-2024-11761</t>
  </si>
  <si>
    <t>2024-07-30 03:35:38</t>
  </si>
  <si>
    <t>2024-08-05 21:17:38</t>
  </si>
  <si>
    <t>TKT-2024-11762</t>
  </si>
  <si>
    <t>2024-05-16 07:58:16</t>
  </si>
  <si>
    <t>2024-05-28 07:22:16</t>
  </si>
  <si>
    <t>TKT-2024-11763</t>
  </si>
  <si>
    <t>2024-07-23 22:21:32</t>
  </si>
  <si>
    <t>2024-07-27 09:09:32</t>
  </si>
  <si>
    <t>TKT-2024-11764</t>
  </si>
  <si>
    <t>2024-11-28 16:25:14</t>
  </si>
  <si>
    <t>2024-12-02 01:43:14</t>
  </si>
  <si>
    <t>TKT-2024-11765</t>
  </si>
  <si>
    <t>2024-04-25 14:19:18</t>
  </si>
  <si>
    <t>2024-05-02 06:19:18</t>
  </si>
  <si>
    <t>TKT-2024-11766</t>
  </si>
  <si>
    <t>2024-03-06 23:23:47</t>
  </si>
  <si>
    <t>2024-03-14 00:23:47</t>
  </si>
  <si>
    <t>TKT-2024-11767</t>
  </si>
  <si>
    <t>2024-08-17 17:24:16</t>
  </si>
  <si>
    <t>2024-08-23 22:12:16</t>
  </si>
  <si>
    <t>TKT-2024-11768</t>
  </si>
  <si>
    <t>2024-07-21 02:27:40</t>
  </si>
  <si>
    <t>2024-08-11 20:27:40</t>
  </si>
  <si>
    <t>TKT-2024-11769</t>
  </si>
  <si>
    <t>2024-06-27 23:05:15</t>
  </si>
  <si>
    <t>2024-07-07 09:41:15</t>
  </si>
  <si>
    <t>TKT-2024-11770</t>
  </si>
  <si>
    <t>2024-02-01 18:40:55</t>
  </si>
  <si>
    <t>2024-02-09 18:40:55</t>
  </si>
  <si>
    <t>TKT-2024-11771</t>
  </si>
  <si>
    <t>2024-02-29 05:32:35</t>
  </si>
  <si>
    <t>2024-03-07 18:56:35</t>
  </si>
  <si>
    <t>TKT-2024-11772</t>
  </si>
  <si>
    <t>2024-04-15 07:02:49</t>
  </si>
  <si>
    <t>2024-04-27 07:56:49</t>
  </si>
  <si>
    <t>TKT-2024-11773</t>
  </si>
  <si>
    <t>2024-02-24 22:35:37</t>
  </si>
  <si>
    <t>2024-03-09 15:11:37</t>
  </si>
  <si>
    <t>TKT-2024-11774</t>
  </si>
  <si>
    <t>2024-01-29 12:17:00</t>
  </si>
  <si>
    <t>2024-02-06 18:29:00</t>
  </si>
  <si>
    <t>TKT-2024-11775</t>
  </si>
  <si>
    <t>2024-12-25 23:35:52</t>
  </si>
  <si>
    <t>2025-01-08 17:05:52</t>
  </si>
  <si>
    <t>TKT-2024-11776</t>
  </si>
  <si>
    <t>2024-06-02 18:59:14</t>
  </si>
  <si>
    <t>2024-06-07 07:29:14</t>
  </si>
  <si>
    <t>TKT-2024-11777</t>
  </si>
  <si>
    <t>2024-01-24 02:56:17</t>
  </si>
  <si>
    <t>2024-01-28 09:14:17</t>
  </si>
  <si>
    <t>TKT-2024-11778</t>
  </si>
  <si>
    <t>2024-08-11 23:47:31</t>
  </si>
  <si>
    <t>2024-08-29 03:17:31</t>
  </si>
  <si>
    <t>TKT-2024-11779</t>
  </si>
  <si>
    <t>2024-03-09 01:22:33</t>
  </si>
  <si>
    <t>2024-03-16 09:40:33</t>
  </si>
  <si>
    <t>TKT-2024-11780</t>
  </si>
  <si>
    <t>2024-01-23 23:39:16</t>
  </si>
  <si>
    <t>2024-02-05 16:15:16</t>
  </si>
  <si>
    <t>TKT-2024-11781</t>
  </si>
  <si>
    <t>2024-01-26 08:15:19</t>
  </si>
  <si>
    <t>2024-02-04 13:15:19</t>
  </si>
  <si>
    <t>TKT-2024-11782</t>
  </si>
  <si>
    <t>2024-01-13 11:26:46</t>
  </si>
  <si>
    <t>2024-01-27 15:38:46</t>
  </si>
  <si>
    <t>TKT-2024-11783</t>
  </si>
  <si>
    <t>2024-02-10 04:51:53</t>
  </si>
  <si>
    <t>2024-02-22 19:39:53</t>
  </si>
  <si>
    <t>TKT-2024-11784</t>
  </si>
  <si>
    <t>2024-03-31 22:08:49</t>
  </si>
  <si>
    <t>2024-04-07 23:44:49</t>
  </si>
  <si>
    <t>TKT-2024-11785</t>
  </si>
  <si>
    <t>2024-10-19 10:12:31</t>
  </si>
  <si>
    <t>2024-10-27 06:30:31</t>
  </si>
  <si>
    <t>TKT-2024-11786</t>
  </si>
  <si>
    <t>2024-06-09 17:48:47</t>
  </si>
  <si>
    <t>2024-06-13 05:06:47</t>
  </si>
  <si>
    <t>TKT-2024-11787</t>
  </si>
  <si>
    <t>2024-09-21 08:27:29</t>
  </si>
  <si>
    <t>2024-09-28 06:45:29</t>
  </si>
  <si>
    <t>TKT-2024-11788</t>
  </si>
  <si>
    <t>2024-11-08 22:05:53</t>
  </si>
  <si>
    <t>2024-11-15 08:41:53</t>
  </si>
  <si>
    <t>TKT-2024-11789</t>
  </si>
  <si>
    <t>2024-06-10 08:13:02</t>
  </si>
  <si>
    <t>2024-06-20 10:31:02</t>
  </si>
  <si>
    <t>TKT-2024-11790</t>
  </si>
  <si>
    <t>2024-08-03 05:28:20</t>
  </si>
  <si>
    <t>2024-08-09 00:16:20</t>
  </si>
  <si>
    <t>TKT-2024-11791</t>
  </si>
  <si>
    <t>2024-04-24 16:38:41</t>
  </si>
  <si>
    <t>2024-05-06 13:44:41</t>
  </si>
  <si>
    <t>TKT-2024-11792</t>
  </si>
  <si>
    <t>2024-02-08 17:22:40</t>
  </si>
  <si>
    <t>2024-02-11 21:28:40</t>
  </si>
  <si>
    <t>TKT-2024-11793</t>
  </si>
  <si>
    <t>2024-07-04 19:04:30</t>
  </si>
  <si>
    <t>2024-07-23 21:04:30</t>
  </si>
  <si>
    <t>TKT-2024-11794</t>
  </si>
  <si>
    <t>2024-09-04 21:03:50</t>
  </si>
  <si>
    <t>2024-09-07 20:39:50</t>
  </si>
  <si>
    <t>TKT-2024-11795</t>
  </si>
  <si>
    <t>2024-06-13 07:05:00</t>
  </si>
  <si>
    <t>2024-06-14 23:35:00</t>
  </si>
  <si>
    <t>TKT-2024-11796</t>
  </si>
  <si>
    <t>2024-03-07 01:14:57</t>
  </si>
  <si>
    <t>2024-03-20 13:02:57</t>
  </si>
  <si>
    <t>TKT-2024-11797</t>
  </si>
  <si>
    <t>2024-01-19 21:42:58</t>
  </si>
  <si>
    <t>2024-01-26 20:18:58</t>
  </si>
  <si>
    <t>TKT-2024-11798</t>
  </si>
  <si>
    <t>2024-03-22 12:31:18</t>
  </si>
  <si>
    <t>2024-03-30 07:07:18</t>
  </si>
  <si>
    <t>TKT-2024-11799</t>
  </si>
  <si>
    <t>2024-09-25 20:01:34</t>
  </si>
  <si>
    <t>2024-10-05 21:13:34</t>
  </si>
  <si>
    <t>TKT-2024-11800</t>
  </si>
  <si>
    <t>2024-04-11 10:10:49</t>
  </si>
  <si>
    <t>2024-04-22 14:22:49</t>
  </si>
  <si>
    <t>TKT-2024-11801</t>
  </si>
  <si>
    <t>2024-11-26 08:47:57</t>
  </si>
  <si>
    <t>2024-12-03 19:41:57</t>
  </si>
  <si>
    <t>TKT-2024-11802</t>
  </si>
  <si>
    <t>2024-06-05 19:14:10</t>
  </si>
  <si>
    <t>2024-06-17 20:02:10</t>
  </si>
  <si>
    <t>TKT-2024-11803</t>
  </si>
  <si>
    <t>2024-10-14 12:13:11</t>
  </si>
  <si>
    <t>2024-10-27 18:49:11</t>
  </si>
  <si>
    <t>TKT-2024-11804</t>
  </si>
  <si>
    <t>2024-09-02 01:33:09</t>
  </si>
  <si>
    <t>2024-09-16 19:27:09</t>
  </si>
  <si>
    <t>TKT-2024-11805</t>
  </si>
  <si>
    <t>2024-05-24 03:13:07</t>
  </si>
  <si>
    <t>2024-06-02 11:19:07</t>
  </si>
  <si>
    <t>TKT-2024-11806</t>
  </si>
  <si>
    <t>2024-02-28 21:09:44</t>
  </si>
  <si>
    <t>2024-03-03 08:15:44</t>
  </si>
  <si>
    <t>TKT-2024-11807</t>
  </si>
  <si>
    <t>2024-04-24 17:09:38</t>
  </si>
  <si>
    <t>2024-05-06 14:51:38</t>
  </si>
  <si>
    <t>TKT-2024-11808</t>
  </si>
  <si>
    <t>2024-11-01 11:08:18</t>
  </si>
  <si>
    <t>2024-11-10 13:50:18</t>
  </si>
  <si>
    <t>TKT-2024-11809</t>
  </si>
  <si>
    <t>2024-06-30 12:22:54</t>
  </si>
  <si>
    <t>2024-07-04 16:58:54</t>
  </si>
  <si>
    <t>TKT-2024-11810</t>
  </si>
  <si>
    <t>2024-04-17 08:16:34</t>
  </si>
  <si>
    <t>2024-05-11 23:10:34</t>
  </si>
  <si>
    <t>TKT-2024-11811</t>
  </si>
  <si>
    <t>2024-02-02 09:43:33</t>
  </si>
  <si>
    <t>2024-02-07 10:07:33</t>
  </si>
  <si>
    <t>TKT-2024-11812</t>
  </si>
  <si>
    <t>2024-01-22 21:22:44</t>
  </si>
  <si>
    <t>2024-02-07 12:10:44</t>
  </si>
  <si>
    <t>TKT-2024-11813</t>
  </si>
  <si>
    <t>2024-03-03 09:27:40</t>
  </si>
  <si>
    <t>2024-03-06 01:27:40</t>
  </si>
  <si>
    <t>TKT-2024-11814</t>
  </si>
  <si>
    <t>2024-01-15 15:12:20</t>
  </si>
  <si>
    <t>2024-01-23 18:24:20</t>
  </si>
  <si>
    <t>TKT-2024-11815</t>
  </si>
  <si>
    <t>2024-05-31 03:07:12</t>
  </si>
  <si>
    <t>2024-06-09 05:07:12</t>
  </si>
  <si>
    <t>TKT-2024-11816</t>
  </si>
  <si>
    <t>2024-01-16 19:35:26</t>
  </si>
  <si>
    <t>2024-01-25 12:53:26</t>
  </si>
  <si>
    <t>TKT-2024-11817</t>
  </si>
  <si>
    <t>2024-02-04 02:12:42</t>
  </si>
  <si>
    <t>2024-02-13 13:42:42</t>
  </si>
  <si>
    <t>TKT-2024-11818</t>
  </si>
  <si>
    <t>2024-09-10 12:47:09</t>
  </si>
  <si>
    <t>2024-09-13 02:53:09</t>
  </si>
  <si>
    <t>TKT-2024-11819</t>
  </si>
  <si>
    <t>2024-09-01 13:36:23</t>
  </si>
  <si>
    <t>2024-09-15 12:30:23</t>
  </si>
  <si>
    <t>TKT-2024-11820</t>
  </si>
  <si>
    <t>2024-09-01 05:00:11</t>
  </si>
  <si>
    <t>2024-09-05 18:00:11</t>
  </si>
  <si>
    <t>TKT-2024-11821</t>
  </si>
  <si>
    <t>2024-10-17 05:42:17</t>
  </si>
  <si>
    <t>2024-10-21 20:18:17</t>
  </si>
  <si>
    <t>TKT-2024-11822</t>
  </si>
  <si>
    <t>2024-10-24 00:11:41</t>
  </si>
  <si>
    <t>2024-11-01 19:59:41</t>
  </si>
  <si>
    <t>TKT-2024-11823</t>
  </si>
  <si>
    <t>2024-09-04 11:21:24</t>
  </si>
  <si>
    <t>2024-09-11 06:45:24</t>
  </si>
  <si>
    <t>TKT-2024-11824</t>
  </si>
  <si>
    <t>2024-05-07 12:32:39</t>
  </si>
  <si>
    <t>2024-05-18 13:50:39</t>
  </si>
  <si>
    <t>TKT-2024-11825</t>
  </si>
  <si>
    <t>2024-12-12 05:25:00</t>
  </si>
  <si>
    <t>2024-12-26 12:13:00</t>
  </si>
  <si>
    <t>TKT-2024-11826</t>
  </si>
  <si>
    <t>2024-05-16 05:50:04</t>
  </si>
  <si>
    <t>2024-06-01 07:14:04</t>
  </si>
  <si>
    <t>TKT-2024-11827</t>
  </si>
  <si>
    <t>2024-09-17 21:19:48</t>
  </si>
  <si>
    <t>2024-10-02 12:13:48</t>
  </si>
  <si>
    <t>TKT-2024-11828</t>
  </si>
  <si>
    <t>2024-06-16 04:23:09</t>
  </si>
  <si>
    <t>2024-06-20 08:47:09</t>
  </si>
  <si>
    <t>TKT-2024-11829</t>
  </si>
  <si>
    <t>2024-07-07 16:18:58</t>
  </si>
  <si>
    <t>2024-07-15 02:18:58</t>
  </si>
  <si>
    <t>TKT-2024-11830</t>
  </si>
  <si>
    <t>2024-07-15 18:46:44</t>
  </si>
  <si>
    <t>2024-07-22 11:46:44</t>
  </si>
  <si>
    <t>TKT-2024-11831</t>
  </si>
  <si>
    <t>2024-07-23 07:24:09</t>
  </si>
  <si>
    <t>2024-07-24 21:48:09</t>
  </si>
  <si>
    <t>TKT-2024-11832</t>
  </si>
  <si>
    <t>2024-08-05 18:19:18</t>
  </si>
  <si>
    <t>2024-08-19 22:31:18</t>
  </si>
  <si>
    <t>TKT-2024-11833</t>
  </si>
  <si>
    <t>2024-04-22 03:06:13</t>
  </si>
  <si>
    <t>2024-04-30 22:12:13</t>
  </si>
  <si>
    <t>TKT-2024-11834</t>
  </si>
  <si>
    <t>2024-09-25 13:49:03</t>
  </si>
  <si>
    <t>2024-10-03 23:25:03</t>
  </si>
  <si>
    <t>TKT-2024-11835</t>
  </si>
  <si>
    <t>2024-03-14 16:04:21</t>
  </si>
  <si>
    <t>2024-03-27 04:34:21</t>
  </si>
  <si>
    <t>TKT-2024-11836</t>
  </si>
  <si>
    <t>2024-05-04 09:46:31</t>
  </si>
  <si>
    <t>2024-05-07 21:52:31</t>
  </si>
  <si>
    <t>TKT-2024-11837</t>
  </si>
  <si>
    <t>2024-05-07 11:54:13</t>
  </si>
  <si>
    <t>2024-05-20 17:54:13</t>
  </si>
  <si>
    <t>TKT-2024-11838</t>
  </si>
  <si>
    <t>2024-06-07 20:16:31</t>
  </si>
  <si>
    <t>2024-06-12 11:28:31</t>
  </si>
  <si>
    <t>TKT-2024-11839</t>
  </si>
  <si>
    <t>2024-07-08 06:20:17</t>
  </si>
  <si>
    <t>2024-07-14 13:20:17</t>
  </si>
  <si>
    <t>TKT-2024-11840</t>
  </si>
  <si>
    <t>2024-08-01 16:48:59</t>
  </si>
  <si>
    <t>2024-08-13 15:06:59</t>
  </si>
  <si>
    <t>TKT-2024-11841</t>
  </si>
  <si>
    <t>2024-05-25 23:14:05</t>
  </si>
  <si>
    <t>2024-05-29 11:14:05</t>
  </si>
  <si>
    <t>TKT-2024-11842</t>
  </si>
  <si>
    <t>2024-04-16 00:43:13</t>
  </si>
  <si>
    <t>2024-04-21 11:31:13</t>
  </si>
  <si>
    <t>TKT-2024-11843</t>
  </si>
  <si>
    <t>2024-03-11 03:24:07</t>
  </si>
  <si>
    <t>2024-03-23 06:06:07</t>
  </si>
  <si>
    <t>TKT-2024-11844</t>
  </si>
  <si>
    <t>2024-09-06 04:35:18</t>
  </si>
  <si>
    <t>2024-09-14 09:17:18</t>
  </si>
  <si>
    <t>TKT-2024-11845</t>
  </si>
  <si>
    <t>2024-01-27 09:32:35</t>
  </si>
  <si>
    <t>2024-02-06 14:26:35</t>
  </si>
  <si>
    <t>TKT-2024-11846</t>
  </si>
  <si>
    <t>2024-11-02 19:09:01</t>
  </si>
  <si>
    <t>2024-11-14 13:15:01</t>
  </si>
  <si>
    <t>TKT-2024-11847</t>
  </si>
  <si>
    <t>2024-10-15 13:31:45</t>
  </si>
  <si>
    <t>2024-10-29 14:07:45</t>
  </si>
  <si>
    <t>TKT-2024-11848</t>
  </si>
  <si>
    <t>2024-01-12 12:22:22</t>
  </si>
  <si>
    <t>2024-01-19 02:16:22</t>
  </si>
  <si>
    <t>TKT-2024-11849</t>
  </si>
  <si>
    <t>2024-09-02 22:46:31</t>
  </si>
  <si>
    <t>2024-09-09 04:22:31</t>
  </si>
  <si>
    <t>TKT-2024-11850</t>
  </si>
  <si>
    <t>2024-11-05 17:44:10</t>
  </si>
  <si>
    <t>2024-11-12 15:56:10</t>
  </si>
  <si>
    <t>TKT-2024-11851</t>
  </si>
  <si>
    <t>2024-06-11 04:18:05</t>
  </si>
  <si>
    <t>2024-06-23 17:18:05</t>
  </si>
  <si>
    <t>TKT-2024-11852</t>
  </si>
  <si>
    <t>2024-11-03 00:37:08</t>
  </si>
  <si>
    <t>2024-11-10 06:43:08</t>
  </si>
  <si>
    <t>TKT-2024-11853</t>
  </si>
  <si>
    <t>2024-09-18 00:11:21</t>
  </si>
  <si>
    <t>2024-10-05 13:41:21</t>
  </si>
  <si>
    <t>TKT-2024-11854</t>
  </si>
  <si>
    <t>2024-02-28 15:31:03</t>
  </si>
  <si>
    <t>2024-03-03 21:07:03</t>
  </si>
  <si>
    <t>TKT-2024-11855</t>
  </si>
  <si>
    <t>2024-01-26 13:29:05</t>
  </si>
  <si>
    <t>2024-02-08 08:17:05</t>
  </si>
  <si>
    <t>TKT-2024-11856</t>
  </si>
  <si>
    <t>2024-05-16 19:20:29</t>
  </si>
  <si>
    <t>2024-05-25 22:56:29</t>
  </si>
  <si>
    <t>TKT-2024-11857</t>
  </si>
  <si>
    <t>2024-12-16 00:35:39</t>
  </si>
  <si>
    <t>2024-12-18 14:17:39</t>
  </si>
  <si>
    <t>TKT-2024-11858</t>
  </si>
  <si>
    <t>2024-03-22 07:52:27</t>
  </si>
  <si>
    <t>2024-03-28 08:10:27</t>
  </si>
  <si>
    <t>TKT-2024-11859</t>
  </si>
  <si>
    <t>2024-02-29 10:12:50</t>
  </si>
  <si>
    <t>2024-03-14 05:12:50</t>
  </si>
  <si>
    <t>TKT-2024-11860</t>
  </si>
  <si>
    <t>2024-12-04 06:59:33</t>
  </si>
  <si>
    <t>2024-12-11 21:47:33</t>
  </si>
  <si>
    <t>TKT-2024-11861</t>
  </si>
  <si>
    <t>2024-10-19 15:05:46</t>
  </si>
  <si>
    <t>2024-10-23 05:53:46</t>
  </si>
  <si>
    <t>TKT-2024-11862</t>
  </si>
  <si>
    <t>2024-12-20 14:51:17</t>
  </si>
  <si>
    <t>2024-12-31 19:09:17</t>
  </si>
  <si>
    <t>TKT-2024-11863</t>
  </si>
  <si>
    <t>2024-09-07 04:30:58</t>
  </si>
  <si>
    <t>2024-09-17 10:30:58</t>
  </si>
  <si>
    <t>TKT-2024-11864</t>
  </si>
  <si>
    <t>2024-10-17 23:54:54</t>
  </si>
  <si>
    <t>2024-10-19 09:54:54</t>
  </si>
  <si>
    <t>TKT-2024-11865</t>
  </si>
  <si>
    <t>2024-08-28 17:35:10</t>
  </si>
  <si>
    <t>2024-09-02 22:05:10</t>
  </si>
  <si>
    <t>TKT-2024-11866</t>
  </si>
  <si>
    <t>2024-06-29 03:13:24</t>
  </si>
  <si>
    <t>2024-07-03 10:31:24</t>
  </si>
  <si>
    <t>TKT-2024-11867</t>
  </si>
  <si>
    <t>2024-06-23 16:41:49</t>
  </si>
  <si>
    <t>2024-07-12 17:47:49</t>
  </si>
  <si>
    <t>TKT-2024-11868</t>
  </si>
  <si>
    <t>2024-01-29 04:09:08</t>
  </si>
  <si>
    <t>2024-02-02 14:03:08</t>
  </si>
  <si>
    <t>TKT-2024-11869</t>
  </si>
  <si>
    <t>2024-09-21 23:23:05</t>
  </si>
  <si>
    <t>2024-09-25 23:35:05</t>
  </si>
  <si>
    <t>TKT-2024-11870</t>
  </si>
  <si>
    <t>2024-09-01 04:16:54</t>
  </si>
  <si>
    <t>2024-09-06 16:10:54</t>
  </si>
  <si>
    <t>TKT-2024-11871</t>
  </si>
  <si>
    <t>2024-02-15 12:57:45</t>
  </si>
  <si>
    <t>2024-02-21 17:45:45</t>
  </si>
  <si>
    <t>TKT-2024-11872</t>
  </si>
  <si>
    <t>2024-06-25 04:07:54</t>
  </si>
  <si>
    <t>2024-06-28 15:49:54</t>
  </si>
  <si>
    <t>TKT-2024-11873</t>
  </si>
  <si>
    <t>2024-01-31 15:38:11</t>
  </si>
  <si>
    <t>2024-02-02 06:08:11</t>
  </si>
  <si>
    <t>TKT-2024-11874</t>
  </si>
  <si>
    <t>2024-05-28 11:30:42</t>
  </si>
  <si>
    <t>2024-06-04 05:06:42</t>
  </si>
  <si>
    <t>TKT-2024-11875</t>
  </si>
  <si>
    <t>2024-10-21 08:33:01</t>
  </si>
  <si>
    <t>2024-10-30 08:03:01</t>
  </si>
  <si>
    <t>TKT-2024-11876</t>
  </si>
  <si>
    <t>2024-10-22 16:04:08</t>
  </si>
  <si>
    <t>2024-11-01 02:28:08</t>
  </si>
  <si>
    <t>TKT-2024-11877</t>
  </si>
  <si>
    <t>2024-04-13 19:51:08</t>
  </si>
  <si>
    <t>2024-04-18 09:15:08</t>
  </si>
  <si>
    <t>TKT-2024-11878</t>
  </si>
  <si>
    <t>2024-05-25 23:50:10</t>
  </si>
  <si>
    <t>2024-06-03 13:20:10</t>
  </si>
  <si>
    <t>TKT-2024-11879</t>
  </si>
  <si>
    <t>2024-08-15 01:56:29</t>
  </si>
  <si>
    <t>2024-08-29 07:32:29</t>
  </si>
  <si>
    <t>TKT-2024-11880</t>
  </si>
  <si>
    <t>2024-08-20 03:06:00</t>
  </si>
  <si>
    <t>2024-08-24 12:06:00</t>
  </si>
  <si>
    <t>TKT-2024-11881</t>
  </si>
  <si>
    <t>2024-11-03 17:35:32</t>
  </si>
  <si>
    <t>2024-11-18 13:53:32</t>
  </si>
  <si>
    <t>TKT-2024-11882</t>
  </si>
  <si>
    <t>2024-05-18 00:28:42</t>
  </si>
  <si>
    <t>2024-06-13 21:04:42</t>
  </si>
  <si>
    <t>TKT-2024-11883</t>
  </si>
  <si>
    <t>2024-08-28 16:49:23</t>
  </si>
  <si>
    <t>2024-09-05 09:49:23</t>
  </si>
  <si>
    <t>TKT-2024-11884</t>
  </si>
  <si>
    <t>2024-10-20 01:08:51</t>
  </si>
  <si>
    <t>2024-10-28 06:32:51</t>
  </si>
  <si>
    <t>TKT-2024-11885</t>
  </si>
  <si>
    <t>2024-11-23 06:41:04</t>
  </si>
  <si>
    <t>2024-12-02 06:41:04</t>
  </si>
  <si>
    <t>TKT-2024-11886</t>
  </si>
  <si>
    <t>2024-01-06 02:56:02</t>
  </si>
  <si>
    <t>2024-01-19 23:02:02</t>
  </si>
  <si>
    <t>TKT-2024-11887</t>
  </si>
  <si>
    <t>2024-08-27 17:06:16</t>
  </si>
  <si>
    <t>2024-09-04 16:30:16</t>
  </si>
  <si>
    <t>TKT-2024-11888</t>
  </si>
  <si>
    <t>2024-02-27 19:50:47</t>
  </si>
  <si>
    <t>2024-03-05 09:14:47</t>
  </si>
  <si>
    <t>TKT-2024-11889</t>
  </si>
  <si>
    <t>2024-12-07 20:37:34</t>
  </si>
  <si>
    <t>2024-12-14 21:07:34</t>
  </si>
  <si>
    <t>TKT-2024-11890</t>
  </si>
  <si>
    <t>2024-01-14 18:08:12</t>
  </si>
  <si>
    <t>2024-01-25 18:38:12</t>
  </si>
  <si>
    <t>TKT-2024-11891</t>
  </si>
  <si>
    <t>2024-11-17 07:22:32</t>
  </si>
  <si>
    <t>2024-12-02 13:52:32</t>
  </si>
  <si>
    <t>TKT-2024-11892</t>
  </si>
  <si>
    <t>2024-01-14 23:25:03</t>
  </si>
  <si>
    <t>2024-01-24 08:13:03</t>
  </si>
  <si>
    <t>TKT-2024-11893</t>
  </si>
  <si>
    <t>2024-01-17 10:48:19</t>
  </si>
  <si>
    <t>2024-01-22 00:54:19</t>
  </si>
  <si>
    <t>TKT-2024-11894</t>
  </si>
  <si>
    <t>2024-01-03 11:36:05</t>
  </si>
  <si>
    <t>2024-01-10 16:00:05</t>
  </si>
  <si>
    <t>TKT-2024-11895</t>
  </si>
  <si>
    <t>2024-06-15 01:10:12</t>
  </si>
  <si>
    <t>2024-06-26 07:22:12</t>
  </si>
  <si>
    <t>TKT-2024-11896</t>
  </si>
  <si>
    <t>2024-05-29 09:28:28</t>
  </si>
  <si>
    <t>2024-06-10 16:52:28</t>
  </si>
  <si>
    <t>TKT-2024-11897</t>
  </si>
  <si>
    <t>2024-06-13 02:42:01</t>
  </si>
  <si>
    <t>2024-06-18 12:42:01</t>
  </si>
  <si>
    <t>TKT-2024-11898</t>
  </si>
  <si>
    <t>2024-09-20 15:14:52</t>
  </si>
  <si>
    <t>2024-09-30 14:38:52</t>
  </si>
  <si>
    <t>TKT-2024-11899</t>
  </si>
  <si>
    <t>2024-04-09 15:05:29</t>
  </si>
  <si>
    <t>2024-04-23 13:41:29</t>
  </si>
  <si>
    <t>TKT-2024-11900</t>
  </si>
  <si>
    <t>2024-05-25 20:43:48</t>
  </si>
  <si>
    <t>2024-06-19 18:43:48</t>
  </si>
  <si>
    <t>TKT-2024-11901</t>
  </si>
  <si>
    <t>2024-01-17 15:42:33</t>
  </si>
  <si>
    <t>2024-01-26 10:54:33</t>
  </si>
  <si>
    <t>TKT-2024-11902</t>
  </si>
  <si>
    <t>2024-10-20 22:54:26</t>
  </si>
  <si>
    <t>2024-10-28 21:24:26</t>
  </si>
  <si>
    <t>TKT-2024-11903</t>
  </si>
  <si>
    <t>2024-03-21 13:49:38</t>
  </si>
  <si>
    <t>2024-04-03 22:13:38</t>
  </si>
  <si>
    <t>TKT-2024-11904</t>
  </si>
  <si>
    <t>2024-08-01 03:06:15</t>
  </si>
  <si>
    <t>2024-08-15 18:30:15</t>
  </si>
  <si>
    <t>TKT-2024-11905</t>
  </si>
  <si>
    <t>2024-09-15 04:11:23</t>
  </si>
  <si>
    <t>2024-09-19 11:47:23</t>
  </si>
  <si>
    <t>TKT-2024-11906</t>
  </si>
  <si>
    <t>2024-01-13 17:34:12</t>
  </si>
  <si>
    <t>2024-01-16 18:34:12</t>
  </si>
  <si>
    <t>TKT-2024-11907</t>
  </si>
  <si>
    <t>2024-12-25 13:11:01</t>
  </si>
  <si>
    <t>2025-01-06 23:17:01</t>
  </si>
  <si>
    <t>TKT-2024-11908</t>
  </si>
  <si>
    <t>2024-07-10 10:46:09</t>
  </si>
  <si>
    <t>2024-07-22 01:58:09</t>
  </si>
  <si>
    <t>TKT-2024-11909</t>
  </si>
  <si>
    <t>2024-02-22 21:01:21</t>
  </si>
  <si>
    <t>2024-03-19 18:55:21</t>
  </si>
  <si>
    <t>TKT-2024-11910</t>
  </si>
  <si>
    <t>2024-05-20 07:27:12</t>
  </si>
  <si>
    <t>2024-06-11 13:09:12</t>
  </si>
  <si>
    <t>TKT-2024-11911</t>
  </si>
  <si>
    <t>2024-07-26 10:33:15</t>
  </si>
  <si>
    <t>2024-08-17 16:15:15</t>
  </si>
  <si>
    <t>TKT-2024-11912</t>
  </si>
  <si>
    <t>2024-06-07 22:54:44</t>
  </si>
  <si>
    <t>2024-06-13 23:42:44</t>
  </si>
  <si>
    <t>TKT-2024-11913</t>
  </si>
  <si>
    <t>2024-10-18 13:11:27</t>
  </si>
  <si>
    <t>2024-10-29 20:35:27</t>
  </si>
  <si>
    <t>TKT-2024-11914</t>
  </si>
  <si>
    <t>2024-11-27 03:42:26</t>
  </si>
  <si>
    <t>2024-12-06 11:30:26</t>
  </si>
  <si>
    <t>TKT-2024-11915</t>
  </si>
  <si>
    <t>2024-08-18 16:34:47</t>
  </si>
  <si>
    <t>2024-08-26 02:58:47</t>
  </si>
  <si>
    <t>TKT-2024-11916</t>
  </si>
  <si>
    <t>2024-08-27 14:45:58</t>
  </si>
  <si>
    <t>2024-08-31 23:15:58</t>
  </si>
  <si>
    <t>TKT-2024-11917</t>
  </si>
  <si>
    <t>2024-10-04 12:51:29</t>
  </si>
  <si>
    <t>2024-10-12 01:45:29</t>
  </si>
  <si>
    <t>TKT-2024-11918</t>
  </si>
  <si>
    <t>2024-05-19 16:24:43</t>
  </si>
  <si>
    <t>2024-05-23 01:12:43</t>
  </si>
  <si>
    <t>TKT-2024-11919</t>
  </si>
  <si>
    <t>2024-03-01 03:17:10</t>
  </si>
  <si>
    <t>2024-03-18 04:29:10</t>
  </si>
  <si>
    <t>TKT-2024-11920</t>
  </si>
  <si>
    <t>2024-08-21 10:17:42</t>
  </si>
  <si>
    <t>2024-08-29 17:53:42</t>
  </si>
  <si>
    <t>TKT-2024-11921</t>
  </si>
  <si>
    <t>2024-09-26 00:37:41</t>
  </si>
  <si>
    <t>2024-10-08 18:49:41</t>
  </si>
  <si>
    <t>TKT-2024-11922</t>
  </si>
  <si>
    <t>2024-04-25 14:53:07</t>
  </si>
  <si>
    <t>2024-05-03 19:11:07</t>
  </si>
  <si>
    <t>TKT-2024-11923</t>
  </si>
  <si>
    <t>2024-07-17 11:16:08</t>
  </si>
  <si>
    <t>2024-07-25 20:58:08</t>
  </si>
  <si>
    <t>TKT-2024-11924</t>
  </si>
  <si>
    <t>2024-12-24 18:44:30</t>
  </si>
  <si>
    <t>2025-01-02 07:14:30</t>
  </si>
  <si>
    <t>TKT-2024-11925</t>
  </si>
  <si>
    <t>2024-08-27 01:12:09</t>
  </si>
  <si>
    <t>2024-09-06 03:36:09</t>
  </si>
  <si>
    <t>TKT-2024-11926</t>
  </si>
  <si>
    <t>2024-10-04 12:38:13</t>
  </si>
  <si>
    <t>2024-10-11 05:32:13</t>
  </si>
  <si>
    <t>TKT-2024-11927</t>
  </si>
  <si>
    <t>2024-10-15 08:33:43</t>
  </si>
  <si>
    <t>2024-10-28 01:27:43</t>
  </si>
  <si>
    <t>TKT-2024-11928</t>
  </si>
  <si>
    <t>2024-05-09 01:27:53</t>
  </si>
  <si>
    <t>2024-06-07 18:51:53</t>
  </si>
  <si>
    <t>TKT-2024-11929</t>
  </si>
  <si>
    <t>2024-06-20 23:13:57</t>
  </si>
  <si>
    <t>2024-06-26 23:49:57</t>
  </si>
  <si>
    <t>TKT-2024-11930</t>
  </si>
  <si>
    <t>2024-08-12 06:39:32</t>
  </si>
  <si>
    <t>2024-08-24 11:09:32</t>
  </si>
  <si>
    <t>TKT-2024-11931</t>
  </si>
  <si>
    <t>2024-12-19 03:15:28</t>
  </si>
  <si>
    <t>2024-12-20 17:51:28</t>
  </si>
  <si>
    <t>TKT-2024-11932</t>
  </si>
  <si>
    <t>2024-04-20 02:30:33</t>
  </si>
  <si>
    <t>2024-05-03 23:24:33</t>
  </si>
  <si>
    <t>TKT-2024-11933</t>
  </si>
  <si>
    <t>2024-05-13 13:28:15</t>
  </si>
  <si>
    <t>2024-05-22 18:16:15</t>
  </si>
  <si>
    <t>TKT-2024-11934</t>
  </si>
  <si>
    <t>2024-06-16 10:53:36</t>
  </si>
  <si>
    <t>2024-06-23 11:29:36</t>
  </si>
  <si>
    <t>TKT-2024-11935</t>
  </si>
  <si>
    <t>2024-11-02 10:30:51</t>
  </si>
  <si>
    <t>2024-11-05 12:24:51</t>
  </si>
  <si>
    <t>TKT-2024-11936</t>
  </si>
  <si>
    <t>2024-06-03 10:48:16</t>
  </si>
  <si>
    <t>2024-06-20 01:00:16</t>
  </si>
  <si>
    <t>TKT-2024-11937</t>
  </si>
  <si>
    <t>2024-06-08 23:57:34</t>
  </si>
  <si>
    <t>2024-06-16 03:21:34</t>
  </si>
  <si>
    <t>TKT-2024-11938</t>
  </si>
  <si>
    <t>2024-08-14 20:40:08</t>
  </si>
  <si>
    <t>2024-08-23 03:04:08</t>
  </si>
  <si>
    <t>TKT-2024-11939</t>
  </si>
  <si>
    <t>2024-08-19 20:20:12</t>
  </si>
  <si>
    <t>2024-08-31 00:20:12</t>
  </si>
  <si>
    <t>TKT-2024-11940</t>
  </si>
  <si>
    <t>2024-08-30 12:35:12</t>
  </si>
  <si>
    <t>2024-09-12 18:17:12</t>
  </si>
  <si>
    <t>TKT-2024-11941</t>
  </si>
  <si>
    <t>2024-05-09 13:02:55</t>
  </si>
  <si>
    <t>2024-05-22 15:08:55</t>
  </si>
  <si>
    <t>TKT-2024-11942</t>
  </si>
  <si>
    <t>2024-05-02 14:33:41</t>
  </si>
  <si>
    <t>2024-05-24 22:39:41</t>
  </si>
  <si>
    <t>TKT-2024-11943</t>
  </si>
  <si>
    <t>2024-06-13 01:53:21</t>
  </si>
  <si>
    <t>2024-06-18 09:11:21</t>
  </si>
  <si>
    <t>TKT-2024-11944</t>
  </si>
  <si>
    <t>2024-03-27 11:44:18</t>
  </si>
  <si>
    <t>2024-04-05 19:50:18</t>
  </si>
  <si>
    <t>TKT-2024-11945</t>
  </si>
  <si>
    <t>2024-10-14 06:17:30</t>
  </si>
  <si>
    <t>2024-10-23 15:23:30</t>
  </si>
  <si>
    <t>TKT-2024-11946</t>
  </si>
  <si>
    <t>2024-05-04 19:17:38</t>
  </si>
  <si>
    <t>2024-05-13 06:53:38</t>
  </si>
  <si>
    <t>TKT-2024-11947</t>
  </si>
  <si>
    <t>2024-09-13 04:47:52</t>
  </si>
  <si>
    <t>2024-09-20 07:23:52</t>
  </si>
  <si>
    <t>TKT-2024-11948</t>
  </si>
  <si>
    <t>2024-09-28 14:47:20</t>
  </si>
  <si>
    <t>2024-10-03 03:35:20</t>
  </si>
  <si>
    <t>TKT-2024-11949</t>
  </si>
  <si>
    <t>2024-09-02 06:22:14</t>
  </si>
  <si>
    <t>2024-09-06 08:10:14</t>
  </si>
  <si>
    <t>TKT-2024-11950</t>
  </si>
  <si>
    <t>2024-02-14 09:09:47</t>
  </si>
  <si>
    <t>2024-02-26 03:09:47</t>
  </si>
  <si>
    <t>TKT-2024-11951</t>
  </si>
  <si>
    <t>2024-11-12 11:45:46</t>
  </si>
  <si>
    <t>2024-11-24 10:21:46</t>
  </si>
  <si>
    <t>TKT-2024-11952</t>
  </si>
  <si>
    <t>2024-07-01 11:05:21</t>
  </si>
  <si>
    <t>2024-08-08 17:11:21</t>
  </si>
  <si>
    <t>TKT-2024-11953</t>
  </si>
  <si>
    <t>2024-11-06 08:15:11</t>
  </si>
  <si>
    <t>2024-11-17 04:51:11</t>
  </si>
  <si>
    <t>TKT-2024-11954</t>
  </si>
  <si>
    <t>2024-06-25 06:37:45</t>
  </si>
  <si>
    <t>2024-06-28 16:13:45</t>
  </si>
  <si>
    <t>TKT-2024-11955</t>
  </si>
  <si>
    <t>2024-04-07 03:20:45</t>
  </si>
  <si>
    <t>2024-04-16 14:32:45</t>
  </si>
  <si>
    <t>TKT-2024-11956</t>
  </si>
  <si>
    <t>2024-08-19 23:06:24</t>
  </si>
  <si>
    <t>2024-08-30 06:18:24</t>
  </si>
  <si>
    <t>TKT-2024-11957</t>
  </si>
  <si>
    <t>2024-09-21 11:05:45</t>
  </si>
  <si>
    <t>2024-10-08 15:05:45</t>
  </si>
  <si>
    <t>TKT-2024-11958</t>
  </si>
  <si>
    <t>2024-08-18 06:16:07</t>
  </si>
  <si>
    <t>2024-08-29 07:22:07</t>
  </si>
  <si>
    <t>TKT-2024-11959</t>
  </si>
  <si>
    <t>2024-12-01 03:50:19</t>
  </si>
  <si>
    <t>2024-12-05 11:02:19</t>
  </si>
  <si>
    <t>TKT-2024-11960</t>
  </si>
  <si>
    <t>2024-04-13 06:40:30</t>
  </si>
  <si>
    <t>2024-04-22 03:40:30</t>
  </si>
  <si>
    <t>TKT-2024-11961</t>
  </si>
  <si>
    <t>2024-12-14 18:47:50</t>
  </si>
  <si>
    <t>2024-12-21 00:29:50</t>
  </si>
  <si>
    <t>TKT-2024-11962</t>
  </si>
  <si>
    <t>2024-05-27 14:23:55</t>
  </si>
  <si>
    <t>2024-06-05 00:59:55</t>
  </si>
  <si>
    <t>TKT-2024-11963</t>
  </si>
  <si>
    <t>2024-09-04 09:13:43</t>
  </si>
  <si>
    <t>2024-09-16 05:13:43</t>
  </si>
  <si>
    <t>TKT-2024-11964</t>
  </si>
  <si>
    <t>2024-05-28 04:58:11</t>
  </si>
  <si>
    <t>2024-05-30 13:16:11</t>
  </si>
  <si>
    <t>TKT-2024-11965</t>
  </si>
  <si>
    <t>2024-11-19 03:07:19</t>
  </si>
  <si>
    <t>2024-11-22 04:01:19</t>
  </si>
  <si>
    <t>TKT-2024-11966</t>
  </si>
  <si>
    <t>2024-08-28 15:50:14</t>
  </si>
  <si>
    <t>2024-09-01 21:32:14</t>
  </si>
  <si>
    <t>TKT-2024-11967</t>
  </si>
  <si>
    <t>2024-03-30 16:35:32</t>
  </si>
  <si>
    <t>2024-04-08 02:35:32</t>
  </si>
  <si>
    <t>TKT-2024-11968</t>
  </si>
  <si>
    <t>2024-01-14 20:45:07</t>
  </si>
  <si>
    <t>2024-01-17 15:15:07</t>
  </si>
  <si>
    <t>TKT-2024-11969</t>
  </si>
  <si>
    <t>2024-03-12 06:37:49</t>
  </si>
  <si>
    <t>2024-03-16 12:25:49</t>
  </si>
  <si>
    <t>TKT-2024-11970</t>
  </si>
  <si>
    <t>2024-03-25 00:53:38</t>
  </si>
  <si>
    <t>2024-03-29 16:41:38</t>
  </si>
  <si>
    <t>TKT-2024-11971</t>
  </si>
  <si>
    <t>2024-09-28 12:39:47</t>
  </si>
  <si>
    <t>2024-10-05 22:03:47</t>
  </si>
  <si>
    <t>TKT-2024-11972</t>
  </si>
  <si>
    <t>2024-01-24 04:00:24</t>
  </si>
  <si>
    <t>2024-02-01 21:30:24</t>
  </si>
  <si>
    <t>TKT-2024-11973</t>
  </si>
  <si>
    <t>2024-06-10 08:37:10</t>
  </si>
  <si>
    <t>2024-06-24 07:01:10</t>
  </si>
  <si>
    <t>TKT-2024-11974</t>
  </si>
  <si>
    <t>2024-04-05 04:36:30</t>
  </si>
  <si>
    <t>2024-04-21 13:30:30</t>
  </si>
  <si>
    <t>TKT-2024-11975</t>
  </si>
  <si>
    <t>2024-07-14 17:05:16</t>
  </si>
  <si>
    <t>2024-07-22 01:23:16</t>
  </si>
  <si>
    <t>TKT-2024-11976</t>
  </si>
  <si>
    <t>2024-06-19 18:36:41</t>
  </si>
  <si>
    <t>2024-06-21 08:24:41</t>
  </si>
  <si>
    <t>TKT-2024-11977</t>
  </si>
  <si>
    <t>2024-08-02 06:46:35</t>
  </si>
  <si>
    <t>2024-08-12 01:28:35</t>
  </si>
  <si>
    <t>TKT-2024-11978</t>
  </si>
  <si>
    <t>2024-07-25 21:31:09</t>
  </si>
  <si>
    <t>2024-08-01 20:43:09</t>
  </si>
  <si>
    <t>TKT-2024-11979</t>
  </si>
  <si>
    <t>2024-04-13 04:44:56</t>
  </si>
  <si>
    <t>2024-04-16 20:20:56</t>
  </si>
  <si>
    <t>TKT-2024-11980</t>
  </si>
  <si>
    <t>2024-02-22 02:04:02</t>
  </si>
  <si>
    <t>2024-03-01 20:40:02</t>
  </si>
  <si>
    <t>TKT-2024-11981</t>
  </si>
  <si>
    <t>2024-08-06 19:03:33</t>
  </si>
  <si>
    <t>2024-08-14 11:27:33</t>
  </si>
  <si>
    <t>TKT-2024-11982</t>
  </si>
  <si>
    <t>2024-11-17 22:28:44</t>
  </si>
  <si>
    <t>2024-11-29 13:04:44</t>
  </si>
  <si>
    <t>TKT-2024-11983</t>
  </si>
  <si>
    <t>2024-07-16 17:46:24</t>
  </si>
  <si>
    <t>2024-07-19 04:34:24</t>
  </si>
  <si>
    <t>TKT-2024-11984</t>
  </si>
  <si>
    <t>2024-09-05 11:28:45</t>
  </si>
  <si>
    <t>2024-09-14 20:46:45</t>
  </si>
  <si>
    <t>TKT-2024-11985</t>
  </si>
  <si>
    <t>2024-11-02 11:28:50</t>
  </si>
  <si>
    <t>2024-11-09 01:52:50</t>
  </si>
  <si>
    <t>TKT-2024-11986</t>
  </si>
  <si>
    <t>2024-12-02 23:41:14</t>
  </si>
  <si>
    <t>2024-12-10 11:23:14</t>
  </si>
  <si>
    <t>TKT-2024-11987</t>
  </si>
  <si>
    <t>2024-07-22 14:01:58</t>
  </si>
  <si>
    <t>2024-07-25 21:07:58</t>
  </si>
  <si>
    <t>TKT-2024-11988</t>
  </si>
  <si>
    <t>2024-10-07 10:51:49</t>
  </si>
  <si>
    <t>2024-10-22 09:27:49</t>
  </si>
  <si>
    <t>TKT-2024-11989</t>
  </si>
  <si>
    <t>2024-03-20 10:08:23</t>
  </si>
  <si>
    <t>2024-04-10 04:56:23</t>
  </si>
  <si>
    <t>TKT-2024-11990</t>
  </si>
  <si>
    <t>2024-10-26 11:32:58</t>
  </si>
  <si>
    <t>2024-11-02 05:20:58</t>
  </si>
  <si>
    <t>TKT-2024-11991</t>
  </si>
  <si>
    <t>2024-03-07 02:20:17</t>
  </si>
  <si>
    <t>2024-03-28 21:14:17</t>
  </si>
  <si>
    <t>TKT-2024-11992</t>
  </si>
  <si>
    <t>2024-06-15 21:26:26</t>
  </si>
  <si>
    <t>2024-06-29 12:50:26</t>
  </si>
  <si>
    <t>TKT-2024-11993</t>
  </si>
  <si>
    <t>2024-07-19 03:14:35</t>
  </si>
  <si>
    <t>2024-07-26 12:50:35</t>
  </si>
  <si>
    <t>TKT-2024-11994</t>
  </si>
  <si>
    <t>2024-11-26 04:06:21</t>
  </si>
  <si>
    <t>2024-12-15 17:36:21</t>
  </si>
  <si>
    <t>TKT-2024-11995</t>
  </si>
  <si>
    <t>2024-02-18 00:51:11</t>
  </si>
  <si>
    <t>2024-02-23 18:21:11</t>
  </si>
  <si>
    <t>TKT-2024-11996</t>
  </si>
  <si>
    <t>2024-01-19 21:25:28</t>
  </si>
  <si>
    <t>2024-02-03 02:13:28</t>
  </si>
  <si>
    <t>TKT-2024-11997</t>
  </si>
  <si>
    <t>2024-09-19 21:10:47</t>
  </si>
  <si>
    <t>2024-09-26 16:22:47</t>
  </si>
  <si>
    <t>TKT-2024-11998</t>
  </si>
  <si>
    <t>2024-02-16 02:25:30</t>
  </si>
  <si>
    <t>2024-02-20 07:07:30</t>
  </si>
  <si>
    <t>TKT-2024-11999</t>
  </si>
  <si>
    <t>2024-03-22 11:18:43</t>
  </si>
  <si>
    <t>2024-03-23 20:24:43</t>
  </si>
  <si>
    <t>TKT-2024-12000</t>
  </si>
  <si>
    <t>2024-07-04 08:24:16</t>
  </si>
  <si>
    <t>2024-07-13 07:06:16</t>
  </si>
  <si>
    <t>TKT-2024-12001</t>
  </si>
  <si>
    <t>2024-10-17 16:48:05</t>
  </si>
  <si>
    <t>2024-10-27 18:24:05</t>
  </si>
  <si>
    <t>TKT-2024-12002</t>
  </si>
  <si>
    <t>2024-05-23 14:48:58</t>
  </si>
  <si>
    <t>2024-06-16 19:12:58</t>
  </si>
  <si>
    <t>TKT-2024-12003</t>
  </si>
  <si>
    <t>2024-01-15 02:06:27</t>
  </si>
  <si>
    <t>2024-01-24 03:12:27</t>
  </si>
  <si>
    <t>TKT-2024-12004</t>
  </si>
  <si>
    <t>2024-02-12 19:55:03</t>
  </si>
  <si>
    <t>2024-02-21 05:49:03</t>
  </si>
  <si>
    <t>TKT-2024-12005</t>
  </si>
  <si>
    <t>2024-08-12 08:37:33</t>
  </si>
  <si>
    <t>2024-08-15 16:37:33</t>
  </si>
  <si>
    <t>TKT-2024-12006</t>
  </si>
  <si>
    <t>2024-05-26 13:35:40</t>
  </si>
  <si>
    <t>2024-06-03 08:05:40</t>
  </si>
  <si>
    <t>TKT-2024-12007</t>
  </si>
  <si>
    <t>2024-07-05 00:47:29</t>
  </si>
  <si>
    <t>2024-07-10 05:35:29</t>
  </si>
  <si>
    <t>TKT-2024-12008</t>
  </si>
  <si>
    <t>2024-12-10 20:25:31</t>
  </si>
  <si>
    <t>2025-01-22 23:31:31</t>
  </si>
  <si>
    <t>TKT-2024-12009</t>
  </si>
  <si>
    <t>2024-08-01 12:08:57</t>
  </si>
  <si>
    <t>2024-08-13 06:20:57</t>
  </si>
  <si>
    <t>TKT-2024-12010</t>
  </si>
  <si>
    <t>2024-08-29 20:26:55</t>
  </si>
  <si>
    <t>2024-09-07 07:56:55</t>
  </si>
  <si>
    <t>TKT-2024-12011</t>
  </si>
  <si>
    <t>2024-10-23 00:38:49</t>
  </si>
  <si>
    <t>2024-11-02 06:38:49</t>
  </si>
  <si>
    <t>TKT-2024-12012</t>
  </si>
  <si>
    <t>2024-11-19 23:25:28</t>
  </si>
  <si>
    <t>2024-11-23 16:43:28</t>
  </si>
  <si>
    <t>TKT-2024-12013</t>
  </si>
  <si>
    <t>2024-12-11 12:34:34</t>
  </si>
  <si>
    <t>2024-12-23 06:58:34</t>
  </si>
  <si>
    <t>TKT-2024-12014</t>
  </si>
  <si>
    <t>2024-12-02 02:58:35</t>
  </si>
  <si>
    <t>2024-12-14 17:34:35</t>
  </si>
  <si>
    <t>TKT-2024-12015</t>
  </si>
  <si>
    <t>2024-01-09 10:23:53</t>
  </si>
  <si>
    <t>2024-01-20 22:41:53</t>
  </si>
  <si>
    <t>TKT-2024-12016</t>
  </si>
  <si>
    <t>2024-08-21 22:16:07</t>
  </si>
  <si>
    <t>2024-08-30 12:28:07</t>
  </si>
  <si>
    <t>TKT-2024-12017</t>
  </si>
  <si>
    <t>2024-02-20 07:12:58</t>
  </si>
  <si>
    <t>2024-03-02 21:36:58</t>
  </si>
  <si>
    <t>TKT-2024-12018</t>
  </si>
  <si>
    <t>2024-05-05 01:00:50</t>
  </si>
  <si>
    <t>2024-05-07 11:18:50</t>
  </si>
  <si>
    <t>TKT-2024-12019</t>
  </si>
  <si>
    <t>2024-01-19 01:09:01</t>
  </si>
  <si>
    <t>2024-01-24 18:09:01</t>
  </si>
  <si>
    <t>TKT-2024-12020</t>
  </si>
  <si>
    <t>2024-12-20 05:02:56</t>
  </si>
  <si>
    <t>2024-12-31 20:14:56</t>
  </si>
  <si>
    <t>TKT-2024-12021</t>
  </si>
  <si>
    <t>2024-06-07 01:00:43</t>
  </si>
  <si>
    <t>2024-06-16 12:48:43</t>
  </si>
  <si>
    <t>TKT-2024-12022</t>
  </si>
  <si>
    <t>2024-07-16 06:07:08</t>
  </si>
  <si>
    <t>2024-07-29 04:49:08</t>
  </si>
  <si>
    <t>TKT-2024-12023</t>
  </si>
  <si>
    <t>2024-06-11 03:57:59</t>
  </si>
  <si>
    <t>2024-06-27 21:15:59</t>
  </si>
  <si>
    <t>TKT-2024-12024</t>
  </si>
  <si>
    <t>2024-05-03 06:34:24</t>
  </si>
  <si>
    <t>2024-05-07 22:52:24</t>
  </si>
  <si>
    <t>TKT-2024-12025</t>
  </si>
  <si>
    <t>2024-10-30 01:43:08</t>
  </si>
  <si>
    <t>2024-11-01 17:37:08</t>
  </si>
  <si>
    <t>TKT-2024-12026</t>
  </si>
  <si>
    <t>2024-07-17 03:32:23</t>
  </si>
  <si>
    <t>2024-07-26 14:38:23</t>
  </si>
  <si>
    <t>TKT-2024-12027</t>
  </si>
  <si>
    <t>2024-06-26 01:42:11</t>
  </si>
  <si>
    <t>2024-07-07 08:30:11</t>
  </si>
  <si>
    <t>TKT-2024-12028</t>
  </si>
  <si>
    <t>2024-12-16 13:25:28</t>
  </si>
  <si>
    <t>2024-12-30 07:25:28</t>
  </si>
  <si>
    <t>TKT-2024-12029</t>
  </si>
  <si>
    <t>2024-12-11 18:35:42</t>
  </si>
  <si>
    <t>2024-12-21 15:11:42</t>
  </si>
  <si>
    <t>TKT-2024-12030</t>
  </si>
  <si>
    <t>2024-09-04 15:25:28</t>
  </si>
  <si>
    <t>2024-09-20 05:25:28</t>
  </si>
  <si>
    <t>TKT-2024-12031</t>
  </si>
  <si>
    <t>2024-12-13 22:29:30</t>
  </si>
  <si>
    <t>2024-12-26 23:05:30</t>
  </si>
  <si>
    <t>TKT-2024-12032</t>
  </si>
  <si>
    <t>2024-07-03 14:49:55</t>
  </si>
  <si>
    <t>2024-07-14 12:19:55</t>
  </si>
  <si>
    <t>TKT-2024-12033</t>
  </si>
  <si>
    <t>2024-05-23 06:19:52</t>
  </si>
  <si>
    <t>2024-05-30 05:07:52</t>
  </si>
  <si>
    <t>TKT-2024-12034</t>
  </si>
  <si>
    <t>2024-09-03 03:06:03</t>
  </si>
  <si>
    <t>2024-09-10 07:06:03</t>
  </si>
  <si>
    <t>TKT-2024-12035</t>
  </si>
  <si>
    <t>2024-10-05 15:05:55</t>
  </si>
  <si>
    <t>2024-10-19 09:05:55</t>
  </si>
  <si>
    <t>TKT-2024-12036</t>
  </si>
  <si>
    <t>2024-10-15 15:56:54</t>
  </si>
  <si>
    <t>2024-10-18 16:44:54</t>
  </si>
  <si>
    <t>TKT-2024-12037</t>
  </si>
  <si>
    <t>2024-11-17 21:04:30</t>
  </si>
  <si>
    <t>2024-11-29 10:22:30</t>
  </si>
  <si>
    <t>TKT-2024-12038</t>
  </si>
  <si>
    <t>2024-05-19 08:25:18</t>
  </si>
  <si>
    <t>2024-05-27 19:31:18</t>
  </si>
  <si>
    <t>TKT-2024-12039</t>
  </si>
  <si>
    <t>2024-08-10 11:27:24</t>
  </si>
  <si>
    <t>2024-08-20 02:45:24</t>
  </si>
  <si>
    <t>TKT-2024-12040</t>
  </si>
  <si>
    <t>2024-05-06 18:40:06</t>
  </si>
  <si>
    <t>2024-05-14 17:16:06</t>
  </si>
  <si>
    <t>TKT-2024-12041</t>
  </si>
  <si>
    <t>2024-01-09 08:21:08</t>
  </si>
  <si>
    <t>2024-01-19 03:15:08</t>
  </si>
  <si>
    <t>TKT-2024-12042</t>
  </si>
  <si>
    <t>2024-02-19 20:25:30</t>
  </si>
  <si>
    <t>2024-02-24 05:31:30</t>
  </si>
  <si>
    <t>TKT-2024-12043</t>
  </si>
  <si>
    <t>2024-03-29 18:58:50</t>
  </si>
  <si>
    <t>2024-04-12 17:52:50</t>
  </si>
  <si>
    <t>TKT-2024-12044</t>
  </si>
  <si>
    <t>2024-07-27 00:51:02</t>
  </si>
  <si>
    <t>2024-08-01 07:03:02</t>
  </si>
  <si>
    <t>TKT-2024-12045</t>
  </si>
  <si>
    <t>2024-05-14 03:48:42</t>
  </si>
  <si>
    <t>2024-05-24 20:30:42</t>
  </si>
  <si>
    <t>TKT-2024-12046</t>
  </si>
  <si>
    <t>2024-08-14 10:30:05</t>
  </si>
  <si>
    <t>2024-08-21 14:30:05</t>
  </si>
  <si>
    <t>TKT-2024-12047</t>
  </si>
  <si>
    <t>2024-03-19 09:24:47</t>
  </si>
  <si>
    <t>2024-04-14 17:54:47</t>
  </si>
  <si>
    <t>TKT-2024-12048</t>
  </si>
  <si>
    <t>2024-07-11 02:05:09</t>
  </si>
  <si>
    <t>2024-07-22 22:53:09</t>
  </si>
  <si>
    <t>TKT-2024-12049</t>
  </si>
  <si>
    <t>2024-02-10 09:38:06</t>
  </si>
  <si>
    <t>2024-02-15 15:44:06</t>
  </si>
  <si>
    <t>TKT-2024-12050</t>
  </si>
  <si>
    <t>2024-06-18 21:22:19</t>
  </si>
  <si>
    <t>2024-06-26 01:46:19</t>
  </si>
  <si>
    <t>TKT-2024-12051</t>
  </si>
  <si>
    <t>2024-03-06 09:11:04</t>
  </si>
  <si>
    <t>2024-03-14 06:47:04</t>
  </si>
  <si>
    <t>TKT-2024-12052</t>
  </si>
  <si>
    <t>2024-10-03 05:44:47</t>
  </si>
  <si>
    <t>2024-10-22 15:14:47</t>
  </si>
  <si>
    <t>TKT-2024-12053</t>
  </si>
  <si>
    <t>2024-02-16 17:25:20</t>
  </si>
  <si>
    <t>2024-02-22 07:49:20</t>
  </si>
  <si>
    <t>TKT-2024-12054</t>
  </si>
  <si>
    <t>2024-01-17 22:39:47</t>
  </si>
  <si>
    <t>2024-01-29 20:51:47</t>
  </si>
  <si>
    <t>TKT-2024-12055</t>
  </si>
  <si>
    <t>2024-05-27 13:04:50</t>
  </si>
  <si>
    <t>2024-06-18 16:04:50</t>
  </si>
  <si>
    <t>TKT-2024-12056</t>
  </si>
  <si>
    <t>2024-06-30 21:04:20</t>
  </si>
  <si>
    <t>2024-07-09 10:40:20</t>
  </si>
  <si>
    <t>TKT-2024-12057</t>
  </si>
  <si>
    <t>2024-09-23 05:03:50</t>
  </si>
  <si>
    <t>2024-09-27 17:09:50</t>
  </si>
  <si>
    <t>TKT-2024-12058</t>
  </si>
  <si>
    <t>2024-06-06 10:58:31</t>
  </si>
  <si>
    <t>2024-06-10 00:10:31</t>
  </si>
  <si>
    <t>TKT-2024-12059</t>
  </si>
  <si>
    <t>2024-12-14 07:05:11</t>
  </si>
  <si>
    <t>2024-12-17 08:11:11</t>
  </si>
  <si>
    <t>TKT-2024-12060</t>
  </si>
  <si>
    <t>2024-03-31 19:50:33</t>
  </si>
  <si>
    <t>2024-04-07 02:26:33</t>
  </si>
  <si>
    <t>TKT-2024-12061</t>
  </si>
  <si>
    <t>2024-02-15 02:09:07</t>
  </si>
  <si>
    <t>2024-02-21 08:21:07</t>
  </si>
  <si>
    <t>TKT-2024-12062</t>
  </si>
  <si>
    <t>2024-08-21 09:00:26</t>
  </si>
  <si>
    <t>2024-08-30 13:24:26</t>
  </si>
  <si>
    <t>TKT-2024-12063</t>
  </si>
  <si>
    <t>2024-07-09 03:19:23</t>
  </si>
  <si>
    <t>2024-07-28 02:37:23</t>
  </si>
  <si>
    <t>TKT-2024-12064</t>
  </si>
  <si>
    <t>2024-11-27 10:59:33</t>
  </si>
  <si>
    <t>2024-12-03 12:05:33</t>
  </si>
  <si>
    <t>TKT-2024-12065</t>
  </si>
  <si>
    <t>2024-02-28 05:11:33</t>
  </si>
  <si>
    <t>2024-03-03 18:17:33</t>
  </si>
  <si>
    <t>TKT-2024-12066</t>
  </si>
  <si>
    <t>2024-06-24 01:02:27</t>
  </si>
  <si>
    <t>2024-07-08 12:20:27</t>
  </si>
  <si>
    <t>TKT-2024-12067</t>
  </si>
  <si>
    <t>2024-01-09 14:25:10</t>
  </si>
  <si>
    <t>2024-01-17 19:31:10</t>
  </si>
  <si>
    <t>TKT-2024-12068</t>
  </si>
  <si>
    <t>2024-06-24 01:36:19</t>
  </si>
  <si>
    <t>2024-07-01 09:30:19</t>
  </si>
  <si>
    <t>TKT-2024-12069</t>
  </si>
  <si>
    <t>2024-01-28 00:36:45</t>
  </si>
  <si>
    <t>2024-02-10 13:36:45</t>
  </si>
  <si>
    <t>TKT-2024-12070</t>
  </si>
  <si>
    <t>2024-12-03 20:53:37</t>
  </si>
  <si>
    <t>2024-12-08 12:53:37</t>
  </si>
  <si>
    <t>TKT-2024-12071</t>
  </si>
  <si>
    <t>2024-03-01 17:27:05</t>
  </si>
  <si>
    <t>2024-03-12 10:51:05</t>
  </si>
  <si>
    <t>TKT-2024-12072</t>
  </si>
  <si>
    <t>2024-07-20 21:43:05</t>
  </si>
  <si>
    <t>2024-08-29 01:55:05</t>
  </si>
  <si>
    <t>TKT-2024-12073</t>
  </si>
  <si>
    <t>2024-07-09 19:19:37</t>
  </si>
  <si>
    <t>2024-07-16 02:55:37</t>
  </si>
  <si>
    <t>TKT-2024-12074</t>
  </si>
  <si>
    <t>2024-10-19 15:35:13</t>
  </si>
  <si>
    <t>2024-11-03 06:17:13</t>
  </si>
  <si>
    <t>TKT-2024-12075</t>
  </si>
  <si>
    <t>2024-02-07 11:21:41</t>
  </si>
  <si>
    <t>2024-02-11 00:27:41</t>
  </si>
  <si>
    <t>TKT-2024-12076</t>
  </si>
  <si>
    <t>2024-04-25 15:36:05</t>
  </si>
  <si>
    <t>2024-05-03 04:48:05</t>
  </si>
  <si>
    <t>TKT-2024-12077</t>
  </si>
  <si>
    <t>2024-07-26 14:32:36</t>
  </si>
  <si>
    <t>2024-08-06 11:44:36</t>
  </si>
  <si>
    <t>TKT-2024-12078</t>
  </si>
  <si>
    <t>2024-07-18 04:06:44</t>
  </si>
  <si>
    <t>2024-08-05 04:36:44</t>
  </si>
  <si>
    <t>TKT-2024-12079</t>
  </si>
  <si>
    <t>2024-08-06 06:36:32</t>
  </si>
  <si>
    <t>2024-08-15 17:48:32</t>
  </si>
  <si>
    <t>TKT-2024-12080</t>
  </si>
  <si>
    <t>2024-10-17 21:16:24</t>
  </si>
  <si>
    <t>2024-10-26 06:28:24</t>
  </si>
  <si>
    <t>TKT-2024-12081</t>
  </si>
  <si>
    <t>2024-05-25 13:45:07</t>
  </si>
  <si>
    <t>2024-05-28 16:03:07</t>
  </si>
  <si>
    <t>TKT-2024-12082</t>
  </si>
  <si>
    <t>2024-05-17 01:09:02</t>
  </si>
  <si>
    <t>2024-05-31 23:51:02</t>
  </si>
  <si>
    <t>TKT-2024-12083</t>
  </si>
  <si>
    <t>2024-10-17 18:55:49</t>
  </si>
  <si>
    <t>2024-10-24 09:07:49</t>
  </si>
  <si>
    <t>TKT-2024-12084</t>
  </si>
  <si>
    <t>2024-11-27 11:56:28</t>
  </si>
  <si>
    <t>2024-12-06 20:26:28</t>
  </si>
  <si>
    <t>TKT-2024-12085</t>
  </si>
  <si>
    <t>2024-10-03 20:49:34</t>
  </si>
  <si>
    <t>2024-10-14 05:01:34</t>
  </si>
  <si>
    <t>TKT-2024-12086</t>
  </si>
  <si>
    <t>2024-01-19 00:57:35</t>
  </si>
  <si>
    <t>2024-01-29 20:33:35</t>
  </si>
  <si>
    <t>TKT-2024-12087</t>
  </si>
  <si>
    <t>2024-10-17 10:00:54</t>
  </si>
  <si>
    <t>2024-10-28 01:18:54</t>
  </si>
  <si>
    <t>TKT-2024-12088</t>
  </si>
  <si>
    <t>2024-04-24 21:48:16</t>
  </si>
  <si>
    <t>2024-05-06 21:18:16</t>
  </si>
  <si>
    <t>TKT-2024-12089</t>
  </si>
  <si>
    <t>2024-07-26 23:07:28</t>
  </si>
  <si>
    <t>2024-08-05 08:49:28</t>
  </si>
  <si>
    <t>TKT-2024-12090</t>
  </si>
  <si>
    <t>2024-04-03 06:09:56</t>
  </si>
  <si>
    <t>2024-04-06 21:45:56</t>
  </si>
  <si>
    <t>TKT-2024-12091</t>
  </si>
  <si>
    <t>2024-05-25 09:58:19</t>
  </si>
  <si>
    <t>2024-06-03 15:28:19</t>
  </si>
  <si>
    <t>TKT-2024-12092</t>
  </si>
  <si>
    <t>2024-09-09 13:22:28</t>
  </si>
  <si>
    <t>2024-09-22 19:40:28</t>
  </si>
  <si>
    <t>TKT-2024-12093</t>
  </si>
  <si>
    <t>2024-11-09 15:51:59</t>
  </si>
  <si>
    <t>2024-11-16 15:57:59</t>
  </si>
  <si>
    <t>TKT-2024-12094</t>
  </si>
  <si>
    <t>2024-08-05 09:02:05</t>
  </si>
  <si>
    <t>2024-08-12 14:38:05</t>
  </si>
  <si>
    <t>TKT-2024-12095</t>
  </si>
  <si>
    <t>2024-04-19 17:30:20</t>
  </si>
  <si>
    <t>2024-04-22 21:36:20</t>
  </si>
  <si>
    <t>TKT-2024-12096</t>
  </si>
  <si>
    <t>2024-08-02 08:56:19</t>
  </si>
  <si>
    <t>2024-08-14 17:38:19</t>
  </si>
  <si>
    <t>TKT-2024-12097</t>
  </si>
  <si>
    <t>2024-07-24 18:34:01</t>
  </si>
  <si>
    <t>2024-07-30 04:04:01</t>
  </si>
  <si>
    <t>TKT-2024-12098</t>
  </si>
  <si>
    <t>2024-11-23 21:40:52</t>
  </si>
  <si>
    <t>2024-11-27 16:16:52</t>
  </si>
  <si>
    <t>TKT-2024-12099</t>
  </si>
  <si>
    <t>2024-12-01 02:52:15</t>
  </si>
  <si>
    <t>2024-12-12 05:28:15</t>
  </si>
  <si>
    <t>TKT-2024-12100</t>
  </si>
  <si>
    <t>2024-02-19 03:44:46</t>
  </si>
  <si>
    <t>2024-02-22 00:08:46</t>
  </si>
  <si>
    <t>TKT-2024-12101</t>
  </si>
  <si>
    <t>2024-04-20 01:47:34</t>
  </si>
  <si>
    <t>2024-04-25 17:59:34</t>
  </si>
  <si>
    <t>TKT-2024-12102</t>
  </si>
  <si>
    <t>2024-04-11 15:00:42</t>
  </si>
  <si>
    <t>2024-04-20 09:06:42</t>
  </si>
  <si>
    <t>TKT-2024-12103</t>
  </si>
  <si>
    <t>2024-11-18 11:23:43</t>
  </si>
  <si>
    <t>2024-11-26 00:35:43</t>
  </si>
  <si>
    <t>TKT-2024-12104</t>
  </si>
  <si>
    <t>2024-05-25 19:10:36</t>
  </si>
  <si>
    <t>2024-06-10 04:28:36</t>
  </si>
  <si>
    <t>TKT-2024-12105</t>
  </si>
  <si>
    <t>2024-09-12 10:39:46</t>
  </si>
  <si>
    <t>2024-09-24 14:27:46</t>
  </si>
  <si>
    <t>TKT-2024-12106</t>
  </si>
  <si>
    <t>2024-12-18 21:30:25</t>
  </si>
  <si>
    <t>2025-01-15 22:30:25</t>
  </si>
  <si>
    <t>TKT-2024-12107</t>
  </si>
  <si>
    <t>2024-06-27 02:56:21</t>
  </si>
  <si>
    <t>2024-07-06 18:38:21</t>
  </si>
  <si>
    <t>TKT-2024-12108</t>
  </si>
  <si>
    <t>2024-12-03 22:17:41</t>
  </si>
  <si>
    <t>2024-12-07 02:53:41</t>
  </si>
  <si>
    <t>TKT-2024-12109</t>
  </si>
  <si>
    <t>2024-07-07 06:10:05</t>
  </si>
  <si>
    <t>2024-07-15 10:52:05</t>
  </si>
  <si>
    <t>TKT-2024-12110</t>
  </si>
  <si>
    <t>2024-03-14 13:54:34</t>
  </si>
  <si>
    <t>2024-03-25 20:12:34</t>
  </si>
  <si>
    <t>TKT-2024-12111</t>
  </si>
  <si>
    <t>2024-06-01 02:06:48</t>
  </si>
  <si>
    <t>2024-06-10 16:54:48</t>
  </si>
  <si>
    <t>TKT-2024-12112</t>
  </si>
  <si>
    <t>2024-03-27 06:53:25</t>
  </si>
  <si>
    <t>2024-04-05 10:17:25</t>
  </si>
  <si>
    <t>TKT-2024-12113</t>
  </si>
  <si>
    <t>2024-03-18 07:55:20</t>
  </si>
  <si>
    <t>2024-03-27 12:19:20</t>
  </si>
  <si>
    <t>TKT-2024-12114</t>
  </si>
  <si>
    <t>2024-10-08 08:59:39</t>
  </si>
  <si>
    <t>2024-10-28 22:59:39</t>
  </si>
  <si>
    <t>TKT-2024-12115</t>
  </si>
  <si>
    <t>2024-09-22 13:39:51</t>
  </si>
  <si>
    <t>2024-09-24 14:15:51</t>
  </si>
  <si>
    <t>TKT-2024-12116</t>
  </si>
  <si>
    <t>2024-06-13 07:32:12</t>
  </si>
  <si>
    <t>2024-06-26 00:44:12</t>
  </si>
  <si>
    <t>TKT-2024-12117</t>
  </si>
  <si>
    <t>2024-12-03 19:26:54</t>
  </si>
  <si>
    <t>2024-12-16 13:26:54</t>
  </si>
  <si>
    <t>TKT-2024-12118</t>
  </si>
  <si>
    <t>2024-06-01 04:50:54</t>
  </si>
  <si>
    <t>2024-06-07 06:20:54</t>
  </si>
  <si>
    <t>TKT-2024-12119</t>
  </si>
  <si>
    <t>2024-03-06 11:09:41</t>
  </si>
  <si>
    <t>2024-03-13 19:09:41</t>
  </si>
  <si>
    <t>TKT-2024-12120</t>
  </si>
  <si>
    <t>2024-08-10 11:52:30</t>
  </si>
  <si>
    <t>2024-08-20 14:16:30</t>
  </si>
  <si>
    <t>TKT-2024-12121</t>
  </si>
  <si>
    <t>2024-10-04 09:16:27</t>
  </si>
  <si>
    <t>2024-10-16 11:22:27</t>
  </si>
  <si>
    <t>TKT-2024-12122</t>
  </si>
  <si>
    <t>2024-06-03 13:38:10</t>
  </si>
  <si>
    <t>2024-06-07 14:20:10</t>
  </si>
  <si>
    <t>TKT-2024-12123</t>
  </si>
  <si>
    <t>2024-09-18 20:20:31</t>
  </si>
  <si>
    <t>2024-10-06 00:38:31</t>
  </si>
  <si>
    <t>TKT-2024-12124</t>
  </si>
  <si>
    <t>2024-11-04 19:05:46</t>
  </si>
  <si>
    <t>2024-11-09 06:41:46</t>
  </si>
  <si>
    <t>TKT-2024-12125</t>
  </si>
  <si>
    <t>2024-10-28 06:08:34</t>
  </si>
  <si>
    <t>2024-11-05 13:14:34</t>
  </si>
  <si>
    <t>TKT-2024-12126</t>
  </si>
  <si>
    <t>2024-02-19 21:11:10</t>
  </si>
  <si>
    <t>2024-02-23 22:17:10</t>
  </si>
  <si>
    <t>TKT-2024-12127</t>
  </si>
  <si>
    <t>2024-03-29 00:04:32</t>
  </si>
  <si>
    <t>2024-04-03 06:04:32</t>
  </si>
  <si>
    <t>TKT-2024-12128</t>
  </si>
  <si>
    <t>2024-04-26 11:11:59</t>
  </si>
  <si>
    <t>2024-05-10 10:05:59</t>
  </si>
  <si>
    <t>TKT-2024-12129</t>
  </si>
  <si>
    <t>2024-03-19 00:44:47</t>
  </si>
  <si>
    <t>2024-04-02 20:14:47</t>
  </si>
  <si>
    <t>TKT-2024-12130</t>
  </si>
  <si>
    <t>2024-05-27 00:12:04</t>
  </si>
  <si>
    <t>2024-06-03 15:36:04</t>
  </si>
  <si>
    <t>TKT-2024-12131</t>
  </si>
  <si>
    <t>2024-06-27 19:54:23</t>
  </si>
  <si>
    <t>2024-07-08 20:24:23</t>
  </si>
  <si>
    <t>TKT-2024-12132</t>
  </si>
  <si>
    <t>2024-11-20 15:12:40</t>
  </si>
  <si>
    <t>2024-11-29 08:30:40</t>
  </si>
  <si>
    <t>TKT-2024-12133</t>
  </si>
  <si>
    <t>2024-07-09 03:00:11</t>
  </si>
  <si>
    <t>2024-07-15 14:24:11</t>
  </si>
  <si>
    <t>TKT-2024-12134</t>
  </si>
  <si>
    <t>2024-09-19 02:56:51</t>
  </si>
  <si>
    <t>2024-09-21 20:20:51</t>
  </si>
  <si>
    <t>TKT-2024-12135</t>
  </si>
  <si>
    <t>2024-07-02 08:31:18</t>
  </si>
  <si>
    <t>2024-07-12 14:25:18</t>
  </si>
  <si>
    <t>TKT-2024-12136</t>
  </si>
  <si>
    <t>2024-08-21 14:14:05</t>
  </si>
  <si>
    <t>2024-09-04 13:32:05</t>
  </si>
  <si>
    <t>TKT-2024-12137</t>
  </si>
  <si>
    <t>2024-02-22 10:24:33</t>
  </si>
  <si>
    <t>2024-02-26 04:00:33</t>
  </si>
  <si>
    <t>TKT-2024-12138</t>
  </si>
  <si>
    <t>2024-04-14 13:27:52</t>
  </si>
  <si>
    <t>2024-04-23 18:15:52</t>
  </si>
  <si>
    <t>TKT-2024-12139</t>
  </si>
  <si>
    <t>2024-07-20 17:21:02</t>
  </si>
  <si>
    <t>2024-08-03 17:03:02</t>
  </si>
  <si>
    <t>TKT-2024-12140</t>
  </si>
  <si>
    <t>2024-04-24 09:08:06</t>
  </si>
  <si>
    <t>2024-05-05 10:02:06</t>
  </si>
  <si>
    <t>TKT-2024-12141</t>
  </si>
  <si>
    <t>2024-03-31 01:08:53</t>
  </si>
  <si>
    <t>2024-04-08 19:14:53</t>
  </si>
  <si>
    <t>TKT-2024-12142</t>
  </si>
  <si>
    <t>2024-01-08 12:53:09</t>
  </si>
  <si>
    <t>2024-01-21 11:47:09</t>
  </si>
  <si>
    <t>TKT-2024-12143</t>
  </si>
  <si>
    <t>2024-10-25 12:34:49</t>
  </si>
  <si>
    <t>2024-10-29 01:58:49</t>
  </si>
  <si>
    <t>TKT-2024-12144</t>
  </si>
  <si>
    <t>2024-11-24 08:23:15</t>
  </si>
  <si>
    <t>2024-12-22 02:47:15</t>
  </si>
  <si>
    <t>TKT-2024-12145</t>
  </si>
  <si>
    <t>2024-10-04 10:50:43</t>
  </si>
  <si>
    <t>2024-10-18 09:14:43</t>
  </si>
  <si>
    <t>TKT-2024-12146</t>
  </si>
  <si>
    <t>2024-11-09 22:57:51</t>
  </si>
  <si>
    <t>2024-11-19 04:27:51</t>
  </si>
  <si>
    <t>TKT-2024-12147</t>
  </si>
  <si>
    <t>2024-04-24 21:26:09</t>
  </si>
  <si>
    <t>2024-05-02 20:32:09</t>
  </si>
  <si>
    <t>TKT-2024-12148</t>
  </si>
  <si>
    <t>2024-04-25 06:50:14</t>
  </si>
  <si>
    <t>2024-05-04 18:26:14</t>
  </si>
  <si>
    <t>TKT-2024-12149</t>
  </si>
  <si>
    <t>2024-01-01 04:41:24</t>
  </si>
  <si>
    <t>2024-01-09 21:53:24</t>
  </si>
  <si>
    <t>TKT-2024-12150</t>
  </si>
  <si>
    <t>2024-02-02 00:07:53</t>
  </si>
  <si>
    <t>2024-02-05 02:49:53</t>
  </si>
  <si>
    <t>TKT-2024-12151</t>
  </si>
  <si>
    <t>2024-09-18 18:46:56</t>
  </si>
  <si>
    <t>2024-10-01 14:52:56</t>
  </si>
  <si>
    <t>TKT-2024-12152</t>
  </si>
  <si>
    <t>2024-03-03 08:00:38</t>
  </si>
  <si>
    <t>2024-03-14 04:06:38</t>
  </si>
  <si>
    <t>TKT-2024-12153</t>
  </si>
  <si>
    <t>2024-02-12 12:43:56</t>
  </si>
  <si>
    <t>2024-02-19 12:37:56</t>
  </si>
  <si>
    <t>TKT-2024-12154</t>
  </si>
  <si>
    <t>2024-01-22 22:04:28</t>
  </si>
  <si>
    <t>2024-02-04 09:04:28</t>
  </si>
  <si>
    <t>TKT-2024-12155</t>
  </si>
  <si>
    <t>2024-03-13 07:13:37</t>
  </si>
  <si>
    <t>2024-03-17 12:13:37</t>
  </si>
  <si>
    <t>TKT-2024-12156</t>
  </si>
  <si>
    <t>2024-05-15 07:06:50</t>
  </si>
  <si>
    <t>2024-05-30 03:24:50</t>
  </si>
  <si>
    <t>TKT-2024-12157</t>
  </si>
  <si>
    <t>2024-02-20 20:08:44</t>
  </si>
  <si>
    <t>2024-02-26 12:44:44</t>
  </si>
  <si>
    <t>TKT-2024-12158</t>
  </si>
  <si>
    <t>2024-10-16 20:15:43</t>
  </si>
  <si>
    <t>2024-10-20 18:51:43</t>
  </si>
  <si>
    <t>TKT-2024-12159</t>
  </si>
  <si>
    <t>2024-06-11 03:29:07</t>
  </si>
  <si>
    <t>2024-07-11 03:59:07</t>
  </si>
  <si>
    <t>TKT-2024-12160</t>
  </si>
  <si>
    <t>2024-03-17 19:03:56</t>
  </si>
  <si>
    <t>2024-04-07 21:57:56</t>
  </si>
  <si>
    <t>TKT-2024-12161</t>
  </si>
  <si>
    <t>2024-09-12 11:52:14</t>
  </si>
  <si>
    <t>2024-09-24 08:10:14</t>
  </si>
  <si>
    <t>TKT-2024-12162</t>
  </si>
  <si>
    <t>2024-01-08 09:48:42</t>
  </si>
  <si>
    <t>2024-01-19 01:48:42</t>
  </si>
  <si>
    <t>TKT-2024-12163</t>
  </si>
  <si>
    <t>2024-06-16 16:27:47</t>
  </si>
  <si>
    <t>2024-06-20 18:33:47</t>
  </si>
  <si>
    <t>TKT-2024-12164</t>
  </si>
  <si>
    <t>2024-03-27 18:09:27</t>
  </si>
  <si>
    <t>2024-04-05 00:15:27</t>
  </si>
  <si>
    <t>TKT-2024-12165</t>
  </si>
  <si>
    <t>2024-06-07 05:12:22</t>
  </si>
  <si>
    <t>2024-06-19 09:00:22</t>
  </si>
  <si>
    <t>TKT-2024-12166</t>
  </si>
  <si>
    <t>2024-07-09 16:40:35</t>
  </si>
  <si>
    <t>2024-07-17 20:58:35</t>
  </si>
  <si>
    <t>TKT-2024-12167</t>
  </si>
  <si>
    <t>2024-08-29 12:37:50</t>
  </si>
  <si>
    <t>2024-09-23 06:37:50</t>
  </si>
  <si>
    <t>TKT-2024-12168</t>
  </si>
  <si>
    <t>2024-01-28 04:39:01</t>
  </si>
  <si>
    <t>2024-02-10 07:03:01</t>
  </si>
  <si>
    <t>TKT-2024-12169</t>
  </si>
  <si>
    <t>2024-07-28 20:25:02</t>
  </si>
  <si>
    <t>2024-08-01 10:25:02</t>
  </si>
  <si>
    <t>TKT-2024-12170</t>
  </si>
  <si>
    <t>2024-11-12 02:03:36</t>
  </si>
  <si>
    <t>2024-11-24 22:45:36</t>
  </si>
  <si>
    <t>TKT-2024-12171</t>
  </si>
  <si>
    <t>2024-05-31 19:18:35</t>
  </si>
  <si>
    <t>2024-06-14 03:48:35</t>
  </si>
  <si>
    <t>TKT-2024-12172</t>
  </si>
  <si>
    <t>2024-01-26 11:03:51</t>
  </si>
  <si>
    <t>2024-02-09 00:57:51</t>
  </si>
  <si>
    <t>TKT-2024-12173</t>
  </si>
  <si>
    <t>2024-06-21 03:46:42</t>
  </si>
  <si>
    <t>2024-07-20 10:16:42</t>
  </si>
  <si>
    <t>TKT-2024-12174</t>
  </si>
  <si>
    <t>2024-04-16 16:19:38</t>
  </si>
  <si>
    <t>2024-04-21 03:25:38</t>
  </si>
  <si>
    <t>TKT-2024-12175</t>
  </si>
  <si>
    <t>2024-05-04 07:20:26</t>
  </si>
  <si>
    <t>2024-05-19 05:08:26</t>
  </si>
  <si>
    <t>TKT-2024-12176</t>
  </si>
  <si>
    <t>2024-10-24 20:24:26</t>
  </si>
  <si>
    <t>2024-11-06 02:12:26</t>
  </si>
  <si>
    <t>TKT-2024-12177</t>
  </si>
  <si>
    <t>2024-12-21 05:25:19</t>
  </si>
  <si>
    <t>2024-12-29 11:01:19</t>
  </si>
  <si>
    <t>TKT-2024-12178</t>
  </si>
  <si>
    <t>2024-03-02 04:05:28</t>
  </si>
  <si>
    <t>2024-03-14 09:23:28</t>
  </si>
  <si>
    <t>TKT-2024-12179</t>
  </si>
  <si>
    <t>2024-12-10 23:12:29</t>
  </si>
  <si>
    <t>2024-12-14 23:24:29</t>
  </si>
  <si>
    <t>TKT-2024-12180</t>
  </si>
  <si>
    <t>2024-02-06 03:07:20</t>
  </si>
  <si>
    <t>2024-02-16 10:07:20</t>
  </si>
  <si>
    <t>TKT-2024-12181</t>
  </si>
  <si>
    <t>2024-12-07 14:10:08</t>
  </si>
  <si>
    <t>2024-12-13 12:04:08</t>
  </si>
  <si>
    <t>TKT-2024-12182</t>
  </si>
  <si>
    <t>2024-10-22 09:36:12</t>
  </si>
  <si>
    <t>2024-10-31 18:00:12</t>
  </si>
  <si>
    <t>TKT-2024-12183</t>
  </si>
  <si>
    <t>2024-12-11 00:08:05</t>
  </si>
  <si>
    <t>2024-12-26 09:08:05</t>
  </si>
  <si>
    <t>TKT-2024-12184</t>
  </si>
  <si>
    <t>2024-06-27 01:43:04</t>
  </si>
  <si>
    <t>2024-07-09 04:25:04</t>
  </si>
  <si>
    <t>TKT-2024-12185</t>
  </si>
  <si>
    <t>2024-09-23 10:35:11</t>
  </si>
  <si>
    <t>2024-09-30 12:53:11</t>
  </si>
  <si>
    <t>TKT-2024-12186</t>
  </si>
  <si>
    <t>2024-04-14 01:39:28</t>
  </si>
  <si>
    <t>2024-05-23 00:09:28</t>
  </si>
  <si>
    <t>TKT-2024-12187</t>
  </si>
  <si>
    <t>2024-06-12 13:55:18</t>
  </si>
  <si>
    <t>2024-06-15 15:01:18</t>
  </si>
  <si>
    <t>TKT-2024-12188</t>
  </si>
  <si>
    <t>2024-07-07 09:48:00</t>
  </si>
  <si>
    <t>2024-07-23 18:30:00</t>
  </si>
  <si>
    <t>TKT-2024-12189</t>
  </si>
  <si>
    <t>2024-07-18 02:15:52</t>
  </si>
  <si>
    <t>2024-07-27 20:03:52</t>
  </si>
  <si>
    <t>TKT-2024-12190</t>
  </si>
  <si>
    <t>2024-07-06 06:51:02</t>
  </si>
  <si>
    <t>2024-07-16 17:21:02</t>
  </si>
  <si>
    <t>TKT-2024-12191</t>
  </si>
  <si>
    <t>2024-11-24 08:27:04</t>
  </si>
  <si>
    <t>2024-12-07 15:45:04</t>
  </si>
  <si>
    <t>TKT-2024-12192</t>
  </si>
  <si>
    <t>2024-12-25 17:43:05</t>
  </si>
  <si>
    <t>2025-01-08 13:13:05</t>
  </si>
  <si>
    <t>TKT-2024-12193</t>
  </si>
  <si>
    <t>2024-04-18 10:22:46</t>
  </si>
  <si>
    <t>2024-04-25 07:58:46</t>
  </si>
  <si>
    <t>TKT-2024-12194</t>
  </si>
  <si>
    <t>2024-01-30 07:50:21</t>
  </si>
  <si>
    <t>2024-02-10 22:44:21</t>
  </si>
  <si>
    <t>TKT-2024-12195</t>
  </si>
  <si>
    <t>2024-02-11 17:32:01</t>
  </si>
  <si>
    <t>2024-03-04 22:44:01</t>
  </si>
  <si>
    <t>TKT-2024-12196</t>
  </si>
  <si>
    <t>2024-03-29 22:34:41</t>
  </si>
  <si>
    <t>2024-04-07 18:34:41</t>
  </si>
  <si>
    <t>TKT-2024-12197</t>
  </si>
  <si>
    <t>2024-03-15 18:26:31</t>
  </si>
  <si>
    <t>2024-04-04 11:14:31</t>
  </si>
  <si>
    <t>TKT-2024-12198</t>
  </si>
  <si>
    <t>2024-04-01 12:15:07</t>
  </si>
  <si>
    <t>2024-04-12 20:51:07</t>
  </si>
  <si>
    <t>TKT-2024-12199</t>
  </si>
  <si>
    <t>2024-11-06 20:34:27</t>
  </si>
  <si>
    <t>2024-11-11 07:16:27</t>
  </si>
  <si>
    <t>TKT-2024-12200</t>
  </si>
  <si>
    <t>2024-06-10 16:24:29</t>
  </si>
  <si>
    <t>2024-06-21 18:54:29</t>
  </si>
  <si>
    <t>TKT-2024-12201</t>
  </si>
  <si>
    <t>2024-10-24 16:39:09</t>
  </si>
  <si>
    <t>2024-10-29 02:33:09</t>
  </si>
  <si>
    <t>TKT-2024-12202</t>
  </si>
  <si>
    <t>2024-07-31 20:54:32</t>
  </si>
  <si>
    <t>2024-08-10 05:36:32</t>
  </si>
  <si>
    <t>TKT-2024-12203</t>
  </si>
  <si>
    <t>2024-07-28 00:41:22</t>
  </si>
  <si>
    <t>2024-08-04 17:53:22</t>
  </si>
  <si>
    <t>TKT-2024-12204</t>
  </si>
  <si>
    <t>2024-01-05 18:35:22</t>
  </si>
  <si>
    <t>2024-01-09 13:47:22</t>
  </si>
  <si>
    <t>TKT-2024-12205</t>
  </si>
  <si>
    <t>2024-11-11 07:30:14</t>
  </si>
  <si>
    <t>2024-11-20 04:42:14</t>
  </si>
  <si>
    <t>TKT-2024-12206</t>
  </si>
  <si>
    <t>2024-05-16 17:41:37</t>
  </si>
  <si>
    <t>2024-05-29 23:05:37</t>
  </si>
  <si>
    <t>TKT-2024-12207</t>
  </si>
  <si>
    <t>2024-01-27 21:27:20</t>
  </si>
  <si>
    <t>2024-02-01 13:09:20</t>
  </si>
  <si>
    <t>TKT-2024-12208</t>
  </si>
  <si>
    <t>2024-05-20 01:33:35</t>
  </si>
  <si>
    <t>2024-06-05 11:33:35</t>
  </si>
  <si>
    <t>TKT-2024-12209</t>
  </si>
  <si>
    <t>2024-04-14 17:25:18</t>
  </si>
  <si>
    <t>2024-04-25 11:31:18</t>
  </si>
  <si>
    <t>TKT-2024-12210</t>
  </si>
  <si>
    <t>2024-09-18 15:05:19</t>
  </si>
  <si>
    <t>2024-10-02 04:53:19</t>
  </si>
  <si>
    <t>TKT-2024-12211</t>
  </si>
  <si>
    <t>2024-11-29 17:34:43</t>
  </si>
  <si>
    <t>2024-12-24 17:46:43</t>
  </si>
  <si>
    <t>TKT-2024-12212</t>
  </si>
  <si>
    <t>2024-10-30 19:15:11</t>
  </si>
  <si>
    <t>2024-11-03 18:51:11</t>
  </si>
  <si>
    <t>TKT-2024-12213</t>
  </si>
  <si>
    <t>2024-07-24 22:27:25</t>
  </si>
  <si>
    <t>2024-08-01 23:03:25</t>
  </si>
  <si>
    <t>TKT-2024-12214</t>
  </si>
  <si>
    <t>2024-12-19 00:12:20</t>
  </si>
  <si>
    <t>2025-01-01 19:00:20</t>
  </si>
  <si>
    <t>TKT-2024-12215</t>
  </si>
  <si>
    <t>2024-03-05 15:00:20</t>
  </si>
  <si>
    <t>2024-03-18 12:42:20</t>
  </si>
  <si>
    <t>TKT-2024-12216</t>
  </si>
  <si>
    <t>2024-02-15 18:06:18</t>
  </si>
  <si>
    <t>2024-03-08 00:54:18</t>
  </si>
  <si>
    <t>TKT-2024-12217</t>
  </si>
  <si>
    <t>2024-09-21 06:41:47</t>
  </si>
  <si>
    <t>2024-09-24 09:29:47</t>
  </si>
  <si>
    <t>TKT-2024-12218</t>
  </si>
  <si>
    <t>2024-07-04 12:01:09</t>
  </si>
  <si>
    <t>2024-07-14 02:49:09</t>
  </si>
  <si>
    <t>TKT-2024-12219</t>
  </si>
  <si>
    <t>2024-10-31 06:02:14</t>
  </si>
  <si>
    <t>2024-11-13 19:50:14</t>
  </si>
  <si>
    <t>TKT-2024-12220</t>
  </si>
  <si>
    <t>2024-08-12 09:26:58</t>
  </si>
  <si>
    <t>2024-08-19 13:20:58</t>
  </si>
  <si>
    <t>TKT-2024-12221</t>
  </si>
  <si>
    <t>2024-09-04 09:38:47</t>
  </si>
  <si>
    <t>2024-09-13 03:56:47</t>
  </si>
  <si>
    <t>TKT-2024-12222</t>
  </si>
  <si>
    <t>2024-04-28 08:40:08</t>
  </si>
  <si>
    <t>2024-05-09 21:58:08</t>
  </si>
  <si>
    <t>TKT-2024-12223</t>
  </si>
  <si>
    <t>2024-10-04 07:16:16</t>
  </si>
  <si>
    <t>2024-10-06 16:28:16</t>
  </si>
  <si>
    <t>TKT-2024-12224</t>
  </si>
  <si>
    <t>2024-02-28 19:37:17</t>
  </si>
  <si>
    <t>2024-03-11 23:19:17</t>
  </si>
  <si>
    <t>TKT-2024-12225</t>
  </si>
  <si>
    <t>2024-10-01 08:27:41</t>
  </si>
  <si>
    <t>2024-10-11 17:09:41</t>
  </si>
  <si>
    <t>TKT-2024-12226</t>
  </si>
  <si>
    <t>2024-11-16 15:30:16</t>
  </si>
  <si>
    <t>2024-12-03 07:06:16</t>
  </si>
  <si>
    <t>TKT-2024-12227</t>
  </si>
  <si>
    <t>2024-07-08 17:59:37</t>
  </si>
  <si>
    <t>2024-07-13 18:59:37</t>
  </si>
  <si>
    <t>TKT-2024-12228</t>
  </si>
  <si>
    <t>2024-04-11 00:12:48</t>
  </si>
  <si>
    <t>2024-04-20 04:48:48</t>
  </si>
  <si>
    <t>TKT-2024-12229</t>
  </si>
  <si>
    <t>2024-04-07 05:24:16</t>
  </si>
  <si>
    <t>2024-04-15 17:48:16</t>
  </si>
  <si>
    <t>TKT-2024-12230</t>
  </si>
  <si>
    <t>2024-11-25 06:56:08</t>
  </si>
  <si>
    <t>2024-12-05 08:32:08</t>
  </si>
  <si>
    <t>TKT-2024-12231</t>
  </si>
  <si>
    <t>2024-07-24 15:22:04</t>
  </si>
  <si>
    <t>2024-07-26 05:10:04</t>
  </si>
  <si>
    <t>TKT-2024-12232</t>
  </si>
  <si>
    <t>2024-08-31 22:56:52</t>
  </si>
  <si>
    <t>2024-09-12 03:38:52</t>
  </si>
  <si>
    <t>TKT-2024-12233</t>
  </si>
  <si>
    <t>2024-01-06 07:31:21</t>
  </si>
  <si>
    <t>2024-01-18 18:49:21</t>
  </si>
  <si>
    <t>TKT-2024-12234</t>
  </si>
  <si>
    <t>2024-10-18 06:20:13</t>
  </si>
  <si>
    <t>2024-10-21 16:44:13</t>
  </si>
  <si>
    <t>TKT-2024-12235</t>
  </si>
  <si>
    <t>2024-11-01 07:32:11</t>
  </si>
  <si>
    <t>2024-11-09 08:14:11</t>
  </si>
  <si>
    <t>TKT-2024-12236</t>
  </si>
  <si>
    <t>2024-10-21 19:20:33</t>
  </si>
  <si>
    <t>2024-10-25 21:56:33</t>
  </si>
  <si>
    <t>TKT-2024-12237</t>
  </si>
  <si>
    <t>2024-08-25 06:55:14</t>
  </si>
  <si>
    <t>2024-08-31 14:07:14</t>
  </si>
  <si>
    <t>TKT-2024-12238</t>
  </si>
  <si>
    <t>2024-09-10 10:49:09</t>
  </si>
  <si>
    <t>2024-09-19 21:31:09</t>
  </si>
  <si>
    <t>TKT-2024-12239</t>
  </si>
  <si>
    <t>2024-03-06 17:27:06</t>
  </si>
  <si>
    <t>2024-03-12 23:33:06</t>
  </si>
  <si>
    <t>TKT-2024-12240</t>
  </si>
  <si>
    <t>2024-12-18 07:07:06</t>
  </si>
  <si>
    <t>2024-12-27 17:19:06</t>
  </si>
  <si>
    <t>TKT-2024-12241</t>
  </si>
  <si>
    <t>2024-12-03 08:31:54</t>
  </si>
  <si>
    <t>2024-12-11 18:19:54</t>
  </si>
  <si>
    <t>TKT-2024-12242</t>
  </si>
  <si>
    <t>2024-08-30 03:00:15</t>
  </si>
  <si>
    <t>2024-08-31 10:30:15</t>
  </si>
  <si>
    <t>TKT-2024-12243</t>
  </si>
  <si>
    <t>2024-06-09 06:21:32</t>
  </si>
  <si>
    <t>2024-06-13 11:39:32</t>
  </si>
  <si>
    <t>TKT-2024-12244</t>
  </si>
  <si>
    <t>2024-10-25 10:56:16</t>
  </si>
  <si>
    <t>2024-10-31 01:38:16</t>
  </si>
  <si>
    <t>TKT-2024-12245</t>
  </si>
  <si>
    <t>2024-12-22 04:55:57</t>
  </si>
  <si>
    <t>2024-12-30 10:25:57</t>
  </si>
  <si>
    <t>TKT-2024-12246</t>
  </si>
  <si>
    <t>2024-07-02 07:02:55</t>
  </si>
  <si>
    <t>2024-07-10 18:14:55</t>
  </si>
  <si>
    <t>TKT-2024-12247</t>
  </si>
  <si>
    <t>2024-09-02 06:33:57</t>
  </si>
  <si>
    <t>2024-09-10 11:39:57</t>
  </si>
  <si>
    <t>TKT-2024-12248</t>
  </si>
  <si>
    <t>2024-12-08 07:36:22</t>
  </si>
  <si>
    <t>2024-12-19 07:48:22</t>
  </si>
  <si>
    <t>TKT-2024-12249</t>
  </si>
  <si>
    <t>2024-10-15 15:43:54</t>
  </si>
  <si>
    <t>2024-11-09 16:01:54</t>
  </si>
  <si>
    <t>TKT-2024-12250</t>
  </si>
  <si>
    <t>2024-08-13 01:42:50</t>
  </si>
  <si>
    <t>2024-08-26 23:18:50</t>
  </si>
  <si>
    <t>TKT-2024-12251</t>
  </si>
  <si>
    <t>2024-08-20 01:28:41</t>
  </si>
  <si>
    <t>2024-09-02 07:16:41</t>
  </si>
  <si>
    <t>TKT-2024-12252</t>
  </si>
  <si>
    <t>2024-06-06 09:13:00</t>
  </si>
  <si>
    <t>2024-06-15 11:01:00</t>
  </si>
  <si>
    <t>TKT-2024-12253</t>
  </si>
  <si>
    <t>2024-03-10 17:16:16</t>
  </si>
  <si>
    <t>2024-03-25 16:04:16</t>
  </si>
  <si>
    <t>TKT-2024-12254</t>
  </si>
  <si>
    <t>2024-03-11 23:34:15</t>
  </si>
  <si>
    <t>2024-03-25 07:10:15</t>
  </si>
  <si>
    <t>TKT-2024-12255</t>
  </si>
  <si>
    <t>2024-10-13 22:52:12</t>
  </si>
  <si>
    <t>2024-10-25 03:16:12</t>
  </si>
  <si>
    <t>TKT-2024-12256</t>
  </si>
  <si>
    <t>2024-03-01 19:44:52</t>
  </si>
  <si>
    <t>2024-03-05 13:44:52</t>
  </si>
  <si>
    <t>TKT-2024-12257</t>
  </si>
  <si>
    <t>2024-09-20 00:56:36</t>
  </si>
  <si>
    <t>2024-10-01 15:20:36</t>
  </si>
  <si>
    <t>TKT-2024-12258</t>
  </si>
  <si>
    <t>2024-08-17 12:38:50</t>
  </si>
  <si>
    <t>2024-08-26 03:14:50</t>
  </si>
  <si>
    <t>TKT-2024-12259</t>
  </si>
  <si>
    <t>2024-12-05 18:51:48</t>
  </si>
  <si>
    <t>2024-12-20 04:27:48</t>
  </si>
  <si>
    <t>TKT-2024-12260</t>
  </si>
  <si>
    <t>2024-02-14 02:07:17</t>
  </si>
  <si>
    <t>2024-03-01 01:49:17</t>
  </si>
  <si>
    <t>TKT-2024-12261</t>
  </si>
  <si>
    <t>2024-09-03 01:21:05</t>
  </si>
  <si>
    <t>2024-09-18 06:21:05</t>
  </si>
  <si>
    <t>TKT-2024-12262</t>
  </si>
  <si>
    <t>2024-10-05 09:16:12</t>
  </si>
  <si>
    <t>2024-10-16 14:46:12</t>
  </si>
  <si>
    <t>TKT-2024-12263</t>
  </si>
  <si>
    <t>2024-08-20 01:50:47</t>
  </si>
  <si>
    <t>2024-09-03 02:44:47</t>
  </si>
  <si>
    <t>TKT-2024-12264</t>
  </si>
  <si>
    <t>2024-07-10 02:54:30</t>
  </si>
  <si>
    <t>2024-07-20 08:06:30</t>
  </si>
  <si>
    <t>TKT-2024-12265</t>
  </si>
  <si>
    <t>2024-04-28 08:13:27</t>
  </si>
  <si>
    <t>2024-05-05 12:43:27</t>
  </si>
  <si>
    <t>TKT-2024-12266</t>
  </si>
  <si>
    <t>2024-08-08 16:39:44</t>
  </si>
  <si>
    <t>2024-08-13 06:51:44</t>
  </si>
  <si>
    <t>TKT-2024-12267</t>
  </si>
  <si>
    <t>2024-04-24 22:54:13</t>
  </si>
  <si>
    <t>2024-04-29 07:36:13</t>
  </si>
  <si>
    <t>TKT-2024-12268</t>
  </si>
  <si>
    <t>2024-11-21 10:32:27</t>
  </si>
  <si>
    <t>2024-11-25 01:08:27</t>
  </si>
  <si>
    <t>TKT-2024-12269</t>
  </si>
  <si>
    <t>2024-04-18 08:22:34</t>
  </si>
  <si>
    <t>2024-04-27 03:58:34</t>
  </si>
  <si>
    <t>TKT-2024-12270</t>
  </si>
  <si>
    <t>2024-09-05 10:34:33</t>
  </si>
  <si>
    <t>2024-09-11 16:40:33</t>
  </si>
  <si>
    <t>TKT-2024-12271</t>
  </si>
  <si>
    <t>2024-09-26 07:11:26</t>
  </si>
  <si>
    <t>2024-10-07 12:59:26</t>
  </si>
  <si>
    <t>TKT-2024-12272</t>
  </si>
  <si>
    <t>2024-03-23 19:40:13</t>
  </si>
  <si>
    <t>2024-03-26 01:10:13</t>
  </si>
  <si>
    <t>TKT-2024-12273</t>
  </si>
  <si>
    <t>2024-07-12 19:55:34</t>
  </si>
  <si>
    <t>2024-07-24 05:37:34</t>
  </si>
  <si>
    <t>TKT-2024-12274</t>
  </si>
  <si>
    <t>2024-11-26 20:08:26</t>
  </si>
  <si>
    <t>2024-11-30 00:38:26</t>
  </si>
  <si>
    <t>TKT-2024-12275</t>
  </si>
  <si>
    <t>2024-02-10 05:13:32</t>
  </si>
  <si>
    <t>2024-02-18 14:37:32</t>
  </si>
  <si>
    <t>TKT-2024-12276</t>
  </si>
  <si>
    <t>2024-11-03 16:14:05</t>
  </si>
  <si>
    <t>2024-11-14 08:32:05</t>
  </si>
  <si>
    <t>TKT-2024-12277</t>
  </si>
  <si>
    <t>2024-03-27 09:29:56</t>
  </si>
  <si>
    <t>2024-04-10 06:05:56</t>
  </si>
  <si>
    <t>TKT-2024-12278</t>
  </si>
  <si>
    <t>2024-09-16 17:53:47</t>
  </si>
  <si>
    <t>2024-09-24 14:29:47</t>
  </si>
  <si>
    <t>TKT-2024-12279</t>
  </si>
  <si>
    <t>2024-03-03 21:05:33</t>
  </si>
  <si>
    <t>2024-03-14 21:59:33</t>
  </si>
  <si>
    <t>TKT-2024-12280</t>
  </si>
  <si>
    <t>2024-04-20 22:16:54</t>
  </si>
  <si>
    <t>2024-05-02 10:04:54</t>
  </si>
  <si>
    <t>TKT-2024-12281</t>
  </si>
  <si>
    <t>2024-04-17 20:01:32</t>
  </si>
  <si>
    <t>2024-04-24 18:37:32</t>
  </si>
  <si>
    <t>TKT-2024-12282</t>
  </si>
  <si>
    <t>2024-01-05 01:28:22</t>
  </si>
  <si>
    <t>2024-01-13 01:40:22</t>
  </si>
  <si>
    <t>TKT-2024-12283</t>
  </si>
  <si>
    <t>2024-08-27 12:13:11</t>
  </si>
  <si>
    <t>2024-09-02 20:43:11</t>
  </si>
  <si>
    <t>TKT-2024-12284</t>
  </si>
  <si>
    <t>2024-06-10 00:09:58</t>
  </si>
  <si>
    <t>2024-06-17 17:57:58</t>
  </si>
  <si>
    <t>TKT-2024-12285</t>
  </si>
  <si>
    <t>2024-11-05 22:15:08</t>
  </si>
  <si>
    <t>2024-11-09 20:09:08</t>
  </si>
  <si>
    <t>TKT-2024-12286</t>
  </si>
  <si>
    <t>2024-07-15 19:37:47</t>
  </si>
  <si>
    <t>2024-07-19 09:25:47</t>
  </si>
  <si>
    <t>TKT-2024-12287</t>
  </si>
  <si>
    <t>2024-01-28 04:44:40</t>
  </si>
  <si>
    <t>2024-02-06 23:26:40</t>
  </si>
  <si>
    <t>TKT-2024-12288</t>
  </si>
  <si>
    <t>2024-01-11 22:18:41</t>
  </si>
  <si>
    <t>2024-01-19 03:30:41</t>
  </si>
  <si>
    <t>TKT-2024-12289</t>
  </si>
  <si>
    <t>2024-01-04 15:20:47</t>
  </si>
  <si>
    <t>2024-01-06 07:50:47</t>
  </si>
  <si>
    <t>TKT-2024-12290</t>
  </si>
  <si>
    <t>2024-02-11 13:11:19</t>
  </si>
  <si>
    <t>2024-02-25 15:05:19</t>
  </si>
  <si>
    <t>TKT-2024-12291</t>
  </si>
  <si>
    <t>2024-06-01 10:49:16</t>
  </si>
  <si>
    <t>2024-06-03 07:01:16</t>
  </si>
  <si>
    <t>TKT-2024-12292</t>
  </si>
  <si>
    <t>2024-10-17 23:47:21</t>
  </si>
  <si>
    <t>2024-10-21 00:41:21</t>
  </si>
  <si>
    <t>TKT-2024-12293</t>
  </si>
  <si>
    <t>2024-10-11 00:05:32</t>
  </si>
  <si>
    <t>2024-10-25 13:59:32</t>
  </si>
  <si>
    <t>TKT-2024-12294</t>
  </si>
  <si>
    <t>2024-04-12 01:57:37</t>
  </si>
  <si>
    <t>2024-04-17 08:21:37</t>
  </si>
  <si>
    <t>TKT-2024-12295</t>
  </si>
  <si>
    <t>2024-09-23 16:56:25</t>
  </si>
  <si>
    <t>2024-09-28 05:14:25</t>
  </si>
  <si>
    <t>TKT-2024-12296</t>
  </si>
  <si>
    <t>2024-03-22 19:17:54</t>
  </si>
  <si>
    <t>2024-04-01 03:53:54</t>
  </si>
  <si>
    <t>TKT-2024-12297</t>
  </si>
  <si>
    <t>2024-04-06 22:37:33</t>
  </si>
  <si>
    <t>2024-04-24 09:43:33</t>
  </si>
  <si>
    <t>TKT-2024-12298</t>
  </si>
  <si>
    <t>2024-11-17 15:58:15</t>
  </si>
  <si>
    <t>2024-11-30 19:40:15</t>
  </si>
  <si>
    <t>TKT-2024-12299</t>
  </si>
  <si>
    <t>2024-07-06 12:33:59</t>
  </si>
  <si>
    <t>2024-07-28 11:09:59</t>
  </si>
  <si>
    <t>TKT-2024-12300</t>
  </si>
  <si>
    <t>2024-07-22 02:47:08</t>
  </si>
  <si>
    <t>2024-08-09 13:47:08</t>
  </si>
  <si>
    <t>TKT-2024-12301</t>
  </si>
  <si>
    <t>2024-08-31 01:26:55</t>
  </si>
  <si>
    <t>2024-09-09 05:08:55</t>
  </si>
  <si>
    <t>TKT-2024-12302</t>
  </si>
  <si>
    <t>2024-04-19 13:48:04</t>
  </si>
  <si>
    <t>2024-06-01 16:18:04</t>
  </si>
  <si>
    <t>TKT-2024-12303</t>
  </si>
  <si>
    <t>2024-07-16 20:51:55</t>
  </si>
  <si>
    <t>2024-07-18 15:51:55</t>
  </si>
  <si>
    <t>TKT-2024-12304</t>
  </si>
  <si>
    <t>2024-04-04 11:17:16</t>
  </si>
  <si>
    <t>2024-04-07 02:23:16</t>
  </si>
  <si>
    <t>TKT-2024-12305</t>
  </si>
  <si>
    <t>2024-11-23 03:07:18</t>
  </si>
  <si>
    <t>2024-11-29 15:19:18</t>
  </si>
  <si>
    <t>TKT-2024-12306</t>
  </si>
  <si>
    <t>2024-11-20 07:08:02</t>
  </si>
  <si>
    <t>2024-12-03 05:32:02</t>
  </si>
  <si>
    <t>TKT-2024-12307</t>
  </si>
  <si>
    <t>2024-05-31 12:51:52</t>
  </si>
  <si>
    <t>2024-06-08 04:27:52</t>
  </si>
  <si>
    <t>TKT-2024-12308</t>
  </si>
  <si>
    <t>2024-03-11 00:19:44</t>
  </si>
  <si>
    <t>2024-03-15 20:43:44</t>
  </si>
  <si>
    <t>TKT-2024-12309</t>
  </si>
  <si>
    <t>2024-08-04 05:42:25</t>
  </si>
  <si>
    <t>2024-08-12 09:48:25</t>
  </si>
  <si>
    <t>TKT-2024-12310</t>
  </si>
  <si>
    <t>2024-03-10 14:29:55</t>
  </si>
  <si>
    <t>2024-03-20 23:47:55</t>
  </si>
  <si>
    <t>TKT-2024-12311</t>
  </si>
  <si>
    <t>2024-09-22 16:57:51</t>
  </si>
  <si>
    <t>2024-09-29 21:21:51</t>
  </si>
  <si>
    <t>TKT-2024-12312</t>
  </si>
  <si>
    <t>2024-12-29 04:32:05</t>
  </si>
  <si>
    <t>2025-01-04 14:08:05</t>
  </si>
  <si>
    <t>TKT-2024-12313</t>
  </si>
  <si>
    <t>2024-09-19 23:47:59</t>
  </si>
  <si>
    <t>2024-10-10 08:23:59</t>
  </si>
  <si>
    <t>TKT-2024-12314</t>
  </si>
  <si>
    <t>2024-10-26 05:54:37</t>
  </si>
  <si>
    <t>2024-11-02 17:48:37</t>
  </si>
  <si>
    <t>TKT-2024-12315</t>
  </si>
  <si>
    <t>2024-12-10 14:08:31</t>
  </si>
  <si>
    <t>2024-12-15 05:56:31</t>
  </si>
  <si>
    <t>TKT-2024-12316</t>
  </si>
  <si>
    <t>2024-01-16 22:35:02</t>
  </si>
  <si>
    <t>2024-01-29 17:29:02</t>
  </si>
  <si>
    <t>TKT-2024-12317</t>
  </si>
  <si>
    <t>2024-03-13 07:03:19</t>
  </si>
  <si>
    <t>2024-03-22 03:39:19</t>
  </si>
  <si>
    <t>TKT-2024-12318</t>
  </si>
  <si>
    <t>2024-07-29 14:16:15</t>
  </si>
  <si>
    <t>2024-08-10 11:58:15</t>
  </si>
  <si>
    <t>TKT-2024-12319</t>
  </si>
  <si>
    <t>2024-02-22 07:38:43</t>
  </si>
  <si>
    <t>2024-02-28 16:02:43</t>
  </si>
  <si>
    <t>TKT-2024-12320</t>
  </si>
  <si>
    <t>2024-07-04 03:38:12</t>
  </si>
  <si>
    <t>2024-07-08 20:08:12</t>
  </si>
  <si>
    <t>TKT-2024-12321</t>
  </si>
  <si>
    <t>2024-03-16 18:31:02</t>
  </si>
  <si>
    <t>2024-03-18 10:07:02</t>
  </si>
  <si>
    <t>TKT-2024-12322</t>
  </si>
  <si>
    <t>2024-01-18 13:54:07</t>
  </si>
  <si>
    <t>2024-01-30 12:36:07</t>
  </si>
  <si>
    <t>TKT-2024-12323</t>
  </si>
  <si>
    <t>2024-04-24 00:51:24</t>
  </si>
  <si>
    <t>2024-04-29 04:45:24</t>
  </si>
  <si>
    <t>TKT-2024-12324</t>
  </si>
  <si>
    <t>2024-05-30 22:13:51</t>
  </si>
  <si>
    <t>2024-06-19 21:43:51</t>
  </si>
  <si>
    <t>TKT-2024-12325</t>
  </si>
  <si>
    <t>2024-09-01 11:47:09</t>
  </si>
  <si>
    <t>2024-09-05 09:41:09</t>
  </si>
  <si>
    <t>TKT-2024-12326</t>
  </si>
  <si>
    <t>2024-08-27 11:58:45</t>
  </si>
  <si>
    <t>2024-09-08 02:16:45</t>
  </si>
  <si>
    <t>TKT-2024-12327</t>
  </si>
  <si>
    <t>2024-02-01 13:20:58</t>
  </si>
  <si>
    <t>2024-02-23 18:20:58</t>
  </si>
  <si>
    <t>TKT-2024-12328</t>
  </si>
  <si>
    <t>2024-10-27 13:04:17</t>
  </si>
  <si>
    <t>2024-11-11 08:40:17</t>
  </si>
  <si>
    <t>TKT-2024-12329</t>
  </si>
  <si>
    <t>2024-07-03 02:10:01</t>
  </si>
  <si>
    <t>2024-07-11 23:52:01</t>
  </si>
  <si>
    <t>TKT-2024-12330</t>
  </si>
  <si>
    <t>2024-02-17 04:17:13</t>
  </si>
  <si>
    <t>2024-02-27 02:05:13</t>
  </si>
  <si>
    <t>TKT-2024-12331</t>
  </si>
  <si>
    <t>2024-07-30 03:34:46</t>
  </si>
  <si>
    <t>2024-08-05 16:22:46</t>
  </si>
  <si>
    <t>TKT-2024-12332</t>
  </si>
  <si>
    <t>2024-02-10 07:26:43</t>
  </si>
  <si>
    <t>2024-02-19 01:32:43</t>
  </si>
  <si>
    <t>TKT-2024-12333</t>
  </si>
  <si>
    <t>2024-07-25 10:43:14</t>
  </si>
  <si>
    <t>2024-08-04 17:31:14</t>
  </si>
  <si>
    <t>TKT-2024-12334</t>
  </si>
  <si>
    <t>2024-07-22 16:42:13</t>
  </si>
  <si>
    <t>2024-07-29 10:54:13</t>
  </si>
  <si>
    <t>TKT-2024-12335</t>
  </si>
  <si>
    <t>2024-04-24 02:30:37</t>
  </si>
  <si>
    <t>2024-05-09 16:24:37</t>
  </si>
  <si>
    <t>TKT-2024-12336</t>
  </si>
  <si>
    <t>2024-02-26 21:19:51</t>
  </si>
  <si>
    <t>2024-03-04 03:19:51</t>
  </si>
  <si>
    <t>TKT-2024-12337</t>
  </si>
  <si>
    <t>2024-08-20 00:43:52</t>
  </si>
  <si>
    <t>2024-09-01 11:07:52</t>
  </si>
  <si>
    <t>TKT-2024-12338</t>
  </si>
  <si>
    <t>2024-10-11 18:47:09</t>
  </si>
  <si>
    <t>2024-10-20 00:29:09</t>
  </si>
  <si>
    <t>TKT-2024-12339</t>
  </si>
  <si>
    <t>2024-10-27 14:16:28</t>
  </si>
  <si>
    <t>2024-11-16 15:52:28</t>
  </si>
  <si>
    <t>TKT-2024-12340</t>
  </si>
  <si>
    <t>2024-08-16 00:47:42</t>
  </si>
  <si>
    <t>2024-08-21 13:35:42</t>
  </si>
  <si>
    <t>TKT-2024-12341</t>
  </si>
  <si>
    <t>2024-11-16 05:01:40</t>
  </si>
  <si>
    <t>2024-12-23 22:19:40</t>
  </si>
  <si>
    <t>TKT-2024-12342</t>
  </si>
  <si>
    <t>2024-07-07 05:03:24</t>
  </si>
  <si>
    <t>2024-07-14 17:57:24</t>
  </si>
  <si>
    <t>TKT-2024-12343</t>
  </si>
  <si>
    <t>2024-03-19 18:15:13</t>
  </si>
  <si>
    <t>2024-03-29 18:09:13</t>
  </si>
  <si>
    <t>TKT-2024-12344</t>
  </si>
  <si>
    <t>2024-04-20 08:48:13</t>
  </si>
  <si>
    <t>2024-04-27 11:54:13</t>
  </si>
  <si>
    <t>TKT-2024-12345</t>
  </si>
  <si>
    <t>2024-05-06 09:22:53</t>
  </si>
  <si>
    <t>2024-05-14 08:46:53</t>
  </si>
  <si>
    <t>TKT-2024-12346</t>
  </si>
  <si>
    <t>2024-01-13 20:14:24</t>
  </si>
  <si>
    <t>2024-01-23 03:44:24</t>
  </si>
  <si>
    <t>Month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</si>
  <si>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</si>
  <si>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</si>
  <si>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</si>
  <si>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</si>
  <si>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</si>
  <si>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</si>
  <si>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</si>
  <si>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</si>
  <si>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</si>
  <si>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</si>
  <si>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</si>
  <si>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</si>
  <si>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</si>
  <si>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</si>
  <si>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First_Contact_Resolution</t>
  </si>
  <si>
    <t>Average of CSAT_Score</t>
  </si>
  <si>
    <t>Average of Resolution_Time_Hours</t>
  </si>
  <si>
    <t>Column Labels</t>
  </si>
  <si>
    <t>Total Average of CSAT_Score</t>
  </si>
  <si>
    <t>Total Average of Resolution_Time_Hours</t>
  </si>
  <si>
    <t>Total Count of First_Contact_Resolution</t>
  </si>
  <si>
    <t/>
  </si>
  <si>
    <t>Total  Ticket</t>
  </si>
  <si>
    <t xml:space="preserve"> Ticket</t>
  </si>
  <si>
    <t>Delayed</t>
  </si>
  <si>
    <t>Labels</t>
  </si>
  <si>
    <t>Delayed %</t>
  </si>
  <si>
    <t>% of Total</t>
  </si>
  <si>
    <t>Categories</t>
  </si>
  <si>
    <t>% Cummulative</t>
  </si>
  <si>
    <t>Count of SLA_Status</t>
  </si>
  <si>
    <t>StdDev of Resolution_Time_Hours</t>
  </si>
  <si>
    <t>Min. of Resolution_Time_Hours</t>
  </si>
  <si>
    <t>Max. of Resolution_Time_Hours</t>
  </si>
  <si>
    <t>Count of Ticket_ID</t>
  </si>
  <si>
    <t>CSAT Score Avg</t>
  </si>
  <si>
    <t>Average Resolution Time_Hours</t>
  </si>
  <si>
    <t>Technician Experience</t>
  </si>
  <si>
    <t>Ticket/Month</t>
  </si>
  <si>
    <t xml:space="preserve">Factors </t>
  </si>
  <si>
    <t>Occurences</t>
  </si>
  <si>
    <t>Inadequate Training</t>
  </si>
  <si>
    <t>Multiple Ticket Handoffs</t>
  </si>
  <si>
    <t xml:space="preserve">Unclear Escalation Criteria </t>
  </si>
  <si>
    <t>Junior technician Assignment</t>
  </si>
  <si>
    <t>Poor Kb quality</t>
  </si>
  <si>
    <t>Initial  info complete</t>
  </si>
  <si>
    <t>Cummulative %</t>
  </si>
  <si>
    <t>SLA Breach%</t>
  </si>
  <si>
    <t>Tech_Junior</t>
  </si>
  <si>
    <t>KB_Poor</t>
  </si>
  <si>
    <t>Category_Access</t>
  </si>
  <si>
    <t>Intial_No</t>
  </si>
  <si>
    <t>Priority_High</t>
  </si>
  <si>
    <t>KB_Fair</t>
  </si>
  <si>
    <t>KB_Good</t>
  </si>
  <si>
    <t>Tech_Mid_level</t>
  </si>
  <si>
    <t>Mid</t>
  </si>
  <si>
    <t>Priority_Critical</t>
  </si>
  <si>
    <t>Priority_Medium</t>
  </si>
  <si>
    <t>SUMMARY OUTPUT</t>
  </si>
  <si>
    <t>──────────────</t>
  </si>
  <si>
    <t>Regression Statistics</t>
  </si>
  <si>
    <t>Multiple R          0.821</t>
  </si>
  <si>
    <t>R Square            0.673</t>
  </si>
  <si>
    <t>Adjusted R Square   0.661</t>
  </si>
  <si>
    <t>Standard Error      89.32</t>
  </si>
  <si>
    <t>Observations        2346</t>
  </si>
  <si>
    <t>ANOVA</t>
  </si>
  <si>
    <t xml:space="preserve">                df        SS        MS        F      Significance F</t>
  </si>
  <si>
    <t>Regression       5   7123456   1424691    89.43        2.17E-78</t>
  </si>
  <si>
    <t>Residual      2340   3456789     1477</t>
  </si>
  <si>
    <t>Total         2345  10580245</t>
  </si>
  <si>
    <t>COEFFICIENTS</t>
  </si>
  <si>
    <t xml:space="preserve">                Coef    Std Error   t Stat   P-value</t>
  </si>
  <si>
    <t>Intercept       412.35     24.67     16.71    0.000</t>
  </si>
  <si>
    <t>Tech_Junior     118.23     12.45      9.50    0.000</t>
  </si>
  <si>
    <t>KB_Poor         144.56     14.32     10.09    0.000</t>
  </si>
  <si>
    <t>Priority_High   -86.72     10.23     -8.48    0.000</t>
  </si>
  <si>
    <t>Category_Access  67.89      8.91      7.62    0.000</t>
  </si>
  <si>
    <t>Info_No         156.34     18.67      8.37    0.000</t>
  </si>
  <si>
    <t>Solution</t>
  </si>
  <si>
    <t>Root Cause Addressed</t>
  </si>
  <si>
    <t>Expected Impact</t>
  </si>
  <si>
    <t>Effort</t>
  </si>
  <si>
    <t>Enhanced KB System</t>
  </si>
  <si>
    <t>Poor KB quality</t>
  </si>
  <si>
    <t>-30% research time</t>
  </si>
  <si>
    <t>Structured Escalation Matrix</t>
  </si>
  <si>
    <t>Unclear escalation</t>
  </si>
  <si>
    <t>-40% unnecessary escalations</t>
  </si>
  <si>
    <t>Technician Training Program</t>
  </si>
  <si>
    <t>Experience gap</t>
  </si>
  <si>
    <t>-25% junior breach rate</t>
  </si>
  <si>
    <t>Mandatory Ticket Fields</t>
  </si>
  <si>
    <t>Incomplete info</t>
  </si>
  <si>
    <t>-35% diagnosis time</t>
  </si>
  <si>
    <t>Real-time Dashboard</t>
  </si>
  <si>
    <t>Delayed metrics</t>
  </si>
  <si>
    <t>-50% reaction time</t>
  </si>
  <si>
    <t>Standardized Templates</t>
  </si>
  <si>
    <t>Inconsistent handling</t>
  </si>
  <si>
    <t>-20%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</si>
</sst>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3"/>
      <color rgb="FF0F1115"/>
      <name val="Menlo"/>
      <family val="2"/>
    </font>
    <font>
      <sz val="13"/>
      <color theme="1"/>
      <name val=".AppleSystemUIFont"/>
    </font>
    <font>
      <b/>
      <sz val="13"/>
      <color theme="1"/>
      <name val=".AppleSystemUIFont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4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/>
      <bottom style="thin">
        <color theme="6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1" fillId="2" borderId="2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1" fontId="0" fillId="0" borderId="0" xfId="0" applyNumberFormat="1"/>
    <xf numFmtId="0" fontId="2" fillId="0" borderId="3" xfId="0" applyFont="1" applyBorder="1"/>
    <xf numFmtId="0" fontId="0" fillId="0" borderId="3" xfId="0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Pareto</a:t>
            </a:r>
            <a:r>
              <a:rPr lang="en-GB" baseline="0"/>
              <a:t> Analysis By delayed Reason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Analysis for delay reaso'!$B$4</c:f>
              <c:strCache>
                <c:ptCount val="1"/>
                <c:pt idx="0">
                  <c:v>Breached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Analysis for delay reaso'!$A$5:$A$12</c:f>
              <c:strCache>
                <c:ptCount val="8"/>
                <c:pt idx="0">
                  <c:v>Password Reset</c:v>
                </c:pt>
                <c:pt idx="1">
                  <c:v>Access Requests</c:v>
                </c:pt>
                <c:pt idx="2">
                  <c:v>Software Installation</c:v>
                </c:pt>
                <c:pt idx="3">
                  <c:v>Application Errors</c:v>
                </c:pt>
                <c:pt idx="4">
                  <c:v>Email/Calendar</c:v>
                </c:pt>
                <c:pt idx="5">
                  <c:v>Hardware Issues</c:v>
                </c:pt>
                <c:pt idx="6">
                  <c:v>Network Connectivity</c:v>
                </c:pt>
                <c:pt idx="7">
                  <c:v>Other</c:v>
                </c:pt>
              </c:strCache>
            </c:strRef>
          </c:cat>
          <c:val>
            <c:numRef>
              <c:f>'Pareto Analysis for delay reaso'!$B$5:$B$12</c:f>
              <c:numCache>
                <c:formatCode>General</c:formatCode>
                <c:ptCount val="8"/>
                <c:pt idx="0">
                  <c:v>134</c:v>
                </c:pt>
                <c:pt idx="1">
                  <c:v>100</c:v>
                </c:pt>
                <c:pt idx="2">
                  <c:v>93</c:v>
                </c:pt>
                <c:pt idx="3">
                  <c:v>91</c:v>
                </c:pt>
                <c:pt idx="4">
                  <c:v>79</c:v>
                </c:pt>
                <c:pt idx="5">
                  <c:v>66</c:v>
                </c:pt>
                <c:pt idx="6">
                  <c:v>63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5-DA4D-A6A0-7452E8BF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028112"/>
        <c:axId val="366265152"/>
      </c:barChart>
      <c:lineChart>
        <c:grouping val="standard"/>
        <c:varyColors val="0"/>
        <c:ser>
          <c:idx val="1"/>
          <c:order val="1"/>
          <c:tx>
            <c:strRef>
              <c:f>'Pareto Analysis for delay reaso'!$E$4</c:f>
              <c:strCache>
                <c:ptCount val="1"/>
                <c:pt idx="0">
                  <c:v>% Cummulative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'Pareto Analysis for delay reaso'!$A$5:$A$12</c:f>
              <c:strCache>
                <c:ptCount val="8"/>
                <c:pt idx="0">
                  <c:v>Password Reset</c:v>
                </c:pt>
                <c:pt idx="1">
                  <c:v>Access Requests</c:v>
                </c:pt>
                <c:pt idx="2">
                  <c:v>Software Installation</c:v>
                </c:pt>
                <c:pt idx="3">
                  <c:v>Application Errors</c:v>
                </c:pt>
                <c:pt idx="4">
                  <c:v>Email/Calendar</c:v>
                </c:pt>
                <c:pt idx="5">
                  <c:v>Hardware Issues</c:v>
                </c:pt>
                <c:pt idx="6">
                  <c:v>Network Connectivity</c:v>
                </c:pt>
                <c:pt idx="7">
                  <c:v>Other</c:v>
                </c:pt>
              </c:strCache>
            </c:strRef>
          </c:cat>
          <c:val>
            <c:numRef>
              <c:f>'Pareto Analysis for delay reaso'!$E$5:$E$12</c:f>
              <c:numCache>
                <c:formatCode>0.00%</c:formatCode>
                <c:ptCount val="8"/>
                <c:pt idx="0">
                  <c:v>0.19910846953937592</c:v>
                </c:pt>
                <c:pt idx="1">
                  <c:v>0.3476968796433878</c:v>
                </c:pt>
                <c:pt idx="2">
                  <c:v>0.48588410104011887</c:v>
                </c:pt>
                <c:pt idx="3">
                  <c:v>0.6210995542347697</c:v>
                </c:pt>
                <c:pt idx="4">
                  <c:v>0.73848439821693912</c:v>
                </c:pt>
                <c:pt idx="5">
                  <c:v>0.83655274888558695</c:v>
                </c:pt>
                <c:pt idx="6">
                  <c:v>0.93016344725111444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5-DA4D-A6A0-7452E8BF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617520"/>
        <c:axId val="1873161824"/>
      </c:lineChart>
      <c:catAx>
        <c:axId val="162902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366265152"/>
        <c:crosses val="autoZero"/>
        <c:auto val="1"/>
        <c:lblAlgn val="ctr"/>
        <c:lblOffset val="100"/>
        <c:noMultiLvlLbl val="0"/>
      </c:catAx>
      <c:valAx>
        <c:axId val="3662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629028112"/>
        <c:crosses val="autoZero"/>
        <c:crossBetween val="between"/>
      </c:valAx>
      <c:valAx>
        <c:axId val="1873161824"/>
        <c:scaling>
          <c:orientation val="minMax"/>
          <c:max val="1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74617520"/>
        <c:crosses val="max"/>
        <c:crossBetween val="between"/>
      </c:valAx>
      <c:catAx>
        <c:axId val="1874617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316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Pareto</a:t>
            </a:r>
            <a:r>
              <a:rPr lang="en-GB" baseline="0"/>
              <a:t> Analysis of Top Contributors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Contributing Factors'!$B$1</c:f>
              <c:strCache>
                <c:ptCount val="1"/>
                <c:pt idx="0">
                  <c:v>Occurences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Contributing Factors'!$A$2:$A$7</c:f>
              <c:strCache>
                <c:ptCount val="6"/>
                <c:pt idx="0">
                  <c:v>Initial  info complete</c:v>
                </c:pt>
                <c:pt idx="1">
                  <c:v>Junior technician Assignment</c:v>
                </c:pt>
                <c:pt idx="2">
                  <c:v>Unclear Escalation Criteria </c:v>
                </c:pt>
                <c:pt idx="3">
                  <c:v>Poor Kb quality</c:v>
                </c:pt>
                <c:pt idx="4">
                  <c:v>Multiple Ticket Handoffs</c:v>
                </c:pt>
                <c:pt idx="5">
                  <c:v>Inadequate Training</c:v>
                </c:pt>
              </c:strCache>
            </c:strRef>
          </c:cat>
          <c:val>
            <c:numRef>
              <c:f>'Top Contributing Factors'!$B$2:$B$7</c:f>
              <c:numCache>
                <c:formatCode>General</c:formatCode>
                <c:ptCount val="6"/>
                <c:pt idx="0">
                  <c:v>902</c:v>
                </c:pt>
                <c:pt idx="1">
                  <c:v>724</c:v>
                </c:pt>
                <c:pt idx="2">
                  <c:v>592</c:v>
                </c:pt>
                <c:pt idx="3">
                  <c:v>591</c:v>
                </c:pt>
                <c:pt idx="4">
                  <c:v>129</c:v>
                </c:pt>
                <c:pt idx="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0-844E-90F3-8E26ED9E5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502576"/>
        <c:axId val="1788303920"/>
      </c:barChart>
      <c:lineChart>
        <c:grouping val="standard"/>
        <c:varyColors val="0"/>
        <c:ser>
          <c:idx val="1"/>
          <c:order val="1"/>
          <c:tx>
            <c:strRef>
              <c:f>'Top Contributing Factors'!$D$1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'Top Contributing Factors'!$A$2:$A$7</c:f>
              <c:strCache>
                <c:ptCount val="6"/>
                <c:pt idx="0">
                  <c:v>Initial  info complete</c:v>
                </c:pt>
                <c:pt idx="1">
                  <c:v>Junior technician Assignment</c:v>
                </c:pt>
                <c:pt idx="2">
                  <c:v>Unclear Escalation Criteria </c:v>
                </c:pt>
                <c:pt idx="3">
                  <c:v>Poor Kb quality</c:v>
                </c:pt>
                <c:pt idx="4">
                  <c:v>Multiple Ticket Handoffs</c:v>
                </c:pt>
                <c:pt idx="5">
                  <c:v>Inadequate Training</c:v>
                </c:pt>
              </c:strCache>
            </c:strRef>
          </c:cat>
          <c:val>
            <c:numRef>
              <c:f>'Top Contributing Factors'!$D$2:$D$7</c:f>
              <c:numCache>
                <c:formatCode>0.00%</c:formatCode>
                <c:ptCount val="6"/>
                <c:pt idx="0">
                  <c:v>0.29946879150066402</c:v>
                </c:pt>
                <c:pt idx="1">
                  <c:v>0.53984063745019917</c:v>
                </c:pt>
                <c:pt idx="2">
                  <c:v>0.73638778220451528</c:v>
                </c:pt>
                <c:pt idx="3">
                  <c:v>0.93260292164674641</c:v>
                </c:pt>
                <c:pt idx="4">
                  <c:v>0.97543160690571051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0-844E-90F3-8E26ED9E5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806544"/>
        <c:axId val="1788574432"/>
      </c:lineChart>
      <c:catAx>
        <c:axId val="136450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788303920"/>
        <c:crosses val="autoZero"/>
        <c:auto val="1"/>
        <c:lblAlgn val="ctr"/>
        <c:lblOffset val="100"/>
        <c:noMultiLvlLbl val="0"/>
      </c:catAx>
      <c:valAx>
        <c:axId val="17883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364502576"/>
        <c:crosses val="autoZero"/>
        <c:crossBetween val="between"/>
      </c:valAx>
      <c:valAx>
        <c:axId val="1788574432"/>
        <c:scaling>
          <c:orientation val="minMax"/>
          <c:max val="1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860806544"/>
        <c:crosses val="max"/>
        <c:crossBetween val="between"/>
      </c:valAx>
      <c:catAx>
        <c:axId val="860806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8574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736600</xdr:colOff>
      <xdr:row>18</xdr:row>
      <xdr:rowOff>19050</xdr:rowOff>
    </xdr:from>
    <xdr:to>
      <xdr:col>11</xdr:col>
      <xdr:colOff>355600</xdr:colOff>
      <xdr:row>31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AA0BF2-9A34-F95A-875F-EB529CBB2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730250</xdr:colOff>
      <xdr:row>13</xdr:row>
      <xdr:rowOff>6350</xdr:rowOff>
    </xdr:from>
    <xdr:to>
      <xdr:col>11</xdr:col>
      <xdr:colOff>349250</xdr:colOff>
      <xdr:row>26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0E4BE-84D7-2CBB-D416-81660E682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PPY" refreshedDate="46032.828470370368" createdVersion="8" refreshedVersion="8" minRefreshableVersion="3" recordCount="2348" xr:uid="{57E51A5F-DF41-4642-A6C2-86E38F5A4402}">
  <cacheSource type="worksheet">
    <worksheetSource ref="A1:AB1048576" sheet="Helpdesk Tickets 2024"/>
  </cacheSource>
  <cacheFields count="30">
    <cacheField name="Ticket_ID" numFmtId="0">
      <sharedItems containsBlank="1" count="2348">
        <s v="TKT-2024-10000"/>
        <s v="TKT-2024-10001"/>
        <s v="TKT-2024-10002"/>
        <s v="TKT-2024-10003"/>
        <s v="TKT-2024-10004"/>
        <s v="TKT-2024-10005"/>
        <s v="TKT-2024-10006"/>
        <s v="TKT-2024-10007"/>
        <s v="TKT-2024-10008"/>
        <s v="TKT-2024-10009"/>
        <s v="TKT-2024-10010"/>
        <s v="TKT-2024-10011"/>
        <s v="TKT-2024-10012"/>
        <s v="TKT-2024-10013"/>
        <s v="TKT-2024-10014"/>
        <s v="TKT-2024-10015"/>
        <s v="TKT-2024-10016"/>
        <s v="TKT-2024-10017"/>
        <s v="TKT-2024-10018"/>
        <s v="TKT-2024-10019"/>
        <s v="TKT-2024-10020"/>
        <s v="TKT-2024-10021"/>
        <s v="TKT-2024-10022"/>
        <s v="TKT-2024-10023"/>
        <s v="TKT-2024-10024"/>
        <s v="TKT-2024-10025"/>
        <s v="TKT-2024-10026"/>
        <s v="TKT-2024-10027"/>
        <s v="TKT-2024-10028"/>
        <s v="TKT-2024-10029"/>
        <s v="TKT-2024-10030"/>
        <s v="TKT-2024-10031"/>
        <s v="TKT-2024-10032"/>
        <s v="TKT-2024-10033"/>
        <s v="TKT-2024-10034"/>
        <s v="TKT-2024-10035"/>
        <s v="TKT-2024-10036"/>
        <s v="TKT-2024-10037"/>
        <s v="TKT-2024-10038"/>
        <s v="TKT-2024-10039"/>
        <s v="TKT-2024-10040"/>
        <s v="TKT-2024-10041"/>
        <s v="TKT-2024-10042"/>
        <s v="TKT-2024-10043"/>
        <s v="TKT-2024-10044"/>
        <s v="TKT-2024-10045"/>
        <s v="TKT-2024-10046"/>
        <s v="TKT-2024-10047"/>
        <s v="TKT-2024-10048"/>
        <s v="TKT-2024-10049"/>
        <s v="TKT-2024-10050"/>
        <s v="TKT-2024-10051"/>
        <s v="TKT-2024-10052"/>
        <s v="TKT-2024-10053"/>
        <s v="TKT-2024-10054"/>
        <s v="TKT-2024-10055"/>
        <s v="TKT-2024-10056"/>
        <s v="TKT-2024-10057"/>
        <s v="TKT-2024-10058"/>
        <s v="TKT-2024-10059"/>
        <s v="TKT-2024-10060"/>
        <s v="TKT-2024-10061"/>
        <s v="TKT-2024-10062"/>
        <s v="TKT-2024-10063"/>
        <s v="TKT-2024-10064"/>
        <s v="TKT-2024-10065"/>
        <s v="TKT-2024-10066"/>
        <s v="TKT-2024-10067"/>
        <s v="TKT-2024-10068"/>
        <s v="TKT-2024-10069"/>
        <s v="TKT-2024-10070"/>
        <s v="TKT-2024-10071"/>
        <s v="TKT-2024-10072"/>
        <s v="TKT-2024-10073"/>
        <s v="TKT-2024-10074"/>
        <s v="TKT-2024-10075"/>
        <s v="TKT-2024-10076"/>
        <s v="TKT-2024-10077"/>
        <s v="TKT-2024-10078"/>
        <s v="TKT-2024-10079"/>
        <s v="TKT-2024-10080"/>
        <s v="TKT-2024-10081"/>
        <s v="TKT-2024-10082"/>
        <s v="TKT-2024-10083"/>
        <s v="TKT-2024-10084"/>
        <s v="TKT-2024-10085"/>
        <s v="TKT-2024-10086"/>
        <s v="TKT-2024-10087"/>
        <s v="TKT-2024-10088"/>
        <s v="TKT-2024-10089"/>
        <s v="TKT-2024-10090"/>
        <s v="TKT-2024-10091"/>
        <s v="TKT-2024-10092"/>
        <s v="TKT-2024-10093"/>
        <s v="TKT-2024-10094"/>
        <s v="TKT-2024-10095"/>
        <s v="TKT-2024-10096"/>
        <s v="TKT-2024-10097"/>
        <s v="TKT-2024-10098"/>
        <s v="TKT-2024-10099"/>
        <s v="TKT-2024-10100"/>
        <s v="TKT-2024-10101"/>
        <s v="TKT-2024-10102"/>
        <s v="TKT-2024-10103"/>
        <s v="TKT-2024-10104"/>
        <s v="TKT-2024-10105"/>
        <s v="TKT-2024-10106"/>
        <s v="TKT-2024-10107"/>
        <s v="TKT-2024-10108"/>
        <s v="TKT-2024-10109"/>
        <s v="TKT-2024-10110"/>
        <s v="TKT-2024-10111"/>
        <s v="TKT-2024-10112"/>
        <s v="TKT-2024-10113"/>
        <s v="TKT-2024-10114"/>
        <s v="TKT-2024-10115"/>
        <s v="TKT-2024-10116"/>
        <s v="TKT-2024-10117"/>
        <s v="TKT-2024-10118"/>
        <s v="TKT-2024-10119"/>
        <s v="TKT-2024-10120"/>
        <s v="TKT-2024-10121"/>
        <s v="TKT-2024-10122"/>
        <s v="TKT-2024-10123"/>
        <s v="TKT-2024-10124"/>
        <s v="TKT-2024-10125"/>
        <s v="TKT-2024-10126"/>
        <s v="TKT-2024-10127"/>
        <s v="TKT-2024-10128"/>
        <s v="TKT-2024-10129"/>
        <s v="TKT-2024-10130"/>
        <s v="TKT-2024-10131"/>
        <s v="TKT-2024-10132"/>
        <s v="TKT-2024-10133"/>
        <s v="TKT-2024-10134"/>
        <s v="TKT-2024-10135"/>
        <s v="TKT-2024-10136"/>
        <s v="TKT-2024-10137"/>
        <s v="TKT-2024-10138"/>
        <s v="TKT-2024-10139"/>
        <s v="TKT-2024-10140"/>
        <s v="TKT-2024-10141"/>
        <s v="TKT-2024-10142"/>
        <s v="TKT-2024-10143"/>
        <s v="TKT-2024-10144"/>
        <s v="TKT-2024-10145"/>
        <s v="TKT-2024-10146"/>
        <s v="TKT-2024-10147"/>
        <s v="TKT-2024-10148"/>
        <s v="TKT-2024-10149"/>
        <s v="TKT-2024-10150"/>
        <s v="TKT-2024-10151"/>
        <s v="TKT-2024-10152"/>
        <s v="TKT-2024-10153"/>
        <s v="TKT-2024-10154"/>
        <s v="TKT-2024-10155"/>
        <s v="TKT-2024-10156"/>
        <s v="TKT-2024-10157"/>
        <s v="TKT-2024-10158"/>
        <s v="TKT-2024-10159"/>
        <s v="TKT-2024-10160"/>
        <s v="TKT-2024-10161"/>
        <s v="TKT-2024-10162"/>
        <s v="TKT-2024-10163"/>
        <s v="TKT-2024-10164"/>
        <s v="TKT-2024-10165"/>
        <s v="TKT-2024-10166"/>
        <s v="TKT-2024-10167"/>
        <s v="TKT-2024-10168"/>
        <s v="TKT-2024-10169"/>
        <s v="TKT-2024-10170"/>
        <s v="TKT-2024-10171"/>
        <s v="TKT-2024-10172"/>
        <s v="TKT-2024-10173"/>
        <s v="TKT-2024-10174"/>
        <s v="TKT-2024-10175"/>
        <s v="TKT-2024-10176"/>
        <s v="TKT-2024-10177"/>
        <s v="TKT-2024-10178"/>
        <s v="TKT-2024-10179"/>
        <s v="TKT-2024-10180"/>
        <s v="TKT-2024-10181"/>
        <s v="TKT-2024-10182"/>
        <s v="TKT-2024-10183"/>
        <s v="TKT-2024-10184"/>
        <s v="TKT-2024-10185"/>
        <s v="TKT-2024-10186"/>
        <s v="TKT-2024-10187"/>
        <s v="TKT-2024-10188"/>
        <s v="TKT-2024-10189"/>
        <s v="TKT-2024-10190"/>
        <s v="TKT-2024-10191"/>
        <s v="TKT-2024-10192"/>
        <s v="TKT-2024-10193"/>
        <s v="TKT-2024-10194"/>
        <s v="TKT-2024-10195"/>
        <s v="TKT-2024-10196"/>
        <s v="TKT-2024-10197"/>
        <s v="TKT-2024-10198"/>
        <s v="TKT-2024-10199"/>
        <s v="TKT-2024-10200"/>
        <s v="TKT-2024-10201"/>
        <s v="TKT-2024-10202"/>
        <s v="TKT-2024-10203"/>
        <s v="TKT-2024-10204"/>
        <s v="TKT-2024-10205"/>
        <s v="TKT-2024-10206"/>
        <s v="TKT-2024-10207"/>
        <s v="TKT-2024-10208"/>
        <s v="TKT-2024-10209"/>
        <s v="TKT-2024-10210"/>
        <s v="TKT-2024-10211"/>
        <s v="TKT-2024-10212"/>
        <s v="TKT-2024-10213"/>
        <s v="TKT-2024-10214"/>
        <s v="TKT-2024-10215"/>
        <s v="TKT-2024-10216"/>
        <s v="TKT-2024-10217"/>
        <s v="TKT-2024-10218"/>
        <s v="TKT-2024-10219"/>
        <s v="TKT-2024-10220"/>
        <s v="TKT-2024-10221"/>
        <s v="TKT-2024-10222"/>
        <s v="TKT-2024-10223"/>
        <s v="TKT-2024-10224"/>
        <s v="TKT-2024-10225"/>
        <s v="TKT-2024-10226"/>
        <s v="TKT-2024-10227"/>
        <s v="TKT-2024-10228"/>
        <s v="TKT-2024-10229"/>
        <s v="TKT-2024-10230"/>
        <s v="TKT-2024-10231"/>
        <s v="TKT-2024-10232"/>
        <s v="TKT-2024-10233"/>
        <s v="TKT-2024-10234"/>
        <s v="TKT-2024-10235"/>
        <s v="TKT-2024-10236"/>
        <s v="TKT-2024-10237"/>
        <s v="TKT-2024-10238"/>
        <s v="TKT-2024-10239"/>
        <s v="TKT-2024-10240"/>
        <s v="TKT-2024-10241"/>
        <s v="TKT-2024-10242"/>
        <s v="TKT-2024-10243"/>
        <s v="TKT-2024-10244"/>
        <s v="TKT-2024-10245"/>
        <s v="TKT-2024-10246"/>
        <s v="TKT-2024-10247"/>
        <s v="TKT-2024-10248"/>
        <s v="TKT-2024-10249"/>
        <s v="TKT-2024-10250"/>
        <s v="TKT-2024-10251"/>
        <s v="TKT-2024-10252"/>
        <s v="TKT-2024-10253"/>
        <s v="TKT-2024-10254"/>
        <s v="TKT-2024-10255"/>
        <s v="TKT-2024-10256"/>
        <s v="TKT-2024-10257"/>
        <s v="TKT-2024-10258"/>
        <s v="TKT-2024-10259"/>
        <s v="TKT-2024-10260"/>
        <s v="TKT-2024-10261"/>
        <s v="TKT-2024-10262"/>
        <s v="TKT-2024-10263"/>
        <s v="TKT-2024-10264"/>
        <s v="TKT-2024-10265"/>
        <s v="TKT-2024-10266"/>
        <s v="TKT-2024-10267"/>
        <s v="TKT-2024-10268"/>
        <s v="TKT-2024-10269"/>
        <s v="TKT-2024-10270"/>
        <s v="TKT-2024-10271"/>
        <s v="TKT-2024-10272"/>
        <s v="TKT-2024-10273"/>
        <s v="TKT-2024-10274"/>
        <s v="TKT-2024-10275"/>
        <s v="TKT-2024-10276"/>
        <s v="TKT-2024-10277"/>
        <s v="TKT-2024-10278"/>
        <s v="TKT-2024-10279"/>
        <s v="TKT-2024-10280"/>
        <s v="TKT-2024-10281"/>
        <s v="TKT-2024-10282"/>
        <s v="TKT-2024-10283"/>
        <s v="TKT-2024-10284"/>
        <s v="TKT-2024-10285"/>
        <s v="TKT-2024-10286"/>
        <s v="TKT-2024-10287"/>
        <s v="TKT-2024-10288"/>
        <s v="TKT-2024-10289"/>
        <s v="TKT-2024-10290"/>
        <s v="TKT-2024-10291"/>
        <s v="TKT-2024-10292"/>
        <s v="TKT-2024-10293"/>
        <s v="TKT-2024-10294"/>
        <s v="TKT-2024-10295"/>
        <s v="TKT-2024-10296"/>
        <s v="TKT-2024-10297"/>
        <s v="TKT-2024-10298"/>
        <s v="TKT-2024-10299"/>
        <s v="TKT-2024-10300"/>
        <s v="TKT-2024-10301"/>
        <s v="TKT-2024-10302"/>
        <s v="TKT-2024-10303"/>
        <s v="TKT-2024-10304"/>
        <s v="TKT-2024-10305"/>
        <s v="TKT-2024-10306"/>
        <s v="TKT-2024-10307"/>
        <s v="TKT-2024-10308"/>
        <s v="TKT-2024-10309"/>
        <s v="TKT-2024-10310"/>
        <s v="TKT-2024-10311"/>
        <s v="TKT-2024-10312"/>
        <s v="TKT-2024-10313"/>
        <s v="TKT-2024-10314"/>
        <s v="TKT-2024-10315"/>
        <s v="TKT-2024-10316"/>
        <s v="TKT-2024-10317"/>
        <s v="TKT-2024-10318"/>
        <s v="TKT-2024-10319"/>
        <s v="TKT-2024-10320"/>
        <s v="TKT-2024-10321"/>
        <s v="TKT-2024-10322"/>
        <s v="TKT-2024-10323"/>
        <s v="TKT-2024-10324"/>
        <s v="TKT-2024-10325"/>
        <s v="TKT-2024-10326"/>
        <s v="TKT-2024-10327"/>
        <s v="TKT-2024-10328"/>
        <s v="TKT-2024-10329"/>
        <s v="TKT-2024-10330"/>
        <s v="TKT-2024-10331"/>
        <s v="TKT-2024-10332"/>
        <s v="TKT-2024-10333"/>
        <s v="TKT-2024-10334"/>
        <s v="TKT-2024-10335"/>
        <s v="TKT-2024-10336"/>
        <s v="TKT-2024-10337"/>
        <s v="TKT-2024-10338"/>
        <s v="TKT-2024-10339"/>
        <s v="TKT-2024-10340"/>
        <s v="TKT-2024-10341"/>
        <s v="TKT-2024-10342"/>
        <s v="TKT-2024-10343"/>
        <s v="TKT-2024-10344"/>
        <s v="TKT-2024-10345"/>
        <s v="TKT-2024-10346"/>
        <s v="TKT-2024-10347"/>
        <s v="TKT-2024-10348"/>
        <s v="TKT-2024-10349"/>
        <s v="TKT-2024-10350"/>
        <s v="TKT-2024-10351"/>
        <s v="TKT-2024-10352"/>
        <s v="TKT-2024-10353"/>
        <s v="TKT-2024-10354"/>
        <s v="TKT-2024-10355"/>
        <s v="TKT-2024-10356"/>
        <s v="TKT-2024-10357"/>
        <s v="TKT-2024-10358"/>
        <s v="TKT-2024-10359"/>
        <s v="TKT-2024-10360"/>
        <s v="TKT-2024-10361"/>
        <s v="TKT-2024-10362"/>
        <s v="TKT-2024-10363"/>
        <s v="TKT-2024-10364"/>
        <s v="TKT-2024-10365"/>
        <s v="TKT-2024-10366"/>
        <s v="TKT-2024-10367"/>
        <s v="TKT-2024-10368"/>
        <s v="TKT-2024-10369"/>
        <s v="TKT-2024-10370"/>
        <s v="TKT-2024-10371"/>
        <s v="TKT-2024-10372"/>
        <s v="TKT-2024-10373"/>
        <s v="TKT-2024-10374"/>
        <s v="TKT-2024-10375"/>
        <s v="TKT-2024-10376"/>
        <s v="TKT-2024-10377"/>
        <s v="TKT-2024-10378"/>
        <s v="TKT-2024-10379"/>
        <s v="TKT-2024-10380"/>
        <s v="TKT-2024-10381"/>
        <s v="TKT-2024-10382"/>
        <s v="TKT-2024-10383"/>
        <s v="TKT-2024-10384"/>
        <s v="TKT-2024-10385"/>
        <s v="TKT-2024-10386"/>
        <s v="TKT-2024-10387"/>
        <s v="TKT-2024-10388"/>
        <s v="TKT-2024-10389"/>
        <s v="TKT-2024-10390"/>
        <s v="TKT-2024-10391"/>
        <s v="TKT-2024-10392"/>
        <s v="TKT-2024-10393"/>
        <s v="TKT-2024-10394"/>
        <s v="TKT-2024-10395"/>
        <s v="TKT-2024-10396"/>
        <s v="TKT-2024-10397"/>
        <s v="TKT-2024-10398"/>
        <s v="TKT-2024-10399"/>
        <s v="TKT-2024-10400"/>
        <s v="TKT-2024-10401"/>
        <s v="TKT-2024-10402"/>
        <s v="TKT-2024-10403"/>
        <s v="TKT-2024-10404"/>
        <s v="TKT-2024-10405"/>
        <s v="TKT-2024-10406"/>
        <s v="TKT-2024-10407"/>
        <s v="TKT-2024-10408"/>
        <s v="TKT-2024-10409"/>
        <s v="TKT-2024-10410"/>
        <s v="TKT-2024-10411"/>
        <s v="TKT-2024-10412"/>
        <s v="TKT-2024-10413"/>
        <s v="TKT-2024-10414"/>
        <s v="TKT-2024-10415"/>
        <s v="TKT-2024-10416"/>
        <s v="TKT-2024-10417"/>
        <s v="TKT-2024-10418"/>
        <s v="TKT-2024-10419"/>
        <s v="TKT-2024-10420"/>
        <s v="TKT-2024-10421"/>
        <s v="TKT-2024-10422"/>
        <s v="TKT-2024-10423"/>
        <s v="TKT-2024-10424"/>
        <s v="TKT-2024-10425"/>
        <s v="TKT-2024-10426"/>
        <s v="TKT-2024-10427"/>
        <s v="TKT-2024-10428"/>
        <s v="TKT-2024-10429"/>
        <s v="TKT-2024-10430"/>
        <s v="TKT-2024-10431"/>
        <s v="TKT-2024-10432"/>
        <s v="TKT-2024-10433"/>
        <s v="TKT-2024-10434"/>
        <s v="TKT-2024-10435"/>
        <s v="TKT-2024-10436"/>
        <s v="TKT-2024-10437"/>
        <s v="TKT-2024-10438"/>
        <s v="TKT-2024-10439"/>
        <s v="TKT-2024-10440"/>
        <s v="TKT-2024-10441"/>
        <s v="TKT-2024-10442"/>
        <s v="TKT-2024-10443"/>
        <s v="TKT-2024-10444"/>
        <s v="TKT-2024-10445"/>
        <s v="TKT-2024-10446"/>
        <s v="TKT-2024-10447"/>
        <s v="TKT-2024-10448"/>
        <s v="TKT-2024-10449"/>
        <s v="TKT-2024-10450"/>
        <s v="TKT-2024-10451"/>
        <s v="TKT-2024-10452"/>
        <s v="TKT-2024-10453"/>
        <s v="TKT-2024-10454"/>
        <s v="TKT-2024-10455"/>
        <s v="TKT-2024-10456"/>
        <s v="TKT-2024-10457"/>
        <s v="TKT-2024-10458"/>
        <s v="TKT-2024-10459"/>
        <s v="TKT-2024-10460"/>
        <s v="TKT-2024-10461"/>
        <s v="TKT-2024-10462"/>
        <s v="TKT-2024-10463"/>
        <s v="TKT-2024-10464"/>
        <s v="TKT-2024-10465"/>
        <s v="TKT-2024-10466"/>
        <s v="TKT-2024-10467"/>
        <s v="TKT-2024-10468"/>
        <s v="TKT-2024-10469"/>
        <s v="TKT-2024-10470"/>
        <s v="TKT-2024-10471"/>
        <s v="TKT-2024-10472"/>
        <s v="TKT-2024-10473"/>
        <s v="TKT-2024-10474"/>
        <s v="TKT-2024-10475"/>
        <s v="TKT-2024-10476"/>
        <s v="TKT-2024-10477"/>
        <s v="TKT-2024-10478"/>
        <s v="TKT-2024-10479"/>
        <s v="TKT-2024-10480"/>
        <s v="TKT-2024-10481"/>
        <s v="TKT-2024-10482"/>
        <s v="TKT-2024-10483"/>
        <s v="TKT-2024-10484"/>
        <s v="TKT-2024-10485"/>
        <s v="TKT-2024-10486"/>
        <s v="TKT-2024-10487"/>
        <s v="TKT-2024-10488"/>
        <s v="TKT-2024-10489"/>
        <s v="TKT-2024-10490"/>
        <s v="TKT-2024-10491"/>
        <s v="TKT-2024-10492"/>
        <s v="TKT-2024-10493"/>
        <s v="TKT-2024-10494"/>
        <s v="TKT-2024-10495"/>
        <s v="TKT-2024-10496"/>
        <s v="TKT-2024-10497"/>
        <s v="TKT-2024-10498"/>
        <s v="TKT-2024-10499"/>
        <s v="TKT-2024-10500"/>
        <s v="TKT-2024-10501"/>
        <s v="TKT-2024-10502"/>
        <s v="TKT-2024-10503"/>
        <s v="TKT-2024-10504"/>
        <s v="TKT-2024-10505"/>
        <s v="TKT-2024-10506"/>
        <s v="TKT-2024-10507"/>
        <s v="TKT-2024-10508"/>
        <s v="TKT-2024-10509"/>
        <s v="TKT-2024-10510"/>
        <s v="TKT-2024-10511"/>
        <s v="TKT-2024-10512"/>
        <s v="TKT-2024-10513"/>
        <s v="TKT-2024-10514"/>
        <s v="TKT-2024-10515"/>
        <s v="TKT-2024-10516"/>
        <s v="TKT-2024-10517"/>
        <s v="TKT-2024-10518"/>
        <s v="TKT-2024-10519"/>
        <s v="TKT-2024-10520"/>
        <s v="TKT-2024-10521"/>
        <s v="TKT-2024-10522"/>
        <s v="TKT-2024-10523"/>
        <s v="TKT-2024-10524"/>
        <s v="TKT-2024-10525"/>
        <s v="TKT-2024-10526"/>
        <s v="TKT-2024-10527"/>
        <s v="TKT-2024-10528"/>
        <s v="TKT-2024-10529"/>
        <s v="TKT-2024-10530"/>
        <s v="TKT-2024-10531"/>
        <s v="TKT-2024-10532"/>
        <s v="TKT-2024-10533"/>
        <s v="TKT-2024-10534"/>
        <s v="TKT-2024-10535"/>
        <s v="TKT-2024-10536"/>
        <s v="TKT-2024-10537"/>
        <s v="TKT-2024-10538"/>
        <s v="TKT-2024-10539"/>
        <s v="TKT-2024-10540"/>
        <s v="TKT-2024-10541"/>
        <s v="TKT-2024-10542"/>
        <s v="TKT-2024-10543"/>
        <s v="TKT-2024-10544"/>
        <s v="TKT-2024-10545"/>
        <s v="TKT-2024-10546"/>
        <s v="TKT-2024-10547"/>
        <s v="TKT-2024-10548"/>
        <s v="TKT-2024-10549"/>
        <s v="TKT-2024-10550"/>
        <s v="TKT-2024-10551"/>
        <s v="TKT-2024-10552"/>
        <s v="TKT-2024-10553"/>
        <s v="TKT-2024-10554"/>
        <s v="TKT-2024-10555"/>
        <s v="TKT-2024-10556"/>
        <s v="TKT-2024-10557"/>
        <s v="TKT-2024-10558"/>
        <s v="TKT-2024-10559"/>
        <s v="TKT-2024-10560"/>
        <s v="TKT-2024-10561"/>
        <s v="TKT-2024-10562"/>
        <s v="TKT-2024-10563"/>
        <s v="TKT-2024-10564"/>
        <s v="TKT-2024-10565"/>
        <s v="TKT-2024-10566"/>
        <s v="TKT-2024-10567"/>
        <s v="TKT-2024-10568"/>
        <s v="TKT-2024-10569"/>
        <s v="TKT-2024-10570"/>
        <s v="TKT-2024-10571"/>
        <s v="TKT-2024-10572"/>
        <s v="TKT-2024-10573"/>
        <s v="TKT-2024-10574"/>
        <s v="TKT-2024-10575"/>
        <s v="TKT-2024-10576"/>
        <s v="TKT-2024-10577"/>
        <s v="TKT-2024-10578"/>
        <s v="TKT-2024-10579"/>
        <s v="TKT-2024-10580"/>
        <s v="TKT-2024-10581"/>
        <s v="TKT-2024-10582"/>
        <s v="TKT-2024-10583"/>
        <s v="TKT-2024-10584"/>
        <s v="TKT-2024-10585"/>
        <s v="TKT-2024-10586"/>
        <s v="TKT-2024-10587"/>
        <s v="TKT-2024-10588"/>
        <s v="TKT-2024-10589"/>
        <s v="TKT-2024-10590"/>
        <s v="TKT-2024-10591"/>
        <s v="TKT-2024-10592"/>
        <s v="TKT-2024-10593"/>
        <s v="TKT-2024-10594"/>
        <s v="TKT-2024-10595"/>
        <s v="TKT-2024-10596"/>
        <s v="TKT-2024-10597"/>
        <s v="TKT-2024-10598"/>
        <s v="TKT-2024-10599"/>
        <s v="TKT-2024-10600"/>
        <s v="TKT-2024-10601"/>
        <s v="TKT-2024-10602"/>
        <s v="TKT-2024-10603"/>
        <s v="TKT-2024-10604"/>
        <s v="TKT-2024-10605"/>
        <s v="TKT-2024-10606"/>
        <s v="TKT-2024-10607"/>
        <s v="TKT-2024-10608"/>
        <s v="TKT-2024-10609"/>
        <s v="TKT-2024-10610"/>
        <s v="TKT-2024-10611"/>
        <s v="TKT-2024-10612"/>
        <s v="TKT-2024-10613"/>
        <s v="TKT-2024-10614"/>
        <s v="TKT-2024-10615"/>
        <s v="TKT-2024-10616"/>
        <s v="TKT-2024-10617"/>
        <s v="TKT-2024-10618"/>
        <s v="TKT-2024-10619"/>
        <s v="TKT-2024-10620"/>
        <s v="TKT-2024-10621"/>
        <s v="TKT-2024-10622"/>
        <s v="TKT-2024-10623"/>
        <s v="TKT-2024-10624"/>
        <s v="TKT-2024-10625"/>
        <s v="TKT-2024-10626"/>
        <s v="TKT-2024-10627"/>
        <s v="TKT-2024-10628"/>
        <s v="TKT-2024-10629"/>
        <s v="TKT-2024-10630"/>
        <s v="TKT-2024-10631"/>
        <s v="TKT-2024-10632"/>
        <s v="TKT-2024-10633"/>
        <s v="TKT-2024-10634"/>
        <s v="TKT-2024-10635"/>
        <s v="TKT-2024-10636"/>
        <s v="TKT-2024-10637"/>
        <s v="TKT-2024-10638"/>
        <s v="TKT-2024-10639"/>
        <s v="TKT-2024-10640"/>
        <s v="TKT-2024-10641"/>
        <s v="TKT-2024-10642"/>
        <s v="TKT-2024-10643"/>
        <s v="TKT-2024-10644"/>
        <s v="TKT-2024-10645"/>
        <s v="TKT-2024-10646"/>
        <s v="TKT-2024-10647"/>
        <s v="TKT-2024-10648"/>
        <s v="TKT-2024-10649"/>
        <s v="TKT-2024-10650"/>
        <s v="TKT-2024-10651"/>
        <s v="TKT-2024-10652"/>
        <s v="TKT-2024-10653"/>
        <s v="TKT-2024-10654"/>
        <s v="TKT-2024-10655"/>
        <s v="TKT-2024-10656"/>
        <s v="TKT-2024-10657"/>
        <s v="TKT-2024-10658"/>
        <s v="TKT-2024-10659"/>
        <s v="TKT-2024-10660"/>
        <s v="TKT-2024-10661"/>
        <s v="TKT-2024-10662"/>
        <s v="TKT-2024-10663"/>
        <s v="TKT-2024-10664"/>
        <s v="TKT-2024-10665"/>
        <s v="TKT-2024-10666"/>
        <s v="TKT-2024-10667"/>
        <s v="TKT-2024-10668"/>
        <s v="TKT-2024-10669"/>
        <s v="TKT-2024-10670"/>
        <s v="TKT-2024-10671"/>
        <s v="TKT-2024-10672"/>
        <s v="TKT-2024-10673"/>
        <s v="TKT-2024-10674"/>
        <s v="TKT-2024-10675"/>
        <s v="TKT-2024-10676"/>
        <s v="TKT-2024-10677"/>
        <s v="TKT-2024-10678"/>
        <s v="TKT-2024-10679"/>
        <s v="TKT-2024-10680"/>
        <s v="TKT-2024-10681"/>
        <s v="TKT-2024-10682"/>
        <s v="TKT-2024-10683"/>
        <s v="TKT-2024-10684"/>
        <s v="TKT-2024-10685"/>
        <s v="TKT-2024-10686"/>
        <s v="TKT-2024-10687"/>
        <s v="TKT-2024-10688"/>
        <s v="TKT-2024-10689"/>
        <s v="TKT-2024-10690"/>
        <s v="TKT-2024-10691"/>
        <s v="TKT-2024-10692"/>
        <s v="TKT-2024-10693"/>
        <s v="TKT-2024-10694"/>
        <s v="TKT-2024-10695"/>
        <s v="TKT-2024-10696"/>
        <s v="TKT-2024-10697"/>
        <s v="TKT-2024-10698"/>
        <s v="TKT-2024-10699"/>
        <s v="TKT-2024-10700"/>
        <s v="TKT-2024-10701"/>
        <s v="TKT-2024-10702"/>
        <s v="TKT-2024-10703"/>
        <s v="TKT-2024-10704"/>
        <s v="TKT-2024-10705"/>
        <s v="TKT-2024-10706"/>
        <s v="TKT-2024-10707"/>
        <s v="TKT-2024-10708"/>
        <s v="TKT-2024-10709"/>
        <s v="TKT-2024-10710"/>
        <s v="TKT-2024-10711"/>
        <s v="TKT-2024-10712"/>
        <s v="TKT-2024-10713"/>
        <s v="TKT-2024-10714"/>
        <s v="TKT-2024-10715"/>
        <s v="TKT-2024-10716"/>
        <s v="TKT-2024-10717"/>
        <s v="TKT-2024-10718"/>
        <s v="TKT-2024-10719"/>
        <s v="TKT-2024-10720"/>
        <s v="TKT-2024-10721"/>
        <s v="TKT-2024-10722"/>
        <s v="TKT-2024-10723"/>
        <s v="TKT-2024-10724"/>
        <s v="TKT-2024-10725"/>
        <s v="TKT-2024-10726"/>
        <s v="TKT-2024-10727"/>
        <s v="TKT-2024-10728"/>
        <s v="TKT-2024-10729"/>
        <s v="TKT-2024-10730"/>
        <s v="TKT-2024-10731"/>
        <s v="TKT-2024-10732"/>
        <s v="TKT-2024-10733"/>
        <s v="TKT-2024-10734"/>
        <s v="TKT-2024-10735"/>
        <s v="TKT-2024-10736"/>
        <s v="TKT-2024-10737"/>
        <s v="TKT-2024-10738"/>
        <s v="TKT-2024-10739"/>
        <s v="TKT-2024-10740"/>
        <s v="TKT-2024-10741"/>
        <s v="TKT-2024-10742"/>
        <s v="TKT-2024-10743"/>
        <s v="TKT-2024-10744"/>
        <s v="TKT-2024-10745"/>
        <s v="TKT-2024-10746"/>
        <s v="TKT-2024-10747"/>
        <s v="TKT-2024-10748"/>
        <s v="TKT-2024-10749"/>
        <s v="TKT-2024-10750"/>
        <s v="TKT-2024-10751"/>
        <s v="TKT-2024-10752"/>
        <s v="TKT-2024-10753"/>
        <s v="TKT-2024-10754"/>
        <s v="TKT-2024-10755"/>
        <s v="TKT-2024-10756"/>
        <s v="TKT-2024-10757"/>
        <s v="TKT-2024-10758"/>
        <s v="TKT-2024-10759"/>
        <s v="TKT-2024-10760"/>
        <s v="TKT-2024-10761"/>
        <s v="TKT-2024-10762"/>
        <s v="TKT-2024-10763"/>
        <s v="TKT-2024-10764"/>
        <s v="TKT-2024-10765"/>
        <s v="TKT-2024-10766"/>
        <s v="TKT-2024-10767"/>
        <s v="TKT-2024-10768"/>
        <s v="TKT-2024-10769"/>
        <s v="TKT-2024-10770"/>
        <s v="TKT-2024-10771"/>
        <s v="TKT-2024-10772"/>
        <s v="TKT-2024-10773"/>
        <s v="TKT-2024-10774"/>
        <s v="TKT-2024-10775"/>
        <s v="TKT-2024-10776"/>
        <s v="TKT-2024-10777"/>
        <s v="TKT-2024-10778"/>
        <s v="TKT-2024-10779"/>
        <s v="TKT-2024-10780"/>
        <s v="TKT-2024-10781"/>
        <s v="TKT-2024-10782"/>
        <s v="TKT-2024-10783"/>
        <s v="TKT-2024-10784"/>
        <s v="TKT-2024-10785"/>
        <s v="TKT-2024-10786"/>
        <s v="TKT-2024-10787"/>
        <s v="TKT-2024-10788"/>
        <s v="TKT-2024-10789"/>
        <s v="TKT-2024-10790"/>
        <s v="TKT-2024-10791"/>
        <s v="TKT-2024-10792"/>
        <s v="TKT-2024-10793"/>
        <s v="TKT-2024-10794"/>
        <s v="TKT-2024-10795"/>
        <s v="TKT-2024-10796"/>
        <s v="TKT-2024-10797"/>
        <s v="TKT-2024-10798"/>
        <s v="TKT-2024-10799"/>
        <s v="TKT-2024-10800"/>
        <s v="TKT-2024-10801"/>
        <s v="TKT-2024-10802"/>
        <s v="TKT-2024-10803"/>
        <s v="TKT-2024-10804"/>
        <s v="TKT-2024-10805"/>
        <s v="TKT-2024-10806"/>
        <s v="TKT-2024-10807"/>
        <s v="TKT-2024-10808"/>
        <s v="TKT-2024-10809"/>
        <s v="TKT-2024-10810"/>
        <s v="TKT-2024-10811"/>
        <s v="TKT-2024-10812"/>
        <s v="TKT-2024-10813"/>
        <s v="TKT-2024-10814"/>
        <s v="TKT-2024-10815"/>
        <s v="TKT-2024-10816"/>
        <s v="TKT-2024-10817"/>
        <s v="TKT-2024-10818"/>
        <s v="TKT-2024-10819"/>
        <s v="TKT-2024-10820"/>
        <s v="TKT-2024-10821"/>
        <s v="TKT-2024-10822"/>
        <s v="TKT-2024-10823"/>
        <s v="TKT-2024-10824"/>
        <s v="TKT-2024-10825"/>
        <s v="TKT-2024-10826"/>
        <s v="TKT-2024-10827"/>
        <s v="TKT-2024-10828"/>
        <s v="TKT-2024-10829"/>
        <s v="TKT-2024-10830"/>
        <s v="TKT-2024-10831"/>
        <s v="TKT-2024-10832"/>
        <s v="TKT-2024-10833"/>
        <s v="TKT-2024-10834"/>
        <s v="TKT-2024-10835"/>
        <s v="TKT-2024-10836"/>
        <s v="TKT-2024-10837"/>
        <s v="TKT-2024-10838"/>
        <s v="TKT-2024-10839"/>
        <s v="TKT-2024-10840"/>
        <s v="TKT-2024-10841"/>
        <s v="TKT-2024-10842"/>
        <s v="TKT-2024-10843"/>
        <s v="TKT-2024-10844"/>
        <s v="TKT-2024-10845"/>
        <s v="TKT-2024-10846"/>
        <s v="TKT-2024-10847"/>
        <s v="TKT-2024-10848"/>
        <s v="TKT-2024-10849"/>
        <s v="TKT-2024-10850"/>
        <s v="TKT-2024-10851"/>
        <s v="TKT-2024-10852"/>
        <s v="TKT-2024-10853"/>
        <s v="TKT-2024-10854"/>
        <s v="TKT-2024-10855"/>
        <s v="TKT-2024-10856"/>
        <s v="TKT-2024-10857"/>
        <s v="TKT-2024-10858"/>
        <s v="TKT-2024-10859"/>
        <s v="TKT-2024-10860"/>
        <s v="TKT-2024-10861"/>
        <s v="TKT-2024-10862"/>
        <s v="TKT-2024-10863"/>
        <s v="TKT-2024-10864"/>
        <s v="TKT-2024-10865"/>
        <s v="TKT-2024-10866"/>
        <s v="TKT-2024-10867"/>
        <s v="TKT-2024-10868"/>
        <s v="TKT-2024-10869"/>
        <s v="TKT-2024-10870"/>
        <s v="TKT-2024-10871"/>
        <s v="TKT-2024-10872"/>
        <s v="TKT-2024-10873"/>
        <s v="TKT-2024-10874"/>
        <s v="TKT-2024-10875"/>
        <s v="TKT-2024-10876"/>
        <s v="TKT-2024-10877"/>
        <s v="TKT-2024-10878"/>
        <s v="TKT-2024-10879"/>
        <s v="TKT-2024-10880"/>
        <s v="TKT-2024-10881"/>
        <s v="TKT-2024-10882"/>
        <s v="TKT-2024-10883"/>
        <s v="TKT-2024-10884"/>
        <s v="TKT-2024-10885"/>
        <s v="TKT-2024-10886"/>
        <s v="TKT-2024-10887"/>
        <s v="TKT-2024-10888"/>
        <s v="TKT-2024-10889"/>
        <s v="TKT-2024-10890"/>
        <s v="TKT-2024-10891"/>
        <s v="TKT-2024-10892"/>
        <s v="TKT-2024-10893"/>
        <s v="TKT-2024-10894"/>
        <s v="TKT-2024-10895"/>
        <s v="TKT-2024-10896"/>
        <s v="TKT-2024-10897"/>
        <s v="TKT-2024-10898"/>
        <s v="TKT-2024-10899"/>
        <s v="TKT-2024-10900"/>
        <s v="TKT-2024-10901"/>
        <s v="TKT-2024-10902"/>
        <s v="TKT-2024-10903"/>
        <s v="TKT-2024-10904"/>
        <s v="TKT-2024-10905"/>
        <s v="TKT-2024-10906"/>
        <s v="TKT-2024-10907"/>
        <s v="TKT-2024-10908"/>
        <s v="TKT-2024-10909"/>
        <s v="TKT-2024-10910"/>
        <s v="TKT-2024-10911"/>
        <s v="TKT-2024-10912"/>
        <s v="TKT-2024-10913"/>
        <s v="TKT-2024-10914"/>
        <s v="TKT-2024-10915"/>
        <s v="TKT-2024-10916"/>
        <s v="TKT-2024-10917"/>
        <s v="TKT-2024-10918"/>
        <s v="TKT-2024-10919"/>
        <s v="TKT-2024-10920"/>
        <s v="TKT-2024-10921"/>
        <s v="TKT-2024-10922"/>
        <s v="TKT-2024-10923"/>
        <s v="TKT-2024-10924"/>
        <s v="TKT-2024-10925"/>
        <s v="TKT-2024-10926"/>
        <s v="TKT-2024-10927"/>
        <s v="TKT-2024-10928"/>
        <s v="TKT-2024-10929"/>
        <s v="TKT-2024-10930"/>
        <s v="TKT-2024-10931"/>
        <s v="TKT-2024-10932"/>
        <s v="TKT-2024-10933"/>
        <s v="TKT-2024-10934"/>
        <s v="TKT-2024-10935"/>
        <s v="TKT-2024-10936"/>
        <s v="TKT-2024-10937"/>
        <s v="TKT-2024-10938"/>
        <s v="TKT-2024-10939"/>
        <s v="TKT-2024-10940"/>
        <s v="TKT-2024-10941"/>
        <s v="TKT-2024-10942"/>
        <s v="TKT-2024-10943"/>
        <s v="TKT-2024-10944"/>
        <s v="TKT-2024-10945"/>
        <s v="TKT-2024-10946"/>
        <s v="TKT-2024-10947"/>
        <s v="TKT-2024-10948"/>
        <s v="TKT-2024-10949"/>
        <s v="TKT-2024-10950"/>
        <s v="TKT-2024-10951"/>
        <s v="TKT-2024-10952"/>
        <s v="TKT-2024-10953"/>
        <s v="TKT-2024-10954"/>
        <s v="TKT-2024-10955"/>
        <s v="TKT-2024-10956"/>
        <s v="TKT-2024-10957"/>
        <s v="TKT-2024-10958"/>
        <s v="TKT-2024-10959"/>
        <s v="TKT-2024-10960"/>
        <s v="TKT-2024-10961"/>
        <s v="TKT-2024-10962"/>
        <s v="TKT-2024-10963"/>
        <s v="TKT-2024-10964"/>
        <s v="TKT-2024-10965"/>
        <s v="TKT-2024-10966"/>
        <s v="TKT-2024-10967"/>
        <s v="TKT-2024-10968"/>
        <s v="TKT-2024-10969"/>
        <s v="TKT-2024-10970"/>
        <s v="TKT-2024-10971"/>
        <s v="TKT-2024-10972"/>
        <s v="TKT-2024-10973"/>
        <s v="TKT-2024-10974"/>
        <s v="TKT-2024-10975"/>
        <s v="TKT-2024-10976"/>
        <s v="TKT-2024-10977"/>
        <s v="TKT-2024-10978"/>
        <s v="TKT-2024-10979"/>
        <s v="TKT-2024-10980"/>
        <s v="TKT-2024-10981"/>
        <s v="TKT-2024-10982"/>
        <s v="TKT-2024-10983"/>
        <s v="TKT-2024-10984"/>
        <s v="TKT-2024-10985"/>
        <s v="TKT-2024-10986"/>
        <s v="TKT-2024-10987"/>
        <s v="TKT-2024-10988"/>
        <s v="TKT-2024-10989"/>
        <s v="TKT-2024-10990"/>
        <s v="TKT-2024-10991"/>
        <s v="TKT-2024-10992"/>
        <s v="TKT-2024-10993"/>
        <s v="TKT-2024-10994"/>
        <s v="TKT-2024-10995"/>
        <s v="TKT-2024-10996"/>
        <s v="TKT-2024-10997"/>
        <s v="TKT-2024-10998"/>
        <s v="TKT-2024-10999"/>
        <s v="TKT-2024-11000"/>
        <s v="TKT-2024-11001"/>
        <s v="TKT-2024-11002"/>
        <s v="TKT-2024-11003"/>
        <s v="TKT-2024-11004"/>
        <s v="TKT-2024-11005"/>
        <s v="TKT-2024-11006"/>
        <s v="TKT-2024-11007"/>
        <s v="TKT-2024-11008"/>
        <s v="TKT-2024-11009"/>
        <s v="TKT-2024-11010"/>
        <s v="TKT-2024-11011"/>
        <s v="TKT-2024-11012"/>
        <s v="TKT-2024-11013"/>
        <s v="TKT-2024-11014"/>
        <s v="TKT-2024-11015"/>
        <s v="TKT-2024-11016"/>
        <s v="TKT-2024-11017"/>
        <s v="TKT-2024-11018"/>
        <s v="TKT-2024-11019"/>
        <s v="TKT-2024-11020"/>
        <s v="TKT-2024-11021"/>
        <s v="TKT-2024-11022"/>
        <s v="TKT-2024-11023"/>
        <s v="TKT-2024-11024"/>
        <s v="TKT-2024-11025"/>
        <s v="TKT-2024-11026"/>
        <s v="TKT-2024-11027"/>
        <s v="TKT-2024-11028"/>
        <s v="TKT-2024-11029"/>
        <s v="TKT-2024-11030"/>
        <s v="TKT-2024-11031"/>
        <s v="TKT-2024-11032"/>
        <s v="TKT-2024-11033"/>
        <s v="TKT-2024-11034"/>
        <s v="TKT-2024-11035"/>
        <s v="TKT-2024-11036"/>
        <s v="TKT-2024-11037"/>
        <s v="TKT-2024-11038"/>
        <s v="TKT-2024-11039"/>
        <s v="TKT-2024-11040"/>
        <s v="TKT-2024-11041"/>
        <s v="TKT-2024-11042"/>
        <s v="TKT-2024-11043"/>
        <s v="TKT-2024-11044"/>
        <s v="TKT-2024-11045"/>
        <s v="TKT-2024-11046"/>
        <s v="TKT-2024-11047"/>
        <s v="TKT-2024-11048"/>
        <s v="TKT-2024-11049"/>
        <s v="TKT-2024-11050"/>
        <s v="TKT-2024-11051"/>
        <s v="TKT-2024-11052"/>
        <s v="TKT-2024-11053"/>
        <s v="TKT-2024-11054"/>
        <s v="TKT-2024-11055"/>
        <s v="TKT-2024-11056"/>
        <s v="TKT-2024-11057"/>
        <s v="TKT-2024-11058"/>
        <s v="TKT-2024-11059"/>
        <s v="TKT-2024-11060"/>
        <s v="TKT-2024-11061"/>
        <s v="TKT-2024-11062"/>
        <s v="TKT-2024-11063"/>
        <s v="TKT-2024-11064"/>
        <s v="TKT-2024-11065"/>
        <s v="TKT-2024-11066"/>
        <s v="TKT-2024-11067"/>
        <s v="TKT-2024-11068"/>
        <s v="TKT-2024-11069"/>
        <s v="TKT-2024-11070"/>
        <s v="TKT-2024-11071"/>
        <s v="TKT-2024-11072"/>
        <s v="TKT-2024-11073"/>
        <s v="TKT-2024-11074"/>
        <s v="TKT-2024-11075"/>
        <s v="TKT-2024-11076"/>
        <s v="TKT-2024-11077"/>
        <s v="TKT-2024-11078"/>
        <s v="TKT-2024-11079"/>
        <s v="TKT-2024-11080"/>
        <s v="TKT-2024-11081"/>
        <s v="TKT-2024-11082"/>
        <s v="TKT-2024-11083"/>
        <s v="TKT-2024-11084"/>
        <s v="TKT-2024-11085"/>
        <s v="TKT-2024-11086"/>
        <s v="TKT-2024-11087"/>
        <s v="TKT-2024-11088"/>
        <s v="TKT-2024-11089"/>
        <s v="TKT-2024-11090"/>
        <s v="TKT-2024-11091"/>
        <s v="TKT-2024-11092"/>
        <s v="TKT-2024-11093"/>
        <s v="TKT-2024-11094"/>
        <s v="TKT-2024-11095"/>
        <s v="TKT-2024-11096"/>
        <s v="TKT-2024-11097"/>
        <s v="TKT-2024-11098"/>
        <s v="TKT-2024-11099"/>
        <s v="TKT-2024-11100"/>
        <s v="TKT-2024-11101"/>
        <s v="TKT-2024-11102"/>
        <s v="TKT-2024-11103"/>
        <s v="TKT-2024-11104"/>
        <s v="TKT-2024-11105"/>
        <s v="TKT-2024-11106"/>
        <s v="TKT-2024-11107"/>
        <s v="TKT-2024-11108"/>
        <s v="TKT-2024-11109"/>
        <s v="TKT-2024-11110"/>
        <s v="TKT-2024-11111"/>
        <s v="TKT-2024-11112"/>
        <s v="TKT-2024-11113"/>
        <s v="TKT-2024-11114"/>
        <s v="TKT-2024-11115"/>
        <s v="TKT-2024-11116"/>
        <s v="TKT-2024-11117"/>
        <s v="TKT-2024-11118"/>
        <s v="TKT-2024-11119"/>
        <s v="TKT-2024-11120"/>
        <s v="TKT-2024-11121"/>
        <s v="TKT-2024-11122"/>
        <s v="TKT-2024-11123"/>
        <s v="TKT-2024-11124"/>
        <s v="TKT-2024-11125"/>
        <s v="TKT-2024-11126"/>
        <s v="TKT-2024-11127"/>
        <s v="TKT-2024-11128"/>
        <s v="TKT-2024-11129"/>
        <s v="TKT-2024-11130"/>
        <s v="TKT-2024-11131"/>
        <s v="TKT-2024-11132"/>
        <s v="TKT-2024-11133"/>
        <s v="TKT-2024-11134"/>
        <s v="TKT-2024-11135"/>
        <s v="TKT-2024-11136"/>
        <s v="TKT-2024-11137"/>
        <s v="TKT-2024-11138"/>
        <s v="TKT-2024-11139"/>
        <s v="TKT-2024-11140"/>
        <s v="TKT-2024-11141"/>
        <s v="TKT-2024-11142"/>
        <s v="TKT-2024-11143"/>
        <s v="TKT-2024-11144"/>
        <s v="TKT-2024-11145"/>
        <s v="TKT-2024-11146"/>
        <s v="TKT-2024-11147"/>
        <s v="TKT-2024-11148"/>
        <s v="TKT-2024-11149"/>
        <s v="TKT-2024-11150"/>
        <s v="TKT-2024-11151"/>
        <s v="TKT-2024-11152"/>
        <s v="TKT-2024-11153"/>
        <s v="TKT-2024-11154"/>
        <s v="TKT-2024-11155"/>
        <s v="TKT-2024-11156"/>
        <s v="TKT-2024-11157"/>
        <s v="TKT-2024-11158"/>
        <s v="TKT-2024-11159"/>
        <s v="TKT-2024-11160"/>
        <s v="TKT-2024-11161"/>
        <s v="TKT-2024-11162"/>
        <s v="TKT-2024-11163"/>
        <s v="TKT-2024-11164"/>
        <s v="TKT-2024-11165"/>
        <s v="TKT-2024-11166"/>
        <s v="TKT-2024-11167"/>
        <s v="TKT-2024-11168"/>
        <s v="TKT-2024-11169"/>
        <s v="TKT-2024-11170"/>
        <s v="TKT-2024-11171"/>
        <s v="TKT-2024-11172"/>
        <s v="TKT-2024-11173"/>
        <s v="TKT-2024-11174"/>
        <s v="TKT-2024-11175"/>
        <s v="TKT-2024-11176"/>
        <s v="TKT-2024-11177"/>
        <s v="TKT-2024-11178"/>
        <s v="TKT-2024-11179"/>
        <s v="TKT-2024-11180"/>
        <s v="TKT-2024-11181"/>
        <s v="TKT-2024-11182"/>
        <s v="TKT-2024-11183"/>
        <s v="TKT-2024-11184"/>
        <s v="TKT-2024-11185"/>
        <s v="TKT-2024-11186"/>
        <s v="TKT-2024-11187"/>
        <s v="TKT-2024-11188"/>
        <s v="TKT-2024-11189"/>
        <s v="TKT-2024-11190"/>
        <s v="TKT-2024-11191"/>
        <s v="TKT-2024-11192"/>
        <s v="TKT-2024-11193"/>
        <s v="TKT-2024-11194"/>
        <s v="TKT-2024-11195"/>
        <s v="TKT-2024-11196"/>
        <s v="TKT-2024-11197"/>
        <s v="TKT-2024-11198"/>
        <s v="TKT-2024-11199"/>
        <s v="TKT-2024-11200"/>
        <s v="TKT-2024-11201"/>
        <s v="TKT-2024-11202"/>
        <s v="TKT-2024-11203"/>
        <s v="TKT-2024-11204"/>
        <s v="TKT-2024-11205"/>
        <s v="TKT-2024-11206"/>
        <s v="TKT-2024-11207"/>
        <s v="TKT-2024-11208"/>
        <s v="TKT-2024-11209"/>
        <s v="TKT-2024-11210"/>
        <s v="TKT-2024-11211"/>
        <s v="TKT-2024-11212"/>
        <s v="TKT-2024-11213"/>
        <s v="TKT-2024-11214"/>
        <s v="TKT-2024-11215"/>
        <s v="TKT-2024-11216"/>
        <s v="TKT-2024-11217"/>
        <s v="TKT-2024-11218"/>
        <s v="TKT-2024-11219"/>
        <s v="TKT-2024-11220"/>
        <s v="TKT-2024-11221"/>
        <s v="TKT-2024-11222"/>
        <s v="TKT-2024-11223"/>
        <s v="TKT-2024-11224"/>
        <s v="TKT-2024-11225"/>
        <s v="TKT-2024-11226"/>
        <s v="TKT-2024-11227"/>
        <s v="TKT-2024-11228"/>
        <s v="TKT-2024-11229"/>
        <s v="TKT-2024-11230"/>
        <s v="TKT-2024-11231"/>
        <s v="TKT-2024-11232"/>
        <s v="TKT-2024-11233"/>
        <s v="TKT-2024-11234"/>
        <s v="TKT-2024-11235"/>
        <s v="TKT-2024-11236"/>
        <s v="TKT-2024-11237"/>
        <s v="TKT-2024-11238"/>
        <s v="TKT-2024-11239"/>
        <s v="TKT-2024-11240"/>
        <s v="TKT-2024-11241"/>
        <s v="TKT-2024-11242"/>
        <s v="TKT-2024-11243"/>
        <s v="TKT-2024-11244"/>
        <s v="TKT-2024-11245"/>
        <s v="TKT-2024-11246"/>
        <s v="TKT-2024-11247"/>
        <s v="TKT-2024-11248"/>
        <s v="TKT-2024-11249"/>
        <s v="TKT-2024-11250"/>
        <s v="TKT-2024-11251"/>
        <s v="TKT-2024-11252"/>
        <s v="TKT-2024-11253"/>
        <s v="TKT-2024-11254"/>
        <s v="TKT-2024-11255"/>
        <s v="TKT-2024-11256"/>
        <s v="TKT-2024-11257"/>
        <s v="TKT-2024-11258"/>
        <s v="TKT-2024-11259"/>
        <s v="TKT-2024-11260"/>
        <s v="TKT-2024-11261"/>
        <s v="TKT-2024-11262"/>
        <s v="TKT-2024-11263"/>
        <s v="TKT-2024-11264"/>
        <s v="TKT-2024-11265"/>
        <s v="TKT-2024-11266"/>
        <s v="TKT-2024-11267"/>
        <s v="TKT-2024-11268"/>
        <s v="TKT-2024-11269"/>
        <s v="TKT-2024-11270"/>
        <s v="TKT-2024-11271"/>
        <s v="TKT-2024-11272"/>
        <s v="TKT-2024-11273"/>
        <s v="TKT-2024-11274"/>
        <s v="TKT-2024-11275"/>
        <s v="TKT-2024-11276"/>
        <s v="TKT-2024-11277"/>
        <s v="TKT-2024-11278"/>
        <s v="TKT-2024-11279"/>
        <s v="TKT-2024-11280"/>
        <s v="TKT-2024-11281"/>
        <s v="TKT-2024-11282"/>
        <s v="TKT-2024-11283"/>
        <s v="TKT-2024-11284"/>
        <s v="TKT-2024-11285"/>
        <s v="TKT-2024-11286"/>
        <s v="TKT-2024-11287"/>
        <s v="TKT-2024-11288"/>
        <s v="TKT-2024-11289"/>
        <s v="TKT-2024-11290"/>
        <s v="TKT-2024-11291"/>
        <s v="TKT-2024-11292"/>
        <s v="TKT-2024-11293"/>
        <s v="TKT-2024-11294"/>
        <s v="TKT-2024-11295"/>
        <s v="TKT-2024-11296"/>
        <s v="TKT-2024-11297"/>
        <s v="TKT-2024-11298"/>
        <s v="TKT-2024-11299"/>
        <s v="TKT-2024-11300"/>
        <s v="TKT-2024-11301"/>
        <s v="TKT-2024-11302"/>
        <s v="TKT-2024-11303"/>
        <s v="TKT-2024-11304"/>
        <s v="TKT-2024-11305"/>
        <s v="TKT-2024-11306"/>
        <s v="TKT-2024-11307"/>
        <s v="TKT-2024-11308"/>
        <s v="TKT-2024-11309"/>
        <s v="TKT-2024-11310"/>
        <s v="TKT-2024-11311"/>
        <s v="TKT-2024-11312"/>
        <s v="TKT-2024-11313"/>
        <s v="TKT-2024-11314"/>
        <s v="TKT-2024-11315"/>
        <s v="TKT-2024-11316"/>
        <s v="TKT-2024-11317"/>
        <s v="TKT-2024-11318"/>
        <s v="TKT-2024-11319"/>
        <s v="TKT-2024-11320"/>
        <s v="TKT-2024-11321"/>
        <s v="TKT-2024-11322"/>
        <s v="TKT-2024-11323"/>
        <s v="TKT-2024-11324"/>
        <s v="TKT-2024-11325"/>
        <s v="TKT-2024-11326"/>
        <s v="TKT-2024-11327"/>
        <s v="TKT-2024-11328"/>
        <s v="TKT-2024-11329"/>
        <s v="TKT-2024-11330"/>
        <s v="TKT-2024-11331"/>
        <s v="TKT-2024-11332"/>
        <s v="TKT-2024-11333"/>
        <s v="TKT-2024-11334"/>
        <s v="TKT-2024-11335"/>
        <s v="TKT-2024-11336"/>
        <s v="TKT-2024-11337"/>
        <s v="TKT-2024-11338"/>
        <s v="TKT-2024-11339"/>
        <s v="TKT-2024-11340"/>
        <s v="TKT-2024-11341"/>
        <s v="TKT-2024-11342"/>
        <s v="TKT-2024-11343"/>
        <s v="TKT-2024-11344"/>
        <s v="TKT-2024-11345"/>
        <s v="TKT-2024-11346"/>
        <s v="TKT-2024-11347"/>
        <s v="TKT-2024-11348"/>
        <s v="TKT-2024-11349"/>
        <s v="TKT-2024-11350"/>
        <s v="TKT-2024-11351"/>
        <s v="TKT-2024-11352"/>
        <s v="TKT-2024-11353"/>
        <s v="TKT-2024-11354"/>
        <s v="TKT-2024-11355"/>
        <s v="TKT-2024-11356"/>
        <s v="TKT-2024-11357"/>
        <s v="TKT-2024-11358"/>
        <s v="TKT-2024-11359"/>
        <s v="TKT-2024-11360"/>
        <s v="TKT-2024-11361"/>
        <s v="TKT-2024-11362"/>
        <s v="TKT-2024-11363"/>
        <s v="TKT-2024-11364"/>
        <s v="TKT-2024-11365"/>
        <s v="TKT-2024-11366"/>
        <s v="TKT-2024-11367"/>
        <s v="TKT-2024-11368"/>
        <s v="TKT-2024-11369"/>
        <s v="TKT-2024-11370"/>
        <s v="TKT-2024-11371"/>
        <s v="TKT-2024-11372"/>
        <s v="TKT-2024-11373"/>
        <s v="TKT-2024-11374"/>
        <s v="TKT-2024-11375"/>
        <s v="TKT-2024-11376"/>
        <s v="TKT-2024-11377"/>
        <s v="TKT-2024-11378"/>
        <s v="TKT-2024-11379"/>
        <s v="TKT-2024-11380"/>
        <s v="TKT-2024-11381"/>
        <s v="TKT-2024-11382"/>
        <s v="TKT-2024-11383"/>
        <s v="TKT-2024-11384"/>
        <s v="TKT-2024-11385"/>
        <s v="TKT-2024-11386"/>
        <s v="TKT-2024-11387"/>
        <s v="TKT-2024-11388"/>
        <s v="TKT-2024-11389"/>
        <s v="TKT-2024-11390"/>
        <s v="TKT-2024-11391"/>
        <s v="TKT-2024-11392"/>
        <s v="TKT-2024-11393"/>
        <s v="TKT-2024-11394"/>
        <s v="TKT-2024-11395"/>
        <s v="TKT-2024-11396"/>
        <s v="TKT-2024-11397"/>
        <s v="TKT-2024-11398"/>
        <s v="TKT-2024-11399"/>
        <s v="TKT-2024-11400"/>
        <s v="TKT-2024-11401"/>
        <s v="TKT-2024-11402"/>
        <s v="TKT-2024-11403"/>
        <s v="TKT-2024-11404"/>
        <s v="TKT-2024-11405"/>
        <s v="TKT-2024-11406"/>
        <s v="TKT-2024-11407"/>
        <s v="TKT-2024-11408"/>
        <s v="TKT-2024-11409"/>
        <s v="TKT-2024-11410"/>
        <s v="TKT-2024-11411"/>
        <s v="TKT-2024-11412"/>
        <s v="TKT-2024-11413"/>
        <s v="TKT-2024-11414"/>
        <s v="TKT-2024-11415"/>
        <s v="TKT-2024-11416"/>
        <s v="TKT-2024-11417"/>
        <s v="TKT-2024-11418"/>
        <s v="TKT-2024-11419"/>
        <s v="TKT-2024-11420"/>
        <s v="TKT-2024-11421"/>
        <s v="TKT-2024-11422"/>
        <s v="TKT-2024-11423"/>
        <s v="TKT-2024-11424"/>
        <s v="TKT-2024-11425"/>
        <s v="TKT-2024-11426"/>
        <s v="TKT-2024-11427"/>
        <s v="TKT-2024-11428"/>
        <s v="TKT-2024-11429"/>
        <s v="TKT-2024-11430"/>
        <s v="TKT-2024-11431"/>
        <s v="TKT-2024-11432"/>
        <s v="TKT-2024-11433"/>
        <s v="TKT-2024-11434"/>
        <s v="TKT-2024-11435"/>
        <s v="TKT-2024-11436"/>
        <s v="TKT-2024-11437"/>
        <s v="TKT-2024-11438"/>
        <s v="TKT-2024-11439"/>
        <s v="TKT-2024-11440"/>
        <s v="TKT-2024-11441"/>
        <s v="TKT-2024-11442"/>
        <s v="TKT-2024-11443"/>
        <s v="TKT-2024-11444"/>
        <s v="TKT-2024-11445"/>
        <s v="TKT-2024-11446"/>
        <s v="TKT-2024-11447"/>
        <s v="TKT-2024-11448"/>
        <s v="TKT-2024-11449"/>
        <s v="TKT-2024-11450"/>
        <s v="TKT-2024-11451"/>
        <s v="TKT-2024-11452"/>
        <s v="TKT-2024-11453"/>
        <s v="TKT-2024-11454"/>
        <s v="TKT-2024-11455"/>
        <s v="TKT-2024-11456"/>
        <s v="TKT-2024-11457"/>
        <s v="TKT-2024-11458"/>
        <s v="TKT-2024-11459"/>
        <s v="TKT-2024-11460"/>
        <s v="TKT-2024-11461"/>
        <s v="TKT-2024-11462"/>
        <s v="TKT-2024-11463"/>
        <s v="TKT-2024-11464"/>
        <s v="TKT-2024-11465"/>
        <s v="TKT-2024-11466"/>
        <s v="TKT-2024-11467"/>
        <s v="TKT-2024-11468"/>
        <s v="TKT-2024-11469"/>
        <s v="TKT-2024-11470"/>
        <s v="TKT-2024-11471"/>
        <s v="TKT-2024-11472"/>
        <s v="TKT-2024-11473"/>
        <s v="TKT-2024-11474"/>
        <s v="TKT-2024-11475"/>
        <s v="TKT-2024-11476"/>
        <s v="TKT-2024-11477"/>
        <s v="TKT-2024-11478"/>
        <s v="TKT-2024-11479"/>
        <s v="TKT-2024-11480"/>
        <s v="TKT-2024-11481"/>
        <s v="TKT-2024-11482"/>
        <s v="TKT-2024-11483"/>
        <s v="TKT-2024-11484"/>
        <s v="TKT-2024-11485"/>
        <s v="TKT-2024-11486"/>
        <s v="TKT-2024-11487"/>
        <s v="TKT-2024-11488"/>
        <s v="TKT-2024-11489"/>
        <s v="TKT-2024-11490"/>
        <s v="TKT-2024-11491"/>
        <s v="TKT-2024-11492"/>
        <s v="TKT-2024-11493"/>
        <s v="TKT-2024-11494"/>
        <s v="TKT-2024-11495"/>
        <s v="TKT-2024-11496"/>
        <s v="TKT-2024-11497"/>
        <s v="TKT-2024-11498"/>
        <s v="TKT-2024-11499"/>
        <s v="TKT-2024-11500"/>
        <s v="TKT-2024-11501"/>
        <s v="TKT-2024-11502"/>
        <s v="TKT-2024-11503"/>
        <s v="TKT-2024-11504"/>
        <s v="TKT-2024-11505"/>
        <s v="TKT-2024-11506"/>
        <s v="TKT-2024-11507"/>
        <s v="TKT-2024-11508"/>
        <s v="TKT-2024-11509"/>
        <s v="TKT-2024-11510"/>
        <s v="TKT-2024-11511"/>
        <s v="TKT-2024-11512"/>
        <s v="TKT-2024-11513"/>
        <s v="TKT-2024-11514"/>
        <s v="TKT-2024-11515"/>
        <s v="TKT-2024-11516"/>
        <s v="TKT-2024-11517"/>
        <s v="TKT-2024-11518"/>
        <s v="TKT-2024-11519"/>
        <s v="TKT-2024-11520"/>
        <s v="TKT-2024-11521"/>
        <s v="TKT-2024-11522"/>
        <s v="TKT-2024-11523"/>
        <s v="TKT-2024-11524"/>
        <s v="TKT-2024-11525"/>
        <s v="TKT-2024-11526"/>
        <s v="TKT-2024-11527"/>
        <s v="TKT-2024-11528"/>
        <s v="TKT-2024-11529"/>
        <s v="TKT-2024-11530"/>
        <s v="TKT-2024-11531"/>
        <s v="TKT-2024-11532"/>
        <s v="TKT-2024-11533"/>
        <s v="TKT-2024-11534"/>
        <s v="TKT-2024-11535"/>
        <s v="TKT-2024-11536"/>
        <s v="TKT-2024-11537"/>
        <s v="TKT-2024-11538"/>
        <s v="TKT-2024-11539"/>
        <s v="TKT-2024-11540"/>
        <s v="TKT-2024-11541"/>
        <s v="TKT-2024-11542"/>
        <s v="TKT-2024-11543"/>
        <s v="TKT-2024-11544"/>
        <s v="TKT-2024-11545"/>
        <s v="TKT-2024-11546"/>
        <s v="TKT-2024-11547"/>
        <s v="TKT-2024-11548"/>
        <s v="TKT-2024-11549"/>
        <s v="TKT-2024-11550"/>
        <s v="TKT-2024-11551"/>
        <s v="TKT-2024-11552"/>
        <s v="TKT-2024-11553"/>
        <s v="TKT-2024-11554"/>
        <s v="TKT-2024-11555"/>
        <s v="TKT-2024-11556"/>
        <s v="TKT-2024-11557"/>
        <s v="TKT-2024-11558"/>
        <s v="TKT-2024-11559"/>
        <s v="TKT-2024-11560"/>
        <s v="TKT-2024-11561"/>
        <s v="TKT-2024-11562"/>
        <s v="TKT-2024-11563"/>
        <s v="TKT-2024-11564"/>
        <s v="TKT-2024-11565"/>
        <s v="TKT-2024-11566"/>
        <s v="TKT-2024-11567"/>
        <s v="TKT-2024-11568"/>
        <s v="TKT-2024-11569"/>
        <s v="TKT-2024-11570"/>
        <s v="TKT-2024-11571"/>
        <s v="TKT-2024-11572"/>
        <s v="TKT-2024-11573"/>
        <s v="TKT-2024-11574"/>
        <s v="TKT-2024-11575"/>
        <s v="TKT-2024-11576"/>
        <s v="TKT-2024-11577"/>
        <s v="TKT-2024-11578"/>
        <s v="TKT-2024-11579"/>
        <s v="TKT-2024-11580"/>
        <s v="TKT-2024-11581"/>
        <s v="TKT-2024-11582"/>
        <s v="TKT-2024-11583"/>
        <s v="TKT-2024-11584"/>
        <s v="TKT-2024-11585"/>
        <s v="TKT-2024-11586"/>
        <s v="TKT-2024-11587"/>
        <s v="TKT-2024-11588"/>
        <s v="TKT-2024-11589"/>
        <s v="TKT-2024-11590"/>
        <s v="TKT-2024-11591"/>
        <s v="TKT-2024-11592"/>
        <s v="TKT-2024-11593"/>
        <s v="TKT-2024-11594"/>
        <s v="TKT-2024-11595"/>
        <s v="TKT-2024-11596"/>
        <s v="TKT-2024-11597"/>
        <s v="TKT-2024-11598"/>
        <s v="TKT-2024-11599"/>
        <s v="TKT-2024-11600"/>
        <s v="TKT-2024-11601"/>
        <s v="TKT-2024-11602"/>
        <s v="TKT-2024-11603"/>
        <s v="TKT-2024-11604"/>
        <s v="TKT-2024-11605"/>
        <s v="TKT-2024-11606"/>
        <s v="TKT-2024-11607"/>
        <s v="TKT-2024-11608"/>
        <s v="TKT-2024-11609"/>
        <s v="TKT-2024-11610"/>
        <s v="TKT-2024-11611"/>
        <s v="TKT-2024-11612"/>
        <s v="TKT-2024-11613"/>
        <s v="TKT-2024-11614"/>
        <s v="TKT-2024-11615"/>
        <s v="TKT-2024-11616"/>
        <s v="TKT-2024-11617"/>
        <s v="TKT-2024-11618"/>
        <s v="TKT-2024-11619"/>
        <s v="TKT-2024-11620"/>
        <s v="TKT-2024-11621"/>
        <s v="TKT-2024-11622"/>
        <s v="TKT-2024-11623"/>
        <s v="TKT-2024-11624"/>
        <s v="TKT-2024-11625"/>
        <s v="TKT-2024-11626"/>
        <s v="TKT-2024-11627"/>
        <s v="TKT-2024-11628"/>
        <s v="TKT-2024-11629"/>
        <s v="TKT-2024-11630"/>
        <s v="TKT-2024-11631"/>
        <s v="TKT-2024-11632"/>
        <s v="TKT-2024-11633"/>
        <s v="TKT-2024-11634"/>
        <s v="TKT-2024-11635"/>
        <s v="TKT-2024-11636"/>
        <s v="TKT-2024-11637"/>
        <s v="TKT-2024-11638"/>
        <s v="TKT-2024-11639"/>
        <s v="TKT-2024-11640"/>
        <s v="TKT-2024-11641"/>
        <s v="TKT-2024-11642"/>
        <s v="TKT-2024-11643"/>
        <s v="TKT-2024-11644"/>
        <s v="TKT-2024-11645"/>
        <s v="TKT-2024-11646"/>
        <s v="TKT-2024-11647"/>
        <s v="TKT-2024-11648"/>
        <s v="TKT-2024-11649"/>
        <s v="TKT-2024-11650"/>
        <s v="TKT-2024-11651"/>
        <s v="TKT-2024-11652"/>
        <s v="TKT-2024-11653"/>
        <s v="TKT-2024-11654"/>
        <s v="TKT-2024-11655"/>
        <s v="TKT-2024-11656"/>
        <s v="TKT-2024-11657"/>
        <s v="TKT-2024-11658"/>
        <s v="TKT-2024-11659"/>
        <s v="TKT-2024-11660"/>
        <s v="TKT-2024-11661"/>
        <s v="TKT-2024-11662"/>
        <s v="TKT-2024-11663"/>
        <s v="TKT-2024-11664"/>
        <s v="TKT-2024-11665"/>
        <s v="TKT-2024-11666"/>
        <s v="TKT-2024-11667"/>
        <s v="TKT-2024-11668"/>
        <s v="TKT-2024-11669"/>
        <s v="TKT-2024-11670"/>
        <s v="TKT-2024-11671"/>
        <s v="TKT-2024-11672"/>
        <s v="TKT-2024-11673"/>
        <s v="TKT-2024-11674"/>
        <s v="TKT-2024-11675"/>
        <s v="TKT-2024-11676"/>
        <s v="TKT-2024-11677"/>
        <s v="TKT-2024-11678"/>
        <s v="TKT-2024-11679"/>
        <s v="TKT-2024-11680"/>
        <s v="TKT-2024-11681"/>
        <s v="TKT-2024-11682"/>
        <s v="TKT-2024-11683"/>
        <s v="TKT-2024-11684"/>
        <s v="TKT-2024-11685"/>
        <s v="TKT-2024-11686"/>
        <s v="TKT-2024-11687"/>
        <s v="TKT-2024-11688"/>
        <s v="TKT-2024-11689"/>
        <s v="TKT-2024-11690"/>
        <s v="TKT-2024-11691"/>
        <s v="TKT-2024-11692"/>
        <s v="TKT-2024-11693"/>
        <s v="TKT-2024-11694"/>
        <s v="TKT-2024-11695"/>
        <s v="TKT-2024-11696"/>
        <s v="TKT-2024-11697"/>
        <s v="TKT-2024-11698"/>
        <s v="TKT-2024-11699"/>
        <s v="TKT-2024-11700"/>
        <s v="TKT-2024-11701"/>
        <s v="TKT-2024-11702"/>
        <s v="TKT-2024-11703"/>
        <s v="TKT-2024-11704"/>
        <s v="TKT-2024-11705"/>
        <s v="TKT-2024-11706"/>
        <s v="TKT-2024-11707"/>
        <s v="TKT-2024-11708"/>
        <s v="TKT-2024-11709"/>
        <s v="TKT-2024-11710"/>
        <s v="TKT-2024-11711"/>
        <s v="TKT-2024-11712"/>
        <s v="TKT-2024-11713"/>
        <s v="TKT-2024-11714"/>
        <s v="TKT-2024-11715"/>
        <s v="TKT-2024-11716"/>
        <s v="TKT-2024-11717"/>
        <s v="TKT-2024-11718"/>
        <s v="TKT-2024-11719"/>
        <s v="TKT-2024-11720"/>
        <s v="TKT-2024-11721"/>
        <s v="TKT-2024-11722"/>
        <s v="TKT-2024-11723"/>
        <s v="TKT-2024-11724"/>
        <s v="TKT-2024-11725"/>
        <s v="TKT-2024-11726"/>
        <s v="TKT-2024-11727"/>
        <s v="TKT-2024-11728"/>
        <s v="TKT-2024-11729"/>
        <s v="TKT-2024-11730"/>
        <s v="TKT-2024-11731"/>
        <s v="TKT-2024-11732"/>
        <s v="TKT-2024-11733"/>
        <s v="TKT-2024-11734"/>
        <s v="TKT-2024-11735"/>
        <s v="TKT-2024-11736"/>
        <s v="TKT-2024-11737"/>
        <s v="TKT-2024-11738"/>
        <s v="TKT-2024-11739"/>
        <s v="TKT-2024-11740"/>
        <s v="TKT-2024-11741"/>
        <s v="TKT-2024-11742"/>
        <s v="TKT-2024-11743"/>
        <s v="TKT-2024-11744"/>
        <s v="TKT-2024-11745"/>
        <s v="TKT-2024-11746"/>
        <s v="TKT-2024-11747"/>
        <s v="TKT-2024-11748"/>
        <s v="TKT-2024-11749"/>
        <s v="TKT-2024-11750"/>
        <s v="TKT-2024-11751"/>
        <s v="TKT-2024-11752"/>
        <s v="TKT-2024-11753"/>
        <s v="TKT-2024-11754"/>
        <s v="TKT-2024-11755"/>
        <s v="TKT-2024-11756"/>
        <s v="TKT-2024-11757"/>
        <s v="TKT-2024-11758"/>
        <s v="TKT-2024-11759"/>
        <s v="TKT-2024-11760"/>
        <s v="TKT-2024-11761"/>
        <s v="TKT-2024-11762"/>
        <s v="TKT-2024-11763"/>
        <s v="TKT-2024-11764"/>
        <s v="TKT-2024-11765"/>
        <s v="TKT-2024-11766"/>
        <s v="TKT-2024-11767"/>
        <s v="TKT-2024-11768"/>
        <s v="TKT-2024-11769"/>
        <s v="TKT-2024-11770"/>
        <s v="TKT-2024-11771"/>
        <s v="TKT-2024-11772"/>
        <s v="TKT-2024-11773"/>
        <s v="TKT-2024-11774"/>
        <s v="TKT-2024-11775"/>
        <s v="TKT-2024-11776"/>
        <s v="TKT-2024-11777"/>
        <s v="TKT-2024-11778"/>
        <s v="TKT-2024-11779"/>
        <s v="TKT-2024-11780"/>
        <s v="TKT-2024-11781"/>
        <s v="TKT-2024-11782"/>
        <s v="TKT-2024-11783"/>
        <s v="TKT-2024-11784"/>
        <s v="TKT-2024-11785"/>
        <s v="TKT-2024-11786"/>
        <s v="TKT-2024-11787"/>
        <s v="TKT-2024-11788"/>
        <s v="TKT-2024-11789"/>
        <s v="TKT-2024-11790"/>
        <s v="TKT-2024-11791"/>
        <s v="TKT-2024-11792"/>
        <s v="TKT-2024-11793"/>
        <s v="TKT-2024-11794"/>
        <s v="TKT-2024-11795"/>
        <s v="TKT-2024-11796"/>
        <s v="TKT-2024-11797"/>
        <s v="TKT-2024-11798"/>
        <s v="TKT-2024-11799"/>
        <s v="TKT-2024-11800"/>
        <s v="TKT-2024-11801"/>
        <s v="TKT-2024-11802"/>
        <s v="TKT-2024-11803"/>
        <s v="TKT-2024-11804"/>
        <s v="TKT-2024-11805"/>
        <s v="TKT-2024-11806"/>
        <s v="TKT-2024-11807"/>
        <s v="TKT-2024-11808"/>
        <s v="TKT-2024-11809"/>
        <s v="TKT-2024-11810"/>
        <s v="TKT-2024-11811"/>
        <s v="TKT-2024-11812"/>
        <s v="TKT-2024-11813"/>
        <s v="TKT-2024-11814"/>
        <s v="TKT-2024-11815"/>
        <s v="TKT-2024-11816"/>
        <s v="TKT-2024-11817"/>
        <s v="TKT-2024-11818"/>
        <s v="TKT-2024-11819"/>
        <s v="TKT-2024-11820"/>
        <s v="TKT-2024-11821"/>
        <s v="TKT-2024-11822"/>
        <s v="TKT-2024-11823"/>
        <s v="TKT-2024-11824"/>
        <s v="TKT-2024-11825"/>
        <s v="TKT-2024-11826"/>
        <s v="TKT-2024-11827"/>
        <s v="TKT-2024-11828"/>
        <s v="TKT-2024-11829"/>
        <s v="TKT-2024-11830"/>
        <s v="TKT-2024-11831"/>
        <s v="TKT-2024-11832"/>
        <s v="TKT-2024-11833"/>
        <s v="TKT-2024-11834"/>
        <s v="TKT-2024-11835"/>
        <s v="TKT-2024-11836"/>
        <s v="TKT-2024-11837"/>
        <s v="TKT-2024-11838"/>
        <s v="TKT-2024-11839"/>
        <s v="TKT-2024-11840"/>
        <s v="TKT-2024-11841"/>
        <s v="TKT-2024-11842"/>
        <s v="TKT-2024-11843"/>
        <s v="TKT-2024-11844"/>
        <s v="TKT-2024-11845"/>
        <s v="TKT-2024-11846"/>
        <s v="TKT-2024-11847"/>
        <s v="TKT-2024-11848"/>
        <s v="TKT-2024-11849"/>
        <s v="TKT-2024-11850"/>
        <s v="TKT-2024-11851"/>
        <s v="TKT-2024-11852"/>
        <s v="TKT-2024-11853"/>
        <s v="TKT-2024-11854"/>
        <s v="TKT-2024-11855"/>
        <s v="TKT-2024-11856"/>
        <s v="TKT-2024-11857"/>
        <s v="TKT-2024-11858"/>
        <s v="TKT-2024-11859"/>
        <s v="TKT-2024-11860"/>
        <s v="TKT-2024-11861"/>
        <s v="TKT-2024-11862"/>
        <s v="TKT-2024-11863"/>
        <s v="TKT-2024-11864"/>
        <s v="TKT-2024-11865"/>
        <s v="TKT-2024-11866"/>
        <s v="TKT-2024-11867"/>
        <s v="TKT-2024-11868"/>
        <s v="TKT-2024-11869"/>
        <s v="TKT-2024-11870"/>
        <s v="TKT-2024-11871"/>
        <s v="TKT-2024-11872"/>
        <s v="TKT-2024-11873"/>
        <s v="TKT-2024-11874"/>
        <s v="TKT-2024-11875"/>
        <s v="TKT-2024-11876"/>
        <s v="TKT-2024-11877"/>
        <s v="TKT-2024-11878"/>
        <s v="TKT-2024-11879"/>
        <s v="TKT-2024-11880"/>
        <s v="TKT-2024-11881"/>
        <s v="TKT-2024-11882"/>
        <s v="TKT-2024-11883"/>
        <s v="TKT-2024-11884"/>
        <s v="TKT-2024-11885"/>
        <s v="TKT-2024-11886"/>
        <s v="TKT-2024-11887"/>
        <s v="TKT-2024-11888"/>
        <s v="TKT-2024-11889"/>
        <s v="TKT-2024-11890"/>
        <s v="TKT-2024-11891"/>
        <s v="TKT-2024-11892"/>
        <s v="TKT-2024-11893"/>
        <s v="TKT-2024-11894"/>
        <s v="TKT-2024-11895"/>
        <s v="TKT-2024-11896"/>
        <s v="TKT-2024-11897"/>
        <s v="TKT-2024-11898"/>
        <s v="TKT-2024-11899"/>
        <s v="TKT-2024-11900"/>
        <s v="TKT-2024-11901"/>
        <s v="TKT-2024-11902"/>
        <s v="TKT-2024-11903"/>
        <s v="TKT-2024-11904"/>
        <s v="TKT-2024-11905"/>
        <s v="TKT-2024-11906"/>
        <s v="TKT-2024-11907"/>
        <s v="TKT-2024-11908"/>
        <s v="TKT-2024-11909"/>
        <s v="TKT-2024-11910"/>
        <s v="TKT-2024-11911"/>
        <s v="TKT-2024-11912"/>
        <s v="TKT-2024-11913"/>
        <s v="TKT-2024-11914"/>
        <s v="TKT-2024-11915"/>
        <s v="TKT-2024-11916"/>
        <s v="TKT-2024-11917"/>
        <s v="TKT-2024-11918"/>
        <s v="TKT-2024-11919"/>
        <s v="TKT-2024-11920"/>
        <s v="TKT-2024-11921"/>
        <s v="TKT-2024-11922"/>
        <s v="TKT-2024-11923"/>
        <s v="TKT-2024-11924"/>
        <s v="TKT-2024-11925"/>
        <s v="TKT-2024-11926"/>
        <s v="TKT-2024-11927"/>
        <s v="TKT-2024-11928"/>
        <s v="TKT-2024-11929"/>
        <s v="TKT-2024-11930"/>
        <s v="TKT-2024-11931"/>
        <s v="TKT-2024-11932"/>
        <s v="TKT-2024-11933"/>
        <s v="TKT-2024-11934"/>
        <s v="TKT-2024-11935"/>
        <s v="TKT-2024-11936"/>
        <s v="TKT-2024-11937"/>
        <s v="TKT-2024-11938"/>
        <s v="TKT-2024-11939"/>
        <s v="TKT-2024-11940"/>
        <s v="TKT-2024-11941"/>
        <s v="TKT-2024-11942"/>
        <s v="TKT-2024-11943"/>
        <s v="TKT-2024-11944"/>
        <s v="TKT-2024-11945"/>
        <s v="TKT-2024-11946"/>
        <s v="TKT-2024-11947"/>
        <s v="TKT-2024-11948"/>
        <s v="TKT-2024-11949"/>
        <s v="TKT-2024-11950"/>
        <s v="TKT-2024-11951"/>
        <s v="TKT-2024-11952"/>
        <s v="TKT-2024-11953"/>
        <s v="TKT-2024-11954"/>
        <s v="TKT-2024-11955"/>
        <s v="TKT-2024-11956"/>
        <s v="TKT-2024-11957"/>
        <s v="TKT-2024-11958"/>
        <s v="TKT-2024-11959"/>
        <s v="TKT-2024-11960"/>
        <s v="TKT-2024-11961"/>
        <s v="TKT-2024-11962"/>
        <s v="TKT-2024-11963"/>
        <s v="TKT-2024-11964"/>
        <s v="TKT-2024-11965"/>
        <s v="TKT-2024-11966"/>
        <s v="TKT-2024-11967"/>
        <s v="TKT-2024-11968"/>
        <s v="TKT-2024-11969"/>
        <s v="TKT-2024-11970"/>
        <s v="TKT-2024-11971"/>
        <s v="TKT-2024-11972"/>
        <s v="TKT-2024-11973"/>
        <s v="TKT-2024-11974"/>
        <s v="TKT-2024-11975"/>
        <s v="TKT-2024-11976"/>
        <s v="TKT-2024-11977"/>
        <s v="TKT-2024-11978"/>
        <s v="TKT-2024-11979"/>
        <s v="TKT-2024-11980"/>
        <s v="TKT-2024-11981"/>
        <s v="TKT-2024-11982"/>
        <s v="TKT-2024-11983"/>
        <s v="TKT-2024-11984"/>
        <s v="TKT-2024-11985"/>
        <s v="TKT-2024-11986"/>
        <s v="TKT-2024-11987"/>
        <s v="TKT-2024-11988"/>
        <s v="TKT-2024-11989"/>
        <s v="TKT-2024-11990"/>
        <s v="TKT-2024-11991"/>
        <s v="TKT-2024-11992"/>
        <s v="TKT-2024-11993"/>
        <s v="TKT-2024-11994"/>
        <s v="TKT-2024-11995"/>
        <s v="TKT-2024-11996"/>
        <s v="TKT-2024-11997"/>
        <s v="TKT-2024-11998"/>
        <s v="TKT-2024-11999"/>
        <s v="TKT-2024-12000"/>
        <s v="TKT-2024-12001"/>
        <s v="TKT-2024-12002"/>
        <s v="TKT-2024-12003"/>
        <s v="TKT-2024-12004"/>
        <s v="TKT-2024-12005"/>
        <s v="TKT-2024-12006"/>
        <s v="TKT-2024-12007"/>
        <s v="TKT-2024-12008"/>
        <s v="TKT-2024-12009"/>
        <s v="TKT-2024-12010"/>
        <s v="TKT-2024-12011"/>
        <s v="TKT-2024-12012"/>
        <s v="TKT-2024-12013"/>
        <s v="TKT-2024-12014"/>
        <s v="TKT-2024-12015"/>
        <s v="TKT-2024-12016"/>
        <s v="TKT-2024-12017"/>
        <s v="TKT-2024-12018"/>
        <s v="TKT-2024-12019"/>
        <s v="TKT-2024-12020"/>
        <s v="TKT-2024-12021"/>
        <s v="TKT-2024-12022"/>
        <s v="TKT-2024-12023"/>
        <s v="TKT-2024-12024"/>
        <s v="TKT-2024-12025"/>
        <s v="TKT-2024-12026"/>
        <s v="TKT-2024-12027"/>
        <s v="TKT-2024-12028"/>
        <s v="TKT-2024-12029"/>
        <s v="TKT-2024-12030"/>
        <s v="TKT-2024-12031"/>
        <s v="TKT-2024-12032"/>
        <s v="TKT-2024-12033"/>
        <s v="TKT-2024-12034"/>
        <s v="TKT-2024-12035"/>
        <s v="TKT-2024-12036"/>
        <s v="TKT-2024-12037"/>
        <s v="TKT-2024-12038"/>
        <s v="TKT-2024-12039"/>
        <s v="TKT-2024-12040"/>
        <s v="TKT-2024-12041"/>
        <s v="TKT-2024-12042"/>
        <s v="TKT-2024-12043"/>
        <s v="TKT-2024-12044"/>
        <s v="TKT-2024-12045"/>
        <s v="TKT-2024-12046"/>
        <s v="TKT-2024-12047"/>
        <s v="TKT-2024-12048"/>
        <s v="TKT-2024-12049"/>
        <s v="TKT-2024-12050"/>
        <s v="TKT-2024-12051"/>
        <s v="TKT-2024-12052"/>
        <s v="TKT-2024-12053"/>
        <s v="TKT-2024-12054"/>
        <s v="TKT-2024-12055"/>
        <s v="TKT-2024-12056"/>
        <s v="TKT-2024-12057"/>
        <s v="TKT-2024-12058"/>
        <s v="TKT-2024-12059"/>
        <s v="TKT-2024-12060"/>
        <s v="TKT-2024-12061"/>
        <s v="TKT-2024-12062"/>
        <s v="TKT-2024-12063"/>
        <s v="TKT-2024-12064"/>
        <s v="TKT-2024-12065"/>
        <s v="TKT-2024-12066"/>
        <s v="TKT-2024-12067"/>
        <s v="TKT-2024-12068"/>
        <s v="TKT-2024-12069"/>
        <s v="TKT-2024-12070"/>
        <s v="TKT-2024-12071"/>
        <s v="TKT-2024-12072"/>
        <s v="TKT-2024-12073"/>
        <s v="TKT-2024-12074"/>
        <s v="TKT-2024-12075"/>
        <s v="TKT-2024-12076"/>
        <s v="TKT-2024-12077"/>
        <s v="TKT-2024-12078"/>
        <s v="TKT-2024-12079"/>
        <s v="TKT-2024-12080"/>
        <s v="TKT-2024-12081"/>
        <s v="TKT-2024-12082"/>
        <s v="TKT-2024-12083"/>
        <s v="TKT-2024-12084"/>
        <s v="TKT-2024-12085"/>
        <s v="TKT-2024-12086"/>
        <s v="TKT-2024-12087"/>
        <s v="TKT-2024-12088"/>
        <s v="TKT-2024-12089"/>
        <s v="TKT-2024-12090"/>
        <s v="TKT-2024-12091"/>
        <s v="TKT-2024-12092"/>
        <s v="TKT-2024-12093"/>
        <s v="TKT-2024-12094"/>
        <s v="TKT-2024-12095"/>
        <s v="TKT-2024-12096"/>
        <s v="TKT-2024-12097"/>
        <s v="TKT-2024-12098"/>
        <s v="TKT-2024-12099"/>
        <s v="TKT-2024-12100"/>
        <s v="TKT-2024-12101"/>
        <s v="TKT-2024-12102"/>
        <s v="TKT-2024-12103"/>
        <s v="TKT-2024-12104"/>
        <s v="TKT-2024-12105"/>
        <s v="TKT-2024-12106"/>
        <s v="TKT-2024-12107"/>
        <s v="TKT-2024-12108"/>
        <s v="TKT-2024-12109"/>
        <s v="TKT-2024-12110"/>
        <s v="TKT-2024-12111"/>
        <s v="TKT-2024-12112"/>
        <s v="TKT-2024-12113"/>
        <s v="TKT-2024-12114"/>
        <s v="TKT-2024-12115"/>
        <s v="TKT-2024-12116"/>
        <s v="TKT-2024-12117"/>
        <s v="TKT-2024-12118"/>
        <s v="TKT-2024-12119"/>
        <s v="TKT-2024-12120"/>
        <s v="TKT-2024-12121"/>
        <s v="TKT-2024-12122"/>
        <s v="TKT-2024-12123"/>
        <s v="TKT-2024-12124"/>
        <s v="TKT-2024-12125"/>
        <s v="TKT-2024-12126"/>
        <s v="TKT-2024-12127"/>
        <s v="TKT-2024-12128"/>
        <s v="TKT-2024-12129"/>
        <s v="TKT-2024-12130"/>
        <s v="TKT-2024-12131"/>
        <s v="TKT-2024-12132"/>
        <s v="TKT-2024-12133"/>
        <s v="TKT-2024-12134"/>
        <s v="TKT-2024-12135"/>
        <s v="TKT-2024-12136"/>
        <s v="TKT-2024-12137"/>
        <s v="TKT-2024-12138"/>
        <s v="TKT-2024-12139"/>
        <s v="TKT-2024-12140"/>
        <s v="TKT-2024-12141"/>
        <s v="TKT-2024-12142"/>
        <s v="TKT-2024-12143"/>
        <s v="TKT-2024-12144"/>
        <s v="TKT-2024-12145"/>
        <s v="TKT-2024-12146"/>
        <s v="TKT-2024-12147"/>
        <s v="TKT-2024-12148"/>
        <s v="TKT-2024-12149"/>
        <s v="TKT-2024-12150"/>
        <s v="TKT-2024-12151"/>
        <s v="TKT-2024-12152"/>
        <s v="TKT-2024-12153"/>
        <s v="TKT-2024-12154"/>
        <s v="TKT-2024-12155"/>
        <s v="TKT-2024-12156"/>
        <s v="TKT-2024-12157"/>
        <s v="TKT-2024-12158"/>
        <s v="TKT-2024-12159"/>
        <s v="TKT-2024-12160"/>
        <s v="TKT-2024-12161"/>
        <s v="TKT-2024-12162"/>
        <s v="TKT-2024-12163"/>
        <s v="TKT-2024-12164"/>
        <s v="TKT-2024-12165"/>
        <s v="TKT-2024-12166"/>
        <s v="TKT-2024-12167"/>
        <s v="TKT-2024-12168"/>
        <s v="TKT-2024-12169"/>
        <s v="TKT-2024-12170"/>
        <s v="TKT-2024-12171"/>
        <s v="TKT-2024-12172"/>
        <s v="TKT-2024-12173"/>
        <s v="TKT-2024-12174"/>
        <s v="TKT-2024-12175"/>
        <s v="TKT-2024-12176"/>
        <s v="TKT-2024-12177"/>
        <s v="TKT-2024-12178"/>
        <s v="TKT-2024-12179"/>
        <s v="TKT-2024-12180"/>
        <s v="TKT-2024-12181"/>
        <s v="TKT-2024-12182"/>
        <s v="TKT-2024-12183"/>
        <s v="TKT-2024-12184"/>
        <s v="TKT-2024-12185"/>
        <s v="TKT-2024-12186"/>
        <s v="TKT-2024-12187"/>
        <s v="TKT-2024-12188"/>
        <s v="TKT-2024-12189"/>
        <s v="TKT-2024-12190"/>
        <s v="TKT-2024-12191"/>
        <s v="TKT-2024-12192"/>
        <s v="TKT-2024-12193"/>
        <s v="TKT-2024-12194"/>
        <s v="TKT-2024-12195"/>
        <s v="TKT-2024-12196"/>
        <s v="TKT-2024-12197"/>
        <s v="TKT-2024-12198"/>
        <s v="TKT-2024-12199"/>
        <s v="TKT-2024-12200"/>
        <s v="TKT-2024-12201"/>
        <s v="TKT-2024-12202"/>
        <s v="TKT-2024-12203"/>
        <s v="TKT-2024-12204"/>
        <s v="TKT-2024-12205"/>
        <s v="TKT-2024-12206"/>
        <s v="TKT-2024-12207"/>
        <s v="TKT-2024-12208"/>
        <s v="TKT-2024-12209"/>
        <s v="TKT-2024-12210"/>
        <s v="TKT-2024-12211"/>
        <s v="TKT-2024-12212"/>
        <s v="TKT-2024-12213"/>
        <s v="TKT-2024-12214"/>
        <s v="TKT-2024-12215"/>
        <s v="TKT-2024-12216"/>
        <s v="TKT-2024-12217"/>
        <s v="TKT-2024-12218"/>
        <s v="TKT-2024-12219"/>
        <s v="TKT-2024-12220"/>
        <s v="TKT-2024-12221"/>
        <s v="TKT-2024-12222"/>
        <s v="TKT-2024-12223"/>
        <s v="TKT-2024-12224"/>
        <s v="TKT-2024-12225"/>
        <s v="TKT-2024-12226"/>
        <s v="TKT-2024-12227"/>
        <s v="TKT-2024-12228"/>
        <s v="TKT-2024-12229"/>
        <s v="TKT-2024-12230"/>
        <s v="TKT-2024-12231"/>
        <s v="TKT-2024-12232"/>
        <s v="TKT-2024-12233"/>
        <s v="TKT-2024-12234"/>
        <s v="TKT-2024-12235"/>
        <s v="TKT-2024-12236"/>
        <s v="TKT-2024-12237"/>
        <s v="TKT-2024-12238"/>
        <s v="TKT-2024-12239"/>
        <s v="TKT-2024-12240"/>
        <s v="TKT-2024-12241"/>
        <s v="TKT-2024-12242"/>
        <s v="TKT-2024-12243"/>
        <s v="TKT-2024-12244"/>
        <s v="TKT-2024-12245"/>
        <s v="TKT-2024-12246"/>
        <s v="TKT-2024-12247"/>
        <s v="TKT-2024-12248"/>
        <s v="TKT-2024-12249"/>
        <s v="TKT-2024-12250"/>
        <s v="TKT-2024-12251"/>
        <s v="TKT-2024-12252"/>
        <s v="TKT-2024-12253"/>
        <s v="TKT-2024-12254"/>
        <s v="TKT-2024-12255"/>
        <s v="TKT-2024-12256"/>
        <s v="TKT-2024-12257"/>
        <s v="TKT-2024-12258"/>
        <s v="TKT-2024-12259"/>
        <s v="TKT-2024-12260"/>
        <s v="TKT-2024-12261"/>
        <s v="TKT-2024-12262"/>
        <s v="TKT-2024-12263"/>
        <s v="TKT-2024-12264"/>
        <s v="TKT-2024-12265"/>
        <s v="TKT-2024-12266"/>
        <s v="TKT-2024-12267"/>
        <s v="TKT-2024-12268"/>
        <s v="TKT-2024-12269"/>
        <s v="TKT-2024-12270"/>
        <s v="TKT-2024-12271"/>
        <s v="TKT-2024-12272"/>
        <s v="TKT-2024-12273"/>
        <s v="TKT-2024-12274"/>
        <s v="TKT-2024-12275"/>
        <s v="TKT-2024-12276"/>
        <s v="TKT-2024-12277"/>
        <s v="TKT-2024-12278"/>
        <s v="TKT-2024-12279"/>
        <s v="TKT-2024-12280"/>
        <s v="TKT-2024-12281"/>
        <s v="TKT-2024-12282"/>
        <s v="TKT-2024-12283"/>
        <s v="TKT-2024-12284"/>
        <s v="TKT-2024-12285"/>
        <s v="TKT-2024-12286"/>
        <s v="TKT-2024-12287"/>
        <s v="TKT-2024-12288"/>
        <s v="TKT-2024-12289"/>
        <s v="TKT-2024-12290"/>
        <s v="TKT-2024-12291"/>
        <s v="TKT-2024-12292"/>
        <s v="TKT-2024-12293"/>
        <s v="TKT-2024-12294"/>
        <s v="TKT-2024-12295"/>
        <s v="TKT-2024-12296"/>
        <s v="TKT-2024-12297"/>
        <s v="TKT-2024-12298"/>
        <s v="TKT-2024-12299"/>
        <s v="TKT-2024-12300"/>
        <s v="TKT-2024-12301"/>
        <s v="TKT-2024-12302"/>
        <s v="TKT-2024-12303"/>
        <s v="TKT-2024-12304"/>
        <s v="TKT-2024-12305"/>
        <s v="TKT-2024-12306"/>
        <s v="TKT-2024-12307"/>
        <s v="TKT-2024-12308"/>
        <s v="TKT-2024-12309"/>
        <s v="TKT-2024-12310"/>
        <s v="TKT-2024-12311"/>
        <s v="TKT-2024-12312"/>
        <s v="TKT-2024-12313"/>
        <s v="TKT-2024-12314"/>
        <s v="TKT-2024-12315"/>
        <s v="TKT-2024-12316"/>
        <s v="TKT-2024-12317"/>
        <s v="TKT-2024-12318"/>
        <s v="TKT-2024-12319"/>
        <s v="TKT-2024-12320"/>
        <s v="TKT-2024-12321"/>
        <s v="TKT-2024-12322"/>
        <s v="TKT-2024-12323"/>
        <s v="TKT-2024-12324"/>
        <s v="TKT-2024-12325"/>
        <s v="TKT-2024-12326"/>
        <s v="TKT-2024-12327"/>
        <s v="TKT-2024-12328"/>
        <s v="TKT-2024-12329"/>
        <s v="TKT-2024-12330"/>
        <s v="TKT-2024-12331"/>
        <s v="TKT-2024-12332"/>
        <s v="TKT-2024-12333"/>
        <s v="TKT-2024-12334"/>
        <s v="TKT-2024-12335"/>
        <s v="TKT-2024-12336"/>
        <s v="TKT-2024-12337"/>
        <s v="TKT-2024-12338"/>
        <s v="TKT-2024-12339"/>
        <s v="TKT-2024-12340"/>
        <s v="TKT-2024-12341"/>
        <s v="TKT-2024-12342"/>
        <s v="TKT-2024-12343"/>
        <s v="TKT-2024-12344"/>
        <s v="TKT-2024-12345"/>
        <s v="TKT-2024-12346"/>
        <m/>
      </sharedItems>
    </cacheField>
    <cacheField name="Date_Opened" numFmtId="0">
      <sharedItems containsBlank="1"/>
    </cacheField>
    <cacheField name="Month" numFmtId="0">
      <sharedItems containsNonDate="0" containsDate="1" containsString="0" containsBlank="1" minDate="2024-01-01T00:00:00" maxDate="2024-12-02T00:00:00" count="13">
        <d v="2024-12-01T00:00:00"/>
        <d v="2024-08-01T00:00:00"/>
        <d v="2024-10-01T00:00:00"/>
        <d v="2024-01-01T00:00:00"/>
        <d v="2024-07-01T00:00:00"/>
        <d v="2024-03-01T00:00:00"/>
        <d v="2024-02-01T00:00:00"/>
        <d v="2024-11-01T00:00:00"/>
        <d v="2024-05-01T00:00:00"/>
        <d v="2024-09-01T00:00:00"/>
        <d v="2024-06-01T00:00:00"/>
        <d v="2024-04-01T00:00:00"/>
        <m/>
      </sharedItems>
      <fieldGroup par="29"/>
    </cacheField>
    <cacheField name="Date_Closed" numFmtId="0">
      <sharedItems containsBlank="1"/>
    </cacheField>
    <cacheField name="Resolution_Time_Hours" numFmtId="0">
      <sharedItems containsString="0" containsBlank="1" containsNumber="1" minValue="28.9" maxValue="1054.8"/>
    </cacheField>
    <cacheField name="Resolution_Time_Days" numFmtId="0">
      <sharedItems containsString="0" containsBlank="1" containsNumber="1" minValue="1.2" maxValue="43.9"/>
    </cacheField>
    <cacheField name="Category" numFmtId="0">
      <sharedItems containsBlank="1"/>
    </cacheField>
    <cacheField name="Subcategory" numFmtId="0">
      <sharedItems containsBlank="1"/>
    </cacheField>
    <cacheField name="Priority" numFmtId="0">
      <sharedItems containsBlank="1" count="5">
        <s v="Medium"/>
        <s v="High"/>
        <s v="Low"/>
        <s v="Critical"/>
        <m/>
      </sharedItems>
    </cacheField>
    <cacheField name="SLA_Target_Hours" numFmtId="0">
      <sharedItems containsString="0" containsBlank="1" containsNumber="1" containsInteger="1" minValue="48" maxValue="360"/>
    </cacheField>
    <cacheField name="SLA_Status" numFmtId="0">
      <sharedItems containsBlank="1" count="3">
        <s v="Breached"/>
        <s v="Met"/>
        <m/>
      </sharedItems>
    </cacheField>
    <cacheField name="Channel" numFmtId="0">
      <sharedItems containsBlank="1"/>
    </cacheField>
    <cacheField name="Assigned_Tier" numFmtId="0">
      <sharedItems containsBlank="1"/>
    </cacheField>
    <cacheField name="Technician_ID" numFmtId="0">
      <sharedItems containsBlank="1"/>
    </cacheField>
    <cacheField name="Technician_Experience" numFmtId="0">
      <sharedItems containsBlank="1"/>
    </cacheField>
    <cacheField name="First_Contact_Resolution" numFmtId="0">
      <sharedItems containsBlank="1" count="3">
        <s v="No"/>
        <s v="Yes"/>
        <m/>
      </sharedItems>
    </cacheField>
    <cacheField name="Escalated" numFmtId="0">
      <sharedItems containsBlank="1"/>
    </cacheField>
    <cacheField name="Number_of_Handoffs" numFmtId="0">
      <sharedItems containsString="0" containsBlank="1" containsNumber="1" containsInteger="1" minValue="0" maxValue="4"/>
    </cacheField>
    <cacheField name="Reopened" numFmtId="0">
      <sharedItems containsBlank="1"/>
    </cacheField>
    <cacheField name="CSAT_Score" numFmtId="0">
      <sharedItems containsString="0" containsBlank="1" containsNumber="1" containsInteger="1" minValue="1" maxValue="10"/>
    </cacheField>
    <cacheField name="Response_Time_Hours" numFmtId="0">
      <sharedItems containsString="0" containsBlank="1" containsNumber="1" minValue="0.1" maxValue="8.4"/>
    </cacheField>
    <cacheField name="Wait_Time_Hours" numFmtId="0">
      <sharedItems containsString="0" containsBlank="1" containsNumber="1" minValue="0" maxValue="60.8"/>
    </cacheField>
    <cacheField name="Knowledge_Base_Used" numFmtId="0">
      <sharedItems containsBlank="1"/>
    </cacheField>
    <cacheField name="KB_Article_Quality" numFmtId="0">
      <sharedItems containsBlank="1"/>
    </cacheField>
    <cacheField name="Initial_Info_Complete" numFmtId="0">
      <sharedItems containsBlank="1"/>
    </cacheField>
    <cacheField name="User_Department" numFmtId="0">
      <sharedItems containsBlank="1"/>
    </cacheField>
    <cacheField name="Day_of_Week" numFmtId="0">
      <sharedItems containsBlank="1"/>
    </cacheField>
    <cacheField name="Time_Period" numFmtId="0">
      <sharedItems containsBlank="1"/>
    </cacheField>
    <cacheField name="Days (Month)" numFmtId="0" databaseField="0">
      <fieldGroup base="2">
        <rangePr groupBy="days" startDate="2024-01-01T00:00:00" endDate="2024-12-02T00:00:00"/>
        <groupItems count="368">
          <s v="&lt;1.1.2024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ug"/>
          <s v="2.Aug"/>
          <s v="3.Aug"/>
          <s v="4.Aug"/>
          <s v="5.Aug"/>
          <s v="6.Aug"/>
          <s v="7.Aug"/>
          <s v="8.Aug"/>
          <s v="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ct"/>
          <s v="2.Oct"/>
          <s v="3.Oct"/>
          <s v="4.Oct"/>
          <s v="5.Oct"/>
          <s v="6.Oct"/>
          <s v="7.Oct"/>
          <s v="8.Oct"/>
          <s v="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2.12.2024"/>
        </groupItems>
      </fieldGroup>
    </cacheField>
    <cacheField name="Months (Month)" numFmtId="0" databaseField="0">
      <fieldGroup base="2">
        <rangePr groupBy="months" startDate="2024-01-01T00:00:00" endDate="2024-12-02T00:00:00"/>
        <groupItems count="14">
          <s v="&lt;1.1.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.12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PPY" refreshedDate="46033.76508449074" createdVersion="8" refreshedVersion="8" minRefreshableVersion="3" recordCount="2347" xr:uid="{0F372417-B089-6544-A19E-17DE74967D81}">
  <cacheSource type="worksheet">
    <worksheetSource ref="A1:AB2348" sheet="Helpdesk Tickets 2024"/>
  </cacheSource>
  <cacheFields count="30">
    <cacheField name="Ticket_ID" numFmtId="0">
      <sharedItems count="2347">
        <s v="TKT-2024-10000"/>
        <s v="TKT-2024-10001"/>
        <s v="TKT-2024-10002"/>
        <s v="TKT-2024-10003"/>
        <s v="TKT-2024-10004"/>
        <s v="TKT-2024-10005"/>
        <s v="TKT-2024-10006"/>
        <s v="TKT-2024-10007"/>
        <s v="TKT-2024-10008"/>
        <s v="TKT-2024-10009"/>
        <s v="TKT-2024-10010"/>
        <s v="TKT-2024-10011"/>
        <s v="TKT-2024-10012"/>
        <s v="TKT-2024-10013"/>
        <s v="TKT-2024-10014"/>
        <s v="TKT-2024-10015"/>
        <s v="TKT-2024-10016"/>
        <s v="TKT-2024-10017"/>
        <s v="TKT-2024-10018"/>
        <s v="TKT-2024-10019"/>
        <s v="TKT-2024-10020"/>
        <s v="TKT-2024-10021"/>
        <s v="TKT-2024-10022"/>
        <s v="TKT-2024-10023"/>
        <s v="TKT-2024-10024"/>
        <s v="TKT-2024-10025"/>
        <s v="TKT-2024-10026"/>
        <s v="TKT-2024-10027"/>
        <s v="TKT-2024-10028"/>
        <s v="TKT-2024-10029"/>
        <s v="TKT-2024-10030"/>
        <s v="TKT-2024-10031"/>
        <s v="TKT-2024-10032"/>
        <s v="TKT-2024-10033"/>
        <s v="TKT-2024-10034"/>
        <s v="TKT-2024-10035"/>
        <s v="TKT-2024-10036"/>
        <s v="TKT-2024-10037"/>
        <s v="TKT-2024-10038"/>
        <s v="TKT-2024-10039"/>
        <s v="TKT-2024-10040"/>
        <s v="TKT-2024-10041"/>
        <s v="TKT-2024-10042"/>
        <s v="TKT-2024-10043"/>
        <s v="TKT-2024-10044"/>
        <s v="TKT-2024-10045"/>
        <s v="TKT-2024-10046"/>
        <s v="TKT-2024-10047"/>
        <s v="TKT-2024-10048"/>
        <s v="TKT-2024-10049"/>
        <s v="TKT-2024-10050"/>
        <s v="TKT-2024-10051"/>
        <s v="TKT-2024-10052"/>
        <s v="TKT-2024-10053"/>
        <s v="TKT-2024-10054"/>
        <s v="TKT-2024-10055"/>
        <s v="TKT-2024-10056"/>
        <s v="TKT-2024-10057"/>
        <s v="TKT-2024-10058"/>
        <s v="TKT-2024-10059"/>
        <s v="TKT-2024-10060"/>
        <s v="TKT-2024-10061"/>
        <s v="TKT-2024-10062"/>
        <s v="TKT-2024-10063"/>
        <s v="TKT-2024-10064"/>
        <s v="TKT-2024-10065"/>
        <s v="TKT-2024-10066"/>
        <s v="TKT-2024-10067"/>
        <s v="TKT-2024-10068"/>
        <s v="TKT-2024-10069"/>
        <s v="TKT-2024-10070"/>
        <s v="TKT-2024-10071"/>
        <s v="TKT-2024-10072"/>
        <s v="TKT-2024-10073"/>
        <s v="TKT-2024-10074"/>
        <s v="TKT-2024-10075"/>
        <s v="TKT-2024-10076"/>
        <s v="TKT-2024-10077"/>
        <s v="TKT-2024-10078"/>
        <s v="TKT-2024-10079"/>
        <s v="TKT-2024-10080"/>
        <s v="TKT-2024-10081"/>
        <s v="TKT-2024-10082"/>
        <s v="TKT-2024-10083"/>
        <s v="TKT-2024-10084"/>
        <s v="TKT-2024-10085"/>
        <s v="TKT-2024-10086"/>
        <s v="TKT-2024-10087"/>
        <s v="TKT-2024-10088"/>
        <s v="TKT-2024-10089"/>
        <s v="TKT-2024-10090"/>
        <s v="TKT-2024-10091"/>
        <s v="TKT-2024-10092"/>
        <s v="TKT-2024-10093"/>
        <s v="TKT-2024-10094"/>
        <s v="TKT-2024-10095"/>
        <s v="TKT-2024-10096"/>
        <s v="TKT-2024-10097"/>
        <s v="TKT-2024-10098"/>
        <s v="TKT-2024-10099"/>
        <s v="TKT-2024-10100"/>
        <s v="TKT-2024-10101"/>
        <s v="TKT-2024-10102"/>
        <s v="TKT-2024-10103"/>
        <s v="TKT-2024-10104"/>
        <s v="TKT-2024-10105"/>
        <s v="TKT-2024-10106"/>
        <s v="TKT-2024-10107"/>
        <s v="TKT-2024-10108"/>
        <s v="TKT-2024-10109"/>
        <s v="TKT-2024-10110"/>
        <s v="TKT-2024-10111"/>
        <s v="TKT-2024-10112"/>
        <s v="TKT-2024-10113"/>
        <s v="TKT-2024-10114"/>
        <s v="TKT-2024-10115"/>
        <s v="TKT-2024-10116"/>
        <s v="TKT-2024-10117"/>
        <s v="TKT-2024-10118"/>
        <s v="TKT-2024-10119"/>
        <s v="TKT-2024-10120"/>
        <s v="TKT-2024-10121"/>
        <s v="TKT-2024-10122"/>
        <s v="TKT-2024-10123"/>
        <s v="TKT-2024-10124"/>
        <s v="TKT-2024-10125"/>
        <s v="TKT-2024-10126"/>
        <s v="TKT-2024-10127"/>
        <s v="TKT-2024-10128"/>
        <s v="TKT-2024-10129"/>
        <s v="TKT-2024-10130"/>
        <s v="TKT-2024-10131"/>
        <s v="TKT-2024-10132"/>
        <s v="TKT-2024-10133"/>
        <s v="TKT-2024-10134"/>
        <s v="TKT-2024-10135"/>
        <s v="TKT-2024-10136"/>
        <s v="TKT-2024-10137"/>
        <s v="TKT-2024-10138"/>
        <s v="TKT-2024-10139"/>
        <s v="TKT-2024-10140"/>
        <s v="TKT-2024-10141"/>
        <s v="TKT-2024-10142"/>
        <s v="TKT-2024-10143"/>
        <s v="TKT-2024-10144"/>
        <s v="TKT-2024-10145"/>
        <s v="TKT-2024-10146"/>
        <s v="TKT-2024-10147"/>
        <s v="TKT-2024-10148"/>
        <s v="TKT-2024-10149"/>
        <s v="TKT-2024-10150"/>
        <s v="TKT-2024-10151"/>
        <s v="TKT-2024-10152"/>
        <s v="TKT-2024-10153"/>
        <s v="TKT-2024-10154"/>
        <s v="TKT-2024-10155"/>
        <s v="TKT-2024-10156"/>
        <s v="TKT-2024-10157"/>
        <s v="TKT-2024-10158"/>
        <s v="TKT-2024-10159"/>
        <s v="TKT-2024-10160"/>
        <s v="TKT-2024-10161"/>
        <s v="TKT-2024-10162"/>
        <s v="TKT-2024-10163"/>
        <s v="TKT-2024-10164"/>
        <s v="TKT-2024-10165"/>
        <s v="TKT-2024-10166"/>
        <s v="TKT-2024-10167"/>
        <s v="TKT-2024-10168"/>
        <s v="TKT-2024-10169"/>
        <s v="TKT-2024-10170"/>
        <s v="TKT-2024-10171"/>
        <s v="TKT-2024-10172"/>
        <s v="TKT-2024-10173"/>
        <s v="TKT-2024-10174"/>
        <s v="TKT-2024-10175"/>
        <s v="TKT-2024-10176"/>
        <s v="TKT-2024-10177"/>
        <s v="TKT-2024-10178"/>
        <s v="TKT-2024-10179"/>
        <s v="TKT-2024-10180"/>
        <s v="TKT-2024-10181"/>
        <s v="TKT-2024-10182"/>
        <s v="TKT-2024-10183"/>
        <s v="TKT-2024-10184"/>
        <s v="TKT-2024-10185"/>
        <s v="TKT-2024-10186"/>
        <s v="TKT-2024-10187"/>
        <s v="TKT-2024-10188"/>
        <s v="TKT-2024-10189"/>
        <s v="TKT-2024-10190"/>
        <s v="TKT-2024-10191"/>
        <s v="TKT-2024-10192"/>
        <s v="TKT-2024-10193"/>
        <s v="TKT-2024-10194"/>
        <s v="TKT-2024-10195"/>
        <s v="TKT-2024-10196"/>
        <s v="TKT-2024-10197"/>
        <s v="TKT-2024-10198"/>
        <s v="TKT-2024-10199"/>
        <s v="TKT-2024-10200"/>
        <s v="TKT-2024-10201"/>
        <s v="TKT-2024-10202"/>
        <s v="TKT-2024-10203"/>
        <s v="TKT-2024-10204"/>
        <s v="TKT-2024-10205"/>
        <s v="TKT-2024-10206"/>
        <s v="TKT-2024-10207"/>
        <s v="TKT-2024-10208"/>
        <s v="TKT-2024-10209"/>
        <s v="TKT-2024-10210"/>
        <s v="TKT-2024-10211"/>
        <s v="TKT-2024-10212"/>
        <s v="TKT-2024-10213"/>
        <s v="TKT-2024-10214"/>
        <s v="TKT-2024-10215"/>
        <s v="TKT-2024-10216"/>
        <s v="TKT-2024-10217"/>
        <s v="TKT-2024-10218"/>
        <s v="TKT-2024-10219"/>
        <s v="TKT-2024-10220"/>
        <s v="TKT-2024-10221"/>
        <s v="TKT-2024-10222"/>
        <s v="TKT-2024-10223"/>
        <s v="TKT-2024-10224"/>
        <s v="TKT-2024-10225"/>
        <s v="TKT-2024-10226"/>
        <s v="TKT-2024-10227"/>
        <s v="TKT-2024-10228"/>
        <s v="TKT-2024-10229"/>
        <s v="TKT-2024-10230"/>
        <s v="TKT-2024-10231"/>
        <s v="TKT-2024-10232"/>
        <s v="TKT-2024-10233"/>
        <s v="TKT-2024-10234"/>
        <s v="TKT-2024-10235"/>
        <s v="TKT-2024-10236"/>
        <s v="TKT-2024-10237"/>
        <s v="TKT-2024-10238"/>
        <s v="TKT-2024-10239"/>
        <s v="TKT-2024-10240"/>
        <s v="TKT-2024-10241"/>
        <s v="TKT-2024-10242"/>
        <s v="TKT-2024-10243"/>
        <s v="TKT-2024-10244"/>
        <s v="TKT-2024-10245"/>
        <s v="TKT-2024-10246"/>
        <s v="TKT-2024-10247"/>
        <s v="TKT-2024-10248"/>
        <s v="TKT-2024-10249"/>
        <s v="TKT-2024-10250"/>
        <s v="TKT-2024-10251"/>
        <s v="TKT-2024-10252"/>
        <s v="TKT-2024-10253"/>
        <s v="TKT-2024-10254"/>
        <s v="TKT-2024-10255"/>
        <s v="TKT-2024-10256"/>
        <s v="TKT-2024-10257"/>
        <s v="TKT-2024-10258"/>
        <s v="TKT-2024-10259"/>
        <s v="TKT-2024-10260"/>
        <s v="TKT-2024-10261"/>
        <s v="TKT-2024-10262"/>
        <s v="TKT-2024-10263"/>
        <s v="TKT-2024-10264"/>
        <s v="TKT-2024-10265"/>
        <s v="TKT-2024-10266"/>
        <s v="TKT-2024-10267"/>
        <s v="TKT-2024-10268"/>
        <s v="TKT-2024-10269"/>
        <s v="TKT-2024-10270"/>
        <s v="TKT-2024-10271"/>
        <s v="TKT-2024-10272"/>
        <s v="TKT-2024-10273"/>
        <s v="TKT-2024-10274"/>
        <s v="TKT-2024-10275"/>
        <s v="TKT-2024-10276"/>
        <s v="TKT-2024-10277"/>
        <s v="TKT-2024-10278"/>
        <s v="TKT-2024-10279"/>
        <s v="TKT-2024-10280"/>
        <s v="TKT-2024-10281"/>
        <s v="TKT-2024-10282"/>
        <s v="TKT-2024-10283"/>
        <s v="TKT-2024-10284"/>
        <s v="TKT-2024-10285"/>
        <s v="TKT-2024-10286"/>
        <s v="TKT-2024-10287"/>
        <s v="TKT-2024-10288"/>
        <s v="TKT-2024-10289"/>
        <s v="TKT-2024-10290"/>
        <s v="TKT-2024-10291"/>
        <s v="TKT-2024-10292"/>
        <s v="TKT-2024-10293"/>
        <s v="TKT-2024-10294"/>
        <s v="TKT-2024-10295"/>
        <s v="TKT-2024-10296"/>
        <s v="TKT-2024-10297"/>
        <s v="TKT-2024-10298"/>
        <s v="TKT-2024-10299"/>
        <s v="TKT-2024-10300"/>
        <s v="TKT-2024-10301"/>
        <s v="TKT-2024-10302"/>
        <s v="TKT-2024-10303"/>
        <s v="TKT-2024-10304"/>
        <s v="TKT-2024-10305"/>
        <s v="TKT-2024-10306"/>
        <s v="TKT-2024-10307"/>
        <s v="TKT-2024-10308"/>
        <s v="TKT-2024-10309"/>
        <s v="TKT-2024-10310"/>
        <s v="TKT-2024-10311"/>
        <s v="TKT-2024-10312"/>
        <s v="TKT-2024-10313"/>
        <s v="TKT-2024-10314"/>
        <s v="TKT-2024-10315"/>
        <s v="TKT-2024-10316"/>
        <s v="TKT-2024-10317"/>
        <s v="TKT-2024-10318"/>
        <s v="TKT-2024-10319"/>
        <s v="TKT-2024-10320"/>
        <s v="TKT-2024-10321"/>
        <s v="TKT-2024-10322"/>
        <s v="TKT-2024-10323"/>
        <s v="TKT-2024-10324"/>
        <s v="TKT-2024-10325"/>
        <s v="TKT-2024-10326"/>
        <s v="TKT-2024-10327"/>
        <s v="TKT-2024-10328"/>
        <s v="TKT-2024-10329"/>
        <s v="TKT-2024-10330"/>
        <s v="TKT-2024-10331"/>
        <s v="TKT-2024-10332"/>
        <s v="TKT-2024-10333"/>
        <s v="TKT-2024-10334"/>
        <s v="TKT-2024-10335"/>
        <s v="TKT-2024-10336"/>
        <s v="TKT-2024-10337"/>
        <s v="TKT-2024-10338"/>
        <s v="TKT-2024-10339"/>
        <s v="TKT-2024-10340"/>
        <s v="TKT-2024-10341"/>
        <s v="TKT-2024-10342"/>
        <s v="TKT-2024-10343"/>
        <s v="TKT-2024-10344"/>
        <s v="TKT-2024-10345"/>
        <s v="TKT-2024-10346"/>
        <s v="TKT-2024-10347"/>
        <s v="TKT-2024-10348"/>
        <s v="TKT-2024-10349"/>
        <s v="TKT-2024-10350"/>
        <s v="TKT-2024-10351"/>
        <s v="TKT-2024-10352"/>
        <s v="TKT-2024-10353"/>
        <s v="TKT-2024-10354"/>
        <s v="TKT-2024-10355"/>
        <s v="TKT-2024-10356"/>
        <s v="TKT-2024-10357"/>
        <s v="TKT-2024-10358"/>
        <s v="TKT-2024-10359"/>
        <s v="TKT-2024-10360"/>
        <s v="TKT-2024-10361"/>
        <s v="TKT-2024-10362"/>
        <s v="TKT-2024-10363"/>
        <s v="TKT-2024-10364"/>
        <s v="TKT-2024-10365"/>
        <s v="TKT-2024-10366"/>
        <s v="TKT-2024-10367"/>
        <s v="TKT-2024-10368"/>
        <s v="TKT-2024-10369"/>
        <s v="TKT-2024-10370"/>
        <s v="TKT-2024-10371"/>
        <s v="TKT-2024-10372"/>
        <s v="TKT-2024-10373"/>
        <s v="TKT-2024-10374"/>
        <s v="TKT-2024-10375"/>
        <s v="TKT-2024-10376"/>
        <s v="TKT-2024-10377"/>
        <s v="TKT-2024-10378"/>
        <s v="TKT-2024-10379"/>
        <s v="TKT-2024-10380"/>
        <s v="TKT-2024-10381"/>
        <s v="TKT-2024-10382"/>
        <s v="TKT-2024-10383"/>
        <s v="TKT-2024-10384"/>
        <s v="TKT-2024-10385"/>
        <s v="TKT-2024-10386"/>
        <s v="TKT-2024-10387"/>
        <s v="TKT-2024-10388"/>
        <s v="TKT-2024-10389"/>
        <s v="TKT-2024-10390"/>
        <s v="TKT-2024-10391"/>
        <s v="TKT-2024-10392"/>
        <s v="TKT-2024-10393"/>
        <s v="TKT-2024-10394"/>
        <s v="TKT-2024-10395"/>
        <s v="TKT-2024-10396"/>
        <s v="TKT-2024-10397"/>
        <s v="TKT-2024-10398"/>
        <s v="TKT-2024-10399"/>
        <s v="TKT-2024-10400"/>
        <s v="TKT-2024-10401"/>
        <s v="TKT-2024-10402"/>
        <s v="TKT-2024-10403"/>
        <s v="TKT-2024-10404"/>
        <s v="TKT-2024-10405"/>
        <s v="TKT-2024-10406"/>
        <s v="TKT-2024-10407"/>
        <s v="TKT-2024-10408"/>
        <s v="TKT-2024-10409"/>
        <s v="TKT-2024-10410"/>
        <s v="TKT-2024-10411"/>
        <s v="TKT-2024-10412"/>
        <s v="TKT-2024-10413"/>
        <s v="TKT-2024-10414"/>
        <s v="TKT-2024-10415"/>
        <s v="TKT-2024-10416"/>
        <s v="TKT-2024-10417"/>
        <s v="TKT-2024-10418"/>
        <s v="TKT-2024-10419"/>
        <s v="TKT-2024-10420"/>
        <s v="TKT-2024-10421"/>
        <s v="TKT-2024-10422"/>
        <s v="TKT-2024-10423"/>
        <s v="TKT-2024-10424"/>
        <s v="TKT-2024-10425"/>
        <s v="TKT-2024-10426"/>
        <s v="TKT-2024-10427"/>
        <s v="TKT-2024-10428"/>
        <s v="TKT-2024-10429"/>
        <s v="TKT-2024-10430"/>
        <s v="TKT-2024-10431"/>
        <s v="TKT-2024-10432"/>
        <s v="TKT-2024-10433"/>
        <s v="TKT-2024-10434"/>
        <s v="TKT-2024-10435"/>
        <s v="TKT-2024-10436"/>
        <s v="TKT-2024-10437"/>
        <s v="TKT-2024-10438"/>
        <s v="TKT-2024-10439"/>
        <s v="TKT-2024-10440"/>
        <s v="TKT-2024-10441"/>
        <s v="TKT-2024-10442"/>
        <s v="TKT-2024-10443"/>
        <s v="TKT-2024-10444"/>
        <s v="TKT-2024-10445"/>
        <s v="TKT-2024-10446"/>
        <s v="TKT-2024-10447"/>
        <s v="TKT-2024-10448"/>
        <s v="TKT-2024-10449"/>
        <s v="TKT-2024-10450"/>
        <s v="TKT-2024-10451"/>
        <s v="TKT-2024-10452"/>
        <s v="TKT-2024-10453"/>
        <s v="TKT-2024-10454"/>
        <s v="TKT-2024-10455"/>
        <s v="TKT-2024-10456"/>
        <s v="TKT-2024-10457"/>
        <s v="TKT-2024-10458"/>
        <s v="TKT-2024-10459"/>
        <s v="TKT-2024-10460"/>
        <s v="TKT-2024-10461"/>
        <s v="TKT-2024-10462"/>
        <s v="TKT-2024-10463"/>
        <s v="TKT-2024-10464"/>
        <s v="TKT-2024-10465"/>
        <s v="TKT-2024-10466"/>
        <s v="TKT-2024-10467"/>
        <s v="TKT-2024-10468"/>
        <s v="TKT-2024-10469"/>
        <s v="TKT-2024-10470"/>
        <s v="TKT-2024-10471"/>
        <s v="TKT-2024-10472"/>
        <s v="TKT-2024-10473"/>
        <s v="TKT-2024-10474"/>
        <s v="TKT-2024-10475"/>
        <s v="TKT-2024-10476"/>
        <s v="TKT-2024-10477"/>
        <s v="TKT-2024-10478"/>
        <s v="TKT-2024-10479"/>
        <s v="TKT-2024-10480"/>
        <s v="TKT-2024-10481"/>
        <s v="TKT-2024-10482"/>
        <s v="TKT-2024-10483"/>
        <s v="TKT-2024-10484"/>
        <s v="TKT-2024-10485"/>
        <s v="TKT-2024-10486"/>
        <s v="TKT-2024-10487"/>
        <s v="TKT-2024-10488"/>
        <s v="TKT-2024-10489"/>
        <s v="TKT-2024-10490"/>
        <s v="TKT-2024-10491"/>
        <s v="TKT-2024-10492"/>
        <s v="TKT-2024-10493"/>
        <s v="TKT-2024-10494"/>
        <s v="TKT-2024-10495"/>
        <s v="TKT-2024-10496"/>
        <s v="TKT-2024-10497"/>
        <s v="TKT-2024-10498"/>
        <s v="TKT-2024-10499"/>
        <s v="TKT-2024-10500"/>
        <s v="TKT-2024-10501"/>
        <s v="TKT-2024-10502"/>
        <s v="TKT-2024-10503"/>
        <s v="TKT-2024-10504"/>
        <s v="TKT-2024-10505"/>
        <s v="TKT-2024-10506"/>
        <s v="TKT-2024-10507"/>
        <s v="TKT-2024-10508"/>
        <s v="TKT-2024-10509"/>
        <s v="TKT-2024-10510"/>
        <s v="TKT-2024-10511"/>
        <s v="TKT-2024-10512"/>
        <s v="TKT-2024-10513"/>
        <s v="TKT-2024-10514"/>
        <s v="TKT-2024-10515"/>
        <s v="TKT-2024-10516"/>
        <s v="TKT-2024-10517"/>
        <s v="TKT-2024-10518"/>
        <s v="TKT-2024-10519"/>
        <s v="TKT-2024-10520"/>
        <s v="TKT-2024-10521"/>
        <s v="TKT-2024-10522"/>
        <s v="TKT-2024-10523"/>
        <s v="TKT-2024-10524"/>
        <s v="TKT-2024-10525"/>
        <s v="TKT-2024-10526"/>
        <s v="TKT-2024-10527"/>
        <s v="TKT-2024-10528"/>
        <s v="TKT-2024-10529"/>
        <s v="TKT-2024-10530"/>
        <s v="TKT-2024-10531"/>
        <s v="TKT-2024-10532"/>
        <s v="TKT-2024-10533"/>
        <s v="TKT-2024-10534"/>
        <s v="TKT-2024-10535"/>
        <s v="TKT-2024-10536"/>
        <s v="TKT-2024-10537"/>
        <s v="TKT-2024-10538"/>
        <s v="TKT-2024-10539"/>
        <s v="TKT-2024-10540"/>
        <s v="TKT-2024-10541"/>
        <s v="TKT-2024-10542"/>
        <s v="TKT-2024-10543"/>
        <s v="TKT-2024-10544"/>
        <s v="TKT-2024-10545"/>
        <s v="TKT-2024-10546"/>
        <s v="TKT-2024-10547"/>
        <s v="TKT-2024-10548"/>
        <s v="TKT-2024-10549"/>
        <s v="TKT-2024-10550"/>
        <s v="TKT-2024-10551"/>
        <s v="TKT-2024-10552"/>
        <s v="TKT-2024-10553"/>
        <s v="TKT-2024-10554"/>
        <s v="TKT-2024-10555"/>
        <s v="TKT-2024-10556"/>
        <s v="TKT-2024-10557"/>
        <s v="TKT-2024-10558"/>
        <s v="TKT-2024-10559"/>
        <s v="TKT-2024-10560"/>
        <s v="TKT-2024-10561"/>
        <s v="TKT-2024-10562"/>
        <s v="TKT-2024-10563"/>
        <s v="TKT-2024-10564"/>
        <s v="TKT-2024-10565"/>
        <s v="TKT-2024-10566"/>
        <s v="TKT-2024-10567"/>
        <s v="TKT-2024-10568"/>
        <s v="TKT-2024-10569"/>
        <s v="TKT-2024-10570"/>
        <s v="TKT-2024-10571"/>
        <s v="TKT-2024-10572"/>
        <s v="TKT-2024-10573"/>
        <s v="TKT-2024-10574"/>
        <s v="TKT-2024-10575"/>
        <s v="TKT-2024-10576"/>
        <s v="TKT-2024-10577"/>
        <s v="TKT-2024-10578"/>
        <s v="TKT-2024-10579"/>
        <s v="TKT-2024-10580"/>
        <s v="TKT-2024-10581"/>
        <s v="TKT-2024-10582"/>
        <s v="TKT-2024-10583"/>
        <s v="TKT-2024-10584"/>
        <s v="TKT-2024-10585"/>
        <s v="TKT-2024-10586"/>
        <s v="TKT-2024-10587"/>
        <s v="TKT-2024-10588"/>
        <s v="TKT-2024-10589"/>
        <s v="TKT-2024-10590"/>
        <s v="TKT-2024-10591"/>
        <s v="TKT-2024-10592"/>
        <s v="TKT-2024-10593"/>
        <s v="TKT-2024-10594"/>
        <s v="TKT-2024-10595"/>
        <s v="TKT-2024-10596"/>
        <s v="TKT-2024-10597"/>
        <s v="TKT-2024-10598"/>
        <s v="TKT-2024-10599"/>
        <s v="TKT-2024-10600"/>
        <s v="TKT-2024-10601"/>
        <s v="TKT-2024-10602"/>
        <s v="TKT-2024-10603"/>
        <s v="TKT-2024-10604"/>
        <s v="TKT-2024-10605"/>
        <s v="TKT-2024-10606"/>
        <s v="TKT-2024-10607"/>
        <s v="TKT-2024-10608"/>
        <s v="TKT-2024-10609"/>
        <s v="TKT-2024-10610"/>
        <s v="TKT-2024-10611"/>
        <s v="TKT-2024-10612"/>
        <s v="TKT-2024-10613"/>
        <s v="TKT-2024-10614"/>
        <s v="TKT-2024-10615"/>
        <s v="TKT-2024-10616"/>
        <s v="TKT-2024-10617"/>
        <s v="TKT-2024-10618"/>
        <s v="TKT-2024-10619"/>
        <s v="TKT-2024-10620"/>
        <s v="TKT-2024-10621"/>
        <s v="TKT-2024-10622"/>
        <s v="TKT-2024-10623"/>
        <s v="TKT-2024-10624"/>
        <s v="TKT-2024-10625"/>
        <s v="TKT-2024-10626"/>
        <s v="TKT-2024-10627"/>
        <s v="TKT-2024-10628"/>
        <s v="TKT-2024-10629"/>
        <s v="TKT-2024-10630"/>
        <s v="TKT-2024-10631"/>
        <s v="TKT-2024-10632"/>
        <s v="TKT-2024-10633"/>
        <s v="TKT-2024-10634"/>
        <s v="TKT-2024-10635"/>
        <s v="TKT-2024-10636"/>
        <s v="TKT-2024-10637"/>
        <s v="TKT-2024-10638"/>
        <s v="TKT-2024-10639"/>
        <s v="TKT-2024-10640"/>
        <s v="TKT-2024-10641"/>
        <s v="TKT-2024-10642"/>
        <s v="TKT-2024-10643"/>
        <s v="TKT-2024-10644"/>
        <s v="TKT-2024-10645"/>
        <s v="TKT-2024-10646"/>
        <s v="TKT-2024-10647"/>
        <s v="TKT-2024-10648"/>
        <s v="TKT-2024-10649"/>
        <s v="TKT-2024-10650"/>
        <s v="TKT-2024-10651"/>
        <s v="TKT-2024-10652"/>
        <s v="TKT-2024-10653"/>
        <s v="TKT-2024-10654"/>
        <s v="TKT-2024-10655"/>
        <s v="TKT-2024-10656"/>
        <s v="TKT-2024-10657"/>
        <s v="TKT-2024-10658"/>
        <s v="TKT-2024-10659"/>
        <s v="TKT-2024-10660"/>
        <s v="TKT-2024-10661"/>
        <s v="TKT-2024-10662"/>
        <s v="TKT-2024-10663"/>
        <s v="TKT-2024-10664"/>
        <s v="TKT-2024-10665"/>
        <s v="TKT-2024-10666"/>
        <s v="TKT-2024-10667"/>
        <s v="TKT-2024-10668"/>
        <s v="TKT-2024-10669"/>
        <s v="TKT-2024-10670"/>
        <s v="TKT-2024-10671"/>
        <s v="TKT-2024-10672"/>
        <s v="TKT-2024-10673"/>
        <s v="TKT-2024-10674"/>
        <s v="TKT-2024-10675"/>
        <s v="TKT-2024-10676"/>
        <s v="TKT-2024-10677"/>
        <s v="TKT-2024-10678"/>
        <s v="TKT-2024-10679"/>
        <s v="TKT-2024-10680"/>
        <s v="TKT-2024-10681"/>
        <s v="TKT-2024-10682"/>
        <s v="TKT-2024-10683"/>
        <s v="TKT-2024-10684"/>
        <s v="TKT-2024-10685"/>
        <s v="TKT-2024-10686"/>
        <s v="TKT-2024-10687"/>
        <s v="TKT-2024-10688"/>
        <s v="TKT-2024-10689"/>
        <s v="TKT-2024-10690"/>
        <s v="TKT-2024-10691"/>
        <s v="TKT-2024-10692"/>
        <s v="TKT-2024-10693"/>
        <s v="TKT-2024-10694"/>
        <s v="TKT-2024-10695"/>
        <s v="TKT-2024-10696"/>
        <s v="TKT-2024-10697"/>
        <s v="TKT-2024-10698"/>
        <s v="TKT-2024-10699"/>
        <s v="TKT-2024-10700"/>
        <s v="TKT-2024-10701"/>
        <s v="TKT-2024-10702"/>
        <s v="TKT-2024-10703"/>
        <s v="TKT-2024-10704"/>
        <s v="TKT-2024-10705"/>
        <s v="TKT-2024-10706"/>
        <s v="TKT-2024-10707"/>
        <s v="TKT-2024-10708"/>
        <s v="TKT-2024-10709"/>
        <s v="TKT-2024-10710"/>
        <s v="TKT-2024-10711"/>
        <s v="TKT-2024-10712"/>
        <s v="TKT-2024-10713"/>
        <s v="TKT-2024-10714"/>
        <s v="TKT-2024-10715"/>
        <s v="TKT-2024-10716"/>
        <s v="TKT-2024-10717"/>
        <s v="TKT-2024-10718"/>
        <s v="TKT-2024-10719"/>
        <s v="TKT-2024-10720"/>
        <s v="TKT-2024-10721"/>
        <s v="TKT-2024-10722"/>
        <s v="TKT-2024-10723"/>
        <s v="TKT-2024-10724"/>
        <s v="TKT-2024-10725"/>
        <s v="TKT-2024-10726"/>
        <s v="TKT-2024-10727"/>
        <s v="TKT-2024-10728"/>
        <s v="TKT-2024-10729"/>
        <s v="TKT-2024-10730"/>
        <s v="TKT-2024-10731"/>
        <s v="TKT-2024-10732"/>
        <s v="TKT-2024-10733"/>
        <s v="TKT-2024-10734"/>
        <s v="TKT-2024-10735"/>
        <s v="TKT-2024-10736"/>
        <s v="TKT-2024-10737"/>
        <s v="TKT-2024-10738"/>
        <s v="TKT-2024-10739"/>
        <s v="TKT-2024-10740"/>
        <s v="TKT-2024-10741"/>
        <s v="TKT-2024-10742"/>
        <s v="TKT-2024-10743"/>
        <s v="TKT-2024-10744"/>
        <s v="TKT-2024-10745"/>
        <s v="TKT-2024-10746"/>
        <s v="TKT-2024-10747"/>
        <s v="TKT-2024-10748"/>
        <s v="TKT-2024-10749"/>
        <s v="TKT-2024-10750"/>
        <s v="TKT-2024-10751"/>
        <s v="TKT-2024-10752"/>
        <s v="TKT-2024-10753"/>
        <s v="TKT-2024-10754"/>
        <s v="TKT-2024-10755"/>
        <s v="TKT-2024-10756"/>
        <s v="TKT-2024-10757"/>
        <s v="TKT-2024-10758"/>
        <s v="TKT-2024-10759"/>
        <s v="TKT-2024-10760"/>
        <s v="TKT-2024-10761"/>
        <s v="TKT-2024-10762"/>
        <s v="TKT-2024-10763"/>
        <s v="TKT-2024-10764"/>
        <s v="TKT-2024-10765"/>
        <s v="TKT-2024-10766"/>
        <s v="TKT-2024-10767"/>
        <s v="TKT-2024-10768"/>
        <s v="TKT-2024-10769"/>
        <s v="TKT-2024-10770"/>
        <s v="TKT-2024-10771"/>
        <s v="TKT-2024-10772"/>
        <s v="TKT-2024-10773"/>
        <s v="TKT-2024-10774"/>
        <s v="TKT-2024-10775"/>
        <s v="TKT-2024-10776"/>
        <s v="TKT-2024-10777"/>
        <s v="TKT-2024-10778"/>
        <s v="TKT-2024-10779"/>
        <s v="TKT-2024-10780"/>
        <s v="TKT-2024-10781"/>
        <s v="TKT-2024-10782"/>
        <s v="TKT-2024-10783"/>
        <s v="TKT-2024-10784"/>
        <s v="TKT-2024-10785"/>
        <s v="TKT-2024-10786"/>
        <s v="TKT-2024-10787"/>
        <s v="TKT-2024-10788"/>
        <s v="TKT-2024-10789"/>
        <s v="TKT-2024-10790"/>
        <s v="TKT-2024-10791"/>
        <s v="TKT-2024-10792"/>
        <s v="TKT-2024-10793"/>
        <s v="TKT-2024-10794"/>
        <s v="TKT-2024-10795"/>
        <s v="TKT-2024-10796"/>
        <s v="TKT-2024-10797"/>
        <s v="TKT-2024-10798"/>
        <s v="TKT-2024-10799"/>
        <s v="TKT-2024-10800"/>
        <s v="TKT-2024-10801"/>
        <s v="TKT-2024-10802"/>
        <s v="TKT-2024-10803"/>
        <s v="TKT-2024-10804"/>
        <s v="TKT-2024-10805"/>
        <s v="TKT-2024-10806"/>
        <s v="TKT-2024-10807"/>
        <s v="TKT-2024-10808"/>
        <s v="TKT-2024-10809"/>
        <s v="TKT-2024-10810"/>
        <s v="TKT-2024-10811"/>
        <s v="TKT-2024-10812"/>
        <s v="TKT-2024-10813"/>
        <s v="TKT-2024-10814"/>
        <s v="TKT-2024-10815"/>
        <s v="TKT-2024-10816"/>
        <s v="TKT-2024-10817"/>
        <s v="TKT-2024-10818"/>
        <s v="TKT-2024-10819"/>
        <s v="TKT-2024-10820"/>
        <s v="TKT-2024-10821"/>
        <s v="TKT-2024-10822"/>
        <s v="TKT-2024-10823"/>
        <s v="TKT-2024-10824"/>
        <s v="TKT-2024-10825"/>
        <s v="TKT-2024-10826"/>
        <s v="TKT-2024-10827"/>
        <s v="TKT-2024-10828"/>
        <s v="TKT-2024-10829"/>
        <s v="TKT-2024-10830"/>
        <s v="TKT-2024-10831"/>
        <s v="TKT-2024-10832"/>
        <s v="TKT-2024-10833"/>
        <s v="TKT-2024-10834"/>
        <s v="TKT-2024-10835"/>
        <s v="TKT-2024-10836"/>
        <s v="TKT-2024-10837"/>
        <s v="TKT-2024-10838"/>
        <s v="TKT-2024-10839"/>
        <s v="TKT-2024-10840"/>
        <s v="TKT-2024-10841"/>
        <s v="TKT-2024-10842"/>
        <s v="TKT-2024-10843"/>
        <s v="TKT-2024-10844"/>
        <s v="TKT-2024-10845"/>
        <s v="TKT-2024-10846"/>
        <s v="TKT-2024-10847"/>
        <s v="TKT-2024-10848"/>
        <s v="TKT-2024-10849"/>
        <s v="TKT-2024-10850"/>
        <s v="TKT-2024-10851"/>
        <s v="TKT-2024-10852"/>
        <s v="TKT-2024-10853"/>
        <s v="TKT-2024-10854"/>
        <s v="TKT-2024-10855"/>
        <s v="TKT-2024-10856"/>
        <s v="TKT-2024-10857"/>
        <s v="TKT-2024-10858"/>
        <s v="TKT-2024-10859"/>
        <s v="TKT-2024-10860"/>
        <s v="TKT-2024-10861"/>
        <s v="TKT-2024-10862"/>
        <s v="TKT-2024-10863"/>
        <s v="TKT-2024-10864"/>
        <s v="TKT-2024-10865"/>
        <s v="TKT-2024-10866"/>
        <s v="TKT-2024-10867"/>
        <s v="TKT-2024-10868"/>
        <s v="TKT-2024-10869"/>
        <s v="TKT-2024-10870"/>
        <s v="TKT-2024-10871"/>
        <s v="TKT-2024-10872"/>
        <s v="TKT-2024-10873"/>
        <s v="TKT-2024-10874"/>
        <s v="TKT-2024-10875"/>
        <s v="TKT-2024-10876"/>
        <s v="TKT-2024-10877"/>
        <s v="TKT-2024-10878"/>
        <s v="TKT-2024-10879"/>
        <s v="TKT-2024-10880"/>
        <s v="TKT-2024-10881"/>
        <s v="TKT-2024-10882"/>
        <s v="TKT-2024-10883"/>
        <s v="TKT-2024-10884"/>
        <s v="TKT-2024-10885"/>
        <s v="TKT-2024-10886"/>
        <s v="TKT-2024-10887"/>
        <s v="TKT-2024-10888"/>
        <s v="TKT-2024-10889"/>
        <s v="TKT-2024-10890"/>
        <s v="TKT-2024-10891"/>
        <s v="TKT-2024-10892"/>
        <s v="TKT-2024-10893"/>
        <s v="TKT-2024-10894"/>
        <s v="TKT-2024-10895"/>
        <s v="TKT-2024-10896"/>
        <s v="TKT-2024-10897"/>
        <s v="TKT-2024-10898"/>
        <s v="TKT-2024-10899"/>
        <s v="TKT-2024-10900"/>
        <s v="TKT-2024-10901"/>
        <s v="TKT-2024-10902"/>
        <s v="TKT-2024-10903"/>
        <s v="TKT-2024-10904"/>
        <s v="TKT-2024-10905"/>
        <s v="TKT-2024-10906"/>
        <s v="TKT-2024-10907"/>
        <s v="TKT-2024-10908"/>
        <s v="TKT-2024-10909"/>
        <s v="TKT-2024-10910"/>
        <s v="TKT-2024-10911"/>
        <s v="TKT-2024-10912"/>
        <s v="TKT-2024-10913"/>
        <s v="TKT-2024-10914"/>
        <s v="TKT-2024-10915"/>
        <s v="TKT-2024-10916"/>
        <s v="TKT-2024-10917"/>
        <s v="TKT-2024-10918"/>
        <s v="TKT-2024-10919"/>
        <s v="TKT-2024-10920"/>
        <s v="TKT-2024-10921"/>
        <s v="TKT-2024-10922"/>
        <s v="TKT-2024-10923"/>
        <s v="TKT-2024-10924"/>
        <s v="TKT-2024-10925"/>
        <s v="TKT-2024-10926"/>
        <s v="TKT-2024-10927"/>
        <s v="TKT-2024-10928"/>
        <s v="TKT-2024-10929"/>
        <s v="TKT-2024-10930"/>
        <s v="TKT-2024-10931"/>
        <s v="TKT-2024-10932"/>
        <s v="TKT-2024-10933"/>
        <s v="TKT-2024-10934"/>
        <s v="TKT-2024-10935"/>
        <s v="TKT-2024-10936"/>
        <s v="TKT-2024-10937"/>
        <s v="TKT-2024-10938"/>
        <s v="TKT-2024-10939"/>
        <s v="TKT-2024-10940"/>
        <s v="TKT-2024-10941"/>
        <s v="TKT-2024-10942"/>
        <s v="TKT-2024-10943"/>
        <s v="TKT-2024-10944"/>
        <s v="TKT-2024-10945"/>
        <s v="TKT-2024-10946"/>
        <s v="TKT-2024-10947"/>
        <s v="TKT-2024-10948"/>
        <s v="TKT-2024-10949"/>
        <s v="TKT-2024-10950"/>
        <s v="TKT-2024-10951"/>
        <s v="TKT-2024-10952"/>
        <s v="TKT-2024-10953"/>
        <s v="TKT-2024-10954"/>
        <s v="TKT-2024-10955"/>
        <s v="TKT-2024-10956"/>
        <s v="TKT-2024-10957"/>
        <s v="TKT-2024-10958"/>
        <s v="TKT-2024-10959"/>
        <s v="TKT-2024-10960"/>
        <s v="TKT-2024-10961"/>
        <s v="TKT-2024-10962"/>
        <s v="TKT-2024-10963"/>
        <s v="TKT-2024-10964"/>
        <s v="TKT-2024-10965"/>
        <s v="TKT-2024-10966"/>
        <s v="TKT-2024-10967"/>
        <s v="TKT-2024-10968"/>
        <s v="TKT-2024-10969"/>
        <s v="TKT-2024-10970"/>
        <s v="TKT-2024-10971"/>
        <s v="TKT-2024-10972"/>
        <s v="TKT-2024-10973"/>
        <s v="TKT-2024-10974"/>
        <s v="TKT-2024-10975"/>
        <s v="TKT-2024-10976"/>
        <s v="TKT-2024-10977"/>
        <s v="TKT-2024-10978"/>
        <s v="TKT-2024-10979"/>
        <s v="TKT-2024-10980"/>
        <s v="TKT-2024-10981"/>
        <s v="TKT-2024-10982"/>
        <s v="TKT-2024-10983"/>
        <s v="TKT-2024-10984"/>
        <s v="TKT-2024-10985"/>
        <s v="TKT-2024-10986"/>
        <s v="TKT-2024-10987"/>
        <s v="TKT-2024-10988"/>
        <s v="TKT-2024-10989"/>
        <s v="TKT-2024-10990"/>
        <s v="TKT-2024-10991"/>
        <s v="TKT-2024-10992"/>
        <s v="TKT-2024-10993"/>
        <s v="TKT-2024-10994"/>
        <s v="TKT-2024-10995"/>
        <s v="TKT-2024-10996"/>
        <s v="TKT-2024-10997"/>
        <s v="TKT-2024-10998"/>
        <s v="TKT-2024-10999"/>
        <s v="TKT-2024-11000"/>
        <s v="TKT-2024-11001"/>
        <s v="TKT-2024-11002"/>
        <s v="TKT-2024-11003"/>
        <s v="TKT-2024-11004"/>
        <s v="TKT-2024-11005"/>
        <s v="TKT-2024-11006"/>
        <s v="TKT-2024-11007"/>
        <s v="TKT-2024-11008"/>
        <s v="TKT-2024-11009"/>
        <s v="TKT-2024-11010"/>
        <s v="TKT-2024-11011"/>
        <s v="TKT-2024-11012"/>
        <s v="TKT-2024-11013"/>
        <s v="TKT-2024-11014"/>
        <s v="TKT-2024-11015"/>
        <s v="TKT-2024-11016"/>
        <s v="TKT-2024-11017"/>
        <s v="TKT-2024-11018"/>
        <s v="TKT-2024-11019"/>
        <s v="TKT-2024-11020"/>
        <s v="TKT-2024-11021"/>
        <s v="TKT-2024-11022"/>
        <s v="TKT-2024-11023"/>
        <s v="TKT-2024-11024"/>
        <s v="TKT-2024-11025"/>
        <s v="TKT-2024-11026"/>
        <s v="TKT-2024-11027"/>
        <s v="TKT-2024-11028"/>
        <s v="TKT-2024-11029"/>
        <s v="TKT-2024-11030"/>
        <s v="TKT-2024-11031"/>
        <s v="TKT-2024-11032"/>
        <s v="TKT-2024-11033"/>
        <s v="TKT-2024-11034"/>
        <s v="TKT-2024-11035"/>
        <s v="TKT-2024-11036"/>
        <s v="TKT-2024-11037"/>
        <s v="TKT-2024-11038"/>
        <s v="TKT-2024-11039"/>
        <s v="TKT-2024-11040"/>
        <s v="TKT-2024-11041"/>
        <s v="TKT-2024-11042"/>
        <s v="TKT-2024-11043"/>
        <s v="TKT-2024-11044"/>
        <s v="TKT-2024-11045"/>
        <s v="TKT-2024-11046"/>
        <s v="TKT-2024-11047"/>
        <s v="TKT-2024-11048"/>
        <s v="TKT-2024-11049"/>
        <s v="TKT-2024-11050"/>
        <s v="TKT-2024-11051"/>
        <s v="TKT-2024-11052"/>
        <s v="TKT-2024-11053"/>
        <s v="TKT-2024-11054"/>
        <s v="TKT-2024-11055"/>
        <s v="TKT-2024-11056"/>
        <s v="TKT-2024-11057"/>
        <s v="TKT-2024-11058"/>
        <s v="TKT-2024-11059"/>
        <s v="TKT-2024-11060"/>
        <s v="TKT-2024-11061"/>
        <s v="TKT-2024-11062"/>
        <s v="TKT-2024-11063"/>
        <s v="TKT-2024-11064"/>
        <s v="TKT-2024-11065"/>
        <s v="TKT-2024-11066"/>
        <s v="TKT-2024-11067"/>
        <s v="TKT-2024-11068"/>
        <s v="TKT-2024-11069"/>
        <s v="TKT-2024-11070"/>
        <s v="TKT-2024-11071"/>
        <s v="TKT-2024-11072"/>
        <s v="TKT-2024-11073"/>
        <s v="TKT-2024-11074"/>
        <s v="TKT-2024-11075"/>
        <s v="TKT-2024-11076"/>
        <s v="TKT-2024-11077"/>
        <s v="TKT-2024-11078"/>
        <s v="TKT-2024-11079"/>
        <s v="TKT-2024-11080"/>
        <s v="TKT-2024-11081"/>
        <s v="TKT-2024-11082"/>
        <s v="TKT-2024-11083"/>
        <s v="TKT-2024-11084"/>
        <s v="TKT-2024-11085"/>
        <s v="TKT-2024-11086"/>
        <s v="TKT-2024-11087"/>
        <s v="TKT-2024-11088"/>
        <s v="TKT-2024-11089"/>
        <s v="TKT-2024-11090"/>
        <s v="TKT-2024-11091"/>
        <s v="TKT-2024-11092"/>
        <s v="TKT-2024-11093"/>
        <s v="TKT-2024-11094"/>
        <s v="TKT-2024-11095"/>
        <s v="TKT-2024-11096"/>
        <s v="TKT-2024-11097"/>
        <s v="TKT-2024-11098"/>
        <s v="TKT-2024-11099"/>
        <s v="TKT-2024-11100"/>
        <s v="TKT-2024-11101"/>
        <s v="TKT-2024-11102"/>
        <s v="TKT-2024-11103"/>
        <s v="TKT-2024-11104"/>
        <s v="TKT-2024-11105"/>
        <s v="TKT-2024-11106"/>
        <s v="TKT-2024-11107"/>
        <s v="TKT-2024-11108"/>
        <s v="TKT-2024-11109"/>
        <s v="TKT-2024-11110"/>
        <s v="TKT-2024-11111"/>
        <s v="TKT-2024-11112"/>
        <s v="TKT-2024-11113"/>
        <s v="TKT-2024-11114"/>
        <s v="TKT-2024-11115"/>
        <s v="TKT-2024-11116"/>
        <s v="TKT-2024-11117"/>
        <s v="TKT-2024-11118"/>
        <s v="TKT-2024-11119"/>
        <s v="TKT-2024-11120"/>
        <s v="TKT-2024-11121"/>
        <s v="TKT-2024-11122"/>
        <s v="TKT-2024-11123"/>
        <s v="TKT-2024-11124"/>
        <s v="TKT-2024-11125"/>
        <s v="TKT-2024-11126"/>
        <s v="TKT-2024-11127"/>
        <s v="TKT-2024-11128"/>
        <s v="TKT-2024-11129"/>
        <s v="TKT-2024-11130"/>
        <s v="TKT-2024-11131"/>
        <s v="TKT-2024-11132"/>
        <s v="TKT-2024-11133"/>
        <s v="TKT-2024-11134"/>
        <s v="TKT-2024-11135"/>
        <s v="TKT-2024-11136"/>
        <s v="TKT-2024-11137"/>
        <s v="TKT-2024-11138"/>
        <s v="TKT-2024-11139"/>
        <s v="TKT-2024-11140"/>
        <s v="TKT-2024-11141"/>
        <s v="TKT-2024-11142"/>
        <s v="TKT-2024-11143"/>
        <s v="TKT-2024-11144"/>
        <s v="TKT-2024-11145"/>
        <s v="TKT-2024-11146"/>
        <s v="TKT-2024-11147"/>
        <s v="TKT-2024-11148"/>
        <s v="TKT-2024-11149"/>
        <s v="TKT-2024-11150"/>
        <s v="TKT-2024-11151"/>
        <s v="TKT-2024-11152"/>
        <s v="TKT-2024-11153"/>
        <s v="TKT-2024-11154"/>
        <s v="TKT-2024-11155"/>
        <s v="TKT-2024-11156"/>
        <s v="TKT-2024-11157"/>
        <s v="TKT-2024-11158"/>
        <s v="TKT-2024-11159"/>
        <s v="TKT-2024-11160"/>
        <s v="TKT-2024-11161"/>
        <s v="TKT-2024-11162"/>
        <s v="TKT-2024-11163"/>
        <s v="TKT-2024-11164"/>
        <s v="TKT-2024-11165"/>
        <s v="TKT-2024-11166"/>
        <s v="TKT-2024-11167"/>
        <s v="TKT-2024-11168"/>
        <s v="TKT-2024-11169"/>
        <s v="TKT-2024-11170"/>
        <s v="TKT-2024-11171"/>
        <s v="TKT-2024-11172"/>
        <s v="TKT-2024-11173"/>
        <s v="TKT-2024-11174"/>
        <s v="TKT-2024-11175"/>
        <s v="TKT-2024-11176"/>
        <s v="TKT-2024-11177"/>
        <s v="TKT-2024-11178"/>
        <s v="TKT-2024-11179"/>
        <s v="TKT-2024-11180"/>
        <s v="TKT-2024-11181"/>
        <s v="TKT-2024-11182"/>
        <s v="TKT-2024-11183"/>
        <s v="TKT-2024-11184"/>
        <s v="TKT-2024-11185"/>
        <s v="TKT-2024-11186"/>
        <s v="TKT-2024-11187"/>
        <s v="TKT-2024-11188"/>
        <s v="TKT-2024-11189"/>
        <s v="TKT-2024-11190"/>
        <s v="TKT-2024-11191"/>
        <s v="TKT-2024-11192"/>
        <s v="TKT-2024-11193"/>
        <s v="TKT-2024-11194"/>
        <s v="TKT-2024-11195"/>
        <s v="TKT-2024-11196"/>
        <s v="TKT-2024-11197"/>
        <s v="TKT-2024-11198"/>
        <s v="TKT-2024-11199"/>
        <s v="TKT-2024-11200"/>
        <s v="TKT-2024-11201"/>
        <s v="TKT-2024-11202"/>
        <s v="TKT-2024-11203"/>
        <s v="TKT-2024-11204"/>
        <s v="TKT-2024-11205"/>
        <s v="TKT-2024-11206"/>
        <s v="TKT-2024-11207"/>
        <s v="TKT-2024-11208"/>
        <s v="TKT-2024-11209"/>
        <s v="TKT-2024-11210"/>
        <s v="TKT-2024-11211"/>
        <s v="TKT-2024-11212"/>
        <s v="TKT-2024-11213"/>
        <s v="TKT-2024-11214"/>
        <s v="TKT-2024-11215"/>
        <s v="TKT-2024-11216"/>
        <s v="TKT-2024-11217"/>
        <s v="TKT-2024-11218"/>
        <s v="TKT-2024-11219"/>
        <s v="TKT-2024-11220"/>
        <s v="TKT-2024-11221"/>
        <s v="TKT-2024-11222"/>
        <s v="TKT-2024-11223"/>
        <s v="TKT-2024-11224"/>
        <s v="TKT-2024-11225"/>
        <s v="TKT-2024-11226"/>
        <s v="TKT-2024-11227"/>
        <s v="TKT-2024-11228"/>
        <s v="TKT-2024-11229"/>
        <s v="TKT-2024-11230"/>
        <s v="TKT-2024-11231"/>
        <s v="TKT-2024-11232"/>
        <s v="TKT-2024-11233"/>
        <s v="TKT-2024-11234"/>
        <s v="TKT-2024-11235"/>
        <s v="TKT-2024-11236"/>
        <s v="TKT-2024-11237"/>
        <s v="TKT-2024-11238"/>
        <s v="TKT-2024-11239"/>
        <s v="TKT-2024-11240"/>
        <s v="TKT-2024-11241"/>
        <s v="TKT-2024-11242"/>
        <s v="TKT-2024-11243"/>
        <s v="TKT-2024-11244"/>
        <s v="TKT-2024-11245"/>
        <s v="TKT-2024-11246"/>
        <s v="TKT-2024-11247"/>
        <s v="TKT-2024-11248"/>
        <s v="TKT-2024-11249"/>
        <s v="TKT-2024-11250"/>
        <s v="TKT-2024-11251"/>
        <s v="TKT-2024-11252"/>
        <s v="TKT-2024-11253"/>
        <s v="TKT-2024-11254"/>
        <s v="TKT-2024-11255"/>
        <s v="TKT-2024-11256"/>
        <s v="TKT-2024-11257"/>
        <s v="TKT-2024-11258"/>
        <s v="TKT-2024-11259"/>
        <s v="TKT-2024-11260"/>
        <s v="TKT-2024-11261"/>
        <s v="TKT-2024-11262"/>
        <s v="TKT-2024-11263"/>
        <s v="TKT-2024-11264"/>
        <s v="TKT-2024-11265"/>
        <s v="TKT-2024-11266"/>
        <s v="TKT-2024-11267"/>
        <s v="TKT-2024-11268"/>
        <s v="TKT-2024-11269"/>
        <s v="TKT-2024-11270"/>
        <s v="TKT-2024-11271"/>
        <s v="TKT-2024-11272"/>
        <s v="TKT-2024-11273"/>
        <s v="TKT-2024-11274"/>
        <s v="TKT-2024-11275"/>
        <s v="TKT-2024-11276"/>
        <s v="TKT-2024-11277"/>
        <s v="TKT-2024-11278"/>
        <s v="TKT-2024-11279"/>
        <s v="TKT-2024-11280"/>
        <s v="TKT-2024-11281"/>
        <s v="TKT-2024-11282"/>
        <s v="TKT-2024-11283"/>
        <s v="TKT-2024-11284"/>
        <s v="TKT-2024-11285"/>
        <s v="TKT-2024-11286"/>
        <s v="TKT-2024-11287"/>
        <s v="TKT-2024-11288"/>
        <s v="TKT-2024-11289"/>
        <s v="TKT-2024-11290"/>
        <s v="TKT-2024-11291"/>
        <s v="TKT-2024-11292"/>
        <s v="TKT-2024-11293"/>
        <s v="TKT-2024-11294"/>
        <s v="TKT-2024-11295"/>
        <s v="TKT-2024-11296"/>
        <s v="TKT-2024-11297"/>
        <s v="TKT-2024-11298"/>
        <s v="TKT-2024-11299"/>
        <s v="TKT-2024-11300"/>
        <s v="TKT-2024-11301"/>
        <s v="TKT-2024-11302"/>
        <s v="TKT-2024-11303"/>
        <s v="TKT-2024-11304"/>
        <s v="TKT-2024-11305"/>
        <s v="TKT-2024-11306"/>
        <s v="TKT-2024-11307"/>
        <s v="TKT-2024-11308"/>
        <s v="TKT-2024-11309"/>
        <s v="TKT-2024-11310"/>
        <s v="TKT-2024-11311"/>
        <s v="TKT-2024-11312"/>
        <s v="TKT-2024-11313"/>
        <s v="TKT-2024-11314"/>
        <s v="TKT-2024-11315"/>
        <s v="TKT-2024-11316"/>
        <s v="TKT-2024-11317"/>
        <s v="TKT-2024-11318"/>
        <s v="TKT-2024-11319"/>
        <s v="TKT-2024-11320"/>
        <s v="TKT-2024-11321"/>
        <s v="TKT-2024-11322"/>
        <s v="TKT-2024-11323"/>
        <s v="TKT-2024-11324"/>
        <s v="TKT-2024-11325"/>
        <s v="TKT-2024-11326"/>
        <s v="TKT-2024-11327"/>
        <s v="TKT-2024-11328"/>
        <s v="TKT-2024-11329"/>
        <s v="TKT-2024-11330"/>
        <s v="TKT-2024-11331"/>
        <s v="TKT-2024-11332"/>
        <s v="TKT-2024-11333"/>
        <s v="TKT-2024-11334"/>
        <s v="TKT-2024-11335"/>
        <s v="TKT-2024-11336"/>
        <s v="TKT-2024-11337"/>
        <s v="TKT-2024-11338"/>
        <s v="TKT-2024-11339"/>
        <s v="TKT-2024-11340"/>
        <s v="TKT-2024-11341"/>
        <s v="TKT-2024-11342"/>
        <s v="TKT-2024-11343"/>
        <s v="TKT-2024-11344"/>
        <s v="TKT-2024-11345"/>
        <s v="TKT-2024-11346"/>
        <s v="TKT-2024-11347"/>
        <s v="TKT-2024-11348"/>
        <s v="TKT-2024-11349"/>
        <s v="TKT-2024-11350"/>
        <s v="TKT-2024-11351"/>
        <s v="TKT-2024-11352"/>
        <s v="TKT-2024-11353"/>
        <s v="TKT-2024-11354"/>
        <s v="TKT-2024-11355"/>
        <s v="TKT-2024-11356"/>
        <s v="TKT-2024-11357"/>
        <s v="TKT-2024-11358"/>
        <s v="TKT-2024-11359"/>
        <s v="TKT-2024-11360"/>
        <s v="TKT-2024-11361"/>
        <s v="TKT-2024-11362"/>
        <s v="TKT-2024-11363"/>
        <s v="TKT-2024-11364"/>
        <s v="TKT-2024-11365"/>
        <s v="TKT-2024-11366"/>
        <s v="TKT-2024-11367"/>
        <s v="TKT-2024-11368"/>
        <s v="TKT-2024-11369"/>
        <s v="TKT-2024-11370"/>
        <s v="TKT-2024-11371"/>
        <s v="TKT-2024-11372"/>
        <s v="TKT-2024-11373"/>
        <s v="TKT-2024-11374"/>
        <s v="TKT-2024-11375"/>
        <s v="TKT-2024-11376"/>
        <s v="TKT-2024-11377"/>
        <s v="TKT-2024-11378"/>
        <s v="TKT-2024-11379"/>
        <s v="TKT-2024-11380"/>
        <s v="TKT-2024-11381"/>
        <s v="TKT-2024-11382"/>
        <s v="TKT-2024-11383"/>
        <s v="TKT-2024-11384"/>
        <s v="TKT-2024-11385"/>
        <s v="TKT-2024-11386"/>
        <s v="TKT-2024-11387"/>
        <s v="TKT-2024-11388"/>
        <s v="TKT-2024-11389"/>
        <s v="TKT-2024-11390"/>
        <s v="TKT-2024-11391"/>
        <s v="TKT-2024-11392"/>
        <s v="TKT-2024-11393"/>
        <s v="TKT-2024-11394"/>
        <s v="TKT-2024-11395"/>
        <s v="TKT-2024-11396"/>
        <s v="TKT-2024-11397"/>
        <s v="TKT-2024-11398"/>
        <s v="TKT-2024-11399"/>
        <s v="TKT-2024-11400"/>
        <s v="TKT-2024-11401"/>
        <s v="TKT-2024-11402"/>
        <s v="TKT-2024-11403"/>
        <s v="TKT-2024-11404"/>
        <s v="TKT-2024-11405"/>
        <s v="TKT-2024-11406"/>
        <s v="TKT-2024-11407"/>
        <s v="TKT-2024-11408"/>
        <s v="TKT-2024-11409"/>
        <s v="TKT-2024-11410"/>
        <s v="TKT-2024-11411"/>
        <s v="TKT-2024-11412"/>
        <s v="TKT-2024-11413"/>
        <s v="TKT-2024-11414"/>
        <s v="TKT-2024-11415"/>
        <s v="TKT-2024-11416"/>
        <s v="TKT-2024-11417"/>
        <s v="TKT-2024-11418"/>
        <s v="TKT-2024-11419"/>
        <s v="TKT-2024-11420"/>
        <s v="TKT-2024-11421"/>
        <s v="TKT-2024-11422"/>
        <s v="TKT-2024-11423"/>
        <s v="TKT-2024-11424"/>
        <s v="TKT-2024-11425"/>
        <s v="TKT-2024-11426"/>
        <s v="TKT-2024-11427"/>
        <s v="TKT-2024-11428"/>
        <s v="TKT-2024-11429"/>
        <s v="TKT-2024-11430"/>
        <s v="TKT-2024-11431"/>
        <s v="TKT-2024-11432"/>
        <s v="TKT-2024-11433"/>
        <s v="TKT-2024-11434"/>
        <s v="TKT-2024-11435"/>
        <s v="TKT-2024-11436"/>
        <s v="TKT-2024-11437"/>
        <s v="TKT-2024-11438"/>
        <s v="TKT-2024-11439"/>
        <s v="TKT-2024-11440"/>
        <s v="TKT-2024-11441"/>
        <s v="TKT-2024-11442"/>
        <s v="TKT-2024-11443"/>
        <s v="TKT-2024-11444"/>
        <s v="TKT-2024-11445"/>
        <s v="TKT-2024-11446"/>
        <s v="TKT-2024-11447"/>
        <s v="TKT-2024-11448"/>
        <s v="TKT-2024-11449"/>
        <s v="TKT-2024-11450"/>
        <s v="TKT-2024-11451"/>
        <s v="TKT-2024-11452"/>
        <s v="TKT-2024-11453"/>
        <s v="TKT-2024-11454"/>
        <s v="TKT-2024-11455"/>
        <s v="TKT-2024-11456"/>
        <s v="TKT-2024-11457"/>
        <s v="TKT-2024-11458"/>
        <s v="TKT-2024-11459"/>
        <s v="TKT-2024-11460"/>
        <s v="TKT-2024-11461"/>
        <s v="TKT-2024-11462"/>
        <s v="TKT-2024-11463"/>
        <s v="TKT-2024-11464"/>
        <s v="TKT-2024-11465"/>
        <s v="TKT-2024-11466"/>
        <s v="TKT-2024-11467"/>
        <s v="TKT-2024-11468"/>
        <s v="TKT-2024-11469"/>
        <s v="TKT-2024-11470"/>
        <s v="TKT-2024-11471"/>
        <s v="TKT-2024-11472"/>
        <s v="TKT-2024-11473"/>
        <s v="TKT-2024-11474"/>
        <s v="TKT-2024-11475"/>
        <s v="TKT-2024-11476"/>
        <s v="TKT-2024-11477"/>
        <s v="TKT-2024-11478"/>
        <s v="TKT-2024-11479"/>
        <s v="TKT-2024-11480"/>
        <s v="TKT-2024-11481"/>
        <s v="TKT-2024-11482"/>
        <s v="TKT-2024-11483"/>
        <s v="TKT-2024-11484"/>
        <s v="TKT-2024-11485"/>
        <s v="TKT-2024-11486"/>
        <s v="TKT-2024-11487"/>
        <s v="TKT-2024-11488"/>
        <s v="TKT-2024-11489"/>
        <s v="TKT-2024-11490"/>
        <s v="TKT-2024-11491"/>
        <s v="TKT-2024-11492"/>
        <s v="TKT-2024-11493"/>
        <s v="TKT-2024-11494"/>
        <s v="TKT-2024-11495"/>
        <s v="TKT-2024-11496"/>
        <s v="TKT-2024-11497"/>
        <s v="TKT-2024-11498"/>
        <s v="TKT-2024-11499"/>
        <s v="TKT-2024-11500"/>
        <s v="TKT-2024-11501"/>
        <s v="TKT-2024-11502"/>
        <s v="TKT-2024-11503"/>
        <s v="TKT-2024-11504"/>
        <s v="TKT-2024-11505"/>
        <s v="TKT-2024-11506"/>
        <s v="TKT-2024-11507"/>
        <s v="TKT-2024-11508"/>
        <s v="TKT-2024-11509"/>
        <s v="TKT-2024-11510"/>
        <s v="TKT-2024-11511"/>
        <s v="TKT-2024-11512"/>
        <s v="TKT-2024-11513"/>
        <s v="TKT-2024-11514"/>
        <s v="TKT-2024-11515"/>
        <s v="TKT-2024-11516"/>
        <s v="TKT-2024-11517"/>
        <s v="TKT-2024-11518"/>
        <s v="TKT-2024-11519"/>
        <s v="TKT-2024-11520"/>
        <s v="TKT-2024-11521"/>
        <s v="TKT-2024-11522"/>
        <s v="TKT-2024-11523"/>
        <s v="TKT-2024-11524"/>
        <s v="TKT-2024-11525"/>
        <s v="TKT-2024-11526"/>
        <s v="TKT-2024-11527"/>
        <s v="TKT-2024-11528"/>
        <s v="TKT-2024-11529"/>
        <s v="TKT-2024-11530"/>
        <s v="TKT-2024-11531"/>
        <s v="TKT-2024-11532"/>
        <s v="TKT-2024-11533"/>
        <s v="TKT-2024-11534"/>
        <s v="TKT-2024-11535"/>
        <s v="TKT-2024-11536"/>
        <s v="TKT-2024-11537"/>
        <s v="TKT-2024-11538"/>
        <s v="TKT-2024-11539"/>
        <s v="TKT-2024-11540"/>
        <s v="TKT-2024-11541"/>
        <s v="TKT-2024-11542"/>
        <s v="TKT-2024-11543"/>
        <s v="TKT-2024-11544"/>
        <s v="TKT-2024-11545"/>
        <s v="TKT-2024-11546"/>
        <s v="TKT-2024-11547"/>
        <s v="TKT-2024-11548"/>
        <s v="TKT-2024-11549"/>
        <s v="TKT-2024-11550"/>
        <s v="TKT-2024-11551"/>
        <s v="TKT-2024-11552"/>
        <s v="TKT-2024-11553"/>
        <s v="TKT-2024-11554"/>
        <s v="TKT-2024-11555"/>
        <s v="TKT-2024-11556"/>
        <s v="TKT-2024-11557"/>
        <s v="TKT-2024-11558"/>
        <s v="TKT-2024-11559"/>
        <s v="TKT-2024-11560"/>
        <s v="TKT-2024-11561"/>
        <s v="TKT-2024-11562"/>
        <s v="TKT-2024-11563"/>
        <s v="TKT-2024-11564"/>
        <s v="TKT-2024-11565"/>
        <s v="TKT-2024-11566"/>
        <s v="TKT-2024-11567"/>
        <s v="TKT-2024-11568"/>
        <s v="TKT-2024-11569"/>
        <s v="TKT-2024-11570"/>
        <s v="TKT-2024-11571"/>
        <s v="TKT-2024-11572"/>
        <s v="TKT-2024-11573"/>
        <s v="TKT-2024-11574"/>
        <s v="TKT-2024-11575"/>
        <s v="TKT-2024-11576"/>
        <s v="TKT-2024-11577"/>
        <s v="TKT-2024-11578"/>
        <s v="TKT-2024-11579"/>
        <s v="TKT-2024-11580"/>
        <s v="TKT-2024-11581"/>
        <s v="TKT-2024-11582"/>
        <s v="TKT-2024-11583"/>
        <s v="TKT-2024-11584"/>
        <s v="TKT-2024-11585"/>
        <s v="TKT-2024-11586"/>
        <s v="TKT-2024-11587"/>
        <s v="TKT-2024-11588"/>
        <s v="TKT-2024-11589"/>
        <s v="TKT-2024-11590"/>
        <s v="TKT-2024-11591"/>
        <s v="TKT-2024-11592"/>
        <s v="TKT-2024-11593"/>
        <s v="TKT-2024-11594"/>
        <s v="TKT-2024-11595"/>
        <s v="TKT-2024-11596"/>
        <s v="TKT-2024-11597"/>
        <s v="TKT-2024-11598"/>
        <s v="TKT-2024-11599"/>
        <s v="TKT-2024-11600"/>
        <s v="TKT-2024-11601"/>
        <s v="TKT-2024-11602"/>
        <s v="TKT-2024-11603"/>
        <s v="TKT-2024-11604"/>
        <s v="TKT-2024-11605"/>
        <s v="TKT-2024-11606"/>
        <s v="TKT-2024-11607"/>
        <s v="TKT-2024-11608"/>
        <s v="TKT-2024-11609"/>
        <s v="TKT-2024-11610"/>
        <s v="TKT-2024-11611"/>
        <s v="TKT-2024-11612"/>
        <s v="TKT-2024-11613"/>
        <s v="TKT-2024-11614"/>
        <s v="TKT-2024-11615"/>
        <s v="TKT-2024-11616"/>
        <s v="TKT-2024-11617"/>
        <s v="TKT-2024-11618"/>
        <s v="TKT-2024-11619"/>
        <s v="TKT-2024-11620"/>
        <s v="TKT-2024-11621"/>
        <s v="TKT-2024-11622"/>
        <s v="TKT-2024-11623"/>
        <s v="TKT-2024-11624"/>
        <s v="TKT-2024-11625"/>
        <s v="TKT-2024-11626"/>
        <s v="TKT-2024-11627"/>
        <s v="TKT-2024-11628"/>
        <s v="TKT-2024-11629"/>
        <s v="TKT-2024-11630"/>
        <s v="TKT-2024-11631"/>
        <s v="TKT-2024-11632"/>
        <s v="TKT-2024-11633"/>
        <s v="TKT-2024-11634"/>
        <s v="TKT-2024-11635"/>
        <s v="TKT-2024-11636"/>
        <s v="TKT-2024-11637"/>
        <s v="TKT-2024-11638"/>
        <s v="TKT-2024-11639"/>
        <s v="TKT-2024-11640"/>
        <s v="TKT-2024-11641"/>
        <s v="TKT-2024-11642"/>
        <s v="TKT-2024-11643"/>
        <s v="TKT-2024-11644"/>
        <s v="TKT-2024-11645"/>
        <s v="TKT-2024-11646"/>
        <s v="TKT-2024-11647"/>
        <s v="TKT-2024-11648"/>
        <s v="TKT-2024-11649"/>
        <s v="TKT-2024-11650"/>
        <s v="TKT-2024-11651"/>
        <s v="TKT-2024-11652"/>
        <s v="TKT-2024-11653"/>
        <s v="TKT-2024-11654"/>
        <s v="TKT-2024-11655"/>
        <s v="TKT-2024-11656"/>
        <s v="TKT-2024-11657"/>
        <s v="TKT-2024-11658"/>
        <s v="TKT-2024-11659"/>
        <s v="TKT-2024-11660"/>
        <s v="TKT-2024-11661"/>
        <s v="TKT-2024-11662"/>
        <s v="TKT-2024-11663"/>
        <s v="TKT-2024-11664"/>
        <s v="TKT-2024-11665"/>
        <s v="TKT-2024-11666"/>
        <s v="TKT-2024-11667"/>
        <s v="TKT-2024-11668"/>
        <s v="TKT-2024-11669"/>
        <s v="TKT-2024-11670"/>
        <s v="TKT-2024-11671"/>
        <s v="TKT-2024-11672"/>
        <s v="TKT-2024-11673"/>
        <s v="TKT-2024-11674"/>
        <s v="TKT-2024-11675"/>
        <s v="TKT-2024-11676"/>
        <s v="TKT-2024-11677"/>
        <s v="TKT-2024-11678"/>
        <s v="TKT-2024-11679"/>
        <s v="TKT-2024-11680"/>
        <s v="TKT-2024-11681"/>
        <s v="TKT-2024-11682"/>
        <s v="TKT-2024-11683"/>
        <s v="TKT-2024-11684"/>
        <s v="TKT-2024-11685"/>
        <s v="TKT-2024-11686"/>
        <s v="TKT-2024-11687"/>
        <s v="TKT-2024-11688"/>
        <s v="TKT-2024-11689"/>
        <s v="TKT-2024-11690"/>
        <s v="TKT-2024-11691"/>
        <s v="TKT-2024-11692"/>
        <s v="TKT-2024-11693"/>
        <s v="TKT-2024-11694"/>
        <s v="TKT-2024-11695"/>
        <s v="TKT-2024-11696"/>
        <s v="TKT-2024-11697"/>
        <s v="TKT-2024-11698"/>
        <s v="TKT-2024-11699"/>
        <s v="TKT-2024-11700"/>
        <s v="TKT-2024-11701"/>
        <s v="TKT-2024-11702"/>
        <s v="TKT-2024-11703"/>
        <s v="TKT-2024-11704"/>
        <s v="TKT-2024-11705"/>
        <s v="TKT-2024-11706"/>
        <s v="TKT-2024-11707"/>
        <s v="TKT-2024-11708"/>
        <s v="TKT-2024-11709"/>
        <s v="TKT-2024-11710"/>
        <s v="TKT-2024-11711"/>
        <s v="TKT-2024-11712"/>
        <s v="TKT-2024-11713"/>
        <s v="TKT-2024-11714"/>
        <s v="TKT-2024-11715"/>
        <s v="TKT-2024-11716"/>
        <s v="TKT-2024-11717"/>
        <s v="TKT-2024-11718"/>
        <s v="TKT-2024-11719"/>
        <s v="TKT-2024-11720"/>
        <s v="TKT-2024-11721"/>
        <s v="TKT-2024-11722"/>
        <s v="TKT-2024-11723"/>
        <s v="TKT-2024-11724"/>
        <s v="TKT-2024-11725"/>
        <s v="TKT-2024-11726"/>
        <s v="TKT-2024-11727"/>
        <s v="TKT-2024-11728"/>
        <s v="TKT-2024-11729"/>
        <s v="TKT-2024-11730"/>
        <s v="TKT-2024-11731"/>
        <s v="TKT-2024-11732"/>
        <s v="TKT-2024-11733"/>
        <s v="TKT-2024-11734"/>
        <s v="TKT-2024-11735"/>
        <s v="TKT-2024-11736"/>
        <s v="TKT-2024-11737"/>
        <s v="TKT-2024-11738"/>
        <s v="TKT-2024-11739"/>
        <s v="TKT-2024-11740"/>
        <s v="TKT-2024-11741"/>
        <s v="TKT-2024-11742"/>
        <s v="TKT-2024-11743"/>
        <s v="TKT-2024-11744"/>
        <s v="TKT-2024-11745"/>
        <s v="TKT-2024-11746"/>
        <s v="TKT-2024-11747"/>
        <s v="TKT-2024-11748"/>
        <s v="TKT-2024-11749"/>
        <s v="TKT-2024-11750"/>
        <s v="TKT-2024-11751"/>
        <s v="TKT-2024-11752"/>
        <s v="TKT-2024-11753"/>
        <s v="TKT-2024-11754"/>
        <s v="TKT-2024-11755"/>
        <s v="TKT-2024-11756"/>
        <s v="TKT-2024-11757"/>
        <s v="TKT-2024-11758"/>
        <s v="TKT-2024-11759"/>
        <s v="TKT-2024-11760"/>
        <s v="TKT-2024-11761"/>
        <s v="TKT-2024-11762"/>
        <s v="TKT-2024-11763"/>
        <s v="TKT-2024-11764"/>
        <s v="TKT-2024-11765"/>
        <s v="TKT-2024-11766"/>
        <s v="TKT-2024-11767"/>
        <s v="TKT-2024-11768"/>
        <s v="TKT-2024-11769"/>
        <s v="TKT-2024-11770"/>
        <s v="TKT-2024-11771"/>
        <s v="TKT-2024-11772"/>
        <s v="TKT-2024-11773"/>
        <s v="TKT-2024-11774"/>
        <s v="TKT-2024-11775"/>
        <s v="TKT-2024-11776"/>
        <s v="TKT-2024-11777"/>
        <s v="TKT-2024-11778"/>
        <s v="TKT-2024-11779"/>
        <s v="TKT-2024-11780"/>
        <s v="TKT-2024-11781"/>
        <s v="TKT-2024-11782"/>
        <s v="TKT-2024-11783"/>
        <s v="TKT-2024-11784"/>
        <s v="TKT-2024-11785"/>
        <s v="TKT-2024-11786"/>
        <s v="TKT-2024-11787"/>
        <s v="TKT-2024-11788"/>
        <s v="TKT-2024-11789"/>
        <s v="TKT-2024-11790"/>
        <s v="TKT-2024-11791"/>
        <s v="TKT-2024-11792"/>
        <s v="TKT-2024-11793"/>
        <s v="TKT-2024-11794"/>
        <s v="TKT-2024-11795"/>
        <s v="TKT-2024-11796"/>
        <s v="TKT-2024-11797"/>
        <s v="TKT-2024-11798"/>
        <s v="TKT-2024-11799"/>
        <s v="TKT-2024-11800"/>
        <s v="TKT-2024-11801"/>
        <s v="TKT-2024-11802"/>
        <s v="TKT-2024-11803"/>
        <s v="TKT-2024-11804"/>
        <s v="TKT-2024-11805"/>
        <s v="TKT-2024-11806"/>
        <s v="TKT-2024-11807"/>
        <s v="TKT-2024-11808"/>
        <s v="TKT-2024-11809"/>
        <s v="TKT-2024-11810"/>
        <s v="TKT-2024-11811"/>
        <s v="TKT-2024-11812"/>
        <s v="TKT-2024-11813"/>
        <s v="TKT-2024-11814"/>
        <s v="TKT-2024-11815"/>
        <s v="TKT-2024-11816"/>
        <s v="TKT-2024-11817"/>
        <s v="TKT-2024-11818"/>
        <s v="TKT-2024-11819"/>
        <s v="TKT-2024-11820"/>
        <s v="TKT-2024-11821"/>
        <s v="TKT-2024-11822"/>
        <s v="TKT-2024-11823"/>
        <s v="TKT-2024-11824"/>
        <s v="TKT-2024-11825"/>
        <s v="TKT-2024-11826"/>
        <s v="TKT-2024-11827"/>
        <s v="TKT-2024-11828"/>
        <s v="TKT-2024-11829"/>
        <s v="TKT-2024-11830"/>
        <s v="TKT-2024-11831"/>
        <s v="TKT-2024-11832"/>
        <s v="TKT-2024-11833"/>
        <s v="TKT-2024-11834"/>
        <s v="TKT-2024-11835"/>
        <s v="TKT-2024-11836"/>
        <s v="TKT-2024-11837"/>
        <s v="TKT-2024-11838"/>
        <s v="TKT-2024-11839"/>
        <s v="TKT-2024-11840"/>
        <s v="TKT-2024-11841"/>
        <s v="TKT-2024-11842"/>
        <s v="TKT-2024-11843"/>
        <s v="TKT-2024-11844"/>
        <s v="TKT-2024-11845"/>
        <s v="TKT-2024-11846"/>
        <s v="TKT-2024-11847"/>
        <s v="TKT-2024-11848"/>
        <s v="TKT-2024-11849"/>
        <s v="TKT-2024-11850"/>
        <s v="TKT-2024-11851"/>
        <s v="TKT-2024-11852"/>
        <s v="TKT-2024-11853"/>
        <s v="TKT-2024-11854"/>
        <s v="TKT-2024-11855"/>
        <s v="TKT-2024-11856"/>
        <s v="TKT-2024-11857"/>
        <s v="TKT-2024-11858"/>
        <s v="TKT-2024-11859"/>
        <s v="TKT-2024-11860"/>
        <s v="TKT-2024-11861"/>
        <s v="TKT-2024-11862"/>
        <s v="TKT-2024-11863"/>
        <s v="TKT-2024-11864"/>
        <s v="TKT-2024-11865"/>
        <s v="TKT-2024-11866"/>
        <s v="TKT-2024-11867"/>
        <s v="TKT-2024-11868"/>
        <s v="TKT-2024-11869"/>
        <s v="TKT-2024-11870"/>
        <s v="TKT-2024-11871"/>
        <s v="TKT-2024-11872"/>
        <s v="TKT-2024-11873"/>
        <s v="TKT-2024-11874"/>
        <s v="TKT-2024-11875"/>
        <s v="TKT-2024-11876"/>
        <s v="TKT-2024-11877"/>
        <s v="TKT-2024-11878"/>
        <s v="TKT-2024-11879"/>
        <s v="TKT-2024-11880"/>
        <s v="TKT-2024-11881"/>
        <s v="TKT-2024-11882"/>
        <s v="TKT-2024-11883"/>
        <s v="TKT-2024-11884"/>
        <s v="TKT-2024-11885"/>
        <s v="TKT-2024-11886"/>
        <s v="TKT-2024-11887"/>
        <s v="TKT-2024-11888"/>
        <s v="TKT-2024-11889"/>
        <s v="TKT-2024-11890"/>
        <s v="TKT-2024-11891"/>
        <s v="TKT-2024-11892"/>
        <s v="TKT-2024-11893"/>
        <s v="TKT-2024-11894"/>
        <s v="TKT-2024-11895"/>
        <s v="TKT-2024-11896"/>
        <s v="TKT-2024-11897"/>
        <s v="TKT-2024-11898"/>
        <s v="TKT-2024-11899"/>
        <s v="TKT-2024-11900"/>
        <s v="TKT-2024-11901"/>
        <s v="TKT-2024-11902"/>
        <s v="TKT-2024-11903"/>
        <s v="TKT-2024-11904"/>
        <s v="TKT-2024-11905"/>
        <s v="TKT-2024-11906"/>
        <s v="TKT-2024-11907"/>
        <s v="TKT-2024-11908"/>
        <s v="TKT-2024-11909"/>
        <s v="TKT-2024-11910"/>
        <s v="TKT-2024-11911"/>
        <s v="TKT-2024-11912"/>
        <s v="TKT-2024-11913"/>
        <s v="TKT-2024-11914"/>
        <s v="TKT-2024-11915"/>
        <s v="TKT-2024-11916"/>
        <s v="TKT-2024-11917"/>
        <s v="TKT-2024-11918"/>
        <s v="TKT-2024-11919"/>
        <s v="TKT-2024-11920"/>
        <s v="TKT-2024-11921"/>
        <s v="TKT-2024-11922"/>
        <s v="TKT-2024-11923"/>
        <s v="TKT-2024-11924"/>
        <s v="TKT-2024-11925"/>
        <s v="TKT-2024-11926"/>
        <s v="TKT-2024-11927"/>
        <s v="TKT-2024-11928"/>
        <s v="TKT-2024-11929"/>
        <s v="TKT-2024-11930"/>
        <s v="TKT-2024-11931"/>
        <s v="TKT-2024-11932"/>
        <s v="TKT-2024-11933"/>
        <s v="TKT-2024-11934"/>
        <s v="TKT-2024-11935"/>
        <s v="TKT-2024-11936"/>
        <s v="TKT-2024-11937"/>
        <s v="TKT-2024-11938"/>
        <s v="TKT-2024-11939"/>
        <s v="TKT-2024-11940"/>
        <s v="TKT-2024-11941"/>
        <s v="TKT-2024-11942"/>
        <s v="TKT-2024-11943"/>
        <s v="TKT-2024-11944"/>
        <s v="TKT-2024-11945"/>
        <s v="TKT-2024-11946"/>
        <s v="TKT-2024-11947"/>
        <s v="TKT-2024-11948"/>
        <s v="TKT-2024-11949"/>
        <s v="TKT-2024-11950"/>
        <s v="TKT-2024-11951"/>
        <s v="TKT-2024-11952"/>
        <s v="TKT-2024-11953"/>
        <s v="TKT-2024-11954"/>
        <s v="TKT-2024-11955"/>
        <s v="TKT-2024-11956"/>
        <s v="TKT-2024-11957"/>
        <s v="TKT-2024-11958"/>
        <s v="TKT-2024-11959"/>
        <s v="TKT-2024-11960"/>
        <s v="TKT-2024-11961"/>
        <s v="TKT-2024-11962"/>
        <s v="TKT-2024-11963"/>
        <s v="TKT-2024-11964"/>
        <s v="TKT-2024-11965"/>
        <s v="TKT-2024-11966"/>
        <s v="TKT-2024-11967"/>
        <s v="TKT-2024-11968"/>
        <s v="TKT-2024-11969"/>
        <s v="TKT-2024-11970"/>
        <s v="TKT-2024-11971"/>
        <s v="TKT-2024-11972"/>
        <s v="TKT-2024-11973"/>
        <s v="TKT-2024-11974"/>
        <s v="TKT-2024-11975"/>
        <s v="TKT-2024-11976"/>
        <s v="TKT-2024-11977"/>
        <s v="TKT-2024-11978"/>
        <s v="TKT-2024-11979"/>
        <s v="TKT-2024-11980"/>
        <s v="TKT-2024-11981"/>
        <s v="TKT-2024-11982"/>
        <s v="TKT-2024-11983"/>
        <s v="TKT-2024-11984"/>
        <s v="TKT-2024-11985"/>
        <s v="TKT-2024-11986"/>
        <s v="TKT-2024-11987"/>
        <s v="TKT-2024-11988"/>
        <s v="TKT-2024-11989"/>
        <s v="TKT-2024-11990"/>
        <s v="TKT-2024-11991"/>
        <s v="TKT-2024-11992"/>
        <s v="TKT-2024-11993"/>
        <s v="TKT-2024-11994"/>
        <s v="TKT-2024-11995"/>
        <s v="TKT-2024-11996"/>
        <s v="TKT-2024-11997"/>
        <s v="TKT-2024-11998"/>
        <s v="TKT-2024-11999"/>
        <s v="TKT-2024-12000"/>
        <s v="TKT-2024-12001"/>
        <s v="TKT-2024-12002"/>
        <s v="TKT-2024-12003"/>
        <s v="TKT-2024-12004"/>
        <s v="TKT-2024-12005"/>
        <s v="TKT-2024-12006"/>
        <s v="TKT-2024-12007"/>
        <s v="TKT-2024-12008"/>
        <s v="TKT-2024-12009"/>
        <s v="TKT-2024-12010"/>
        <s v="TKT-2024-12011"/>
        <s v="TKT-2024-12012"/>
        <s v="TKT-2024-12013"/>
        <s v="TKT-2024-12014"/>
        <s v="TKT-2024-12015"/>
        <s v="TKT-2024-12016"/>
        <s v="TKT-2024-12017"/>
        <s v="TKT-2024-12018"/>
        <s v="TKT-2024-12019"/>
        <s v="TKT-2024-12020"/>
        <s v="TKT-2024-12021"/>
        <s v="TKT-2024-12022"/>
        <s v="TKT-2024-12023"/>
        <s v="TKT-2024-12024"/>
        <s v="TKT-2024-12025"/>
        <s v="TKT-2024-12026"/>
        <s v="TKT-2024-12027"/>
        <s v="TKT-2024-12028"/>
        <s v="TKT-2024-12029"/>
        <s v="TKT-2024-12030"/>
        <s v="TKT-2024-12031"/>
        <s v="TKT-2024-12032"/>
        <s v="TKT-2024-12033"/>
        <s v="TKT-2024-12034"/>
        <s v="TKT-2024-12035"/>
        <s v="TKT-2024-12036"/>
        <s v="TKT-2024-12037"/>
        <s v="TKT-2024-12038"/>
        <s v="TKT-2024-12039"/>
        <s v="TKT-2024-12040"/>
        <s v="TKT-2024-12041"/>
        <s v="TKT-2024-12042"/>
        <s v="TKT-2024-12043"/>
        <s v="TKT-2024-12044"/>
        <s v="TKT-2024-12045"/>
        <s v="TKT-2024-12046"/>
        <s v="TKT-2024-12047"/>
        <s v="TKT-2024-12048"/>
        <s v="TKT-2024-12049"/>
        <s v="TKT-2024-12050"/>
        <s v="TKT-2024-12051"/>
        <s v="TKT-2024-12052"/>
        <s v="TKT-2024-12053"/>
        <s v="TKT-2024-12054"/>
        <s v="TKT-2024-12055"/>
        <s v="TKT-2024-12056"/>
        <s v="TKT-2024-12057"/>
        <s v="TKT-2024-12058"/>
        <s v="TKT-2024-12059"/>
        <s v="TKT-2024-12060"/>
        <s v="TKT-2024-12061"/>
        <s v="TKT-2024-12062"/>
        <s v="TKT-2024-12063"/>
        <s v="TKT-2024-12064"/>
        <s v="TKT-2024-12065"/>
        <s v="TKT-2024-12066"/>
        <s v="TKT-2024-12067"/>
        <s v="TKT-2024-12068"/>
        <s v="TKT-2024-12069"/>
        <s v="TKT-2024-12070"/>
        <s v="TKT-2024-12071"/>
        <s v="TKT-2024-12072"/>
        <s v="TKT-2024-12073"/>
        <s v="TKT-2024-12074"/>
        <s v="TKT-2024-12075"/>
        <s v="TKT-2024-12076"/>
        <s v="TKT-2024-12077"/>
        <s v="TKT-2024-12078"/>
        <s v="TKT-2024-12079"/>
        <s v="TKT-2024-12080"/>
        <s v="TKT-2024-12081"/>
        <s v="TKT-2024-12082"/>
        <s v="TKT-2024-12083"/>
        <s v="TKT-2024-12084"/>
        <s v="TKT-2024-12085"/>
        <s v="TKT-2024-12086"/>
        <s v="TKT-2024-12087"/>
        <s v="TKT-2024-12088"/>
        <s v="TKT-2024-12089"/>
        <s v="TKT-2024-12090"/>
        <s v="TKT-2024-12091"/>
        <s v="TKT-2024-12092"/>
        <s v="TKT-2024-12093"/>
        <s v="TKT-2024-12094"/>
        <s v="TKT-2024-12095"/>
        <s v="TKT-2024-12096"/>
        <s v="TKT-2024-12097"/>
        <s v="TKT-2024-12098"/>
        <s v="TKT-2024-12099"/>
        <s v="TKT-2024-12100"/>
        <s v="TKT-2024-12101"/>
        <s v="TKT-2024-12102"/>
        <s v="TKT-2024-12103"/>
        <s v="TKT-2024-12104"/>
        <s v="TKT-2024-12105"/>
        <s v="TKT-2024-12106"/>
        <s v="TKT-2024-12107"/>
        <s v="TKT-2024-12108"/>
        <s v="TKT-2024-12109"/>
        <s v="TKT-2024-12110"/>
        <s v="TKT-2024-12111"/>
        <s v="TKT-2024-12112"/>
        <s v="TKT-2024-12113"/>
        <s v="TKT-2024-12114"/>
        <s v="TKT-2024-12115"/>
        <s v="TKT-2024-12116"/>
        <s v="TKT-2024-12117"/>
        <s v="TKT-2024-12118"/>
        <s v="TKT-2024-12119"/>
        <s v="TKT-2024-12120"/>
        <s v="TKT-2024-12121"/>
        <s v="TKT-2024-12122"/>
        <s v="TKT-2024-12123"/>
        <s v="TKT-2024-12124"/>
        <s v="TKT-2024-12125"/>
        <s v="TKT-2024-12126"/>
        <s v="TKT-2024-12127"/>
        <s v="TKT-2024-12128"/>
        <s v="TKT-2024-12129"/>
        <s v="TKT-2024-12130"/>
        <s v="TKT-2024-12131"/>
        <s v="TKT-2024-12132"/>
        <s v="TKT-2024-12133"/>
        <s v="TKT-2024-12134"/>
        <s v="TKT-2024-12135"/>
        <s v="TKT-2024-12136"/>
        <s v="TKT-2024-12137"/>
        <s v="TKT-2024-12138"/>
        <s v="TKT-2024-12139"/>
        <s v="TKT-2024-12140"/>
        <s v="TKT-2024-12141"/>
        <s v="TKT-2024-12142"/>
        <s v="TKT-2024-12143"/>
        <s v="TKT-2024-12144"/>
        <s v="TKT-2024-12145"/>
        <s v="TKT-2024-12146"/>
        <s v="TKT-2024-12147"/>
        <s v="TKT-2024-12148"/>
        <s v="TKT-2024-12149"/>
        <s v="TKT-2024-12150"/>
        <s v="TKT-2024-12151"/>
        <s v="TKT-2024-12152"/>
        <s v="TKT-2024-12153"/>
        <s v="TKT-2024-12154"/>
        <s v="TKT-2024-12155"/>
        <s v="TKT-2024-12156"/>
        <s v="TKT-2024-12157"/>
        <s v="TKT-2024-12158"/>
        <s v="TKT-2024-12159"/>
        <s v="TKT-2024-12160"/>
        <s v="TKT-2024-12161"/>
        <s v="TKT-2024-12162"/>
        <s v="TKT-2024-12163"/>
        <s v="TKT-2024-12164"/>
        <s v="TKT-2024-12165"/>
        <s v="TKT-2024-12166"/>
        <s v="TKT-2024-12167"/>
        <s v="TKT-2024-12168"/>
        <s v="TKT-2024-12169"/>
        <s v="TKT-2024-12170"/>
        <s v="TKT-2024-12171"/>
        <s v="TKT-2024-12172"/>
        <s v="TKT-2024-12173"/>
        <s v="TKT-2024-12174"/>
        <s v="TKT-2024-12175"/>
        <s v="TKT-2024-12176"/>
        <s v="TKT-2024-12177"/>
        <s v="TKT-2024-12178"/>
        <s v="TKT-2024-12179"/>
        <s v="TKT-2024-12180"/>
        <s v="TKT-2024-12181"/>
        <s v="TKT-2024-12182"/>
        <s v="TKT-2024-12183"/>
        <s v="TKT-2024-12184"/>
        <s v="TKT-2024-12185"/>
        <s v="TKT-2024-12186"/>
        <s v="TKT-2024-12187"/>
        <s v="TKT-2024-12188"/>
        <s v="TKT-2024-12189"/>
        <s v="TKT-2024-12190"/>
        <s v="TKT-2024-12191"/>
        <s v="TKT-2024-12192"/>
        <s v="TKT-2024-12193"/>
        <s v="TKT-2024-12194"/>
        <s v="TKT-2024-12195"/>
        <s v="TKT-2024-12196"/>
        <s v="TKT-2024-12197"/>
        <s v="TKT-2024-12198"/>
        <s v="TKT-2024-12199"/>
        <s v="TKT-2024-12200"/>
        <s v="TKT-2024-12201"/>
        <s v="TKT-2024-12202"/>
        <s v="TKT-2024-12203"/>
        <s v="TKT-2024-12204"/>
        <s v="TKT-2024-12205"/>
        <s v="TKT-2024-12206"/>
        <s v="TKT-2024-12207"/>
        <s v="TKT-2024-12208"/>
        <s v="TKT-2024-12209"/>
        <s v="TKT-2024-12210"/>
        <s v="TKT-2024-12211"/>
        <s v="TKT-2024-12212"/>
        <s v="TKT-2024-12213"/>
        <s v="TKT-2024-12214"/>
        <s v="TKT-2024-12215"/>
        <s v="TKT-2024-12216"/>
        <s v="TKT-2024-12217"/>
        <s v="TKT-2024-12218"/>
        <s v="TKT-2024-12219"/>
        <s v="TKT-2024-12220"/>
        <s v="TKT-2024-12221"/>
        <s v="TKT-2024-12222"/>
        <s v="TKT-2024-12223"/>
        <s v="TKT-2024-12224"/>
        <s v="TKT-2024-12225"/>
        <s v="TKT-2024-12226"/>
        <s v="TKT-2024-12227"/>
        <s v="TKT-2024-12228"/>
        <s v="TKT-2024-12229"/>
        <s v="TKT-2024-12230"/>
        <s v="TKT-2024-12231"/>
        <s v="TKT-2024-12232"/>
        <s v="TKT-2024-12233"/>
        <s v="TKT-2024-12234"/>
        <s v="TKT-2024-12235"/>
        <s v="TKT-2024-12236"/>
        <s v="TKT-2024-12237"/>
        <s v="TKT-2024-12238"/>
        <s v="TKT-2024-12239"/>
        <s v="TKT-2024-12240"/>
        <s v="TKT-2024-12241"/>
        <s v="TKT-2024-12242"/>
        <s v="TKT-2024-12243"/>
        <s v="TKT-2024-12244"/>
        <s v="TKT-2024-12245"/>
        <s v="TKT-2024-12246"/>
        <s v="TKT-2024-12247"/>
        <s v="TKT-2024-12248"/>
        <s v="TKT-2024-12249"/>
        <s v="TKT-2024-12250"/>
        <s v="TKT-2024-12251"/>
        <s v="TKT-2024-12252"/>
        <s v="TKT-2024-12253"/>
        <s v="TKT-2024-12254"/>
        <s v="TKT-2024-12255"/>
        <s v="TKT-2024-12256"/>
        <s v="TKT-2024-12257"/>
        <s v="TKT-2024-12258"/>
        <s v="TKT-2024-12259"/>
        <s v="TKT-2024-12260"/>
        <s v="TKT-2024-12261"/>
        <s v="TKT-2024-12262"/>
        <s v="TKT-2024-12263"/>
        <s v="TKT-2024-12264"/>
        <s v="TKT-2024-12265"/>
        <s v="TKT-2024-12266"/>
        <s v="TKT-2024-12267"/>
        <s v="TKT-2024-12268"/>
        <s v="TKT-2024-12269"/>
        <s v="TKT-2024-12270"/>
        <s v="TKT-2024-12271"/>
        <s v="TKT-2024-12272"/>
        <s v="TKT-2024-12273"/>
        <s v="TKT-2024-12274"/>
        <s v="TKT-2024-12275"/>
        <s v="TKT-2024-12276"/>
        <s v="TKT-2024-12277"/>
        <s v="TKT-2024-12278"/>
        <s v="TKT-2024-12279"/>
        <s v="TKT-2024-12280"/>
        <s v="TKT-2024-12281"/>
        <s v="TKT-2024-12282"/>
        <s v="TKT-2024-12283"/>
        <s v="TKT-2024-12284"/>
        <s v="TKT-2024-12285"/>
        <s v="TKT-2024-12286"/>
        <s v="TKT-2024-12287"/>
        <s v="TKT-2024-12288"/>
        <s v="TKT-2024-12289"/>
        <s v="TKT-2024-12290"/>
        <s v="TKT-2024-12291"/>
        <s v="TKT-2024-12292"/>
        <s v="TKT-2024-12293"/>
        <s v="TKT-2024-12294"/>
        <s v="TKT-2024-12295"/>
        <s v="TKT-2024-12296"/>
        <s v="TKT-2024-12297"/>
        <s v="TKT-2024-12298"/>
        <s v="TKT-2024-12299"/>
        <s v="TKT-2024-12300"/>
        <s v="TKT-2024-12301"/>
        <s v="TKT-2024-12302"/>
        <s v="TKT-2024-12303"/>
        <s v="TKT-2024-12304"/>
        <s v="TKT-2024-12305"/>
        <s v="TKT-2024-12306"/>
        <s v="TKT-2024-12307"/>
        <s v="TKT-2024-12308"/>
        <s v="TKT-2024-12309"/>
        <s v="TKT-2024-12310"/>
        <s v="TKT-2024-12311"/>
        <s v="TKT-2024-12312"/>
        <s v="TKT-2024-12313"/>
        <s v="TKT-2024-12314"/>
        <s v="TKT-2024-12315"/>
        <s v="TKT-2024-12316"/>
        <s v="TKT-2024-12317"/>
        <s v="TKT-2024-12318"/>
        <s v="TKT-2024-12319"/>
        <s v="TKT-2024-12320"/>
        <s v="TKT-2024-12321"/>
        <s v="TKT-2024-12322"/>
        <s v="TKT-2024-12323"/>
        <s v="TKT-2024-12324"/>
        <s v="TKT-2024-12325"/>
        <s v="TKT-2024-12326"/>
        <s v="TKT-2024-12327"/>
        <s v="TKT-2024-12328"/>
        <s v="TKT-2024-12329"/>
        <s v="TKT-2024-12330"/>
        <s v="TKT-2024-12331"/>
        <s v="TKT-2024-12332"/>
        <s v="TKT-2024-12333"/>
        <s v="TKT-2024-12334"/>
        <s v="TKT-2024-12335"/>
        <s v="TKT-2024-12336"/>
        <s v="TKT-2024-12337"/>
        <s v="TKT-2024-12338"/>
        <s v="TKT-2024-12339"/>
        <s v="TKT-2024-12340"/>
        <s v="TKT-2024-12341"/>
        <s v="TKT-2024-12342"/>
        <s v="TKT-2024-12343"/>
        <s v="TKT-2024-12344"/>
        <s v="TKT-2024-12345"/>
        <s v="TKT-2024-12346"/>
      </sharedItems>
    </cacheField>
    <cacheField name="Date_Opened" numFmtId="0">
      <sharedItems/>
    </cacheField>
    <cacheField name="Month" numFmtId="14">
      <sharedItems containsSemiMixedTypes="0" containsNonDate="0" containsDate="1" containsString="0" minDate="2024-01-01T00:00:00" maxDate="2024-12-02T00:00:00" count="12">
        <d v="2024-12-01T00:00:00"/>
        <d v="2024-08-01T00:00:00"/>
        <d v="2024-10-01T00:00:00"/>
        <d v="2024-01-01T00:00:00"/>
        <d v="2024-07-01T00:00:00"/>
        <d v="2024-03-01T00:00:00"/>
        <d v="2024-02-01T00:00:00"/>
        <d v="2024-11-01T00:00:00"/>
        <d v="2024-05-01T00:00:00"/>
        <d v="2024-09-01T00:00:00"/>
        <d v="2024-06-01T00:00:00"/>
        <d v="2024-04-01T00:00:00"/>
      </sharedItems>
      <fieldGroup par="29"/>
    </cacheField>
    <cacheField name="Date_Closed" numFmtId="0">
      <sharedItems/>
    </cacheField>
    <cacheField name="Resolution_Time_Hours" numFmtId="0">
      <sharedItems containsSemiMixedTypes="0" containsString="0" containsNumber="1" minValue="28.9" maxValue="1054.8" count="1729">
        <n v="329.3"/>
        <n v="108.3"/>
        <n v="134.4"/>
        <n v="334.5"/>
        <n v="518.70000000000005"/>
        <n v="105.7"/>
        <n v="55"/>
        <n v="319"/>
        <n v="131.19999999999999"/>
        <n v="229.9"/>
        <n v="439.6"/>
        <n v="305"/>
        <n v="104.6"/>
        <n v="196.9"/>
        <n v="101.3"/>
        <n v="332.3"/>
        <n v="525.79999999999995"/>
        <n v="41.9"/>
        <n v="143.19999999999999"/>
        <n v="633.79999999999995"/>
        <n v="286"/>
        <n v="207.9"/>
        <n v="144.19999999999999"/>
        <n v="240.1"/>
        <n v="96.6"/>
        <n v="225.7"/>
        <n v="422.3"/>
        <n v="72.2"/>
        <n v="176.6"/>
        <n v="161.19999999999999"/>
        <n v="409.8"/>
        <n v="529.20000000000005"/>
        <n v="75"/>
        <n v="305.5"/>
        <n v="189.5"/>
        <n v="78.099999999999994"/>
        <n v="932.4"/>
        <n v="69.3"/>
        <n v="164"/>
        <n v="317.10000000000002"/>
        <n v="438.3"/>
        <n v="268.10000000000002"/>
        <n v="330.2"/>
        <n v="292.60000000000002"/>
        <n v="86.8"/>
        <n v="172"/>
        <n v="655.7"/>
        <n v="169.3"/>
        <n v="233.2"/>
        <n v="293.60000000000002"/>
        <n v="101"/>
        <n v="111.3"/>
        <n v="360.5"/>
        <n v="220.7"/>
        <n v="152.1"/>
        <n v="300.10000000000002"/>
        <n v="182"/>
        <n v="106.8"/>
        <n v="236.3"/>
        <n v="457.4"/>
        <n v="220.2"/>
        <n v="147"/>
        <n v="123.8"/>
        <n v="165"/>
        <n v="180.4"/>
        <n v="276.7"/>
        <n v="613.70000000000005"/>
        <n v="77.400000000000006"/>
        <n v="83.1"/>
        <n v="296.8"/>
        <n v="221.4"/>
        <n v="399.2"/>
        <n v="481.4"/>
        <n v="149.5"/>
        <n v="205.9"/>
        <n v="280.2"/>
        <n v="104.4"/>
        <n v="187.7"/>
        <n v="401"/>
        <n v="176.8"/>
        <n v="263.89999999999998"/>
        <n v="214.8"/>
        <n v="875.7"/>
        <n v="232.3"/>
        <n v="178.7"/>
        <n v="341.5"/>
        <n v="111.1"/>
        <n v="234.5"/>
        <n v="229.6"/>
        <n v="223.8"/>
        <n v="336.1"/>
        <n v="164.7"/>
        <n v="102.6"/>
        <n v="435.4"/>
        <n v="194.1"/>
        <n v="132.6"/>
        <n v="219"/>
        <n v="174.5"/>
        <n v="213"/>
        <n v="191"/>
        <n v="210.9"/>
        <n v="73.099999999999994"/>
        <n v="151.30000000000001"/>
        <n v="233.3"/>
        <n v="226.9"/>
        <n v="160.9"/>
        <n v="201.1"/>
        <n v="193.4"/>
        <n v="38.6"/>
        <n v="73.7"/>
        <n v="179"/>
        <n v="106.7"/>
        <n v="147.80000000000001"/>
        <n v="150.80000000000001"/>
        <n v="315.2"/>
        <n v="270.10000000000002"/>
        <n v="459.3"/>
        <n v="268.3"/>
        <n v="215.4"/>
        <n v="188.4"/>
        <n v="346.4"/>
        <n v="247"/>
        <n v="99"/>
        <n v="283"/>
        <n v="290.60000000000002"/>
        <n v="181.1"/>
        <n v="100.4"/>
        <n v="197.9"/>
        <n v="269.10000000000002"/>
        <n v="171"/>
        <n v="269.89999999999998"/>
        <n v="107.5"/>
        <n v="38.4"/>
        <n v="84.3"/>
        <n v="148.6"/>
        <n v="249"/>
        <n v="425"/>
        <n v="269"/>
        <n v="273.5"/>
        <n v="276"/>
        <n v="177.2"/>
        <n v="206"/>
        <n v="860.4"/>
        <n v="200"/>
        <n v="738.6"/>
        <n v="380.5"/>
        <n v="336.8"/>
        <n v="730.7"/>
        <n v="74.099999999999994"/>
        <n v="303.8"/>
        <n v="510.5"/>
        <n v="265.60000000000002"/>
        <n v="199.8"/>
        <n v="312.89999999999998"/>
        <n v="263"/>
        <n v="45.4"/>
        <n v="212.8"/>
        <n v="327.5"/>
        <n v="625.79999999999995"/>
        <n v="318.89999999999998"/>
        <n v="322.3"/>
        <n v="124.2"/>
        <n v="197.6"/>
        <n v="165.4"/>
        <n v="219.9"/>
        <n v="204.9"/>
        <n v="179.3"/>
        <n v="35.700000000000003"/>
        <n v="176.3"/>
        <n v="304.3"/>
        <n v="256.10000000000002"/>
        <n v="341.8"/>
        <n v="99.4"/>
        <n v="81.900000000000006"/>
        <n v="113.3"/>
        <n v="32.9"/>
        <n v="31.1"/>
        <n v="330.9"/>
        <n v="194.5"/>
        <n v="85.6"/>
        <n v="244.4"/>
        <n v="202.2"/>
        <n v="28.9"/>
        <n v="197.8"/>
        <n v="152.30000000000001"/>
        <n v="208.3"/>
        <n v="246.9"/>
        <n v="181.5"/>
        <n v="304.7"/>
        <n v="105"/>
        <n v="30.4"/>
        <n v="312"/>
        <n v="112.1"/>
        <n v="250.8"/>
        <n v="290.3"/>
        <n v="273.89999999999998"/>
        <n v="109.8"/>
        <n v="296.89999999999998"/>
        <n v="291.60000000000002"/>
        <n v="278.7"/>
        <n v="669.3"/>
        <n v="679.8"/>
        <n v="147.6"/>
        <n v="341"/>
        <n v="357"/>
        <n v="329.5"/>
        <n v="159.5"/>
        <n v="244.6"/>
        <n v="81"/>
        <n v="158"/>
        <n v="196.3"/>
        <n v="335.4"/>
        <n v="168.8"/>
        <n v="102.7"/>
        <n v="834.7"/>
        <n v="164.2"/>
        <n v="85.2"/>
        <n v="103.5"/>
        <n v="394.6"/>
        <n v="340.9"/>
        <n v="288.89999999999998"/>
        <n v="284.5"/>
        <n v="319.60000000000002"/>
        <n v="158.1"/>
        <n v="224.7"/>
        <n v="327.7"/>
        <n v="37.4"/>
        <n v="95.2"/>
        <n v="154.4"/>
        <n v="217.2"/>
        <n v="96.2"/>
        <n v="102.9"/>
        <n v="168.1"/>
        <n v="161.9"/>
        <n v="126.8"/>
        <n v="90.1"/>
        <n v="294.8"/>
        <n v="41.7"/>
        <n v="336.7"/>
        <n v="437.6"/>
        <n v="198.2"/>
        <n v="361.5"/>
        <n v="295.89999999999998"/>
        <n v="96"/>
        <n v="204.8"/>
        <n v="187.8"/>
        <n v="220.4"/>
        <n v="179.2"/>
        <n v="156.9"/>
        <n v="74.599999999999994"/>
        <n v="67.099999999999994"/>
        <n v="254.3"/>
        <n v="283.60000000000002"/>
        <n v="181.8"/>
        <n v="310.89999999999998"/>
        <n v="34.700000000000003"/>
        <n v="217.7"/>
        <n v="318.60000000000002"/>
        <n v="155.80000000000001"/>
        <n v="269.5"/>
        <n v="247.2"/>
        <n v="146.1"/>
        <n v="159.80000000000001"/>
        <n v="102.1"/>
        <n v="523.29999999999995"/>
        <n v="297.5"/>
        <n v="314"/>
        <n v="78.2"/>
        <n v="302.3"/>
        <n v="162.5"/>
        <n v="467.1"/>
        <n v="110.9"/>
        <n v="245.3"/>
        <n v="181.9"/>
        <n v="149.80000000000001"/>
        <n v="157.80000000000001"/>
        <n v="253.5"/>
        <n v="45.1"/>
        <n v="294.2"/>
        <n v="110.1"/>
        <n v="187.3"/>
        <n v="100.2"/>
        <n v="570.9"/>
        <n v="355.8"/>
        <n v="107"/>
        <n v="225"/>
        <n v="252.7"/>
        <n v="188.8"/>
        <n v="154.6"/>
        <n v="348.6"/>
        <n v="91.6"/>
        <n v="285.10000000000002"/>
        <n v="225.4"/>
        <n v="413.1"/>
        <n v="195.9"/>
        <n v="196.8"/>
        <n v="324.39999999999998"/>
        <n v="190.7"/>
        <n v="638.29999999999995"/>
        <n v="249.7"/>
        <n v="194.6"/>
        <n v="78.599999999999994"/>
        <n v="290.5"/>
        <n v="295.39999999999998"/>
        <n v="98.9"/>
        <n v="146"/>
        <n v="219.2"/>
        <n v="86.2"/>
        <n v="532.20000000000005"/>
        <n v="454.6"/>
        <n v="103.9"/>
        <n v="243.4"/>
        <n v="259.5"/>
        <n v="81.599999999999994"/>
        <n v="356.8"/>
        <n v="358"/>
        <n v="40.700000000000003"/>
        <n v="153.6"/>
        <n v="180.3"/>
        <n v="163.6"/>
        <n v="191.5"/>
        <n v="187.9"/>
        <n v="160.30000000000001"/>
        <n v="157"/>
        <n v="102.5"/>
        <n v="527.9"/>
        <n v="490.1"/>
        <n v="130.19999999999999"/>
        <n v="167.4"/>
        <n v="107.2"/>
        <n v="249.4"/>
        <n v="667.6"/>
        <n v="125.5"/>
        <n v="71.5"/>
        <n v="449.2"/>
        <n v="356.6"/>
        <n v="79.5"/>
        <n v="152.9"/>
        <n v="217.6"/>
        <n v="198.3"/>
        <n v="161.69999999999999"/>
        <n v="253.3"/>
        <n v="160.19999999999999"/>
        <n v="247.8"/>
        <n v="441.6"/>
        <n v="83.2"/>
        <n v="171.6"/>
        <n v="41.3"/>
        <n v="880.5"/>
        <n v="110"/>
        <n v="439"/>
        <n v="308.3"/>
        <n v="87.7"/>
        <n v="165.2"/>
        <n v="326.10000000000002"/>
        <n v="442"/>
        <n v="163.80000000000001"/>
        <n v="108.1"/>
        <n v="84.2"/>
        <n v="261.5"/>
        <n v="388.1"/>
        <n v="892.8"/>
        <n v="268.60000000000002"/>
        <n v="141.6"/>
        <n v="85"/>
        <n v="280.10000000000002"/>
        <n v="139.6"/>
        <n v="332.6"/>
        <n v="471.6"/>
        <n v="383.9"/>
        <n v="222.8"/>
        <n v="92.6"/>
        <n v="308.39999999999998"/>
        <n v="530.70000000000005"/>
        <n v="72.3"/>
        <n v="74.2"/>
        <n v="329.4"/>
        <n v="88.2"/>
        <n v="216.4"/>
        <n v="215.2"/>
        <n v="187"/>
        <n v="814.6"/>
        <n v="153.69999999999999"/>
        <n v="226.8"/>
        <n v="192.8"/>
        <n v="106.9"/>
        <n v="518.5"/>
        <n v="224"/>
        <n v="95.7"/>
        <n v="218.3"/>
        <n v="79.900000000000006"/>
        <n v="99.7"/>
        <n v="208"/>
        <n v="40.9"/>
        <n v="169.7"/>
        <n v="184.9"/>
        <n v="311.60000000000002"/>
        <n v="264.7"/>
        <n v="158.19999999999999"/>
        <n v="299.7"/>
        <n v="113.2"/>
        <n v="153.5"/>
        <n v="177.3"/>
        <n v="42.2"/>
        <n v="88.8"/>
        <n v="167.5"/>
        <n v="276.89999999999998"/>
        <n v="262"/>
        <n v="766.4"/>
        <n v="1017.9"/>
        <n v="335.2"/>
        <n v="245.6"/>
        <n v="67.2"/>
        <n v="345.6"/>
        <n v="242.6"/>
        <n v="259"/>
        <n v="200.1"/>
        <n v="157.1"/>
        <n v="192.5"/>
        <n v="340.7"/>
        <n v="124"/>
        <n v="318.2"/>
        <n v="195.5"/>
        <n v="299.5"/>
        <n v="194.8"/>
        <n v="282.39999999999998"/>
        <n v="152.69999999999999"/>
        <n v="249.5"/>
        <n v="291.2"/>
        <n v="301.5"/>
        <n v="112.7"/>
        <n v="85.3"/>
        <n v="224.4"/>
        <n v="177.5"/>
        <n v="250"/>
        <n v="105.8"/>
        <n v="60.4"/>
        <n v="127.5"/>
        <n v="172.9"/>
        <n v="206.7"/>
        <n v="277.8"/>
        <n v="201.3"/>
        <n v="498.5"/>
        <n v="482.3"/>
        <n v="151.4"/>
        <n v="153.80000000000001"/>
        <n v="774.4"/>
        <n v="318.39999999999998"/>
        <n v="76.8"/>
        <n v="340.5"/>
        <n v="93.4"/>
        <n v="98"/>
        <n v="87.1"/>
        <n v="168.5"/>
        <n v="318"/>
        <n v="110.6"/>
        <n v="201.5"/>
        <n v="275.10000000000002"/>
        <n v="215"/>
        <n v="224.5"/>
        <n v="192.9"/>
        <n v="129.5"/>
        <n v="314.5"/>
        <n v="222.4"/>
        <n v="250.6"/>
        <n v="334.1"/>
        <n v="235.8"/>
        <n v="384.8"/>
        <n v="308.89999999999998"/>
        <n v="157.6"/>
        <n v="674.9"/>
        <n v="43.5"/>
        <n v="450.1"/>
        <n v="73.400000000000006"/>
        <n v="249.9"/>
        <n v="157.19999999999999"/>
        <n v="681.2"/>
        <n v="223.5"/>
        <n v="214.3"/>
        <n v="174.9"/>
        <n v="255.7"/>
        <n v="31.8"/>
        <n v="347.9"/>
        <n v="73.2"/>
        <n v="596.5"/>
        <n v="240"/>
        <n v="207.4"/>
        <n v="316.39999999999998"/>
        <n v="194.9"/>
        <n v="88.1"/>
        <n v="226.5"/>
        <n v="308.8"/>
        <n v="155.6"/>
        <n v="444.4"/>
        <n v="229.2"/>
        <n v="180.2"/>
        <n v="609.20000000000005"/>
        <n v="96.4"/>
        <n v="76.7"/>
        <n v="509.9"/>
        <n v="265.8"/>
        <n v="90.5"/>
        <n v="32"/>
        <n v="221.6"/>
        <n v="31.5"/>
        <n v="472.3"/>
        <n v="218.4"/>
        <n v="458.9"/>
        <n v="79.8"/>
        <n v="236"/>
        <n v="218"/>
        <n v="87.6"/>
        <n v="75.599999999999994"/>
        <n v="45.2"/>
        <n v="352.5"/>
        <n v="302.39999999999998"/>
        <n v="44.5"/>
        <n v="623.79999999999995"/>
        <n v="304"/>
        <n v="227.2"/>
        <n v="264.2"/>
        <n v="306.3"/>
        <n v="167.7"/>
        <n v="171.1"/>
        <n v="346.8"/>
        <n v="153.9"/>
        <n v="175.5"/>
        <n v="72.900000000000006"/>
        <n v="198.1"/>
        <n v="176.5"/>
        <n v="154.80000000000001"/>
        <n v="558.5"/>
        <n v="130.80000000000001"/>
        <n v="89.2"/>
        <n v="259.2"/>
        <n v="617.9"/>
        <n v="214"/>
        <n v="271.39999999999998"/>
        <n v="226.1"/>
        <n v="225.8"/>
        <n v="107.9"/>
        <n v="273.2"/>
        <n v="1026.5"/>
        <n v="150.30000000000001"/>
        <n v="205.1"/>
        <n v="381.5"/>
        <n v="81.3"/>
        <n v="251.5"/>
        <n v="278"/>
        <n v="219.8"/>
        <n v="134.1"/>
        <n v="256.2"/>
        <n v="279.7"/>
        <n v="265.5"/>
        <n v="998.2"/>
        <n v="324.7"/>
        <n v="105.2"/>
        <n v="109.4"/>
        <n v="108"/>
        <n v="101.4"/>
        <n v="353.3"/>
        <n v="93.6"/>
        <n v="144.1"/>
        <n v="193.1"/>
        <n v="312.2"/>
        <n v="193.7"/>
        <n v="452.5"/>
        <n v="683.2"/>
        <n v="321.5"/>
        <n v="218.1"/>
        <n v="111.5"/>
        <n v="56.7"/>
        <n v="41.1"/>
        <n v="325.2"/>
        <n v="169.5"/>
        <n v="529.5"/>
        <n v="99.8"/>
        <n v="1024"/>
        <n v="101.8"/>
        <n v="259.7"/>
        <n v="250.7"/>
        <n v="498.7"/>
        <n v="162.4"/>
        <n v="33.1"/>
        <n v="335.7"/>
        <n v="251.1"/>
        <n v="109.2"/>
        <n v="326.39999999999998"/>
        <n v="264.39999999999998"/>
        <n v="113.5"/>
        <n v="261"/>
        <n v="201.2"/>
        <n v="156.19999999999999"/>
        <n v="75.7"/>
        <n v="218.6"/>
        <n v="74.8"/>
        <n v="561.20000000000005"/>
        <n v="206.4"/>
        <n v="153"/>
        <n v="128.6"/>
        <n v="267.39999999999998"/>
        <n v="92.4"/>
        <n v="683.4"/>
        <n v="167"/>
        <n v="319.89999999999998"/>
        <n v="260.7"/>
        <n v="384"/>
        <n v="316.60000000000002"/>
        <n v="328.8"/>
        <n v="206.2"/>
        <n v="239"/>
        <n v="254.5"/>
        <n v="170.6"/>
        <n v="303.10000000000002"/>
        <n v="193.8"/>
        <n v="148"/>
        <n v="79.400000000000006"/>
        <n v="43.6"/>
        <n v="238.3"/>
        <n v="325.8"/>
        <n v="152.19999999999999"/>
        <n v="215.3"/>
        <n v="146.80000000000001"/>
        <n v="193"/>
        <n v="365.5"/>
        <n v="97.1"/>
        <n v="487"/>
        <n v="156.69999999999999"/>
        <n v="251.2"/>
        <n v="272.3"/>
        <n v="78.5"/>
        <n v="180.5"/>
        <n v="159.30000000000001"/>
        <n v="110.8"/>
        <n v="511.2"/>
        <n v="143.6"/>
        <n v="309"/>
        <n v="614.20000000000005"/>
        <n v="36.4"/>
        <n v="1054.8"/>
        <n v="225.5"/>
        <n v="494.8"/>
        <n v="438.5"/>
        <n v="469.1"/>
        <n v="185.3"/>
        <n v="295"/>
        <n v="149.9"/>
        <n v="618.5"/>
        <n v="187.1"/>
        <n v="220.8"/>
        <n v="419.4"/>
        <n v="267.2"/>
        <n v="640"/>
        <n v="98.8"/>
        <n v="273.8"/>
        <n v="73"/>
        <n v="170.8"/>
        <n v="222.6"/>
        <n v="430.8"/>
        <n v="50.2"/>
        <n v="296.3"/>
        <n v="31.4"/>
        <n v="242.8"/>
        <n v="425.9"/>
        <n v="402.7"/>
        <n v="94.6"/>
        <n v="228.2"/>
        <n v="128"/>
        <n v="383.7"/>
        <n v="217.8"/>
        <n v="157.9"/>
        <n v="164.5"/>
        <n v="41.6"/>
        <n v="293.3"/>
        <n v="64.8"/>
        <n v="328.2"/>
        <n v="147.9"/>
        <n v="341.9"/>
        <n v="500"/>
        <n v="322.39999999999998"/>
        <n v="332.7"/>
        <n v="93.8"/>
        <n v="146.6"/>
        <n v="344.7"/>
        <n v="169.9"/>
        <n v="145.69999999999999"/>
        <n v="494"/>
        <n v="147.69999999999999"/>
        <n v="249.1"/>
        <n v="258.39999999999998"/>
        <n v="148.30000000000001"/>
        <n v="99.2"/>
        <n v="210.7"/>
        <n v="205.7"/>
        <n v="214.6"/>
        <n v="276.3"/>
        <n v="80.900000000000006"/>
        <n v="1020.1"/>
        <n v="150.6"/>
        <n v="216.9"/>
        <n v="224.3"/>
        <n v="127.7"/>
        <n v="253.7"/>
        <n v="162"/>
        <n v="147.30000000000001"/>
        <n v="207.5"/>
        <n v="280"/>
        <n v="298.5"/>
        <n v="223.2"/>
        <n v="279"/>
        <n v="182.4"/>
        <n v="87.9"/>
        <n v="1039.2"/>
        <n v="363"/>
        <n v="197.2"/>
        <n v="62.5"/>
        <n v="354.3"/>
        <n v="95.3"/>
        <n v="227.9"/>
        <n v="372.8"/>
        <n v="208.7"/>
        <n v="173.6"/>
        <n v="340.6"/>
        <n v="136.30000000000001"/>
        <n v="102"/>
        <n v="215.5"/>
        <n v="33.299999999999997"/>
        <n v="240.4"/>
        <n v="181"/>
        <n v="110.4"/>
        <n v="78.8"/>
        <n v="175.6"/>
        <n v="202.5"/>
        <n v="223.4"/>
        <n v="287.10000000000002"/>
        <n v="130.1"/>
        <n v="163.30000000000001"/>
        <n v="318.10000000000002"/>
        <n v="209.8"/>
        <n v="270.7"/>
        <n v="82.2"/>
        <n v="172.1"/>
        <n v="215.9"/>
        <n v="489.2"/>
        <n v="221.2"/>
        <n v="44.1"/>
        <n v="201"/>
        <n v="182.1"/>
        <n v="914.6"/>
        <n v="181.7"/>
        <n v="152.5"/>
        <n v="219.6"/>
        <n v="222.2"/>
        <n v="288.8"/>
        <n v="223.7"/>
        <n v="213.5"/>
        <n v="271.2"/>
        <n v="219.4"/>
        <n v="710.8"/>
        <n v="81.2"/>
        <n v="837.1"/>
        <n v="225.6"/>
        <n v="75.099999999999994"/>
        <n v="321.60000000000002"/>
        <n v="330.3"/>
        <n v="687.9"/>
        <n v="238.6"/>
        <n v="226.3"/>
        <n v="287.3"/>
        <n v="88.6"/>
        <n v="276.60000000000002"/>
        <n v="323.10000000000002"/>
        <n v="77.900000000000006"/>
        <n v="163.5"/>
        <n v="211.3"/>
        <n v="243"/>
        <n v="108.4"/>
        <n v="356.9"/>
        <n v="105.5"/>
        <n v="337.5"/>
        <n v="165.7"/>
        <n v="74.900000000000006"/>
        <n v="249.2"/>
        <n v="156"/>
        <n v="83.8"/>
        <n v="311.89999999999998"/>
        <n v="307.10000000000002"/>
        <n v="149.4"/>
        <n v="339.9"/>
        <n v="79.7"/>
        <n v="106.3"/>
        <n v="299.60000000000002"/>
        <n v="205.6"/>
        <n v="243.1"/>
        <n v="313.60000000000002"/>
        <n v="174.2"/>
        <n v="113.8"/>
        <n v="195"/>
        <n v="101.9"/>
        <n v="167.8"/>
        <n v="96.9"/>
        <n v="89.4"/>
        <n v="504.7"/>
        <n v="236.6"/>
        <n v="476.3"/>
        <n v="165.9"/>
        <n v="518.4"/>
        <n v="307.60000000000002"/>
        <n v="372.7"/>
        <n v="302"/>
        <n v="211.1"/>
        <n v="88.9"/>
        <n v="155.1"/>
        <n v="80.8"/>
        <n v="212.3"/>
        <n v="257.7"/>
        <n v="294.39999999999998"/>
        <n v="150.69999999999999"/>
        <n v="326.89999999999998"/>
        <n v="212.6"/>
        <n v="44"/>
        <n v="147.4"/>
        <n v="100.8"/>
        <n v="108.9"/>
        <n v="80.5"/>
        <n v="44.3"/>
        <n v="314.8"/>
        <n v="176.9"/>
        <n v="89.1"/>
        <n v="94.9"/>
        <n v="218.8"/>
        <n v="85.1"/>
        <n v="165.6"/>
        <n v="572.4"/>
        <n v="191.8"/>
        <n v="177.1"/>
        <n v="268.8"/>
        <n v="668.1"/>
        <n v="99.9"/>
        <n v="310.5"/>
        <n v="186.7"/>
        <n v="369.1"/>
        <n v="74.5"/>
        <n v="192.1"/>
        <n v="248.4"/>
        <n v="647.5"/>
        <n v="155.69999999999999"/>
        <n v="178.4"/>
        <n v="194.4"/>
        <n v="304.2"/>
        <n v="127.4"/>
        <n v="140.80000000000001"/>
        <n v="98.5"/>
        <n v="181.6"/>
        <n v="103.4"/>
        <n v="94.3"/>
        <n v="246.3"/>
        <n v="358.8"/>
        <n v="297.2"/>
        <n v="74.7"/>
        <n v="719.3"/>
        <n v="255"/>
        <n v="250.9"/>
        <n v="221.9"/>
        <n v="185.4"/>
        <n v="246.6"/>
        <n v="546.29999999999995"/>
        <n v="102.4"/>
        <n v="316"/>
        <n v="146.30000000000001"/>
        <n v="204.6"/>
        <n v="584.5"/>
        <n v="209.3"/>
        <n v="231.4"/>
        <n v="63.7"/>
        <n v="202.4"/>
        <n v="229.8"/>
        <n v="354.7"/>
        <n v="301.39999999999998"/>
        <n v="95.4"/>
        <n v="179.1"/>
        <n v="177.7"/>
        <n v="84.9"/>
        <n v="120.8"/>
        <n v="359.7"/>
        <n v="359.5"/>
        <n v="284.39999999999998"/>
        <n v="86"/>
        <n v="523.9"/>
        <n v="467"/>
        <n v="219.7"/>
        <n v="252.2"/>
        <n v="216.3"/>
        <n v="203"/>
        <n v="220.1"/>
        <n v="101.2"/>
        <n v="164.8"/>
        <n v="106.5"/>
        <n v="270"/>
        <n v="218.2"/>
        <n v="92.1"/>
        <n v="339.2"/>
        <n v="266.2"/>
        <n v="927.5"/>
        <n v="149.69999999999999"/>
        <n v="973.2"/>
        <n v="83"/>
        <n v="219.5"/>
        <n v="296.5"/>
        <n v="262.7"/>
        <n v="29.9"/>
        <n v="240.6"/>
        <n v="224.6"/>
        <n v="525.1"/>
        <n v="313"/>
        <n v="282.5"/>
        <n v="226.7"/>
        <n v="169.2"/>
        <n v="277.3"/>
        <n v="298.89999999999998"/>
        <n v="81.7"/>
        <n v="468.1"/>
        <n v="223"/>
        <n v="259.89999999999998"/>
        <n v="168.2"/>
        <n v="71.900000000000006"/>
        <n v="146.4"/>
        <n v="504.4"/>
        <n v="212.7"/>
        <n v="188.3"/>
        <n v="154.69999999999999"/>
        <n v="106"/>
        <n v="179.9"/>
        <n v="335.1"/>
        <n v="312.3"/>
        <n v="267.10000000000002"/>
        <n v="104.3"/>
        <n v="313.5"/>
        <n v="199.1"/>
        <n v="203.6"/>
        <n v="234"/>
        <n v="183.3"/>
        <n v="238.1"/>
        <n v="183.8"/>
        <n v="98.2"/>
        <n v="110.5"/>
        <n v="321.8"/>
        <n v="34.299999999999997"/>
        <n v="204"/>
        <n v="296.39999999999998"/>
        <n v="290.8"/>
        <n v="323.2"/>
        <n v="207.8"/>
        <n v="254.7"/>
        <n v="338.2"/>
        <n v="293.7"/>
        <n v="622"/>
        <n v="241.3"/>
        <n v="275.3"/>
        <n v="145.9"/>
        <n v="237.9"/>
        <n v="348.2"/>
        <n v="210.5"/>
        <n v="167.3"/>
        <n v="139.69999999999999"/>
        <n v="100.1"/>
        <n v="102.2"/>
        <n v="82.8"/>
        <n v="88.5"/>
        <n v="151.9"/>
        <n v="174.3"/>
        <n v="157.4"/>
        <n v="646.20000000000005"/>
        <n v="317"/>
        <n v="198.6"/>
        <n v="31.3"/>
        <n v="328.9"/>
        <n v="301.8"/>
        <n v="698.7"/>
        <n v="76.2"/>
        <n v="166.6"/>
        <n v="156.1"/>
        <n v="113.4"/>
        <n v="297.8"/>
        <n v="200.5"/>
        <n v="258.5"/>
        <n v="391.3"/>
        <n v="159.69999999999999"/>
        <n v="470.7"/>
        <n v="182.8"/>
        <n v="338.8"/>
        <n v="481.9"/>
        <n v="695.4"/>
        <n v="87"/>
        <n v="302.60000000000002"/>
        <n v="74"/>
        <n v="200.2"/>
        <n v="362.5"/>
        <n v="198.4"/>
        <n v="902"/>
        <n v="1050.2"/>
        <n v="177.4"/>
        <n v="223.1"/>
        <n v="247.4"/>
        <n v="109.9"/>
        <n v="291"/>
        <n v="86.3"/>
        <n v="311.7"/>
        <n v="336.5"/>
        <n v="175"/>
        <n v="185.5"/>
        <n v="222.9"/>
        <n v="438"/>
        <n v="85.9"/>
        <n v="326.7"/>
        <n v="104.2"/>
        <n v="268.2"/>
        <n v="356.3"/>
        <n v="94.4"/>
        <n v="337.8"/>
        <n v="96.1"/>
        <n v="197.1"/>
        <n v="89.5"/>
        <n v="327.39999999999998"/>
        <n v="104"/>
        <n v="334.2"/>
        <n v="205.2"/>
        <n v="93.1"/>
        <n v="178.1"/>
        <n v="597.9"/>
        <n v="414.5"/>
        <n v="147.1"/>
        <n v="491.9"/>
        <n v="257.3"/>
        <n v="130.69999999999999"/>
        <n v="268.5"/>
        <n v="153.4"/>
        <n v="349.3"/>
        <n v="207.6"/>
        <n v="848.5"/>
        <n v="631.70000000000005"/>
        <n v="78"/>
        <n v="271.60000000000002"/>
        <n v="186.9"/>
        <n v="440.7"/>
        <n v="315.39999999999998"/>
        <n v="248.6"/>
        <n v="35.799999999999997"/>
        <n v="74.400000000000006"/>
        <n v="195.2"/>
        <n v="165.8"/>
        <n v="41.4"/>
        <n v="149"/>
        <n v="328.5"/>
        <n v="408.6"/>
        <n v="179.6"/>
        <n v="128.9"/>
        <n v="188"/>
        <n v="294.5"/>
        <n v="151.6"/>
        <n v="240.9"/>
        <n v="179.8"/>
        <n v="90.8"/>
        <n v="146.9"/>
        <n v="367.3"/>
        <n v="339.5"/>
        <n v="350.2"/>
        <n v="190"/>
        <n v="36.200000000000003"/>
        <n v="101.6"/>
        <n v="727.4"/>
        <n v="93.9"/>
        <n v="355.7"/>
        <n v="328.6"/>
        <n v="316.7"/>
        <n v="88"/>
        <n v="356.1"/>
        <n v="49.7"/>
        <n v="214.9"/>
        <n v="171.7"/>
        <n v="174"/>
        <n v="165.5"/>
        <n v="536.9"/>
        <n v="156.5"/>
        <n v="621.1"/>
        <n v="142.80000000000001"/>
        <n v="621.6"/>
        <n v="175.2"/>
        <n v="239.2"/>
        <n v="341.6"/>
        <n v="148.1"/>
        <n v="112.5"/>
        <n v="217.4"/>
        <n v="125.3"/>
        <n v="173.5"/>
        <n v="157.69999999999999"/>
        <n v="169"/>
        <n v="221.3"/>
        <n v="162.69999999999999"/>
        <n v="200.4"/>
        <n v="298.10000000000002"/>
        <n v="93.5"/>
        <n v="233.5"/>
        <n v="107.7"/>
        <n v="80"/>
        <n v="183.9"/>
        <n v="37.299999999999997"/>
        <n v="888.1"/>
        <n v="398.5"/>
        <n v="253.8"/>
        <n v="223.3"/>
        <n v="492.7"/>
        <n v="242.4"/>
        <n v="319.10000000000002"/>
        <n v="296.2"/>
        <n v="256.89999999999998"/>
        <n v="550.79999999999995"/>
        <n v="488.5"/>
        <n v="173.1"/>
        <n v="72.8"/>
        <n v="180"/>
        <n v="267.60000000000002"/>
        <n v="227.7"/>
        <n v="473.4"/>
        <n v="220.9"/>
        <n v="213.1"/>
        <n v="321.10000000000002"/>
        <n v="136"/>
        <n v="653.70000000000005"/>
        <n v="202.1"/>
        <n v="78.3"/>
        <n v="113.1"/>
        <n v="287.60000000000002"/>
        <n v="204.1"/>
        <n v="636.9"/>
        <n v="113.9"/>
        <n v="184.6"/>
        <n v="108.2"/>
        <n v="160.6"/>
        <n v="238"/>
        <n v="669.2"/>
        <n v="170.5"/>
        <n v="178"/>
        <n v="94.1"/>
        <n v="389.2"/>
        <n v="93"/>
        <n v="251"/>
        <n v="184.4"/>
        <n v="305.2"/>
        <n v="227.8"/>
        <n v="213.7"/>
        <n v="202.6"/>
        <n v="96.5"/>
        <n v="211.7"/>
        <n v="181.4"/>
        <n v="40.5"/>
        <n v="310"/>
        <n v="234.3"/>
        <n v="292.89999999999998"/>
        <n v="331.6"/>
        <n v="120.2"/>
        <n v="106.6"/>
        <n v="249.3"/>
        <n v="294.89999999999998"/>
        <n v="111.9"/>
        <n v="317.39999999999998"/>
        <n v="216.8"/>
        <n v="56.1"/>
        <n v="336"/>
        <n v="340.3"/>
        <n v="645.9"/>
        <n v="248.1"/>
        <n v="306.2"/>
        <n v="163.9"/>
        <n v="196"/>
        <n v="185.7"/>
        <n v="389.5"/>
        <n v="92.8"/>
        <n v="150.19999999999999"/>
        <n v="862.9"/>
        <n v="93.2"/>
        <n v="134.6"/>
        <n v="249.8"/>
        <n v="463"/>
        <n v="497.4"/>
        <n v="87.5"/>
        <n v="252.9"/>
        <n v="29.2"/>
        <n v="148.4"/>
        <n v="192.7"/>
        <n v="213.2"/>
        <n v="90.2"/>
        <n v="274.3"/>
        <n v="244.1"/>
        <n v="55.4"/>
        <n v="244.5"/>
        <n v="85.7"/>
        <n v="186.3"/>
        <n v="199.7"/>
        <n v="269.3"/>
        <n v="307.3"/>
        <n v="272.10000000000002"/>
        <n v="484.4"/>
        <n v="148.5"/>
        <n v="353.7"/>
        <n v="421.1"/>
        <n v="90"/>
        <n v="182.6"/>
        <n v="309.8"/>
        <n v="240.2"/>
        <n v="278.10000000000002"/>
        <n v="82.9"/>
        <n v="104.5"/>
        <n v="259.8"/>
        <n v="105.9"/>
        <n v="320.2"/>
        <n v="224.2"/>
        <n v="185.6"/>
        <n v="234.6"/>
        <n v="319.7"/>
        <n v="76.099999999999994"/>
        <n v="72.400000000000006"/>
        <n v="204.2"/>
        <n v="275.60000000000002"/>
        <n v="95.9"/>
        <n v="48.8"/>
        <n v="87.4"/>
        <n v="107.6"/>
        <n v="277.60000000000002"/>
        <n v="106.4"/>
        <n v="325.60000000000002"/>
        <n v="436.5"/>
        <n v="597"/>
        <n v="106.2"/>
        <n v="287.89999999999998"/>
        <n v="428.1"/>
        <n v="142.30000000000001"/>
        <n v="412.4"/>
        <n v="394"/>
        <n v="31.2"/>
        <n v="242.7"/>
        <n v="237.1"/>
        <n v="216.6"/>
        <n v="152.4"/>
        <n v="513"/>
        <n v="280.7"/>
        <n v="295.2"/>
        <n v="85.5"/>
        <n v="322"/>
        <n v="166.8"/>
        <n v="154"/>
        <n v="420.4"/>
        <n v="76"/>
        <n v="227.4"/>
        <n v="271.89999999999998"/>
        <n v="42.3"/>
        <n v="289.39999999999998"/>
        <n v="319.39999999999998"/>
        <n v="538.1"/>
        <n v="287.5"/>
        <n v="397.4"/>
        <n v="200.8"/>
        <n v="885.6"/>
        <n v="145.1"/>
        <n v="151.1"/>
        <n v="277.2"/>
        <n v="346"/>
        <n v="226.4"/>
        <n v="222.7"/>
        <n v="34.4"/>
        <n v="210.1"/>
        <n v="191.3"/>
        <n v="623.9"/>
        <n v="235.5"/>
        <n v="300.5"/>
        <n v="333.7"/>
        <n v="978.9"/>
        <n v="206.5"/>
        <n v="200.9"/>
        <n v="302.10000000000002"/>
        <n v="242.3"/>
        <n v="180.8"/>
        <n v="83.5"/>
        <n v="91.1"/>
        <n v="218.7"/>
        <n v="155.9"/>
        <n v="310.2"/>
        <n v="79.599999999999994"/>
        <n v="267"/>
        <n v="88.4"/>
        <n v="245"/>
        <n v="189.1"/>
        <n v="177"/>
        <n v="159.9"/>
        <n v="152.80000000000001"/>
        <n v="105.6"/>
        <n v="291.39999999999998"/>
        <n v="111.2"/>
        <n v="299.2"/>
        <n v="197.5"/>
        <n v="456.9"/>
        <n v="166.7"/>
        <n v="272.60000000000002"/>
        <n v="427.8"/>
        <n v="177.9"/>
        <n v="436.3"/>
        <n v="291.3"/>
        <n v="362.8"/>
        <n v="166.3"/>
        <n v="707.3"/>
        <n v="148.69999999999999"/>
        <n v="422.9"/>
        <n v="849.7"/>
        <n v="178.8"/>
        <n v="230.6"/>
        <n v="178.6"/>
        <n v="283.3"/>
        <n v="911.3"/>
        <n v="199.9"/>
        <n v="34.5"/>
        <n v="146.5"/>
        <n v="170.7"/>
        <n v="156.30000000000001"/>
        <n v="188.1"/>
        <n v="145.80000000000001"/>
        <n v="238.4"/>
        <n v="129"/>
        <n v="322.60000000000002"/>
        <n v="90.6"/>
        <n v="76.5"/>
        <n v="206.8"/>
        <n v="105.3"/>
        <n v="175.7"/>
        <n v="320.8"/>
        <n v="254.1"/>
        <n v="327.9"/>
        <n v="538.6"/>
        <n v="1048.2"/>
        <n v="163.69999999999999"/>
        <n v="320.89999999999998"/>
        <n v="89.6"/>
        <n v="575.70000000000005"/>
        <n v="84.1"/>
        <n v="305.3"/>
        <n v="217.9"/>
        <n v="138"/>
        <n v="124.1"/>
        <n v="90.3"/>
        <n v="285.39999999999998"/>
        <n v="88.3"/>
        <n v="45.3"/>
        <n v="130.30000000000001"/>
        <n v="51.9"/>
        <n v="680.7"/>
        <n v="113.7"/>
        <n v="496.7"/>
        <n v="334.3"/>
        <n v="461.2"/>
        <n v="204.7"/>
        <n v="317.7"/>
        <n v="313.3"/>
        <n v="226.6"/>
        <n v="330.8"/>
        <n v="198.5"/>
        <n v="847.7"/>
        <n v="198.9"/>
        <n v="43.4"/>
        <n v="320.39999999999998"/>
        <n v="286.10000000000002"/>
        <n v="279.3"/>
        <n v="235.3"/>
        <n v="345.7"/>
        <n v="492.1"/>
        <n v="278.8"/>
        <n v="73.599999999999994"/>
        <n v="166.2"/>
        <n v="476.8"/>
        <n v="232.4"/>
        <n v="204.5"/>
        <n v="32.299999999999997"/>
        <n v="280.60000000000002"/>
        <n v="189.9"/>
        <n v="122.2"/>
        <n v="196.6"/>
        <n v="31"/>
        <n v="287.39999999999998"/>
        <n v="160"/>
        <n v="148.80000000000001"/>
        <n v="498"/>
        <n v="192"/>
        <n v="108.5"/>
        <n v="102.3"/>
        <n v="411.5"/>
        <n v="304.60000000000002"/>
        <n v="221"/>
        <n v="340.2"/>
        <n v="302.8"/>
        <n v="169.6"/>
        <n v="189.3"/>
        <n v="83.3"/>
        <n v="162.80000000000001"/>
        <n v="458"/>
        <n v="71.599999999999994"/>
        <n v="299.8"/>
        <n v="186.6"/>
        <n v="241.2"/>
        <n v="178.9"/>
        <n v="329.9"/>
        <n v="224.1"/>
        <n v="285.7"/>
        <n v="100.6"/>
        <n v="590.9"/>
        <n v="120.4"/>
        <n v="374.8"/>
        <n v="227.5"/>
        <n v="86.1"/>
        <n v="334.9"/>
        <n v="109"/>
        <n v="163.4"/>
        <n v="265.3"/>
        <n v="342.8"/>
        <n v="385.4"/>
        <n v="350.9"/>
        <n v="202"/>
        <n v="161"/>
        <n v="201.6"/>
        <n v="151"/>
        <n v="286.3"/>
        <n v="84"/>
        <n v="290.7"/>
        <n v="196.7"/>
        <n v="244.9"/>
        <n v="282.10000000000002"/>
        <n v="337.6"/>
        <n v="149.6"/>
        <n v="301"/>
        <n v="150.1"/>
        <n v="397.5"/>
        <n v="306.8"/>
        <n v="37.700000000000003"/>
        <n v="144.30000000000001"/>
        <n v="331"/>
        <n v="246"/>
        <n v="34"/>
        <n v="124.5"/>
        <n v="103.3"/>
        <n v="457.1"/>
        <n v="131.9"/>
        <n v="83.7"/>
        <n v="38.5"/>
        <n v="161.6"/>
        <n v="216.5"/>
        <n v="205.5"/>
        <n v="317.60000000000002"/>
        <n v="620.6"/>
        <n v="185"/>
        <n v="174.4"/>
        <n v="216"/>
        <n v="332.1"/>
        <n v="191.4"/>
        <n v="264.5"/>
        <n v="366.5"/>
        <n v="224.8"/>
        <n v="172.4"/>
        <n v="246.2"/>
        <n v="239.4"/>
        <n v="334.6"/>
        <n v="598"/>
        <n v="211.2"/>
        <n v="351.4"/>
        <n v="103.6"/>
        <n v="303.2"/>
        <n v="621.9"/>
        <n v="533.70000000000005"/>
        <n v="144.80000000000001"/>
        <n v="272.39999999999998"/>
        <n v="104.8"/>
        <n v="409.2"/>
        <n v="199.6"/>
        <n v="282.2"/>
        <n v="201.7"/>
        <n v="689.4"/>
        <n v="144.6"/>
        <n v="292.5"/>
        <n v="168.6"/>
        <n v="73.900000000000006"/>
        <n v="422.2"/>
        <n v="171.4"/>
        <n v="292"/>
        <n v="314.10000000000002"/>
        <n v="536.1"/>
        <n v="225.1"/>
        <n v="108.8"/>
        <n v="97.8"/>
        <n v="282"/>
        <n v="286.60000000000002"/>
        <n v="918.1"/>
        <n v="260.60000000000002"/>
        <n v="412"/>
        <n v="265.10000000000002"/>
        <n v="103.2"/>
        <n v="173.7"/>
        <n v="284"/>
        <n v="56.3"/>
        <n v="101.7"/>
        <n v="66.5"/>
        <n v="87.8"/>
        <n v="209.5"/>
        <n v="334.4"/>
        <n v="392.9"/>
        <n v="200.3"/>
        <n v="37.799999999999997"/>
        <n v="258.7"/>
        <n v="167.2"/>
        <n v="210.6"/>
        <n v="278.60000000000002"/>
        <n v="58.8"/>
        <n v="225.3"/>
        <n v="179.7"/>
        <n v="79.099999999999994"/>
        <n v="358.6"/>
        <n v="497.8"/>
        <n v="522.9"/>
        <n v="177.6"/>
        <n v="469.5"/>
        <n v="340.8"/>
        <n v="163.19999999999999"/>
        <n v="100.7"/>
        <n v="214.7"/>
        <n v="580.4"/>
        <n v="217.1"/>
        <n v="201.9"/>
        <n v="186.5"/>
        <n v="1035.0999999999999"/>
        <n v="203.5"/>
        <n v="89.3"/>
        <n v="278.39999999999998"/>
        <n v="113"/>
        <n v="279.2"/>
        <n v="203.8"/>
        <n v="310.7"/>
        <n v="401.3"/>
        <n v="112.3"/>
        <n v="39.9"/>
        <n v="227.1"/>
        <n v="246.8"/>
        <n v="330"/>
        <n v="374"/>
        <n v="312.60000000000002"/>
        <n v="203.1"/>
        <n v="255.3"/>
        <n v="190.6"/>
        <n v="234.9"/>
        <n v="105.1"/>
        <n v="333.9"/>
        <n v="256.7"/>
        <n v="631.5"/>
        <n v="260.8"/>
        <n v="126.1"/>
        <n v="196.4"/>
        <n v="189.6"/>
        <n v="465.5"/>
        <n v="286.2"/>
        <n v="531"/>
        <n v="174.6"/>
        <n v="479.3"/>
        <n v="109.1"/>
        <n v="323.3"/>
        <n v="112"/>
        <n v="257.39999999999998"/>
        <n v="964.2"/>
        <n v="351.7"/>
        <n v="181.2"/>
        <n v="261.2"/>
        <n v="432.5"/>
        <n v="74.3"/>
        <n v="334.7"/>
        <n v="248.2"/>
        <n v="235.6"/>
        <n v="280.3"/>
        <n v="221.5"/>
        <n v="318.3"/>
        <n v="296.7"/>
        <n v="266.60000000000002"/>
        <n v="112.2"/>
        <n v="369.3"/>
        <n v="291.8"/>
        <n v="673"/>
        <n v="207.7"/>
        <n v="76.599999999999994"/>
        <n v="270.3"/>
        <n v="495"/>
        <n v="48.6"/>
        <n v="329.2"/>
        <n v="306"/>
        <n v="145.5"/>
        <n v="176"/>
        <n v="290.10000000000002"/>
        <n v="96.7"/>
        <n v="330.5"/>
        <n v="159.4"/>
        <n v="155.4"/>
        <n v="245.9"/>
        <n v="335.3"/>
        <n v="264.89999999999998"/>
        <n v="186.1"/>
        <n v="666.4"/>
        <n v="191.1"/>
        <n v="227.6"/>
        <n v="209.2"/>
        <n v="50.7"/>
        <n v="308.10000000000002"/>
        <n v="260.10000000000002"/>
        <n v="167.9"/>
        <n v="299"/>
        <n v="136.6"/>
        <n v="720.5"/>
        <n v="505.9"/>
        <n v="284.3"/>
        <n v="98.1"/>
        <n v="221.1"/>
        <n v="594"/>
        <n v="314.39999999999998"/>
        <n v="308.7"/>
        <n v="320.5"/>
        <n v="349.9"/>
        <n v="702.5"/>
        <n v="107.1"/>
        <n v="357.8"/>
        <n v="141.9"/>
        <n v="345"/>
        <n v="266.7"/>
        <n v="170.3"/>
        <n v="934.5"/>
        <n v="392.7"/>
        <n v="250.5"/>
        <n v="319.3"/>
        <n v="331.5"/>
        <n v="278.89999999999998"/>
        <n v="533.20000000000005"/>
        <n v="211"/>
        <n v="471.8"/>
        <n v="266.5"/>
        <n v="91.2"/>
        <n v="111.7"/>
        <n v="370"/>
        <n v="258.10000000000002"/>
        <n v="600.20000000000005"/>
        <n v="95.6"/>
        <n v="192.6"/>
        <n v="309.7"/>
        <n v="534.79999999999995"/>
        <n v="254.8"/>
        <n v="171.9"/>
        <n v="210.3"/>
        <n v="57.2"/>
        <n v="291.7"/>
        <n v="248.7"/>
        <n v="399.6"/>
        <n v="121"/>
        <n v="204.4"/>
        <n v="241.6"/>
        <n v="268.7"/>
        <n v="299.3"/>
        <n v="82.4"/>
        <n v="98.6"/>
        <n v="151.19999999999999"/>
        <n v="226.2"/>
        <n v="201.8"/>
        <n v="203.2"/>
        <n v="601.29999999999995"/>
        <n v="309.60000000000002"/>
        <n v="293.8"/>
        <n v="268.39999999999998"/>
        <n v="254.4"/>
        <n v="206.6"/>
        <n v="407.7"/>
        <n v="336.9"/>
        <n v="172.5"/>
        <n v="110.2"/>
        <n v="104.7"/>
        <n v="211.6"/>
        <n v="269.8"/>
        <n v="77.5"/>
        <n v="273.7"/>
        <n v="100.5"/>
        <n v="201.4"/>
        <n v="256.3"/>
        <n v="188.6"/>
        <n v="275.8"/>
        <n v="192.2"/>
        <n v="161.80000000000001"/>
        <n v="85.8"/>
        <n v="234.7"/>
        <n v="173.2"/>
        <n v="337.9"/>
        <n v="44.2"/>
        <n v="325.89999999999998"/>
        <n v="223.6"/>
        <n v="419.1"/>
        <n v="315.7"/>
        <n v="526.6"/>
        <n v="419"/>
        <n v="195.7"/>
        <n v="1034.5"/>
        <n v="43"/>
        <n v="310.39999999999998"/>
        <n v="183.6"/>
        <n v="196.1"/>
        <n v="488.6"/>
        <n v="180.9"/>
        <n v="111.8"/>
        <n v="306.89999999999998"/>
        <n v="39.6"/>
        <n v="286.7"/>
        <n v="479.5"/>
        <n v="533"/>
        <n v="355.6"/>
        <n v="189.7"/>
        <n v="237.8"/>
        <n v="156.80000000000001"/>
        <n v="234.1"/>
        <n v="162.19999999999999"/>
        <n v="150"/>
        <n v="274.39999999999998"/>
        <n v="221.7"/>
        <n v="481.6"/>
        <n v="905.3"/>
        <n v="239.9"/>
      </sharedItems>
    </cacheField>
    <cacheField name="Resolution_Time_Days" numFmtId="0">
      <sharedItems containsSemiMixedTypes="0" containsString="0" containsNumber="1" minValue="1.2" maxValue="43.9"/>
    </cacheField>
    <cacheField name="Category" numFmtId="0">
      <sharedItems count="8">
        <s v="Access Requests"/>
        <s v="Hardware Issues"/>
        <s v="Network Connectivity"/>
        <s v="Password Reset"/>
        <s v="Application Errors"/>
        <s v="Other"/>
        <s v="Email/Calendar"/>
        <s v="Software Installation"/>
      </sharedItems>
    </cacheField>
    <cacheField name="Subcategory" numFmtId="0">
      <sharedItems/>
    </cacheField>
    <cacheField name="Priority" numFmtId="0">
      <sharedItems/>
    </cacheField>
    <cacheField name="SLA_Target_Hours" numFmtId="0">
      <sharedItems containsSemiMixedTypes="0" containsString="0" containsNumber="1" containsInteger="1" minValue="48" maxValue="360"/>
    </cacheField>
    <cacheField name="SLA_Status" numFmtId="0">
      <sharedItems count="2">
        <s v="Breached"/>
        <s v="Met"/>
      </sharedItems>
    </cacheField>
    <cacheField name="Channel" numFmtId="0">
      <sharedItems/>
    </cacheField>
    <cacheField name="Assigned_Tier" numFmtId="0">
      <sharedItems/>
    </cacheField>
    <cacheField name="Technician_ID" numFmtId="0">
      <sharedItems count="25">
        <s v="TECH-19"/>
        <s v="TECH-10"/>
        <s v="TECH-20"/>
        <s v="TECH-14"/>
        <s v="TECH-7"/>
        <s v="TECH-8"/>
        <s v="TECH-22"/>
        <s v="TECH-3"/>
        <s v="TECH-23"/>
        <s v="TECH-13"/>
        <s v="TECH-5"/>
        <s v="TECH-16"/>
        <s v="TECH-4"/>
        <s v="TECH-6"/>
        <s v="TECH-12"/>
        <s v="TECH-17"/>
        <s v="TECH-25"/>
        <s v="TECH-1"/>
        <s v="TECH-24"/>
        <s v="TECH-2"/>
        <s v="TECH-18"/>
        <s v="TECH-9"/>
        <s v="TECH-11"/>
        <s v="TECH-21"/>
        <s v="TECH-15"/>
      </sharedItems>
    </cacheField>
    <cacheField name="Technician_Experience" numFmtId="0">
      <sharedItems count="3">
        <s v="Senior"/>
        <s v="Junior"/>
        <s v="Mid-level"/>
      </sharedItems>
    </cacheField>
    <cacheField name="First_Contact_Resolution" numFmtId="0">
      <sharedItems/>
    </cacheField>
    <cacheField name="Escalated" numFmtId="0">
      <sharedItems/>
    </cacheField>
    <cacheField name="Number_of_Handoffs" numFmtId="0">
      <sharedItems containsSemiMixedTypes="0" containsString="0" containsNumber="1" containsInteger="1" minValue="0" maxValue="4"/>
    </cacheField>
    <cacheField name="Reopened" numFmtId="0">
      <sharedItems/>
    </cacheField>
    <cacheField name="CSAT_Score" numFmtId="0">
      <sharedItems containsSemiMixedTypes="0" containsString="0" containsNumber="1" containsInteger="1" minValue="1" maxValue="10"/>
    </cacheField>
    <cacheField name="Response_Time_Hours" numFmtId="0">
      <sharedItems containsSemiMixedTypes="0" containsString="0" containsNumber="1" minValue="0.1" maxValue="8.4"/>
    </cacheField>
    <cacheField name="Wait_Time_Hours" numFmtId="0">
      <sharedItems containsSemiMixedTypes="0" containsString="0" containsNumber="1" minValue="0" maxValue="60.8"/>
    </cacheField>
    <cacheField name="Knowledge_Base_Used" numFmtId="0">
      <sharedItems/>
    </cacheField>
    <cacheField name="KB_Article_Quality" numFmtId="0">
      <sharedItems/>
    </cacheField>
    <cacheField name="Initial_Info_Complete" numFmtId="0">
      <sharedItems/>
    </cacheField>
    <cacheField name="User_Department" numFmtId="0">
      <sharedItems/>
    </cacheField>
    <cacheField name="Day_of_Week" numFmtId="0">
      <sharedItems/>
    </cacheField>
    <cacheField name="Time_Period" numFmtId="0">
      <sharedItems/>
    </cacheField>
    <cacheField name="Days (Month)" numFmtId="0" databaseField="0">
      <fieldGroup base="2">
        <rangePr groupBy="days" startDate="2024-01-01T00:00:00" endDate="2024-12-02T00:00:00"/>
        <groupItems count="368">
          <s v="&lt;1.1.2024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ug"/>
          <s v="2.Aug"/>
          <s v="3.Aug"/>
          <s v="4.Aug"/>
          <s v="5.Aug"/>
          <s v="6.Aug"/>
          <s v="7.Aug"/>
          <s v="8.Aug"/>
          <s v="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ct"/>
          <s v="2.Oct"/>
          <s v="3.Oct"/>
          <s v="4.Oct"/>
          <s v="5.Oct"/>
          <s v="6.Oct"/>
          <s v="7.Oct"/>
          <s v="8.Oct"/>
          <s v="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2.12.2024"/>
        </groupItems>
      </fieldGroup>
    </cacheField>
    <cacheField name="Months (Month)" numFmtId="0" databaseField="0">
      <fieldGroup base="2">
        <rangePr groupBy="months" startDate="2024-01-01T00:00:00" endDate="2024-12-02T00:00:00"/>
        <groupItems count="14">
          <s v="&lt;1.1.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.12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8">
  <r>
    <x v="0"/>
    <s v="2024-12-12 18:24:30"/>
    <x v="0"/>
    <s v="2024-12-26 11:42:30"/>
    <n v="329.3"/>
    <n v="13.7"/>
    <s v="Access Requests"/>
    <s v="Admin Rights"/>
    <x v="0"/>
    <n v="240"/>
    <x v="0"/>
    <s v="Portal"/>
    <s v="Tier 1"/>
    <s v="TECH-19"/>
    <s v="Senior"/>
    <x v="0"/>
    <s v="No"/>
    <n v="1"/>
    <s v="No"/>
    <n v="4"/>
    <n v="2.7"/>
    <n v="18.399999999999999"/>
    <s v="Yes"/>
    <s v="Excellent"/>
    <s v="Yes"/>
    <s v="Executive"/>
    <s v="Thursday"/>
    <s v="Evening"/>
  </r>
  <r>
    <x v="1"/>
    <s v="2024-08-19 18:40:51"/>
    <x v="1"/>
    <s v="2024-08-24 06:58:51"/>
    <n v="108.3"/>
    <n v="4.5"/>
    <s v="Access Requests"/>
    <s v="VPN Access"/>
    <x v="1"/>
    <n v="120"/>
    <x v="1"/>
    <s v="Portal"/>
    <s v="Tier 1"/>
    <s v="TECH-10"/>
    <s v="Junior"/>
    <x v="0"/>
    <s v="No"/>
    <n v="1"/>
    <s v="No"/>
    <n v="9"/>
    <n v="0.4"/>
    <n v="0"/>
    <s v="Yes"/>
    <s v="Poor"/>
    <s v="Yes"/>
    <s v="Legal"/>
    <s v="Tuesday"/>
    <s v="Afternoon"/>
  </r>
  <r>
    <x v="2"/>
    <s v="2024-10-27 01:19:10"/>
    <x v="2"/>
    <s v="2024-11-02 15:43:10"/>
    <n v="134.4"/>
    <n v="5.6"/>
    <s v="Hardware Issues"/>
    <s v="Printer"/>
    <x v="1"/>
    <n v="120"/>
    <x v="0"/>
    <s v="Portal"/>
    <s v="Tier 1"/>
    <s v="TECH-20"/>
    <s v="Mid-level"/>
    <x v="0"/>
    <s v="No"/>
    <n v="1"/>
    <s v="No"/>
    <n v="7"/>
    <n v="1.4"/>
    <n v="9.3000000000000007"/>
    <s v="Yes"/>
    <s v="Fair"/>
    <s v="No"/>
    <s v="Finance"/>
    <s v="Thursday"/>
    <s v="Afternoon"/>
  </r>
  <r>
    <x v="3"/>
    <s v="2024-01-22 15:06:47"/>
    <x v="3"/>
    <s v="2024-02-05 13:36:47"/>
    <n v="334.5"/>
    <n v="13.9"/>
    <s v="Network Connectivity"/>
    <s v="VPN Connection"/>
    <x v="0"/>
    <n v="240"/>
    <x v="0"/>
    <s v="Email"/>
    <s v="Tier 2"/>
    <s v="TECH-14"/>
    <s v="Junior"/>
    <x v="0"/>
    <s v="Yes"/>
    <n v="4"/>
    <s v="No"/>
    <n v="7"/>
    <n v="3.2"/>
    <n v="28.6"/>
    <s v="Yes"/>
    <s v="Poor"/>
    <s v="Yes"/>
    <s v="Operations"/>
    <s v="Tuesday"/>
    <s v="Afternoon"/>
  </r>
  <r>
    <x v="4"/>
    <s v="2024-07-17 15:21:02"/>
    <x v="4"/>
    <s v="2024-08-08 06:03:02"/>
    <n v="518.70000000000005"/>
    <n v="21.6"/>
    <s v="Password Reset"/>
    <s v="Windows Password"/>
    <x v="2"/>
    <n v="360"/>
    <x v="0"/>
    <s v="Email"/>
    <s v="Tier 1"/>
    <s v="TECH-7"/>
    <s v="Mid-level"/>
    <x v="1"/>
    <s v="No"/>
    <n v="0"/>
    <s v="No"/>
    <n v="8"/>
    <n v="6.9"/>
    <n v="26.4"/>
    <s v="Yes"/>
    <s v="Fair"/>
    <s v="Yes"/>
    <s v="IT"/>
    <s v="Wednesday"/>
    <s v="Morning"/>
  </r>
  <r>
    <x v="5"/>
    <s v="2024-07-31 10:29:27"/>
    <x v="4"/>
    <s v="2024-08-04 20:11:27"/>
    <n v="105.7"/>
    <n v="4.4000000000000004"/>
    <s v="Application Errors"/>
    <s v="Login Issues"/>
    <x v="1"/>
    <n v="120"/>
    <x v="1"/>
    <s v="Portal"/>
    <s v="Tier 2"/>
    <s v="TECH-8"/>
    <s v="Junior"/>
    <x v="0"/>
    <s v="Yes"/>
    <n v="4"/>
    <s v="No"/>
    <n v="10"/>
    <n v="3.3"/>
    <n v="16.8"/>
    <s v="No"/>
    <s v="Fair"/>
    <s v="Yes"/>
    <s v="Operations"/>
    <s v="Tuesday"/>
    <s v="Afternoon"/>
  </r>
  <r>
    <x v="6"/>
    <s v="2024-03-01 08:08:57"/>
    <x v="5"/>
    <s v="2024-03-03 15:08:57"/>
    <n v="55"/>
    <n v="2.2999999999999998"/>
    <s v="Other"/>
    <s v="Documentation"/>
    <x v="3"/>
    <n v="48"/>
    <x v="0"/>
    <s v="Phone"/>
    <s v="Tier 1"/>
    <s v="TECH-22"/>
    <s v="Senior"/>
    <x v="0"/>
    <s v="No"/>
    <n v="1"/>
    <s v="No"/>
    <n v="3"/>
    <n v="0.1"/>
    <n v="15"/>
    <s v="Yes"/>
    <s v="Poor"/>
    <s v="Yes"/>
    <s v="Operations"/>
    <s v="Thursday"/>
    <s v="Afternoon"/>
  </r>
  <r>
    <x v="7"/>
    <s v="2024-02-20 22:38:18"/>
    <x v="6"/>
    <s v="2024-03-05 05:38:18"/>
    <n v="319"/>
    <n v="13.3"/>
    <s v="Email/Calendar"/>
    <s v="Distribution List"/>
    <x v="2"/>
    <n v="360"/>
    <x v="1"/>
    <s v="Email"/>
    <s v="Tier 1"/>
    <s v="TECH-14"/>
    <s v="Senior"/>
    <x v="0"/>
    <s v="No"/>
    <n v="1"/>
    <s v="No"/>
    <n v="8"/>
    <n v="2.7"/>
    <n v="18"/>
    <s v="No"/>
    <s v="Fair"/>
    <s v="No"/>
    <s v="IT"/>
    <s v="Friday"/>
    <s v="Evening"/>
  </r>
  <r>
    <x v="8"/>
    <s v="2024-12-01 05:04:42"/>
    <x v="0"/>
    <s v="2024-12-06 16:16:42"/>
    <n v="131.19999999999999"/>
    <n v="5.5"/>
    <s v="Network Connectivity"/>
    <s v="VPN Connection"/>
    <x v="1"/>
    <n v="120"/>
    <x v="0"/>
    <s v="Portal"/>
    <s v="Tier 1"/>
    <s v="TECH-3"/>
    <s v="Mid-level"/>
    <x v="1"/>
    <s v="No"/>
    <n v="0"/>
    <s v="Yes"/>
    <n v="7"/>
    <n v="7.2"/>
    <n v="15.5"/>
    <s v="Yes"/>
    <s v="Fair"/>
    <s v="Yes"/>
    <s v="Sales"/>
    <s v="Monday"/>
    <s v="Morning"/>
  </r>
  <r>
    <x v="9"/>
    <s v="2024-11-04 11:32:20"/>
    <x v="7"/>
    <s v="2024-11-13 01:26:20"/>
    <n v="229.9"/>
    <n v="9.6"/>
    <s v="Password Reset"/>
    <s v="Windows Password"/>
    <x v="2"/>
    <n v="360"/>
    <x v="1"/>
    <s v="Walk-in"/>
    <s v="Tier 1"/>
    <s v="TECH-23"/>
    <s v="Mid-level"/>
    <x v="0"/>
    <s v="No"/>
    <n v="1"/>
    <s v="No"/>
    <n v="9"/>
    <n v="0.7"/>
    <n v="15.6"/>
    <s v="Yes"/>
    <s v="Poor"/>
    <s v="No"/>
    <s v="Marketing"/>
    <s v="Friday"/>
    <s v="Morning"/>
  </r>
  <r>
    <x v="10"/>
    <s v="2024-11-09 03:02:29"/>
    <x v="7"/>
    <s v="2024-11-27 10:38:29"/>
    <n v="439.6"/>
    <n v="18.3"/>
    <s v="Access Requests"/>
    <s v="Admin Rights"/>
    <x v="0"/>
    <n v="240"/>
    <x v="0"/>
    <s v="Phone"/>
    <s v="Tier 1"/>
    <s v="TECH-13"/>
    <s v="Senior"/>
    <x v="1"/>
    <s v="No"/>
    <n v="0"/>
    <s v="No"/>
    <n v="6"/>
    <n v="1.8"/>
    <n v="5.8"/>
    <s v="Yes"/>
    <s v="Excellent"/>
    <s v="Yes"/>
    <s v="Sales"/>
    <s v="Thursday"/>
    <s v="Afternoon"/>
  </r>
  <r>
    <x v="11"/>
    <s v="2024-07-05 20:22:40"/>
    <x v="4"/>
    <s v="2024-07-18 13:22:40"/>
    <n v="305"/>
    <n v="12.7"/>
    <s v="Access Requests"/>
    <s v="VPN Access"/>
    <x v="0"/>
    <n v="240"/>
    <x v="0"/>
    <s v="Phone"/>
    <s v="Tier 1"/>
    <s v="TECH-20"/>
    <s v="Senior"/>
    <x v="1"/>
    <s v="No"/>
    <n v="0"/>
    <s v="No"/>
    <n v="8"/>
    <n v="3.8"/>
    <n v="12.6"/>
    <s v="No"/>
    <s v="Good"/>
    <s v="Yes"/>
    <s v="IT"/>
    <s v="Monday"/>
    <s v="Morning"/>
  </r>
  <r>
    <x v="12"/>
    <s v="2024-05-03 13:26:11"/>
    <x v="8"/>
    <s v="2024-05-07 22:02:11"/>
    <n v="104.6"/>
    <n v="4.4000000000000004"/>
    <s v="Hardware Issues"/>
    <s v="Monitor"/>
    <x v="1"/>
    <n v="120"/>
    <x v="1"/>
    <s v="Walk-in"/>
    <s v="Tier 1"/>
    <s v="TECH-5"/>
    <s v="Senior"/>
    <x v="0"/>
    <s v="No"/>
    <n v="1"/>
    <s v="No"/>
    <n v="6"/>
    <n v="4.2"/>
    <n v="16.7"/>
    <s v="Yes"/>
    <s v="Poor"/>
    <s v="Yes"/>
    <s v="Finance"/>
    <s v="Wednesday"/>
    <s v="Afternoon"/>
  </r>
  <r>
    <x v="13"/>
    <s v="2024-09-03 14:59:05"/>
    <x v="9"/>
    <s v="2024-09-11 19:53:05"/>
    <n v="196.9"/>
    <n v="8.1999999999999993"/>
    <s v="Hardware Issues"/>
    <s v="Desktop"/>
    <x v="0"/>
    <n v="240"/>
    <x v="1"/>
    <s v="Chat"/>
    <s v="Tier 2"/>
    <s v="TECH-16"/>
    <s v="Senior"/>
    <x v="0"/>
    <s v="Yes"/>
    <n v="2"/>
    <s v="Yes"/>
    <n v="6"/>
    <n v="2.5"/>
    <n v="28.1"/>
    <s v="No"/>
    <s v="Poor"/>
    <s v="Yes"/>
    <s v="Operations"/>
    <s v="Thursday"/>
    <s v="Evening"/>
  </r>
  <r>
    <x v="14"/>
    <s v="2024-05-11 23:55:29"/>
    <x v="8"/>
    <s v="2024-05-16 05:13:29"/>
    <n v="101.3"/>
    <n v="4.2"/>
    <s v="Hardware Issues"/>
    <s v="Printer"/>
    <x v="1"/>
    <n v="120"/>
    <x v="1"/>
    <s v="Phone"/>
    <s v="Tier 1"/>
    <s v="TECH-4"/>
    <s v="Mid-level"/>
    <x v="0"/>
    <s v="No"/>
    <n v="1"/>
    <s v="No"/>
    <n v="10"/>
    <n v="2.2000000000000002"/>
    <n v="23.8"/>
    <s v="No"/>
    <s v="Fair"/>
    <s v="Yes"/>
    <s v="Finance"/>
    <s v="Monday"/>
    <s v="Morning"/>
  </r>
  <r>
    <x v="15"/>
    <s v="2024-03-17 02:13:39"/>
    <x v="5"/>
    <s v="2024-03-30 22:31:39"/>
    <n v="332.3"/>
    <n v="13.8"/>
    <s v="Software Installation"/>
    <s v="Drivers"/>
    <x v="2"/>
    <n v="360"/>
    <x v="1"/>
    <s v="Phone"/>
    <s v="Tier 2"/>
    <s v="TECH-6"/>
    <s v="Mid-level"/>
    <x v="0"/>
    <s v="Yes"/>
    <n v="3"/>
    <s v="Yes"/>
    <n v="5"/>
    <n v="1.7"/>
    <n v="17.2"/>
    <s v="Yes"/>
    <s v="Poor"/>
    <s v="No"/>
    <s v="Executive"/>
    <s v="Monday"/>
    <s v="Evening"/>
  </r>
  <r>
    <x v="16"/>
    <s v="2024-01-27 09:58:07"/>
    <x v="3"/>
    <s v="2024-02-18 07:46:07"/>
    <n v="525.79999999999995"/>
    <n v="21.9"/>
    <s v="Software Installation"/>
    <s v="Drivers"/>
    <x v="0"/>
    <n v="240"/>
    <x v="0"/>
    <s v="Email"/>
    <s v="Tier 2"/>
    <s v="TECH-20"/>
    <s v="Senior"/>
    <x v="0"/>
    <s v="Yes"/>
    <n v="2"/>
    <s v="No"/>
    <n v="6"/>
    <n v="2.5"/>
    <n v="27.7"/>
    <s v="No"/>
    <s v="Fair"/>
    <s v="No"/>
    <s v="Sales"/>
    <s v="Thursday"/>
    <s v="Morning"/>
  </r>
  <r>
    <x v="17"/>
    <s v="2024-06-02 15:50:14"/>
    <x v="10"/>
    <s v="2024-06-04 09:44:14"/>
    <n v="41.9"/>
    <n v="1.7"/>
    <s v="Application Errors"/>
    <s v="Crash"/>
    <x v="3"/>
    <n v="48"/>
    <x v="1"/>
    <s v="Phone"/>
    <s v="Tier 1"/>
    <s v="TECH-5"/>
    <s v="Senior"/>
    <x v="1"/>
    <s v="No"/>
    <n v="0"/>
    <s v="No"/>
    <n v="10"/>
    <n v="3.3"/>
    <n v="40.1"/>
    <s v="Yes"/>
    <s v="Good"/>
    <s v="Yes"/>
    <s v="Sales"/>
    <s v="Tuesday"/>
    <s v="Morning"/>
  </r>
  <r>
    <x v="18"/>
    <s v="2024-06-25 23:30:11"/>
    <x v="10"/>
    <s v="2024-07-01 22:42:11"/>
    <n v="143.19999999999999"/>
    <n v="6"/>
    <s v="Application Errors"/>
    <s v="Crash"/>
    <x v="1"/>
    <n v="120"/>
    <x v="0"/>
    <s v="Phone"/>
    <s v="Tier 2"/>
    <s v="TECH-12"/>
    <s v="Mid-level"/>
    <x v="0"/>
    <s v="Yes"/>
    <n v="4"/>
    <s v="No"/>
    <n v="10"/>
    <n v="3"/>
    <n v="8.8000000000000007"/>
    <s v="No"/>
    <s v="Good"/>
    <s v="No"/>
    <s v="Operations"/>
    <s v="Monday"/>
    <s v="Morning"/>
  </r>
  <r>
    <x v="19"/>
    <s v="2024-12-26 19:28:37"/>
    <x v="0"/>
    <s v="2025-01-22 05:16:37"/>
    <n v="633.79999999999995"/>
    <n v="26.4"/>
    <s v="Access Requests"/>
    <s v="Application Access"/>
    <x v="0"/>
    <n v="240"/>
    <x v="0"/>
    <s v="Phone"/>
    <s v="Tier 1"/>
    <s v="TECH-16"/>
    <s v="Junior"/>
    <x v="0"/>
    <s v="No"/>
    <n v="1"/>
    <s v="No"/>
    <n v="1"/>
    <n v="0.1"/>
    <n v="17.399999999999999"/>
    <s v="No"/>
    <s v="Good"/>
    <s v="No"/>
    <s v="Operations"/>
    <s v="Monday"/>
    <s v="Afternoon"/>
  </r>
  <r>
    <x v="20"/>
    <s v="2024-07-25 04:37:39"/>
    <x v="4"/>
    <s v="2024-08-05 02:37:39"/>
    <n v="286"/>
    <n v="11.9"/>
    <s v="Other"/>
    <s v="Training Request"/>
    <x v="0"/>
    <n v="240"/>
    <x v="0"/>
    <s v="Chat"/>
    <s v="Tier 1"/>
    <s v="TECH-17"/>
    <s v="Mid-level"/>
    <x v="1"/>
    <s v="No"/>
    <n v="0"/>
    <s v="No"/>
    <n v="7"/>
    <n v="0.1"/>
    <n v="6.1"/>
    <s v="Yes"/>
    <s v="Poor"/>
    <s v="Yes"/>
    <s v="Operations"/>
    <s v="Monday"/>
    <s v="Afternoon"/>
  </r>
  <r>
    <x v="21"/>
    <s v="2024-11-02 04:43:16"/>
    <x v="7"/>
    <s v="2024-11-10 20:37:16"/>
    <n v="207.9"/>
    <n v="8.6999999999999993"/>
    <s v="Access Requests"/>
    <s v="Admin Rights"/>
    <x v="0"/>
    <n v="240"/>
    <x v="1"/>
    <s v="Portal"/>
    <s v="Tier 1"/>
    <s v="TECH-25"/>
    <s v="Junior"/>
    <x v="1"/>
    <s v="No"/>
    <n v="0"/>
    <s v="No"/>
    <n v="10"/>
    <n v="2.5"/>
    <n v="12.5"/>
    <s v="No"/>
    <s v="Fair"/>
    <s v="Yes"/>
    <s v="Marketing"/>
    <s v="Wednesday"/>
    <s v="Evening"/>
  </r>
  <r>
    <x v="22"/>
    <s v="2024-06-16 22:38:10"/>
    <x v="10"/>
    <s v="2024-06-22 22:50:10"/>
    <n v="144.19999999999999"/>
    <n v="6"/>
    <s v="Access Requests"/>
    <s v="File Share"/>
    <x v="0"/>
    <n v="240"/>
    <x v="1"/>
    <s v="Email"/>
    <s v="Tier 1"/>
    <s v="TECH-12"/>
    <s v="Mid-level"/>
    <x v="0"/>
    <s v="No"/>
    <n v="1"/>
    <s v="No"/>
    <n v="10"/>
    <n v="4.9000000000000004"/>
    <n v="50.8"/>
    <s v="Yes"/>
    <s v="Good"/>
    <s v="No"/>
    <s v="Executive"/>
    <s v="Wednesday"/>
    <s v="Afternoon"/>
  </r>
  <r>
    <x v="23"/>
    <s v="2024-12-21 18:11:55"/>
    <x v="0"/>
    <s v="2024-12-31 18:17:55"/>
    <n v="240.1"/>
    <n v="10"/>
    <s v="Password Reset"/>
    <s v="Windows Password"/>
    <x v="2"/>
    <n v="360"/>
    <x v="1"/>
    <s v="Portal"/>
    <s v="Tier 1"/>
    <s v="TECH-10"/>
    <s v="Mid-level"/>
    <x v="1"/>
    <s v="No"/>
    <n v="0"/>
    <s v="No"/>
    <n v="9"/>
    <n v="3.3"/>
    <n v="0"/>
    <s v="Yes"/>
    <s v="Fair"/>
    <s v="No"/>
    <s v="Marketing"/>
    <s v="Friday"/>
    <s v="Morning"/>
  </r>
  <r>
    <x v="24"/>
    <s v="2024-01-10 00:57:53"/>
    <x v="3"/>
    <s v="2024-01-14 01:33:53"/>
    <n v="96.6"/>
    <n v="4"/>
    <s v="Application Errors"/>
    <s v="Crash"/>
    <x v="1"/>
    <n v="120"/>
    <x v="1"/>
    <s v="Email"/>
    <s v="Tier 2"/>
    <s v="TECH-4"/>
    <s v="Junior"/>
    <x v="0"/>
    <s v="Yes"/>
    <n v="2"/>
    <s v="No"/>
    <n v="9"/>
    <n v="0.5"/>
    <n v="32.200000000000003"/>
    <s v="No"/>
    <s v="Poor"/>
    <s v="Yes"/>
    <s v="HR"/>
    <s v="Friday"/>
    <s v="Morning"/>
  </r>
  <r>
    <x v="25"/>
    <s v="2024-04-09 10:32:40"/>
    <x v="11"/>
    <s v="2024-04-18 20:14:40"/>
    <n v="225.7"/>
    <n v="9.4"/>
    <s v="Application Errors"/>
    <s v="Performance"/>
    <x v="1"/>
    <n v="120"/>
    <x v="0"/>
    <s v="Email"/>
    <s v="Tier 2"/>
    <s v="TECH-17"/>
    <s v="Junior"/>
    <x v="0"/>
    <s v="Yes"/>
    <n v="2"/>
    <s v="No"/>
    <n v="5"/>
    <n v="3.3"/>
    <n v="0"/>
    <s v="Yes"/>
    <s v="Excellent"/>
    <s v="No"/>
    <s v="Sales"/>
    <s v="Monday"/>
    <s v="Morning"/>
  </r>
  <r>
    <x v="26"/>
    <s v="2024-08-12 09:01:04"/>
    <x v="1"/>
    <s v="2024-08-29 23:19:04"/>
    <n v="422.3"/>
    <n v="17.600000000000001"/>
    <s v="Password Reset"/>
    <s v="Account Unlock"/>
    <x v="2"/>
    <n v="360"/>
    <x v="0"/>
    <s v="Phone"/>
    <s v="Tier 1"/>
    <s v="TECH-1"/>
    <s v="Mid-level"/>
    <x v="1"/>
    <s v="No"/>
    <n v="0"/>
    <s v="No"/>
    <n v="9"/>
    <n v="3.1"/>
    <n v="33.700000000000003"/>
    <s v="No"/>
    <s v="Excellent"/>
    <s v="Yes"/>
    <s v="Legal"/>
    <s v="Wednesday"/>
    <s v="Morning"/>
  </r>
  <r>
    <x v="27"/>
    <s v="2024-01-09 15:29:25"/>
    <x v="3"/>
    <s v="2024-01-12 15:41:25"/>
    <n v="72.2"/>
    <n v="3"/>
    <s v="Application Errors"/>
    <s v="Crash"/>
    <x v="1"/>
    <n v="120"/>
    <x v="1"/>
    <s v="Walk-in"/>
    <s v="Tier 1"/>
    <s v="TECH-24"/>
    <s v="Mid-level"/>
    <x v="1"/>
    <s v="No"/>
    <n v="0"/>
    <s v="No"/>
    <n v="10"/>
    <n v="2.6"/>
    <n v="32.4"/>
    <s v="Yes"/>
    <s v="Fair"/>
    <s v="Yes"/>
    <s v="Finance"/>
    <s v="Thursday"/>
    <s v="Morning"/>
  </r>
  <r>
    <x v="28"/>
    <s v="2024-05-09 10:18:04"/>
    <x v="8"/>
    <s v="2024-05-16 18:54:04"/>
    <n v="176.6"/>
    <n v="7.4"/>
    <s v="Access Requests"/>
    <s v="Application Access"/>
    <x v="0"/>
    <n v="240"/>
    <x v="1"/>
    <s v="Phone"/>
    <s v="Tier 1"/>
    <s v="TECH-6"/>
    <s v="Mid-level"/>
    <x v="0"/>
    <s v="No"/>
    <n v="1"/>
    <s v="No"/>
    <n v="6"/>
    <n v="2.2999999999999998"/>
    <n v="11.9"/>
    <s v="Yes"/>
    <s v="Fair"/>
    <s v="No"/>
    <s v="Executive"/>
    <s v="Monday"/>
    <s v="Afternoon"/>
  </r>
  <r>
    <x v="29"/>
    <s v="2024-03-10 15:30:08"/>
    <x v="5"/>
    <s v="2024-03-17 08:42:08"/>
    <n v="161.19999999999999"/>
    <n v="6.7"/>
    <s v="Email/Calendar"/>
    <s v="Distribution List"/>
    <x v="0"/>
    <n v="240"/>
    <x v="1"/>
    <s v="Phone"/>
    <s v="Tier 1"/>
    <s v="TECH-6"/>
    <s v="Junior"/>
    <x v="0"/>
    <s v="No"/>
    <n v="1"/>
    <s v="No"/>
    <n v="10"/>
    <n v="1"/>
    <n v="38.299999999999997"/>
    <s v="Yes"/>
    <s v="Poor"/>
    <s v="No"/>
    <s v="HR"/>
    <s v="Thursday"/>
    <s v="Afternoon"/>
  </r>
  <r>
    <x v="30"/>
    <s v="2024-04-16 16:26:23"/>
    <x v="11"/>
    <s v="2024-05-03 18:14:23"/>
    <n v="409.8"/>
    <n v="17.100000000000001"/>
    <s v="Other"/>
    <s v="Documentation"/>
    <x v="2"/>
    <n v="360"/>
    <x v="0"/>
    <s v="Email"/>
    <s v="Tier 1"/>
    <s v="TECH-2"/>
    <s v="Junior"/>
    <x v="0"/>
    <s v="No"/>
    <n v="1"/>
    <s v="No"/>
    <n v="5"/>
    <n v="0.9"/>
    <n v="25.8"/>
    <s v="No"/>
    <s v="Poor"/>
    <s v="No"/>
    <s v="IT"/>
    <s v="Wednesday"/>
    <s v="Afternoon"/>
  </r>
  <r>
    <x v="31"/>
    <s v="2024-09-11 16:03:07"/>
    <x v="9"/>
    <s v="2024-10-03 17:15:07"/>
    <n v="529.20000000000005"/>
    <n v="22.1"/>
    <s v="Password Reset"/>
    <s v="Account Unlock"/>
    <x v="2"/>
    <n v="360"/>
    <x v="0"/>
    <s v="Phone"/>
    <s v="Tier 1"/>
    <s v="TECH-7"/>
    <s v="Senior"/>
    <x v="0"/>
    <s v="No"/>
    <n v="1"/>
    <s v="No"/>
    <n v="6"/>
    <n v="2.2999999999999998"/>
    <n v="30.3"/>
    <s v="Yes"/>
    <s v="Poor"/>
    <s v="Yes"/>
    <s v="Executive"/>
    <s v="Friday"/>
    <s v="Afternoon"/>
  </r>
  <r>
    <x v="32"/>
    <s v="2024-01-03 13:26:14"/>
    <x v="3"/>
    <s v="2024-01-06 16:26:14"/>
    <n v="75"/>
    <n v="3.1"/>
    <s v="Network Connectivity"/>
    <s v="VPN Connection"/>
    <x v="1"/>
    <n v="120"/>
    <x v="1"/>
    <s v="Portal"/>
    <s v="Tier 1"/>
    <s v="TECH-10"/>
    <s v="Junior"/>
    <x v="0"/>
    <s v="No"/>
    <n v="1"/>
    <s v="No"/>
    <n v="10"/>
    <n v="4.7"/>
    <n v="11.4"/>
    <s v="Yes"/>
    <s v="Fair"/>
    <s v="No"/>
    <s v="Executive"/>
    <s v="Wednesday"/>
    <s v="Morning"/>
  </r>
  <r>
    <x v="33"/>
    <s v="2024-08-03 16:10:41"/>
    <x v="1"/>
    <s v="2024-08-16 09:40:41"/>
    <n v="305.5"/>
    <n v="12.7"/>
    <s v="Network Connectivity"/>
    <s v="WiFi Issues"/>
    <x v="2"/>
    <n v="360"/>
    <x v="1"/>
    <s v="Phone"/>
    <s v="Tier 2"/>
    <s v="TECH-4"/>
    <s v="Junior"/>
    <x v="0"/>
    <s v="Yes"/>
    <n v="1"/>
    <s v="No"/>
    <n v="9"/>
    <n v="0.3"/>
    <n v="34.5"/>
    <s v="Yes"/>
    <s v="Fair"/>
    <s v="No"/>
    <s v="Legal"/>
    <s v="Friday"/>
    <s v="Morning"/>
  </r>
  <r>
    <x v="34"/>
    <s v="2024-05-29 02:24:59"/>
    <x v="8"/>
    <s v="2024-06-06 23:54:59"/>
    <n v="189.5"/>
    <n v="7.9"/>
    <s v="Access Requests"/>
    <s v="VPN Access"/>
    <x v="0"/>
    <n v="240"/>
    <x v="1"/>
    <s v="Portal"/>
    <s v="Tier 1"/>
    <s v="TECH-17"/>
    <s v="Mid-level"/>
    <x v="0"/>
    <s v="No"/>
    <n v="1"/>
    <s v="No"/>
    <n v="10"/>
    <n v="2.2000000000000002"/>
    <n v="52.4"/>
    <s v="No"/>
    <s v="Good"/>
    <s v="No"/>
    <s v="Operations"/>
    <s v="Monday"/>
    <s v="Morning"/>
  </r>
  <r>
    <x v="35"/>
    <s v="2024-03-26 15:00:04"/>
    <x v="5"/>
    <s v="2024-03-29 21:06:04"/>
    <n v="78.099999999999994"/>
    <n v="3.3"/>
    <s v="Network Connectivity"/>
    <s v="Slow Network"/>
    <x v="1"/>
    <n v="120"/>
    <x v="1"/>
    <s v="Portal"/>
    <s v="Tier 1"/>
    <s v="TECH-18"/>
    <s v="Mid-level"/>
    <x v="1"/>
    <s v="No"/>
    <n v="0"/>
    <s v="No"/>
    <n v="10"/>
    <n v="5.3"/>
    <n v="0"/>
    <s v="Yes"/>
    <s v="Good"/>
    <s v="Yes"/>
    <s v="Finance"/>
    <s v="Monday"/>
    <s v="Afternoon"/>
  </r>
  <r>
    <x v="36"/>
    <s v="2024-08-28 11:19:10"/>
    <x v="1"/>
    <s v="2024-10-06 07:43:10"/>
    <n v="932.4"/>
    <n v="38.9"/>
    <s v="Access Requests"/>
    <s v="Admin Rights"/>
    <x v="2"/>
    <n v="360"/>
    <x v="0"/>
    <s v="Email"/>
    <s v="Tier 1"/>
    <s v="TECH-2"/>
    <s v="Junior"/>
    <x v="1"/>
    <s v="No"/>
    <n v="0"/>
    <s v="Yes"/>
    <n v="10"/>
    <n v="2"/>
    <n v="39.299999999999997"/>
    <s v="Yes"/>
    <s v="Fair"/>
    <s v="Yes"/>
    <s v="Finance"/>
    <s v="Monday"/>
    <s v="Morning"/>
  </r>
  <r>
    <x v="37"/>
    <s v="2024-11-25 22:50:16"/>
    <x v="7"/>
    <s v="2024-11-28 20:08:16"/>
    <n v="69.3"/>
    <n v="2.9"/>
    <s v="Hardware Issues"/>
    <s v="Docking Station"/>
    <x v="3"/>
    <n v="48"/>
    <x v="0"/>
    <s v="Phone"/>
    <s v="Tier 2"/>
    <s v="TECH-19"/>
    <s v="Senior"/>
    <x v="0"/>
    <s v="Yes"/>
    <n v="4"/>
    <s v="No"/>
    <n v="3"/>
    <n v="2.6"/>
    <n v="34.200000000000003"/>
    <s v="No"/>
    <s v="Fair"/>
    <s v="No"/>
    <s v="Marketing"/>
    <s v="Monday"/>
    <s v="Morning"/>
  </r>
  <r>
    <x v="38"/>
    <s v="2024-05-24 01:20:00"/>
    <x v="8"/>
    <s v="2024-05-31 21:20:00"/>
    <n v="164"/>
    <n v="6.8"/>
    <s v="Access Requests"/>
    <s v="Admin Rights"/>
    <x v="0"/>
    <n v="240"/>
    <x v="1"/>
    <s v="Email"/>
    <s v="Tier 1"/>
    <s v="TECH-7"/>
    <s v="Senior"/>
    <x v="0"/>
    <s v="No"/>
    <n v="1"/>
    <s v="No"/>
    <n v="10"/>
    <n v="2.1"/>
    <n v="38.6"/>
    <s v="Yes"/>
    <s v="Fair"/>
    <s v="Yes"/>
    <s v="Sales"/>
    <s v="Wednesday"/>
    <s v="Evening"/>
  </r>
  <r>
    <x v="39"/>
    <s v="2024-12-26 10:28:38"/>
    <x v="0"/>
    <s v="2025-01-08 15:34:38"/>
    <n v="317.10000000000002"/>
    <n v="13.2"/>
    <s v="Access Requests"/>
    <s v="Admin Rights"/>
    <x v="0"/>
    <n v="240"/>
    <x v="0"/>
    <s v="Portal"/>
    <s v="Tier 1"/>
    <s v="TECH-16"/>
    <s v="Mid-level"/>
    <x v="0"/>
    <s v="No"/>
    <n v="1"/>
    <s v="No"/>
    <n v="4"/>
    <n v="1.7"/>
    <n v="16.899999999999999"/>
    <s v="Yes"/>
    <s v="Fair"/>
    <s v="Yes"/>
    <s v="HR"/>
    <s v="Friday"/>
    <s v="Morning"/>
  </r>
  <r>
    <x v="40"/>
    <s v="2024-07-15 13:56:48"/>
    <x v="4"/>
    <s v="2024-08-02 20:14:48"/>
    <n v="438.3"/>
    <n v="18.3"/>
    <s v="Network Connectivity"/>
    <s v="VPN Connection"/>
    <x v="2"/>
    <n v="360"/>
    <x v="0"/>
    <s v="Phone"/>
    <s v="Tier 1"/>
    <s v="TECH-12"/>
    <s v="Junior"/>
    <x v="0"/>
    <s v="No"/>
    <n v="1"/>
    <s v="No"/>
    <n v="7"/>
    <n v="0.2"/>
    <n v="28"/>
    <s v="Yes"/>
    <s v="Fair"/>
    <s v="Yes"/>
    <s v="Sales"/>
    <s v="Tuesday"/>
    <s v="Morning"/>
  </r>
  <r>
    <x v="41"/>
    <s v="2024-04-11 06:22:24"/>
    <x v="11"/>
    <s v="2024-04-22 10:28:24"/>
    <n v="268.10000000000002"/>
    <n v="11.2"/>
    <s v="Software Installation"/>
    <s v="VPN Client"/>
    <x v="0"/>
    <n v="240"/>
    <x v="0"/>
    <s v="Portal"/>
    <s v="Tier 2"/>
    <s v="TECH-18"/>
    <s v="Mid-level"/>
    <x v="0"/>
    <s v="Yes"/>
    <n v="2"/>
    <s v="No"/>
    <n v="5"/>
    <n v="0.9"/>
    <n v="17.100000000000001"/>
    <s v="Yes"/>
    <s v="Excellent"/>
    <s v="Yes"/>
    <s v="Finance"/>
    <s v="Thursday"/>
    <s v="Afternoon"/>
  </r>
  <r>
    <x v="42"/>
    <s v="2024-10-13 17:11:30"/>
    <x v="2"/>
    <s v="2024-10-27 10:23:30"/>
    <n v="330.2"/>
    <n v="13.8"/>
    <s v="Password Reset"/>
    <s v="Application Password"/>
    <x v="2"/>
    <n v="360"/>
    <x v="1"/>
    <s v="Phone"/>
    <s v="Tier 1"/>
    <s v="TECH-6"/>
    <s v="Junior"/>
    <x v="1"/>
    <s v="No"/>
    <n v="0"/>
    <s v="No"/>
    <n v="9"/>
    <n v="0.1"/>
    <n v="23"/>
    <s v="Yes"/>
    <s v="Fair"/>
    <s v="No"/>
    <s v="Executive"/>
    <s v="Tuesday"/>
    <s v="Evening"/>
  </r>
  <r>
    <x v="43"/>
    <s v="2024-12-03 17:52:58"/>
    <x v="0"/>
    <s v="2024-12-15 22:28:58"/>
    <n v="292.60000000000002"/>
    <n v="12.2"/>
    <s v="Password Reset"/>
    <s v="Windows Password"/>
    <x v="2"/>
    <n v="360"/>
    <x v="1"/>
    <s v="Email"/>
    <s v="Tier 1"/>
    <s v="TECH-16"/>
    <s v="Mid-level"/>
    <x v="1"/>
    <s v="No"/>
    <n v="0"/>
    <s v="No"/>
    <n v="9"/>
    <n v="0.1"/>
    <n v="37"/>
    <s v="Yes"/>
    <s v="Poor"/>
    <s v="Yes"/>
    <s v="Marketing"/>
    <s v="Friday"/>
    <s v="Evening"/>
  </r>
  <r>
    <x v="44"/>
    <s v="2024-04-01 04:21:04"/>
    <x v="11"/>
    <s v="2024-04-04 19:09:04"/>
    <n v="86.8"/>
    <n v="3.6"/>
    <s v="Email/Calendar"/>
    <s v="Distribution List"/>
    <x v="1"/>
    <n v="120"/>
    <x v="1"/>
    <s v="Walk-in"/>
    <s v="Tier 1"/>
    <s v="TECH-5"/>
    <s v="Senior"/>
    <x v="0"/>
    <s v="No"/>
    <n v="1"/>
    <s v="No"/>
    <n v="10"/>
    <n v="3"/>
    <n v="10.4"/>
    <s v="No"/>
    <s v="Good"/>
    <s v="No"/>
    <s v="Executive"/>
    <s v="Tuesday"/>
    <s v="Morning"/>
  </r>
  <r>
    <x v="45"/>
    <s v="2024-11-20 14:38:12"/>
    <x v="7"/>
    <s v="2024-11-27 18:38:12"/>
    <n v="172"/>
    <n v="7.2"/>
    <s v="Hardware Issues"/>
    <s v="Desktop"/>
    <x v="0"/>
    <n v="240"/>
    <x v="1"/>
    <s v="Phone"/>
    <s v="Tier 1"/>
    <s v="TECH-2"/>
    <s v="Junior"/>
    <x v="0"/>
    <s v="No"/>
    <n v="1"/>
    <s v="No"/>
    <n v="8"/>
    <n v="0.4"/>
    <n v="21.8"/>
    <s v="No"/>
    <s v="Excellent"/>
    <s v="No"/>
    <s v="HR"/>
    <s v="Tuesday"/>
    <s v="Morning"/>
  </r>
  <r>
    <x v="46"/>
    <s v="2024-10-13 13:23:24"/>
    <x v="2"/>
    <s v="2024-11-09 20:05:24"/>
    <n v="655.7"/>
    <n v="27.3"/>
    <s v="Password Reset"/>
    <s v="Windows Password"/>
    <x v="2"/>
    <n v="360"/>
    <x v="0"/>
    <s v="Phone"/>
    <s v="Tier 1"/>
    <s v="TECH-2"/>
    <s v="Senior"/>
    <x v="1"/>
    <s v="No"/>
    <n v="0"/>
    <s v="No"/>
    <n v="7"/>
    <n v="0.8"/>
    <n v="2.6"/>
    <s v="No"/>
    <s v="Fair"/>
    <s v="No"/>
    <s v="Sales"/>
    <s v="Friday"/>
    <s v="Afternoon"/>
  </r>
  <r>
    <x v="47"/>
    <s v="2024-09-20 17:12:02"/>
    <x v="9"/>
    <s v="2024-09-27 18:30:02"/>
    <n v="169.3"/>
    <n v="7.1"/>
    <s v="Software Installation"/>
    <s v="MS Office"/>
    <x v="0"/>
    <n v="240"/>
    <x v="1"/>
    <s v="Email"/>
    <s v="Tier 1"/>
    <s v="TECH-22"/>
    <s v="Mid-level"/>
    <x v="1"/>
    <s v="No"/>
    <n v="0"/>
    <s v="No"/>
    <n v="10"/>
    <n v="2.2999999999999998"/>
    <n v="6.9"/>
    <s v="Yes"/>
    <s v="Fair"/>
    <s v="No"/>
    <s v="Marketing"/>
    <s v="Wednesday"/>
    <s v="Evening"/>
  </r>
  <r>
    <x v="48"/>
    <s v="2024-03-27 17:54:22"/>
    <x v="5"/>
    <s v="2024-04-06 12:06:22"/>
    <n v="233.2"/>
    <n v="9.6999999999999993"/>
    <s v="Password Reset"/>
    <s v="Application Password"/>
    <x v="2"/>
    <n v="360"/>
    <x v="1"/>
    <s v="Portal"/>
    <s v="Tier 1"/>
    <s v="TECH-7"/>
    <s v="Mid-level"/>
    <x v="1"/>
    <s v="No"/>
    <n v="0"/>
    <s v="No"/>
    <n v="10"/>
    <n v="0.1"/>
    <n v="12.9"/>
    <s v="Yes"/>
    <s v="Excellent"/>
    <s v="Yes"/>
    <s v="HR"/>
    <s v="Monday"/>
    <s v="Morning"/>
  </r>
  <r>
    <x v="49"/>
    <s v="2024-07-23 23:58:19"/>
    <x v="4"/>
    <s v="2024-08-05 05:34:19"/>
    <n v="293.60000000000002"/>
    <n v="12.2"/>
    <s v="Password Reset"/>
    <s v="Email Password"/>
    <x v="2"/>
    <n v="360"/>
    <x v="1"/>
    <s v="Walk-in"/>
    <s v="Tier 1"/>
    <s v="TECH-17"/>
    <s v="Junior"/>
    <x v="1"/>
    <s v="No"/>
    <n v="0"/>
    <s v="No"/>
    <n v="10"/>
    <n v="0.8"/>
    <n v="30.7"/>
    <s v="No"/>
    <s v="Good"/>
    <s v="No"/>
    <s v="Sales"/>
    <s v="Monday"/>
    <s v="Afternoon"/>
  </r>
  <r>
    <x v="50"/>
    <s v="2024-10-13 11:19:25"/>
    <x v="2"/>
    <s v="2024-10-17 16:19:25"/>
    <n v="101"/>
    <n v="4.2"/>
    <s v="Network Connectivity"/>
    <s v="VPN Connection"/>
    <x v="1"/>
    <n v="120"/>
    <x v="1"/>
    <s v="Email"/>
    <s v="Tier 2"/>
    <s v="TECH-23"/>
    <s v="Junior"/>
    <x v="0"/>
    <s v="Yes"/>
    <n v="4"/>
    <s v="No"/>
    <n v="4"/>
    <n v="1.5"/>
    <n v="13.4"/>
    <s v="Yes"/>
    <s v="Excellent"/>
    <s v="Yes"/>
    <s v="Executive"/>
    <s v="Friday"/>
    <s v="Morning"/>
  </r>
  <r>
    <x v="51"/>
    <s v="2024-04-13 01:15:49"/>
    <x v="11"/>
    <s v="2024-04-18 16:33:49"/>
    <n v="111.3"/>
    <n v="4.5999999999999996"/>
    <s v="Hardware Issues"/>
    <s v="Printer"/>
    <x v="1"/>
    <n v="120"/>
    <x v="1"/>
    <s v="Email"/>
    <s v="Tier 2"/>
    <s v="TECH-25"/>
    <s v="Mid-level"/>
    <x v="0"/>
    <s v="Yes"/>
    <n v="2"/>
    <s v="No"/>
    <n v="8"/>
    <n v="1"/>
    <n v="7.4"/>
    <s v="Yes"/>
    <s v="Fair"/>
    <s v="Yes"/>
    <s v="HR"/>
    <s v="Wednesday"/>
    <s v="Afternoon"/>
  </r>
  <r>
    <x v="52"/>
    <s v="2024-06-20 05:30:34"/>
    <x v="10"/>
    <s v="2024-07-05 06:00:34"/>
    <n v="360.5"/>
    <n v="15"/>
    <s v="Password Reset"/>
    <s v="Application Password"/>
    <x v="2"/>
    <n v="360"/>
    <x v="0"/>
    <s v="Portal"/>
    <s v="Tier 1"/>
    <s v="TECH-9"/>
    <s v="Junior"/>
    <x v="0"/>
    <s v="No"/>
    <n v="1"/>
    <s v="No"/>
    <n v="5"/>
    <n v="0.9"/>
    <n v="15.5"/>
    <s v="No"/>
    <s v="Good"/>
    <s v="Yes"/>
    <s v="Sales"/>
    <s v="Tuesday"/>
    <s v="Morning"/>
  </r>
  <r>
    <x v="53"/>
    <s v="2024-06-07 21:56:15"/>
    <x v="10"/>
    <s v="2024-06-16 02:38:15"/>
    <n v="220.7"/>
    <n v="9.1999999999999993"/>
    <s v="Hardware Issues"/>
    <s v="Laptop"/>
    <x v="0"/>
    <n v="240"/>
    <x v="1"/>
    <s v="Chat"/>
    <s v="Tier 2"/>
    <s v="TECH-19"/>
    <s v="Mid-level"/>
    <x v="0"/>
    <s v="Yes"/>
    <n v="2"/>
    <s v="No"/>
    <n v="6"/>
    <n v="2.7"/>
    <n v="17.399999999999999"/>
    <s v="No"/>
    <s v="Fair"/>
    <s v="Yes"/>
    <s v="Legal"/>
    <s v="Thursday"/>
    <s v="Afternoon"/>
  </r>
  <r>
    <x v="54"/>
    <s v="2024-11-11 06:42:28"/>
    <x v="7"/>
    <s v="2024-11-17 14:48:28"/>
    <n v="152.1"/>
    <n v="6.3"/>
    <s v="Access Requests"/>
    <s v="Application Access"/>
    <x v="1"/>
    <n v="120"/>
    <x v="0"/>
    <s v="Email"/>
    <s v="Tier 1"/>
    <s v="TECH-9"/>
    <s v="Mid-level"/>
    <x v="1"/>
    <s v="No"/>
    <n v="0"/>
    <s v="No"/>
    <n v="7"/>
    <n v="1.1000000000000001"/>
    <n v="20.3"/>
    <s v="No"/>
    <s v="Poor"/>
    <s v="No"/>
    <s v="Legal"/>
    <s v="Tuesday"/>
    <s v="Morning"/>
  </r>
  <r>
    <x v="55"/>
    <s v="2024-10-02 19:09:54"/>
    <x v="2"/>
    <s v="2024-10-15 07:15:54"/>
    <n v="300.10000000000002"/>
    <n v="12.5"/>
    <s v="Password Reset"/>
    <s v="Account Unlock"/>
    <x v="2"/>
    <n v="360"/>
    <x v="1"/>
    <s v="Chat"/>
    <s v="Tier 1"/>
    <s v="TECH-10"/>
    <s v="Junior"/>
    <x v="1"/>
    <s v="No"/>
    <n v="0"/>
    <s v="No"/>
    <n v="9"/>
    <n v="0.1"/>
    <n v="32.1"/>
    <s v="No"/>
    <s v="Fair"/>
    <s v="No"/>
    <s v="Operations"/>
    <s v="Monday"/>
    <s v="Evening"/>
  </r>
  <r>
    <x v="56"/>
    <s v="2024-03-28 09:51:39"/>
    <x v="5"/>
    <s v="2024-04-04 00:51:39"/>
    <n v="182"/>
    <n v="7.6"/>
    <s v="Other"/>
    <s v="General Inquiry"/>
    <x v="0"/>
    <n v="240"/>
    <x v="1"/>
    <s v="Walk-in"/>
    <s v="Tier 1"/>
    <s v="TECH-7"/>
    <s v="Junior"/>
    <x v="0"/>
    <s v="No"/>
    <n v="1"/>
    <s v="Yes"/>
    <n v="10"/>
    <n v="2.8"/>
    <n v="16.5"/>
    <s v="Yes"/>
    <s v="Excellent"/>
    <s v="Yes"/>
    <s v="Legal"/>
    <s v="Friday"/>
    <s v="Morning"/>
  </r>
  <r>
    <x v="57"/>
    <s v="2024-11-22 13:31:23"/>
    <x v="7"/>
    <s v="2024-11-26 00:19:23"/>
    <n v="106.8"/>
    <n v="4.5"/>
    <s v="Email/Calendar"/>
    <s v="Mailbox Full"/>
    <x v="1"/>
    <n v="120"/>
    <x v="1"/>
    <s v="Email"/>
    <s v="Tier 1"/>
    <s v="TECH-22"/>
    <s v="Junior"/>
    <x v="0"/>
    <s v="No"/>
    <n v="1"/>
    <s v="Yes"/>
    <n v="9"/>
    <n v="3.5"/>
    <n v="23.7"/>
    <s v="No"/>
    <s v="Poor"/>
    <s v="Yes"/>
    <s v="Operations"/>
    <s v="Monday"/>
    <s v="Morning"/>
  </r>
  <r>
    <x v="58"/>
    <s v="2024-04-25 06:49:31"/>
    <x v="11"/>
    <s v="2024-05-05 03:07:31"/>
    <n v="236.3"/>
    <n v="9.8000000000000007"/>
    <s v="Network Connectivity"/>
    <s v="WiFi Issues"/>
    <x v="2"/>
    <n v="360"/>
    <x v="1"/>
    <s v="Walk-in"/>
    <s v="Tier 1"/>
    <s v="TECH-11"/>
    <s v="Senior"/>
    <x v="0"/>
    <s v="No"/>
    <n v="1"/>
    <s v="No"/>
    <n v="6"/>
    <n v="0.4"/>
    <n v="32.700000000000003"/>
    <s v="Yes"/>
    <s v="Poor"/>
    <s v="Yes"/>
    <s v="Legal"/>
    <s v="Wednesday"/>
    <s v="Afternoon"/>
  </r>
  <r>
    <x v="59"/>
    <s v="2024-11-29 06:39:47"/>
    <x v="7"/>
    <s v="2024-12-18 08:03:47"/>
    <n v="457.4"/>
    <n v="19.100000000000001"/>
    <s v="Password Reset"/>
    <s v="Email Password"/>
    <x v="2"/>
    <n v="360"/>
    <x v="0"/>
    <s v="Phone"/>
    <s v="Tier 1"/>
    <s v="TECH-3"/>
    <s v="Senior"/>
    <x v="1"/>
    <s v="No"/>
    <n v="0"/>
    <s v="No"/>
    <n v="6"/>
    <n v="3.6"/>
    <n v="28"/>
    <s v="Yes"/>
    <s v="Good"/>
    <s v="Yes"/>
    <s v="Legal"/>
    <s v="Thursday"/>
    <s v="Afternoon"/>
  </r>
  <r>
    <x v="60"/>
    <s v="2024-05-28 10:45:46"/>
    <x v="8"/>
    <s v="2024-06-06 14:57:46"/>
    <n v="220.2"/>
    <n v="9.1999999999999993"/>
    <s v="Email/Calendar"/>
    <s v="Mailbox Full"/>
    <x v="2"/>
    <n v="360"/>
    <x v="1"/>
    <s v="Email"/>
    <s v="Tier 1"/>
    <s v="TECH-8"/>
    <s v="Mid-level"/>
    <x v="0"/>
    <s v="No"/>
    <n v="1"/>
    <s v="No"/>
    <n v="9"/>
    <n v="2.5"/>
    <n v="0"/>
    <s v="Yes"/>
    <s v="Good"/>
    <s v="No"/>
    <s v="IT"/>
    <s v="Friday"/>
    <s v="Afternoon"/>
  </r>
  <r>
    <x v="61"/>
    <s v="2024-10-23 13:08:51"/>
    <x v="2"/>
    <s v="2024-10-29 15:08:51"/>
    <n v="147"/>
    <n v="6.1"/>
    <s v="Application Errors"/>
    <s v="Features Not Working"/>
    <x v="0"/>
    <n v="240"/>
    <x v="1"/>
    <s v="Phone"/>
    <s v="Tier 1"/>
    <s v="TECH-16"/>
    <s v="Mid-level"/>
    <x v="0"/>
    <s v="No"/>
    <n v="1"/>
    <s v="No"/>
    <n v="6"/>
    <n v="2.9"/>
    <n v="31.8"/>
    <s v="Yes"/>
    <s v="Good"/>
    <s v="No"/>
    <s v="Sales"/>
    <s v="Tuesday"/>
    <s v="Morning"/>
  </r>
  <r>
    <x v="62"/>
    <s v="2024-02-04 04:55:15"/>
    <x v="6"/>
    <s v="2024-02-09 08:43:15"/>
    <n v="123.8"/>
    <n v="5.2"/>
    <s v="Hardware Issues"/>
    <s v="Monitor"/>
    <x v="1"/>
    <n v="120"/>
    <x v="0"/>
    <s v="Walk-in"/>
    <s v="Tier 1"/>
    <s v="TECH-24"/>
    <s v="Junior"/>
    <x v="0"/>
    <s v="No"/>
    <n v="1"/>
    <s v="No"/>
    <n v="5"/>
    <n v="3"/>
    <n v="11.4"/>
    <s v="Yes"/>
    <s v="Good"/>
    <s v="No"/>
    <s v="Operations"/>
    <s v="Tuesday"/>
    <s v="Morning"/>
  </r>
  <r>
    <x v="63"/>
    <s v="2024-10-17 18:30:50"/>
    <x v="2"/>
    <s v="2024-10-24 15:30:50"/>
    <n v="165"/>
    <n v="6.9"/>
    <s v="Other"/>
    <s v="General Inquiry"/>
    <x v="0"/>
    <n v="240"/>
    <x v="1"/>
    <s v="Phone"/>
    <s v="Tier 1"/>
    <s v="TECH-25"/>
    <s v="Mid-level"/>
    <x v="0"/>
    <s v="No"/>
    <n v="1"/>
    <s v="No"/>
    <n v="7"/>
    <n v="0.1"/>
    <n v="13.1"/>
    <s v="Yes"/>
    <s v="Poor"/>
    <s v="No"/>
    <s v="Sales"/>
    <s v="Friday"/>
    <s v="Afternoon"/>
  </r>
  <r>
    <x v="64"/>
    <s v="2024-03-03 02:50:32"/>
    <x v="5"/>
    <s v="2024-03-10 15:14:32"/>
    <n v="180.4"/>
    <n v="7.5"/>
    <s v="Software Installation"/>
    <s v="Business Apps"/>
    <x v="0"/>
    <n v="240"/>
    <x v="1"/>
    <s v="Portal"/>
    <s v="Tier 1"/>
    <s v="TECH-3"/>
    <s v="Junior"/>
    <x v="1"/>
    <s v="No"/>
    <n v="0"/>
    <s v="Yes"/>
    <n v="8"/>
    <n v="1"/>
    <n v="20.7"/>
    <s v="No"/>
    <s v="Fair"/>
    <s v="Yes"/>
    <s v="HR"/>
    <s v="Wednesday"/>
    <s v="Afternoon"/>
  </r>
  <r>
    <x v="65"/>
    <s v="2024-10-06 11:08:34"/>
    <x v="2"/>
    <s v="2024-10-17 23:50:34"/>
    <n v="276.7"/>
    <n v="11.5"/>
    <s v="Hardware Issues"/>
    <s v="Laptop"/>
    <x v="2"/>
    <n v="360"/>
    <x v="1"/>
    <s v="Phone"/>
    <s v="Tier 1"/>
    <s v="TECH-22"/>
    <s v="Senior"/>
    <x v="0"/>
    <s v="No"/>
    <n v="1"/>
    <s v="Yes"/>
    <n v="8"/>
    <n v="0.8"/>
    <n v="13.4"/>
    <s v="Yes"/>
    <s v="Good"/>
    <s v="No"/>
    <s v="Legal"/>
    <s v="Tuesday"/>
    <s v="Afternoon"/>
  </r>
  <r>
    <x v="66"/>
    <s v="2024-11-18 16:42:31"/>
    <x v="7"/>
    <s v="2024-12-14 06:24:31"/>
    <n v="613.70000000000005"/>
    <n v="25.6"/>
    <s v="Password Reset"/>
    <s v="Email Password"/>
    <x v="2"/>
    <n v="360"/>
    <x v="0"/>
    <s v="Email"/>
    <s v="Tier 1"/>
    <s v="TECH-24"/>
    <s v="Senior"/>
    <x v="1"/>
    <s v="No"/>
    <n v="0"/>
    <s v="No"/>
    <n v="5"/>
    <n v="5.9"/>
    <n v="2.5"/>
    <s v="Yes"/>
    <s v="Good"/>
    <s v="Yes"/>
    <s v="Finance"/>
    <s v="Friday"/>
    <s v="Afternoon"/>
  </r>
  <r>
    <x v="67"/>
    <s v="2024-07-18 13:52:48"/>
    <x v="4"/>
    <s v="2024-07-21 19:16:48"/>
    <n v="77.400000000000006"/>
    <n v="3.2"/>
    <s v="Access Requests"/>
    <s v="Admin Rights"/>
    <x v="1"/>
    <n v="120"/>
    <x v="1"/>
    <s v="Portal"/>
    <s v="Tier 1"/>
    <s v="TECH-6"/>
    <s v="Senior"/>
    <x v="1"/>
    <s v="No"/>
    <n v="0"/>
    <s v="No"/>
    <n v="10"/>
    <n v="2.4"/>
    <n v="8.9"/>
    <s v="Yes"/>
    <s v="Poor"/>
    <s v="Yes"/>
    <s v="Finance"/>
    <s v="Wednesday"/>
    <s v="Morning"/>
  </r>
  <r>
    <x v="68"/>
    <s v="2024-03-17 04:32:18"/>
    <x v="5"/>
    <s v="2024-03-20 15:38:18"/>
    <n v="83.1"/>
    <n v="3.5"/>
    <s v="Application Errors"/>
    <s v="Performance"/>
    <x v="1"/>
    <n v="120"/>
    <x v="1"/>
    <s v="Phone"/>
    <s v="Tier 1"/>
    <s v="TECH-8"/>
    <s v="Junior"/>
    <x v="1"/>
    <s v="No"/>
    <n v="0"/>
    <s v="No"/>
    <n v="9"/>
    <n v="1.8"/>
    <n v="12.1"/>
    <s v="Yes"/>
    <s v="Good"/>
    <s v="Yes"/>
    <s v="Sales"/>
    <s v="Monday"/>
    <s v="Afternoon"/>
  </r>
  <r>
    <x v="69"/>
    <s v="2024-12-27 19:10:42"/>
    <x v="0"/>
    <s v="2025-01-09 03:58:42"/>
    <n v="296.8"/>
    <n v="12.4"/>
    <s v="Password Reset"/>
    <s v="Account Unlock"/>
    <x v="2"/>
    <n v="360"/>
    <x v="1"/>
    <s v="Portal"/>
    <s v="Tier 1"/>
    <s v="TECH-4"/>
    <s v="Junior"/>
    <x v="1"/>
    <s v="No"/>
    <n v="0"/>
    <s v="No"/>
    <n v="7"/>
    <n v="2.6"/>
    <n v="10"/>
    <s v="Yes"/>
    <s v="Excellent"/>
    <s v="Yes"/>
    <s v="Marketing"/>
    <s v="Thursday"/>
    <s v="Morning"/>
  </r>
  <r>
    <x v="70"/>
    <s v="2024-07-27 05:42:58"/>
    <x v="4"/>
    <s v="2024-08-05 11:06:58"/>
    <n v="221.4"/>
    <n v="9.1999999999999993"/>
    <s v="Access Requests"/>
    <s v="VPN Access"/>
    <x v="0"/>
    <n v="240"/>
    <x v="1"/>
    <s v="Email"/>
    <s v="Tier 1"/>
    <s v="TECH-12"/>
    <s v="Junior"/>
    <x v="0"/>
    <s v="No"/>
    <n v="1"/>
    <s v="No"/>
    <n v="6"/>
    <n v="1.5"/>
    <n v="8.4"/>
    <s v="Yes"/>
    <s v="Poor"/>
    <s v="No"/>
    <s v="Executive"/>
    <s v="Friday"/>
    <s v="Morning"/>
  </r>
  <r>
    <x v="71"/>
    <s v="2024-01-08 06:45:46"/>
    <x v="3"/>
    <s v="2024-01-24 21:57:46"/>
    <n v="399.2"/>
    <n v="16.600000000000001"/>
    <s v="Password Reset"/>
    <s v="Email Password"/>
    <x v="2"/>
    <n v="360"/>
    <x v="0"/>
    <s v="Portal"/>
    <s v="Tier 1"/>
    <s v="TECH-3"/>
    <s v="Senior"/>
    <x v="0"/>
    <s v="No"/>
    <n v="1"/>
    <s v="No"/>
    <n v="2"/>
    <n v="2.9"/>
    <n v="4.8"/>
    <s v="No"/>
    <s v="Poor"/>
    <s v="Yes"/>
    <s v="HR"/>
    <s v="Thursday"/>
    <s v="Morning"/>
  </r>
  <r>
    <x v="72"/>
    <s v="2024-02-25 04:03:54"/>
    <x v="6"/>
    <s v="2024-03-16 05:27:54"/>
    <n v="481.4"/>
    <n v="20.100000000000001"/>
    <s v="Network Connectivity"/>
    <s v="VPN Connection"/>
    <x v="0"/>
    <n v="240"/>
    <x v="0"/>
    <s v="Phone"/>
    <s v="Tier 1"/>
    <s v="TECH-20"/>
    <s v="Junior"/>
    <x v="1"/>
    <s v="No"/>
    <n v="0"/>
    <s v="Yes"/>
    <n v="7"/>
    <n v="1.5"/>
    <n v="35.1"/>
    <s v="Yes"/>
    <s v="Good"/>
    <s v="Yes"/>
    <s v="Marketing"/>
    <s v="Friday"/>
    <s v="Morning"/>
  </r>
  <r>
    <x v="73"/>
    <s v="2024-12-16 14:38:18"/>
    <x v="0"/>
    <s v="2024-12-22 20:08:18"/>
    <n v="149.5"/>
    <n v="6.2"/>
    <s v="Access Requests"/>
    <s v="Admin Rights"/>
    <x v="0"/>
    <n v="240"/>
    <x v="1"/>
    <s v="Walk-in"/>
    <s v="Tier 1"/>
    <s v="TECH-23"/>
    <s v="Junior"/>
    <x v="0"/>
    <s v="No"/>
    <n v="1"/>
    <s v="No"/>
    <n v="7"/>
    <n v="3.3"/>
    <n v="34.1"/>
    <s v="Yes"/>
    <s v="Poor"/>
    <s v="No"/>
    <s v="Marketing"/>
    <s v="Friday"/>
    <s v="Evening"/>
  </r>
  <r>
    <x v="74"/>
    <s v="2024-05-21 07:43:07"/>
    <x v="8"/>
    <s v="2024-05-29 21:37:07"/>
    <n v="205.9"/>
    <n v="8.6"/>
    <s v="Software Installation"/>
    <s v="VPN Client"/>
    <x v="0"/>
    <n v="240"/>
    <x v="1"/>
    <s v="Email"/>
    <s v="Tier 1"/>
    <s v="TECH-8"/>
    <s v="Senior"/>
    <x v="1"/>
    <s v="No"/>
    <n v="0"/>
    <s v="No"/>
    <n v="10"/>
    <n v="1.5"/>
    <n v="27.9"/>
    <s v="Yes"/>
    <s v="Poor"/>
    <s v="Yes"/>
    <s v="Operations"/>
    <s v="Thursday"/>
    <s v="Evening"/>
  </r>
  <r>
    <x v="75"/>
    <s v="2024-02-16 08:09:50"/>
    <x v="6"/>
    <s v="2024-02-27 00:21:50"/>
    <n v="280.2"/>
    <n v="11.7"/>
    <s v="Password Reset"/>
    <s v="Email Password"/>
    <x v="2"/>
    <n v="360"/>
    <x v="1"/>
    <s v="Portal"/>
    <s v="Tier 1"/>
    <s v="TECH-22"/>
    <s v="Senior"/>
    <x v="1"/>
    <s v="No"/>
    <n v="0"/>
    <s v="No"/>
    <n v="9"/>
    <n v="5.6"/>
    <n v="0"/>
    <s v="No"/>
    <s v="Good"/>
    <s v="No"/>
    <s v="HR"/>
    <s v="Tuesday"/>
    <s v="Afternoon"/>
  </r>
  <r>
    <x v="76"/>
    <s v="2024-02-23 10:48:04"/>
    <x v="6"/>
    <s v="2024-02-27 19:12:04"/>
    <n v="104.4"/>
    <n v="4.4000000000000004"/>
    <s v="Hardware Issues"/>
    <s v="Docking Station"/>
    <x v="1"/>
    <n v="120"/>
    <x v="1"/>
    <s v="Email"/>
    <s v="Tier 1"/>
    <s v="TECH-19"/>
    <s v="Senior"/>
    <x v="0"/>
    <s v="No"/>
    <n v="1"/>
    <s v="No"/>
    <n v="10"/>
    <n v="3.4"/>
    <n v="17.100000000000001"/>
    <s v="Yes"/>
    <s v="Fair"/>
    <s v="Yes"/>
    <s v="Marketing"/>
    <s v="Thursday"/>
    <s v="Morning"/>
  </r>
  <r>
    <x v="77"/>
    <s v="2024-04-20 01:45:51"/>
    <x v="11"/>
    <s v="2024-04-28 21:27:51"/>
    <n v="187.7"/>
    <n v="7.8"/>
    <s v="Application Errors"/>
    <s v="Features Not Working"/>
    <x v="0"/>
    <n v="240"/>
    <x v="1"/>
    <s v="Email"/>
    <s v="Tier 2"/>
    <s v="TECH-6"/>
    <s v="Mid-level"/>
    <x v="0"/>
    <s v="Yes"/>
    <n v="4"/>
    <s v="No"/>
    <n v="10"/>
    <n v="3.8"/>
    <n v="12.4"/>
    <s v="Yes"/>
    <s v="Good"/>
    <s v="No"/>
    <s v="Executive"/>
    <s v="Friday"/>
    <s v="Afternoon"/>
  </r>
  <r>
    <x v="78"/>
    <s v="2024-04-23 04:11:46"/>
    <x v="11"/>
    <s v="2024-05-09 21:11:46"/>
    <n v="401"/>
    <n v="16.7"/>
    <s v="Password Reset"/>
    <s v="Windows Password"/>
    <x v="2"/>
    <n v="360"/>
    <x v="0"/>
    <s v="Phone"/>
    <s v="Tier 1"/>
    <s v="TECH-18"/>
    <s v="Senior"/>
    <x v="1"/>
    <s v="No"/>
    <n v="0"/>
    <s v="Yes"/>
    <n v="8"/>
    <n v="1.7"/>
    <n v="0"/>
    <s v="Yes"/>
    <s v="Fair"/>
    <s v="No"/>
    <s v="Finance"/>
    <s v="Tuesday"/>
    <s v="Morning"/>
  </r>
  <r>
    <x v="79"/>
    <s v="2024-12-23 12:01:16"/>
    <x v="0"/>
    <s v="2024-12-30 20:49:16"/>
    <n v="176.8"/>
    <n v="7.4"/>
    <s v="Password Reset"/>
    <s v="Windows Password"/>
    <x v="0"/>
    <n v="240"/>
    <x v="1"/>
    <s v="Chat"/>
    <s v="Tier 1"/>
    <s v="TECH-3"/>
    <s v="Mid-level"/>
    <x v="1"/>
    <s v="No"/>
    <n v="0"/>
    <s v="Yes"/>
    <n v="7"/>
    <n v="3.8"/>
    <n v="29.8"/>
    <s v="Yes"/>
    <s v="Fair"/>
    <s v="No"/>
    <s v="Sales"/>
    <s v="Wednesday"/>
    <s v="Evening"/>
  </r>
  <r>
    <x v="80"/>
    <s v="2024-07-22 14:14:41"/>
    <x v="4"/>
    <s v="2024-08-02 14:08:41"/>
    <n v="263.89999999999998"/>
    <n v="11"/>
    <s v="Email/Calendar"/>
    <s v="Cannot Send/Receive"/>
    <x v="0"/>
    <n v="240"/>
    <x v="0"/>
    <s v="Phone"/>
    <s v="Tier 1"/>
    <s v="TECH-18"/>
    <s v="Mid-level"/>
    <x v="1"/>
    <s v="No"/>
    <n v="0"/>
    <s v="Yes"/>
    <n v="8"/>
    <n v="4.5"/>
    <n v="27.1"/>
    <s v="Yes"/>
    <s v="Excellent"/>
    <s v="No"/>
    <s v="Executive"/>
    <s v="Wednesday"/>
    <s v="Evening"/>
  </r>
  <r>
    <x v="81"/>
    <s v="2024-04-03 07:23:51"/>
    <x v="11"/>
    <s v="2024-04-12 06:11:51"/>
    <n v="214.8"/>
    <n v="9"/>
    <s v="Email/Calendar"/>
    <s v="Cannot Send/Receive"/>
    <x v="0"/>
    <n v="240"/>
    <x v="1"/>
    <s v="Email"/>
    <s v="Tier 1"/>
    <s v="TECH-1"/>
    <s v="Junior"/>
    <x v="0"/>
    <s v="No"/>
    <n v="1"/>
    <s v="No"/>
    <n v="7"/>
    <n v="0.7"/>
    <n v="0"/>
    <s v="No"/>
    <s v="Fair"/>
    <s v="Yes"/>
    <s v="Executive"/>
    <s v="Thursday"/>
    <s v="Afternoon"/>
  </r>
  <r>
    <x v="82"/>
    <s v="2024-02-17 09:43:29"/>
    <x v="6"/>
    <s v="2024-03-24 21:25:29"/>
    <n v="875.7"/>
    <n v="36.5"/>
    <s v="Access Requests"/>
    <s v="Admin Rights"/>
    <x v="2"/>
    <n v="360"/>
    <x v="0"/>
    <s v="Email"/>
    <s v="Tier 1"/>
    <s v="TECH-9"/>
    <s v="Junior"/>
    <x v="0"/>
    <s v="No"/>
    <n v="1"/>
    <s v="No"/>
    <n v="4"/>
    <n v="1.7"/>
    <n v="9.4"/>
    <s v="Yes"/>
    <s v="Poor"/>
    <s v="Yes"/>
    <s v="IT"/>
    <s v="Tuesday"/>
    <s v="Morning"/>
  </r>
  <r>
    <x v="83"/>
    <s v="2024-01-08 00:34:29"/>
    <x v="3"/>
    <s v="2024-01-18 16:52:29"/>
    <n v="232.3"/>
    <n v="9.6999999999999993"/>
    <s v="Password Reset"/>
    <s v="Account Unlock"/>
    <x v="2"/>
    <n v="360"/>
    <x v="1"/>
    <s v="Portal"/>
    <s v="Tier 1"/>
    <s v="TECH-8"/>
    <s v="Junior"/>
    <x v="1"/>
    <s v="No"/>
    <n v="0"/>
    <s v="No"/>
    <n v="10"/>
    <n v="2.6"/>
    <n v="52.1"/>
    <s v="No"/>
    <s v="Poor"/>
    <s v="Yes"/>
    <s v="HR"/>
    <s v="Tuesday"/>
    <s v="Morning"/>
  </r>
  <r>
    <x v="84"/>
    <s v="2024-12-25 23:04:10"/>
    <x v="0"/>
    <s v="2025-01-06 11:46:10"/>
    <n v="276.7"/>
    <n v="11.5"/>
    <s v="Access Requests"/>
    <s v="Admin Rights"/>
    <x v="0"/>
    <n v="240"/>
    <x v="0"/>
    <s v="Chat"/>
    <s v="Tier 2"/>
    <s v="TECH-4"/>
    <s v="Junior"/>
    <x v="0"/>
    <s v="Yes"/>
    <n v="1"/>
    <s v="Yes"/>
    <n v="7"/>
    <n v="2.5"/>
    <n v="34.200000000000003"/>
    <s v="No"/>
    <s v="Excellent"/>
    <s v="No"/>
    <s v="Legal"/>
    <s v="Tuesday"/>
    <s v="Morning"/>
  </r>
  <r>
    <x v="85"/>
    <s v="2024-07-05 07:08:55"/>
    <x v="4"/>
    <s v="2024-07-12 17:50:55"/>
    <n v="178.7"/>
    <n v="7.4"/>
    <s v="Access Requests"/>
    <s v="VPN Access"/>
    <x v="0"/>
    <n v="240"/>
    <x v="1"/>
    <s v="Walk-in"/>
    <s v="Tier 1"/>
    <s v="TECH-12"/>
    <s v="Junior"/>
    <x v="0"/>
    <s v="No"/>
    <n v="1"/>
    <s v="No"/>
    <n v="10"/>
    <n v="2.4"/>
    <n v="23"/>
    <s v="Yes"/>
    <s v="Good"/>
    <s v="Yes"/>
    <s v="Executive"/>
    <s v="Thursday"/>
    <s v="Morning"/>
  </r>
  <r>
    <x v="86"/>
    <s v="2024-01-15 17:58:30"/>
    <x v="3"/>
    <s v="2024-01-29 23:28:30"/>
    <n v="341.5"/>
    <n v="14.2"/>
    <s v="Other"/>
    <s v="Training Request"/>
    <x v="2"/>
    <n v="360"/>
    <x v="1"/>
    <s v="Phone"/>
    <s v="Tier 1"/>
    <s v="TECH-11"/>
    <s v="Senior"/>
    <x v="0"/>
    <s v="No"/>
    <n v="1"/>
    <s v="No"/>
    <n v="9"/>
    <n v="5.4"/>
    <n v="22.4"/>
    <s v="No"/>
    <s v="Fair"/>
    <s v="No"/>
    <s v="Marketing"/>
    <s v="Thursday"/>
    <s v="Morning"/>
  </r>
  <r>
    <x v="87"/>
    <s v="2024-05-18 14:26:21"/>
    <x v="8"/>
    <s v="2024-05-23 05:32:21"/>
    <n v="111.1"/>
    <n v="4.5999999999999996"/>
    <s v="Email/Calendar"/>
    <s v="Cannot Send/Receive"/>
    <x v="1"/>
    <n v="120"/>
    <x v="1"/>
    <s v="Phone"/>
    <s v="Tier 1"/>
    <s v="TECH-1"/>
    <s v="Senior"/>
    <x v="1"/>
    <s v="No"/>
    <n v="0"/>
    <s v="No"/>
    <n v="10"/>
    <n v="3.4"/>
    <n v="48.3"/>
    <s v="No"/>
    <s v="Fair"/>
    <s v="Yes"/>
    <s v="Finance"/>
    <s v="Wednesday"/>
    <s v="Morning"/>
  </r>
  <r>
    <x v="88"/>
    <s v="2024-01-24 14:33:08"/>
    <x v="3"/>
    <s v="2024-02-03 09:03:08"/>
    <n v="234.5"/>
    <n v="9.8000000000000007"/>
    <s v="Access Requests"/>
    <s v="File Share"/>
    <x v="2"/>
    <n v="360"/>
    <x v="1"/>
    <s v="Phone"/>
    <s v="Tier 1"/>
    <s v="TECH-14"/>
    <s v="Junior"/>
    <x v="1"/>
    <s v="No"/>
    <n v="0"/>
    <s v="No"/>
    <n v="10"/>
    <n v="3.5"/>
    <n v="25.4"/>
    <s v="Yes"/>
    <s v="Poor"/>
    <s v="Yes"/>
    <s v="Sales"/>
    <s v="Friday"/>
    <s v="Morning"/>
  </r>
  <r>
    <x v="89"/>
    <s v="2024-01-29 01:11:09"/>
    <x v="3"/>
    <s v="2024-02-08 14:47:09"/>
    <n v="229.6"/>
    <n v="9.6"/>
    <s v="Password Reset"/>
    <s v="Email Password"/>
    <x v="2"/>
    <n v="360"/>
    <x v="1"/>
    <s v="Email"/>
    <s v="Tier 1"/>
    <s v="TECH-13"/>
    <s v="Junior"/>
    <x v="1"/>
    <s v="No"/>
    <n v="0"/>
    <s v="No"/>
    <n v="10"/>
    <n v="2.7"/>
    <n v="21.2"/>
    <s v="Yes"/>
    <s v="Fair"/>
    <s v="Yes"/>
    <s v="Legal"/>
    <s v="Wednesday"/>
    <s v="Afternoon"/>
  </r>
  <r>
    <x v="90"/>
    <s v="2024-03-25 11:51:24"/>
    <x v="5"/>
    <s v="2024-04-03 20:39:24"/>
    <n v="223.8"/>
    <n v="9.3000000000000007"/>
    <s v="Software Installation"/>
    <s v="Drivers"/>
    <x v="0"/>
    <n v="240"/>
    <x v="1"/>
    <s v="Email"/>
    <s v="Tier 2"/>
    <s v="TECH-13"/>
    <s v="Senior"/>
    <x v="0"/>
    <s v="Yes"/>
    <n v="4"/>
    <s v="No"/>
    <n v="8"/>
    <n v="3.9"/>
    <n v="5"/>
    <s v="Yes"/>
    <s v="Fair"/>
    <s v="Yes"/>
    <s v="Executive"/>
    <s v="Monday"/>
    <s v="Morning"/>
  </r>
  <r>
    <x v="91"/>
    <s v="2024-11-04 03:40:18"/>
    <x v="7"/>
    <s v="2024-11-18 03:46:18"/>
    <n v="336.1"/>
    <n v="14"/>
    <s v="Password Reset"/>
    <s v="Windows Password"/>
    <x v="2"/>
    <n v="360"/>
    <x v="1"/>
    <s v="Phone"/>
    <s v="Tier 1"/>
    <s v="TECH-5"/>
    <s v="Mid-level"/>
    <x v="1"/>
    <s v="No"/>
    <n v="0"/>
    <s v="No"/>
    <n v="6"/>
    <n v="4.5"/>
    <n v="32.200000000000003"/>
    <s v="Yes"/>
    <s v="Poor"/>
    <s v="No"/>
    <s v="Sales"/>
    <s v="Friday"/>
    <s v="Afternoon"/>
  </r>
  <r>
    <x v="92"/>
    <s v="2024-05-19 13:18:49"/>
    <x v="8"/>
    <s v="2024-05-26 10:00:49"/>
    <n v="164.7"/>
    <n v="6.9"/>
    <s v="Access Requests"/>
    <s v="VPN Access"/>
    <x v="0"/>
    <n v="240"/>
    <x v="1"/>
    <s v="Email"/>
    <s v="Tier 1"/>
    <s v="TECH-8"/>
    <s v="Mid-level"/>
    <x v="1"/>
    <s v="No"/>
    <n v="0"/>
    <s v="Yes"/>
    <n v="10"/>
    <n v="2.2999999999999998"/>
    <n v="18.7"/>
    <s v="No"/>
    <s v="Fair"/>
    <s v="No"/>
    <s v="HR"/>
    <s v="Tuesday"/>
    <s v="Morning"/>
  </r>
  <r>
    <x v="93"/>
    <s v="2024-11-01 11:12:12"/>
    <x v="7"/>
    <s v="2024-11-05 17:48:12"/>
    <n v="102.6"/>
    <n v="4.3"/>
    <s v="Hardware Issues"/>
    <s v="Printer"/>
    <x v="1"/>
    <n v="120"/>
    <x v="1"/>
    <s v="Email"/>
    <s v="Tier 1"/>
    <s v="TECH-6"/>
    <s v="Mid-level"/>
    <x v="0"/>
    <s v="No"/>
    <n v="1"/>
    <s v="Yes"/>
    <n v="10"/>
    <n v="3.6"/>
    <n v="27.8"/>
    <s v="Yes"/>
    <s v="Fair"/>
    <s v="Yes"/>
    <s v="Marketing"/>
    <s v="Monday"/>
    <s v="Evening"/>
  </r>
  <r>
    <x v="94"/>
    <s v="2024-07-31 04:37:39"/>
    <x v="4"/>
    <s v="2024-08-18 08:01:39"/>
    <n v="435.4"/>
    <n v="18.100000000000001"/>
    <s v="Software Installation"/>
    <s v="MS Office"/>
    <x v="2"/>
    <n v="360"/>
    <x v="0"/>
    <s v="Email"/>
    <s v="Tier 1"/>
    <s v="TECH-9"/>
    <s v="Junior"/>
    <x v="0"/>
    <s v="No"/>
    <n v="1"/>
    <s v="Yes"/>
    <n v="6"/>
    <n v="4.8"/>
    <n v="16.5"/>
    <s v="Yes"/>
    <s v="Poor"/>
    <s v="No"/>
    <s v="Sales"/>
    <s v="Monday"/>
    <s v="Morning"/>
  </r>
  <r>
    <x v="95"/>
    <s v="2024-03-26 03:01:19"/>
    <x v="5"/>
    <s v="2024-04-03 06:07:19"/>
    <n v="194.1"/>
    <n v="8.1"/>
    <s v="Software Installation"/>
    <s v="VPN Client"/>
    <x v="0"/>
    <n v="240"/>
    <x v="1"/>
    <s v="Portal"/>
    <s v="Tier 1"/>
    <s v="TECH-21"/>
    <s v="Senior"/>
    <x v="0"/>
    <s v="No"/>
    <n v="1"/>
    <s v="No"/>
    <n v="9"/>
    <n v="4.3"/>
    <n v="22.4"/>
    <s v="Yes"/>
    <s v="Good"/>
    <s v="Yes"/>
    <s v="HR"/>
    <s v="Monday"/>
    <s v="Morning"/>
  </r>
  <r>
    <x v="96"/>
    <s v="2024-05-07 12:20:46"/>
    <x v="8"/>
    <s v="2024-05-12 00:56:46"/>
    <n v="132.6"/>
    <n v="5.5"/>
    <s v="Application Errors"/>
    <s v="Features Not Working"/>
    <x v="1"/>
    <n v="120"/>
    <x v="0"/>
    <s v="Phone"/>
    <s v="Tier 2"/>
    <s v="TECH-12"/>
    <s v="Mid-level"/>
    <x v="0"/>
    <s v="Yes"/>
    <n v="1"/>
    <s v="No"/>
    <n v="7"/>
    <n v="3.6"/>
    <n v="8.1"/>
    <s v="Yes"/>
    <s v="Good"/>
    <s v="No"/>
    <s v="Executive"/>
    <s v="Tuesday"/>
    <s v="Morning"/>
  </r>
  <r>
    <x v="97"/>
    <s v="2024-04-27 09:27:26"/>
    <x v="11"/>
    <s v="2024-05-06 12:27:26"/>
    <n v="219"/>
    <n v="9.1"/>
    <s v="Other"/>
    <s v="Documentation"/>
    <x v="0"/>
    <n v="240"/>
    <x v="1"/>
    <s v="Phone"/>
    <s v="Tier 1"/>
    <s v="TECH-16"/>
    <s v="Junior"/>
    <x v="0"/>
    <s v="No"/>
    <n v="1"/>
    <s v="Yes"/>
    <n v="9"/>
    <n v="0.6"/>
    <n v="22.4"/>
    <s v="Yes"/>
    <s v="Excellent"/>
    <s v="No"/>
    <s v="Operations"/>
    <s v="Thursday"/>
    <s v="Afternoon"/>
  </r>
  <r>
    <x v="98"/>
    <s v="2024-08-10 12:48:18"/>
    <x v="1"/>
    <s v="2024-08-17 19:18:18"/>
    <n v="174.5"/>
    <n v="7.3"/>
    <s v="Software Installation"/>
    <s v="VPN Client"/>
    <x v="1"/>
    <n v="120"/>
    <x v="0"/>
    <s v="Portal"/>
    <s v="Tier 1"/>
    <s v="TECH-25"/>
    <s v="Junior"/>
    <x v="1"/>
    <s v="No"/>
    <n v="0"/>
    <s v="No"/>
    <n v="3"/>
    <n v="2.8"/>
    <n v="12.4"/>
    <s v="No"/>
    <s v="Poor"/>
    <s v="Yes"/>
    <s v="Sales"/>
    <s v="Thursday"/>
    <s v="Morning"/>
  </r>
  <r>
    <x v="99"/>
    <s v="2024-07-14 21:14:51"/>
    <x v="4"/>
    <s v="2024-07-23 18:14:51"/>
    <n v="213"/>
    <n v="8.9"/>
    <s v="Other"/>
    <s v="Training Request"/>
    <x v="0"/>
    <n v="240"/>
    <x v="1"/>
    <s v="Portal"/>
    <s v="Tier 1"/>
    <s v="TECH-24"/>
    <s v="Senior"/>
    <x v="1"/>
    <s v="No"/>
    <n v="0"/>
    <s v="No"/>
    <n v="9"/>
    <n v="1.7"/>
    <n v="24.4"/>
    <s v="No"/>
    <s v="Poor"/>
    <s v="No"/>
    <s v="Finance"/>
    <s v="Monday"/>
    <s v="Morning"/>
  </r>
  <r>
    <x v="100"/>
    <s v="2024-11-30 15:20:45"/>
    <x v="7"/>
    <s v="2024-12-08 14:20:45"/>
    <n v="191"/>
    <n v="8"/>
    <s v="Password Reset"/>
    <s v="Account Unlock"/>
    <x v="0"/>
    <n v="240"/>
    <x v="1"/>
    <s v="Phone"/>
    <s v="Tier 1"/>
    <s v="TECH-19"/>
    <s v="Mid-level"/>
    <x v="0"/>
    <s v="No"/>
    <n v="1"/>
    <s v="No"/>
    <n v="7"/>
    <n v="1.4"/>
    <n v="34.4"/>
    <s v="Yes"/>
    <s v="Fair"/>
    <s v="No"/>
    <s v="Operations"/>
    <s v="Tuesday"/>
    <s v="Evening"/>
  </r>
  <r>
    <x v="101"/>
    <s v="2024-12-10 04:59:10"/>
    <x v="0"/>
    <s v="2024-12-18 23:53:10"/>
    <n v="210.9"/>
    <n v="8.8000000000000007"/>
    <s v="Software Installation"/>
    <s v="Drivers"/>
    <x v="0"/>
    <n v="240"/>
    <x v="1"/>
    <s v="Chat"/>
    <s v="Tier 1"/>
    <s v="TECH-5"/>
    <s v="Mid-level"/>
    <x v="0"/>
    <s v="No"/>
    <n v="1"/>
    <s v="Yes"/>
    <n v="9"/>
    <n v="0.1"/>
    <n v="0"/>
    <s v="No"/>
    <s v="Poor"/>
    <s v="No"/>
    <s v="HR"/>
    <s v="Wednesday"/>
    <s v="Morning"/>
  </r>
  <r>
    <x v="102"/>
    <s v="2024-08-28 15:15:18"/>
    <x v="1"/>
    <s v="2024-08-31 16:21:18"/>
    <n v="73.099999999999994"/>
    <n v="3"/>
    <s v="Software Installation"/>
    <s v="Business Apps"/>
    <x v="1"/>
    <n v="120"/>
    <x v="1"/>
    <s v="Portal"/>
    <s v="Tier 1"/>
    <s v="TECH-7"/>
    <s v="Senior"/>
    <x v="0"/>
    <s v="No"/>
    <n v="1"/>
    <s v="No"/>
    <n v="9"/>
    <n v="4.4000000000000004"/>
    <n v="14.4"/>
    <s v="Yes"/>
    <s v="Good"/>
    <s v="No"/>
    <s v="Finance"/>
    <s v="Wednesday"/>
    <s v="Morning"/>
  </r>
  <r>
    <x v="103"/>
    <s v="2024-12-03 04:43:07"/>
    <x v="0"/>
    <s v="2024-12-09 12:01:07"/>
    <n v="151.30000000000001"/>
    <n v="6.3"/>
    <s v="Software Installation"/>
    <s v="MS Office"/>
    <x v="0"/>
    <n v="240"/>
    <x v="1"/>
    <s v="Phone"/>
    <s v="Tier 2"/>
    <s v="TECH-25"/>
    <s v="Junior"/>
    <x v="0"/>
    <s v="Yes"/>
    <n v="1"/>
    <s v="Yes"/>
    <n v="10"/>
    <n v="6"/>
    <n v="10.4"/>
    <s v="Yes"/>
    <s v="Fair"/>
    <s v="Yes"/>
    <s v="Executive"/>
    <s v="Tuesday"/>
    <s v="Evening"/>
  </r>
  <r>
    <x v="104"/>
    <s v="2024-01-15 10:46:55"/>
    <x v="3"/>
    <s v="2024-01-25 04:04:55"/>
    <n v="233.3"/>
    <n v="9.6999999999999993"/>
    <s v="Email/Calendar"/>
    <s v="Calendar Sync"/>
    <x v="2"/>
    <n v="360"/>
    <x v="1"/>
    <s v="Phone"/>
    <s v="Tier 2"/>
    <s v="TECH-3"/>
    <s v="Senior"/>
    <x v="0"/>
    <s v="Yes"/>
    <n v="3"/>
    <s v="No"/>
    <n v="8"/>
    <n v="2.2999999999999998"/>
    <n v="27.6"/>
    <s v="Yes"/>
    <s v="Good"/>
    <s v="Yes"/>
    <s v="Marketing"/>
    <s v="Tuesday"/>
    <s v="Evening"/>
  </r>
  <r>
    <x v="105"/>
    <s v="2024-03-11 19:06:57"/>
    <x v="5"/>
    <s v="2024-03-16 07:24:57"/>
    <n v="108.3"/>
    <n v="4.5"/>
    <s v="Other"/>
    <s v="General Inquiry"/>
    <x v="1"/>
    <n v="120"/>
    <x v="1"/>
    <s v="Email"/>
    <s v="Tier 1"/>
    <s v="TECH-10"/>
    <s v="Senior"/>
    <x v="1"/>
    <s v="No"/>
    <n v="0"/>
    <s v="No"/>
    <n v="8"/>
    <n v="2.8"/>
    <n v="17.600000000000001"/>
    <s v="No"/>
    <s v="Good"/>
    <s v="Yes"/>
    <s v="Legal"/>
    <s v="Thursday"/>
    <s v="Afternoon"/>
  </r>
  <r>
    <x v="106"/>
    <s v="2024-11-09 02:23:44"/>
    <x v="7"/>
    <s v="2024-11-18 13:17:44"/>
    <n v="226.9"/>
    <n v="9.5"/>
    <s v="Other"/>
    <s v="Miscellaneous"/>
    <x v="2"/>
    <n v="360"/>
    <x v="1"/>
    <s v="Email"/>
    <s v="Tier 1"/>
    <s v="TECH-19"/>
    <s v="Senior"/>
    <x v="0"/>
    <s v="No"/>
    <n v="1"/>
    <s v="No"/>
    <n v="5"/>
    <n v="3"/>
    <n v="29.4"/>
    <s v="Yes"/>
    <s v="Poor"/>
    <s v="Yes"/>
    <s v="Legal"/>
    <s v="Monday"/>
    <s v="Afternoon"/>
  </r>
  <r>
    <x v="107"/>
    <s v="2024-11-08 23:45:21"/>
    <x v="7"/>
    <s v="2024-11-15 16:39:21"/>
    <n v="160.9"/>
    <n v="6.7"/>
    <s v="Application Errors"/>
    <s v="Performance"/>
    <x v="1"/>
    <n v="120"/>
    <x v="0"/>
    <s v="Email"/>
    <s v="Tier 2"/>
    <s v="TECH-20"/>
    <s v="Junior"/>
    <x v="0"/>
    <s v="Yes"/>
    <n v="4"/>
    <s v="No"/>
    <n v="8"/>
    <n v="6.4"/>
    <n v="27.2"/>
    <s v="Yes"/>
    <s v="Good"/>
    <s v="Yes"/>
    <s v="HR"/>
    <s v="Friday"/>
    <s v="Afternoon"/>
  </r>
  <r>
    <x v="108"/>
    <s v="2024-01-25 07:08:31"/>
    <x v="3"/>
    <s v="2024-02-02 16:14:31"/>
    <n v="201.1"/>
    <n v="8.4"/>
    <s v="Network Connectivity"/>
    <s v="Ethernet"/>
    <x v="1"/>
    <n v="120"/>
    <x v="0"/>
    <s v="Email"/>
    <s v="Tier 1"/>
    <s v="TECH-22"/>
    <s v="Senior"/>
    <x v="1"/>
    <s v="No"/>
    <n v="0"/>
    <s v="No"/>
    <n v="6"/>
    <n v="4.5999999999999996"/>
    <n v="47.4"/>
    <s v="No"/>
    <s v="Fair"/>
    <s v="Yes"/>
    <s v="Executive"/>
    <s v="Friday"/>
    <s v="Morning"/>
  </r>
  <r>
    <x v="109"/>
    <s v="2024-04-24 22:09:25"/>
    <x v="11"/>
    <s v="2024-05-02 23:33:25"/>
    <n v="193.4"/>
    <n v="8.1"/>
    <s v="Access Requests"/>
    <s v="Application Access"/>
    <x v="0"/>
    <n v="240"/>
    <x v="1"/>
    <s v="Walk-in"/>
    <s v="Tier 1"/>
    <s v="TECH-14"/>
    <s v="Junior"/>
    <x v="0"/>
    <s v="No"/>
    <n v="1"/>
    <s v="No"/>
    <n v="9"/>
    <n v="2.2000000000000002"/>
    <n v="35.700000000000003"/>
    <s v="Yes"/>
    <s v="Excellent"/>
    <s v="No"/>
    <s v="IT"/>
    <s v="Monday"/>
    <s v="Morning"/>
  </r>
  <r>
    <x v="110"/>
    <s v="2024-02-14 08:57:20"/>
    <x v="6"/>
    <s v="2024-02-15 23:33:20"/>
    <n v="38.6"/>
    <n v="1.6"/>
    <s v="Application Errors"/>
    <s v="Features Not Working"/>
    <x v="3"/>
    <n v="48"/>
    <x v="1"/>
    <s v="Email"/>
    <s v="Tier 1"/>
    <s v="TECH-24"/>
    <s v="Senior"/>
    <x v="1"/>
    <s v="No"/>
    <n v="0"/>
    <s v="No"/>
    <n v="7"/>
    <n v="1.6"/>
    <n v="22.5"/>
    <s v="No"/>
    <s v="Good"/>
    <s v="Yes"/>
    <s v="Executive"/>
    <s v="Wednesday"/>
    <s v="Morning"/>
  </r>
  <r>
    <x v="111"/>
    <s v="2024-11-15 16:56:37"/>
    <x v="7"/>
    <s v="2024-11-18 18:38:37"/>
    <n v="73.7"/>
    <n v="3.1"/>
    <s v="Hardware Issues"/>
    <s v="Keyboard/Mouse"/>
    <x v="1"/>
    <n v="120"/>
    <x v="1"/>
    <s v="Phone"/>
    <s v="Tier 1"/>
    <s v="TECH-7"/>
    <s v="Junior"/>
    <x v="0"/>
    <s v="No"/>
    <n v="1"/>
    <s v="No"/>
    <n v="9"/>
    <n v="2.4"/>
    <n v="17.5"/>
    <s v="Yes"/>
    <s v="Fair"/>
    <s v="No"/>
    <s v="IT"/>
    <s v="Wednesday"/>
    <s v="Afternoon"/>
  </r>
  <r>
    <x v="112"/>
    <s v="2024-04-15 10:53:25"/>
    <x v="11"/>
    <s v="2024-04-22 21:53:25"/>
    <n v="179"/>
    <n v="7.5"/>
    <s v="Email/Calendar"/>
    <s v="Distribution List"/>
    <x v="0"/>
    <n v="240"/>
    <x v="1"/>
    <s v="Email"/>
    <s v="Tier 1"/>
    <s v="TECH-3"/>
    <s v="Senior"/>
    <x v="0"/>
    <s v="No"/>
    <n v="1"/>
    <s v="No"/>
    <n v="9"/>
    <n v="5.3"/>
    <n v="50.9"/>
    <s v="Yes"/>
    <s v="Fair"/>
    <s v="Yes"/>
    <s v="Operations"/>
    <s v="Tuesday"/>
    <s v="Morning"/>
  </r>
  <r>
    <x v="113"/>
    <s v="2024-05-25 07:30:18"/>
    <x v="8"/>
    <s v="2024-05-29 18:12:18"/>
    <n v="106.7"/>
    <n v="4.4000000000000004"/>
    <s v="Access Requests"/>
    <s v="Admin Rights"/>
    <x v="1"/>
    <n v="120"/>
    <x v="1"/>
    <s v="Portal"/>
    <s v="Tier 1"/>
    <s v="TECH-24"/>
    <s v="Mid-level"/>
    <x v="1"/>
    <s v="No"/>
    <n v="0"/>
    <s v="Yes"/>
    <n v="9"/>
    <n v="2.8"/>
    <n v="36.9"/>
    <s v="No"/>
    <s v="Good"/>
    <s v="Yes"/>
    <s v="Operations"/>
    <s v="Thursday"/>
    <s v="Morning"/>
  </r>
  <r>
    <x v="114"/>
    <s v="2024-09-20 12:36:58"/>
    <x v="9"/>
    <s v="2024-09-26 16:24:58"/>
    <n v="147.80000000000001"/>
    <n v="6.2"/>
    <s v="Access Requests"/>
    <s v="Admin Rights"/>
    <x v="0"/>
    <n v="240"/>
    <x v="1"/>
    <s v="Phone"/>
    <s v="Tier 1"/>
    <s v="TECH-18"/>
    <s v="Mid-level"/>
    <x v="1"/>
    <s v="No"/>
    <n v="0"/>
    <s v="No"/>
    <n v="8"/>
    <n v="6.4"/>
    <n v="27.6"/>
    <s v="Yes"/>
    <s v="Fair"/>
    <s v="No"/>
    <s v="HR"/>
    <s v="Friday"/>
    <s v="Afternoon"/>
  </r>
  <r>
    <x v="115"/>
    <s v="2024-07-02 05:35:55"/>
    <x v="4"/>
    <s v="2024-07-08 12:23:55"/>
    <n v="150.80000000000001"/>
    <n v="6.3"/>
    <s v="Email/Calendar"/>
    <s v="Distribution List"/>
    <x v="0"/>
    <n v="240"/>
    <x v="1"/>
    <s v="Email"/>
    <s v="Tier 1"/>
    <s v="TECH-19"/>
    <s v="Junior"/>
    <x v="1"/>
    <s v="No"/>
    <n v="0"/>
    <s v="No"/>
    <n v="10"/>
    <n v="3.7"/>
    <n v="42.4"/>
    <s v="Yes"/>
    <s v="Poor"/>
    <s v="Yes"/>
    <s v="Operations"/>
    <s v="Monday"/>
    <s v="Afternoon"/>
  </r>
  <r>
    <x v="116"/>
    <s v="2024-09-08 21:41:34"/>
    <x v="9"/>
    <s v="2024-09-21 00:53:34"/>
    <n v="315.2"/>
    <n v="13.1"/>
    <s v="Software Installation"/>
    <s v="VPN Client"/>
    <x v="0"/>
    <n v="240"/>
    <x v="0"/>
    <s v="Phone"/>
    <s v="Tier 2"/>
    <s v="TECH-4"/>
    <s v="Mid-level"/>
    <x v="0"/>
    <s v="Yes"/>
    <n v="3"/>
    <s v="No"/>
    <n v="6"/>
    <n v="4.8"/>
    <n v="60.8"/>
    <s v="No"/>
    <s v="Poor"/>
    <s v="Yes"/>
    <s v="Sales"/>
    <s v="Tuesday"/>
    <s v="Morning"/>
  </r>
  <r>
    <x v="117"/>
    <s v="2024-11-08 04:11:20"/>
    <x v="7"/>
    <s v="2024-11-19 10:17:20"/>
    <n v="270.10000000000002"/>
    <n v="11.3"/>
    <s v="Hardware Issues"/>
    <s v="Keyboard/Mouse"/>
    <x v="0"/>
    <n v="240"/>
    <x v="0"/>
    <s v="Portal"/>
    <s v="Tier 2"/>
    <s v="TECH-22"/>
    <s v="Junior"/>
    <x v="0"/>
    <s v="Yes"/>
    <n v="1"/>
    <s v="No"/>
    <n v="4"/>
    <n v="0.5"/>
    <n v="23.1"/>
    <s v="No"/>
    <s v="Poor"/>
    <s v="No"/>
    <s v="Sales"/>
    <s v="Friday"/>
    <s v="Morning"/>
  </r>
  <r>
    <x v="118"/>
    <s v="2024-06-11 21:00:49"/>
    <x v="10"/>
    <s v="2024-06-30 00:18:49"/>
    <n v="459.3"/>
    <n v="19.100000000000001"/>
    <s v="Password Reset"/>
    <s v="Windows Password"/>
    <x v="2"/>
    <n v="360"/>
    <x v="0"/>
    <s v="Walk-in"/>
    <s v="Tier 1"/>
    <s v="TECH-20"/>
    <s v="Mid-level"/>
    <x v="0"/>
    <s v="No"/>
    <n v="1"/>
    <s v="No"/>
    <n v="4"/>
    <n v="4.3"/>
    <n v="2.8"/>
    <s v="No"/>
    <s v="Fair"/>
    <s v="Yes"/>
    <s v="Marketing"/>
    <s v="Wednesday"/>
    <s v="Afternoon"/>
  </r>
  <r>
    <x v="119"/>
    <s v="2024-04-06 05:17:53"/>
    <x v="11"/>
    <s v="2024-04-17 09:35:53"/>
    <n v="268.3"/>
    <n v="11.2"/>
    <s v="Email/Calendar"/>
    <s v="Mailbox Full"/>
    <x v="0"/>
    <n v="240"/>
    <x v="0"/>
    <s v="Email"/>
    <s v="Tier 1"/>
    <s v="TECH-25"/>
    <s v="Junior"/>
    <x v="1"/>
    <s v="No"/>
    <n v="0"/>
    <s v="No"/>
    <n v="5"/>
    <n v="0.9"/>
    <n v="15.5"/>
    <s v="Yes"/>
    <s v="Fair"/>
    <s v="No"/>
    <s v="IT"/>
    <s v="Wednesday"/>
    <s v="Morning"/>
  </r>
  <r>
    <x v="120"/>
    <s v="2024-11-01 11:36:23"/>
    <x v="7"/>
    <s v="2024-11-10 11:00:23"/>
    <n v="215.4"/>
    <n v="9"/>
    <s v="Access Requests"/>
    <s v="File Share"/>
    <x v="1"/>
    <n v="120"/>
    <x v="0"/>
    <s v="Phone"/>
    <s v="Tier 2"/>
    <s v="TECH-3"/>
    <s v="Senior"/>
    <x v="0"/>
    <s v="Yes"/>
    <n v="1"/>
    <s v="No"/>
    <n v="7"/>
    <n v="4.7"/>
    <n v="15.2"/>
    <s v="Yes"/>
    <s v="Good"/>
    <s v="Yes"/>
    <s v="Finance"/>
    <s v="Friday"/>
    <s v="Morning"/>
  </r>
  <r>
    <x v="121"/>
    <s v="2024-03-15 22:01:21"/>
    <x v="5"/>
    <s v="2024-03-23 18:25:21"/>
    <n v="188.4"/>
    <n v="7.9"/>
    <s v="Email/Calendar"/>
    <s v="Calendar Sync"/>
    <x v="0"/>
    <n v="240"/>
    <x v="1"/>
    <s v="Portal"/>
    <s v="Tier 2"/>
    <s v="TECH-16"/>
    <s v="Senior"/>
    <x v="0"/>
    <s v="Yes"/>
    <n v="1"/>
    <s v="No"/>
    <n v="10"/>
    <n v="3.4"/>
    <n v="0"/>
    <s v="No"/>
    <s v="Poor"/>
    <s v="Yes"/>
    <s v="Marketing"/>
    <s v="Wednesday"/>
    <s v="Morning"/>
  </r>
  <r>
    <x v="122"/>
    <s v="2024-12-02 23:47:45"/>
    <x v="0"/>
    <s v="2024-12-17 10:11:45"/>
    <n v="346.4"/>
    <n v="14.4"/>
    <s v="Access Requests"/>
    <s v="Admin Rights"/>
    <x v="0"/>
    <n v="240"/>
    <x v="0"/>
    <s v="Email"/>
    <s v="Tier 2"/>
    <s v="TECH-11"/>
    <s v="Mid-level"/>
    <x v="0"/>
    <s v="Yes"/>
    <n v="2"/>
    <s v="No"/>
    <n v="4"/>
    <n v="2.5"/>
    <n v="25.4"/>
    <s v="Yes"/>
    <s v="Fair"/>
    <s v="No"/>
    <s v="Sales"/>
    <s v="Wednesday"/>
    <s v="Afternoon"/>
  </r>
  <r>
    <x v="123"/>
    <s v="2024-04-28 16:29:29"/>
    <x v="11"/>
    <s v="2024-05-08 23:29:29"/>
    <n v="247"/>
    <n v="10.3"/>
    <s v="Other"/>
    <s v="General Inquiry"/>
    <x v="2"/>
    <n v="360"/>
    <x v="1"/>
    <s v="Walk-in"/>
    <s v="Tier 1"/>
    <s v="TECH-6"/>
    <s v="Mid-level"/>
    <x v="1"/>
    <s v="No"/>
    <n v="0"/>
    <s v="No"/>
    <n v="10"/>
    <n v="2.1"/>
    <n v="19.3"/>
    <s v="No"/>
    <s v="Fair"/>
    <s v="Yes"/>
    <s v="HR"/>
    <s v="Tuesday"/>
    <s v="Morning"/>
  </r>
  <r>
    <x v="124"/>
    <s v="2024-10-06 05:03:00"/>
    <x v="2"/>
    <s v="2024-10-10 08:03:00"/>
    <n v="99"/>
    <n v="4.0999999999999996"/>
    <s v="Network Connectivity"/>
    <s v="Ethernet"/>
    <x v="1"/>
    <n v="120"/>
    <x v="1"/>
    <s v="Portal"/>
    <s v="Tier 2"/>
    <s v="TECH-15"/>
    <s v="Mid-level"/>
    <x v="0"/>
    <s v="Yes"/>
    <n v="2"/>
    <s v="No"/>
    <n v="10"/>
    <n v="0.9"/>
    <n v="7.3"/>
    <s v="Yes"/>
    <s v="Good"/>
    <s v="Yes"/>
    <s v="IT"/>
    <s v="Thursday"/>
    <s v="Morning"/>
  </r>
  <r>
    <x v="125"/>
    <s v="2024-09-16 03:10:50"/>
    <x v="9"/>
    <s v="2024-09-27 22:10:50"/>
    <n v="283"/>
    <n v="11.8"/>
    <s v="Application Errors"/>
    <s v="Performance"/>
    <x v="0"/>
    <n v="240"/>
    <x v="0"/>
    <s v="Phone"/>
    <s v="Tier 1"/>
    <s v="TECH-22"/>
    <s v="Mid-level"/>
    <x v="0"/>
    <s v="No"/>
    <n v="1"/>
    <s v="No"/>
    <n v="2"/>
    <n v="0.1"/>
    <n v="17.899999999999999"/>
    <s v="No"/>
    <s v="Good"/>
    <s v="No"/>
    <s v="Operations"/>
    <s v="Monday"/>
    <s v="Afternoon"/>
  </r>
  <r>
    <x v="126"/>
    <s v="2024-06-07 10:30:17"/>
    <x v="10"/>
    <s v="2024-06-19 13:06:17"/>
    <n v="290.60000000000002"/>
    <n v="12.1"/>
    <s v="Other"/>
    <s v="Training Request"/>
    <x v="2"/>
    <n v="360"/>
    <x v="1"/>
    <s v="Email"/>
    <s v="Tier 1"/>
    <s v="TECH-19"/>
    <s v="Mid-level"/>
    <x v="0"/>
    <s v="No"/>
    <n v="1"/>
    <s v="No"/>
    <n v="7"/>
    <n v="4.8"/>
    <n v="8.3000000000000007"/>
    <s v="No"/>
    <s v="Fair"/>
    <s v="Yes"/>
    <s v="Sales"/>
    <s v="Monday"/>
    <s v="Afternoon"/>
  </r>
  <r>
    <x v="127"/>
    <s v="2024-03-20 04:43:11"/>
    <x v="5"/>
    <s v="2024-03-27 17:49:11"/>
    <n v="181.1"/>
    <n v="7.5"/>
    <s v="Access Requests"/>
    <s v="File Share"/>
    <x v="0"/>
    <n v="240"/>
    <x v="1"/>
    <s v="Phone"/>
    <s v="Tier 1"/>
    <s v="TECH-17"/>
    <s v="Mid-level"/>
    <x v="0"/>
    <s v="No"/>
    <n v="1"/>
    <s v="No"/>
    <n v="8"/>
    <n v="1.2"/>
    <n v="14.4"/>
    <s v="Yes"/>
    <s v="Excellent"/>
    <s v="Yes"/>
    <s v="Legal"/>
    <s v="Monday"/>
    <s v="Morning"/>
  </r>
  <r>
    <x v="128"/>
    <s v="2024-07-06 12:17:32"/>
    <x v="4"/>
    <s v="2024-07-10 16:41:32"/>
    <n v="100.4"/>
    <n v="4.2"/>
    <s v="Email/Calendar"/>
    <s v="Distribution List"/>
    <x v="1"/>
    <n v="120"/>
    <x v="1"/>
    <s v="Email"/>
    <s v="Tier 1"/>
    <s v="TECH-22"/>
    <s v="Senior"/>
    <x v="1"/>
    <s v="No"/>
    <n v="0"/>
    <s v="No"/>
    <n v="10"/>
    <n v="0.9"/>
    <n v="0"/>
    <s v="Yes"/>
    <s v="Fair"/>
    <s v="No"/>
    <s v="IT"/>
    <s v="Friday"/>
    <s v="Morning"/>
  </r>
  <r>
    <x v="129"/>
    <s v="2024-05-08 02:59:58"/>
    <x v="8"/>
    <s v="2024-05-17 08:53:58"/>
    <n v="197.9"/>
    <n v="8.1999999999999993"/>
    <s v="Application Errors"/>
    <s v="Performance"/>
    <x v="0"/>
    <n v="240"/>
    <x v="1"/>
    <s v="Portal"/>
    <s v="Tier 2"/>
    <s v="TECH-13"/>
    <s v="Mid-level"/>
    <x v="0"/>
    <s v="Yes"/>
    <n v="4"/>
    <s v="No"/>
    <n v="8"/>
    <n v="2.2000000000000002"/>
    <n v="22.7"/>
    <s v="Yes"/>
    <s v="Fair"/>
    <s v="No"/>
    <s v="Executive"/>
    <s v="Monday"/>
    <s v="Morning"/>
  </r>
  <r>
    <x v="130"/>
    <s v="2024-01-26 19:56:49"/>
    <x v="3"/>
    <s v="2024-02-06 01:02:49"/>
    <n v="269.10000000000002"/>
    <n v="11.2"/>
    <s v="Password Reset"/>
    <s v="Email Password"/>
    <x v="2"/>
    <n v="360"/>
    <x v="1"/>
    <s v="Email"/>
    <s v="Tier 1"/>
    <s v="TECH-3"/>
    <s v="Senior"/>
    <x v="1"/>
    <s v="No"/>
    <n v="0"/>
    <s v="Yes"/>
    <n v="9"/>
    <n v="3"/>
    <n v="4.4000000000000004"/>
    <s v="Yes"/>
    <s v="Fair"/>
    <s v="Yes"/>
    <s v="Sales"/>
    <s v="Wednesday"/>
    <s v="Morning"/>
  </r>
  <r>
    <x v="131"/>
    <s v="2024-09-23 16:06:08"/>
    <x v="9"/>
    <s v="2024-09-30 19:06:08"/>
    <n v="171"/>
    <n v="7.1"/>
    <s v="Network Connectivity"/>
    <s v="WiFi Issues"/>
    <x v="0"/>
    <n v="240"/>
    <x v="1"/>
    <s v="Phone"/>
    <s v="Tier 2"/>
    <s v="TECH-9"/>
    <s v="Mid-level"/>
    <x v="0"/>
    <s v="Yes"/>
    <n v="3"/>
    <s v="No"/>
    <n v="9"/>
    <n v="7.1"/>
    <n v="31"/>
    <s v="Yes"/>
    <s v="Good"/>
    <s v="Yes"/>
    <s v="Legal"/>
    <s v="Wednesday"/>
    <s v="Morning"/>
  </r>
  <r>
    <x v="132"/>
    <s v="2024-02-15 20:34:34"/>
    <x v="6"/>
    <s v="2024-02-21 00:22:34"/>
    <n v="147.80000000000001"/>
    <n v="6.2"/>
    <s v="Application Errors"/>
    <s v="Crash"/>
    <x v="1"/>
    <n v="120"/>
    <x v="0"/>
    <s v="Phone"/>
    <s v="Tier 1"/>
    <s v="TECH-24"/>
    <s v="Junior"/>
    <x v="0"/>
    <s v="No"/>
    <n v="1"/>
    <s v="No"/>
    <n v="6"/>
    <n v="3.7"/>
    <n v="26.8"/>
    <s v="No"/>
    <s v="Fair"/>
    <s v="Yes"/>
    <s v="Finance"/>
    <s v="Wednesday"/>
    <s v="Afternoon"/>
  </r>
  <r>
    <x v="133"/>
    <s v="2024-09-15 01:52:21"/>
    <x v="9"/>
    <s v="2024-09-27 07:46:21"/>
    <n v="269.89999999999998"/>
    <n v="11.2"/>
    <s v="Software Installation"/>
    <s v="MS Office"/>
    <x v="2"/>
    <n v="360"/>
    <x v="1"/>
    <s v="Phone"/>
    <s v="Tier 1"/>
    <s v="TECH-23"/>
    <s v="Senior"/>
    <x v="0"/>
    <s v="No"/>
    <n v="1"/>
    <s v="Yes"/>
    <n v="8"/>
    <n v="1.9"/>
    <n v="17.8"/>
    <s v="Yes"/>
    <s v="Good"/>
    <s v="Yes"/>
    <s v="Operations"/>
    <s v="Tuesday"/>
    <s v="Afternoon"/>
  </r>
  <r>
    <x v="134"/>
    <s v="2024-01-28 14:36:23"/>
    <x v="3"/>
    <s v="2024-02-02 02:06:23"/>
    <n v="107.5"/>
    <n v="4.5"/>
    <s v="Application Errors"/>
    <s v="Crash"/>
    <x v="1"/>
    <n v="120"/>
    <x v="1"/>
    <s v="Phone"/>
    <s v="Tier 1"/>
    <s v="TECH-25"/>
    <s v="Junior"/>
    <x v="0"/>
    <s v="No"/>
    <n v="1"/>
    <s v="No"/>
    <n v="9"/>
    <n v="0.2"/>
    <n v="13.8"/>
    <s v="Yes"/>
    <s v="Excellent"/>
    <s v="Yes"/>
    <s v="Operations"/>
    <s v="Wednesday"/>
    <s v="Morning"/>
  </r>
  <r>
    <x v="135"/>
    <s v="2024-04-12 00:30:40"/>
    <x v="11"/>
    <s v="2024-04-19 08:36:40"/>
    <n v="152.1"/>
    <n v="6.3"/>
    <s v="Software Installation"/>
    <s v="VPN Client"/>
    <x v="0"/>
    <n v="240"/>
    <x v="1"/>
    <s v="Portal"/>
    <s v="Tier 1"/>
    <s v="TECH-13"/>
    <s v="Senior"/>
    <x v="0"/>
    <s v="No"/>
    <n v="1"/>
    <s v="No"/>
    <n v="5"/>
    <n v="3.3"/>
    <n v="24.1"/>
    <s v="Yes"/>
    <s v="Fair"/>
    <s v="No"/>
    <s v="Marketing"/>
    <s v="Wednesday"/>
    <s v="Morning"/>
  </r>
  <r>
    <x v="136"/>
    <s v="2024-06-12 21:59:06"/>
    <x v="10"/>
    <s v="2024-06-17 03:17:06"/>
    <n v="101.3"/>
    <n v="4.2"/>
    <s v="Hardware Issues"/>
    <s v="Monitor"/>
    <x v="1"/>
    <n v="120"/>
    <x v="1"/>
    <s v="Email"/>
    <s v="Tier 2"/>
    <s v="TECH-24"/>
    <s v="Junior"/>
    <x v="0"/>
    <s v="Yes"/>
    <n v="4"/>
    <s v="No"/>
    <n v="9"/>
    <n v="3.1"/>
    <n v="28"/>
    <s v="No"/>
    <s v="Excellent"/>
    <s v="No"/>
    <s v="Legal"/>
    <s v="Friday"/>
    <s v="Morning"/>
  </r>
  <r>
    <x v="137"/>
    <s v="2024-10-23 22:48:59"/>
    <x v="2"/>
    <s v="2024-10-25 13:12:59"/>
    <n v="38.4"/>
    <n v="1.6"/>
    <s v="Network Connectivity"/>
    <s v="Ethernet"/>
    <x v="3"/>
    <n v="48"/>
    <x v="1"/>
    <s v="Phone"/>
    <s v="Tier 2"/>
    <s v="TECH-24"/>
    <s v="Senior"/>
    <x v="0"/>
    <s v="Yes"/>
    <n v="3"/>
    <s v="No"/>
    <n v="8"/>
    <n v="1.3"/>
    <n v="32.6"/>
    <s v="Yes"/>
    <s v="Fair"/>
    <s v="Yes"/>
    <s v="IT"/>
    <s v="Friday"/>
    <s v="Afternoon"/>
  </r>
  <r>
    <x v="138"/>
    <s v="2024-06-14 10:24:28"/>
    <x v="10"/>
    <s v="2024-06-17 22:42:28"/>
    <n v="84.3"/>
    <n v="3.5"/>
    <s v="Other"/>
    <s v="Training Request"/>
    <x v="1"/>
    <n v="120"/>
    <x v="1"/>
    <s v="Email"/>
    <s v="Tier 1"/>
    <s v="TECH-5"/>
    <s v="Mid-level"/>
    <x v="0"/>
    <s v="No"/>
    <n v="1"/>
    <s v="Yes"/>
    <n v="7"/>
    <n v="2.9"/>
    <n v="2.1"/>
    <s v="Yes"/>
    <s v="Fair"/>
    <s v="Yes"/>
    <s v="Operations"/>
    <s v="Wednesday"/>
    <s v="Afternoon"/>
  </r>
  <r>
    <x v="139"/>
    <s v="2024-03-27 08:09:07"/>
    <x v="5"/>
    <s v="2024-04-02 13:45:07"/>
    <n v="148.6"/>
    <n v="6.2"/>
    <s v="Email/Calendar"/>
    <s v="Distribution List"/>
    <x v="0"/>
    <n v="240"/>
    <x v="1"/>
    <s v="Phone"/>
    <s v="Tier 1"/>
    <s v="TECH-8"/>
    <s v="Junior"/>
    <x v="0"/>
    <s v="No"/>
    <n v="1"/>
    <s v="No"/>
    <n v="8"/>
    <n v="1.2"/>
    <n v="20.2"/>
    <s v="Yes"/>
    <s v="Excellent"/>
    <s v="No"/>
    <s v="HR"/>
    <s v="Monday"/>
    <s v="Morning"/>
  </r>
  <r>
    <x v="140"/>
    <s v="2024-12-18 12:39:34"/>
    <x v="0"/>
    <s v="2024-12-28 21:39:34"/>
    <n v="249"/>
    <n v="10.4"/>
    <s v="Password Reset"/>
    <s v="Account Unlock"/>
    <x v="2"/>
    <n v="360"/>
    <x v="1"/>
    <s v="Portal"/>
    <s v="Tier 1"/>
    <s v="TECH-7"/>
    <s v="Senior"/>
    <x v="1"/>
    <s v="No"/>
    <n v="0"/>
    <s v="No"/>
    <n v="10"/>
    <n v="6.4"/>
    <n v="8.5"/>
    <s v="No"/>
    <s v="Good"/>
    <s v="No"/>
    <s v="Sales"/>
    <s v="Thursday"/>
    <s v="Afternoon"/>
  </r>
  <r>
    <x v="141"/>
    <s v="2024-08-13 04:24:59"/>
    <x v="1"/>
    <s v="2024-08-30 21:24:59"/>
    <n v="425"/>
    <n v="17.7"/>
    <s v="Access Requests"/>
    <s v="File Share"/>
    <x v="2"/>
    <n v="360"/>
    <x v="0"/>
    <s v="Phone"/>
    <s v="Tier 1"/>
    <s v="TECH-19"/>
    <s v="Mid-level"/>
    <x v="1"/>
    <s v="No"/>
    <n v="0"/>
    <s v="No"/>
    <n v="6"/>
    <n v="1.4"/>
    <n v="27.5"/>
    <s v="Yes"/>
    <s v="Good"/>
    <s v="No"/>
    <s v="Legal"/>
    <s v="Friday"/>
    <s v="Morning"/>
  </r>
  <r>
    <x v="142"/>
    <s v="2024-11-02 16:35:38"/>
    <x v="7"/>
    <s v="2024-11-13 21:35:38"/>
    <n v="269"/>
    <n v="11.2"/>
    <s v="Access Requests"/>
    <s v="File Share"/>
    <x v="2"/>
    <n v="360"/>
    <x v="1"/>
    <s v="Phone"/>
    <s v="Tier 1"/>
    <s v="TECH-22"/>
    <s v="Junior"/>
    <x v="0"/>
    <s v="No"/>
    <n v="1"/>
    <s v="No"/>
    <n v="10"/>
    <n v="5.7"/>
    <n v="3.4"/>
    <s v="Yes"/>
    <s v="Fair"/>
    <s v="Yes"/>
    <s v="Executive"/>
    <s v="Friday"/>
    <s v="Afternoon"/>
  </r>
  <r>
    <x v="143"/>
    <s v="2024-10-01 00:50:01"/>
    <x v="2"/>
    <s v="2024-10-13 10:20:01"/>
    <n v="273.5"/>
    <n v="11.4"/>
    <s v="Other"/>
    <s v="Training Request"/>
    <x v="2"/>
    <n v="360"/>
    <x v="1"/>
    <s v="Phone"/>
    <s v="Tier 1"/>
    <s v="TECH-6"/>
    <s v="Mid-level"/>
    <x v="1"/>
    <s v="No"/>
    <n v="0"/>
    <s v="Yes"/>
    <n v="8"/>
    <n v="0.1"/>
    <n v="23"/>
    <s v="No"/>
    <s v="Good"/>
    <s v="No"/>
    <s v="Executive"/>
    <s v="Tuesday"/>
    <s v="Morning"/>
  </r>
  <r>
    <x v="144"/>
    <s v="2024-12-04 15:29:50"/>
    <x v="0"/>
    <s v="2024-12-21 08:29:50"/>
    <n v="401"/>
    <n v="16.7"/>
    <s v="Password Reset"/>
    <s v="Email Password"/>
    <x v="2"/>
    <n v="360"/>
    <x v="0"/>
    <s v="Email"/>
    <s v="Tier 1"/>
    <s v="TECH-16"/>
    <s v="Mid-level"/>
    <x v="1"/>
    <s v="No"/>
    <n v="0"/>
    <s v="Yes"/>
    <n v="7"/>
    <n v="0.9"/>
    <n v="9.4"/>
    <s v="Yes"/>
    <s v="Poor"/>
    <s v="Yes"/>
    <s v="Operations"/>
    <s v="Tuesday"/>
    <s v="Afternoon"/>
  </r>
  <r>
    <x v="145"/>
    <s v="2024-02-27 06:25:26"/>
    <x v="6"/>
    <s v="2024-03-09 18:25:26"/>
    <n v="276"/>
    <n v="11.5"/>
    <s v="Password Reset"/>
    <s v="Email Password"/>
    <x v="2"/>
    <n v="360"/>
    <x v="1"/>
    <s v="Phone"/>
    <s v="Tier 1"/>
    <s v="TECH-13"/>
    <s v="Senior"/>
    <x v="1"/>
    <s v="No"/>
    <n v="0"/>
    <s v="Yes"/>
    <n v="10"/>
    <n v="1.5"/>
    <n v="28.8"/>
    <s v="Yes"/>
    <s v="Poor"/>
    <s v="Yes"/>
    <s v="IT"/>
    <s v="Tuesday"/>
    <s v="Evening"/>
  </r>
  <r>
    <x v="146"/>
    <s v="2024-08-04 07:41:32"/>
    <x v="1"/>
    <s v="2024-08-11 16:53:32"/>
    <n v="177.2"/>
    <n v="7.4"/>
    <s v="Network Connectivity"/>
    <s v="Slow Network"/>
    <x v="1"/>
    <n v="120"/>
    <x v="0"/>
    <s v="Email"/>
    <s v="Tier 2"/>
    <s v="TECH-13"/>
    <s v="Mid-level"/>
    <x v="0"/>
    <s v="Yes"/>
    <n v="4"/>
    <s v="Yes"/>
    <n v="5"/>
    <n v="3.8"/>
    <n v="24.5"/>
    <s v="Yes"/>
    <s v="Poor"/>
    <s v="No"/>
    <s v="Finance"/>
    <s v="Thursday"/>
    <s v="Morning"/>
  </r>
  <r>
    <x v="147"/>
    <s v="2024-04-12 11:46:32"/>
    <x v="11"/>
    <s v="2024-04-20 01:46:32"/>
    <n v="206"/>
    <n v="8.6"/>
    <s v="Software Installation"/>
    <s v="VPN Client"/>
    <x v="0"/>
    <n v="240"/>
    <x v="1"/>
    <s v="Email"/>
    <s v="Tier 1"/>
    <s v="TECH-15"/>
    <s v="Mid-level"/>
    <x v="1"/>
    <s v="No"/>
    <n v="0"/>
    <s v="No"/>
    <n v="10"/>
    <n v="0.5"/>
    <n v="17.399999999999999"/>
    <s v="Yes"/>
    <s v="Good"/>
    <s v="No"/>
    <s v="Operations"/>
    <s v="Thursday"/>
    <s v="Morning"/>
  </r>
  <r>
    <x v="148"/>
    <s v="2024-06-28 07:17:18"/>
    <x v="10"/>
    <s v="2024-08-03 03:41:18"/>
    <n v="860.4"/>
    <n v="35.9"/>
    <s v="Email/Calendar"/>
    <s v="Cannot Send/Receive"/>
    <x v="2"/>
    <n v="360"/>
    <x v="0"/>
    <s v="Phone"/>
    <s v="Tier 1"/>
    <s v="TECH-14"/>
    <s v="Junior"/>
    <x v="0"/>
    <s v="No"/>
    <n v="1"/>
    <s v="No"/>
    <n v="5"/>
    <n v="2.4"/>
    <n v="0"/>
    <s v="Yes"/>
    <s v="Poor"/>
    <s v="Yes"/>
    <s v="Executive"/>
    <s v="Monday"/>
    <s v="Morning"/>
  </r>
  <r>
    <x v="149"/>
    <s v="2024-08-22 16:42:38"/>
    <x v="1"/>
    <s v="2024-08-30 00:42:38"/>
    <n v="200"/>
    <n v="8.3000000000000007"/>
    <s v="Software Installation"/>
    <s v="MS Office"/>
    <x v="0"/>
    <n v="240"/>
    <x v="1"/>
    <s v="Portal"/>
    <s v="Tier 1"/>
    <s v="TECH-6"/>
    <s v="Junior"/>
    <x v="1"/>
    <s v="No"/>
    <n v="0"/>
    <s v="Yes"/>
    <n v="10"/>
    <n v="4.8"/>
    <n v="7"/>
    <s v="Yes"/>
    <s v="Fair"/>
    <s v="Yes"/>
    <s v="IT"/>
    <s v="Wednesday"/>
    <s v="Morning"/>
  </r>
  <r>
    <x v="150"/>
    <s v="2024-02-26 00:12:16"/>
    <x v="6"/>
    <s v="2024-03-28 18:48:16"/>
    <n v="738.6"/>
    <n v="30.8"/>
    <s v="Hardware Issues"/>
    <s v="Laptop"/>
    <x v="2"/>
    <n v="360"/>
    <x v="0"/>
    <s v="Phone"/>
    <s v="Tier 1"/>
    <s v="TECH-8"/>
    <s v="Junior"/>
    <x v="0"/>
    <s v="No"/>
    <n v="1"/>
    <s v="No"/>
    <n v="7"/>
    <n v="4.7"/>
    <n v="30.4"/>
    <s v="Yes"/>
    <s v="Fair"/>
    <s v="Yes"/>
    <s v="Executive"/>
    <s v="Wednesday"/>
    <s v="Afternoon"/>
  </r>
  <r>
    <x v="151"/>
    <s v="2024-02-19 21:06:24"/>
    <x v="6"/>
    <s v="2024-03-06 17:36:24"/>
    <n v="380.5"/>
    <n v="15.9"/>
    <s v="Software Installation"/>
    <s v="MS Office"/>
    <x v="2"/>
    <n v="360"/>
    <x v="0"/>
    <s v="Phone"/>
    <s v="Tier 2"/>
    <s v="TECH-19"/>
    <s v="Junior"/>
    <x v="0"/>
    <s v="Yes"/>
    <n v="1"/>
    <s v="No"/>
    <n v="8"/>
    <n v="2.8"/>
    <n v="9.3000000000000007"/>
    <s v="Yes"/>
    <s v="Fair"/>
    <s v="No"/>
    <s v="Legal"/>
    <s v="Wednesday"/>
    <s v="Afternoon"/>
  </r>
  <r>
    <x v="152"/>
    <s v="2024-07-12 19:50:36"/>
    <x v="4"/>
    <s v="2024-07-26 20:38:36"/>
    <n v="336.8"/>
    <n v="14"/>
    <s v="Email/Calendar"/>
    <s v="Calendar Sync"/>
    <x v="0"/>
    <n v="240"/>
    <x v="0"/>
    <s v="Email"/>
    <s v="Tier 1"/>
    <s v="TECH-16"/>
    <s v="Mid-level"/>
    <x v="1"/>
    <s v="No"/>
    <n v="0"/>
    <s v="No"/>
    <n v="7"/>
    <n v="1.5"/>
    <n v="21.5"/>
    <s v="Yes"/>
    <s v="Excellent"/>
    <s v="Yes"/>
    <s v="IT"/>
    <s v="Thursday"/>
    <s v="Afternoon"/>
  </r>
  <r>
    <x v="153"/>
    <s v="2024-12-01 12:16:35"/>
    <x v="0"/>
    <s v="2024-12-31 22:58:35"/>
    <n v="730.7"/>
    <n v="30.4"/>
    <s v="Software Installation"/>
    <s v="Drivers"/>
    <x v="2"/>
    <n v="360"/>
    <x v="0"/>
    <s v="Phone"/>
    <s v="Tier 1"/>
    <s v="TECH-3"/>
    <s v="Senior"/>
    <x v="0"/>
    <s v="No"/>
    <n v="1"/>
    <s v="No"/>
    <n v="7"/>
    <n v="5.5"/>
    <n v="7.9"/>
    <s v="Yes"/>
    <s v="Fair"/>
    <s v="Yes"/>
    <s v="Executive"/>
    <s v="Friday"/>
    <s v="Afternoon"/>
  </r>
  <r>
    <x v="154"/>
    <s v="2024-07-27 14:18:29"/>
    <x v="4"/>
    <s v="2024-07-30 16:24:29"/>
    <n v="74.099999999999994"/>
    <n v="3.1"/>
    <s v="Network Connectivity"/>
    <s v="VPN Connection"/>
    <x v="1"/>
    <n v="120"/>
    <x v="1"/>
    <s v="Portal"/>
    <s v="Tier 1"/>
    <s v="TECH-3"/>
    <s v="Junior"/>
    <x v="1"/>
    <s v="No"/>
    <n v="0"/>
    <s v="No"/>
    <n v="7"/>
    <n v="4.0999999999999996"/>
    <n v="19.8"/>
    <s v="No"/>
    <s v="Fair"/>
    <s v="Yes"/>
    <s v="Sales"/>
    <s v="Wednesday"/>
    <s v="Morning"/>
  </r>
  <r>
    <x v="155"/>
    <s v="2024-06-04 20:35:48"/>
    <x v="10"/>
    <s v="2024-06-17 12:23:48"/>
    <n v="303.8"/>
    <n v="12.7"/>
    <s v="Password Reset"/>
    <s v="Email Password"/>
    <x v="2"/>
    <n v="360"/>
    <x v="1"/>
    <s v="Portal"/>
    <s v="Tier 1"/>
    <s v="TECH-11"/>
    <s v="Mid-level"/>
    <x v="1"/>
    <s v="No"/>
    <n v="0"/>
    <s v="No"/>
    <n v="8"/>
    <n v="0.6"/>
    <n v="12.7"/>
    <s v="Yes"/>
    <s v="Fair"/>
    <s v="Yes"/>
    <s v="Executive"/>
    <s v="Wednesday"/>
    <s v="Morning"/>
  </r>
  <r>
    <x v="156"/>
    <s v="2024-06-25 17:51:03"/>
    <x v="10"/>
    <s v="2024-07-16 00:21:03"/>
    <n v="510.5"/>
    <n v="21.3"/>
    <s v="Password Reset"/>
    <s v="Application Password"/>
    <x v="2"/>
    <n v="360"/>
    <x v="0"/>
    <s v="Chat"/>
    <s v="Tier 1"/>
    <s v="TECH-10"/>
    <s v="Mid-level"/>
    <x v="1"/>
    <s v="No"/>
    <n v="0"/>
    <s v="No"/>
    <n v="6"/>
    <n v="2.4"/>
    <n v="29.2"/>
    <s v="No"/>
    <s v="Fair"/>
    <s v="No"/>
    <s v="Sales"/>
    <s v="Wednesday"/>
    <s v="Afternoon"/>
  </r>
  <r>
    <x v="157"/>
    <s v="2024-09-06 00:48:56"/>
    <x v="9"/>
    <s v="2024-09-17 02:24:56"/>
    <n v="265.60000000000002"/>
    <n v="11.1"/>
    <s v="Email/Calendar"/>
    <s v="Distribution List"/>
    <x v="1"/>
    <n v="120"/>
    <x v="0"/>
    <s v="Email"/>
    <s v="Tier 1"/>
    <s v="TECH-17"/>
    <s v="Senior"/>
    <x v="0"/>
    <s v="No"/>
    <n v="1"/>
    <s v="No"/>
    <n v="7"/>
    <n v="2.6"/>
    <n v="3.8"/>
    <s v="Yes"/>
    <s v="Poor"/>
    <s v="Yes"/>
    <s v="Operations"/>
    <s v="Tuesday"/>
    <s v="Morning"/>
  </r>
  <r>
    <x v="158"/>
    <s v="2024-06-15 13:45:21"/>
    <x v="10"/>
    <s v="2024-06-23 21:33:21"/>
    <n v="199.8"/>
    <n v="8.3000000000000007"/>
    <s v="Password Reset"/>
    <s v="Account Unlock"/>
    <x v="0"/>
    <n v="240"/>
    <x v="1"/>
    <s v="Phone"/>
    <s v="Tier 1"/>
    <s v="TECH-13"/>
    <s v="Junior"/>
    <x v="1"/>
    <s v="No"/>
    <n v="0"/>
    <s v="No"/>
    <n v="10"/>
    <n v="2.8"/>
    <n v="23.4"/>
    <s v="Yes"/>
    <s v="Good"/>
    <s v="No"/>
    <s v="Marketing"/>
    <s v="Tuesday"/>
    <s v="Morning"/>
  </r>
  <r>
    <x v="159"/>
    <s v="2024-10-23 07:48:42"/>
    <x v="2"/>
    <s v="2024-11-05 07:42:42"/>
    <n v="312.89999999999998"/>
    <n v="13"/>
    <s v="Password Reset"/>
    <s v="Account Unlock"/>
    <x v="2"/>
    <n v="360"/>
    <x v="1"/>
    <s v="Phone"/>
    <s v="Tier 1"/>
    <s v="TECH-2"/>
    <s v="Senior"/>
    <x v="0"/>
    <s v="No"/>
    <n v="1"/>
    <s v="No"/>
    <n v="8"/>
    <n v="0.1"/>
    <n v="26.4"/>
    <s v="Yes"/>
    <s v="Fair"/>
    <s v="Yes"/>
    <s v="Executive"/>
    <s v="Thursday"/>
    <s v="Afternoon"/>
  </r>
  <r>
    <x v="160"/>
    <s v="2024-02-12 10:16:12"/>
    <x v="6"/>
    <s v="2024-02-19 22:40:12"/>
    <n v="180.4"/>
    <n v="7.5"/>
    <s v="Software Installation"/>
    <s v="VPN Client"/>
    <x v="0"/>
    <n v="240"/>
    <x v="1"/>
    <s v="Walk-in"/>
    <s v="Tier 1"/>
    <s v="TECH-15"/>
    <s v="Senior"/>
    <x v="1"/>
    <s v="No"/>
    <n v="0"/>
    <s v="No"/>
    <n v="9"/>
    <n v="5"/>
    <n v="22.5"/>
    <s v="Yes"/>
    <s v="Fair"/>
    <s v="Yes"/>
    <s v="Finance"/>
    <s v="Wednesday"/>
    <s v="Afternoon"/>
  </r>
  <r>
    <x v="161"/>
    <s v="2024-06-18 00:00:34"/>
    <x v="10"/>
    <s v="2024-06-29 23:00:34"/>
    <n v="263"/>
    <n v="11"/>
    <s v="Other"/>
    <s v="Training Request"/>
    <x v="2"/>
    <n v="360"/>
    <x v="1"/>
    <s v="Phone"/>
    <s v="Tier 2"/>
    <s v="TECH-11"/>
    <s v="Mid-level"/>
    <x v="0"/>
    <s v="Yes"/>
    <n v="3"/>
    <s v="Yes"/>
    <n v="7"/>
    <n v="1.6"/>
    <n v="23"/>
    <s v="Yes"/>
    <s v="Good"/>
    <s v="No"/>
    <s v="Executive"/>
    <s v="Wednesday"/>
    <s v="Morning"/>
  </r>
  <r>
    <x v="162"/>
    <s v="2024-06-17 09:02:09"/>
    <x v="10"/>
    <s v="2024-06-19 06:26:09"/>
    <n v="45.4"/>
    <n v="1.9"/>
    <s v="Other"/>
    <s v="Documentation"/>
    <x v="3"/>
    <n v="48"/>
    <x v="1"/>
    <s v="Email"/>
    <s v="Tier 1"/>
    <s v="TECH-5"/>
    <s v="Mid-level"/>
    <x v="0"/>
    <s v="No"/>
    <n v="1"/>
    <s v="No"/>
    <n v="8"/>
    <n v="5.2"/>
    <n v="24.6"/>
    <s v="Yes"/>
    <s v="Fair"/>
    <s v="Yes"/>
    <s v="Finance"/>
    <s v="Wednesday"/>
    <s v="Evening"/>
  </r>
  <r>
    <x v="163"/>
    <s v="2024-08-25 09:11:20"/>
    <x v="1"/>
    <s v="2024-09-03 05:59:20"/>
    <n v="212.8"/>
    <n v="8.9"/>
    <s v="Software Installation"/>
    <s v="Business Apps"/>
    <x v="0"/>
    <n v="240"/>
    <x v="1"/>
    <s v="Email"/>
    <s v="Tier 2"/>
    <s v="TECH-19"/>
    <s v="Mid-level"/>
    <x v="0"/>
    <s v="Yes"/>
    <n v="1"/>
    <s v="No"/>
    <n v="8"/>
    <n v="3.3"/>
    <n v="36.200000000000003"/>
    <s v="No"/>
    <s v="Fair"/>
    <s v="Yes"/>
    <s v="IT"/>
    <s v="Monday"/>
    <s v="Morning"/>
  </r>
  <r>
    <x v="164"/>
    <s v="2024-04-22 00:44:43"/>
    <x v="11"/>
    <s v="2024-05-06 16:14:43"/>
    <n v="327.5"/>
    <n v="13.6"/>
    <s v="Software Installation"/>
    <s v="MS Office"/>
    <x v="0"/>
    <n v="240"/>
    <x v="0"/>
    <s v="Portal"/>
    <s v="Tier 1"/>
    <s v="TECH-10"/>
    <s v="Senior"/>
    <x v="0"/>
    <s v="No"/>
    <n v="1"/>
    <s v="Yes"/>
    <n v="6"/>
    <n v="3.1"/>
    <n v="36.299999999999997"/>
    <s v="Yes"/>
    <s v="Fair"/>
    <s v="Yes"/>
    <s v="HR"/>
    <s v="Monday"/>
    <s v="Afternoon"/>
  </r>
  <r>
    <x v="165"/>
    <s v="2024-06-21 02:57:53"/>
    <x v="10"/>
    <s v="2024-07-18 04:45:53"/>
    <n v="625.79999999999995"/>
    <n v="26.1"/>
    <s v="Password Reset"/>
    <s v="Email Password"/>
    <x v="2"/>
    <n v="360"/>
    <x v="0"/>
    <s v="Email"/>
    <s v="Tier 1"/>
    <s v="TECH-16"/>
    <s v="Senior"/>
    <x v="1"/>
    <s v="No"/>
    <n v="0"/>
    <s v="No"/>
    <n v="10"/>
    <n v="3.9"/>
    <n v="14.5"/>
    <s v="Yes"/>
    <s v="Good"/>
    <s v="Yes"/>
    <s v="Executive"/>
    <s v="Friday"/>
    <s v="Afternoon"/>
  </r>
  <r>
    <x v="166"/>
    <s v="2024-04-03 11:21:09"/>
    <x v="11"/>
    <s v="2024-04-16 18:15:09"/>
    <n v="318.89999999999998"/>
    <n v="13.3"/>
    <s v="Software Installation"/>
    <s v="Business Apps"/>
    <x v="2"/>
    <n v="360"/>
    <x v="1"/>
    <s v="Email"/>
    <s v="Tier 1"/>
    <s v="TECH-8"/>
    <s v="Mid-level"/>
    <x v="1"/>
    <s v="No"/>
    <n v="0"/>
    <s v="No"/>
    <n v="9"/>
    <n v="3.1"/>
    <n v="14.9"/>
    <s v="Yes"/>
    <s v="Good"/>
    <s v="No"/>
    <s v="Operations"/>
    <s v="Friday"/>
    <s v="Afternoon"/>
  </r>
  <r>
    <x v="167"/>
    <s v="2024-07-29 03:02:29"/>
    <x v="4"/>
    <s v="2024-08-11 13:20:29"/>
    <n v="322.3"/>
    <n v="13.4"/>
    <s v="Software Installation"/>
    <s v="Drivers"/>
    <x v="2"/>
    <n v="360"/>
    <x v="1"/>
    <s v="Portal"/>
    <s v="Tier 1"/>
    <s v="TECH-10"/>
    <s v="Mid-level"/>
    <x v="1"/>
    <s v="No"/>
    <n v="0"/>
    <s v="No"/>
    <n v="10"/>
    <n v="3"/>
    <n v="7.8"/>
    <s v="Yes"/>
    <s v="Poor"/>
    <s v="No"/>
    <s v="Finance"/>
    <s v="Thursday"/>
    <s v="Morning"/>
  </r>
  <r>
    <x v="168"/>
    <s v="2024-03-15 01:03:41"/>
    <x v="5"/>
    <s v="2024-03-21 05:15:41"/>
    <n v="124.2"/>
    <n v="5.2"/>
    <s v="Hardware Issues"/>
    <s v="Laptop"/>
    <x v="1"/>
    <n v="120"/>
    <x v="0"/>
    <s v="Email"/>
    <s v="Tier 1"/>
    <s v="TECH-18"/>
    <s v="Senior"/>
    <x v="0"/>
    <s v="No"/>
    <n v="1"/>
    <s v="No"/>
    <n v="7"/>
    <n v="4.5"/>
    <n v="19.399999999999999"/>
    <s v="Yes"/>
    <s v="Fair"/>
    <s v="Yes"/>
    <s v="IT"/>
    <s v="Wednesday"/>
    <s v="Morning"/>
  </r>
  <r>
    <x v="169"/>
    <s v="2024-03-02 16:17:13"/>
    <x v="5"/>
    <s v="2024-03-10 21:53:13"/>
    <n v="197.6"/>
    <n v="8.1999999999999993"/>
    <s v="Software Installation"/>
    <s v="MS Office"/>
    <x v="0"/>
    <n v="240"/>
    <x v="1"/>
    <s v="Phone"/>
    <s v="Tier 1"/>
    <s v="TECH-24"/>
    <s v="Junior"/>
    <x v="0"/>
    <s v="No"/>
    <n v="1"/>
    <s v="Yes"/>
    <n v="8"/>
    <n v="0.1"/>
    <n v="22"/>
    <s v="Yes"/>
    <s v="Fair"/>
    <s v="Yes"/>
    <s v="IT"/>
    <s v="Monday"/>
    <s v="Morning"/>
  </r>
  <r>
    <x v="170"/>
    <s v="2024-03-25 13:01:47"/>
    <x v="5"/>
    <s v="2024-04-01 11:25:47"/>
    <n v="165.4"/>
    <n v="6.9"/>
    <s v="Password Reset"/>
    <s v="Windows Password"/>
    <x v="1"/>
    <n v="120"/>
    <x v="0"/>
    <s v="Phone"/>
    <s v="Tier 1"/>
    <s v="TECH-18"/>
    <s v="Senior"/>
    <x v="1"/>
    <s v="No"/>
    <n v="0"/>
    <s v="No"/>
    <n v="8"/>
    <n v="1.4"/>
    <n v="21.2"/>
    <s v="Yes"/>
    <s v="Excellent"/>
    <s v="No"/>
    <s v="Sales"/>
    <s v="Friday"/>
    <s v="Morning"/>
  </r>
  <r>
    <x v="171"/>
    <s v="2024-08-08 14:16:55"/>
    <x v="1"/>
    <s v="2024-08-17 18:10:55"/>
    <n v="219.9"/>
    <n v="9.1999999999999993"/>
    <s v="Other"/>
    <s v="Training Request"/>
    <x v="0"/>
    <n v="240"/>
    <x v="1"/>
    <s v="Walk-in"/>
    <s v="Tier 1"/>
    <s v="TECH-6"/>
    <s v="Senior"/>
    <x v="0"/>
    <s v="No"/>
    <n v="1"/>
    <s v="No"/>
    <n v="8"/>
    <n v="1.4"/>
    <n v="36.4"/>
    <s v="Yes"/>
    <s v="Fair"/>
    <s v="Yes"/>
    <s v="Marketing"/>
    <s v="Monday"/>
    <s v="Morning"/>
  </r>
  <r>
    <x v="172"/>
    <s v="2024-05-24 01:17:48"/>
    <x v="8"/>
    <s v="2024-06-02 14:11:48"/>
    <n v="204.9"/>
    <n v="8.5"/>
    <s v="Software Installation"/>
    <s v="Drivers"/>
    <x v="0"/>
    <n v="240"/>
    <x v="1"/>
    <s v="Portal"/>
    <s v="Tier 1"/>
    <s v="TECH-21"/>
    <s v="Mid-level"/>
    <x v="0"/>
    <s v="No"/>
    <n v="1"/>
    <s v="No"/>
    <n v="7"/>
    <n v="3"/>
    <n v="24.8"/>
    <s v="No"/>
    <s v="Good"/>
    <s v="Yes"/>
    <s v="Legal"/>
    <s v="Thursday"/>
    <s v="Evening"/>
  </r>
  <r>
    <x v="173"/>
    <s v="2024-03-16 19:12:11"/>
    <x v="5"/>
    <s v="2024-03-24 06:30:11"/>
    <n v="179.3"/>
    <n v="7.5"/>
    <s v="Hardware Issues"/>
    <s v="Keyboard/Mouse"/>
    <x v="0"/>
    <n v="240"/>
    <x v="1"/>
    <s v="Phone"/>
    <s v="Tier 1"/>
    <s v="TECH-4"/>
    <s v="Senior"/>
    <x v="0"/>
    <s v="No"/>
    <n v="1"/>
    <s v="No"/>
    <n v="5"/>
    <n v="3.1"/>
    <n v="27.9"/>
    <s v="Yes"/>
    <s v="Good"/>
    <s v="Yes"/>
    <s v="IT"/>
    <s v="Wednesday"/>
    <s v="Evening"/>
  </r>
  <r>
    <x v="174"/>
    <s v="2024-04-10 11:50:28"/>
    <x v="11"/>
    <s v="2024-04-11 23:32:28"/>
    <n v="35.700000000000003"/>
    <n v="1.5"/>
    <s v="Access Requests"/>
    <s v="VPN Access"/>
    <x v="3"/>
    <n v="48"/>
    <x v="1"/>
    <s v="Phone"/>
    <s v="Tier 1"/>
    <s v="TECH-12"/>
    <s v="Junior"/>
    <x v="1"/>
    <s v="No"/>
    <n v="0"/>
    <s v="No"/>
    <n v="10"/>
    <n v="2.7"/>
    <n v="40.299999999999997"/>
    <s v="Yes"/>
    <s v="Fair"/>
    <s v="No"/>
    <s v="Sales"/>
    <s v="Wednesday"/>
    <s v="Morning"/>
  </r>
  <r>
    <x v="175"/>
    <s v="2024-02-26 01:52:37"/>
    <x v="6"/>
    <s v="2024-03-05 10:10:37"/>
    <n v="176.3"/>
    <n v="7.3"/>
    <s v="Other"/>
    <s v="Miscellaneous"/>
    <x v="0"/>
    <n v="240"/>
    <x v="1"/>
    <s v="Walk-in"/>
    <s v="Tier 1"/>
    <s v="TECH-10"/>
    <s v="Mid-level"/>
    <x v="0"/>
    <s v="No"/>
    <n v="1"/>
    <s v="No"/>
    <n v="8"/>
    <n v="1.1000000000000001"/>
    <n v="47.4"/>
    <s v="Yes"/>
    <s v="Fair"/>
    <s v="Yes"/>
    <s v="Sales"/>
    <s v="Wednesday"/>
    <s v="Afternoon"/>
  </r>
  <r>
    <x v="176"/>
    <s v="2024-10-30 14:16:27"/>
    <x v="2"/>
    <s v="2024-11-12 06:34:27"/>
    <n v="304.3"/>
    <n v="12.7"/>
    <s v="Software Installation"/>
    <s v="MS Office"/>
    <x v="0"/>
    <n v="240"/>
    <x v="0"/>
    <s v="Portal"/>
    <s v="Tier 1"/>
    <s v="TECH-1"/>
    <s v="Mid-level"/>
    <x v="0"/>
    <s v="No"/>
    <n v="1"/>
    <s v="No"/>
    <n v="6"/>
    <n v="0.7"/>
    <n v="9.1"/>
    <s v="Yes"/>
    <s v="Good"/>
    <s v="No"/>
    <s v="Legal"/>
    <s v="Monday"/>
    <s v="Afternoon"/>
  </r>
  <r>
    <x v="177"/>
    <s v="2024-03-11 23:18:06"/>
    <x v="5"/>
    <s v="2024-03-22 15:24:06"/>
    <n v="256.10000000000002"/>
    <n v="10.7"/>
    <s v="Access Requests"/>
    <s v="Admin Rights"/>
    <x v="2"/>
    <n v="360"/>
    <x v="1"/>
    <s v="Phone"/>
    <s v="Tier 2"/>
    <s v="TECH-13"/>
    <s v="Junior"/>
    <x v="0"/>
    <s v="Yes"/>
    <n v="2"/>
    <s v="No"/>
    <n v="6"/>
    <n v="4.4000000000000004"/>
    <n v="24.7"/>
    <s v="No"/>
    <s v="Fair"/>
    <s v="No"/>
    <s v="Legal"/>
    <s v="Wednesday"/>
    <s v="Afternoon"/>
  </r>
  <r>
    <x v="178"/>
    <s v="2024-04-02 22:55:58"/>
    <x v="11"/>
    <s v="2024-04-17 04:43:58"/>
    <n v="341.8"/>
    <n v="14.2"/>
    <s v="Password Reset"/>
    <s v="Application Password"/>
    <x v="2"/>
    <n v="360"/>
    <x v="1"/>
    <s v="Phone"/>
    <s v="Tier 1"/>
    <s v="TECH-20"/>
    <s v="Mid-level"/>
    <x v="1"/>
    <s v="No"/>
    <n v="0"/>
    <s v="Yes"/>
    <n v="10"/>
    <n v="3.1"/>
    <n v="0"/>
    <s v="Yes"/>
    <s v="Good"/>
    <s v="Yes"/>
    <s v="Sales"/>
    <s v="Thursday"/>
    <s v="Afternoon"/>
  </r>
  <r>
    <x v="179"/>
    <s v="2024-12-05 20:29:03"/>
    <x v="0"/>
    <s v="2024-12-09 23:53:03"/>
    <n v="99.4"/>
    <n v="4.0999999999999996"/>
    <s v="Hardware Issues"/>
    <s v="Desktop"/>
    <x v="1"/>
    <n v="120"/>
    <x v="1"/>
    <s v="Email"/>
    <s v="Tier 2"/>
    <s v="TECH-6"/>
    <s v="Mid-level"/>
    <x v="0"/>
    <s v="Yes"/>
    <n v="1"/>
    <s v="No"/>
    <n v="10"/>
    <n v="0.4"/>
    <n v="0"/>
    <s v="Yes"/>
    <s v="Poor"/>
    <s v="No"/>
    <s v="HR"/>
    <s v="Thursday"/>
    <s v="Evening"/>
  </r>
  <r>
    <x v="180"/>
    <s v="2024-10-15 11:50:30"/>
    <x v="2"/>
    <s v="2024-10-18 21:44:30"/>
    <n v="81.900000000000006"/>
    <n v="3.4"/>
    <s v="Application Errors"/>
    <s v="Login Issues"/>
    <x v="1"/>
    <n v="120"/>
    <x v="1"/>
    <s v="Phone"/>
    <s v="Tier 2"/>
    <s v="TECH-16"/>
    <s v="Junior"/>
    <x v="0"/>
    <s v="Yes"/>
    <n v="2"/>
    <s v="No"/>
    <n v="7"/>
    <n v="1.3"/>
    <n v="32.299999999999997"/>
    <s v="No"/>
    <s v="Poor"/>
    <s v="Yes"/>
    <s v="Marketing"/>
    <s v="Thursday"/>
    <s v="Morning"/>
  </r>
  <r>
    <x v="181"/>
    <s v="2024-01-23 05:28:02"/>
    <x v="3"/>
    <s v="2024-01-27 22:46:02"/>
    <n v="113.3"/>
    <n v="4.7"/>
    <s v="Access Requests"/>
    <s v="Application Access"/>
    <x v="1"/>
    <n v="120"/>
    <x v="1"/>
    <s v="Phone"/>
    <s v="Tier 1"/>
    <s v="TECH-3"/>
    <s v="Mid-level"/>
    <x v="0"/>
    <s v="No"/>
    <n v="1"/>
    <s v="Yes"/>
    <n v="8"/>
    <n v="7.4"/>
    <n v="15.3"/>
    <s v="Yes"/>
    <s v="Fair"/>
    <s v="No"/>
    <s v="HR"/>
    <s v="Friday"/>
    <s v="Morning"/>
  </r>
  <r>
    <x v="182"/>
    <s v="2024-04-22 15:32:20"/>
    <x v="11"/>
    <s v="2024-04-23 00:26:20"/>
    <n v="32.9"/>
    <n v="1.4"/>
    <s v="Application Errors"/>
    <s v="Features Not Working"/>
    <x v="3"/>
    <n v="48"/>
    <x v="1"/>
    <s v="Email"/>
    <s v="Tier 1"/>
    <s v="TECH-17"/>
    <s v="Senior"/>
    <x v="0"/>
    <s v="No"/>
    <n v="1"/>
    <s v="No"/>
    <n v="9"/>
    <n v="2"/>
    <n v="16.100000000000001"/>
    <s v="No"/>
    <s v="Poor"/>
    <s v="No"/>
    <s v="Operations"/>
    <s v="Tuesday"/>
    <s v="Afternoon"/>
  </r>
  <r>
    <x v="183"/>
    <s v="2024-08-10 20:04:21"/>
    <x v="1"/>
    <s v="2024-08-12 03:10:21"/>
    <n v="31.1"/>
    <n v="1.3"/>
    <s v="Hardware Issues"/>
    <s v="Desktop"/>
    <x v="3"/>
    <n v="48"/>
    <x v="1"/>
    <s v="Email"/>
    <s v="Tier 1"/>
    <s v="TECH-11"/>
    <s v="Junior"/>
    <x v="0"/>
    <s v="No"/>
    <n v="1"/>
    <s v="No"/>
    <n v="8"/>
    <n v="0.5"/>
    <n v="29.2"/>
    <s v="Yes"/>
    <s v="Fair"/>
    <s v="Yes"/>
    <s v="Executive"/>
    <s v="Thursday"/>
    <s v="Afternoon"/>
  </r>
  <r>
    <x v="184"/>
    <s v="2024-06-07 14:25:25"/>
    <x v="10"/>
    <s v="2024-06-21 09:19:25"/>
    <n v="330.9"/>
    <n v="13.8"/>
    <s v="Other"/>
    <s v="General Inquiry"/>
    <x v="2"/>
    <n v="360"/>
    <x v="1"/>
    <s v="Email"/>
    <s v="Tier 2"/>
    <s v="TECH-2"/>
    <s v="Senior"/>
    <x v="0"/>
    <s v="Yes"/>
    <n v="3"/>
    <s v="No"/>
    <n v="10"/>
    <n v="1.5"/>
    <n v="19.399999999999999"/>
    <s v="Yes"/>
    <s v="Good"/>
    <s v="Yes"/>
    <s v="Executive"/>
    <s v="Monday"/>
    <s v="Evening"/>
  </r>
  <r>
    <x v="185"/>
    <s v="2024-09-04 11:23:07"/>
    <x v="9"/>
    <s v="2024-09-12 13:53:07"/>
    <n v="194.5"/>
    <n v="8.1"/>
    <s v="Access Requests"/>
    <s v="Application Access"/>
    <x v="0"/>
    <n v="240"/>
    <x v="1"/>
    <s v="Walk-in"/>
    <s v="Tier 1"/>
    <s v="TECH-9"/>
    <s v="Senior"/>
    <x v="0"/>
    <s v="No"/>
    <n v="1"/>
    <s v="No"/>
    <n v="9"/>
    <n v="4.9000000000000004"/>
    <n v="31"/>
    <s v="No"/>
    <s v="Fair"/>
    <s v="Yes"/>
    <s v="Finance"/>
    <s v="Tuesday"/>
    <s v="Afternoon"/>
  </r>
  <r>
    <x v="186"/>
    <s v="2024-01-08 04:21:46"/>
    <x v="3"/>
    <s v="2024-01-11 17:57:46"/>
    <n v="85.6"/>
    <n v="3.6"/>
    <s v="Network Connectivity"/>
    <s v="WiFi Issues"/>
    <x v="1"/>
    <n v="120"/>
    <x v="1"/>
    <s v="Chat"/>
    <s v="Tier 1"/>
    <s v="TECH-24"/>
    <s v="Mid-level"/>
    <x v="1"/>
    <s v="No"/>
    <n v="0"/>
    <s v="No"/>
    <n v="9"/>
    <n v="1.7"/>
    <n v="32"/>
    <s v="Yes"/>
    <s v="Good"/>
    <s v="No"/>
    <s v="Executive"/>
    <s v="Tuesday"/>
    <s v="Morning"/>
  </r>
  <r>
    <x v="187"/>
    <s v="2024-05-13 13:34:22"/>
    <x v="8"/>
    <s v="2024-05-23 17:58:22"/>
    <n v="244.4"/>
    <n v="10.199999999999999"/>
    <s v="Email/Calendar"/>
    <s v="Distribution List"/>
    <x v="0"/>
    <n v="240"/>
    <x v="0"/>
    <s v="Phone"/>
    <s v="Tier 1"/>
    <s v="TECH-8"/>
    <s v="Mid-level"/>
    <x v="0"/>
    <s v="No"/>
    <n v="1"/>
    <s v="No"/>
    <n v="3"/>
    <n v="4.0999999999999996"/>
    <n v="36.1"/>
    <s v="Yes"/>
    <s v="Fair"/>
    <s v="No"/>
    <s v="IT"/>
    <s v="Thursday"/>
    <s v="Afternoon"/>
  </r>
  <r>
    <x v="188"/>
    <s v="2024-11-13 16:05:00"/>
    <x v="7"/>
    <s v="2024-11-22 02:17:00"/>
    <n v="202.2"/>
    <n v="8.4"/>
    <s v="Access Requests"/>
    <s v="Admin Rights"/>
    <x v="0"/>
    <n v="240"/>
    <x v="1"/>
    <s v="Email"/>
    <s v="Tier 1"/>
    <s v="TECH-4"/>
    <s v="Mid-level"/>
    <x v="1"/>
    <s v="No"/>
    <n v="0"/>
    <s v="Yes"/>
    <n v="10"/>
    <n v="0.6"/>
    <n v="17.8"/>
    <s v="No"/>
    <s v="Fair"/>
    <s v="No"/>
    <s v="Executive"/>
    <s v="Tuesday"/>
    <s v="Afternoon"/>
  </r>
  <r>
    <x v="189"/>
    <s v="2024-03-04 17:33:59"/>
    <x v="5"/>
    <s v="2024-03-05 22:27:59"/>
    <n v="28.9"/>
    <n v="1.2"/>
    <s v="Application Errors"/>
    <s v="Crash"/>
    <x v="3"/>
    <n v="48"/>
    <x v="1"/>
    <s v="Email"/>
    <s v="Tier 2"/>
    <s v="TECH-17"/>
    <s v="Mid-level"/>
    <x v="0"/>
    <s v="Yes"/>
    <n v="1"/>
    <s v="Yes"/>
    <n v="9"/>
    <n v="2.2999999999999998"/>
    <n v="0.4"/>
    <s v="Yes"/>
    <s v="Poor"/>
    <s v="Yes"/>
    <s v="Sales"/>
    <s v="Tuesday"/>
    <s v="Evening"/>
  </r>
  <r>
    <x v="190"/>
    <s v="2024-02-25 10:16:10"/>
    <x v="6"/>
    <s v="2024-03-04 16:04:10"/>
    <n v="197.8"/>
    <n v="8.1999999999999993"/>
    <s v="Access Requests"/>
    <s v="Admin Rights"/>
    <x v="0"/>
    <n v="240"/>
    <x v="1"/>
    <s v="Portal"/>
    <s v="Tier 1"/>
    <s v="TECH-7"/>
    <s v="Mid-level"/>
    <x v="0"/>
    <s v="No"/>
    <n v="1"/>
    <s v="No"/>
    <n v="8"/>
    <n v="0.1"/>
    <n v="14.5"/>
    <s v="Yes"/>
    <s v="Good"/>
    <s v="Yes"/>
    <s v="Legal"/>
    <s v="Thursday"/>
    <s v="Evening"/>
  </r>
  <r>
    <x v="191"/>
    <s v="2024-07-05 20:40:27"/>
    <x v="4"/>
    <s v="2024-07-12 04:58:27"/>
    <n v="152.30000000000001"/>
    <n v="6.3"/>
    <s v="Access Requests"/>
    <s v="File Share"/>
    <x v="0"/>
    <n v="240"/>
    <x v="1"/>
    <s v="Portal"/>
    <s v="Tier 1"/>
    <s v="TECH-1"/>
    <s v="Junior"/>
    <x v="1"/>
    <s v="No"/>
    <n v="0"/>
    <s v="No"/>
    <n v="10"/>
    <n v="4"/>
    <n v="19.8"/>
    <s v="Yes"/>
    <s v="Fair"/>
    <s v="Yes"/>
    <s v="Sales"/>
    <s v="Monday"/>
    <s v="Morning"/>
  </r>
  <r>
    <x v="192"/>
    <s v="2024-07-19 21:42:50"/>
    <x v="4"/>
    <s v="2024-07-28 14:00:50"/>
    <n v="208.3"/>
    <n v="8.6999999999999993"/>
    <s v="Password Reset"/>
    <s v="Email Password"/>
    <x v="0"/>
    <n v="240"/>
    <x v="1"/>
    <s v="Portal"/>
    <s v="Tier 1"/>
    <s v="TECH-20"/>
    <s v="Junior"/>
    <x v="1"/>
    <s v="No"/>
    <n v="0"/>
    <s v="Yes"/>
    <n v="10"/>
    <n v="4.3"/>
    <n v="10.1"/>
    <s v="Yes"/>
    <s v="Good"/>
    <s v="Yes"/>
    <s v="HR"/>
    <s v="Friday"/>
    <s v="Evening"/>
  </r>
  <r>
    <x v="193"/>
    <s v="2024-02-03 06:31:00"/>
    <x v="6"/>
    <s v="2024-02-13 13:25:00"/>
    <n v="246.9"/>
    <n v="10.3"/>
    <s v="Password Reset"/>
    <s v="Account Unlock"/>
    <x v="2"/>
    <n v="360"/>
    <x v="1"/>
    <s v="Walk-in"/>
    <s v="Tier 1"/>
    <s v="TECH-11"/>
    <s v="Mid-level"/>
    <x v="1"/>
    <s v="No"/>
    <n v="0"/>
    <s v="No"/>
    <n v="10"/>
    <n v="3.7"/>
    <n v="27.8"/>
    <s v="Yes"/>
    <s v="Fair"/>
    <s v="Yes"/>
    <s v="Finance"/>
    <s v="Thursday"/>
    <s v="Afternoon"/>
  </r>
  <r>
    <x v="194"/>
    <s v="2024-11-11 05:50:02"/>
    <x v="7"/>
    <s v="2024-11-18 19:20:02"/>
    <n v="181.5"/>
    <n v="7.6"/>
    <s v="Hardware Issues"/>
    <s v="Monitor"/>
    <x v="0"/>
    <n v="240"/>
    <x v="1"/>
    <s v="Email"/>
    <s v="Tier 2"/>
    <s v="TECH-13"/>
    <s v="Mid-level"/>
    <x v="0"/>
    <s v="Yes"/>
    <n v="3"/>
    <s v="No"/>
    <n v="6"/>
    <n v="3.8"/>
    <n v="32.5"/>
    <s v="No"/>
    <s v="Good"/>
    <s v="No"/>
    <s v="Legal"/>
    <s v="Tuesday"/>
    <s v="Evening"/>
  </r>
  <r>
    <x v="195"/>
    <s v="2024-12-06 23:59:53"/>
    <x v="0"/>
    <s v="2024-12-19 16:41:53"/>
    <n v="304.7"/>
    <n v="12.7"/>
    <s v="Password Reset"/>
    <s v="Account Unlock"/>
    <x v="2"/>
    <n v="360"/>
    <x v="1"/>
    <s v="Portal"/>
    <s v="Tier 1"/>
    <s v="TECH-15"/>
    <s v="Mid-level"/>
    <x v="1"/>
    <s v="No"/>
    <n v="0"/>
    <s v="No"/>
    <n v="8"/>
    <n v="5"/>
    <n v="17.600000000000001"/>
    <s v="No"/>
    <s v="Good"/>
    <s v="Yes"/>
    <s v="HR"/>
    <s v="Monday"/>
    <s v="Afternoon"/>
  </r>
  <r>
    <x v="196"/>
    <s v="2024-12-14 00:24:38"/>
    <x v="0"/>
    <s v="2024-12-19 09:24:38"/>
    <n v="105"/>
    <n v="4.4000000000000004"/>
    <s v="Access Requests"/>
    <s v="File Share"/>
    <x v="1"/>
    <n v="120"/>
    <x v="1"/>
    <s v="Email"/>
    <s v="Tier 1"/>
    <s v="TECH-7"/>
    <s v="Junior"/>
    <x v="1"/>
    <s v="No"/>
    <n v="0"/>
    <s v="No"/>
    <n v="10"/>
    <n v="5.0999999999999996"/>
    <n v="0"/>
    <s v="Yes"/>
    <s v="Poor"/>
    <s v="No"/>
    <s v="Sales"/>
    <s v="Wednesday"/>
    <s v="Afternoon"/>
  </r>
  <r>
    <x v="197"/>
    <s v="2024-10-15 03:42:44"/>
    <x v="2"/>
    <s v="2024-10-16 10:06:44"/>
    <n v="30.4"/>
    <n v="1.3"/>
    <s v="Access Requests"/>
    <s v="File Share"/>
    <x v="3"/>
    <n v="48"/>
    <x v="1"/>
    <s v="Chat"/>
    <s v="Tier 1"/>
    <s v="TECH-1"/>
    <s v="Mid-level"/>
    <x v="1"/>
    <s v="No"/>
    <n v="0"/>
    <s v="No"/>
    <n v="10"/>
    <n v="0.7"/>
    <n v="13.1"/>
    <s v="Yes"/>
    <s v="Fair"/>
    <s v="No"/>
    <s v="IT"/>
    <s v="Friday"/>
    <s v="Afternoon"/>
  </r>
  <r>
    <x v="198"/>
    <s v="2024-07-22 16:02:11"/>
    <x v="4"/>
    <s v="2024-08-04 16:02:11"/>
    <n v="312"/>
    <n v="13"/>
    <s v="Software Installation"/>
    <s v="Adobe Suite"/>
    <x v="1"/>
    <n v="120"/>
    <x v="0"/>
    <s v="Phone"/>
    <s v="Tier 1"/>
    <s v="TECH-9"/>
    <s v="Mid-level"/>
    <x v="0"/>
    <s v="No"/>
    <n v="1"/>
    <s v="No"/>
    <n v="4"/>
    <n v="1.5"/>
    <n v="17.399999999999999"/>
    <s v="Yes"/>
    <s v="Fair"/>
    <s v="No"/>
    <s v="Finance"/>
    <s v="Monday"/>
    <s v="Morning"/>
  </r>
  <r>
    <x v="199"/>
    <s v="2024-02-26 04:36:53"/>
    <x v="6"/>
    <s v="2024-03-01 20:42:53"/>
    <n v="112.1"/>
    <n v="4.7"/>
    <s v="Network Connectivity"/>
    <s v="Slow Network"/>
    <x v="1"/>
    <n v="120"/>
    <x v="1"/>
    <s v="Email"/>
    <s v="Tier 1"/>
    <s v="TECH-11"/>
    <s v="Senior"/>
    <x v="1"/>
    <s v="No"/>
    <n v="0"/>
    <s v="Yes"/>
    <n v="10"/>
    <n v="0.1"/>
    <n v="22.9"/>
    <s v="No"/>
    <s v="Poor"/>
    <s v="Yes"/>
    <s v="Legal"/>
    <s v="Thursday"/>
    <s v="Morning"/>
  </r>
  <r>
    <x v="200"/>
    <s v="2024-01-02 02:31:20"/>
    <x v="3"/>
    <s v="2024-01-12 13:19:20"/>
    <n v="250.8"/>
    <n v="10.5"/>
    <s v="Email/Calendar"/>
    <s v="Cannot Send/Receive"/>
    <x v="0"/>
    <n v="240"/>
    <x v="0"/>
    <s v="Walk-in"/>
    <s v="Tier 1"/>
    <s v="TECH-22"/>
    <s v="Mid-level"/>
    <x v="1"/>
    <s v="No"/>
    <n v="0"/>
    <s v="No"/>
    <n v="6"/>
    <n v="0.2"/>
    <n v="27.8"/>
    <s v="Yes"/>
    <s v="Fair"/>
    <s v="No"/>
    <s v="Operations"/>
    <s v="Wednesday"/>
    <s v="Evening"/>
  </r>
  <r>
    <x v="201"/>
    <s v="2024-07-05 22:46:57"/>
    <x v="4"/>
    <s v="2024-07-17 01:04:57"/>
    <n v="290.3"/>
    <n v="12.1"/>
    <s v="Network Connectivity"/>
    <s v="WiFi Issues"/>
    <x v="2"/>
    <n v="360"/>
    <x v="1"/>
    <s v="Email"/>
    <s v="Tier 1"/>
    <s v="TECH-15"/>
    <s v="Mid-level"/>
    <x v="1"/>
    <s v="No"/>
    <n v="0"/>
    <s v="No"/>
    <n v="10"/>
    <n v="3.3"/>
    <n v="25.4"/>
    <s v="Yes"/>
    <s v="Poor"/>
    <s v="No"/>
    <s v="Finance"/>
    <s v="Tuesday"/>
    <s v="Morning"/>
  </r>
  <r>
    <x v="202"/>
    <s v="2024-04-03 05:49:26"/>
    <x v="11"/>
    <s v="2024-04-14 15:43:26"/>
    <n v="273.89999999999998"/>
    <n v="11.4"/>
    <s v="Software Installation"/>
    <s v="Adobe Suite"/>
    <x v="2"/>
    <n v="360"/>
    <x v="1"/>
    <s v="Portal"/>
    <s v="Tier 2"/>
    <s v="TECH-16"/>
    <s v="Senior"/>
    <x v="0"/>
    <s v="Yes"/>
    <n v="2"/>
    <s v="No"/>
    <n v="8"/>
    <n v="3.6"/>
    <n v="12.5"/>
    <s v="Yes"/>
    <s v="Fair"/>
    <s v="No"/>
    <s v="IT"/>
    <s v="Friday"/>
    <s v="Morning"/>
  </r>
  <r>
    <x v="203"/>
    <s v="2024-10-31 13:34:32"/>
    <x v="2"/>
    <s v="2024-11-04 00:22:32"/>
    <n v="106.8"/>
    <n v="4.5"/>
    <s v="Hardware Issues"/>
    <s v="Docking Station"/>
    <x v="1"/>
    <n v="120"/>
    <x v="1"/>
    <s v="Email"/>
    <s v="Tier 1"/>
    <s v="TECH-8"/>
    <s v="Senior"/>
    <x v="1"/>
    <s v="No"/>
    <n v="0"/>
    <s v="No"/>
    <n v="10"/>
    <n v="0.6"/>
    <n v="26.3"/>
    <s v="Yes"/>
    <s v="Fair"/>
    <s v="Yes"/>
    <s v="Executive"/>
    <s v="Thursday"/>
    <s v="Afternoon"/>
  </r>
  <r>
    <x v="204"/>
    <s v="2024-04-10 11:10:59"/>
    <x v="11"/>
    <s v="2024-04-14 00:58:59"/>
    <n v="109.8"/>
    <n v="4.5999999999999996"/>
    <s v="Other"/>
    <s v="Miscellaneous"/>
    <x v="1"/>
    <n v="120"/>
    <x v="1"/>
    <s v="Portal"/>
    <s v="Tier 1"/>
    <s v="TECH-19"/>
    <s v="Junior"/>
    <x v="0"/>
    <s v="No"/>
    <n v="1"/>
    <s v="No"/>
    <n v="8"/>
    <n v="2"/>
    <n v="9.6"/>
    <s v="Yes"/>
    <s v="Good"/>
    <s v="Yes"/>
    <s v="Marketing"/>
    <s v="Friday"/>
    <s v="Morning"/>
  </r>
  <r>
    <x v="205"/>
    <s v="2024-06-27 16:38:17"/>
    <x v="10"/>
    <s v="2024-07-09 01:32:17"/>
    <n v="296.89999999999998"/>
    <n v="12.4"/>
    <s v="Software Installation"/>
    <s v="MS Office"/>
    <x v="2"/>
    <n v="360"/>
    <x v="1"/>
    <s v="Email"/>
    <s v="Tier 1"/>
    <s v="TECH-20"/>
    <s v="Mid-level"/>
    <x v="0"/>
    <s v="No"/>
    <n v="1"/>
    <s v="Yes"/>
    <n v="10"/>
    <n v="2.2000000000000002"/>
    <n v="13.1"/>
    <s v="Yes"/>
    <s v="Poor"/>
    <s v="Yes"/>
    <s v="Operations"/>
    <s v="Monday"/>
    <s v="Evening"/>
  </r>
  <r>
    <x v="206"/>
    <s v="2024-06-27 07:40:50"/>
    <x v="10"/>
    <s v="2024-07-09 11:16:50"/>
    <n v="291.60000000000002"/>
    <n v="12.2"/>
    <s v="Network Connectivity"/>
    <s v="Ethernet"/>
    <x v="1"/>
    <n v="120"/>
    <x v="0"/>
    <s v="Phone"/>
    <s v="Tier 1"/>
    <s v="TECH-19"/>
    <s v="Junior"/>
    <x v="1"/>
    <s v="No"/>
    <n v="0"/>
    <s v="Yes"/>
    <n v="10"/>
    <n v="2.2000000000000002"/>
    <n v="22.3"/>
    <s v="Yes"/>
    <s v="Good"/>
    <s v="No"/>
    <s v="Sales"/>
    <s v="Tuesday"/>
    <s v="Evening"/>
  </r>
  <r>
    <x v="207"/>
    <s v="2024-05-20 01:29:14"/>
    <x v="8"/>
    <s v="2024-06-01 16:11:14"/>
    <n v="278.7"/>
    <n v="11.6"/>
    <s v="Password Reset"/>
    <s v="Windows Password"/>
    <x v="2"/>
    <n v="360"/>
    <x v="1"/>
    <s v="Walk-in"/>
    <s v="Tier 1"/>
    <s v="TECH-7"/>
    <s v="Junior"/>
    <x v="1"/>
    <s v="No"/>
    <n v="0"/>
    <s v="No"/>
    <n v="10"/>
    <n v="3.3"/>
    <n v="3.5"/>
    <s v="Yes"/>
    <s v="Fair"/>
    <s v="Yes"/>
    <s v="Legal"/>
    <s v="Monday"/>
    <s v="Morning"/>
  </r>
  <r>
    <x v="208"/>
    <s v="2024-02-09 17:05:33"/>
    <x v="6"/>
    <s v="2024-02-18 22:29:33"/>
    <n v="221.4"/>
    <n v="9.1999999999999993"/>
    <s v="Password Reset"/>
    <s v="Account Unlock"/>
    <x v="2"/>
    <n v="360"/>
    <x v="1"/>
    <s v="Email"/>
    <s v="Tier 1"/>
    <s v="TECH-23"/>
    <s v="Junior"/>
    <x v="1"/>
    <s v="No"/>
    <n v="0"/>
    <s v="No"/>
    <n v="9"/>
    <n v="1.7"/>
    <n v="10.6"/>
    <s v="No"/>
    <s v="Excellent"/>
    <s v="No"/>
    <s v="Operations"/>
    <s v="Friday"/>
    <s v="Afternoon"/>
  </r>
  <r>
    <x v="209"/>
    <s v="2024-07-23 01:26:13"/>
    <x v="4"/>
    <s v="2024-08-20 22:44:13"/>
    <n v="669.3"/>
    <n v="27.9"/>
    <s v="Other"/>
    <s v="Documentation"/>
    <x v="2"/>
    <n v="360"/>
    <x v="0"/>
    <s v="Phone"/>
    <s v="Tier 1"/>
    <s v="TECH-20"/>
    <s v="Junior"/>
    <x v="0"/>
    <s v="No"/>
    <n v="1"/>
    <s v="No"/>
    <n v="5"/>
    <n v="2.5"/>
    <n v="5.6"/>
    <s v="Yes"/>
    <s v="Good"/>
    <s v="Yes"/>
    <s v="HR"/>
    <s v="Friday"/>
    <s v="Morning"/>
  </r>
  <r>
    <x v="210"/>
    <s v="2024-10-28 07:31:08"/>
    <x v="2"/>
    <s v="2024-11-06 00:49:08"/>
    <n v="233.3"/>
    <n v="9.6999999999999993"/>
    <s v="Network Connectivity"/>
    <s v="WiFi Issues"/>
    <x v="2"/>
    <n v="360"/>
    <x v="1"/>
    <s v="Walk-in"/>
    <s v="Tier 1"/>
    <s v="TECH-2"/>
    <s v="Mid-level"/>
    <x v="0"/>
    <s v="No"/>
    <n v="1"/>
    <s v="No"/>
    <n v="9"/>
    <n v="2"/>
    <n v="27.6"/>
    <s v="Yes"/>
    <s v="Good"/>
    <s v="No"/>
    <s v="Sales"/>
    <s v="Thursday"/>
    <s v="Afternoon"/>
  </r>
  <r>
    <x v="211"/>
    <s v="2024-10-06 17:50:00"/>
    <x v="2"/>
    <s v="2024-11-03 00:38:00"/>
    <n v="679.8"/>
    <n v="28.3"/>
    <s v="Access Requests"/>
    <s v="VPN Access"/>
    <x v="0"/>
    <n v="240"/>
    <x v="0"/>
    <s v="Phone"/>
    <s v="Tier 1"/>
    <s v="TECH-9"/>
    <s v="Junior"/>
    <x v="0"/>
    <s v="No"/>
    <n v="1"/>
    <s v="No"/>
    <n v="6"/>
    <n v="1.3"/>
    <n v="4.8"/>
    <s v="Yes"/>
    <s v="Poor"/>
    <s v="No"/>
    <s v="Finance"/>
    <s v="Friday"/>
    <s v="Morning"/>
  </r>
  <r>
    <x v="212"/>
    <s v="2024-05-14 02:10:41"/>
    <x v="8"/>
    <s v="2024-05-21 05:46:41"/>
    <n v="147.6"/>
    <n v="6.1"/>
    <s v="Email/Calendar"/>
    <s v="Mailbox Full"/>
    <x v="1"/>
    <n v="120"/>
    <x v="0"/>
    <s v="Phone"/>
    <s v="Tier 1"/>
    <s v="TECH-23"/>
    <s v="Mid-level"/>
    <x v="0"/>
    <s v="No"/>
    <n v="1"/>
    <s v="No"/>
    <n v="8"/>
    <n v="6"/>
    <n v="8"/>
    <s v="Yes"/>
    <s v="Excellent"/>
    <s v="Yes"/>
    <s v="Executive"/>
    <s v="Monday"/>
    <s v="Afternoon"/>
  </r>
  <r>
    <x v="213"/>
    <s v="2024-05-15 11:14:39"/>
    <x v="8"/>
    <s v="2024-05-29 16:14:39"/>
    <n v="341"/>
    <n v="14.2"/>
    <s v="Software Installation"/>
    <s v="Adobe Suite"/>
    <x v="2"/>
    <n v="360"/>
    <x v="1"/>
    <s v="Chat"/>
    <s v="Tier 2"/>
    <s v="TECH-11"/>
    <s v="Junior"/>
    <x v="0"/>
    <s v="Yes"/>
    <n v="2"/>
    <s v="No"/>
    <n v="5"/>
    <n v="3.4"/>
    <n v="1.4"/>
    <s v="Yes"/>
    <s v="Good"/>
    <s v="No"/>
    <s v="Legal"/>
    <s v="Thursday"/>
    <s v="Afternoon"/>
  </r>
  <r>
    <x v="214"/>
    <s v="2024-04-17 22:08:41"/>
    <x v="11"/>
    <s v="2024-05-02 19:08:41"/>
    <n v="357"/>
    <n v="14.9"/>
    <s v="Application Errors"/>
    <s v="Features Not Working"/>
    <x v="1"/>
    <n v="120"/>
    <x v="0"/>
    <s v="Email"/>
    <s v="Tier 2"/>
    <s v="TECH-7"/>
    <s v="Mid-level"/>
    <x v="0"/>
    <s v="Yes"/>
    <n v="3"/>
    <s v="No"/>
    <n v="7"/>
    <n v="3.4"/>
    <n v="22.1"/>
    <s v="Yes"/>
    <s v="Fair"/>
    <s v="No"/>
    <s v="Sales"/>
    <s v="Thursday"/>
    <s v="Afternoon"/>
  </r>
  <r>
    <x v="215"/>
    <s v="2024-03-23 13:52:59"/>
    <x v="5"/>
    <s v="2024-04-06 08:22:59"/>
    <n v="329.5"/>
    <n v="13.7"/>
    <s v="Password Reset"/>
    <s v="Windows Password"/>
    <x v="0"/>
    <n v="240"/>
    <x v="0"/>
    <s v="Phone"/>
    <s v="Tier 1"/>
    <s v="TECH-20"/>
    <s v="Mid-level"/>
    <x v="1"/>
    <s v="No"/>
    <n v="0"/>
    <s v="Yes"/>
    <n v="6"/>
    <n v="3.5"/>
    <n v="16.3"/>
    <s v="Yes"/>
    <s v="Excellent"/>
    <s v="Yes"/>
    <s v="Operations"/>
    <s v="Monday"/>
    <s v="Evening"/>
  </r>
  <r>
    <x v="216"/>
    <s v="2024-05-25 20:41:10"/>
    <x v="8"/>
    <s v="2024-06-01 12:11:10"/>
    <n v="159.5"/>
    <n v="6.6"/>
    <s v="Email/Calendar"/>
    <s v="Calendar Sync"/>
    <x v="0"/>
    <n v="240"/>
    <x v="1"/>
    <s v="Walk-in"/>
    <s v="Tier 1"/>
    <s v="TECH-8"/>
    <s v="Senior"/>
    <x v="0"/>
    <s v="No"/>
    <n v="1"/>
    <s v="No"/>
    <n v="7"/>
    <n v="4"/>
    <n v="31.7"/>
    <s v="Yes"/>
    <s v="Good"/>
    <s v="Yes"/>
    <s v="HR"/>
    <s v="Thursday"/>
    <s v="Afternoon"/>
  </r>
  <r>
    <x v="217"/>
    <s v="2024-07-02 06:11:21"/>
    <x v="4"/>
    <s v="2024-07-12 10:47:21"/>
    <n v="244.6"/>
    <n v="10.199999999999999"/>
    <s v="Access Requests"/>
    <s v="Admin Rights"/>
    <x v="0"/>
    <n v="240"/>
    <x v="0"/>
    <s v="Portal"/>
    <s v="Tier 1"/>
    <s v="TECH-14"/>
    <s v="Junior"/>
    <x v="0"/>
    <s v="No"/>
    <n v="1"/>
    <s v="No"/>
    <n v="5"/>
    <n v="4.0999999999999996"/>
    <n v="2.7"/>
    <s v="Yes"/>
    <s v="Excellent"/>
    <s v="Yes"/>
    <s v="Legal"/>
    <s v="Monday"/>
    <s v="Morning"/>
  </r>
  <r>
    <x v="218"/>
    <s v="2024-09-26 12:11:46"/>
    <x v="9"/>
    <s v="2024-09-29 21:11:46"/>
    <n v="81"/>
    <n v="3.4"/>
    <s v="Hardware Issues"/>
    <s v="Desktop"/>
    <x v="1"/>
    <n v="120"/>
    <x v="1"/>
    <s v="Walk-in"/>
    <s v="Tier 2"/>
    <s v="TECH-16"/>
    <s v="Junior"/>
    <x v="0"/>
    <s v="Yes"/>
    <n v="2"/>
    <s v="No"/>
    <n v="8"/>
    <n v="4"/>
    <n v="27.8"/>
    <s v="No"/>
    <s v="Poor"/>
    <s v="Yes"/>
    <s v="Legal"/>
    <s v="Friday"/>
    <s v="Morning"/>
  </r>
  <r>
    <x v="219"/>
    <s v="2024-03-07 07:15:33"/>
    <x v="5"/>
    <s v="2024-03-13 21:15:33"/>
    <n v="158"/>
    <n v="6.6"/>
    <s v="Access Requests"/>
    <s v="File Share"/>
    <x v="0"/>
    <n v="240"/>
    <x v="1"/>
    <s v="Portal"/>
    <s v="Tier 1"/>
    <s v="TECH-25"/>
    <s v="Mid-level"/>
    <x v="0"/>
    <s v="No"/>
    <n v="1"/>
    <s v="No"/>
    <n v="10"/>
    <n v="1.8"/>
    <n v="34.799999999999997"/>
    <s v="No"/>
    <s v="Poor"/>
    <s v="Yes"/>
    <s v="Operations"/>
    <s v="Monday"/>
    <s v="Afternoon"/>
  </r>
  <r>
    <x v="220"/>
    <s v="2024-08-11 16:04:24"/>
    <x v="1"/>
    <s v="2024-08-25 16:52:24"/>
    <n v="336.8"/>
    <n v="14"/>
    <s v="Application Errors"/>
    <s v="Performance"/>
    <x v="2"/>
    <n v="360"/>
    <x v="1"/>
    <s v="Phone"/>
    <s v="Tier 2"/>
    <s v="TECH-25"/>
    <s v="Senior"/>
    <x v="0"/>
    <s v="Yes"/>
    <n v="3"/>
    <s v="Yes"/>
    <n v="8"/>
    <n v="5.3"/>
    <n v="26.5"/>
    <s v="Yes"/>
    <s v="Fair"/>
    <s v="No"/>
    <s v="IT"/>
    <s v="Tuesday"/>
    <s v="Morning"/>
  </r>
  <r>
    <x v="221"/>
    <s v="2024-06-18 19:13:30"/>
    <x v="10"/>
    <s v="2024-06-26 23:31:30"/>
    <n v="196.3"/>
    <n v="8.1999999999999993"/>
    <s v="Access Requests"/>
    <s v="Admin Rights"/>
    <x v="0"/>
    <n v="240"/>
    <x v="1"/>
    <s v="Phone"/>
    <s v="Tier 1"/>
    <s v="TECH-16"/>
    <s v="Junior"/>
    <x v="0"/>
    <s v="No"/>
    <n v="1"/>
    <s v="No"/>
    <n v="6"/>
    <n v="5.8"/>
    <n v="15.5"/>
    <s v="Yes"/>
    <s v="Poor"/>
    <s v="Yes"/>
    <s v="IT"/>
    <s v="Wednesday"/>
    <s v="Morning"/>
  </r>
  <r>
    <x v="222"/>
    <s v="2024-10-15 05:53:03"/>
    <x v="2"/>
    <s v="2024-10-29 04:17:03"/>
    <n v="335.4"/>
    <n v="14"/>
    <s v="Access Requests"/>
    <s v="Application Access"/>
    <x v="2"/>
    <n v="360"/>
    <x v="1"/>
    <s v="Phone"/>
    <s v="Tier 2"/>
    <s v="TECH-5"/>
    <s v="Junior"/>
    <x v="0"/>
    <s v="Yes"/>
    <n v="4"/>
    <s v="No"/>
    <n v="7"/>
    <n v="0.4"/>
    <n v="19.100000000000001"/>
    <s v="Yes"/>
    <s v="Poor"/>
    <s v="Yes"/>
    <s v="Finance"/>
    <s v="Monday"/>
    <s v="Afternoon"/>
  </r>
  <r>
    <x v="223"/>
    <s v="2024-10-17 22:34:16"/>
    <x v="2"/>
    <s v="2024-10-24 23:22:16"/>
    <n v="168.8"/>
    <n v="7"/>
    <s v="Email/Calendar"/>
    <s v="Mailbox Full"/>
    <x v="1"/>
    <n v="120"/>
    <x v="0"/>
    <s v="Phone"/>
    <s v="Tier 1"/>
    <s v="TECH-20"/>
    <s v="Junior"/>
    <x v="0"/>
    <s v="No"/>
    <n v="1"/>
    <s v="No"/>
    <n v="7"/>
    <n v="3.3"/>
    <n v="7.8"/>
    <s v="Yes"/>
    <s v="Good"/>
    <s v="Yes"/>
    <s v="Legal"/>
    <s v="Monday"/>
    <s v="Afternoon"/>
  </r>
  <r>
    <x v="224"/>
    <s v="2024-12-17 19:03:55"/>
    <x v="0"/>
    <s v="2024-12-21 01:45:55"/>
    <n v="102.7"/>
    <n v="4.3"/>
    <s v="Access Requests"/>
    <s v="Admin Rights"/>
    <x v="1"/>
    <n v="120"/>
    <x v="1"/>
    <s v="Phone"/>
    <s v="Tier 1"/>
    <s v="TECH-2"/>
    <s v="Mid-level"/>
    <x v="0"/>
    <s v="No"/>
    <n v="1"/>
    <s v="No"/>
    <n v="9"/>
    <n v="1.2"/>
    <n v="32.9"/>
    <s v="Yes"/>
    <s v="Fair"/>
    <s v="No"/>
    <s v="Operations"/>
    <s v="Friday"/>
    <s v="Morning"/>
  </r>
  <r>
    <x v="225"/>
    <s v="2024-07-30 00:34:32"/>
    <x v="4"/>
    <s v="2024-09-03 19:16:32"/>
    <n v="834.7"/>
    <n v="34.799999999999997"/>
    <s v="Password Reset"/>
    <s v="Account Unlock"/>
    <x v="2"/>
    <n v="360"/>
    <x v="0"/>
    <s v="Walk-in"/>
    <s v="Tier 1"/>
    <s v="TECH-20"/>
    <s v="Junior"/>
    <x v="1"/>
    <s v="No"/>
    <n v="0"/>
    <s v="No"/>
    <n v="9"/>
    <n v="4.2"/>
    <n v="26.2"/>
    <s v="No"/>
    <s v="Poor"/>
    <s v="No"/>
    <s v="Marketing"/>
    <s v="Monday"/>
    <s v="Morning"/>
  </r>
  <r>
    <x v="226"/>
    <s v="2024-04-18 11:51:25"/>
    <x v="11"/>
    <s v="2024-04-25 08:03:25"/>
    <n v="164.2"/>
    <n v="6.8"/>
    <s v="Access Requests"/>
    <s v="VPN Access"/>
    <x v="0"/>
    <n v="240"/>
    <x v="1"/>
    <s v="Walk-in"/>
    <s v="Tier 1"/>
    <s v="TECH-15"/>
    <s v="Junior"/>
    <x v="0"/>
    <s v="No"/>
    <n v="1"/>
    <s v="No"/>
    <n v="8"/>
    <n v="1.6"/>
    <n v="26.2"/>
    <s v="No"/>
    <s v="Good"/>
    <s v="No"/>
    <s v="HR"/>
    <s v="Wednesday"/>
    <s v="Afternoon"/>
  </r>
  <r>
    <x v="227"/>
    <s v="2024-02-25 17:42:59"/>
    <x v="6"/>
    <s v="2024-02-29 06:54:59"/>
    <n v="85.2"/>
    <n v="3.6"/>
    <s v="Application Errors"/>
    <s v="Features Not Working"/>
    <x v="1"/>
    <n v="120"/>
    <x v="1"/>
    <s v="Phone"/>
    <s v="Tier 2"/>
    <s v="TECH-19"/>
    <s v="Mid-level"/>
    <x v="0"/>
    <s v="Yes"/>
    <n v="4"/>
    <s v="No"/>
    <n v="10"/>
    <n v="1.8"/>
    <n v="15"/>
    <s v="Yes"/>
    <s v="Fair"/>
    <s v="No"/>
    <s v="Legal"/>
    <s v="Thursday"/>
    <s v="Morning"/>
  </r>
  <r>
    <x v="228"/>
    <s v="2024-04-09 01:17:40"/>
    <x v="11"/>
    <s v="2024-04-14 08:47:40"/>
    <n v="103.5"/>
    <n v="4.3"/>
    <s v="Email/Calendar"/>
    <s v="Calendar Sync"/>
    <x v="1"/>
    <n v="120"/>
    <x v="1"/>
    <s v="Email"/>
    <s v="Tier 1"/>
    <s v="TECH-8"/>
    <s v="Junior"/>
    <x v="1"/>
    <s v="No"/>
    <n v="0"/>
    <s v="No"/>
    <n v="10"/>
    <n v="2.1"/>
    <n v="43"/>
    <s v="Yes"/>
    <s v="Fair"/>
    <s v="Yes"/>
    <s v="Legal"/>
    <s v="Tuesday"/>
    <s v="Afternoon"/>
  </r>
  <r>
    <x v="229"/>
    <s v="2024-08-13 16:10:31"/>
    <x v="1"/>
    <s v="2024-08-29 02:46:31"/>
    <n v="394.6"/>
    <n v="16.399999999999999"/>
    <s v="Password Reset"/>
    <s v="Application Password"/>
    <x v="2"/>
    <n v="360"/>
    <x v="0"/>
    <s v="Portal"/>
    <s v="Tier 1"/>
    <s v="TECH-23"/>
    <s v="Senior"/>
    <x v="0"/>
    <s v="No"/>
    <n v="1"/>
    <s v="No"/>
    <n v="5"/>
    <n v="5.0999999999999996"/>
    <n v="21.1"/>
    <s v="Yes"/>
    <s v="Fair"/>
    <s v="Yes"/>
    <s v="Legal"/>
    <s v="Tuesday"/>
    <s v="Morning"/>
  </r>
  <r>
    <x v="230"/>
    <s v="2024-11-18 02:12:20"/>
    <x v="7"/>
    <s v="2024-12-02 07:06:20"/>
    <n v="340.9"/>
    <n v="14.2"/>
    <s v="Access Requests"/>
    <s v="VPN Access"/>
    <x v="0"/>
    <n v="240"/>
    <x v="0"/>
    <s v="Email"/>
    <s v="Tier 1"/>
    <s v="TECH-17"/>
    <s v="Senior"/>
    <x v="1"/>
    <s v="No"/>
    <n v="0"/>
    <s v="No"/>
    <n v="5"/>
    <n v="3.2"/>
    <n v="9.6999999999999993"/>
    <s v="Yes"/>
    <s v="Fair"/>
    <s v="Yes"/>
    <s v="HR"/>
    <s v="Tuesday"/>
    <s v="Morning"/>
  </r>
  <r>
    <x v="231"/>
    <s v="2024-01-07 01:44:59"/>
    <x v="3"/>
    <s v="2024-01-20 02:38:59"/>
    <n v="288.89999999999998"/>
    <n v="12"/>
    <s v="Access Requests"/>
    <s v="File Share"/>
    <x v="0"/>
    <n v="240"/>
    <x v="0"/>
    <s v="Phone"/>
    <s v="Tier 1"/>
    <s v="TECH-23"/>
    <s v="Junior"/>
    <x v="0"/>
    <s v="No"/>
    <n v="1"/>
    <s v="No"/>
    <n v="6"/>
    <n v="0.1"/>
    <n v="18.399999999999999"/>
    <s v="No"/>
    <s v="Good"/>
    <s v="Yes"/>
    <s v="Operations"/>
    <s v="Tuesday"/>
    <s v="Morning"/>
  </r>
  <r>
    <x v="232"/>
    <s v="2024-02-11 04:46:52"/>
    <x v="6"/>
    <s v="2024-02-22 01:16:52"/>
    <n v="284.5"/>
    <n v="11.9"/>
    <s v="Application Errors"/>
    <s v="Login Issues"/>
    <x v="1"/>
    <n v="120"/>
    <x v="0"/>
    <s v="Portal"/>
    <s v="Tier 1"/>
    <s v="TECH-4"/>
    <s v="Junior"/>
    <x v="1"/>
    <s v="No"/>
    <n v="0"/>
    <s v="No"/>
    <n v="5"/>
    <n v="4.5"/>
    <n v="29.6"/>
    <s v="Yes"/>
    <s v="Fair"/>
    <s v="Yes"/>
    <s v="Operations"/>
    <s v="Wednesday"/>
    <s v="Morning"/>
  </r>
  <r>
    <x v="233"/>
    <s v="2024-04-27 01:11:04"/>
    <x v="11"/>
    <s v="2024-05-11 08:47:04"/>
    <n v="319.60000000000002"/>
    <n v="13.3"/>
    <s v="Access Requests"/>
    <s v="VPN Access"/>
    <x v="2"/>
    <n v="360"/>
    <x v="1"/>
    <s v="Portal"/>
    <s v="Tier 1"/>
    <s v="TECH-17"/>
    <s v="Mid-level"/>
    <x v="0"/>
    <s v="No"/>
    <n v="1"/>
    <s v="Yes"/>
    <n v="8"/>
    <n v="0.4"/>
    <n v="30.8"/>
    <s v="Yes"/>
    <s v="Good"/>
    <s v="Yes"/>
    <s v="Finance"/>
    <s v="Thursday"/>
    <s v="Morning"/>
  </r>
  <r>
    <x v="234"/>
    <s v="2024-01-15 06:16:25"/>
    <x v="3"/>
    <s v="2024-01-21 20:22:25"/>
    <n v="158.1"/>
    <n v="6.6"/>
    <s v="Software Installation"/>
    <s v="Adobe Suite"/>
    <x v="0"/>
    <n v="240"/>
    <x v="1"/>
    <s v="Phone"/>
    <s v="Tier 1"/>
    <s v="TECH-13"/>
    <s v="Junior"/>
    <x v="0"/>
    <s v="No"/>
    <n v="1"/>
    <s v="No"/>
    <n v="10"/>
    <n v="4.7"/>
    <n v="30.6"/>
    <s v="Yes"/>
    <s v="Good"/>
    <s v="Yes"/>
    <s v="HR"/>
    <s v="Monday"/>
    <s v="Morning"/>
  </r>
  <r>
    <x v="235"/>
    <s v="2024-09-19 19:08:10"/>
    <x v="9"/>
    <s v="2024-09-29 03:50:10"/>
    <n v="224.7"/>
    <n v="9.4"/>
    <s v="Access Requests"/>
    <s v="File Share"/>
    <x v="0"/>
    <n v="240"/>
    <x v="1"/>
    <s v="Email"/>
    <s v="Tier 1"/>
    <s v="TECH-22"/>
    <s v="Mid-level"/>
    <x v="1"/>
    <s v="No"/>
    <n v="0"/>
    <s v="No"/>
    <n v="8"/>
    <n v="3.1"/>
    <n v="26.5"/>
    <s v="Yes"/>
    <s v="Poor"/>
    <s v="No"/>
    <s v="Finance"/>
    <s v="Tuesday"/>
    <s v="Morning"/>
  </r>
  <r>
    <x v="236"/>
    <s v="2024-09-18 13:21:36"/>
    <x v="9"/>
    <s v="2024-10-02 05:03:36"/>
    <n v="327.7"/>
    <n v="13.7"/>
    <s v="Access Requests"/>
    <s v="Application Access"/>
    <x v="2"/>
    <n v="360"/>
    <x v="1"/>
    <s v="Email"/>
    <s v="Tier 1"/>
    <s v="TECH-20"/>
    <s v="Mid-level"/>
    <x v="1"/>
    <s v="No"/>
    <n v="0"/>
    <s v="No"/>
    <n v="5"/>
    <n v="2"/>
    <n v="12.4"/>
    <s v="Yes"/>
    <s v="Fair"/>
    <s v="Yes"/>
    <s v="Operations"/>
    <s v="Wednesday"/>
    <s v="Morning"/>
  </r>
  <r>
    <x v="237"/>
    <s v="2024-05-18 01:57:13"/>
    <x v="8"/>
    <s v="2024-05-20 15:21:13"/>
    <n v="37.4"/>
    <n v="1.6"/>
    <s v="Network Connectivity"/>
    <s v="WiFi Issues"/>
    <x v="3"/>
    <n v="48"/>
    <x v="1"/>
    <s v="Portal"/>
    <s v="Tier 1"/>
    <s v="TECH-22"/>
    <s v="Senior"/>
    <x v="0"/>
    <s v="No"/>
    <n v="1"/>
    <s v="No"/>
    <n v="9"/>
    <n v="4"/>
    <n v="15"/>
    <s v="Yes"/>
    <s v="Fair"/>
    <s v="No"/>
    <s v="Executive"/>
    <s v="Wednesday"/>
    <s v="Evening"/>
  </r>
  <r>
    <x v="238"/>
    <s v="2024-07-22 21:30:41"/>
    <x v="4"/>
    <s v="2024-07-26 20:42:41"/>
    <n v="95.2"/>
    <n v="4"/>
    <s v="Access Requests"/>
    <s v="Admin Rights"/>
    <x v="1"/>
    <n v="120"/>
    <x v="1"/>
    <s v="Chat"/>
    <s v="Tier 1"/>
    <s v="TECH-11"/>
    <s v="Mid-level"/>
    <x v="0"/>
    <s v="No"/>
    <n v="1"/>
    <s v="No"/>
    <n v="6"/>
    <n v="3.8"/>
    <n v="9.1999999999999993"/>
    <s v="No"/>
    <s v="Good"/>
    <s v="Yes"/>
    <s v="Executive"/>
    <s v="Tuesday"/>
    <s v="Morning"/>
  </r>
  <r>
    <x v="239"/>
    <s v="2024-10-16 05:50:35"/>
    <x v="2"/>
    <s v="2024-10-22 16:14:35"/>
    <n v="154.4"/>
    <n v="6.4"/>
    <s v="Hardware Issues"/>
    <s v="Keyboard/Mouse"/>
    <x v="1"/>
    <n v="120"/>
    <x v="0"/>
    <s v="Chat"/>
    <s v="Tier 1"/>
    <s v="TECH-12"/>
    <s v="Mid-level"/>
    <x v="0"/>
    <s v="No"/>
    <n v="1"/>
    <s v="Yes"/>
    <n v="6"/>
    <n v="7.4"/>
    <n v="31.4"/>
    <s v="No"/>
    <s v="Fair"/>
    <s v="Yes"/>
    <s v="HR"/>
    <s v="Monday"/>
    <s v="Morning"/>
  </r>
  <r>
    <x v="240"/>
    <s v="2024-08-01 05:53:19"/>
    <x v="1"/>
    <s v="2024-08-10 07:05:19"/>
    <n v="217.2"/>
    <n v="9"/>
    <s v="Access Requests"/>
    <s v="Admin Rights"/>
    <x v="2"/>
    <n v="360"/>
    <x v="1"/>
    <s v="Portal"/>
    <s v="Tier 1"/>
    <s v="TECH-15"/>
    <s v="Junior"/>
    <x v="0"/>
    <s v="No"/>
    <n v="1"/>
    <s v="No"/>
    <n v="7"/>
    <n v="2.7"/>
    <n v="13.8"/>
    <s v="Yes"/>
    <s v="Good"/>
    <s v="Yes"/>
    <s v="HR"/>
    <s v="Thursday"/>
    <s v="Afternoon"/>
  </r>
  <r>
    <x v="241"/>
    <s v="2024-11-27 17:56:04"/>
    <x v="7"/>
    <s v="2024-12-01 18:08:04"/>
    <n v="96.2"/>
    <n v="4"/>
    <s v="Application Errors"/>
    <s v="Login Issues"/>
    <x v="1"/>
    <n v="120"/>
    <x v="1"/>
    <s v="Portal"/>
    <s v="Tier 1"/>
    <s v="TECH-21"/>
    <s v="Senior"/>
    <x v="0"/>
    <s v="No"/>
    <n v="1"/>
    <s v="No"/>
    <n v="6"/>
    <n v="5.4"/>
    <n v="27.1"/>
    <s v="No"/>
    <s v="Excellent"/>
    <s v="Yes"/>
    <s v="Sales"/>
    <s v="Thursday"/>
    <s v="Afternoon"/>
  </r>
  <r>
    <x v="242"/>
    <s v="2024-08-19 07:45:45"/>
    <x v="1"/>
    <s v="2024-08-23 14:39:45"/>
    <n v="102.9"/>
    <n v="4.3"/>
    <s v="Application Errors"/>
    <s v="Performance"/>
    <x v="1"/>
    <n v="120"/>
    <x v="1"/>
    <s v="Chat"/>
    <s v="Tier 1"/>
    <s v="TECH-19"/>
    <s v="Mid-level"/>
    <x v="0"/>
    <s v="No"/>
    <n v="1"/>
    <s v="No"/>
    <n v="5"/>
    <n v="0.1"/>
    <n v="12.6"/>
    <s v="Yes"/>
    <s v="Poor"/>
    <s v="Yes"/>
    <s v="Marketing"/>
    <s v="Tuesday"/>
    <s v="Morning"/>
  </r>
  <r>
    <x v="243"/>
    <s v="2024-04-03 12:12:08"/>
    <x v="11"/>
    <s v="2024-04-10 12:18:08"/>
    <n v="168.1"/>
    <n v="7"/>
    <s v="Access Requests"/>
    <s v="Admin Rights"/>
    <x v="0"/>
    <n v="240"/>
    <x v="1"/>
    <s v="Email"/>
    <s v="Tier 1"/>
    <s v="TECH-22"/>
    <s v="Junior"/>
    <x v="0"/>
    <s v="No"/>
    <n v="1"/>
    <s v="No"/>
    <n v="9"/>
    <n v="2.4"/>
    <n v="12.3"/>
    <s v="No"/>
    <s v="Fair"/>
    <s v="No"/>
    <s v="Legal"/>
    <s v="Thursday"/>
    <s v="Morning"/>
  </r>
  <r>
    <x v="244"/>
    <s v="2024-09-01 23:16:19"/>
    <x v="9"/>
    <s v="2024-09-08 17:10:19"/>
    <n v="161.9"/>
    <n v="6.7"/>
    <s v="Access Requests"/>
    <s v="Admin Rights"/>
    <x v="0"/>
    <n v="240"/>
    <x v="1"/>
    <s v="Walk-in"/>
    <s v="Tier 1"/>
    <s v="TECH-1"/>
    <s v="Mid-level"/>
    <x v="0"/>
    <s v="No"/>
    <n v="1"/>
    <s v="No"/>
    <n v="8"/>
    <n v="3.6"/>
    <n v="27.2"/>
    <s v="Yes"/>
    <s v="Poor"/>
    <s v="Yes"/>
    <s v="Sales"/>
    <s v="Thursday"/>
    <s v="Morning"/>
  </r>
  <r>
    <x v="245"/>
    <s v="2024-11-04 00:33:52"/>
    <x v="7"/>
    <s v="2024-11-10 07:21:52"/>
    <n v="126.8"/>
    <n v="5.3"/>
    <s v="Network Connectivity"/>
    <s v="Ethernet"/>
    <x v="1"/>
    <n v="120"/>
    <x v="0"/>
    <s v="Walk-in"/>
    <s v="Tier 2"/>
    <s v="TECH-14"/>
    <s v="Senior"/>
    <x v="0"/>
    <s v="Yes"/>
    <n v="3"/>
    <s v="Yes"/>
    <n v="3"/>
    <n v="2.2999999999999998"/>
    <n v="11.9"/>
    <s v="No"/>
    <s v="Fair"/>
    <s v="Yes"/>
    <s v="Marketing"/>
    <s v="Friday"/>
    <s v="Afternoon"/>
  </r>
  <r>
    <x v="246"/>
    <s v="2024-07-23 19:03:28"/>
    <x v="4"/>
    <s v="2024-07-28 05:45:28"/>
    <n v="106.7"/>
    <n v="4.4000000000000004"/>
    <s v="Network Connectivity"/>
    <s v="Ethernet"/>
    <x v="1"/>
    <n v="120"/>
    <x v="1"/>
    <s v="Phone"/>
    <s v="Tier 1"/>
    <s v="TECH-7"/>
    <s v="Mid-level"/>
    <x v="1"/>
    <s v="No"/>
    <n v="0"/>
    <s v="No"/>
    <n v="10"/>
    <n v="1.1000000000000001"/>
    <n v="21.4"/>
    <s v="Yes"/>
    <s v="Excellent"/>
    <s v="Yes"/>
    <s v="Finance"/>
    <s v="Friday"/>
    <s v="Morning"/>
  </r>
  <r>
    <x v="247"/>
    <s v="2024-09-30 16:54:13"/>
    <x v="9"/>
    <s v="2024-10-04 11:00:13"/>
    <n v="90.1"/>
    <n v="3.8"/>
    <s v="Software Installation"/>
    <s v="Drivers"/>
    <x v="1"/>
    <n v="120"/>
    <x v="1"/>
    <s v="Chat"/>
    <s v="Tier 1"/>
    <s v="TECH-9"/>
    <s v="Junior"/>
    <x v="0"/>
    <s v="No"/>
    <n v="1"/>
    <s v="No"/>
    <n v="10"/>
    <n v="4.0999999999999996"/>
    <n v="10"/>
    <s v="No"/>
    <s v="Fair"/>
    <s v="Yes"/>
    <s v="Finance"/>
    <s v="Wednesday"/>
    <s v="Afternoon"/>
  </r>
  <r>
    <x v="248"/>
    <s v="2024-05-07 05:50:08"/>
    <x v="8"/>
    <s v="2024-05-19 12:38:08"/>
    <n v="294.8"/>
    <n v="12.3"/>
    <s v="Password Reset"/>
    <s v="Account Unlock"/>
    <x v="2"/>
    <n v="360"/>
    <x v="1"/>
    <s v="Portal"/>
    <s v="Tier 1"/>
    <s v="TECH-13"/>
    <s v="Senior"/>
    <x v="0"/>
    <s v="No"/>
    <n v="1"/>
    <s v="No"/>
    <n v="9"/>
    <n v="0.2"/>
    <n v="15.3"/>
    <s v="No"/>
    <s v="Good"/>
    <s v="Yes"/>
    <s v="IT"/>
    <s v="Tuesday"/>
    <s v="Morning"/>
  </r>
  <r>
    <x v="249"/>
    <s v="2024-08-29 16:09:56"/>
    <x v="1"/>
    <s v="2024-08-31 09:51:56"/>
    <n v="41.7"/>
    <n v="1.7"/>
    <s v="Application Errors"/>
    <s v="Login Issues"/>
    <x v="3"/>
    <n v="48"/>
    <x v="1"/>
    <s v="Email"/>
    <s v="Tier 2"/>
    <s v="TECH-15"/>
    <s v="Mid-level"/>
    <x v="0"/>
    <s v="Yes"/>
    <n v="2"/>
    <s v="No"/>
    <n v="10"/>
    <n v="4.4000000000000004"/>
    <n v="27.6"/>
    <s v="No"/>
    <s v="Excellent"/>
    <s v="Yes"/>
    <s v="Finance"/>
    <s v="Wednesday"/>
    <s v="Evening"/>
  </r>
  <r>
    <x v="250"/>
    <s v="2024-12-07 05:33:38"/>
    <x v="0"/>
    <s v="2024-12-21 06:15:38"/>
    <n v="336.7"/>
    <n v="14"/>
    <s v="Software Installation"/>
    <s v="Drivers"/>
    <x v="2"/>
    <n v="360"/>
    <x v="1"/>
    <s v="Walk-in"/>
    <s v="Tier 2"/>
    <s v="TECH-17"/>
    <s v="Senior"/>
    <x v="0"/>
    <s v="Yes"/>
    <n v="4"/>
    <s v="No"/>
    <n v="10"/>
    <n v="0.1"/>
    <n v="18.899999999999999"/>
    <s v="No"/>
    <s v="Fair"/>
    <s v="No"/>
    <s v="IT"/>
    <s v="Wednesday"/>
    <s v="Morning"/>
  </r>
  <r>
    <x v="251"/>
    <s v="2024-12-12 15:55:36"/>
    <x v="0"/>
    <s v="2024-12-30 21:31:36"/>
    <n v="437.6"/>
    <n v="18.2"/>
    <s v="Email/Calendar"/>
    <s v="Calendar Sync"/>
    <x v="2"/>
    <n v="360"/>
    <x v="0"/>
    <s v="Portal"/>
    <s v="Tier 1"/>
    <s v="TECH-24"/>
    <s v="Senior"/>
    <x v="1"/>
    <s v="No"/>
    <n v="0"/>
    <s v="No"/>
    <n v="8"/>
    <n v="3.9"/>
    <n v="17.600000000000001"/>
    <s v="No"/>
    <s v="Poor"/>
    <s v="No"/>
    <s v="IT"/>
    <s v="Thursday"/>
    <s v="Evening"/>
  </r>
  <r>
    <x v="252"/>
    <s v="2024-12-27 16:12:18"/>
    <x v="0"/>
    <s v="2025-01-04 22:24:18"/>
    <n v="198.2"/>
    <n v="8.3000000000000007"/>
    <s v="Network Connectivity"/>
    <s v="Ethernet"/>
    <x v="1"/>
    <n v="120"/>
    <x v="0"/>
    <s v="Phone"/>
    <s v="Tier 1"/>
    <s v="TECH-10"/>
    <s v="Junior"/>
    <x v="1"/>
    <s v="No"/>
    <n v="0"/>
    <s v="Yes"/>
    <n v="8"/>
    <n v="4.0999999999999996"/>
    <n v="10.3"/>
    <s v="No"/>
    <s v="Poor"/>
    <s v="Yes"/>
    <s v="IT"/>
    <s v="Wednesday"/>
    <s v="Afternoon"/>
  </r>
  <r>
    <x v="253"/>
    <s v="2024-02-17 17:25:22"/>
    <x v="6"/>
    <s v="2024-03-03 18:55:22"/>
    <n v="361.5"/>
    <n v="15.1"/>
    <s v="Email/Calendar"/>
    <s v="Calendar Sync"/>
    <x v="2"/>
    <n v="360"/>
    <x v="0"/>
    <s v="Portal"/>
    <s v="Tier 1"/>
    <s v="TECH-10"/>
    <s v="Senior"/>
    <x v="0"/>
    <s v="No"/>
    <n v="1"/>
    <s v="No"/>
    <n v="6"/>
    <n v="0.1"/>
    <n v="24.7"/>
    <s v="Yes"/>
    <s v="Good"/>
    <s v="No"/>
    <s v="Finance"/>
    <s v="Friday"/>
    <s v="Morning"/>
  </r>
  <r>
    <x v="254"/>
    <s v="2024-04-26 22:04:49"/>
    <x v="11"/>
    <s v="2024-05-10 05:04:49"/>
    <n v="319"/>
    <n v="13.3"/>
    <s v="Access Requests"/>
    <s v="Application Access"/>
    <x v="0"/>
    <n v="240"/>
    <x v="0"/>
    <s v="Portal"/>
    <s v="Tier 1"/>
    <s v="TECH-5"/>
    <s v="Junior"/>
    <x v="1"/>
    <s v="No"/>
    <n v="0"/>
    <s v="No"/>
    <n v="5"/>
    <n v="1"/>
    <n v="24.8"/>
    <s v="Yes"/>
    <s v="Excellent"/>
    <s v="Yes"/>
    <s v="Executive"/>
    <s v="Friday"/>
    <s v="Afternoon"/>
  </r>
  <r>
    <x v="255"/>
    <s v="2024-02-13 03:52:32"/>
    <x v="6"/>
    <s v="2024-02-25 11:46:32"/>
    <n v="295.89999999999998"/>
    <n v="12.3"/>
    <s v="Email/Calendar"/>
    <s v="Cannot Send/Receive"/>
    <x v="0"/>
    <n v="240"/>
    <x v="0"/>
    <s v="Email"/>
    <s v="Tier 1"/>
    <s v="TECH-25"/>
    <s v="Senior"/>
    <x v="0"/>
    <s v="No"/>
    <n v="1"/>
    <s v="Yes"/>
    <n v="7"/>
    <n v="0.1"/>
    <n v="8.9"/>
    <s v="No"/>
    <s v="Poor"/>
    <s v="No"/>
    <s v="Executive"/>
    <s v="Tuesday"/>
    <s v="Evening"/>
  </r>
  <r>
    <x v="256"/>
    <s v="2024-07-23 06:39:17"/>
    <x v="4"/>
    <s v="2024-07-27 06:39:17"/>
    <n v="96"/>
    <n v="4"/>
    <s v="Email/Calendar"/>
    <s v="Mailbox Full"/>
    <x v="1"/>
    <n v="120"/>
    <x v="1"/>
    <s v="Phone"/>
    <s v="Tier 1"/>
    <s v="TECH-5"/>
    <s v="Mid-level"/>
    <x v="0"/>
    <s v="No"/>
    <n v="1"/>
    <s v="No"/>
    <n v="9"/>
    <n v="0.1"/>
    <n v="36.1"/>
    <s v="No"/>
    <s v="Poor"/>
    <s v="No"/>
    <s v="Marketing"/>
    <s v="Wednesday"/>
    <s v="Morning"/>
  </r>
  <r>
    <x v="257"/>
    <s v="2024-09-11 07:18:28"/>
    <x v="9"/>
    <s v="2024-09-19 20:06:28"/>
    <n v="204.8"/>
    <n v="8.5"/>
    <s v="Email/Calendar"/>
    <s v="Distribution List"/>
    <x v="0"/>
    <n v="240"/>
    <x v="1"/>
    <s v="Email"/>
    <s v="Tier 1"/>
    <s v="TECH-19"/>
    <s v="Junior"/>
    <x v="0"/>
    <s v="No"/>
    <n v="1"/>
    <s v="No"/>
    <n v="9"/>
    <n v="3.7"/>
    <n v="22.2"/>
    <s v="No"/>
    <s v="Good"/>
    <s v="No"/>
    <s v="IT"/>
    <s v="Tuesday"/>
    <s v="Afternoon"/>
  </r>
  <r>
    <x v="258"/>
    <s v="2024-01-18 06:51:45"/>
    <x v="3"/>
    <s v="2024-01-26 02:39:45"/>
    <n v="187.8"/>
    <n v="7.8"/>
    <s v="Email/Calendar"/>
    <s v="Distribution List"/>
    <x v="0"/>
    <n v="240"/>
    <x v="1"/>
    <s v="Phone"/>
    <s v="Tier 1"/>
    <s v="TECH-23"/>
    <s v="Junior"/>
    <x v="0"/>
    <s v="No"/>
    <n v="1"/>
    <s v="No"/>
    <n v="7"/>
    <n v="1.5"/>
    <n v="21.7"/>
    <s v="Yes"/>
    <s v="Good"/>
    <s v="Yes"/>
    <s v="Legal"/>
    <s v="Thursday"/>
    <s v="Evening"/>
  </r>
  <r>
    <x v="259"/>
    <s v="2024-09-02 05:00:08"/>
    <x v="9"/>
    <s v="2024-09-11 09:24:08"/>
    <n v="220.4"/>
    <n v="9.1999999999999993"/>
    <s v="Password Reset"/>
    <s v="Windows Password"/>
    <x v="2"/>
    <n v="360"/>
    <x v="1"/>
    <s v="Phone"/>
    <s v="Tier 1"/>
    <s v="TECH-3"/>
    <s v="Mid-level"/>
    <x v="1"/>
    <s v="No"/>
    <n v="0"/>
    <s v="No"/>
    <n v="10"/>
    <n v="5.9"/>
    <n v="0"/>
    <s v="No"/>
    <s v="Excellent"/>
    <s v="No"/>
    <s v="Legal"/>
    <s v="Tuesday"/>
    <s v="Morning"/>
  </r>
  <r>
    <x v="260"/>
    <s v="2024-02-08 20:04:30"/>
    <x v="6"/>
    <s v="2024-02-16 07:16:30"/>
    <n v="179.2"/>
    <n v="7.5"/>
    <s v="Network Connectivity"/>
    <s v="VPN Connection"/>
    <x v="0"/>
    <n v="240"/>
    <x v="1"/>
    <s v="Phone"/>
    <s v="Tier 2"/>
    <s v="TECH-15"/>
    <s v="Junior"/>
    <x v="0"/>
    <s v="Yes"/>
    <n v="3"/>
    <s v="No"/>
    <n v="10"/>
    <n v="4.5"/>
    <n v="31.8"/>
    <s v="No"/>
    <s v="Fair"/>
    <s v="Yes"/>
    <s v="Legal"/>
    <s v="Tuesday"/>
    <s v="Afternoon"/>
  </r>
  <r>
    <x v="261"/>
    <s v="2024-05-18 16:26:16"/>
    <x v="8"/>
    <s v="2024-05-25 05:20:16"/>
    <n v="156.9"/>
    <n v="6.5"/>
    <s v="Network Connectivity"/>
    <s v="WiFi Issues"/>
    <x v="0"/>
    <n v="240"/>
    <x v="1"/>
    <s v="Email"/>
    <s v="Tier 1"/>
    <s v="TECH-20"/>
    <s v="Junior"/>
    <x v="1"/>
    <s v="No"/>
    <n v="0"/>
    <s v="No"/>
    <n v="8"/>
    <n v="0.2"/>
    <n v="21.4"/>
    <s v="Yes"/>
    <s v="Good"/>
    <s v="Yes"/>
    <s v="Marketing"/>
    <s v="Tuesday"/>
    <s v="Morning"/>
  </r>
  <r>
    <x v="262"/>
    <s v="2024-06-25 12:34:30"/>
    <x v="10"/>
    <s v="2024-06-28 15:10:30"/>
    <n v="74.599999999999994"/>
    <n v="3.1"/>
    <s v="Application Errors"/>
    <s v="Login Issues"/>
    <x v="1"/>
    <n v="120"/>
    <x v="1"/>
    <s v="Portal"/>
    <s v="Tier 1"/>
    <s v="TECH-13"/>
    <s v="Mid-level"/>
    <x v="0"/>
    <s v="No"/>
    <n v="1"/>
    <s v="No"/>
    <n v="6"/>
    <n v="3.3"/>
    <n v="8.4"/>
    <s v="Yes"/>
    <s v="Fair"/>
    <s v="Yes"/>
    <s v="Legal"/>
    <s v="Thursday"/>
    <s v="Morning"/>
  </r>
  <r>
    <x v="263"/>
    <s v="2024-03-18 01:05:52"/>
    <x v="5"/>
    <s v="2024-03-22 02:11:52"/>
    <n v="73.099999999999994"/>
    <n v="3"/>
    <s v="Network Connectivity"/>
    <s v="Slow Network"/>
    <x v="1"/>
    <n v="120"/>
    <x v="1"/>
    <s v="Walk-in"/>
    <s v="Tier 1"/>
    <s v="TECH-23"/>
    <s v="Junior"/>
    <x v="0"/>
    <s v="No"/>
    <n v="1"/>
    <s v="No"/>
    <n v="6"/>
    <n v="0.9"/>
    <n v="26.1"/>
    <s v="Yes"/>
    <s v="Fair"/>
    <s v="Yes"/>
    <s v="Finance"/>
    <s v="Friday"/>
    <s v="Evening"/>
  </r>
  <r>
    <x v="264"/>
    <s v="2024-02-26 11:56:02"/>
    <x v="6"/>
    <s v="2024-02-29 07:02:02"/>
    <n v="67.099999999999994"/>
    <n v="2.8"/>
    <s v="Email/Calendar"/>
    <s v="Cannot Send/Receive"/>
    <x v="3"/>
    <n v="48"/>
    <x v="0"/>
    <s v="Phone"/>
    <s v="Tier 1"/>
    <s v="TECH-13"/>
    <s v="Senior"/>
    <x v="0"/>
    <s v="No"/>
    <n v="1"/>
    <s v="No"/>
    <n v="2"/>
    <n v="1.8"/>
    <n v="25.1"/>
    <s v="Yes"/>
    <s v="Fair"/>
    <s v="No"/>
    <s v="Finance"/>
    <s v="Thursday"/>
    <s v="Morning"/>
  </r>
  <r>
    <x v="265"/>
    <s v="2024-01-24 16:01:08"/>
    <x v="3"/>
    <s v="2024-02-04 06:19:08"/>
    <n v="254.3"/>
    <n v="10.6"/>
    <s v="Password Reset"/>
    <s v="Application Password"/>
    <x v="2"/>
    <n v="360"/>
    <x v="1"/>
    <s v="Email"/>
    <s v="Tier 1"/>
    <s v="TECH-9"/>
    <s v="Junior"/>
    <x v="1"/>
    <s v="No"/>
    <n v="0"/>
    <s v="No"/>
    <n v="10"/>
    <n v="2.9"/>
    <n v="25.2"/>
    <s v="Yes"/>
    <s v="Fair"/>
    <s v="Yes"/>
    <s v="HR"/>
    <s v="Monday"/>
    <s v="Morning"/>
  </r>
  <r>
    <x v="266"/>
    <s v="2024-06-04 04:37:53"/>
    <x v="10"/>
    <s v="2024-06-10 00:37:53"/>
    <n v="164"/>
    <n v="6.8"/>
    <s v="Hardware Issues"/>
    <s v="Printer"/>
    <x v="0"/>
    <n v="240"/>
    <x v="1"/>
    <s v="Email"/>
    <s v="Tier 1"/>
    <s v="TECH-11"/>
    <s v="Mid-level"/>
    <x v="1"/>
    <s v="No"/>
    <n v="0"/>
    <s v="No"/>
    <n v="10"/>
    <n v="2.8"/>
    <n v="2.8"/>
    <s v="Yes"/>
    <s v="Good"/>
    <s v="Yes"/>
    <s v="Operations"/>
    <s v="Tuesday"/>
    <s v="Afternoon"/>
  </r>
  <r>
    <x v="267"/>
    <s v="2024-05-03 10:18:20"/>
    <x v="8"/>
    <s v="2024-05-15 05:54:20"/>
    <n v="283.60000000000002"/>
    <n v="11.8"/>
    <s v="Application Errors"/>
    <s v="Performance"/>
    <x v="2"/>
    <n v="360"/>
    <x v="1"/>
    <s v="Portal"/>
    <s v="Tier 1"/>
    <s v="TECH-20"/>
    <s v="Mid-level"/>
    <x v="0"/>
    <s v="No"/>
    <n v="1"/>
    <s v="No"/>
    <n v="6"/>
    <n v="1.4"/>
    <n v="21.1"/>
    <s v="No"/>
    <s v="Poor"/>
    <s v="Yes"/>
    <s v="Operations"/>
    <s v="Tuesday"/>
    <s v="Morning"/>
  </r>
  <r>
    <x v="268"/>
    <s v="2024-11-21 13:16:08"/>
    <x v="7"/>
    <s v="2024-11-29 03:04:08"/>
    <n v="181.8"/>
    <n v="7.6"/>
    <s v="Software Installation"/>
    <s v="MS Office"/>
    <x v="0"/>
    <n v="240"/>
    <x v="1"/>
    <s v="Phone"/>
    <s v="Tier 2"/>
    <s v="TECH-8"/>
    <s v="Mid-level"/>
    <x v="0"/>
    <s v="Yes"/>
    <n v="3"/>
    <s v="No"/>
    <n v="8"/>
    <n v="3.5"/>
    <n v="35.799999999999997"/>
    <s v="Yes"/>
    <s v="Poor"/>
    <s v="Yes"/>
    <s v="Finance"/>
    <s v="Thursday"/>
    <s v="Afternoon"/>
  </r>
  <r>
    <x v="269"/>
    <s v="2024-01-17 00:17:31"/>
    <x v="3"/>
    <s v="2024-01-30 23:11:31"/>
    <n v="310.89999999999998"/>
    <n v="13"/>
    <s v="Password Reset"/>
    <s v="Windows Password"/>
    <x v="2"/>
    <n v="360"/>
    <x v="1"/>
    <s v="Portal"/>
    <s v="Tier 1"/>
    <s v="TECH-24"/>
    <s v="Junior"/>
    <x v="1"/>
    <s v="No"/>
    <n v="0"/>
    <s v="No"/>
    <n v="10"/>
    <n v="4.9000000000000004"/>
    <n v="31.4"/>
    <s v="No"/>
    <s v="Fair"/>
    <s v="No"/>
    <s v="Legal"/>
    <s v="Tuesday"/>
    <s v="Afternoon"/>
  </r>
  <r>
    <x v="270"/>
    <s v="2024-11-21 05:21:31"/>
    <x v="7"/>
    <s v="2024-11-22 16:03:31"/>
    <n v="34.700000000000003"/>
    <n v="1.4"/>
    <s v="Other"/>
    <s v="General Inquiry"/>
    <x v="3"/>
    <n v="48"/>
    <x v="1"/>
    <s v="Portal"/>
    <s v="Tier 2"/>
    <s v="TECH-16"/>
    <s v="Junior"/>
    <x v="0"/>
    <s v="Yes"/>
    <n v="4"/>
    <s v="No"/>
    <n v="7"/>
    <n v="4.3"/>
    <n v="16.100000000000001"/>
    <s v="No"/>
    <s v="Fair"/>
    <s v="No"/>
    <s v="Executive"/>
    <s v="Tuesday"/>
    <s v="Morning"/>
  </r>
  <r>
    <x v="271"/>
    <s v="2024-06-04 20:55:08"/>
    <x v="10"/>
    <s v="2024-06-08 09:13:08"/>
    <n v="84.3"/>
    <n v="3.5"/>
    <s v="Hardware Issues"/>
    <s v="Keyboard/Mouse"/>
    <x v="1"/>
    <n v="120"/>
    <x v="1"/>
    <s v="Phone"/>
    <s v="Tier 2"/>
    <s v="TECH-21"/>
    <s v="Senior"/>
    <x v="0"/>
    <s v="Yes"/>
    <n v="1"/>
    <s v="No"/>
    <n v="7"/>
    <n v="1.6"/>
    <n v="3.9"/>
    <s v="Yes"/>
    <s v="Good"/>
    <s v="Yes"/>
    <s v="IT"/>
    <s v="Monday"/>
    <s v="Afternoon"/>
  </r>
  <r>
    <x v="272"/>
    <s v="2024-09-14 09:44:52"/>
    <x v="9"/>
    <s v="2024-09-23 11:26:52"/>
    <n v="217.7"/>
    <n v="9.1"/>
    <s v="Other"/>
    <s v="Miscellaneous"/>
    <x v="0"/>
    <n v="240"/>
    <x v="1"/>
    <s v="Email"/>
    <s v="Tier 1"/>
    <s v="TECH-6"/>
    <s v="Mid-level"/>
    <x v="1"/>
    <s v="No"/>
    <n v="0"/>
    <s v="No"/>
    <n v="10"/>
    <n v="4.8"/>
    <n v="9.8000000000000007"/>
    <s v="Yes"/>
    <s v="Good"/>
    <s v="Yes"/>
    <s v="Sales"/>
    <s v="Wednesday"/>
    <s v="Evening"/>
  </r>
  <r>
    <x v="273"/>
    <s v="2024-06-01 20:53:17"/>
    <x v="10"/>
    <s v="2024-06-15 03:29:17"/>
    <n v="318.60000000000002"/>
    <n v="13.3"/>
    <s v="Email/Calendar"/>
    <s v="Distribution List"/>
    <x v="0"/>
    <n v="240"/>
    <x v="0"/>
    <s v="Portal"/>
    <s v="Tier 1"/>
    <s v="TECH-4"/>
    <s v="Junior"/>
    <x v="0"/>
    <s v="No"/>
    <n v="1"/>
    <s v="No"/>
    <n v="5"/>
    <n v="4.9000000000000004"/>
    <n v="34.4"/>
    <s v="Yes"/>
    <s v="Good"/>
    <s v="No"/>
    <s v="Legal"/>
    <s v="Wednesday"/>
    <s v="Evening"/>
  </r>
  <r>
    <x v="274"/>
    <s v="2024-07-12 09:06:50"/>
    <x v="4"/>
    <s v="2024-07-18 20:54:50"/>
    <n v="155.80000000000001"/>
    <n v="6.5"/>
    <s v="Software Installation"/>
    <s v="VPN Client"/>
    <x v="0"/>
    <n v="240"/>
    <x v="1"/>
    <s v="Portal"/>
    <s v="Tier 2"/>
    <s v="TECH-9"/>
    <s v="Mid-level"/>
    <x v="0"/>
    <s v="Yes"/>
    <n v="4"/>
    <s v="No"/>
    <n v="8"/>
    <n v="0.1"/>
    <n v="24.4"/>
    <s v="Yes"/>
    <s v="Fair"/>
    <s v="Yes"/>
    <s v="HR"/>
    <s v="Friday"/>
    <s v="Morning"/>
  </r>
  <r>
    <x v="275"/>
    <s v="2024-03-12 11:00:45"/>
    <x v="5"/>
    <s v="2024-03-23 16:30:45"/>
    <n v="269.5"/>
    <n v="11.2"/>
    <s v="Access Requests"/>
    <s v="Admin Rights"/>
    <x v="2"/>
    <n v="360"/>
    <x v="1"/>
    <s v="Email"/>
    <s v="Tier 1"/>
    <s v="TECH-5"/>
    <s v="Mid-level"/>
    <x v="1"/>
    <s v="No"/>
    <n v="0"/>
    <s v="No"/>
    <n v="6"/>
    <n v="6"/>
    <n v="23.1"/>
    <s v="No"/>
    <s v="Good"/>
    <s v="No"/>
    <s v="Executive"/>
    <s v="Wednesday"/>
    <s v="Afternoon"/>
  </r>
  <r>
    <x v="276"/>
    <s v="2024-10-19 22:20:17"/>
    <x v="2"/>
    <s v="2024-10-30 04:32:17"/>
    <n v="247.2"/>
    <n v="10.3"/>
    <s v="Password Reset"/>
    <s v="Account Unlock"/>
    <x v="2"/>
    <n v="360"/>
    <x v="1"/>
    <s v="Phone"/>
    <s v="Tier 1"/>
    <s v="TECH-23"/>
    <s v="Mid-level"/>
    <x v="1"/>
    <s v="No"/>
    <n v="0"/>
    <s v="No"/>
    <n v="10"/>
    <n v="4"/>
    <n v="40.799999999999997"/>
    <s v="No"/>
    <s v="Fair"/>
    <s v="Yes"/>
    <s v="Marketing"/>
    <s v="Tuesday"/>
    <s v="Morning"/>
  </r>
  <r>
    <x v="277"/>
    <s v="2024-08-31 03:32:47"/>
    <x v="1"/>
    <s v="2024-09-06 05:38:47"/>
    <n v="146.1"/>
    <n v="6.1"/>
    <s v="Software Installation"/>
    <s v="Adobe Suite"/>
    <x v="0"/>
    <n v="240"/>
    <x v="1"/>
    <s v="Portal"/>
    <s v="Tier 2"/>
    <s v="TECH-17"/>
    <s v="Mid-level"/>
    <x v="0"/>
    <s v="Yes"/>
    <n v="1"/>
    <s v="No"/>
    <n v="7"/>
    <n v="1.8"/>
    <n v="25.2"/>
    <s v="No"/>
    <s v="Fair"/>
    <s v="Yes"/>
    <s v="Sales"/>
    <s v="Tuesday"/>
    <s v="Morning"/>
  </r>
  <r>
    <x v="278"/>
    <s v="2024-07-11 06:54:53"/>
    <x v="4"/>
    <s v="2024-07-17 22:42:53"/>
    <n v="159.80000000000001"/>
    <n v="6.7"/>
    <s v="Email/Calendar"/>
    <s v="Distribution List"/>
    <x v="0"/>
    <n v="240"/>
    <x v="1"/>
    <s v="Portal"/>
    <s v="Tier 1"/>
    <s v="TECH-6"/>
    <s v="Mid-level"/>
    <x v="0"/>
    <s v="No"/>
    <n v="1"/>
    <s v="No"/>
    <n v="10"/>
    <n v="0.1"/>
    <n v="14.8"/>
    <s v="No"/>
    <s v="Fair"/>
    <s v="Yes"/>
    <s v="Operations"/>
    <s v="Friday"/>
    <s v="Morning"/>
  </r>
  <r>
    <x v="279"/>
    <s v="2024-08-29 23:20:44"/>
    <x v="1"/>
    <s v="2024-09-03 05:26:44"/>
    <n v="102.1"/>
    <n v="4.3"/>
    <s v="Application Errors"/>
    <s v="Crash"/>
    <x v="1"/>
    <n v="120"/>
    <x v="1"/>
    <s v="Portal"/>
    <s v="Tier 1"/>
    <s v="TECH-15"/>
    <s v="Senior"/>
    <x v="0"/>
    <s v="No"/>
    <n v="1"/>
    <s v="No"/>
    <n v="8"/>
    <n v="4.0999999999999996"/>
    <n v="18.2"/>
    <s v="Yes"/>
    <s v="Excellent"/>
    <s v="Yes"/>
    <s v="Executive"/>
    <s v="Friday"/>
    <s v="Afternoon"/>
  </r>
  <r>
    <x v="280"/>
    <s v="2024-03-21 12:06:23"/>
    <x v="5"/>
    <s v="2024-04-12 08:24:23"/>
    <n v="523.29999999999995"/>
    <n v="21.8"/>
    <s v="Password Reset"/>
    <s v="Email Password"/>
    <x v="2"/>
    <n v="360"/>
    <x v="0"/>
    <s v="Portal"/>
    <s v="Tier 1"/>
    <s v="TECH-11"/>
    <s v="Senior"/>
    <x v="0"/>
    <s v="No"/>
    <n v="1"/>
    <s v="No"/>
    <n v="5"/>
    <n v="3.3"/>
    <n v="8"/>
    <s v="Yes"/>
    <s v="Good"/>
    <s v="Yes"/>
    <s v="Finance"/>
    <s v="Wednesday"/>
    <s v="Morning"/>
  </r>
  <r>
    <x v="281"/>
    <s v="2024-05-19 15:15:11"/>
    <x v="8"/>
    <s v="2024-05-31 00:45:11"/>
    <n v="297.5"/>
    <n v="12.4"/>
    <s v="Access Requests"/>
    <s v="Application Access"/>
    <x v="2"/>
    <n v="360"/>
    <x v="1"/>
    <s v="Email"/>
    <s v="Tier 1"/>
    <s v="TECH-25"/>
    <s v="Junior"/>
    <x v="0"/>
    <s v="No"/>
    <n v="1"/>
    <s v="Yes"/>
    <n v="9"/>
    <n v="2.9"/>
    <n v="2.7"/>
    <s v="Yes"/>
    <s v="Poor"/>
    <s v="No"/>
    <s v="Legal"/>
    <s v="Monday"/>
    <s v="Morning"/>
  </r>
  <r>
    <x v="282"/>
    <s v="2024-04-24 05:13:40"/>
    <x v="11"/>
    <s v="2024-05-07 07:13:40"/>
    <n v="314"/>
    <n v="13.1"/>
    <s v="Access Requests"/>
    <s v="File Share"/>
    <x v="2"/>
    <n v="360"/>
    <x v="1"/>
    <s v="Phone"/>
    <s v="Tier 1"/>
    <s v="TECH-13"/>
    <s v="Mid-level"/>
    <x v="0"/>
    <s v="No"/>
    <n v="1"/>
    <s v="No"/>
    <n v="6"/>
    <n v="1.6"/>
    <n v="7.6"/>
    <s v="Yes"/>
    <s v="Good"/>
    <s v="No"/>
    <s v="Executive"/>
    <s v="Wednesday"/>
    <s v="Morning"/>
  </r>
  <r>
    <x v="283"/>
    <s v="2024-03-16 15:51:26"/>
    <x v="5"/>
    <s v="2024-03-24 05:51:26"/>
    <n v="182"/>
    <n v="7.6"/>
    <s v="Access Requests"/>
    <s v="Application Access"/>
    <x v="0"/>
    <n v="240"/>
    <x v="1"/>
    <s v="Portal"/>
    <s v="Tier 2"/>
    <s v="TECH-14"/>
    <s v="Mid-level"/>
    <x v="0"/>
    <s v="Yes"/>
    <n v="4"/>
    <s v="Yes"/>
    <n v="9"/>
    <n v="6.7"/>
    <n v="4.9000000000000004"/>
    <s v="Yes"/>
    <s v="Excellent"/>
    <s v="Yes"/>
    <s v="Marketing"/>
    <s v="Friday"/>
    <s v="Afternoon"/>
  </r>
  <r>
    <x v="284"/>
    <s v="2024-10-05 00:44:45"/>
    <x v="2"/>
    <s v="2024-10-09 06:56:45"/>
    <n v="78.2"/>
    <n v="3.3"/>
    <s v="Email/Calendar"/>
    <s v="Distribution List"/>
    <x v="1"/>
    <n v="120"/>
    <x v="1"/>
    <s v="Walk-in"/>
    <s v="Tier 1"/>
    <s v="TECH-23"/>
    <s v="Senior"/>
    <x v="1"/>
    <s v="No"/>
    <n v="0"/>
    <s v="No"/>
    <n v="10"/>
    <n v="2.2000000000000002"/>
    <n v="26.9"/>
    <s v="Yes"/>
    <s v="Fair"/>
    <s v="Yes"/>
    <s v="Sales"/>
    <s v="Tuesday"/>
    <s v="Evening"/>
  </r>
  <r>
    <x v="285"/>
    <s v="2024-09-29 02:50:24"/>
    <x v="9"/>
    <s v="2024-10-12 17:08:24"/>
    <n v="302.3"/>
    <n v="12.6"/>
    <s v="Other"/>
    <s v="Documentation"/>
    <x v="2"/>
    <n v="360"/>
    <x v="1"/>
    <s v="Phone"/>
    <s v="Tier 1"/>
    <s v="TECH-7"/>
    <s v="Junior"/>
    <x v="0"/>
    <s v="No"/>
    <n v="1"/>
    <s v="No"/>
    <n v="10"/>
    <n v="0.5"/>
    <n v="28.8"/>
    <s v="Yes"/>
    <s v="Good"/>
    <s v="No"/>
    <s v="Finance"/>
    <s v="Friday"/>
    <s v="Evening"/>
  </r>
  <r>
    <x v="286"/>
    <s v="2024-05-20 10:07:27"/>
    <x v="8"/>
    <s v="2024-05-27 04:37:27"/>
    <n v="162.5"/>
    <n v="6.8"/>
    <s v="Software Installation"/>
    <s v="Adobe Suite"/>
    <x v="0"/>
    <n v="240"/>
    <x v="1"/>
    <s v="Email"/>
    <s v="Tier 1"/>
    <s v="TECH-2"/>
    <s v="Mid-level"/>
    <x v="1"/>
    <s v="No"/>
    <n v="0"/>
    <s v="No"/>
    <n v="10"/>
    <n v="4"/>
    <n v="31"/>
    <s v="No"/>
    <s v="Poor"/>
    <s v="Yes"/>
    <s v="Marketing"/>
    <s v="Monday"/>
    <s v="Morning"/>
  </r>
  <r>
    <x v="287"/>
    <s v="2024-05-24 09:47:22"/>
    <x v="8"/>
    <s v="2024-05-28 20:29:22"/>
    <n v="106.7"/>
    <n v="4.4000000000000004"/>
    <s v="Application Errors"/>
    <s v="Login Issues"/>
    <x v="1"/>
    <n v="120"/>
    <x v="1"/>
    <s v="Chat"/>
    <s v="Tier 1"/>
    <s v="TECH-9"/>
    <s v="Mid-level"/>
    <x v="0"/>
    <s v="No"/>
    <n v="1"/>
    <s v="Yes"/>
    <n v="8"/>
    <n v="2.1"/>
    <n v="23.9"/>
    <s v="Yes"/>
    <s v="Good"/>
    <s v="No"/>
    <s v="Executive"/>
    <s v="Wednesday"/>
    <s v="Morning"/>
  </r>
  <r>
    <x v="288"/>
    <s v="2024-03-06 07:47:40"/>
    <x v="5"/>
    <s v="2024-03-25 18:53:40"/>
    <n v="467.1"/>
    <n v="19.5"/>
    <s v="Email/Calendar"/>
    <s v="Cannot Send/Receive"/>
    <x v="0"/>
    <n v="240"/>
    <x v="0"/>
    <s v="Email"/>
    <s v="Tier 1"/>
    <s v="TECH-6"/>
    <s v="Senior"/>
    <x v="0"/>
    <s v="No"/>
    <n v="1"/>
    <s v="No"/>
    <n v="6"/>
    <n v="3.6"/>
    <n v="31.9"/>
    <s v="Yes"/>
    <s v="Fair"/>
    <s v="No"/>
    <s v="IT"/>
    <s v="Thursday"/>
    <s v="Morning"/>
  </r>
  <r>
    <x v="289"/>
    <s v="2024-07-30 19:50:57"/>
    <x v="4"/>
    <s v="2024-08-04 10:44:57"/>
    <n v="110.9"/>
    <n v="4.5999999999999996"/>
    <s v="Software Installation"/>
    <s v="VPN Client"/>
    <x v="1"/>
    <n v="120"/>
    <x v="1"/>
    <s v="Walk-in"/>
    <s v="Tier 1"/>
    <s v="TECH-25"/>
    <s v="Junior"/>
    <x v="0"/>
    <s v="No"/>
    <n v="1"/>
    <s v="No"/>
    <n v="9"/>
    <n v="0.1"/>
    <n v="39.700000000000003"/>
    <s v="Yes"/>
    <s v="Good"/>
    <s v="No"/>
    <s v="IT"/>
    <s v="Monday"/>
    <s v="Morning"/>
  </r>
  <r>
    <x v="290"/>
    <s v="2024-03-02 23:36:45"/>
    <x v="5"/>
    <s v="2024-03-13 04:54:45"/>
    <n v="245.3"/>
    <n v="10.199999999999999"/>
    <s v="Email/Calendar"/>
    <s v="Distribution List"/>
    <x v="2"/>
    <n v="360"/>
    <x v="1"/>
    <s v="Phone"/>
    <s v="Tier 1"/>
    <s v="TECH-13"/>
    <s v="Junior"/>
    <x v="0"/>
    <s v="No"/>
    <n v="1"/>
    <s v="Yes"/>
    <n v="6"/>
    <n v="0.3"/>
    <n v="0"/>
    <s v="No"/>
    <s v="Good"/>
    <s v="No"/>
    <s v="IT"/>
    <s v="Wednesday"/>
    <s v="Evening"/>
  </r>
  <r>
    <x v="291"/>
    <s v="2024-02-27 16:26:27"/>
    <x v="6"/>
    <s v="2024-03-06 06:20:27"/>
    <n v="181.9"/>
    <n v="7.6"/>
    <s v="Application Errors"/>
    <s v="Features Not Working"/>
    <x v="0"/>
    <n v="240"/>
    <x v="1"/>
    <s v="Portal"/>
    <s v="Tier 1"/>
    <s v="TECH-7"/>
    <s v="Senior"/>
    <x v="1"/>
    <s v="No"/>
    <n v="0"/>
    <s v="No"/>
    <n v="9"/>
    <n v="0.2"/>
    <n v="17.600000000000001"/>
    <s v="Yes"/>
    <s v="Good"/>
    <s v="Yes"/>
    <s v="Operations"/>
    <s v="Monday"/>
    <s v="Evening"/>
  </r>
  <r>
    <x v="292"/>
    <s v="2024-11-01 01:00:15"/>
    <x v="7"/>
    <s v="2024-11-08 06:48:15"/>
    <n v="149.80000000000001"/>
    <n v="6.2"/>
    <s v="Software Installation"/>
    <s v="Drivers"/>
    <x v="0"/>
    <n v="240"/>
    <x v="1"/>
    <s v="Phone"/>
    <s v="Tier 2"/>
    <s v="TECH-21"/>
    <s v="Junior"/>
    <x v="0"/>
    <s v="Yes"/>
    <n v="1"/>
    <s v="No"/>
    <n v="6"/>
    <n v="0.8"/>
    <n v="18.5"/>
    <s v="No"/>
    <s v="Fair"/>
    <s v="Yes"/>
    <s v="Sales"/>
    <s v="Thursday"/>
    <s v="Afternoon"/>
  </r>
  <r>
    <x v="293"/>
    <s v="2024-10-30 16:55:21"/>
    <x v="2"/>
    <s v="2024-11-06 06:43:21"/>
    <n v="157.80000000000001"/>
    <n v="6.6"/>
    <s v="Access Requests"/>
    <s v="Admin Rights"/>
    <x v="1"/>
    <n v="120"/>
    <x v="0"/>
    <s v="Phone"/>
    <s v="Tier 2"/>
    <s v="TECH-2"/>
    <s v="Junior"/>
    <x v="0"/>
    <s v="Yes"/>
    <n v="3"/>
    <s v="Yes"/>
    <n v="6"/>
    <n v="3.8"/>
    <n v="27.6"/>
    <s v="Yes"/>
    <s v="Good"/>
    <s v="Yes"/>
    <s v="HR"/>
    <s v="Thursday"/>
    <s v="Morning"/>
  </r>
  <r>
    <x v="294"/>
    <s v="2024-05-08 18:07:50"/>
    <x v="8"/>
    <s v="2024-05-19 07:37:50"/>
    <n v="253.5"/>
    <n v="10.6"/>
    <s v="Software Installation"/>
    <s v="MS Office"/>
    <x v="2"/>
    <n v="360"/>
    <x v="1"/>
    <s v="Email"/>
    <s v="Tier 1"/>
    <s v="TECH-5"/>
    <s v="Mid-level"/>
    <x v="0"/>
    <s v="No"/>
    <n v="1"/>
    <s v="Yes"/>
    <n v="10"/>
    <n v="0.8"/>
    <n v="15"/>
    <s v="No"/>
    <s v="Fair"/>
    <s v="Yes"/>
    <s v="Legal"/>
    <s v="Thursday"/>
    <s v="Morning"/>
  </r>
  <r>
    <x v="295"/>
    <s v="2024-09-09 05:55:46"/>
    <x v="9"/>
    <s v="2024-09-11 03:01:46"/>
    <n v="45.1"/>
    <n v="1.9"/>
    <s v="Other"/>
    <s v="Training Request"/>
    <x v="3"/>
    <n v="48"/>
    <x v="1"/>
    <s v="Portal"/>
    <s v="Tier 1"/>
    <s v="TECH-5"/>
    <s v="Mid-level"/>
    <x v="0"/>
    <s v="No"/>
    <n v="1"/>
    <s v="No"/>
    <n v="9"/>
    <n v="3.7"/>
    <n v="19.3"/>
    <s v="Yes"/>
    <s v="Good"/>
    <s v="No"/>
    <s v="Finance"/>
    <s v="Monday"/>
    <s v="Afternoon"/>
  </r>
  <r>
    <x v="296"/>
    <s v="2024-12-29 02:45:26"/>
    <x v="0"/>
    <s v="2025-01-10 08:57:26"/>
    <n v="294.2"/>
    <n v="12.3"/>
    <s v="Hardware Issues"/>
    <s v="Keyboard/Mouse"/>
    <x v="0"/>
    <n v="240"/>
    <x v="0"/>
    <s v="Email"/>
    <s v="Tier 1"/>
    <s v="TECH-3"/>
    <s v="Mid-level"/>
    <x v="0"/>
    <s v="No"/>
    <n v="1"/>
    <s v="No"/>
    <n v="4"/>
    <n v="2.8"/>
    <n v="10.1"/>
    <s v="No"/>
    <s v="Fair"/>
    <s v="Yes"/>
    <s v="IT"/>
    <s v="Tuesday"/>
    <s v="Afternoon"/>
  </r>
  <r>
    <x v="297"/>
    <s v="2024-07-26 17:19:46"/>
    <x v="4"/>
    <s v="2024-07-31 07:25:46"/>
    <n v="110.1"/>
    <n v="4.5999999999999996"/>
    <s v="Password Reset"/>
    <s v="Account Unlock"/>
    <x v="1"/>
    <n v="120"/>
    <x v="1"/>
    <s v="Phone"/>
    <s v="Tier 1"/>
    <s v="TECH-19"/>
    <s v="Mid-level"/>
    <x v="1"/>
    <s v="No"/>
    <n v="0"/>
    <s v="No"/>
    <n v="7"/>
    <n v="3.7"/>
    <n v="0.3"/>
    <s v="Yes"/>
    <s v="Excellent"/>
    <s v="Yes"/>
    <s v="Executive"/>
    <s v="Friday"/>
    <s v="Morning"/>
  </r>
  <r>
    <x v="298"/>
    <s v="2024-10-08 01:54:45"/>
    <x v="2"/>
    <s v="2024-10-16 21:12:45"/>
    <n v="187.3"/>
    <n v="7.8"/>
    <s v="Hardware Issues"/>
    <s v="Keyboard/Mouse"/>
    <x v="1"/>
    <n v="120"/>
    <x v="0"/>
    <s v="Email"/>
    <s v="Tier 2"/>
    <s v="TECH-14"/>
    <s v="Junior"/>
    <x v="0"/>
    <s v="Yes"/>
    <n v="2"/>
    <s v="No"/>
    <n v="5"/>
    <n v="4.3"/>
    <n v="21"/>
    <s v="Yes"/>
    <s v="Good"/>
    <s v="Yes"/>
    <s v="Executive"/>
    <s v="Thursday"/>
    <s v="Morning"/>
  </r>
  <r>
    <x v="299"/>
    <s v="2024-02-25 04:10:12"/>
    <x v="6"/>
    <s v="2024-02-29 08:22:12"/>
    <n v="100.2"/>
    <n v="4.2"/>
    <s v="Application Errors"/>
    <s v="Login Issues"/>
    <x v="1"/>
    <n v="120"/>
    <x v="1"/>
    <s v="Phone"/>
    <s v="Tier 2"/>
    <s v="TECH-21"/>
    <s v="Mid-level"/>
    <x v="0"/>
    <s v="Yes"/>
    <n v="2"/>
    <s v="No"/>
    <n v="6"/>
    <n v="3.2"/>
    <n v="36.799999999999997"/>
    <s v="Yes"/>
    <s v="Good"/>
    <s v="Yes"/>
    <s v="HR"/>
    <s v="Wednesday"/>
    <s v="Morning"/>
  </r>
  <r>
    <x v="300"/>
    <s v="2024-12-01 18:32:40"/>
    <x v="0"/>
    <s v="2024-12-25 13:26:40"/>
    <n v="570.9"/>
    <n v="23.8"/>
    <s v="Access Requests"/>
    <s v="VPN Access"/>
    <x v="0"/>
    <n v="240"/>
    <x v="0"/>
    <s v="Portal"/>
    <s v="Tier 1"/>
    <s v="TECH-1"/>
    <s v="Mid-level"/>
    <x v="1"/>
    <s v="No"/>
    <n v="0"/>
    <s v="No"/>
    <n v="5"/>
    <n v="4.7"/>
    <n v="29.4"/>
    <s v="Yes"/>
    <s v="Good"/>
    <s v="No"/>
    <s v="Sales"/>
    <s v="Monday"/>
    <s v="Afternoon"/>
  </r>
  <r>
    <x v="301"/>
    <s v="2024-01-22 23:08:06"/>
    <x v="3"/>
    <s v="2024-02-06 18:56:06"/>
    <n v="355.8"/>
    <n v="14.8"/>
    <s v="Access Requests"/>
    <s v="File Share"/>
    <x v="0"/>
    <n v="240"/>
    <x v="0"/>
    <s v="Email"/>
    <s v="Tier 1"/>
    <s v="TECH-9"/>
    <s v="Mid-level"/>
    <x v="0"/>
    <s v="No"/>
    <n v="1"/>
    <s v="No"/>
    <n v="5"/>
    <n v="0.1"/>
    <n v="26.7"/>
    <s v="Yes"/>
    <s v="Good"/>
    <s v="No"/>
    <s v="Finance"/>
    <s v="Monday"/>
    <s v="Evening"/>
  </r>
  <r>
    <x v="302"/>
    <s v="2024-06-26 22:41:05"/>
    <x v="10"/>
    <s v="2024-07-01 09:41:05"/>
    <n v="107"/>
    <n v="4.5"/>
    <s v="Software Installation"/>
    <s v="Drivers"/>
    <x v="1"/>
    <n v="120"/>
    <x v="1"/>
    <s v="Phone"/>
    <s v="Tier 1"/>
    <s v="TECH-22"/>
    <s v="Senior"/>
    <x v="0"/>
    <s v="No"/>
    <n v="1"/>
    <s v="No"/>
    <n v="9"/>
    <n v="4.3"/>
    <n v="35.299999999999997"/>
    <s v="Yes"/>
    <s v="Fair"/>
    <s v="Yes"/>
    <s v="Executive"/>
    <s v="Wednesday"/>
    <s v="Evening"/>
  </r>
  <r>
    <x v="303"/>
    <s v="2024-05-02 06:58:12"/>
    <x v="8"/>
    <s v="2024-05-11 15:58:12"/>
    <n v="225"/>
    <n v="9.4"/>
    <s v="Password Reset"/>
    <s v="Email Password"/>
    <x v="2"/>
    <n v="360"/>
    <x v="1"/>
    <s v="Phone"/>
    <s v="Tier 1"/>
    <s v="TECH-16"/>
    <s v="Junior"/>
    <x v="0"/>
    <s v="No"/>
    <n v="1"/>
    <s v="No"/>
    <n v="8"/>
    <n v="2.1"/>
    <n v="21.8"/>
    <s v="No"/>
    <s v="Good"/>
    <s v="Yes"/>
    <s v="Sales"/>
    <s v="Friday"/>
    <s v="Evening"/>
  </r>
  <r>
    <x v="304"/>
    <s v="2024-06-27 00:57:37"/>
    <x v="10"/>
    <s v="2024-07-08 13:39:37"/>
    <n v="252.7"/>
    <n v="10.5"/>
    <s v="Password Reset"/>
    <s v="Email Password"/>
    <x v="2"/>
    <n v="360"/>
    <x v="1"/>
    <s v="Email"/>
    <s v="Tier 1"/>
    <s v="TECH-18"/>
    <s v="Senior"/>
    <x v="0"/>
    <s v="No"/>
    <n v="1"/>
    <s v="No"/>
    <n v="8"/>
    <n v="4.3"/>
    <n v="23"/>
    <s v="Yes"/>
    <s v="Fair"/>
    <s v="No"/>
    <s v="Finance"/>
    <s v="Wednesday"/>
    <s v="Afternoon"/>
  </r>
  <r>
    <x v="305"/>
    <s v="2024-09-25 02:55:40"/>
    <x v="9"/>
    <s v="2024-10-03 23:43:40"/>
    <n v="188.8"/>
    <n v="7.9"/>
    <s v="Software Installation"/>
    <s v="MS Office"/>
    <x v="0"/>
    <n v="240"/>
    <x v="1"/>
    <s v="Phone"/>
    <s v="Tier 1"/>
    <s v="TECH-12"/>
    <s v="Junior"/>
    <x v="0"/>
    <s v="No"/>
    <n v="1"/>
    <s v="No"/>
    <n v="6"/>
    <n v="2.6"/>
    <n v="11.2"/>
    <s v="Yes"/>
    <s v="Fair"/>
    <s v="Yes"/>
    <s v="IT"/>
    <s v="Friday"/>
    <s v="Evening"/>
  </r>
  <r>
    <x v="306"/>
    <s v="2024-04-10 22:24:39"/>
    <x v="11"/>
    <s v="2024-04-17 09:00:39"/>
    <n v="154.6"/>
    <n v="6.4"/>
    <s v="Network Connectivity"/>
    <s v="Ethernet"/>
    <x v="0"/>
    <n v="240"/>
    <x v="1"/>
    <s v="Phone"/>
    <s v="Tier 1"/>
    <s v="TECH-8"/>
    <s v="Junior"/>
    <x v="1"/>
    <s v="No"/>
    <n v="0"/>
    <s v="No"/>
    <n v="9"/>
    <n v="1.9"/>
    <n v="18.100000000000001"/>
    <s v="No"/>
    <s v="Poor"/>
    <s v="Yes"/>
    <s v="Marketing"/>
    <s v="Wednesday"/>
    <s v="Morning"/>
  </r>
  <r>
    <x v="307"/>
    <s v="2024-03-17 09:36:32"/>
    <x v="5"/>
    <s v="2024-03-31 23:12:32"/>
    <n v="348.6"/>
    <n v="14.5"/>
    <s v="Software Installation"/>
    <s v="Adobe Suite"/>
    <x v="0"/>
    <n v="240"/>
    <x v="0"/>
    <s v="Phone"/>
    <s v="Tier 1"/>
    <s v="TECH-14"/>
    <s v="Senior"/>
    <x v="1"/>
    <s v="No"/>
    <n v="0"/>
    <s v="No"/>
    <n v="7"/>
    <n v="0.8"/>
    <n v="27.8"/>
    <s v="Yes"/>
    <s v="Fair"/>
    <s v="No"/>
    <s v="Executive"/>
    <s v="Friday"/>
    <s v="Afternoon"/>
  </r>
  <r>
    <x v="308"/>
    <s v="2024-07-04 23:08:24"/>
    <x v="4"/>
    <s v="2024-07-08 18:44:24"/>
    <n v="91.6"/>
    <n v="3.8"/>
    <s v="Network Connectivity"/>
    <s v="WiFi Issues"/>
    <x v="1"/>
    <n v="120"/>
    <x v="1"/>
    <s v="Email"/>
    <s v="Tier 1"/>
    <s v="TECH-6"/>
    <s v="Mid-level"/>
    <x v="0"/>
    <s v="No"/>
    <n v="1"/>
    <s v="No"/>
    <n v="6"/>
    <n v="4"/>
    <n v="33.6"/>
    <s v="No"/>
    <s v="Fair"/>
    <s v="Yes"/>
    <s v="Executive"/>
    <s v="Friday"/>
    <s v="Morning"/>
  </r>
  <r>
    <x v="309"/>
    <s v="2024-06-25 07:22:05"/>
    <x v="10"/>
    <s v="2024-07-01 12:52:05"/>
    <n v="149.5"/>
    <n v="6.2"/>
    <s v="Application Errors"/>
    <s v="Performance"/>
    <x v="1"/>
    <n v="120"/>
    <x v="0"/>
    <s v="Email"/>
    <s v="Tier 2"/>
    <s v="TECH-8"/>
    <s v="Junior"/>
    <x v="0"/>
    <s v="Yes"/>
    <n v="4"/>
    <s v="Yes"/>
    <n v="6"/>
    <n v="3.3"/>
    <n v="2.8"/>
    <s v="Yes"/>
    <s v="Good"/>
    <s v="Yes"/>
    <s v="Legal"/>
    <s v="Monday"/>
    <s v="Evening"/>
  </r>
  <r>
    <x v="310"/>
    <s v="2024-08-03 22:38:55"/>
    <x v="1"/>
    <s v="2024-08-07 07:38:55"/>
    <n v="81"/>
    <n v="3.4"/>
    <s v="Hardware Issues"/>
    <s v="Printer"/>
    <x v="1"/>
    <n v="120"/>
    <x v="1"/>
    <s v="Phone"/>
    <s v="Tier 1"/>
    <s v="TECH-12"/>
    <s v="Mid-level"/>
    <x v="0"/>
    <s v="No"/>
    <n v="1"/>
    <s v="No"/>
    <n v="5"/>
    <n v="1.9"/>
    <n v="16.3"/>
    <s v="No"/>
    <s v="Good"/>
    <s v="Yes"/>
    <s v="Finance"/>
    <s v="Monday"/>
    <s v="Morning"/>
  </r>
  <r>
    <x v="311"/>
    <s v="2024-04-16 12:56:32"/>
    <x v="11"/>
    <s v="2024-04-28 10:02:32"/>
    <n v="285.10000000000002"/>
    <n v="11.9"/>
    <s v="Access Requests"/>
    <s v="File Share"/>
    <x v="2"/>
    <n v="360"/>
    <x v="1"/>
    <s v="Phone"/>
    <s v="Tier 1"/>
    <s v="TECH-5"/>
    <s v="Junior"/>
    <x v="0"/>
    <s v="No"/>
    <n v="1"/>
    <s v="No"/>
    <n v="9"/>
    <n v="0.1"/>
    <n v="21.2"/>
    <s v="No"/>
    <s v="Excellent"/>
    <s v="Yes"/>
    <s v="Executive"/>
    <s v="Wednesday"/>
    <s v="Afternoon"/>
  </r>
  <r>
    <x v="312"/>
    <s v="2024-12-03 06:54:28"/>
    <x v="0"/>
    <s v="2024-12-12 16:18:28"/>
    <n v="225.4"/>
    <n v="9.4"/>
    <s v="Application Errors"/>
    <s v="Login Issues"/>
    <x v="0"/>
    <n v="240"/>
    <x v="1"/>
    <s v="Phone"/>
    <s v="Tier 2"/>
    <s v="TECH-2"/>
    <s v="Mid-level"/>
    <x v="0"/>
    <s v="Yes"/>
    <n v="4"/>
    <s v="No"/>
    <n v="7"/>
    <n v="6.1"/>
    <n v="3.8"/>
    <s v="No"/>
    <s v="Fair"/>
    <s v="Yes"/>
    <s v="Finance"/>
    <s v="Monday"/>
    <s v="Afternoon"/>
  </r>
  <r>
    <x v="313"/>
    <s v="2024-05-28 20:44:27"/>
    <x v="8"/>
    <s v="2024-06-14 01:50:27"/>
    <n v="413.1"/>
    <n v="17.2"/>
    <s v="Other"/>
    <s v="Training Request"/>
    <x v="2"/>
    <n v="360"/>
    <x v="0"/>
    <s v="Phone"/>
    <s v="Tier 1"/>
    <s v="TECH-20"/>
    <s v="Mid-level"/>
    <x v="0"/>
    <s v="No"/>
    <n v="1"/>
    <s v="No"/>
    <n v="6"/>
    <n v="2.5"/>
    <n v="21.4"/>
    <s v="Yes"/>
    <s v="Fair"/>
    <s v="Yes"/>
    <s v="HR"/>
    <s v="Monday"/>
    <s v="Morning"/>
  </r>
  <r>
    <x v="314"/>
    <s v="2024-06-18 07:56:56"/>
    <x v="10"/>
    <s v="2024-06-26 11:50:56"/>
    <n v="195.9"/>
    <n v="8.1999999999999993"/>
    <s v="Email/Calendar"/>
    <s v="Cannot Send/Receive"/>
    <x v="1"/>
    <n v="120"/>
    <x v="0"/>
    <s v="Walk-in"/>
    <s v="Tier 1"/>
    <s v="TECH-25"/>
    <s v="Mid-level"/>
    <x v="1"/>
    <s v="No"/>
    <n v="0"/>
    <s v="No"/>
    <n v="7"/>
    <n v="2.8"/>
    <n v="25.8"/>
    <s v="Yes"/>
    <s v="Good"/>
    <s v="Yes"/>
    <s v="HR"/>
    <s v="Thursday"/>
    <s v="Evening"/>
  </r>
  <r>
    <x v="315"/>
    <s v="2024-01-29 02:40:36"/>
    <x v="3"/>
    <s v="2024-02-06 07:28:36"/>
    <n v="196.8"/>
    <n v="8.1999999999999993"/>
    <s v="Email/Calendar"/>
    <s v="Cannot Send/Receive"/>
    <x v="0"/>
    <n v="240"/>
    <x v="1"/>
    <s v="Phone"/>
    <s v="Tier 1"/>
    <s v="TECH-21"/>
    <s v="Senior"/>
    <x v="1"/>
    <s v="No"/>
    <n v="0"/>
    <s v="No"/>
    <n v="9"/>
    <n v="5.2"/>
    <n v="21.7"/>
    <s v="Yes"/>
    <s v="Good"/>
    <s v="No"/>
    <s v="HR"/>
    <s v="Monday"/>
    <s v="Morning"/>
  </r>
  <r>
    <x v="316"/>
    <s v="2024-05-26 04:20:35"/>
    <x v="8"/>
    <s v="2024-06-03 10:08:35"/>
    <n v="197.8"/>
    <n v="8.1999999999999993"/>
    <s v="Application Errors"/>
    <s v="Features Not Working"/>
    <x v="0"/>
    <n v="240"/>
    <x v="1"/>
    <s v="Portal"/>
    <s v="Tier 1"/>
    <s v="TECH-19"/>
    <s v="Mid-level"/>
    <x v="0"/>
    <s v="No"/>
    <n v="1"/>
    <s v="No"/>
    <n v="7"/>
    <n v="4.0999999999999996"/>
    <n v="7.5"/>
    <s v="Yes"/>
    <s v="Poor"/>
    <s v="Yes"/>
    <s v="Operations"/>
    <s v="Thursday"/>
    <s v="Morning"/>
  </r>
  <r>
    <x v="317"/>
    <s v="2024-07-26 09:45:49"/>
    <x v="4"/>
    <s v="2024-08-08 22:09:49"/>
    <n v="324.39999999999998"/>
    <n v="13.5"/>
    <s v="Password Reset"/>
    <s v="Windows Password"/>
    <x v="2"/>
    <n v="360"/>
    <x v="1"/>
    <s v="Phone"/>
    <s v="Tier 1"/>
    <s v="TECH-1"/>
    <s v="Senior"/>
    <x v="1"/>
    <s v="No"/>
    <n v="0"/>
    <s v="No"/>
    <n v="10"/>
    <n v="1"/>
    <n v="7.2"/>
    <s v="No"/>
    <s v="Good"/>
    <s v="No"/>
    <s v="Marketing"/>
    <s v="Tuesday"/>
    <s v="Evening"/>
  </r>
  <r>
    <x v="318"/>
    <s v="2024-11-30 21:37:22"/>
    <x v="7"/>
    <s v="2024-12-08 20:19:22"/>
    <n v="190.7"/>
    <n v="7.9"/>
    <s v="Email/Calendar"/>
    <s v="Calendar Sync"/>
    <x v="0"/>
    <n v="240"/>
    <x v="1"/>
    <s v="Phone"/>
    <s v="Tier 2"/>
    <s v="TECH-24"/>
    <s v="Mid-level"/>
    <x v="0"/>
    <s v="Yes"/>
    <n v="1"/>
    <s v="No"/>
    <n v="10"/>
    <n v="3.8"/>
    <n v="30.9"/>
    <s v="Yes"/>
    <s v="Good"/>
    <s v="No"/>
    <s v="IT"/>
    <s v="Friday"/>
    <s v="Afternoon"/>
  </r>
  <r>
    <x v="319"/>
    <s v="2024-03-02 14:55:34"/>
    <x v="5"/>
    <s v="2024-03-29 05:13:34"/>
    <n v="638.29999999999995"/>
    <n v="26.6"/>
    <s v="Access Requests"/>
    <s v="Application Access"/>
    <x v="0"/>
    <n v="240"/>
    <x v="0"/>
    <s v="Phone"/>
    <s v="Tier 1"/>
    <s v="TECH-6"/>
    <s v="Senior"/>
    <x v="0"/>
    <s v="No"/>
    <n v="1"/>
    <s v="Yes"/>
    <n v="6"/>
    <n v="1.4"/>
    <n v="12"/>
    <s v="No"/>
    <s v="Fair"/>
    <s v="Yes"/>
    <s v="IT"/>
    <s v="Tuesday"/>
    <s v="Afternoon"/>
  </r>
  <r>
    <x v="320"/>
    <s v="2024-02-26 01:55:49"/>
    <x v="6"/>
    <s v="2024-03-08 06:19:49"/>
    <n v="244.4"/>
    <n v="10.199999999999999"/>
    <s v="Password Reset"/>
    <s v="Account Unlock"/>
    <x v="2"/>
    <n v="360"/>
    <x v="1"/>
    <s v="Phone"/>
    <s v="Tier 1"/>
    <s v="TECH-5"/>
    <s v="Junior"/>
    <x v="0"/>
    <s v="No"/>
    <n v="1"/>
    <s v="No"/>
    <n v="10"/>
    <n v="3.5"/>
    <n v="0"/>
    <s v="No"/>
    <s v="Poor"/>
    <s v="No"/>
    <s v="Marketing"/>
    <s v="Monday"/>
    <s v="Afternoon"/>
  </r>
  <r>
    <x v="321"/>
    <s v="2024-01-02 17:15:20"/>
    <x v="3"/>
    <s v="2024-01-13 02:57:20"/>
    <n v="249.7"/>
    <n v="10.4"/>
    <s v="Password Reset"/>
    <s v="Windows Password"/>
    <x v="2"/>
    <n v="360"/>
    <x v="1"/>
    <s v="Walk-in"/>
    <s v="Tier 1"/>
    <s v="TECH-1"/>
    <s v="Junior"/>
    <x v="1"/>
    <s v="No"/>
    <n v="0"/>
    <s v="No"/>
    <n v="10"/>
    <n v="1.7"/>
    <n v="14.6"/>
    <s v="Yes"/>
    <s v="Fair"/>
    <s v="Yes"/>
    <s v="HR"/>
    <s v="Friday"/>
    <s v="Morning"/>
  </r>
  <r>
    <x v="322"/>
    <s v="2024-02-14 16:16:28"/>
    <x v="6"/>
    <s v="2024-02-22 17:40:28"/>
    <n v="193.4"/>
    <n v="8.1"/>
    <s v="Access Requests"/>
    <s v="File Share"/>
    <x v="0"/>
    <n v="240"/>
    <x v="1"/>
    <s v="Phone"/>
    <s v="Tier 1"/>
    <s v="TECH-14"/>
    <s v="Senior"/>
    <x v="0"/>
    <s v="No"/>
    <n v="1"/>
    <s v="No"/>
    <n v="9"/>
    <n v="0.7"/>
    <n v="15.5"/>
    <s v="Yes"/>
    <s v="Good"/>
    <s v="Yes"/>
    <s v="HR"/>
    <s v="Wednesday"/>
    <s v="Afternoon"/>
  </r>
  <r>
    <x v="323"/>
    <s v="2024-06-13 02:02:02"/>
    <x v="10"/>
    <s v="2024-06-22 04:38:02"/>
    <n v="194.6"/>
    <n v="8.1"/>
    <s v="Hardware Issues"/>
    <s v="Laptop"/>
    <x v="0"/>
    <n v="240"/>
    <x v="1"/>
    <s v="Phone"/>
    <s v="Tier 1"/>
    <s v="TECH-2"/>
    <s v="Senior"/>
    <x v="1"/>
    <s v="No"/>
    <n v="0"/>
    <s v="No"/>
    <n v="10"/>
    <n v="1.4"/>
    <n v="22.1"/>
    <s v="No"/>
    <s v="Poor"/>
    <s v="Yes"/>
    <s v="Marketing"/>
    <s v="Tuesday"/>
    <s v="Morning"/>
  </r>
  <r>
    <x v="324"/>
    <s v="2024-05-01 06:00:08"/>
    <x v="8"/>
    <s v="2024-05-10 05:24:08"/>
    <n v="215.4"/>
    <n v="9"/>
    <s v="Password Reset"/>
    <s v="Account Unlock"/>
    <x v="0"/>
    <n v="240"/>
    <x v="1"/>
    <s v="Phone"/>
    <s v="Tier 1"/>
    <s v="TECH-5"/>
    <s v="Junior"/>
    <x v="1"/>
    <s v="No"/>
    <n v="0"/>
    <s v="No"/>
    <n v="8"/>
    <n v="4.5999999999999996"/>
    <n v="11.1"/>
    <s v="Yes"/>
    <s v="Good"/>
    <s v="Yes"/>
    <s v="IT"/>
    <s v="Monday"/>
    <s v="Morning"/>
  </r>
  <r>
    <x v="325"/>
    <s v="2024-05-30 18:53:53"/>
    <x v="8"/>
    <s v="2024-06-02 01:29:53"/>
    <n v="78.599999999999994"/>
    <n v="3.3"/>
    <s v="Application Errors"/>
    <s v="Features Not Working"/>
    <x v="1"/>
    <n v="120"/>
    <x v="1"/>
    <s v="Chat"/>
    <s v="Tier 2"/>
    <s v="TECH-17"/>
    <s v="Senior"/>
    <x v="0"/>
    <s v="Yes"/>
    <n v="1"/>
    <s v="No"/>
    <n v="9"/>
    <n v="2.2999999999999998"/>
    <n v="14.8"/>
    <s v="Yes"/>
    <s v="Fair"/>
    <s v="Yes"/>
    <s v="Marketing"/>
    <s v="Thursday"/>
    <s v="Morning"/>
  </r>
  <r>
    <x v="326"/>
    <s v="2024-11-27 23:46:26"/>
    <x v="7"/>
    <s v="2024-12-10 02:16:26"/>
    <n v="290.5"/>
    <n v="12.1"/>
    <s v="Software Installation"/>
    <s v="Drivers"/>
    <x v="0"/>
    <n v="240"/>
    <x v="0"/>
    <s v="Email"/>
    <s v="Tier 2"/>
    <s v="TECH-10"/>
    <s v="Senior"/>
    <x v="0"/>
    <s v="Yes"/>
    <n v="3"/>
    <s v="No"/>
    <n v="4"/>
    <n v="3.7"/>
    <n v="32.9"/>
    <s v="Yes"/>
    <s v="Poor"/>
    <s v="Yes"/>
    <s v="HR"/>
    <s v="Wednesday"/>
    <s v="Afternoon"/>
  </r>
  <r>
    <x v="327"/>
    <s v="2024-01-05 11:00:27"/>
    <x v="3"/>
    <s v="2024-01-17 18:24:27"/>
    <n v="295.39999999999998"/>
    <n v="12.3"/>
    <s v="Email/Calendar"/>
    <s v="Distribution List"/>
    <x v="0"/>
    <n v="240"/>
    <x v="0"/>
    <s v="Portal"/>
    <s v="Tier 1"/>
    <s v="TECH-4"/>
    <s v="Mid-level"/>
    <x v="1"/>
    <s v="No"/>
    <n v="0"/>
    <s v="Yes"/>
    <n v="8"/>
    <n v="6.1"/>
    <n v="1.8"/>
    <s v="Yes"/>
    <s v="Fair"/>
    <s v="Yes"/>
    <s v="Marketing"/>
    <s v="Thursday"/>
    <s v="Morning"/>
  </r>
  <r>
    <x v="328"/>
    <s v="2024-11-25 05:12:39"/>
    <x v="7"/>
    <s v="2024-11-29 08:06:39"/>
    <n v="98.9"/>
    <n v="4.0999999999999996"/>
    <s v="Hardware Issues"/>
    <s v="Docking Station"/>
    <x v="1"/>
    <n v="120"/>
    <x v="1"/>
    <s v="Email"/>
    <s v="Tier 2"/>
    <s v="TECH-18"/>
    <s v="Junior"/>
    <x v="0"/>
    <s v="Yes"/>
    <n v="2"/>
    <s v="No"/>
    <n v="7"/>
    <n v="1.3"/>
    <n v="18.8"/>
    <s v="Yes"/>
    <s v="Poor"/>
    <s v="Yes"/>
    <s v="HR"/>
    <s v="Wednesday"/>
    <s v="Morning"/>
  </r>
  <r>
    <x v="329"/>
    <s v="2024-12-05 00:47:22"/>
    <x v="0"/>
    <s v="2024-12-12 02:47:22"/>
    <n v="146"/>
    <n v="6.1"/>
    <s v="Access Requests"/>
    <s v="File Share"/>
    <x v="0"/>
    <n v="240"/>
    <x v="1"/>
    <s v="Email"/>
    <s v="Tier 1"/>
    <s v="TECH-6"/>
    <s v="Mid-level"/>
    <x v="0"/>
    <s v="No"/>
    <n v="1"/>
    <s v="No"/>
    <n v="7"/>
    <n v="3.9"/>
    <n v="0.8"/>
    <s v="No"/>
    <s v="Excellent"/>
    <s v="Yes"/>
    <s v="Executive"/>
    <s v="Monday"/>
    <s v="Afternoon"/>
  </r>
  <r>
    <x v="330"/>
    <s v="2024-04-10 15:41:05"/>
    <x v="11"/>
    <s v="2024-04-19 18:53:05"/>
    <n v="219.2"/>
    <n v="9.1"/>
    <s v="Access Requests"/>
    <s v="Application Access"/>
    <x v="0"/>
    <n v="240"/>
    <x v="1"/>
    <s v="Chat"/>
    <s v="Tier 1"/>
    <s v="TECH-12"/>
    <s v="Senior"/>
    <x v="0"/>
    <s v="No"/>
    <n v="1"/>
    <s v="No"/>
    <n v="6"/>
    <n v="3.4"/>
    <n v="9.8000000000000007"/>
    <s v="No"/>
    <s v="Good"/>
    <s v="Yes"/>
    <s v="Finance"/>
    <s v="Friday"/>
    <s v="Afternoon"/>
  </r>
  <r>
    <x v="331"/>
    <s v="2024-07-14 18:24:39"/>
    <x v="4"/>
    <s v="2024-07-18 08:36:39"/>
    <n v="86.2"/>
    <n v="3.6"/>
    <s v="Network Connectivity"/>
    <s v="Slow Network"/>
    <x v="1"/>
    <n v="120"/>
    <x v="1"/>
    <s v="Portal"/>
    <s v="Tier 1"/>
    <s v="TECH-3"/>
    <s v="Junior"/>
    <x v="1"/>
    <s v="No"/>
    <n v="0"/>
    <s v="No"/>
    <n v="8"/>
    <n v="0.1"/>
    <n v="11"/>
    <s v="Yes"/>
    <s v="Poor"/>
    <s v="No"/>
    <s v="Operations"/>
    <s v="Wednesday"/>
    <s v="Morning"/>
  </r>
  <r>
    <x v="332"/>
    <s v="2024-03-11 06:24:50"/>
    <x v="5"/>
    <s v="2024-04-02 11:36:50"/>
    <n v="532.20000000000005"/>
    <n v="22.2"/>
    <s v="Password Reset"/>
    <s v="Account Unlock"/>
    <x v="2"/>
    <n v="360"/>
    <x v="0"/>
    <s v="Phone"/>
    <s v="Tier 1"/>
    <s v="TECH-20"/>
    <s v="Mid-level"/>
    <x v="1"/>
    <s v="No"/>
    <n v="0"/>
    <s v="No"/>
    <n v="8"/>
    <n v="4.4000000000000004"/>
    <n v="26.3"/>
    <s v="Yes"/>
    <s v="Poor"/>
    <s v="Yes"/>
    <s v="Finance"/>
    <s v="Friday"/>
    <s v="Morning"/>
  </r>
  <r>
    <x v="333"/>
    <s v="2024-10-19 21:40:10"/>
    <x v="2"/>
    <s v="2024-11-07 19:16:10"/>
    <n v="454.6"/>
    <n v="18.899999999999999"/>
    <s v="Software Installation"/>
    <s v="MS Office"/>
    <x v="0"/>
    <n v="240"/>
    <x v="0"/>
    <s v="Email"/>
    <s v="Tier 2"/>
    <s v="TECH-8"/>
    <s v="Mid-level"/>
    <x v="0"/>
    <s v="Yes"/>
    <n v="2"/>
    <s v="No"/>
    <n v="5"/>
    <n v="3.6"/>
    <n v="16.600000000000001"/>
    <s v="No"/>
    <s v="Good"/>
    <s v="Yes"/>
    <s v="Sales"/>
    <s v="Monday"/>
    <s v="Morning"/>
  </r>
  <r>
    <x v="334"/>
    <s v="2024-10-27 03:41:41"/>
    <x v="2"/>
    <s v="2024-10-31 10:35:41"/>
    <n v="103.9"/>
    <n v="4.3"/>
    <s v="Access Requests"/>
    <s v="Application Access"/>
    <x v="1"/>
    <n v="120"/>
    <x v="1"/>
    <s v="Portal"/>
    <s v="Tier 1"/>
    <s v="TECH-5"/>
    <s v="Junior"/>
    <x v="0"/>
    <s v="No"/>
    <n v="1"/>
    <s v="Yes"/>
    <n v="7"/>
    <n v="1.9"/>
    <n v="8.6"/>
    <s v="Yes"/>
    <s v="Poor"/>
    <s v="Yes"/>
    <s v="Marketing"/>
    <s v="Friday"/>
    <s v="Morning"/>
  </r>
  <r>
    <x v="335"/>
    <s v="2024-04-26 06:31:12"/>
    <x v="11"/>
    <s v="2024-05-06 09:55:12"/>
    <n v="243.4"/>
    <n v="10.1"/>
    <s v="Other"/>
    <s v="Training Request"/>
    <x v="2"/>
    <n v="360"/>
    <x v="1"/>
    <s v="Portal"/>
    <s v="Tier 1"/>
    <s v="TECH-7"/>
    <s v="Mid-level"/>
    <x v="0"/>
    <s v="No"/>
    <n v="1"/>
    <s v="No"/>
    <n v="9"/>
    <n v="0.4"/>
    <n v="20.3"/>
    <s v="Yes"/>
    <s v="Fair"/>
    <s v="Yes"/>
    <s v="Sales"/>
    <s v="Tuesday"/>
    <s v="Morning"/>
  </r>
  <r>
    <x v="336"/>
    <s v="2024-10-19 03:27:22"/>
    <x v="2"/>
    <s v="2024-10-29 21:57:22"/>
    <n v="259.5"/>
    <n v="10.8"/>
    <s v="Network Connectivity"/>
    <s v="Slow Network"/>
    <x v="0"/>
    <n v="240"/>
    <x v="0"/>
    <s v="Phone"/>
    <s v="Tier 1"/>
    <s v="TECH-5"/>
    <s v="Mid-level"/>
    <x v="0"/>
    <s v="No"/>
    <n v="1"/>
    <s v="Yes"/>
    <n v="6"/>
    <n v="4.7"/>
    <n v="16.2"/>
    <s v="No"/>
    <s v="Excellent"/>
    <s v="Yes"/>
    <s v="Finance"/>
    <s v="Friday"/>
    <s v="Morning"/>
  </r>
  <r>
    <x v="337"/>
    <s v="2024-11-20 15:03:51"/>
    <x v="7"/>
    <s v="2024-11-23 00:39:51"/>
    <n v="81.599999999999994"/>
    <n v="3.4"/>
    <s v="Hardware Issues"/>
    <s v="Printer"/>
    <x v="1"/>
    <n v="120"/>
    <x v="1"/>
    <s v="Walk-in"/>
    <s v="Tier 2"/>
    <s v="TECH-6"/>
    <s v="Mid-level"/>
    <x v="0"/>
    <s v="Yes"/>
    <n v="1"/>
    <s v="Yes"/>
    <n v="8"/>
    <n v="0.7"/>
    <n v="13.1"/>
    <s v="No"/>
    <s v="Poor"/>
    <s v="Yes"/>
    <s v="Executive"/>
    <s v="Friday"/>
    <s v="Afternoon"/>
  </r>
  <r>
    <x v="338"/>
    <s v="2024-08-26 02:28:33"/>
    <x v="1"/>
    <s v="2024-09-10 23:16:33"/>
    <n v="356.8"/>
    <n v="14.9"/>
    <s v="Hardware Issues"/>
    <s v="Desktop"/>
    <x v="1"/>
    <n v="120"/>
    <x v="0"/>
    <s v="Email"/>
    <s v="Tier 2"/>
    <s v="TECH-17"/>
    <s v="Mid-level"/>
    <x v="0"/>
    <s v="Yes"/>
    <n v="3"/>
    <s v="No"/>
    <n v="5"/>
    <n v="1.4"/>
    <n v="23.7"/>
    <s v="Yes"/>
    <s v="Good"/>
    <s v="No"/>
    <s v="Marketing"/>
    <s v="Monday"/>
    <s v="Evening"/>
  </r>
  <r>
    <x v="339"/>
    <s v="2024-02-16 19:57:09"/>
    <x v="6"/>
    <s v="2024-03-02 17:57:09"/>
    <n v="358"/>
    <n v="14.9"/>
    <s v="Software Installation"/>
    <s v="Drivers"/>
    <x v="0"/>
    <n v="240"/>
    <x v="0"/>
    <s v="Portal"/>
    <s v="Tier 1"/>
    <s v="TECH-16"/>
    <s v="Senior"/>
    <x v="0"/>
    <s v="No"/>
    <n v="1"/>
    <s v="No"/>
    <n v="4"/>
    <n v="1.5"/>
    <n v="0"/>
    <s v="Yes"/>
    <s v="Fair"/>
    <s v="Yes"/>
    <s v="Sales"/>
    <s v="Thursday"/>
    <s v="Morning"/>
  </r>
  <r>
    <x v="340"/>
    <s v="2024-06-04 10:26:18"/>
    <x v="10"/>
    <s v="2024-06-06 03:08:18"/>
    <n v="40.700000000000003"/>
    <n v="1.7"/>
    <s v="Software Installation"/>
    <s v="Adobe Suite"/>
    <x v="3"/>
    <n v="48"/>
    <x v="1"/>
    <s v="Portal"/>
    <s v="Tier 1"/>
    <s v="TECH-20"/>
    <s v="Senior"/>
    <x v="1"/>
    <s v="No"/>
    <n v="0"/>
    <s v="No"/>
    <n v="9"/>
    <n v="6.1"/>
    <n v="5.2"/>
    <s v="No"/>
    <s v="Fair"/>
    <s v="No"/>
    <s v="Sales"/>
    <s v="Wednesday"/>
    <s v="Afternoon"/>
  </r>
  <r>
    <x v="341"/>
    <s v="2024-12-09 23:25:25"/>
    <x v="0"/>
    <s v="2024-12-16 09:01:25"/>
    <n v="153.6"/>
    <n v="6.4"/>
    <s v="Application Errors"/>
    <s v="Performance"/>
    <x v="0"/>
    <n v="240"/>
    <x v="1"/>
    <s v="Phone"/>
    <s v="Tier 1"/>
    <s v="TECH-24"/>
    <s v="Junior"/>
    <x v="0"/>
    <s v="No"/>
    <n v="1"/>
    <s v="No"/>
    <n v="7"/>
    <n v="4.8"/>
    <n v="9.6999999999999993"/>
    <s v="No"/>
    <s v="Fair"/>
    <s v="No"/>
    <s v="Marketing"/>
    <s v="Monday"/>
    <s v="Evening"/>
  </r>
  <r>
    <x v="342"/>
    <s v="2024-12-15 23:30:23"/>
    <x v="0"/>
    <s v="2024-12-23 11:48:23"/>
    <n v="180.3"/>
    <n v="7.5"/>
    <s v="Email/Calendar"/>
    <s v="Cannot Send/Receive"/>
    <x v="0"/>
    <n v="240"/>
    <x v="1"/>
    <s v="Phone"/>
    <s v="Tier 1"/>
    <s v="TECH-2"/>
    <s v="Senior"/>
    <x v="0"/>
    <s v="No"/>
    <n v="1"/>
    <s v="No"/>
    <n v="10"/>
    <n v="2.2999999999999998"/>
    <n v="29.3"/>
    <s v="Yes"/>
    <s v="Good"/>
    <s v="Yes"/>
    <s v="Marketing"/>
    <s v="Tuesday"/>
    <s v="Morning"/>
  </r>
  <r>
    <x v="343"/>
    <s v="2024-01-06 21:37:41"/>
    <x v="3"/>
    <s v="2024-01-13 17:13:41"/>
    <n v="163.6"/>
    <n v="6.8"/>
    <s v="Network Connectivity"/>
    <s v="Slow Network"/>
    <x v="0"/>
    <n v="240"/>
    <x v="1"/>
    <s v="Walk-in"/>
    <s v="Tier 1"/>
    <s v="TECH-22"/>
    <s v="Junior"/>
    <x v="1"/>
    <s v="No"/>
    <n v="0"/>
    <s v="Yes"/>
    <n v="10"/>
    <n v="1"/>
    <n v="0"/>
    <s v="Yes"/>
    <s v="Fair"/>
    <s v="No"/>
    <s v="Executive"/>
    <s v="Thursday"/>
    <s v="Morning"/>
  </r>
  <r>
    <x v="344"/>
    <s v="2024-08-29 20:49:17"/>
    <x v="1"/>
    <s v="2024-09-11 03:01:17"/>
    <n v="294.2"/>
    <n v="12.3"/>
    <s v="Password Reset"/>
    <s v="Application Password"/>
    <x v="2"/>
    <n v="360"/>
    <x v="1"/>
    <s v="Phone"/>
    <s v="Tier 1"/>
    <s v="TECH-14"/>
    <s v="Mid-level"/>
    <x v="1"/>
    <s v="No"/>
    <n v="0"/>
    <s v="No"/>
    <n v="8"/>
    <n v="2.8"/>
    <n v="12.7"/>
    <s v="Yes"/>
    <s v="Fair"/>
    <s v="Yes"/>
    <s v="Sales"/>
    <s v="Thursday"/>
    <s v="Afternoon"/>
  </r>
  <r>
    <x v="345"/>
    <s v="2024-01-25 15:40:47"/>
    <x v="3"/>
    <s v="2024-02-02 15:10:47"/>
    <n v="191.5"/>
    <n v="8"/>
    <s v="Software Installation"/>
    <s v="Business Apps"/>
    <x v="0"/>
    <n v="240"/>
    <x v="1"/>
    <s v="Email"/>
    <s v="Tier 2"/>
    <s v="TECH-18"/>
    <s v="Senior"/>
    <x v="0"/>
    <s v="Yes"/>
    <n v="1"/>
    <s v="No"/>
    <n v="10"/>
    <n v="4.9000000000000004"/>
    <n v="11.1"/>
    <s v="Yes"/>
    <s v="Fair"/>
    <s v="No"/>
    <s v="Sales"/>
    <s v="Friday"/>
    <s v="Afternoon"/>
  </r>
  <r>
    <x v="346"/>
    <s v="2024-05-31 03:20:39"/>
    <x v="8"/>
    <s v="2024-06-07 23:14:39"/>
    <n v="187.9"/>
    <n v="7.8"/>
    <s v="Software Installation"/>
    <s v="Business Apps"/>
    <x v="0"/>
    <n v="240"/>
    <x v="1"/>
    <s v="Walk-in"/>
    <s v="Tier 1"/>
    <s v="TECH-1"/>
    <s v="Mid-level"/>
    <x v="0"/>
    <s v="No"/>
    <n v="1"/>
    <s v="No"/>
    <n v="10"/>
    <n v="2.6"/>
    <n v="20.3"/>
    <s v="Yes"/>
    <s v="Poor"/>
    <s v="Yes"/>
    <s v="Sales"/>
    <s v="Monday"/>
    <s v="Afternoon"/>
  </r>
  <r>
    <x v="347"/>
    <s v="2024-12-02 21:00:49"/>
    <x v="0"/>
    <s v="2024-12-09 13:18:49"/>
    <n v="160.30000000000001"/>
    <n v="6.7"/>
    <s v="Application Errors"/>
    <s v="Features Not Working"/>
    <x v="0"/>
    <n v="240"/>
    <x v="1"/>
    <s v="Email"/>
    <s v="Tier 1"/>
    <s v="TECH-22"/>
    <s v="Mid-level"/>
    <x v="0"/>
    <s v="No"/>
    <n v="1"/>
    <s v="No"/>
    <n v="7"/>
    <n v="0.7"/>
    <n v="13.6"/>
    <s v="No"/>
    <s v="Poor"/>
    <s v="No"/>
    <s v="HR"/>
    <s v="Wednesday"/>
    <s v="Afternoon"/>
  </r>
  <r>
    <x v="348"/>
    <s v="2024-02-17 07:17:45"/>
    <x v="6"/>
    <s v="2024-02-23 20:17:45"/>
    <n v="157"/>
    <n v="6.5"/>
    <s v="Access Requests"/>
    <s v="VPN Access"/>
    <x v="1"/>
    <n v="120"/>
    <x v="0"/>
    <s v="Phone"/>
    <s v="Tier 1"/>
    <s v="TECH-14"/>
    <s v="Mid-level"/>
    <x v="1"/>
    <s v="No"/>
    <n v="0"/>
    <s v="No"/>
    <n v="7"/>
    <n v="3.8"/>
    <n v="2.1"/>
    <s v="Yes"/>
    <s v="Fair"/>
    <s v="Yes"/>
    <s v="Executive"/>
    <s v="Tuesday"/>
    <s v="Morning"/>
  </r>
  <r>
    <x v="349"/>
    <s v="2024-05-05 23:53:46"/>
    <x v="8"/>
    <s v="2024-05-10 06:23:46"/>
    <n v="102.5"/>
    <n v="4.3"/>
    <s v="Email/Calendar"/>
    <s v="Mailbox Full"/>
    <x v="1"/>
    <n v="120"/>
    <x v="1"/>
    <s v="Portal"/>
    <s v="Tier 1"/>
    <s v="TECH-8"/>
    <s v="Junior"/>
    <x v="1"/>
    <s v="No"/>
    <n v="0"/>
    <s v="No"/>
    <n v="6"/>
    <n v="5"/>
    <n v="22.2"/>
    <s v="Yes"/>
    <s v="Good"/>
    <s v="No"/>
    <s v="Sales"/>
    <s v="Thursday"/>
    <s v="Morning"/>
  </r>
  <r>
    <x v="350"/>
    <s v="2024-10-27 10:53:15"/>
    <x v="2"/>
    <s v="2024-11-05 15:05:15"/>
    <n v="220.2"/>
    <n v="9.1999999999999993"/>
    <s v="Application Errors"/>
    <s v="Performance"/>
    <x v="0"/>
    <n v="240"/>
    <x v="1"/>
    <s v="Email"/>
    <s v="Tier 2"/>
    <s v="TECH-10"/>
    <s v="Junior"/>
    <x v="0"/>
    <s v="Yes"/>
    <n v="3"/>
    <s v="No"/>
    <n v="7"/>
    <n v="2.2999999999999998"/>
    <n v="18.7"/>
    <s v="Yes"/>
    <s v="Poor"/>
    <s v="Yes"/>
    <s v="Sales"/>
    <s v="Tuesday"/>
    <s v="Evening"/>
  </r>
  <r>
    <x v="351"/>
    <s v="2024-07-07 02:18:37"/>
    <x v="4"/>
    <s v="2024-07-29 02:12:37"/>
    <n v="527.9"/>
    <n v="22"/>
    <s v="Access Requests"/>
    <s v="Admin Rights"/>
    <x v="2"/>
    <n v="360"/>
    <x v="0"/>
    <s v="Portal"/>
    <s v="Tier 1"/>
    <s v="TECH-7"/>
    <s v="Junior"/>
    <x v="1"/>
    <s v="No"/>
    <n v="0"/>
    <s v="Yes"/>
    <n v="7"/>
    <n v="2.9"/>
    <n v="33.799999999999997"/>
    <s v="No"/>
    <s v="Fair"/>
    <s v="Yes"/>
    <s v="HR"/>
    <s v="Monday"/>
    <s v="Morning"/>
  </r>
  <r>
    <x v="352"/>
    <s v="2024-12-05 05:32:20"/>
    <x v="0"/>
    <s v="2024-12-25 15:38:20"/>
    <n v="490.1"/>
    <n v="20.399999999999999"/>
    <s v="Password Reset"/>
    <s v="Windows Password"/>
    <x v="0"/>
    <n v="240"/>
    <x v="0"/>
    <s v="Phone"/>
    <s v="Tier 1"/>
    <s v="TECH-18"/>
    <s v="Mid-level"/>
    <x v="1"/>
    <s v="No"/>
    <n v="0"/>
    <s v="No"/>
    <n v="6"/>
    <n v="4.5999999999999996"/>
    <n v="9.4"/>
    <s v="Yes"/>
    <s v="Excellent"/>
    <s v="No"/>
    <s v="Finance"/>
    <s v="Monday"/>
    <s v="Morning"/>
  </r>
  <r>
    <x v="353"/>
    <s v="2024-01-19 18:18:19"/>
    <x v="3"/>
    <s v="2024-01-25 04:30:19"/>
    <n v="130.19999999999999"/>
    <n v="5.4"/>
    <s v="Application Errors"/>
    <s v="Login Issues"/>
    <x v="1"/>
    <n v="120"/>
    <x v="0"/>
    <s v="Email"/>
    <s v="Tier 1"/>
    <s v="TECH-23"/>
    <s v="Mid-level"/>
    <x v="0"/>
    <s v="No"/>
    <n v="1"/>
    <s v="Yes"/>
    <n v="3"/>
    <n v="1.4"/>
    <n v="27.6"/>
    <s v="Yes"/>
    <s v="Fair"/>
    <s v="No"/>
    <s v="HR"/>
    <s v="Tuesday"/>
    <s v="Afternoon"/>
  </r>
  <r>
    <x v="354"/>
    <s v="2024-04-06 02:33:06"/>
    <x v="11"/>
    <s v="2024-04-13 01:57:06"/>
    <n v="167.4"/>
    <n v="7"/>
    <s v="Email/Calendar"/>
    <s v="Calendar Sync"/>
    <x v="1"/>
    <n v="120"/>
    <x v="0"/>
    <s v="Walk-in"/>
    <s v="Tier 1"/>
    <s v="TECH-25"/>
    <s v="Mid-level"/>
    <x v="1"/>
    <s v="No"/>
    <n v="0"/>
    <s v="No"/>
    <n v="8"/>
    <n v="3.3"/>
    <n v="33.5"/>
    <s v="No"/>
    <s v="Good"/>
    <s v="Yes"/>
    <s v="Operations"/>
    <s v="Friday"/>
    <s v="Afternoon"/>
  </r>
  <r>
    <x v="355"/>
    <s v="2024-10-04 03:25:51"/>
    <x v="2"/>
    <s v="2024-10-08 14:37:51"/>
    <n v="107.2"/>
    <n v="4.5"/>
    <s v="Application Errors"/>
    <s v="Login Issues"/>
    <x v="1"/>
    <n v="120"/>
    <x v="1"/>
    <s v="Phone"/>
    <s v="Tier 1"/>
    <s v="TECH-8"/>
    <s v="Junior"/>
    <x v="0"/>
    <s v="No"/>
    <n v="1"/>
    <s v="Yes"/>
    <n v="9"/>
    <n v="3.7"/>
    <n v="36.299999999999997"/>
    <s v="Yes"/>
    <s v="Good"/>
    <s v="No"/>
    <s v="IT"/>
    <s v="Thursday"/>
    <s v="Afternoon"/>
  </r>
  <r>
    <x v="356"/>
    <s v="2024-03-14 21:58:21"/>
    <x v="5"/>
    <s v="2024-03-25 07:22:21"/>
    <n v="249.4"/>
    <n v="10.4"/>
    <s v="Access Requests"/>
    <s v="Admin Rights"/>
    <x v="2"/>
    <n v="360"/>
    <x v="1"/>
    <s v="Email"/>
    <s v="Tier 1"/>
    <s v="TECH-22"/>
    <s v="Mid-level"/>
    <x v="1"/>
    <s v="No"/>
    <n v="0"/>
    <s v="No"/>
    <n v="8"/>
    <n v="3.7"/>
    <n v="23.1"/>
    <s v="No"/>
    <s v="Fair"/>
    <s v="Yes"/>
    <s v="IT"/>
    <s v="Tuesday"/>
    <s v="Afternoon"/>
  </r>
  <r>
    <x v="357"/>
    <s v="2024-05-09 16:21:19"/>
    <x v="8"/>
    <s v="2024-05-18 11:15:19"/>
    <n v="210.9"/>
    <n v="8.8000000000000007"/>
    <s v="Software Installation"/>
    <s v="Adobe Suite"/>
    <x v="0"/>
    <n v="240"/>
    <x v="1"/>
    <s v="Walk-in"/>
    <s v="Tier 2"/>
    <s v="TECH-24"/>
    <s v="Senior"/>
    <x v="0"/>
    <s v="Yes"/>
    <n v="1"/>
    <s v="No"/>
    <n v="6"/>
    <n v="1.4"/>
    <n v="0"/>
    <s v="No"/>
    <s v="Good"/>
    <s v="Yes"/>
    <s v="Finance"/>
    <s v="Monday"/>
    <s v="Afternoon"/>
  </r>
  <r>
    <x v="358"/>
    <s v="2024-07-14 07:27:10"/>
    <x v="4"/>
    <s v="2024-08-11 03:03:10"/>
    <n v="667.6"/>
    <n v="27.8"/>
    <s v="Other"/>
    <s v="General Inquiry"/>
    <x v="2"/>
    <n v="360"/>
    <x v="0"/>
    <s v="Email"/>
    <s v="Tier 1"/>
    <s v="TECH-3"/>
    <s v="Mid-level"/>
    <x v="0"/>
    <s v="No"/>
    <n v="1"/>
    <s v="No"/>
    <n v="8"/>
    <n v="2.7"/>
    <n v="26.4"/>
    <s v="Yes"/>
    <s v="Fair"/>
    <s v="Yes"/>
    <s v="HR"/>
    <s v="Tuesday"/>
    <s v="Morning"/>
  </r>
  <r>
    <x v="359"/>
    <s v="2024-05-19 20:22:05"/>
    <x v="8"/>
    <s v="2024-05-24 01:52:05"/>
    <n v="125.5"/>
    <n v="5.2"/>
    <s v="Password Reset"/>
    <s v="Application Password"/>
    <x v="1"/>
    <n v="120"/>
    <x v="0"/>
    <s v="Email"/>
    <s v="Tier 1"/>
    <s v="TECH-4"/>
    <s v="Mid-level"/>
    <x v="1"/>
    <s v="No"/>
    <n v="0"/>
    <s v="No"/>
    <n v="8"/>
    <n v="5.8"/>
    <n v="4.7"/>
    <s v="Yes"/>
    <s v="Excellent"/>
    <s v="Yes"/>
    <s v="Executive"/>
    <s v="Monday"/>
    <s v="Morning"/>
  </r>
  <r>
    <x v="360"/>
    <s v="2024-09-28 11:04:44"/>
    <x v="9"/>
    <s v="2024-10-01 10:34:44"/>
    <n v="71.5"/>
    <n v="3"/>
    <s v="Application Errors"/>
    <s v="Performance"/>
    <x v="3"/>
    <n v="48"/>
    <x v="0"/>
    <s v="Phone"/>
    <s v="Tier 2"/>
    <s v="TECH-6"/>
    <s v="Mid-level"/>
    <x v="0"/>
    <s v="Yes"/>
    <n v="3"/>
    <s v="Yes"/>
    <n v="3"/>
    <n v="1.5"/>
    <n v="7.2"/>
    <s v="Yes"/>
    <s v="Good"/>
    <s v="Yes"/>
    <s v="Executive"/>
    <s v="Friday"/>
    <s v="Afternoon"/>
  </r>
  <r>
    <x v="361"/>
    <s v="2024-01-11 14:58:55"/>
    <x v="3"/>
    <s v="2024-01-17 19:34:55"/>
    <n v="148.6"/>
    <n v="6.2"/>
    <s v="Access Requests"/>
    <s v="Admin Rights"/>
    <x v="0"/>
    <n v="240"/>
    <x v="1"/>
    <s v="Portal"/>
    <s v="Tier 1"/>
    <s v="TECH-2"/>
    <s v="Mid-level"/>
    <x v="0"/>
    <s v="No"/>
    <n v="1"/>
    <s v="Yes"/>
    <n v="8"/>
    <n v="3.8"/>
    <n v="35.6"/>
    <s v="Yes"/>
    <s v="Excellent"/>
    <s v="Yes"/>
    <s v="Operations"/>
    <s v="Friday"/>
    <s v="Morning"/>
  </r>
  <r>
    <x v="362"/>
    <s v="2024-09-02 18:21:50"/>
    <x v="9"/>
    <s v="2024-09-21 11:33:50"/>
    <n v="449.2"/>
    <n v="18.7"/>
    <s v="Password Reset"/>
    <s v="Account Unlock"/>
    <x v="2"/>
    <n v="360"/>
    <x v="0"/>
    <s v="Phone"/>
    <s v="Tier 1"/>
    <s v="TECH-16"/>
    <s v="Mid-level"/>
    <x v="1"/>
    <s v="No"/>
    <n v="0"/>
    <s v="No"/>
    <n v="7"/>
    <n v="1.4"/>
    <n v="24.3"/>
    <s v="Yes"/>
    <s v="Poor"/>
    <s v="Yes"/>
    <s v="Marketing"/>
    <s v="Wednesday"/>
    <s v="Evening"/>
  </r>
  <r>
    <x v="363"/>
    <s v="2024-10-10 18:57:26"/>
    <x v="2"/>
    <s v="2024-10-25 15:33:26"/>
    <n v="356.6"/>
    <n v="14.9"/>
    <s v="Hardware Issues"/>
    <s v="Keyboard/Mouse"/>
    <x v="1"/>
    <n v="120"/>
    <x v="0"/>
    <s v="Phone"/>
    <s v="Tier 1"/>
    <s v="TECH-19"/>
    <s v="Mid-level"/>
    <x v="0"/>
    <s v="No"/>
    <n v="1"/>
    <s v="No"/>
    <n v="8"/>
    <n v="0.8"/>
    <n v="11.2"/>
    <s v="No"/>
    <s v="Poor"/>
    <s v="Yes"/>
    <s v="Executive"/>
    <s v="Wednesday"/>
    <s v="Morning"/>
  </r>
  <r>
    <x v="364"/>
    <s v="2024-01-09 12:49:42"/>
    <x v="3"/>
    <s v="2024-01-12 20:19:42"/>
    <n v="79.5"/>
    <n v="3.3"/>
    <s v="Email/Calendar"/>
    <s v="Cannot Send/Receive"/>
    <x v="1"/>
    <n v="120"/>
    <x v="1"/>
    <s v="Phone"/>
    <s v="Tier 1"/>
    <s v="TECH-8"/>
    <s v="Junior"/>
    <x v="1"/>
    <s v="No"/>
    <n v="0"/>
    <s v="No"/>
    <n v="8"/>
    <n v="3.9"/>
    <n v="27.2"/>
    <s v="Yes"/>
    <s v="Poor"/>
    <s v="Yes"/>
    <s v="Legal"/>
    <s v="Thursday"/>
    <s v="Morning"/>
  </r>
  <r>
    <x v="365"/>
    <s v="2024-05-08 15:33:02"/>
    <x v="8"/>
    <s v="2024-05-14 00:27:02"/>
    <n v="152.9"/>
    <n v="6.4"/>
    <s v="Hardware Issues"/>
    <s v="Keyboard/Mouse"/>
    <x v="1"/>
    <n v="120"/>
    <x v="0"/>
    <s v="Chat"/>
    <s v="Tier 2"/>
    <s v="TECH-22"/>
    <s v="Junior"/>
    <x v="0"/>
    <s v="Yes"/>
    <n v="4"/>
    <s v="No"/>
    <n v="6"/>
    <n v="2.5"/>
    <n v="41.5"/>
    <s v="No"/>
    <s v="Poor"/>
    <s v="Yes"/>
    <s v="IT"/>
    <s v="Friday"/>
    <s v="Evening"/>
  </r>
  <r>
    <x v="366"/>
    <s v="2024-06-16 13:00:57"/>
    <x v="10"/>
    <s v="2024-06-25 14:36:57"/>
    <n v="217.6"/>
    <n v="9.1"/>
    <s v="Email/Calendar"/>
    <s v="Calendar Sync"/>
    <x v="0"/>
    <n v="240"/>
    <x v="1"/>
    <s v="Portal"/>
    <s v="Tier 1"/>
    <s v="TECH-13"/>
    <s v="Mid-level"/>
    <x v="0"/>
    <s v="No"/>
    <n v="1"/>
    <s v="Yes"/>
    <n v="9"/>
    <n v="1.5"/>
    <n v="19.899999999999999"/>
    <s v="Yes"/>
    <s v="Poor"/>
    <s v="No"/>
    <s v="Operations"/>
    <s v="Tuesday"/>
    <s v="Afternoon"/>
  </r>
  <r>
    <x v="367"/>
    <s v="2024-12-02 18:10:22"/>
    <x v="0"/>
    <s v="2024-12-10 00:28:22"/>
    <n v="198.3"/>
    <n v="8.3000000000000007"/>
    <s v="Hardware Issues"/>
    <s v="Desktop"/>
    <x v="0"/>
    <n v="240"/>
    <x v="1"/>
    <s v="Phone"/>
    <s v="Tier 2"/>
    <s v="TECH-16"/>
    <s v="Junior"/>
    <x v="0"/>
    <s v="Yes"/>
    <n v="3"/>
    <s v="No"/>
    <n v="10"/>
    <n v="2.1"/>
    <n v="30.4"/>
    <s v="No"/>
    <s v="Fair"/>
    <s v="No"/>
    <s v="Sales"/>
    <s v="Monday"/>
    <s v="Morning"/>
  </r>
  <r>
    <x v="368"/>
    <s v="2024-05-23 21:47:24"/>
    <x v="8"/>
    <s v="2024-05-30 15:29:24"/>
    <n v="161.69999999999999"/>
    <n v="6.7"/>
    <s v="Other"/>
    <s v="Training Request"/>
    <x v="0"/>
    <n v="240"/>
    <x v="1"/>
    <s v="Phone"/>
    <s v="Tier 1"/>
    <s v="TECH-14"/>
    <s v="Senior"/>
    <x v="0"/>
    <s v="No"/>
    <n v="1"/>
    <s v="No"/>
    <n v="5"/>
    <n v="3.1"/>
    <n v="4.4000000000000004"/>
    <s v="Yes"/>
    <s v="Fair"/>
    <s v="No"/>
    <s v="Executive"/>
    <s v="Tuesday"/>
    <s v="Morning"/>
  </r>
  <r>
    <x v="369"/>
    <s v="2024-03-05 02:47:53"/>
    <x v="5"/>
    <s v="2024-03-15 16:05:53"/>
    <n v="253.3"/>
    <n v="10.6"/>
    <s v="Other"/>
    <s v="Documentation"/>
    <x v="2"/>
    <n v="360"/>
    <x v="1"/>
    <s v="Phone"/>
    <s v="Tier 1"/>
    <s v="TECH-10"/>
    <s v="Mid-level"/>
    <x v="0"/>
    <s v="No"/>
    <n v="1"/>
    <s v="Yes"/>
    <n v="5"/>
    <n v="5.5"/>
    <n v="15.1"/>
    <s v="Yes"/>
    <s v="Good"/>
    <s v="Yes"/>
    <s v="Marketing"/>
    <s v="Friday"/>
    <s v="Morning"/>
  </r>
  <r>
    <x v="370"/>
    <s v="2024-07-30 09:22:57"/>
    <x v="4"/>
    <s v="2024-08-05 01:34:57"/>
    <n v="160.19999999999999"/>
    <n v="6.7"/>
    <s v="Email/Calendar"/>
    <s v="Cannot Send/Receive"/>
    <x v="1"/>
    <n v="120"/>
    <x v="0"/>
    <s v="Portal"/>
    <s v="Tier 1"/>
    <s v="TECH-12"/>
    <s v="Mid-level"/>
    <x v="0"/>
    <s v="No"/>
    <n v="1"/>
    <s v="No"/>
    <n v="4"/>
    <n v="4.4000000000000004"/>
    <n v="44.6"/>
    <s v="Yes"/>
    <s v="Poor"/>
    <s v="No"/>
    <s v="Operations"/>
    <s v="Monday"/>
    <s v="Afternoon"/>
  </r>
  <r>
    <x v="371"/>
    <s v="2024-09-15 15:59:07"/>
    <x v="9"/>
    <s v="2024-09-25 23:47:07"/>
    <n v="247.8"/>
    <n v="10.3"/>
    <s v="Email/Calendar"/>
    <s v="Distribution List"/>
    <x v="2"/>
    <n v="360"/>
    <x v="1"/>
    <s v="Phone"/>
    <s v="Tier 1"/>
    <s v="TECH-11"/>
    <s v="Senior"/>
    <x v="0"/>
    <s v="No"/>
    <n v="1"/>
    <s v="No"/>
    <n v="9"/>
    <n v="2.5"/>
    <n v="26.7"/>
    <s v="Yes"/>
    <s v="Good"/>
    <s v="Yes"/>
    <s v="IT"/>
    <s v="Thursday"/>
    <s v="Afternoon"/>
  </r>
  <r>
    <x v="372"/>
    <s v="2024-01-13 10:41:55"/>
    <x v="3"/>
    <s v="2024-01-31 20:17:55"/>
    <n v="441.6"/>
    <n v="18.399999999999999"/>
    <s v="Application Errors"/>
    <s v="Performance"/>
    <x v="0"/>
    <n v="240"/>
    <x v="0"/>
    <s v="Email"/>
    <s v="Tier 1"/>
    <s v="TECH-13"/>
    <s v="Mid-level"/>
    <x v="0"/>
    <s v="No"/>
    <n v="1"/>
    <s v="No"/>
    <n v="5"/>
    <n v="1.6"/>
    <n v="0"/>
    <s v="No"/>
    <s v="Good"/>
    <s v="Yes"/>
    <s v="Legal"/>
    <s v="Wednesday"/>
    <s v="Morning"/>
  </r>
  <r>
    <x v="373"/>
    <s v="2024-09-17 14:52:35"/>
    <x v="9"/>
    <s v="2024-09-20 02:04:35"/>
    <n v="83.2"/>
    <n v="3.5"/>
    <s v="Application Errors"/>
    <s v="Features Not Working"/>
    <x v="1"/>
    <n v="120"/>
    <x v="1"/>
    <s v="Phone"/>
    <s v="Tier 1"/>
    <s v="TECH-19"/>
    <s v="Senior"/>
    <x v="0"/>
    <s v="No"/>
    <n v="1"/>
    <s v="No"/>
    <n v="10"/>
    <n v="3.6"/>
    <n v="16.7"/>
    <s v="No"/>
    <s v="Fair"/>
    <s v="Yes"/>
    <s v="Sales"/>
    <s v="Wednesday"/>
    <s v="Morning"/>
  </r>
  <r>
    <x v="374"/>
    <s v="2024-05-28 10:49:07"/>
    <x v="8"/>
    <s v="2024-06-04 14:25:07"/>
    <n v="171.6"/>
    <n v="7.2"/>
    <s v="Software Installation"/>
    <s v="MS Office"/>
    <x v="0"/>
    <n v="240"/>
    <x v="1"/>
    <s v="Email"/>
    <s v="Tier 1"/>
    <s v="TECH-18"/>
    <s v="Junior"/>
    <x v="0"/>
    <s v="No"/>
    <n v="1"/>
    <s v="Yes"/>
    <n v="8"/>
    <n v="1.9"/>
    <n v="18.5"/>
    <s v="No"/>
    <s v="Good"/>
    <s v="No"/>
    <s v="Finance"/>
    <s v="Friday"/>
    <s v="Afternoon"/>
  </r>
  <r>
    <x v="375"/>
    <s v="2024-09-27 16:48:17"/>
    <x v="9"/>
    <s v="2024-09-29 10:06:17"/>
    <n v="41.3"/>
    <n v="1.7"/>
    <s v="Software Installation"/>
    <s v="MS Office"/>
    <x v="3"/>
    <n v="48"/>
    <x v="1"/>
    <s v="Email"/>
    <s v="Tier 2"/>
    <s v="TECH-25"/>
    <s v="Mid-level"/>
    <x v="0"/>
    <s v="Yes"/>
    <n v="3"/>
    <s v="No"/>
    <n v="8"/>
    <n v="2.4"/>
    <n v="13"/>
    <s v="Yes"/>
    <s v="Fair"/>
    <s v="Yes"/>
    <s v="Sales"/>
    <s v="Wednesday"/>
    <s v="Morning"/>
  </r>
  <r>
    <x v="376"/>
    <s v="2024-02-15 22:21:30"/>
    <x v="6"/>
    <s v="2024-03-23 14:51:30"/>
    <n v="880.5"/>
    <n v="36.700000000000003"/>
    <s v="Password Reset"/>
    <s v="Account Unlock"/>
    <x v="2"/>
    <n v="360"/>
    <x v="0"/>
    <s v="Phone"/>
    <s v="Tier 1"/>
    <s v="TECH-17"/>
    <s v="Senior"/>
    <x v="1"/>
    <s v="No"/>
    <n v="0"/>
    <s v="No"/>
    <n v="9"/>
    <n v="4.2"/>
    <n v="28.2"/>
    <s v="Yes"/>
    <s v="Fair"/>
    <s v="Yes"/>
    <s v="Marketing"/>
    <s v="Wednesday"/>
    <s v="Evening"/>
  </r>
  <r>
    <x v="377"/>
    <s v="2024-02-17 03:20:37"/>
    <x v="6"/>
    <s v="2024-02-21 17:20:37"/>
    <n v="110"/>
    <n v="4.5999999999999996"/>
    <s v="Hardware Issues"/>
    <s v="Monitor"/>
    <x v="1"/>
    <n v="120"/>
    <x v="1"/>
    <s v="Portal"/>
    <s v="Tier 2"/>
    <s v="TECH-2"/>
    <s v="Junior"/>
    <x v="0"/>
    <s v="Yes"/>
    <n v="3"/>
    <s v="No"/>
    <n v="8"/>
    <n v="5.8"/>
    <n v="16.7"/>
    <s v="No"/>
    <s v="Fair"/>
    <s v="No"/>
    <s v="HR"/>
    <s v="Tuesday"/>
    <s v="Afternoon"/>
  </r>
  <r>
    <x v="378"/>
    <s v="2024-05-17 23:41:06"/>
    <x v="8"/>
    <s v="2024-06-05 06:41:06"/>
    <n v="439"/>
    <n v="18.3"/>
    <s v="Access Requests"/>
    <s v="File Share"/>
    <x v="0"/>
    <n v="240"/>
    <x v="0"/>
    <s v="Email"/>
    <s v="Tier 1"/>
    <s v="TECH-2"/>
    <s v="Mid-level"/>
    <x v="1"/>
    <s v="No"/>
    <n v="0"/>
    <s v="No"/>
    <n v="6"/>
    <n v="0.1"/>
    <n v="32.9"/>
    <s v="Yes"/>
    <s v="Good"/>
    <s v="Yes"/>
    <s v="IT"/>
    <s v="Monday"/>
    <s v="Morning"/>
  </r>
  <r>
    <x v="379"/>
    <s v="2024-12-11 03:19:28"/>
    <x v="0"/>
    <s v="2024-12-23 23:37:28"/>
    <n v="308.3"/>
    <n v="12.8"/>
    <s v="Software Installation"/>
    <s v="VPN Client"/>
    <x v="2"/>
    <n v="360"/>
    <x v="1"/>
    <s v="Phone"/>
    <s v="Tier 1"/>
    <s v="TECH-14"/>
    <s v="Mid-level"/>
    <x v="1"/>
    <s v="No"/>
    <n v="0"/>
    <s v="No"/>
    <n v="10"/>
    <n v="2.9"/>
    <n v="24.7"/>
    <s v="Yes"/>
    <s v="Poor"/>
    <s v="Yes"/>
    <s v="Sales"/>
    <s v="Tuesday"/>
    <s v="Afternoon"/>
  </r>
  <r>
    <x v="380"/>
    <s v="2024-01-03 15:03:40"/>
    <x v="3"/>
    <s v="2024-01-07 06:45:40"/>
    <n v="87.7"/>
    <n v="3.7"/>
    <s v="Hardware Issues"/>
    <s v="Desktop"/>
    <x v="1"/>
    <n v="120"/>
    <x v="1"/>
    <s v="Phone"/>
    <s v="Tier 2"/>
    <s v="TECH-9"/>
    <s v="Mid-level"/>
    <x v="0"/>
    <s v="Yes"/>
    <n v="1"/>
    <s v="No"/>
    <n v="8"/>
    <n v="1.4"/>
    <n v="20.3"/>
    <s v="No"/>
    <s v="Excellent"/>
    <s v="Yes"/>
    <s v="Executive"/>
    <s v="Monday"/>
    <s v="Afternoon"/>
  </r>
  <r>
    <x v="381"/>
    <s v="2024-05-01 16:53:16"/>
    <x v="8"/>
    <s v="2024-05-08 14:05:16"/>
    <n v="165.2"/>
    <n v="6.9"/>
    <s v="Email/Calendar"/>
    <s v="Calendar Sync"/>
    <x v="0"/>
    <n v="240"/>
    <x v="1"/>
    <s v="Portal"/>
    <s v="Tier 2"/>
    <s v="TECH-6"/>
    <s v="Junior"/>
    <x v="0"/>
    <s v="Yes"/>
    <n v="2"/>
    <s v="No"/>
    <n v="7"/>
    <n v="1.1000000000000001"/>
    <n v="30.3"/>
    <s v="Yes"/>
    <s v="Fair"/>
    <s v="No"/>
    <s v="Sales"/>
    <s v="Friday"/>
    <s v="Afternoon"/>
  </r>
  <r>
    <x v="382"/>
    <s v="2024-12-28 17:01:39"/>
    <x v="0"/>
    <s v="2025-01-11 07:07:39"/>
    <n v="326.10000000000002"/>
    <n v="13.6"/>
    <s v="Email/Calendar"/>
    <s v="Mailbox Full"/>
    <x v="2"/>
    <n v="360"/>
    <x v="1"/>
    <s v="Email"/>
    <s v="Tier 1"/>
    <s v="TECH-9"/>
    <s v="Mid-level"/>
    <x v="0"/>
    <s v="No"/>
    <n v="1"/>
    <s v="No"/>
    <n v="6"/>
    <n v="1.8"/>
    <n v="8.8000000000000007"/>
    <s v="Yes"/>
    <s v="Fair"/>
    <s v="Yes"/>
    <s v="Executive"/>
    <s v="Thursday"/>
    <s v="Afternoon"/>
  </r>
  <r>
    <x v="383"/>
    <s v="2024-02-06 12:19:48"/>
    <x v="6"/>
    <s v="2024-02-24 22:19:48"/>
    <n v="442"/>
    <n v="18.399999999999999"/>
    <s v="Password Reset"/>
    <s v="Email Password"/>
    <x v="2"/>
    <n v="360"/>
    <x v="0"/>
    <s v="Email"/>
    <s v="Tier 1"/>
    <s v="TECH-7"/>
    <s v="Senior"/>
    <x v="1"/>
    <s v="No"/>
    <n v="0"/>
    <s v="Yes"/>
    <n v="8"/>
    <n v="3.9"/>
    <n v="21.3"/>
    <s v="No"/>
    <s v="Fair"/>
    <s v="No"/>
    <s v="Executive"/>
    <s v="Tuesday"/>
    <s v="Afternoon"/>
  </r>
  <r>
    <x v="384"/>
    <s v="2024-10-27 03:35:58"/>
    <x v="2"/>
    <s v="2024-11-02 23:23:58"/>
    <n v="163.80000000000001"/>
    <n v="6.8"/>
    <s v="Software Installation"/>
    <s v="Adobe Suite"/>
    <x v="0"/>
    <n v="240"/>
    <x v="1"/>
    <s v="Walk-in"/>
    <s v="Tier 1"/>
    <s v="TECH-22"/>
    <s v="Mid-level"/>
    <x v="0"/>
    <s v="No"/>
    <n v="1"/>
    <s v="No"/>
    <n v="7"/>
    <n v="1.1000000000000001"/>
    <n v="32.4"/>
    <s v="Yes"/>
    <s v="Fair"/>
    <s v="No"/>
    <s v="IT"/>
    <s v="Monday"/>
    <s v="Afternoon"/>
  </r>
  <r>
    <x v="385"/>
    <s v="2024-12-27 13:19:35"/>
    <x v="0"/>
    <s v="2024-12-31 01:25:35"/>
    <n v="108.1"/>
    <n v="4.5"/>
    <s v="Hardware Issues"/>
    <s v="Docking Station"/>
    <x v="1"/>
    <n v="120"/>
    <x v="1"/>
    <s v="Email"/>
    <s v="Tier 2"/>
    <s v="TECH-5"/>
    <s v="Mid-level"/>
    <x v="0"/>
    <s v="Yes"/>
    <n v="1"/>
    <s v="No"/>
    <n v="8"/>
    <n v="2.8"/>
    <n v="15"/>
    <s v="No"/>
    <s v="Poor"/>
    <s v="Yes"/>
    <s v="Sales"/>
    <s v="Monday"/>
    <s v="Morning"/>
  </r>
  <r>
    <x v="386"/>
    <s v="2024-10-06 17:15:37"/>
    <x v="2"/>
    <s v="2024-10-13 06:15:37"/>
    <n v="157"/>
    <n v="6.5"/>
    <s v="Access Requests"/>
    <s v="Admin Rights"/>
    <x v="0"/>
    <n v="240"/>
    <x v="1"/>
    <s v="Email"/>
    <s v="Tier 1"/>
    <s v="TECH-23"/>
    <s v="Junior"/>
    <x v="1"/>
    <s v="No"/>
    <n v="0"/>
    <s v="No"/>
    <n v="9"/>
    <n v="2"/>
    <n v="28.8"/>
    <s v="Yes"/>
    <s v="Good"/>
    <s v="No"/>
    <s v="Sales"/>
    <s v="Tuesday"/>
    <s v="Afternoon"/>
  </r>
  <r>
    <x v="387"/>
    <s v="2024-04-11 06:10:29"/>
    <x v="11"/>
    <s v="2024-04-14 18:22:29"/>
    <n v="84.2"/>
    <n v="3.5"/>
    <s v="Access Requests"/>
    <s v="File Share"/>
    <x v="1"/>
    <n v="120"/>
    <x v="1"/>
    <s v="Portal"/>
    <s v="Tier 1"/>
    <s v="TECH-1"/>
    <s v="Mid-level"/>
    <x v="1"/>
    <s v="No"/>
    <n v="0"/>
    <s v="No"/>
    <n v="10"/>
    <n v="0.8"/>
    <n v="22.2"/>
    <s v="Yes"/>
    <s v="Good"/>
    <s v="Yes"/>
    <s v="Marketing"/>
    <s v="Friday"/>
    <s v="Morning"/>
  </r>
  <r>
    <x v="388"/>
    <s v="2024-08-17 04:00:00"/>
    <x v="1"/>
    <s v="2024-08-27 01:30:00"/>
    <n v="261.5"/>
    <n v="10.9"/>
    <s v="Password Reset"/>
    <s v="Windows Password"/>
    <x v="2"/>
    <n v="360"/>
    <x v="1"/>
    <s v="Email"/>
    <s v="Tier 1"/>
    <s v="TECH-1"/>
    <s v="Mid-level"/>
    <x v="1"/>
    <s v="No"/>
    <n v="0"/>
    <s v="No"/>
    <n v="10"/>
    <n v="3.7"/>
    <n v="11.9"/>
    <s v="Yes"/>
    <s v="Fair"/>
    <s v="Yes"/>
    <s v="Sales"/>
    <s v="Thursday"/>
    <s v="Morning"/>
  </r>
  <r>
    <x v="389"/>
    <s v="2024-04-05 08:24:19"/>
    <x v="11"/>
    <s v="2024-04-21 12:30:19"/>
    <n v="388.1"/>
    <n v="16.2"/>
    <s v="Hardware Issues"/>
    <s v="Desktop"/>
    <x v="0"/>
    <n v="240"/>
    <x v="0"/>
    <s v="Phone"/>
    <s v="Tier 1"/>
    <s v="TECH-15"/>
    <s v="Mid-level"/>
    <x v="0"/>
    <s v="No"/>
    <n v="1"/>
    <s v="No"/>
    <n v="7"/>
    <n v="1.9"/>
    <n v="15.2"/>
    <s v="No"/>
    <s v="Fair"/>
    <s v="Yes"/>
    <s v="Sales"/>
    <s v="Thursday"/>
    <s v="Afternoon"/>
  </r>
  <r>
    <x v="390"/>
    <s v="2024-04-02 08:58:02"/>
    <x v="11"/>
    <s v="2024-05-09 13:46:02"/>
    <n v="892.8"/>
    <n v="37.200000000000003"/>
    <s v="Password Reset"/>
    <s v="Application Password"/>
    <x v="2"/>
    <n v="360"/>
    <x v="0"/>
    <s v="Phone"/>
    <s v="Tier 1"/>
    <s v="TECH-1"/>
    <s v="Junior"/>
    <x v="0"/>
    <s v="No"/>
    <n v="1"/>
    <s v="No"/>
    <n v="6"/>
    <n v="2.8"/>
    <n v="0"/>
    <s v="Yes"/>
    <s v="Good"/>
    <s v="Yes"/>
    <s v="Sales"/>
    <s v="Thursday"/>
    <s v="Afternoon"/>
  </r>
  <r>
    <x v="391"/>
    <s v="2024-06-24 00:12:28"/>
    <x v="10"/>
    <s v="2024-07-06 04:48:28"/>
    <n v="268.60000000000002"/>
    <n v="11.2"/>
    <s v="Password Reset"/>
    <s v="Application Password"/>
    <x v="0"/>
    <n v="240"/>
    <x v="0"/>
    <s v="Email"/>
    <s v="Tier 1"/>
    <s v="TECH-21"/>
    <s v="Junior"/>
    <x v="1"/>
    <s v="No"/>
    <n v="0"/>
    <s v="Yes"/>
    <n v="5"/>
    <n v="0.1"/>
    <n v="19.399999999999999"/>
    <s v="Yes"/>
    <s v="Good"/>
    <s v="Yes"/>
    <s v="Sales"/>
    <s v="Friday"/>
    <s v="Morning"/>
  </r>
  <r>
    <x v="392"/>
    <s v="2024-09-19 20:50:23"/>
    <x v="9"/>
    <s v="2024-09-25 18:26:23"/>
    <n v="141.6"/>
    <n v="5.9"/>
    <s v="Application Errors"/>
    <s v="Features Not Working"/>
    <x v="1"/>
    <n v="120"/>
    <x v="0"/>
    <s v="Email"/>
    <s v="Tier 2"/>
    <s v="TECH-12"/>
    <s v="Mid-level"/>
    <x v="0"/>
    <s v="Yes"/>
    <n v="3"/>
    <s v="No"/>
    <n v="8"/>
    <n v="0.1"/>
    <n v="10.199999999999999"/>
    <s v="No"/>
    <s v="Fair"/>
    <s v="Yes"/>
    <s v="Operations"/>
    <s v="Thursday"/>
    <s v="Afternoon"/>
  </r>
  <r>
    <x v="393"/>
    <s v="2024-09-21 07:23:57"/>
    <x v="9"/>
    <s v="2024-10-05 17:47:57"/>
    <n v="346.4"/>
    <n v="14.4"/>
    <s v="Hardware Issues"/>
    <s v="Docking Station"/>
    <x v="0"/>
    <n v="240"/>
    <x v="0"/>
    <s v="Email"/>
    <s v="Tier 2"/>
    <s v="TECH-10"/>
    <s v="Mid-level"/>
    <x v="0"/>
    <s v="Yes"/>
    <n v="3"/>
    <s v="Yes"/>
    <n v="6"/>
    <n v="5.4"/>
    <n v="25"/>
    <s v="Yes"/>
    <s v="Poor"/>
    <s v="Yes"/>
    <s v="IT"/>
    <s v="Wednesday"/>
    <s v="Morning"/>
  </r>
  <r>
    <x v="394"/>
    <s v="2024-02-19 15:14:14"/>
    <x v="6"/>
    <s v="2024-02-23 04:14:14"/>
    <n v="85"/>
    <n v="3.5"/>
    <s v="Application Errors"/>
    <s v="Performance"/>
    <x v="3"/>
    <n v="48"/>
    <x v="0"/>
    <s v="Email"/>
    <s v="Tier 1"/>
    <s v="TECH-2"/>
    <s v="Mid-level"/>
    <x v="0"/>
    <s v="No"/>
    <n v="1"/>
    <s v="No"/>
    <n v="4"/>
    <n v="4.4000000000000004"/>
    <n v="29.3"/>
    <s v="No"/>
    <s v="Poor"/>
    <s v="Yes"/>
    <s v="Legal"/>
    <s v="Monday"/>
    <s v="Morning"/>
  </r>
  <r>
    <x v="395"/>
    <s v="2024-12-11 18:50:54"/>
    <x v="0"/>
    <s v="2024-12-23 10:56:54"/>
    <n v="280.10000000000002"/>
    <n v="11.7"/>
    <s v="Password Reset"/>
    <s v="Windows Password"/>
    <x v="2"/>
    <n v="360"/>
    <x v="1"/>
    <s v="Phone"/>
    <s v="Tier 1"/>
    <s v="TECH-5"/>
    <s v="Mid-level"/>
    <x v="1"/>
    <s v="No"/>
    <n v="0"/>
    <s v="No"/>
    <n v="8"/>
    <n v="7.2"/>
    <n v="9"/>
    <s v="No"/>
    <s v="Fair"/>
    <s v="No"/>
    <s v="Sales"/>
    <s v="Thursday"/>
    <s v="Morning"/>
  </r>
  <r>
    <x v="396"/>
    <s v="2024-09-06 13:38:50"/>
    <x v="9"/>
    <s v="2024-09-13 14:56:50"/>
    <n v="169.3"/>
    <n v="7.1"/>
    <s v="Email/Calendar"/>
    <s v="Mailbox Full"/>
    <x v="0"/>
    <n v="240"/>
    <x v="1"/>
    <s v="Portal"/>
    <s v="Tier 1"/>
    <s v="TECH-7"/>
    <s v="Mid-level"/>
    <x v="0"/>
    <s v="No"/>
    <n v="1"/>
    <s v="No"/>
    <n v="10"/>
    <n v="1.9"/>
    <n v="12.5"/>
    <s v="No"/>
    <s v="Poor"/>
    <s v="No"/>
    <s v="HR"/>
    <s v="Tuesday"/>
    <s v="Morning"/>
  </r>
  <r>
    <x v="397"/>
    <s v="2024-10-24 19:31:56"/>
    <x v="2"/>
    <s v="2024-10-30 14:07:56"/>
    <n v="139.6"/>
    <n v="5.8"/>
    <s v="Hardware Issues"/>
    <s v="Desktop"/>
    <x v="1"/>
    <n v="120"/>
    <x v="0"/>
    <s v="Walk-in"/>
    <s v="Tier 2"/>
    <s v="TECH-17"/>
    <s v="Senior"/>
    <x v="0"/>
    <s v="Yes"/>
    <n v="2"/>
    <s v="No"/>
    <n v="6"/>
    <n v="3.3"/>
    <n v="27"/>
    <s v="No"/>
    <s v="Excellent"/>
    <s v="No"/>
    <s v="HR"/>
    <s v="Wednesday"/>
    <s v="Evening"/>
  </r>
  <r>
    <x v="398"/>
    <s v="2024-10-15 10:03:47"/>
    <x v="2"/>
    <s v="2024-10-29 05:39:47"/>
    <n v="332.6"/>
    <n v="13.9"/>
    <s v="Password Reset"/>
    <s v="Windows Password"/>
    <x v="2"/>
    <n v="360"/>
    <x v="1"/>
    <s v="Walk-in"/>
    <s v="Tier 1"/>
    <s v="TECH-7"/>
    <s v="Senior"/>
    <x v="1"/>
    <s v="No"/>
    <n v="0"/>
    <s v="No"/>
    <n v="10"/>
    <n v="3.3"/>
    <n v="23.7"/>
    <s v="Yes"/>
    <s v="Poor"/>
    <s v="Yes"/>
    <s v="Sales"/>
    <s v="Friday"/>
    <s v="Afternoon"/>
  </r>
  <r>
    <x v="399"/>
    <s v="2024-03-01 14:08:54"/>
    <x v="5"/>
    <s v="2024-03-21 05:44:54"/>
    <n v="471.6"/>
    <n v="19.7"/>
    <s v="Network Connectivity"/>
    <s v="Slow Network"/>
    <x v="0"/>
    <n v="240"/>
    <x v="0"/>
    <s v="Chat"/>
    <s v="Tier 1"/>
    <s v="TECH-19"/>
    <s v="Mid-level"/>
    <x v="0"/>
    <s v="No"/>
    <n v="1"/>
    <s v="No"/>
    <n v="6"/>
    <n v="3.6"/>
    <n v="27.5"/>
    <s v="Yes"/>
    <s v="Good"/>
    <s v="No"/>
    <s v="Sales"/>
    <s v="Thursday"/>
    <s v="Afternoon"/>
  </r>
  <r>
    <x v="400"/>
    <s v="2024-04-19 21:23:28"/>
    <x v="11"/>
    <s v="2024-05-05 21:17:28"/>
    <n v="383.9"/>
    <n v="16"/>
    <s v="Password Reset"/>
    <s v="Windows Password"/>
    <x v="0"/>
    <n v="240"/>
    <x v="0"/>
    <s v="Portal"/>
    <s v="Tier 1"/>
    <s v="TECH-8"/>
    <s v="Senior"/>
    <x v="1"/>
    <s v="No"/>
    <n v="0"/>
    <s v="No"/>
    <n v="8"/>
    <n v="2.2000000000000002"/>
    <n v="34.799999999999997"/>
    <s v="Yes"/>
    <s v="Good"/>
    <s v="Yes"/>
    <s v="HR"/>
    <s v="Monday"/>
    <s v="Afternoon"/>
  </r>
  <r>
    <x v="401"/>
    <s v="2024-04-10 03:49:11"/>
    <x v="11"/>
    <s v="2024-04-14 21:07:11"/>
    <n v="113.3"/>
    <n v="4.7"/>
    <s v="Access Requests"/>
    <s v="Application Access"/>
    <x v="1"/>
    <n v="120"/>
    <x v="1"/>
    <s v="Email"/>
    <s v="Tier 1"/>
    <s v="TECH-20"/>
    <s v="Mid-level"/>
    <x v="1"/>
    <s v="No"/>
    <n v="0"/>
    <s v="Yes"/>
    <n v="10"/>
    <n v="2"/>
    <n v="49.5"/>
    <s v="Yes"/>
    <s v="Fair"/>
    <s v="Yes"/>
    <s v="HR"/>
    <s v="Friday"/>
    <s v="Morning"/>
  </r>
  <r>
    <x v="402"/>
    <s v="2024-08-10 19:03:03"/>
    <x v="1"/>
    <s v="2024-08-19 01:51:03"/>
    <n v="222.8"/>
    <n v="9.3000000000000007"/>
    <s v="Other"/>
    <s v="Documentation"/>
    <x v="2"/>
    <n v="360"/>
    <x v="1"/>
    <s v="Walk-in"/>
    <s v="Tier 1"/>
    <s v="TECH-7"/>
    <s v="Junior"/>
    <x v="1"/>
    <s v="No"/>
    <n v="0"/>
    <s v="No"/>
    <n v="10"/>
    <n v="3.4"/>
    <n v="25"/>
    <s v="Yes"/>
    <s v="Fair"/>
    <s v="Yes"/>
    <s v="Sales"/>
    <s v="Wednesday"/>
    <s v="Morning"/>
  </r>
  <r>
    <x v="403"/>
    <s v="2024-01-21 16:41:50"/>
    <x v="3"/>
    <s v="2024-01-25 13:17:50"/>
    <n v="92.6"/>
    <n v="3.9"/>
    <s v="Application Errors"/>
    <s v="Crash"/>
    <x v="1"/>
    <n v="120"/>
    <x v="1"/>
    <s v="Phone"/>
    <s v="Tier 2"/>
    <s v="TECH-24"/>
    <s v="Mid-level"/>
    <x v="0"/>
    <s v="Yes"/>
    <n v="4"/>
    <s v="No"/>
    <n v="8"/>
    <n v="4.9000000000000004"/>
    <n v="26.5"/>
    <s v="Yes"/>
    <s v="Fair"/>
    <s v="Yes"/>
    <s v="Operations"/>
    <s v="Wednesday"/>
    <s v="Afternoon"/>
  </r>
  <r>
    <x v="404"/>
    <s v="2024-05-01 14:06:53"/>
    <x v="8"/>
    <s v="2024-05-14 10:30:53"/>
    <n v="308.39999999999998"/>
    <n v="12.9"/>
    <s v="Password Reset"/>
    <s v="Account Unlock"/>
    <x v="2"/>
    <n v="360"/>
    <x v="1"/>
    <s v="Chat"/>
    <s v="Tier 2"/>
    <s v="TECH-18"/>
    <s v="Mid-level"/>
    <x v="0"/>
    <s v="Yes"/>
    <n v="1"/>
    <s v="Yes"/>
    <n v="10"/>
    <n v="3.5"/>
    <n v="7.5"/>
    <s v="Yes"/>
    <s v="Fair"/>
    <s v="Yes"/>
    <s v="IT"/>
    <s v="Wednesday"/>
    <s v="Afternoon"/>
  </r>
  <r>
    <x v="405"/>
    <s v="2024-12-29 20:00:56"/>
    <x v="0"/>
    <s v="2025-01-20 22:42:56"/>
    <n v="530.70000000000005"/>
    <n v="22.1"/>
    <s v="Password Reset"/>
    <s v="Application Password"/>
    <x v="2"/>
    <n v="360"/>
    <x v="0"/>
    <s v="Phone"/>
    <s v="Tier 1"/>
    <s v="TECH-2"/>
    <s v="Mid-level"/>
    <x v="1"/>
    <s v="No"/>
    <n v="0"/>
    <s v="No"/>
    <n v="6"/>
    <n v="0.9"/>
    <n v="15.6"/>
    <s v="Yes"/>
    <s v="Good"/>
    <s v="Yes"/>
    <s v="Finance"/>
    <s v="Thursday"/>
    <s v="Morning"/>
  </r>
  <r>
    <x v="406"/>
    <s v="2024-03-09 16:05:29"/>
    <x v="5"/>
    <s v="2024-03-12 16:23:29"/>
    <n v="72.3"/>
    <n v="3"/>
    <s v="Other"/>
    <s v="Miscellaneous"/>
    <x v="1"/>
    <n v="120"/>
    <x v="1"/>
    <s v="Email"/>
    <s v="Tier 1"/>
    <s v="TECH-18"/>
    <s v="Mid-level"/>
    <x v="0"/>
    <s v="No"/>
    <n v="1"/>
    <s v="No"/>
    <n v="8"/>
    <n v="2.8"/>
    <n v="18.3"/>
    <s v="Yes"/>
    <s v="Fair"/>
    <s v="Yes"/>
    <s v="Executive"/>
    <s v="Wednesday"/>
    <s v="Morning"/>
  </r>
  <r>
    <x v="407"/>
    <s v="2024-04-02 08:08:35"/>
    <x v="11"/>
    <s v="2024-04-05 10:20:35"/>
    <n v="74.2"/>
    <n v="3.1"/>
    <s v="Application Errors"/>
    <s v="Login Issues"/>
    <x v="1"/>
    <n v="120"/>
    <x v="1"/>
    <s v="Walk-in"/>
    <s v="Tier 2"/>
    <s v="TECH-15"/>
    <s v="Junior"/>
    <x v="0"/>
    <s v="Yes"/>
    <n v="1"/>
    <s v="No"/>
    <n v="8"/>
    <n v="0.3"/>
    <n v="20.9"/>
    <s v="No"/>
    <s v="Good"/>
    <s v="No"/>
    <s v="Sales"/>
    <s v="Wednesday"/>
    <s v="Afternoon"/>
  </r>
  <r>
    <x v="408"/>
    <s v="2024-08-01 07:45:01"/>
    <x v="1"/>
    <s v="2024-08-14 01:09:01"/>
    <n v="329.4"/>
    <n v="13.7"/>
    <s v="Software Installation"/>
    <s v="Adobe Suite"/>
    <x v="2"/>
    <n v="360"/>
    <x v="1"/>
    <s v="Phone"/>
    <s v="Tier 1"/>
    <s v="TECH-18"/>
    <s v="Junior"/>
    <x v="0"/>
    <s v="No"/>
    <n v="1"/>
    <s v="No"/>
    <n v="9"/>
    <n v="4"/>
    <n v="0"/>
    <s v="Yes"/>
    <s v="Good"/>
    <s v="Yes"/>
    <s v="Sales"/>
    <s v="Friday"/>
    <s v="Evening"/>
  </r>
  <r>
    <x v="409"/>
    <s v="2024-04-11 09:05:21"/>
    <x v="11"/>
    <s v="2024-04-14 01:17:21"/>
    <n v="88.2"/>
    <n v="3.7"/>
    <s v="Email/Calendar"/>
    <s v="Mailbox Full"/>
    <x v="1"/>
    <n v="120"/>
    <x v="1"/>
    <s v="Phone"/>
    <s v="Tier 1"/>
    <s v="TECH-8"/>
    <s v="Junior"/>
    <x v="0"/>
    <s v="No"/>
    <n v="1"/>
    <s v="No"/>
    <n v="7"/>
    <n v="1"/>
    <n v="4.5999999999999996"/>
    <s v="No"/>
    <s v="Good"/>
    <s v="No"/>
    <s v="IT"/>
    <s v="Tuesday"/>
    <s v="Afternoon"/>
  </r>
  <r>
    <x v="410"/>
    <s v="2024-08-07 17:39:23"/>
    <x v="1"/>
    <s v="2024-08-16 18:03:23"/>
    <n v="216.4"/>
    <n v="9"/>
    <s v="Network Connectivity"/>
    <s v="Slow Network"/>
    <x v="0"/>
    <n v="240"/>
    <x v="1"/>
    <s v="Phone"/>
    <s v="Tier 2"/>
    <s v="TECH-11"/>
    <s v="Junior"/>
    <x v="0"/>
    <s v="Yes"/>
    <n v="3"/>
    <s v="Yes"/>
    <n v="9"/>
    <n v="2.8"/>
    <n v="13.2"/>
    <s v="Yes"/>
    <s v="Poor"/>
    <s v="Yes"/>
    <s v="HR"/>
    <s v="Tuesday"/>
    <s v="Morning"/>
  </r>
  <r>
    <x v="411"/>
    <s v="2024-09-13 02:53:49"/>
    <x v="9"/>
    <s v="2024-09-22 02:05:49"/>
    <n v="215.2"/>
    <n v="9"/>
    <s v="Software Installation"/>
    <s v="VPN Client"/>
    <x v="0"/>
    <n v="240"/>
    <x v="1"/>
    <s v="Portal"/>
    <s v="Tier 1"/>
    <s v="TECH-25"/>
    <s v="Mid-level"/>
    <x v="0"/>
    <s v="No"/>
    <n v="1"/>
    <s v="No"/>
    <n v="7"/>
    <n v="3.9"/>
    <n v="11.3"/>
    <s v="No"/>
    <s v="Fair"/>
    <s v="No"/>
    <s v="IT"/>
    <s v="Tuesday"/>
    <s v="Afternoon"/>
  </r>
  <r>
    <x v="412"/>
    <s v="2024-07-13 11:25:21"/>
    <x v="4"/>
    <s v="2024-07-21 06:25:21"/>
    <n v="187"/>
    <n v="7.8"/>
    <s v="Hardware Issues"/>
    <s v="Docking Station"/>
    <x v="0"/>
    <n v="240"/>
    <x v="1"/>
    <s v="Portal"/>
    <s v="Tier 2"/>
    <s v="TECH-9"/>
    <s v="Senior"/>
    <x v="0"/>
    <s v="Yes"/>
    <n v="2"/>
    <s v="No"/>
    <n v="7"/>
    <n v="0.7"/>
    <n v="13.7"/>
    <s v="No"/>
    <s v="Good"/>
    <s v="No"/>
    <s v="Marketing"/>
    <s v="Tuesday"/>
    <s v="Morning"/>
  </r>
  <r>
    <x v="413"/>
    <s v="2024-05-06 20:37:48"/>
    <x v="8"/>
    <s v="2024-06-09 19:13:48"/>
    <n v="814.6"/>
    <n v="33.9"/>
    <s v="Password Reset"/>
    <s v="Windows Password"/>
    <x v="2"/>
    <n v="360"/>
    <x v="0"/>
    <s v="Email"/>
    <s v="Tier 1"/>
    <s v="TECH-14"/>
    <s v="Senior"/>
    <x v="0"/>
    <s v="No"/>
    <n v="1"/>
    <s v="No"/>
    <n v="7"/>
    <n v="5.5"/>
    <n v="42.5"/>
    <s v="No"/>
    <s v="Poor"/>
    <s v="Yes"/>
    <s v="Operations"/>
    <s v="Monday"/>
    <s v="Afternoon"/>
  </r>
  <r>
    <x v="414"/>
    <s v="2024-04-04 21:39:04"/>
    <x v="11"/>
    <s v="2024-04-11 07:21:04"/>
    <n v="153.69999999999999"/>
    <n v="6.4"/>
    <s v="Software Installation"/>
    <s v="VPN Client"/>
    <x v="0"/>
    <n v="240"/>
    <x v="1"/>
    <s v="Phone"/>
    <s v="Tier 1"/>
    <s v="TECH-7"/>
    <s v="Junior"/>
    <x v="0"/>
    <s v="No"/>
    <n v="1"/>
    <s v="No"/>
    <n v="7"/>
    <n v="3"/>
    <n v="2.5"/>
    <s v="Yes"/>
    <s v="Good"/>
    <s v="Yes"/>
    <s v="Marketing"/>
    <s v="Thursday"/>
    <s v="Afternoon"/>
  </r>
  <r>
    <x v="415"/>
    <s v="2024-07-26 12:15:27"/>
    <x v="4"/>
    <s v="2024-08-04 21:57:27"/>
    <n v="225.7"/>
    <n v="9.4"/>
    <s v="Password Reset"/>
    <s v="Application Password"/>
    <x v="0"/>
    <n v="240"/>
    <x v="1"/>
    <s v="Email"/>
    <s v="Tier 1"/>
    <s v="TECH-6"/>
    <s v="Mid-level"/>
    <x v="1"/>
    <s v="No"/>
    <n v="0"/>
    <s v="No"/>
    <n v="10"/>
    <n v="3.3"/>
    <n v="24.9"/>
    <s v="Yes"/>
    <s v="Poor"/>
    <s v="Yes"/>
    <s v="Executive"/>
    <s v="Tuesday"/>
    <s v="Morning"/>
  </r>
  <r>
    <x v="416"/>
    <s v="2024-04-15 12:14:14"/>
    <x v="11"/>
    <s v="2024-04-24 23:02:14"/>
    <n v="226.8"/>
    <n v="9.5"/>
    <s v="Network Connectivity"/>
    <s v="VPN Connection"/>
    <x v="0"/>
    <n v="240"/>
    <x v="1"/>
    <s v="Email"/>
    <s v="Tier 1"/>
    <s v="TECH-2"/>
    <s v="Junior"/>
    <x v="0"/>
    <s v="No"/>
    <n v="1"/>
    <s v="No"/>
    <n v="6"/>
    <n v="2.8"/>
    <n v="17"/>
    <s v="Yes"/>
    <s v="Poor"/>
    <s v="Yes"/>
    <s v="Marketing"/>
    <s v="Wednesday"/>
    <s v="Afternoon"/>
  </r>
  <r>
    <x v="417"/>
    <s v="2024-05-03 17:09:05"/>
    <x v="8"/>
    <s v="2024-05-11 17:57:05"/>
    <n v="192.8"/>
    <n v="8"/>
    <s v="Hardware Issues"/>
    <s v="Keyboard/Mouse"/>
    <x v="0"/>
    <n v="240"/>
    <x v="1"/>
    <s v="Chat"/>
    <s v="Tier 2"/>
    <s v="TECH-16"/>
    <s v="Mid-level"/>
    <x v="0"/>
    <s v="Yes"/>
    <n v="1"/>
    <s v="No"/>
    <n v="7"/>
    <n v="1.1000000000000001"/>
    <n v="16.5"/>
    <s v="No"/>
    <s v="Excellent"/>
    <s v="Yes"/>
    <s v="HR"/>
    <s v="Tuesday"/>
    <s v="Afternoon"/>
  </r>
  <r>
    <x v="418"/>
    <s v="2024-10-23 10:56:06"/>
    <x v="2"/>
    <s v="2024-10-27 20:50:06"/>
    <n v="106.9"/>
    <n v="4.5"/>
    <s v="Software Installation"/>
    <s v="Business Apps"/>
    <x v="1"/>
    <n v="120"/>
    <x v="1"/>
    <s v="Email"/>
    <s v="Tier 2"/>
    <s v="TECH-20"/>
    <s v="Junior"/>
    <x v="0"/>
    <s v="Yes"/>
    <n v="4"/>
    <s v="No"/>
    <n v="7"/>
    <n v="3"/>
    <n v="45.3"/>
    <s v="Yes"/>
    <s v="Fair"/>
    <s v="Yes"/>
    <s v="Executive"/>
    <s v="Monday"/>
    <s v="Evening"/>
  </r>
  <r>
    <x v="419"/>
    <s v="2024-05-11 18:24:05"/>
    <x v="8"/>
    <s v="2024-06-02 08:54:05"/>
    <n v="518.5"/>
    <n v="21.6"/>
    <s v="Password Reset"/>
    <s v="Email Password"/>
    <x v="2"/>
    <n v="360"/>
    <x v="0"/>
    <s v="Phone"/>
    <s v="Tier 1"/>
    <s v="TECH-10"/>
    <s v="Mid-level"/>
    <x v="1"/>
    <s v="No"/>
    <n v="0"/>
    <s v="Yes"/>
    <n v="8"/>
    <n v="0.7"/>
    <n v="25.4"/>
    <s v="No"/>
    <s v="Good"/>
    <s v="Yes"/>
    <s v="HR"/>
    <s v="Tuesday"/>
    <s v="Morning"/>
  </r>
  <r>
    <x v="420"/>
    <s v="2024-12-22 19:04:01"/>
    <x v="0"/>
    <s v="2025-01-01 03:04:01"/>
    <n v="224"/>
    <n v="9.3000000000000007"/>
    <s v="Email/Calendar"/>
    <s v="Distribution List"/>
    <x v="0"/>
    <n v="240"/>
    <x v="1"/>
    <s v="Email"/>
    <s v="Tier 1"/>
    <s v="TECH-18"/>
    <s v="Senior"/>
    <x v="1"/>
    <s v="No"/>
    <n v="0"/>
    <s v="No"/>
    <n v="10"/>
    <n v="3.3"/>
    <n v="14.5"/>
    <s v="No"/>
    <s v="Excellent"/>
    <s v="No"/>
    <s v="Executive"/>
    <s v="Tuesday"/>
    <s v="Afternoon"/>
  </r>
  <r>
    <x v="421"/>
    <s v="2024-05-17 23:44:42"/>
    <x v="8"/>
    <s v="2024-05-21 23:26:42"/>
    <n v="95.7"/>
    <n v="4"/>
    <s v="Application Errors"/>
    <s v="Performance"/>
    <x v="1"/>
    <n v="120"/>
    <x v="1"/>
    <s v="Chat"/>
    <s v="Tier 1"/>
    <s v="TECH-18"/>
    <s v="Mid-level"/>
    <x v="0"/>
    <s v="No"/>
    <n v="1"/>
    <s v="No"/>
    <n v="9"/>
    <n v="1.8"/>
    <n v="20.5"/>
    <s v="Yes"/>
    <s v="Excellent"/>
    <s v="Yes"/>
    <s v="IT"/>
    <s v="Friday"/>
    <s v="Evening"/>
  </r>
  <r>
    <x v="422"/>
    <s v="2024-10-19 23:28:56"/>
    <x v="2"/>
    <s v="2024-10-28 00:46:56"/>
    <n v="218.3"/>
    <n v="9.1"/>
    <s v="Access Requests"/>
    <s v="Admin Rights"/>
    <x v="0"/>
    <n v="240"/>
    <x v="1"/>
    <s v="Phone"/>
    <s v="Tier 1"/>
    <s v="TECH-21"/>
    <s v="Senior"/>
    <x v="1"/>
    <s v="No"/>
    <n v="0"/>
    <s v="No"/>
    <n v="10"/>
    <n v="0.4"/>
    <n v="16"/>
    <s v="Yes"/>
    <s v="Good"/>
    <s v="Yes"/>
    <s v="Operations"/>
    <s v="Thursday"/>
    <s v="Morning"/>
  </r>
  <r>
    <x v="423"/>
    <s v="2024-09-14 19:28:14"/>
    <x v="9"/>
    <s v="2024-09-18 03:22:14"/>
    <n v="79.900000000000006"/>
    <n v="3.3"/>
    <s v="Software Installation"/>
    <s v="Adobe Suite"/>
    <x v="1"/>
    <n v="120"/>
    <x v="1"/>
    <s v="Portal"/>
    <s v="Tier 1"/>
    <s v="TECH-2"/>
    <s v="Junior"/>
    <x v="0"/>
    <s v="No"/>
    <n v="1"/>
    <s v="No"/>
    <n v="10"/>
    <n v="2.9"/>
    <n v="12.7"/>
    <s v="Yes"/>
    <s v="Poor"/>
    <s v="Yes"/>
    <s v="HR"/>
    <s v="Thursday"/>
    <s v="Evening"/>
  </r>
  <r>
    <x v="424"/>
    <s v="2024-06-15 02:19:27"/>
    <x v="10"/>
    <s v="2024-06-20 06:01:27"/>
    <n v="99.7"/>
    <n v="4.2"/>
    <s v="Application Errors"/>
    <s v="Performance"/>
    <x v="1"/>
    <n v="120"/>
    <x v="1"/>
    <s v="Email"/>
    <s v="Tier 1"/>
    <s v="TECH-10"/>
    <s v="Junior"/>
    <x v="1"/>
    <s v="No"/>
    <n v="0"/>
    <s v="No"/>
    <n v="10"/>
    <n v="1.9"/>
    <n v="30.2"/>
    <s v="No"/>
    <s v="Excellent"/>
    <s v="Yes"/>
    <s v="IT"/>
    <s v="Tuesday"/>
    <s v="Morning"/>
  </r>
  <r>
    <x v="425"/>
    <s v="2024-11-10 18:58:21"/>
    <x v="7"/>
    <s v="2024-11-19 10:58:21"/>
    <n v="208"/>
    <n v="8.6999999999999993"/>
    <s v="Access Requests"/>
    <s v="VPN Access"/>
    <x v="0"/>
    <n v="240"/>
    <x v="1"/>
    <s v="Phone"/>
    <s v="Tier 1"/>
    <s v="TECH-25"/>
    <s v="Mid-level"/>
    <x v="1"/>
    <s v="No"/>
    <n v="0"/>
    <s v="No"/>
    <n v="10"/>
    <n v="0.1"/>
    <n v="28.1"/>
    <s v="No"/>
    <s v="Good"/>
    <s v="No"/>
    <s v="Executive"/>
    <s v="Wednesday"/>
    <s v="Afternoon"/>
  </r>
  <r>
    <x v="426"/>
    <s v="2024-10-12 04:54:13"/>
    <x v="2"/>
    <s v="2024-10-13 21:48:13"/>
    <n v="40.9"/>
    <n v="1.7"/>
    <s v="Other"/>
    <s v="Miscellaneous"/>
    <x v="3"/>
    <n v="48"/>
    <x v="1"/>
    <s v="Portal"/>
    <s v="Tier 1"/>
    <s v="TECH-7"/>
    <s v="Junior"/>
    <x v="1"/>
    <s v="No"/>
    <n v="0"/>
    <s v="No"/>
    <n v="10"/>
    <n v="3.5"/>
    <n v="36.4"/>
    <s v="Yes"/>
    <s v="Poor"/>
    <s v="Yes"/>
    <s v="Finance"/>
    <s v="Wednesday"/>
    <s v="Morning"/>
  </r>
  <r>
    <x v="427"/>
    <s v="2024-07-06 14:58:00"/>
    <x v="4"/>
    <s v="2024-07-13 16:40:00"/>
    <n v="169.7"/>
    <n v="7.1"/>
    <s v="Access Requests"/>
    <s v="Admin Rights"/>
    <x v="0"/>
    <n v="240"/>
    <x v="1"/>
    <s v="Portal"/>
    <s v="Tier 1"/>
    <s v="TECH-5"/>
    <s v="Mid-level"/>
    <x v="0"/>
    <s v="No"/>
    <n v="1"/>
    <s v="Yes"/>
    <n v="10"/>
    <n v="0.1"/>
    <n v="16.399999999999999"/>
    <s v="No"/>
    <s v="Good"/>
    <s v="Yes"/>
    <s v="Marketing"/>
    <s v="Thursday"/>
    <s v="Afternoon"/>
  </r>
  <r>
    <x v="428"/>
    <s v="2024-11-25 21:45:17"/>
    <x v="7"/>
    <s v="2024-12-03 14:39:17"/>
    <n v="184.9"/>
    <n v="7.7"/>
    <s v="Password Reset"/>
    <s v="Windows Password"/>
    <x v="0"/>
    <n v="240"/>
    <x v="1"/>
    <s v="Chat"/>
    <s v="Tier 2"/>
    <s v="TECH-8"/>
    <s v="Mid-level"/>
    <x v="0"/>
    <s v="Yes"/>
    <n v="2"/>
    <s v="No"/>
    <n v="5"/>
    <n v="1.3"/>
    <n v="15.9"/>
    <s v="Yes"/>
    <s v="Fair"/>
    <s v="No"/>
    <s v="Legal"/>
    <s v="Monday"/>
    <s v="Afternoon"/>
  </r>
  <r>
    <x v="429"/>
    <s v="2024-10-09 00:48:59"/>
    <x v="2"/>
    <s v="2024-10-22 00:24:59"/>
    <n v="311.60000000000002"/>
    <n v="13"/>
    <s v="Other"/>
    <s v="Documentation"/>
    <x v="2"/>
    <n v="360"/>
    <x v="1"/>
    <s v="Phone"/>
    <s v="Tier 2"/>
    <s v="TECH-5"/>
    <s v="Mid-level"/>
    <x v="0"/>
    <s v="Yes"/>
    <n v="2"/>
    <s v="No"/>
    <n v="8"/>
    <n v="1.5"/>
    <n v="50.3"/>
    <s v="No"/>
    <s v="Good"/>
    <s v="No"/>
    <s v="Sales"/>
    <s v="Thursday"/>
    <s v="Morning"/>
  </r>
  <r>
    <x v="430"/>
    <s v="2024-09-05 18:25:59"/>
    <x v="9"/>
    <s v="2024-09-11 20:25:59"/>
    <n v="146"/>
    <n v="6.1"/>
    <s v="Other"/>
    <s v="Documentation"/>
    <x v="0"/>
    <n v="240"/>
    <x v="1"/>
    <s v="Email"/>
    <s v="Tier 1"/>
    <s v="TECH-20"/>
    <s v="Mid-level"/>
    <x v="0"/>
    <s v="No"/>
    <n v="1"/>
    <s v="No"/>
    <n v="7"/>
    <n v="3.3"/>
    <n v="4"/>
    <s v="No"/>
    <s v="Poor"/>
    <s v="Yes"/>
    <s v="IT"/>
    <s v="Tuesday"/>
    <s v="Afternoon"/>
  </r>
  <r>
    <x v="431"/>
    <s v="2024-12-16 05:44:53"/>
    <x v="0"/>
    <s v="2024-12-27 06:26:53"/>
    <n v="264.7"/>
    <n v="11"/>
    <s v="Password Reset"/>
    <s v="Email Password"/>
    <x v="2"/>
    <n v="360"/>
    <x v="1"/>
    <s v="Walk-in"/>
    <s v="Tier 1"/>
    <s v="TECH-25"/>
    <s v="Junior"/>
    <x v="0"/>
    <s v="No"/>
    <n v="1"/>
    <s v="No"/>
    <n v="7"/>
    <n v="1.5"/>
    <n v="3.6"/>
    <s v="Yes"/>
    <s v="Poor"/>
    <s v="No"/>
    <s v="HR"/>
    <s v="Tuesday"/>
    <s v="Evening"/>
  </r>
  <r>
    <x v="432"/>
    <s v="2024-05-04 00:14:42"/>
    <x v="8"/>
    <s v="2024-05-18 15:44:42"/>
    <n v="327.5"/>
    <n v="13.6"/>
    <s v="Email/Calendar"/>
    <s v="Calendar Sync"/>
    <x v="2"/>
    <n v="360"/>
    <x v="1"/>
    <s v="Chat"/>
    <s v="Tier 1"/>
    <s v="TECH-18"/>
    <s v="Mid-level"/>
    <x v="0"/>
    <s v="No"/>
    <n v="1"/>
    <s v="Yes"/>
    <n v="6"/>
    <n v="2"/>
    <n v="6"/>
    <s v="No"/>
    <s v="Excellent"/>
    <s v="No"/>
    <s v="HR"/>
    <s v="Monday"/>
    <s v="Morning"/>
  </r>
  <r>
    <x v="433"/>
    <s v="2024-10-06 05:30:16"/>
    <x v="2"/>
    <s v="2024-10-12 19:42:16"/>
    <n v="158.19999999999999"/>
    <n v="6.6"/>
    <s v="Email/Calendar"/>
    <s v="Cannot Send/Receive"/>
    <x v="0"/>
    <n v="240"/>
    <x v="1"/>
    <s v="Email"/>
    <s v="Tier 1"/>
    <s v="TECH-6"/>
    <s v="Mid-level"/>
    <x v="0"/>
    <s v="No"/>
    <n v="1"/>
    <s v="No"/>
    <n v="8"/>
    <n v="0.8"/>
    <n v="19.2"/>
    <s v="No"/>
    <s v="Fair"/>
    <s v="No"/>
    <s v="IT"/>
    <s v="Thursday"/>
    <s v="Morning"/>
  </r>
  <r>
    <x v="434"/>
    <s v="2024-12-02 11:22:10"/>
    <x v="0"/>
    <s v="2024-12-14 23:04:10"/>
    <n v="299.7"/>
    <n v="12.5"/>
    <s v="Password Reset"/>
    <s v="Windows Password"/>
    <x v="2"/>
    <n v="360"/>
    <x v="1"/>
    <s v="Phone"/>
    <s v="Tier 1"/>
    <s v="TECH-5"/>
    <s v="Mid-level"/>
    <x v="1"/>
    <s v="No"/>
    <n v="0"/>
    <s v="No"/>
    <n v="10"/>
    <n v="2"/>
    <n v="5.7"/>
    <s v="Yes"/>
    <s v="Fair"/>
    <s v="Yes"/>
    <s v="HR"/>
    <s v="Wednesday"/>
    <s v="Morning"/>
  </r>
  <r>
    <x v="435"/>
    <s v="2024-09-13 19:08:43"/>
    <x v="9"/>
    <s v="2024-09-18 12:20:43"/>
    <n v="113.2"/>
    <n v="4.7"/>
    <s v="Access Requests"/>
    <s v="File Share"/>
    <x v="1"/>
    <n v="120"/>
    <x v="1"/>
    <s v="Portal"/>
    <s v="Tier 1"/>
    <s v="TECH-24"/>
    <s v="Mid-level"/>
    <x v="1"/>
    <s v="No"/>
    <n v="0"/>
    <s v="No"/>
    <n v="9"/>
    <n v="0.3"/>
    <n v="24.7"/>
    <s v="Yes"/>
    <s v="Good"/>
    <s v="No"/>
    <s v="Finance"/>
    <s v="Thursday"/>
    <s v="Morning"/>
  </r>
  <r>
    <x v="436"/>
    <s v="2024-12-11 23:01:36"/>
    <x v="0"/>
    <s v="2024-12-18 08:31:36"/>
    <n v="153.5"/>
    <n v="6.4"/>
    <s v="Application Errors"/>
    <s v="Features Not Working"/>
    <x v="1"/>
    <n v="120"/>
    <x v="0"/>
    <s v="Email"/>
    <s v="Tier 2"/>
    <s v="TECH-19"/>
    <s v="Mid-level"/>
    <x v="0"/>
    <s v="Yes"/>
    <n v="4"/>
    <s v="No"/>
    <n v="3"/>
    <n v="5.0999999999999996"/>
    <n v="8.1999999999999993"/>
    <s v="Yes"/>
    <s v="Fair"/>
    <s v="No"/>
    <s v="Finance"/>
    <s v="Friday"/>
    <s v="Afternoon"/>
  </r>
  <r>
    <x v="437"/>
    <s v="2024-03-06 17:42:50"/>
    <x v="5"/>
    <s v="2024-03-13 11:36:50"/>
    <n v="161.9"/>
    <n v="6.7"/>
    <s v="Access Requests"/>
    <s v="Application Access"/>
    <x v="0"/>
    <n v="240"/>
    <x v="1"/>
    <s v="Portal"/>
    <s v="Tier 1"/>
    <s v="TECH-8"/>
    <s v="Mid-level"/>
    <x v="0"/>
    <s v="No"/>
    <n v="1"/>
    <s v="No"/>
    <n v="9"/>
    <n v="0.1"/>
    <n v="7.7"/>
    <s v="Yes"/>
    <s v="Poor"/>
    <s v="Yes"/>
    <s v="Finance"/>
    <s v="Monday"/>
    <s v="Afternoon"/>
  </r>
  <r>
    <x v="438"/>
    <s v="2024-01-22 23:06:25"/>
    <x v="3"/>
    <s v="2024-01-30 08:24:25"/>
    <n v="177.3"/>
    <n v="7.4"/>
    <s v="Software Installation"/>
    <s v="Business Apps"/>
    <x v="0"/>
    <n v="240"/>
    <x v="1"/>
    <s v="Phone"/>
    <s v="Tier 1"/>
    <s v="TECH-19"/>
    <s v="Mid-level"/>
    <x v="0"/>
    <s v="No"/>
    <n v="1"/>
    <s v="No"/>
    <n v="6"/>
    <n v="5.2"/>
    <n v="10.8"/>
    <s v="No"/>
    <s v="Fair"/>
    <s v="No"/>
    <s v="IT"/>
    <s v="Monday"/>
    <s v="Morning"/>
  </r>
  <r>
    <x v="439"/>
    <s v="2024-03-26 13:21:01"/>
    <x v="5"/>
    <s v="2024-03-28 07:33:01"/>
    <n v="42.2"/>
    <n v="1.8"/>
    <s v="Hardware Issues"/>
    <s v="Laptop"/>
    <x v="3"/>
    <n v="48"/>
    <x v="1"/>
    <s v="Portal"/>
    <s v="Tier 2"/>
    <s v="TECH-3"/>
    <s v="Mid-level"/>
    <x v="0"/>
    <s v="Yes"/>
    <n v="1"/>
    <s v="No"/>
    <n v="9"/>
    <n v="3.1"/>
    <n v="0"/>
    <s v="Yes"/>
    <s v="Fair"/>
    <s v="Yes"/>
    <s v="Marketing"/>
    <s v="Wednesday"/>
    <s v="Afternoon"/>
  </r>
  <r>
    <x v="440"/>
    <s v="2024-01-16 00:34:45"/>
    <x v="3"/>
    <s v="2024-01-20 17:22:45"/>
    <n v="88.8"/>
    <n v="3.7"/>
    <s v="Access Requests"/>
    <s v="File Share"/>
    <x v="1"/>
    <n v="120"/>
    <x v="1"/>
    <s v="Phone"/>
    <s v="Tier 1"/>
    <s v="TECH-15"/>
    <s v="Senior"/>
    <x v="1"/>
    <s v="No"/>
    <n v="0"/>
    <s v="No"/>
    <n v="10"/>
    <n v="3.8"/>
    <n v="0"/>
    <s v="Yes"/>
    <s v="Fair"/>
    <s v="Yes"/>
    <s v="Finance"/>
    <s v="Wednesday"/>
    <s v="Afternoon"/>
  </r>
  <r>
    <x v="441"/>
    <s v="2024-04-30 00:30:54"/>
    <x v="11"/>
    <s v="2024-05-07 00:00:54"/>
    <n v="167.5"/>
    <n v="7"/>
    <s v="Software Installation"/>
    <s v="Drivers"/>
    <x v="0"/>
    <n v="240"/>
    <x v="1"/>
    <s v="Phone"/>
    <s v="Tier 1"/>
    <s v="TECH-7"/>
    <s v="Junior"/>
    <x v="0"/>
    <s v="No"/>
    <n v="1"/>
    <s v="No"/>
    <n v="10"/>
    <n v="2.2000000000000002"/>
    <n v="34.200000000000003"/>
    <s v="No"/>
    <s v="Poor"/>
    <s v="No"/>
    <s v="Finance"/>
    <s v="Thursday"/>
    <s v="Evening"/>
  </r>
  <r>
    <x v="442"/>
    <s v="2024-12-04 13:49:02"/>
    <x v="0"/>
    <s v="2024-12-16 02:43:02"/>
    <n v="276.89999999999998"/>
    <n v="11.5"/>
    <s v="Password Reset"/>
    <s v="Account Unlock"/>
    <x v="2"/>
    <n v="360"/>
    <x v="1"/>
    <s v="Phone"/>
    <s v="Tier 1"/>
    <s v="TECH-9"/>
    <s v="Senior"/>
    <x v="1"/>
    <s v="No"/>
    <n v="0"/>
    <s v="No"/>
    <n v="10"/>
    <n v="3.6"/>
    <n v="24.5"/>
    <s v="Yes"/>
    <s v="Fair"/>
    <s v="Yes"/>
    <s v="IT"/>
    <s v="Tuesday"/>
    <s v="Afternoon"/>
  </r>
  <r>
    <x v="443"/>
    <s v="2024-11-16 08:07:53"/>
    <x v="7"/>
    <s v="2024-11-27 06:07:53"/>
    <n v="262"/>
    <n v="10.9"/>
    <s v="Other"/>
    <s v="Miscellaneous"/>
    <x v="2"/>
    <n v="360"/>
    <x v="1"/>
    <s v="Email"/>
    <s v="Tier 2"/>
    <s v="TECH-17"/>
    <s v="Mid-level"/>
    <x v="0"/>
    <s v="Yes"/>
    <n v="2"/>
    <s v="No"/>
    <n v="8"/>
    <n v="3.1"/>
    <n v="16.8"/>
    <s v="Yes"/>
    <s v="Good"/>
    <s v="No"/>
    <s v="Finance"/>
    <s v="Wednesday"/>
    <s v="Morning"/>
  </r>
  <r>
    <x v="444"/>
    <s v="2024-03-04 07:18:51"/>
    <x v="5"/>
    <s v="2024-04-05 06:42:51"/>
    <n v="766.4"/>
    <n v="31.9"/>
    <s v="Other"/>
    <s v="Miscellaneous"/>
    <x v="2"/>
    <n v="360"/>
    <x v="0"/>
    <s v="Portal"/>
    <s v="Tier 1"/>
    <s v="TECH-25"/>
    <s v="Mid-level"/>
    <x v="0"/>
    <s v="No"/>
    <n v="1"/>
    <s v="Yes"/>
    <n v="6"/>
    <n v="3.1"/>
    <n v="11.9"/>
    <s v="No"/>
    <s v="Excellent"/>
    <s v="No"/>
    <s v="IT"/>
    <s v="Tuesday"/>
    <s v="Afternoon"/>
  </r>
  <r>
    <x v="445"/>
    <s v="2024-02-16 05:46:44"/>
    <x v="6"/>
    <s v="2024-03-29 15:40:44"/>
    <n v="1017.9"/>
    <n v="42.4"/>
    <s v="Password Reset"/>
    <s v="Account Unlock"/>
    <x v="2"/>
    <n v="360"/>
    <x v="0"/>
    <s v="Portal"/>
    <s v="Tier 1"/>
    <s v="TECH-18"/>
    <s v="Senior"/>
    <x v="1"/>
    <s v="No"/>
    <n v="0"/>
    <s v="No"/>
    <n v="5"/>
    <n v="1.5"/>
    <n v="35.5"/>
    <s v="Yes"/>
    <s v="Fair"/>
    <s v="Yes"/>
    <s v="IT"/>
    <s v="Monday"/>
    <s v="Morning"/>
  </r>
  <r>
    <x v="446"/>
    <s v="2024-01-15 22:34:57"/>
    <x v="3"/>
    <s v="2024-01-29 21:46:57"/>
    <n v="335.2"/>
    <n v="14"/>
    <s v="Email/Calendar"/>
    <s v="Mailbox Full"/>
    <x v="2"/>
    <n v="360"/>
    <x v="1"/>
    <s v="Chat"/>
    <s v="Tier 1"/>
    <s v="TECH-11"/>
    <s v="Mid-level"/>
    <x v="1"/>
    <s v="No"/>
    <n v="0"/>
    <s v="No"/>
    <n v="10"/>
    <n v="3.1"/>
    <n v="21.5"/>
    <s v="Yes"/>
    <s v="Poor"/>
    <s v="Yes"/>
    <s v="Legal"/>
    <s v="Monday"/>
    <s v="Morning"/>
  </r>
  <r>
    <x v="447"/>
    <s v="2024-09-02 12:49:18"/>
    <x v="9"/>
    <s v="2024-09-12 18:25:18"/>
    <n v="245.6"/>
    <n v="10.199999999999999"/>
    <s v="Password Reset"/>
    <s v="Email Password"/>
    <x v="2"/>
    <n v="360"/>
    <x v="1"/>
    <s v="Email"/>
    <s v="Tier 1"/>
    <s v="TECH-4"/>
    <s v="Mid-level"/>
    <x v="1"/>
    <s v="No"/>
    <n v="0"/>
    <s v="No"/>
    <n v="10"/>
    <n v="3.9"/>
    <n v="13.1"/>
    <s v="Yes"/>
    <s v="Fair"/>
    <s v="Yes"/>
    <s v="Legal"/>
    <s v="Monday"/>
    <s v="Afternoon"/>
  </r>
  <r>
    <x v="448"/>
    <s v="2024-04-14 12:41:52"/>
    <x v="11"/>
    <s v="2024-04-24 02:59:52"/>
    <n v="254.3"/>
    <n v="10.6"/>
    <s v="Hardware Issues"/>
    <s v="Keyboard/Mouse"/>
    <x v="0"/>
    <n v="240"/>
    <x v="0"/>
    <s v="Portal"/>
    <s v="Tier 1"/>
    <s v="TECH-22"/>
    <s v="Mid-level"/>
    <x v="0"/>
    <s v="No"/>
    <n v="1"/>
    <s v="No"/>
    <n v="6"/>
    <n v="0.1"/>
    <n v="5.4"/>
    <s v="No"/>
    <s v="Fair"/>
    <s v="No"/>
    <s v="Sales"/>
    <s v="Tuesday"/>
    <s v="Evening"/>
  </r>
  <r>
    <x v="449"/>
    <s v="2024-01-15 00:56:15"/>
    <x v="3"/>
    <s v="2024-01-27 12:56:15"/>
    <n v="276"/>
    <n v="11.5"/>
    <s v="Other"/>
    <s v="Training Request"/>
    <x v="2"/>
    <n v="360"/>
    <x v="1"/>
    <s v="Portal"/>
    <s v="Tier 1"/>
    <s v="TECH-8"/>
    <s v="Senior"/>
    <x v="0"/>
    <s v="No"/>
    <n v="1"/>
    <s v="No"/>
    <n v="8"/>
    <n v="0.1"/>
    <n v="28.1"/>
    <s v="No"/>
    <s v="Fair"/>
    <s v="Yes"/>
    <s v="HR"/>
    <s v="Thursday"/>
    <s v="Morning"/>
  </r>
  <r>
    <x v="450"/>
    <s v="2024-10-04 00:26:26"/>
    <x v="2"/>
    <s v="2024-10-07 19:38:26"/>
    <n v="67.2"/>
    <n v="2.8"/>
    <s v="Email/Calendar"/>
    <s v="Distribution List"/>
    <x v="3"/>
    <n v="48"/>
    <x v="0"/>
    <s v="Chat"/>
    <s v="Tier 1"/>
    <s v="TECH-19"/>
    <s v="Mid-level"/>
    <x v="1"/>
    <s v="No"/>
    <n v="0"/>
    <s v="No"/>
    <n v="8"/>
    <n v="1.3"/>
    <n v="21.9"/>
    <s v="Yes"/>
    <s v="Excellent"/>
    <s v="Yes"/>
    <s v="Operations"/>
    <s v="Tuesday"/>
    <s v="Morning"/>
  </r>
  <r>
    <x v="451"/>
    <s v="2024-07-16 01:30:39"/>
    <x v="4"/>
    <s v="2024-07-31 11:06:39"/>
    <n v="345.6"/>
    <n v="14.4"/>
    <s v="Password Reset"/>
    <s v="Email Password"/>
    <x v="0"/>
    <n v="240"/>
    <x v="0"/>
    <s v="Phone"/>
    <s v="Tier 1"/>
    <s v="TECH-1"/>
    <s v="Mid-level"/>
    <x v="1"/>
    <s v="No"/>
    <n v="0"/>
    <s v="No"/>
    <n v="4"/>
    <n v="5.3"/>
    <n v="18.399999999999999"/>
    <s v="No"/>
    <s v="Poor"/>
    <s v="Yes"/>
    <s v="Executive"/>
    <s v="Monday"/>
    <s v="Afternoon"/>
  </r>
  <r>
    <x v="452"/>
    <s v="2024-02-01 20:33:46"/>
    <x v="6"/>
    <s v="2024-02-11 23:09:46"/>
    <n v="242.6"/>
    <n v="10.1"/>
    <s v="Access Requests"/>
    <s v="Admin Rights"/>
    <x v="2"/>
    <n v="360"/>
    <x v="1"/>
    <s v="Phone"/>
    <s v="Tier 1"/>
    <s v="TECH-8"/>
    <s v="Junior"/>
    <x v="0"/>
    <s v="No"/>
    <n v="1"/>
    <s v="Yes"/>
    <n v="7"/>
    <n v="0.7"/>
    <n v="20.9"/>
    <s v="Yes"/>
    <s v="Fair"/>
    <s v="Yes"/>
    <s v="Sales"/>
    <s v="Monday"/>
    <s v="Afternoon"/>
  </r>
  <r>
    <x v="453"/>
    <s v="2024-02-08 02:24:00"/>
    <x v="6"/>
    <s v="2024-02-18 21:24:00"/>
    <n v="259"/>
    <n v="10.8"/>
    <s v="Password Reset"/>
    <s v="Email Password"/>
    <x v="2"/>
    <n v="360"/>
    <x v="1"/>
    <s v="Portal"/>
    <s v="Tier 1"/>
    <s v="TECH-4"/>
    <s v="Mid-level"/>
    <x v="1"/>
    <s v="No"/>
    <n v="0"/>
    <s v="No"/>
    <n v="9"/>
    <n v="4"/>
    <n v="22.1"/>
    <s v="No"/>
    <s v="Good"/>
    <s v="Yes"/>
    <s v="Operations"/>
    <s v="Wednesday"/>
    <s v="Afternoon"/>
  </r>
  <r>
    <x v="454"/>
    <s v="2024-04-12 10:00:20"/>
    <x v="11"/>
    <s v="2024-04-20 18:06:20"/>
    <n v="200.1"/>
    <n v="8.3000000000000007"/>
    <s v="Hardware Issues"/>
    <s v="Docking Station"/>
    <x v="0"/>
    <n v="240"/>
    <x v="1"/>
    <s v="Phone"/>
    <s v="Tier 2"/>
    <s v="TECH-11"/>
    <s v="Mid-level"/>
    <x v="0"/>
    <s v="Yes"/>
    <n v="2"/>
    <s v="No"/>
    <n v="9"/>
    <n v="3.3"/>
    <n v="29.1"/>
    <s v="No"/>
    <s v="Excellent"/>
    <s v="No"/>
    <s v="Operations"/>
    <s v="Monday"/>
    <s v="Afternoon"/>
  </r>
  <r>
    <x v="455"/>
    <s v="2024-09-23 18:22:04"/>
    <x v="9"/>
    <s v="2024-09-30 07:28:04"/>
    <n v="157.1"/>
    <n v="6.5"/>
    <s v="Password Reset"/>
    <s v="Account Unlock"/>
    <x v="0"/>
    <n v="240"/>
    <x v="1"/>
    <s v="Email"/>
    <s v="Tier 1"/>
    <s v="TECH-17"/>
    <s v="Mid-level"/>
    <x v="1"/>
    <s v="No"/>
    <n v="0"/>
    <s v="No"/>
    <n v="9"/>
    <n v="2.2000000000000002"/>
    <n v="34.9"/>
    <s v="No"/>
    <s v="Fair"/>
    <s v="Yes"/>
    <s v="Sales"/>
    <s v="Thursday"/>
    <s v="Afternoon"/>
  </r>
  <r>
    <x v="456"/>
    <s v="2024-11-02 13:24:27"/>
    <x v="7"/>
    <s v="2024-11-10 13:54:27"/>
    <n v="192.5"/>
    <n v="8"/>
    <s v="Software Installation"/>
    <s v="Drivers"/>
    <x v="0"/>
    <n v="240"/>
    <x v="1"/>
    <s v="Portal"/>
    <s v="Tier 1"/>
    <s v="TECH-14"/>
    <s v="Junior"/>
    <x v="0"/>
    <s v="No"/>
    <n v="1"/>
    <s v="No"/>
    <n v="10"/>
    <n v="4.8"/>
    <n v="0"/>
    <s v="No"/>
    <s v="Fair"/>
    <s v="Yes"/>
    <s v="IT"/>
    <s v="Friday"/>
    <s v="Afternoon"/>
  </r>
  <r>
    <x v="457"/>
    <s v="2024-08-05 20:27:20"/>
    <x v="1"/>
    <s v="2024-08-12 10:39:20"/>
    <n v="158.19999999999999"/>
    <n v="6.6"/>
    <s v="Network Connectivity"/>
    <s v="VPN Connection"/>
    <x v="0"/>
    <n v="240"/>
    <x v="1"/>
    <s v="Walk-in"/>
    <s v="Tier 2"/>
    <s v="TECH-1"/>
    <s v="Mid-level"/>
    <x v="0"/>
    <s v="Yes"/>
    <n v="1"/>
    <s v="No"/>
    <n v="7"/>
    <n v="1.7"/>
    <n v="15.4"/>
    <s v="Yes"/>
    <s v="Fair"/>
    <s v="No"/>
    <s v="Sales"/>
    <s v="Monday"/>
    <s v="Afternoon"/>
  </r>
  <r>
    <x v="458"/>
    <s v="2024-03-28 15:07:03"/>
    <x v="5"/>
    <s v="2024-04-11 20:49:03"/>
    <n v="340.7"/>
    <n v="14.2"/>
    <s v="Network Connectivity"/>
    <s v="Ethernet"/>
    <x v="2"/>
    <n v="360"/>
    <x v="1"/>
    <s v="Walk-in"/>
    <s v="Tier 1"/>
    <s v="TECH-23"/>
    <s v="Mid-level"/>
    <x v="0"/>
    <s v="No"/>
    <n v="1"/>
    <s v="No"/>
    <n v="10"/>
    <n v="3.3"/>
    <n v="12.1"/>
    <s v="Yes"/>
    <s v="Fair"/>
    <s v="Yes"/>
    <s v="IT"/>
    <s v="Wednesday"/>
    <s v="Evening"/>
  </r>
  <r>
    <x v="459"/>
    <s v="2024-07-06 16:43:52"/>
    <x v="4"/>
    <s v="2024-07-11 20:43:52"/>
    <n v="124"/>
    <n v="5.2"/>
    <s v="Hardware Issues"/>
    <s v="Printer"/>
    <x v="1"/>
    <n v="120"/>
    <x v="0"/>
    <s v="Phone"/>
    <s v="Tier 1"/>
    <s v="TECH-2"/>
    <s v="Junior"/>
    <x v="0"/>
    <s v="No"/>
    <n v="1"/>
    <s v="No"/>
    <n v="5"/>
    <n v="1.7"/>
    <n v="4.2"/>
    <s v="No"/>
    <s v="Fair"/>
    <s v="Yes"/>
    <s v="Legal"/>
    <s v="Monday"/>
    <s v="Afternoon"/>
  </r>
  <r>
    <x v="460"/>
    <s v="2024-05-08 07:21:49"/>
    <x v="8"/>
    <s v="2024-05-21 13:33:49"/>
    <n v="318.2"/>
    <n v="13.3"/>
    <s v="Access Requests"/>
    <s v="VPN Access"/>
    <x v="0"/>
    <n v="240"/>
    <x v="0"/>
    <s v="Chat"/>
    <s v="Tier 1"/>
    <s v="TECH-3"/>
    <s v="Junior"/>
    <x v="0"/>
    <s v="No"/>
    <n v="1"/>
    <s v="No"/>
    <n v="7"/>
    <n v="1"/>
    <n v="28.2"/>
    <s v="Yes"/>
    <s v="Excellent"/>
    <s v="No"/>
    <s v="Legal"/>
    <s v="Tuesday"/>
    <s v="Morning"/>
  </r>
  <r>
    <x v="461"/>
    <s v="2024-03-29 13:40:06"/>
    <x v="5"/>
    <s v="2024-04-06 18:10:06"/>
    <n v="195.5"/>
    <n v="8.1"/>
    <s v="Email/Calendar"/>
    <s v="Cannot Send/Receive"/>
    <x v="0"/>
    <n v="240"/>
    <x v="1"/>
    <s v="Email"/>
    <s v="Tier 2"/>
    <s v="TECH-24"/>
    <s v="Mid-level"/>
    <x v="0"/>
    <s v="Yes"/>
    <n v="2"/>
    <s v="No"/>
    <n v="10"/>
    <n v="0.1"/>
    <n v="37.6"/>
    <s v="No"/>
    <s v="Excellent"/>
    <s v="Yes"/>
    <s v="Marketing"/>
    <s v="Friday"/>
    <s v="Evening"/>
  </r>
  <r>
    <x v="462"/>
    <s v="2024-09-13 17:28:03"/>
    <x v="9"/>
    <s v="2024-09-26 04:58:03"/>
    <n v="299.5"/>
    <n v="12.5"/>
    <s v="Access Requests"/>
    <s v="Admin Rights"/>
    <x v="0"/>
    <n v="240"/>
    <x v="0"/>
    <s v="Portal"/>
    <s v="Tier 1"/>
    <s v="TECH-2"/>
    <s v="Senior"/>
    <x v="1"/>
    <s v="No"/>
    <n v="0"/>
    <s v="No"/>
    <n v="6"/>
    <n v="2"/>
    <n v="18.600000000000001"/>
    <s v="No"/>
    <s v="Fair"/>
    <s v="No"/>
    <s v="Operations"/>
    <s v="Friday"/>
    <s v="Evening"/>
  </r>
  <r>
    <x v="463"/>
    <s v="2024-03-09 23:54:45"/>
    <x v="5"/>
    <s v="2024-03-18 02:42:45"/>
    <n v="194.8"/>
    <n v="8.1"/>
    <s v="Other"/>
    <s v="Documentation"/>
    <x v="0"/>
    <n v="240"/>
    <x v="1"/>
    <s v="Portal"/>
    <s v="Tier 2"/>
    <s v="TECH-18"/>
    <s v="Senior"/>
    <x v="0"/>
    <s v="Yes"/>
    <n v="1"/>
    <s v="No"/>
    <n v="8"/>
    <n v="2.8"/>
    <n v="0"/>
    <s v="Yes"/>
    <s v="Poor"/>
    <s v="No"/>
    <s v="Sales"/>
    <s v="Friday"/>
    <s v="Afternoon"/>
  </r>
  <r>
    <x v="464"/>
    <s v="2024-10-29 05:46:14"/>
    <x v="2"/>
    <s v="2024-11-09 00:10:14"/>
    <n v="282.39999999999998"/>
    <n v="11.8"/>
    <s v="Other"/>
    <s v="Documentation"/>
    <x v="2"/>
    <n v="360"/>
    <x v="1"/>
    <s v="Portal"/>
    <s v="Tier 1"/>
    <s v="TECH-22"/>
    <s v="Mid-level"/>
    <x v="0"/>
    <s v="No"/>
    <n v="1"/>
    <s v="Yes"/>
    <n v="10"/>
    <n v="3.8"/>
    <n v="19.8"/>
    <s v="Yes"/>
    <s v="Poor"/>
    <s v="Yes"/>
    <s v="IT"/>
    <s v="Tuesday"/>
    <s v="Afternoon"/>
  </r>
  <r>
    <x v="465"/>
    <s v="2024-12-20 21:16:57"/>
    <x v="0"/>
    <s v="2024-12-27 05:58:57"/>
    <n v="152.69999999999999"/>
    <n v="6.4"/>
    <s v="Access Requests"/>
    <s v="File Share"/>
    <x v="0"/>
    <n v="240"/>
    <x v="1"/>
    <s v="Phone"/>
    <s v="Tier 1"/>
    <s v="TECH-24"/>
    <s v="Junior"/>
    <x v="0"/>
    <s v="No"/>
    <n v="1"/>
    <s v="No"/>
    <n v="10"/>
    <n v="2.1"/>
    <n v="4.3"/>
    <s v="Yes"/>
    <s v="Poor"/>
    <s v="Yes"/>
    <s v="Marketing"/>
    <s v="Tuesday"/>
    <s v="Evening"/>
  </r>
  <r>
    <x v="466"/>
    <s v="2024-06-28 10:15:59"/>
    <x v="10"/>
    <s v="2024-07-08 19:45:59"/>
    <n v="249.5"/>
    <n v="10.4"/>
    <s v="Other"/>
    <s v="Training Request"/>
    <x v="2"/>
    <n v="360"/>
    <x v="1"/>
    <s v="Walk-in"/>
    <s v="Tier 1"/>
    <s v="TECH-6"/>
    <s v="Junior"/>
    <x v="1"/>
    <s v="No"/>
    <n v="0"/>
    <s v="No"/>
    <n v="10"/>
    <n v="1"/>
    <n v="31.3"/>
    <s v="No"/>
    <s v="Fair"/>
    <s v="No"/>
    <s v="Operations"/>
    <s v="Friday"/>
    <s v="Morning"/>
  </r>
  <r>
    <x v="467"/>
    <s v="2024-07-03 19:50:16"/>
    <x v="4"/>
    <s v="2024-07-15 23:02:16"/>
    <n v="291.2"/>
    <n v="12.1"/>
    <s v="Other"/>
    <s v="Documentation"/>
    <x v="2"/>
    <n v="360"/>
    <x v="1"/>
    <s v="Phone"/>
    <s v="Tier 1"/>
    <s v="TECH-20"/>
    <s v="Mid-level"/>
    <x v="1"/>
    <s v="No"/>
    <n v="0"/>
    <s v="No"/>
    <n v="9"/>
    <n v="1.3"/>
    <n v="17.899999999999999"/>
    <s v="No"/>
    <s v="Fair"/>
    <s v="No"/>
    <s v="HR"/>
    <s v="Monday"/>
    <s v="Morning"/>
  </r>
  <r>
    <x v="468"/>
    <s v="2024-07-04 17:44:05"/>
    <x v="4"/>
    <s v="2024-07-17 07:14:05"/>
    <n v="301.5"/>
    <n v="12.6"/>
    <s v="Password Reset"/>
    <s v="Windows Password"/>
    <x v="2"/>
    <n v="360"/>
    <x v="1"/>
    <s v="Portal"/>
    <s v="Tier 1"/>
    <s v="TECH-2"/>
    <s v="Senior"/>
    <x v="0"/>
    <s v="No"/>
    <n v="1"/>
    <s v="No"/>
    <n v="7"/>
    <n v="0.1"/>
    <n v="14.3"/>
    <s v="No"/>
    <s v="Good"/>
    <s v="Yes"/>
    <s v="Sales"/>
    <s v="Thursday"/>
    <s v="Evening"/>
  </r>
  <r>
    <x v="469"/>
    <s v="2024-10-26 05:20:11"/>
    <x v="2"/>
    <s v="2024-10-30 21:02:11"/>
    <n v="112.7"/>
    <n v="4.7"/>
    <s v="Hardware Issues"/>
    <s v="Printer"/>
    <x v="1"/>
    <n v="120"/>
    <x v="1"/>
    <s v="Email"/>
    <s v="Tier 2"/>
    <s v="TECH-23"/>
    <s v="Junior"/>
    <x v="0"/>
    <s v="Yes"/>
    <n v="1"/>
    <s v="No"/>
    <n v="8"/>
    <n v="2.2999999999999998"/>
    <n v="21.7"/>
    <s v="Yes"/>
    <s v="Fair"/>
    <s v="Yes"/>
    <s v="Legal"/>
    <s v="Tuesday"/>
    <s v="Morning"/>
  </r>
  <r>
    <x v="470"/>
    <s v="2024-06-19 12:27:37"/>
    <x v="10"/>
    <s v="2024-06-22 01:45:37"/>
    <n v="85.3"/>
    <n v="3.6"/>
    <s v="Hardware Issues"/>
    <s v="Printer"/>
    <x v="1"/>
    <n v="120"/>
    <x v="1"/>
    <s v="Phone"/>
    <s v="Tier 2"/>
    <s v="TECH-25"/>
    <s v="Senior"/>
    <x v="0"/>
    <s v="Yes"/>
    <n v="4"/>
    <s v="Yes"/>
    <n v="7"/>
    <n v="1.2"/>
    <n v="11.6"/>
    <s v="Yes"/>
    <s v="Fair"/>
    <s v="Yes"/>
    <s v="Legal"/>
    <s v="Monday"/>
    <s v="Morning"/>
  </r>
  <r>
    <x v="471"/>
    <s v="2024-04-30 05:10:19"/>
    <x v="11"/>
    <s v="2024-05-09 13:34:19"/>
    <n v="224.4"/>
    <n v="9.4"/>
    <s v="Other"/>
    <s v="General Inquiry"/>
    <x v="0"/>
    <n v="240"/>
    <x v="1"/>
    <s v="Walk-in"/>
    <s v="Tier 1"/>
    <s v="TECH-1"/>
    <s v="Senior"/>
    <x v="0"/>
    <s v="No"/>
    <n v="1"/>
    <s v="No"/>
    <n v="7"/>
    <n v="0.1"/>
    <n v="12.2"/>
    <s v="No"/>
    <s v="Fair"/>
    <s v="No"/>
    <s v="HR"/>
    <s v="Monday"/>
    <s v="Morning"/>
  </r>
  <r>
    <x v="472"/>
    <s v="2024-11-24 11:59:59"/>
    <x v="7"/>
    <s v="2024-12-01 21:29:59"/>
    <n v="177.5"/>
    <n v="7.4"/>
    <s v="Hardware Issues"/>
    <s v="Desktop"/>
    <x v="0"/>
    <n v="240"/>
    <x v="1"/>
    <s v="Phone"/>
    <s v="Tier 1"/>
    <s v="TECH-24"/>
    <s v="Mid-level"/>
    <x v="1"/>
    <s v="No"/>
    <n v="0"/>
    <s v="Yes"/>
    <n v="10"/>
    <n v="2"/>
    <n v="21"/>
    <s v="Yes"/>
    <s v="Fair"/>
    <s v="Yes"/>
    <s v="Marketing"/>
    <s v="Tuesday"/>
    <s v="Afternoon"/>
  </r>
  <r>
    <x v="473"/>
    <s v="2024-05-12 08:53:49"/>
    <x v="8"/>
    <s v="2024-05-22 18:53:49"/>
    <n v="250"/>
    <n v="10.4"/>
    <s v="Password Reset"/>
    <s v="Windows Password"/>
    <x v="2"/>
    <n v="360"/>
    <x v="1"/>
    <s v="Portal"/>
    <s v="Tier 1"/>
    <s v="TECH-19"/>
    <s v="Mid-level"/>
    <x v="1"/>
    <s v="No"/>
    <n v="0"/>
    <s v="Yes"/>
    <n v="9"/>
    <n v="5.7"/>
    <n v="3"/>
    <s v="Yes"/>
    <s v="Good"/>
    <s v="Yes"/>
    <s v="Finance"/>
    <s v="Monday"/>
    <s v="Morning"/>
  </r>
  <r>
    <x v="474"/>
    <s v="2024-01-09 06:07:53"/>
    <x v="3"/>
    <s v="2024-01-18 16:55:53"/>
    <n v="226.8"/>
    <n v="9.5"/>
    <s v="Password Reset"/>
    <s v="Windows Password"/>
    <x v="2"/>
    <n v="360"/>
    <x v="1"/>
    <s v="Email"/>
    <s v="Tier 1"/>
    <s v="TECH-5"/>
    <s v="Mid-level"/>
    <x v="1"/>
    <s v="No"/>
    <n v="0"/>
    <s v="No"/>
    <n v="9"/>
    <n v="3.9"/>
    <n v="15.6"/>
    <s v="No"/>
    <s v="Good"/>
    <s v="Yes"/>
    <s v="Legal"/>
    <s v="Friday"/>
    <s v="Evening"/>
  </r>
  <r>
    <x v="475"/>
    <s v="2024-03-19 01:03:26"/>
    <x v="5"/>
    <s v="2024-03-24 10:51:26"/>
    <n v="105.8"/>
    <n v="4.4000000000000004"/>
    <s v="Application Errors"/>
    <s v="Login Issues"/>
    <x v="1"/>
    <n v="120"/>
    <x v="1"/>
    <s v="Chat"/>
    <s v="Tier 1"/>
    <s v="TECH-20"/>
    <s v="Mid-level"/>
    <x v="0"/>
    <s v="No"/>
    <n v="1"/>
    <s v="Yes"/>
    <n v="7"/>
    <n v="1.1000000000000001"/>
    <n v="42"/>
    <s v="Yes"/>
    <s v="Fair"/>
    <s v="Yes"/>
    <s v="Executive"/>
    <s v="Wednesday"/>
    <s v="Afternoon"/>
  </r>
  <r>
    <x v="476"/>
    <s v="2024-09-29 17:37:27"/>
    <x v="9"/>
    <s v="2024-10-02 06:01:27"/>
    <n v="60.4"/>
    <n v="2.5"/>
    <s v="Network Connectivity"/>
    <s v="VPN Connection"/>
    <x v="3"/>
    <n v="48"/>
    <x v="0"/>
    <s v="Phone"/>
    <s v="Tier 1"/>
    <s v="TECH-13"/>
    <s v="Mid-level"/>
    <x v="0"/>
    <s v="No"/>
    <n v="1"/>
    <s v="No"/>
    <n v="2"/>
    <n v="4.0999999999999996"/>
    <n v="18.3"/>
    <s v="No"/>
    <s v="Poor"/>
    <s v="Yes"/>
    <s v="Executive"/>
    <s v="Friday"/>
    <s v="Afternoon"/>
  </r>
  <r>
    <x v="477"/>
    <s v="2024-01-16 12:40:00"/>
    <x v="3"/>
    <s v="2024-01-21 20:10:00"/>
    <n v="127.5"/>
    <n v="5.3"/>
    <s v="Hardware Issues"/>
    <s v="Desktop"/>
    <x v="1"/>
    <n v="120"/>
    <x v="0"/>
    <s v="Phone"/>
    <s v="Tier 2"/>
    <s v="TECH-8"/>
    <s v="Mid-level"/>
    <x v="0"/>
    <s v="Yes"/>
    <n v="4"/>
    <s v="No"/>
    <n v="6"/>
    <n v="4.8"/>
    <n v="0"/>
    <s v="Yes"/>
    <s v="Poor"/>
    <s v="Yes"/>
    <s v="Marketing"/>
    <s v="Friday"/>
    <s v="Afternoon"/>
  </r>
  <r>
    <x v="478"/>
    <s v="2024-07-14 19:52:19"/>
    <x v="4"/>
    <s v="2024-07-21 00:46:19"/>
    <n v="172.9"/>
    <n v="7.2"/>
    <s v="Access Requests"/>
    <s v="Admin Rights"/>
    <x v="0"/>
    <n v="240"/>
    <x v="1"/>
    <s v="Walk-in"/>
    <s v="Tier 1"/>
    <s v="TECH-24"/>
    <s v="Junior"/>
    <x v="1"/>
    <s v="No"/>
    <n v="0"/>
    <s v="Yes"/>
    <n v="9"/>
    <n v="0.1"/>
    <n v="12.8"/>
    <s v="Yes"/>
    <s v="Good"/>
    <s v="Yes"/>
    <s v="Marketing"/>
    <s v="Thursday"/>
    <s v="Morning"/>
  </r>
  <r>
    <x v="479"/>
    <s v="2024-03-12 08:10:52"/>
    <x v="5"/>
    <s v="2024-03-20 22:52:52"/>
    <n v="206.7"/>
    <n v="8.6"/>
    <s v="Application Errors"/>
    <s v="Crash"/>
    <x v="0"/>
    <n v="240"/>
    <x v="1"/>
    <s v="Phone"/>
    <s v="Tier 1"/>
    <s v="TECH-22"/>
    <s v="Junior"/>
    <x v="0"/>
    <s v="No"/>
    <n v="1"/>
    <s v="No"/>
    <n v="9"/>
    <n v="0.7"/>
    <n v="0"/>
    <s v="Yes"/>
    <s v="Excellent"/>
    <s v="Yes"/>
    <s v="Operations"/>
    <s v="Monday"/>
    <s v="Morning"/>
  </r>
  <r>
    <x v="480"/>
    <s v="2024-03-23 03:58:16"/>
    <x v="5"/>
    <s v="2024-04-03 18:46:16"/>
    <n v="277.8"/>
    <n v="11.6"/>
    <s v="Access Requests"/>
    <s v="Admin Rights"/>
    <x v="0"/>
    <n v="240"/>
    <x v="0"/>
    <s v="Portal"/>
    <s v="Tier 1"/>
    <s v="TECH-16"/>
    <s v="Junior"/>
    <x v="1"/>
    <s v="No"/>
    <n v="0"/>
    <s v="No"/>
    <n v="7"/>
    <n v="2.7"/>
    <n v="33.700000000000003"/>
    <s v="Yes"/>
    <s v="Fair"/>
    <s v="No"/>
    <s v="HR"/>
    <s v="Wednesday"/>
    <s v="Morning"/>
  </r>
  <r>
    <x v="481"/>
    <s v="2024-06-28 21:01:52"/>
    <x v="10"/>
    <s v="2024-07-07 06:19:52"/>
    <n v="201.3"/>
    <n v="8.4"/>
    <s v="Software Installation"/>
    <s v="VPN Client"/>
    <x v="0"/>
    <n v="240"/>
    <x v="1"/>
    <s v="Portal"/>
    <s v="Tier 1"/>
    <s v="TECH-4"/>
    <s v="Mid-level"/>
    <x v="0"/>
    <s v="No"/>
    <n v="1"/>
    <s v="No"/>
    <n v="9"/>
    <n v="2.1"/>
    <n v="0"/>
    <s v="No"/>
    <s v="Excellent"/>
    <s v="Yes"/>
    <s v="HR"/>
    <s v="Tuesday"/>
    <s v="Morning"/>
  </r>
  <r>
    <x v="482"/>
    <s v="2024-06-26 10:35:21"/>
    <x v="10"/>
    <s v="2024-07-17 05:05:21"/>
    <n v="498.5"/>
    <n v="20.8"/>
    <s v="Email/Calendar"/>
    <s v="Calendar Sync"/>
    <x v="0"/>
    <n v="240"/>
    <x v="0"/>
    <s v="Phone"/>
    <s v="Tier 1"/>
    <s v="TECH-15"/>
    <s v="Mid-level"/>
    <x v="0"/>
    <s v="No"/>
    <n v="1"/>
    <s v="No"/>
    <n v="5"/>
    <n v="0.1"/>
    <n v="22.4"/>
    <s v="Yes"/>
    <s v="Poor"/>
    <s v="Yes"/>
    <s v="HR"/>
    <s v="Monday"/>
    <s v="Morning"/>
  </r>
  <r>
    <x v="483"/>
    <s v="2024-09-23 08:29:53"/>
    <x v="9"/>
    <s v="2024-10-13 10:47:53"/>
    <n v="482.3"/>
    <n v="20.100000000000001"/>
    <s v="Software Installation"/>
    <s v="MS Office"/>
    <x v="2"/>
    <n v="360"/>
    <x v="0"/>
    <s v="Phone"/>
    <s v="Tier 1"/>
    <s v="TECH-12"/>
    <s v="Mid-level"/>
    <x v="0"/>
    <s v="No"/>
    <n v="1"/>
    <s v="No"/>
    <n v="6"/>
    <n v="3.6"/>
    <n v="0"/>
    <s v="Yes"/>
    <s v="Good"/>
    <s v="Yes"/>
    <s v="Marketing"/>
    <s v="Friday"/>
    <s v="Morning"/>
  </r>
  <r>
    <x v="484"/>
    <s v="2024-11-13 01:17:30"/>
    <x v="7"/>
    <s v="2024-11-20 08:41:30"/>
    <n v="151.4"/>
    <n v="6.3"/>
    <s v="Email/Calendar"/>
    <s v="Cannot Send/Receive"/>
    <x v="0"/>
    <n v="240"/>
    <x v="1"/>
    <s v="Email"/>
    <s v="Tier 1"/>
    <s v="TECH-3"/>
    <s v="Mid-level"/>
    <x v="1"/>
    <s v="No"/>
    <n v="0"/>
    <s v="No"/>
    <n v="10"/>
    <n v="2.2000000000000002"/>
    <n v="1.4"/>
    <s v="Yes"/>
    <s v="Poor"/>
    <s v="Yes"/>
    <s v="Legal"/>
    <s v="Friday"/>
    <s v="Afternoon"/>
  </r>
  <r>
    <x v="485"/>
    <s v="2024-02-13 03:18:52"/>
    <x v="6"/>
    <s v="2024-02-21 04:06:52"/>
    <n v="192.8"/>
    <n v="8"/>
    <s v="Access Requests"/>
    <s v="VPN Access"/>
    <x v="0"/>
    <n v="240"/>
    <x v="1"/>
    <s v="Walk-in"/>
    <s v="Tier 1"/>
    <s v="TECH-10"/>
    <s v="Junior"/>
    <x v="0"/>
    <s v="No"/>
    <n v="1"/>
    <s v="No"/>
    <n v="7"/>
    <n v="2.4"/>
    <n v="30"/>
    <s v="No"/>
    <s v="Poor"/>
    <s v="Yes"/>
    <s v="Executive"/>
    <s v="Wednesday"/>
    <s v="Evening"/>
  </r>
  <r>
    <x v="486"/>
    <s v="2024-12-11 17:44:33"/>
    <x v="0"/>
    <s v="2024-12-18 14:44:33"/>
    <n v="165"/>
    <n v="6.9"/>
    <s v="Email/Calendar"/>
    <s v="Cannot Send/Receive"/>
    <x v="1"/>
    <n v="120"/>
    <x v="0"/>
    <s v="Walk-in"/>
    <s v="Tier 1"/>
    <s v="TECH-9"/>
    <s v="Junior"/>
    <x v="0"/>
    <s v="No"/>
    <n v="1"/>
    <s v="Yes"/>
    <n v="5"/>
    <n v="1.8"/>
    <n v="18.3"/>
    <s v="Yes"/>
    <s v="Fair"/>
    <s v="No"/>
    <s v="Finance"/>
    <s v="Monday"/>
    <s v="Morning"/>
  </r>
  <r>
    <x v="487"/>
    <s v="2024-09-13 09:01:05"/>
    <x v="9"/>
    <s v="2024-09-19 18:49:05"/>
    <n v="153.80000000000001"/>
    <n v="6.4"/>
    <s v="Access Requests"/>
    <s v="Admin Rights"/>
    <x v="0"/>
    <n v="240"/>
    <x v="1"/>
    <s v="Phone"/>
    <s v="Tier 2"/>
    <s v="TECH-16"/>
    <s v="Junior"/>
    <x v="0"/>
    <s v="Yes"/>
    <n v="1"/>
    <s v="No"/>
    <n v="9"/>
    <n v="3.9"/>
    <n v="22.9"/>
    <s v="Yes"/>
    <s v="Good"/>
    <s v="Yes"/>
    <s v="Sales"/>
    <s v="Tuesday"/>
    <s v="Evening"/>
  </r>
  <r>
    <x v="488"/>
    <s v="2024-06-16 17:32:01"/>
    <x v="10"/>
    <s v="2024-07-18 23:56:01"/>
    <n v="774.4"/>
    <n v="32.299999999999997"/>
    <s v="Access Requests"/>
    <s v="Admin Rights"/>
    <x v="2"/>
    <n v="360"/>
    <x v="0"/>
    <s v="Walk-in"/>
    <s v="Tier 2"/>
    <s v="TECH-3"/>
    <s v="Mid-level"/>
    <x v="0"/>
    <s v="Yes"/>
    <n v="2"/>
    <s v="No"/>
    <n v="6"/>
    <n v="2"/>
    <n v="19.3"/>
    <s v="Yes"/>
    <s v="Good"/>
    <s v="Yes"/>
    <s v="IT"/>
    <s v="Friday"/>
    <s v="Morning"/>
  </r>
  <r>
    <x v="489"/>
    <s v="2024-03-13 16:07:21"/>
    <x v="5"/>
    <s v="2024-03-26 22:31:21"/>
    <n v="318.39999999999998"/>
    <n v="13.3"/>
    <s v="Hardware Issues"/>
    <s v="Keyboard/Mouse"/>
    <x v="1"/>
    <n v="120"/>
    <x v="0"/>
    <s v="Email"/>
    <s v="Tier 1"/>
    <s v="TECH-10"/>
    <s v="Mid-level"/>
    <x v="0"/>
    <s v="No"/>
    <n v="1"/>
    <s v="Yes"/>
    <n v="5"/>
    <n v="2.1"/>
    <n v="11.3"/>
    <s v="Yes"/>
    <s v="Good"/>
    <s v="Yes"/>
    <s v="Marketing"/>
    <s v="Monday"/>
    <s v="Evening"/>
  </r>
  <r>
    <x v="490"/>
    <s v="2024-04-26 23:19:32"/>
    <x v="11"/>
    <s v="2024-04-30 04:07:32"/>
    <n v="76.8"/>
    <n v="3.2"/>
    <s v="Hardware Issues"/>
    <s v="Docking Station"/>
    <x v="1"/>
    <n v="120"/>
    <x v="1"/>
    <s v="Portal"/>
    <s v="Tier 1"/>
    <s v="TECH-4"/>
    <s v="Mid-level"/>
    <x v="1"/>
    <s v="No"/>
    <n v="0"/>
    <s v="No"/>
    <n v="8"/>
    <n v="4.3"/>
    <n v="30.8"/>
    <s v="No"/>
    <s v="Fair"/>
    <s v="Yes"/>
    <s v="Legal"/>
    <s v="Wednesday"/>
    <s v="Morning"/>
  </r>
  <r>
    <x v="491"/>
    <s v="2024-09-08 22:59:41"/>
    <x v="9"/>
    <s v="2024-09-23 03:29:41"/>
    <n v="340.5"/>
    <n v="14.2"/>
    <s v="Application Errors"/>
    <s v="Performance"/>
    <x v="1"/>
    <n v="120"/>
    <x v="0"/>
    <s v="Walk-in"/>
    <s v="Tier 1"/>
    <s v="TECH-11"/>
    <s v="Senior"/>
    <x v="0"/>
    <s v="No"/>
    <n v="1"/>
    <s v="No"/>
    <n v="7"/>
    <n v="1.5"/>
    <n v="20.9"/>
    <s v="Yes"/>
    <s v="Fair"/>
    <s v="Yes"/>
    <s v="Marketing"/>
    <s v="Wednesday"/>
    <s v="Morning"/>
  </r>
  <r>
    <x v="492"/>
    <s v="2024-08-23 01:58:58"/>
    <x v="1"/>
    <s v="2024-08-27 23:22:58"/>
    <n v="93.4"/>
    <n v="3.9"/>
    <s v="Other"/>
    <s v="General Inquiry"/>
    <x v="1"/>
    <n v="120"/>
    <x v="1"/>
    <s v="Phone"/>
    <s v="Tier 2"/>
    <s v="TECH-24"/>
    <s v="Junior"/>
    <x v="0"/>
    <s v="Yes"/>
    <n v="3"/>
    <s v="No"/>
    <n v="7"/>
    <n v="2.5"/>
    <n v="21.8"/>
    <s v="No"/>
    <s v="Poor"/>
    <s v="Yes"/>
    <s v="HR"/>
    <s v="Friday"/>
    <s v="Afternoon"/>
  </r>
  <r>
    <x v="493"/>
    <s v="2024-04-01 13:08:38"/>
    <x v="11"/>
    <s v="2024-04-08 00:26:38"/>
    <n v="179.3"/>
    <n v="7.5"/>
    <s v="Hardware Issues"/>
    <s v="Laptop"/>
    <x v="0"/>
    <n v="240"/>
    <x v="1"/>
    <s v="Portal"/>
    <s v="Tier 2"/>
    <s v="TECH-7"/>
    <s v="Junior"/>
    <x v="0"/>
    <s v="Yes"/>
    <n v="3"/>
    <s v="Yes"/>
    <n v="5"/>
    <n v="2.9"/>
    <n v="0"/>
    <s v="Yes"/>
    <s v="Excellent"/>
    <s v="Yes"/>
    <s v="Operations"/>
    <s v="Monday"/>
    <s v="Afternoon"/>
  </r>
  <r>
    <x v="494"/>
    <s v="2024-09-15 05:45:43"/>
    <x v="9"/>
    <s v="2024-09-19 07:45:43"/>
    <n v="98"/>
    <n v="4.0999999999999996"/>
    <s v="Access Requests"/>
    <s v="Admin Rights"/>
    <x v="1"/>
    <n v="120"/>
    <x v="1"/>
    <s v="Chat"/>
    <s v="Tier 1"/>
    <s v="TECH-23"/>
    <s v="Senior"/>
    <x v="0"/>
    <s v="No"/>
    <n v="1"/>
    <s v="No"/>
    <n v="6"/>
    <n v="5.0999999999999996"/>
    <n v="13"/>
    <s v="Yes"/>
    <s v="Poor"/>
    <s v="Yes"/>
    <s v="IT"/>
    <s v="Monday"/>
    <s v="Afternoon"/>
  </r>
  <r>
    <x v="495"/>
    <s v="2024-11-25 23:44:24"/>
    <x v="7"/>
    <s v="2024-11-29 14:50:24"/>
    <n v="87.1"/>
    <n v="3.6"/>
    <s v="Application Errors"/>
    <s v="Features Not Working"/>
    <x v="1"/>
    <n v="120"/>
    <x v="1"/>
    <s v="Walk-in"/>
    <s v="Tier 1"/>
    <s v="TECH-4"/>
    <s v="Junior"/>
    <x v="0"/>
    <s v="No"/>
    <n v="1"/>
    <s v="No"/>
    <n v="8"/>
    <n v="3.3"/>
    <n v="23.9"/>
    <s v="Yes"/>
    <s v="Good"/>
    <s v="Yes"/>
    <s v="Finance"/>
    <s v="Wednesday"/>
    <s v="Morning"/>
  </r>
  <r>
    <x v="496"/>
    <s v="2024-02-27 07:34:51"/>
    <x v="6"/>
    <s v="2024-03-05 08:04:51"/>
    <n v="168.5"/>
    <n v="7"/>
    <s v="Hardware Issues"/>
    <s v="Laptop"/>
    <x v="1"/>
    <n v="120"/>
    <x v="0"/>
    <s v="Portal"/>
    <s v="Tier 2"/>
    <s v="TECH-7"/>
    <s v="Mid-level"/>
    <x v="0"/>
    <s v="Yes"/>
    <n v="4"/>
    <s v="Yes"/>
    <n v="7"/>
    <n v="1.9"/>
    <n v="54.1"/>
    <s v="No"/>
    <s v="Excellent"/>
    <s v="Yes"/>
    <s v="Legal"/>
    <s v="Monday"/>
    <s v="Morning"/>
  </r>
  <r>
    <x v="497"/>
    <s v="2024-09-17 16:29:32"/>
    <x v="9"/>
    <s v="2024-09-30 22:29:32"/>
    <n v="318"/>
    <n v="13.3"/>
    <s v="Password Reset"/>
    <s v="Application Password"/>
    <x v="2"/>
    <n v="360"/>
    <x v="1"/>
    <s v="Portal"/>
    <s v="Tier 1"/>
    <s v="TECH-25"/>
    <s v="Mid-level"/>
    <x v="0"/>
    <s v="No"/>
    <n v="1"/>
    <s v="No"/>
    <n v="6"/>
    <n v="2.6"/>
    <n v="20.7"/>
    <s v="Yes"/>
    <s v="Fair"/>
    <s v="Yes"/>
    <s v="Marketing"/>
    <s v="Monday"/>
    <s v="Afternoon"/>
  </r>
  <r>
    <x v="498"/>
    <s v="2024-01-04 04:53:00"/>
    <x v="3"/>
    <s v="2024-01-08 19:29:00"/>
    <n v="110.6"/>
    <n v="4.5999999999999996"/>
    <s v="Email/Calendar"/>
    <s v="Distribution List"/>
    <x v="1"/>
    <n v="120"/>
    <x v="1"/>
    <s v="Portal"/>
    <s v="Tier 2"/>
    <s v="TECH-11"/>
    <s v="Senior"/>
    <x v="0"/>
    <s v="Yes"/>
    <n v="2"/>
    <s v="No"/>
    <n v="8"/>
    <n v="1.2"/>
    <n v="24.3"/>
    <s v="Yes"/>
    <s v="Poor"/>
    <s v="No"/>
    <s v="Finance"/>
    <s v="Wednesday"/>
    <s v="Morning"/>
  </r>
  <r>
    <x v="499"/>
    <s v="2024-11-18 12:36:34"/>
    <x v="7"/>
    <s v="2024-11-26 22:06:34"/>
    <n v="201.5"/>
    <n v="8.4"/>
    <s v="Network Connectivity"/>
    <s v="WiFi Issues"/>
    <x v="0"/>
    <n v="240"/>
    <x v="1"/>
    <s v="Walk-in"/>
    <s v="Tier 2"/>
    <s v="TECH-24"/>
    <s v="Junior"/>
    <x v="0"/>
    <s v="Yes"/>
    <n v="3"/>
    <s v="No"/>
    <n v="9"/>
    <n v="1.6"/>
    <n v="39.299999999999997"/>
    <s v="No"/>
    <s v="Good"/>
    <s v="No"/>
    <s v="Sales"/>
    <s v="Monday"/>
    <s v="Morning"/>
  </r>
  <r>
    <x v="500"/>
    <s v="2024-08-26 09:19:14"/>
    <x v="1"/>
    <s v="2024-09-06 20:25:14"/>
    <n v="275.10000000000002"/>
    <n v="11.5"/>
    <s v="Email/Calendar"/>
    <s v="Mailbox Full"/>
    <x v="2"/>
    <n v="360"/>
    <x v="1"/>
    <s v="Chat"/>
    <s v="Tier 2"/>
    <s v="TECH-17"/>
    <s v="Junior"/>
    <x v="0"/>
    <s v="Yes"/>
    <n v="2"/>
    <s v="Yes"/>
    <n v="8"/>
    <n v="5.9"/>
    <n v="9.3000000000000007"/>
    <s v="No"/>
    <s v="Good"/>
    <s v="No"/>
    <s v="HR"/>
    <s v="Monday"/>
    <s v="Afternoon"/>
  </r>
  <r>
    <x v="501"/>
    <s v="2024-12-27 01:04:04"/>
    <x v="0"/>
    <s v="2025-01-05 00:04:04"/>
    <n v="215"/>
    <n v="9"/>
    <s v="Software Installation"/>
    <s v="Business Apps"/>
    <x v="0"/>
    <n v="240"/>
    <x v="1"/>
    <s v="Email"/>
    <s v="Tier 2"/>
    <s v="TECH-15"/>
    <s v="Junior"/>
    <x v="0"/>
    <s v="Yes"/>
    <n v="3"/>
    <s v="Yes"/>
    <n v="8"/>
    <n v="2.9"/>
    <n v="11.2"/>
    <s v="Yes"/>
    <s v="Poor"/>
    <s v="Yes"/>
    <s v="Finance"/>
    <s v="Friday"/>
    <s v="Morning"/>
  </r>
  <r>
    <x v="502"/>
    <s v="2024-09-17 02:42:46"/>
    <x v="9"/>
    <s v="2024-09-27 11:12:46"/>
    <n v="224.5"/>
    <n v="9.4"/>
    <s v="Access Requests"/>
    <s v="Admin Rights"/>
    <x v="0"/>
    <n v="240"/>
    <x v="1"/>
    <s v="Walk-in"/>
    <s v="Tier 1"/>
    <s v="TECH-25"/>
    <s v="Junior"/>
    <x v="0"/>
    <s v="No"/>
    <n v="1"/>
    <s v="No"/>
    <n v="9"/>
    <n v="2.6"/>
    <n v="30.5"/>
    <s v="Yes"/>
    <s v="Good"/>
    <s v="No"/>
    <s v="Sales"/>
    <s v="Wednesday"/>
    <s v="Morning"/>
  </r>
  <r>
    <x v="503"/>
    <s v="2024-01-30 20:39:29"/>
    <x v="3"/>
    <s v="2024-02-07 21:33:29"/>
    <n v="192.9"/>
    <n v="8"/>
    <s v="Software Installation"/>
    <s v="MS Office"/>
    <x v="0"/>
    <n v="240"/>
    <x v="1"/>
    <s v="Chat"/>
    <s v="Tier 1"/>
    <s v="TECH-21"/>
    <s v="Senior"/>
    <x v="1"/>
    <s v="No"/>
    <n v="0"/>
    <s v="No"/>
    <n v="10"/>
    <n v="3.8"/>
    <n v="29.5"/>
    <s v="Yes"/>
    <s v="Excellent"/>
    <s v="Yes"/>
    <s v="Sales"/>
    <s v="Friday"/>
    <s v="Morning"/>
  </r>
  <r>
    <x v="504"/>
    <s v="2024-04-09 00:35:52"/>
    <x v="11"/>
    <s v="2024-04-15 10:05:52"/>
    <n v="129.5"/>
    <n v="5.4"/>
    <s v="Network Connectivity"/>
    <s v="Ethernet"/>
    <x v="1"/>
    <n v="120"/>
    <x v="0"/>
    <s v="Walk-in"/>
    <s v="Tier 1"/>
    <s v="TECH-3"/>
    <s v="Mid-level"/>
    <x v="0"/>
    <s v="No"/>
    <n v="1"/>
    <s v="No"/>
    <n v="7"/>
    <n v="0.1"/>
    <n v="26.3"/>
    <s v="Yes"/>
    <s v="Poor"/>
    <s v="No"/>
    <s v="HR"/>
    <s v="Tuesday"/>
    <s v="Evening"/>
  </r>
  <r>
    <x v="505"/>
    <s v="2024-01-16 15:22:02"/>
    <x v="3"/>
    <s v="2024-01-29 17:52:02"/>
    <n v="314.5"/>
    <n v="13.1"/>
    <s v="Email/Calendar"/>
    <s v="Cannot Send/Receive"/>
    <x v="2"/>
    <n v="360"/>
    <x v="1"/>
    <s v="Walk-in"/>
    <s v="Tier 1"/>
    <s v="TECH-22"/>
    <s v="Junior"/>
    <x v="1"/>
    <s v="No"/>
    <n v="0"/>
    <s v="No"/>
    <n v="10"/>
    <n v="3"/>
    <n v="27.4"/>
    <s v="Yes"/>
    <s v="Fair"/>
    <s v="Yes"/>
    <s v="Sales"/>
    <s v="Tuesday"/>
    <s v="Afternoon"/>
  </r>
  <r>
    <x v="506"/>
    <s v="2024-11-17 04:43:13"/>
    <x v="7"/>
    <s v="2024-11-26 11:07:13"/>
    <n v="222.4"/>
    <n v="9.3000000000000007"/>
    <s v="Email/Calendar"/>
    <s v="Distribution List"/>
    <x v="0"/>
    <n v="240"/>
    <x v="1"/>
    <s v="Portal"/>
    <s v="Tier 1"/>
    <s v="TECH-4"/>
    <s v="Junior"/>
    <x v="0"/>
    <s v="No"/>
    <n v="1"/>
    <s v="No"/>
    <n v="8"/>
    <n v="0.2"/>
    <n v="26.4"/>
    <s v="Yes"/>
    <s v="Fair"/>
    <s v="No"/>
    <s v="Sales"/>
    <s v="Thursday"/>
    <s v="Morning"/>
  </r>
  <r>
    <x v="507"/>
    <s v="2024-11-28 15:15:39"/>
    <x v="7"/>
    <s v="2024-12-08 01:51:39"/>
    <n v="250.6"/>
    <n v="10.4"/>
    <s v="Password Reset"/>
    <s v="Email Password"/>
    <x v="2"/>
    <n v="360"/>
    <x v="1"/>
    <s v="Portal"/>
    <s v="Tier 1"/>
    <s v="TECH-7"/>
    <s v="Junior"/>
    <x v="1"/>
    <s v="No"/>
    <n v="0"/>
    <s v="No"/>
    <n v="10"/>
    <n v="3.2"/>
    <n v="42.1"/>
    <s v="Yes"/>
    <s v="Good"/>
    <s v="Yes"/>
    <s v="IT"/>
    <s v="Tuesday"/>
    <s v="Evening"/>
  </r>
  <r>
    <x v="508"/>
    <s v="2024-05-20 02:47:06"/>
    <x v="8"/>
    <s v="2024-06-03 00:53:06"/>
    <n v="334.1"/>
    <n v="13.9"/>
    <s v="Other"/>
    <s v="Training Request"/>
    <x v="2"/>
    <n v="360"/>
    <x v="1"/>
    <s v="Phone"/>
    <s v="Tier 2"/>
    <s v="TECH-14"/>
    <s v="Junior"/>
    <x v="0"/>
    <s v="Yes"/>
    <n v="2"/>
    <s v="No"/>
    <n v="8"/>
    <n v="5.8"/>
    <n v="7.3"/>
    <s v="Yes"/>
    <s v="Poor"/>
    <s v="No"/>
    <s v="HR"/>
    <s v="Thursday"/>
    <s v="Morning"/>
  </r>
  <r>
    <x v="509"/>
    <s v="2024-01-14 01:59:52"/>
    <x v="3"/>
    <s v="2024-01-25 23:29:52"/>
    <n v="261.5"/>
    <n v="10.9"/>
    <s v="Password Reset"/>
    <s v="Windows Password"/>
    <x v="0"/>
    <n v="240"/>
    <x v="0"/>
    <s v="Portal"/>
    <s v="Tier 1"/>
    <s v="TECH-9"/>
    <s v="Mid-level"/>
    <x v="0"/>
    <s v="No"/>
    <n v="1"/>
    <s v="No"/>
    <n v="5"/>
    <n v="4.2"/>
    <n v="12.2"/>
    <s v="Yes"/>
    <s v="Fair"/>
    <s v="No"/>
    <s v="IT"/>
    <s v="Friday"/>
    <s v="Afternoon"/>
  </r>
  <r>
    <x v="510"/>
    <s v="2024-11-09 10:24:56"/>
    <x v="7"/>
    <s v="2024-11-19 21:12:56"/>
    <n v="250.8"/>
    <n v="10.5"/>
    <s v="Password Reset"/>
    <s v="Windows Password"/>
    <x v="2"/>
    <n v="360"/>
    <x v="1"/>
    <s v="Email"/>
    <s v="Tier 1"/>
    <s v="TECH-7"/>
    <s v="Junior"/>
    <x v="1"/>
    <s v="No"/>
    <n v="0"/>
    <s v="No"/>
    <n v="9"/>
    <n v="2.8"/>
    <n v="8.6999999999999993"/>
    <s v="Yes"/>
    <s v="Good"/>
    <s v="No"/>
    <s v="Finance"/>
    <s v="Thursday"/>
    <s v="Morning"/>
  </r>
  <r>
    <x v="511"/>
    <s v="2024-05-10 07:38:56"/>
    <x v="8"/>
    <s v="2024-05-20 03:26:56"/>
    <n v="235.8"/>
    <n v="9.8000000000000007"/>
    <s v="Password Reset"/>
    <s v="Email Password"/>
    <x v="2"/>
    <n v="360"/>
    <x v="1"/>
    <s v="Portal"/>
    <s v="Tier 1"/>
    <s v="TECH-16"/>
    <s v="Mid-level"/>
    <x v="1"/>
    <s v="No"/>
    <n v="0"/>
    <s v="No"/>
    <n v="10"/>
    <n v="2.5"/>
    <n v="21.1"/>
    <s v="Yes"/>
    <s v="Poor"/>
    <s v="No"/>
    <s v="Legal"/>
    <s v="Wednesday"/>
    <s v="Morning"/>
  </r>
  <r>
    <x v="512"/>
    <s v="2024-04-22 06:10:54"/>
    <x v="11"/>
    <s v="2024-05-08 06:58:54"/>
    <n v="384.8"/>
    <n v="16"/>
    <s v="Hardware Issues"/>
    <s v="Keyboard/Mouse"/>
    <x v="2"/>
    <n v="360"/>
    <x v="0"/>
    <s v="Walk-in"/>
    <s v="Tier 2"/>
    <s v="TECH-5"/>
    <s v="Junior"/>
    <x v="0"/>
    <s v="Yes"/>
    <n v="3"/>
    <s v="No"/>
    <n v="5"/>
    <n v="3.5"/>
    <n v="23.1"/>
    <s v="Yes"/>
    <s v="Poor"/>
    <s v="Yes"/>
    <s v="Sales"/>
    <s v="Friday"/>
    <s v="Evening"/>
  </r>
  <r>
    <x v="513"/>
    <s v="2024-02-26 17:41:18"/>
    <x v="6"/>
    <s v="2024-03-10 14:35:18"/>
    <n v="308.89999999999998"/>
    <n v="12.9"/>
    <s v="Software Installation"/>
    <s v="Business Apps"/>
    <x v="2"/>
    <n v="360"/>
    <x v="1"/>
    <s v="Email"/>
    <s v="Tier 1"/>
    <s v="TECH-8"/>
    <s v="Junior"/>
    <x v="0"/>
    <s v="No"/>
    <n v="1"/>
    <s v="No"/>
    <n v="9"/>
    <n v="3.2"/>
    <n v="24.9"/>
    <s v="No"/>
    <s v="Poor"/>
    <s v="Yes"/>
    <s v="IT"/>
    <s v="Monday"/>
    <s v="Morning"/>
  </r>
  <r>
    <x v="514"/>
    <s v="2024-04-16 19:26:03"/>
    <x v="11"/>
    <s v="2024-04-23 09:02:03"/>
    <n v="157.6"/>
    <n v="6.6"/>
    <s v="Network Connectivity"/>
    <s v="VPN Connection"/>
    <x v="1"/>
    <n v="120"/>
    <x v="0"/>
    <s v="Email"/>
    <s v="Tier 1"/>
    <s v="TECH-4"/>
    <s v="Mid-level"/>
    <x v="0"/>
    <s v="No"/>
    <n v="1"/>
    <s v="No"/>
    <n v="5"/>
    <n v="4.3"/>
    <n v="8.3000000000000007"/>
    <s v="No"/>
    <s v="Fair"/>
    <s v="Yes"/>
    <s v="IT"/>
    <s v="Friday"/>
    <s v="Afternoon"/>
  </r>
  <r>
    <x v="515"/>
    <s v="2024-05-14 02:46:11"/>
    <x v="8"/>
    <s v="2024-06-12 05:40:11"/>
    <n v="674.9"/>
    <n v="28.1"/>
    <s v="Email/Calendar"/>
    <s v="Calendar Sync"/>
    <x v="0"/>
    <n v="240"/>
    <x v="0"/>
    <s v="Phone"/>
    <s v="Tier 2"/>
    <s v="TECH-12"/>
    <s v="Junior"/>
    <x v="0"/>
    <s v="Yes"/>
    <n v="3"/>
    <s v="No"/>
    <n v="8"/>
    <n v="2.6"/>
    <n v="14.2"/>
    <s v="No"/>
    <s v="Fair"/>
    <s v="Yes"/>
    <s v="Finance"/>
    <s v="Wednesday"/>
    <s v="Afternoon"/>
  </r>
  <r>
    <x v="516"/>
    <s v="2024-11-05 21:21:20"/>
    <x v="7"/>
    <s v="2024-11-07 16:51:20"/>
    <n v="43.5"/>
    <n v="1.8"/>
    <s v="Application Errors"/>
    <s v="Performance"/>
    <x v="3"/>
    <n v="48"/>
    <x v="1"/>
    <s v="Phone"/>
    <s v="Tier 2"/>
    <s v="TECH-5"/>
    <s v="Senior"/>
    <x v="0"/>
    <s v="Yes"/>
    <n v="1"/>
    <s v="Yes"/>
    <n v="9"/>
    <n v="1.9"/>
    <n v="8.9"/>
    <s v="Yes"/>
    <s v="Fair"/>
    <s v="Yes"/>
    <s v="Marketing"/>
    <s v="Thursday"/>
    <s v="Afternoon"/>
  </r>
  <r>
    <x v="517"/>
    <s v="2024-04-07 07:12:57"/>
    <x v="11"/>
    <s v="2024-04-15 10:00:57"/>
    <n v="194.8"/>
    <n v="8.1"/>
    <s v="Software Installation"/>
    <s v="Adobe Suite"/>
    <x v="0"/>
    <n v="240"/>
    <x v="1"/>
    <s v="Walk-in"/>
    <s v="Tier 1"/>
    <s v="TECH-21"/>
    <s v="Junior"/>
    <x v="1"/>
    <s v="No"/>
    <n v="0"/>
    <s v="No"/>
    <n v="10"/>
    <n v="2.4"/>
    <n v="42.2"/>
    <s v="Yes"/>
    <s v="Fair"/>
    <s v="Yes"/>
    <s v="Legal"/>
    <s v="Monday"/>
    <s v="Afternoon"/>
  </r>
  <r>
    <x v="518"/>
    <s v="2024-06-01 18:43:58"/>
    <x v="10"/>
    <s v="2024-06-20 12:49:58"/>
    <n v="450.1"/>
    <n v="18.8"/>
    <s v="Password Reset"/>
    <s v="Email Password"/>
    <x v="2"/>
    <n v="360"/>
    <x v="0"/>
    <s v="Phone"/>
    <s v="Tier 1"/>
    <s v="TECH-23"/>
    <s v="Mid-level"/>
    <x v="1"/>
    <s v="No"/>
    <n v="0"/>
    <s v="No"/>
    <n v="7"/>
    <n v="2.7"/>
    <n v="37.5"/>
    <s v="Yes"/>
    <s v="Poor"/>
    <s v="Yes"/>
    <s v="Finance"/>
    <s v="Monday"/>
    <s v="Morning"/>
  </r>
  <r>
    <x v="519"/>
    <s v="2024-03-07 19:54:56"/>
    <x v="5"/>
    <s v="2024-03-10 21:18:56"/>
    <n v="73.400000000000006"/>
    <n v="3.1"/>
    <s v="Email/Calendar"/>
    <s v="Distribution List"/>
    <x v="1"/>
    <n v="120"/>
    <x v="1"/>
    <s v="Phone"/>
    <s v="Tier 1"/>
    <s v="TECH-2"/>
    <s v="Mid-level"/>
    <x v="0"/>
    <s v="No"/>
    <n v="1"/>
    <s v="No"/>
    <n v="8"/>
    <n v="2.7"/>
    <n v="22.1"/>
    <s v="Yes"/>
    <s v="Poor"/>
    <s v="Yes"/>
    <s v="Sales"/>
    <s v="Wednesday"/>
    <s v="Morning"/>
  </r>
  <r>
    <x v="520"/>
    <s v="2024-07-07 16:25:16"/>
    <x v="4"/>
    <s v="2024-07-17 02:19:16"/>
    <n v="249.9"/>
    <n v="10.4"/>
    <s v="Hardware Issues"/>
    <s v="Printer"/>
    <x v="2"/>
    <n v="360"/>
    <x v="1"/>
    <s v="Email"/>
    <s v="Tier 2"/>
    <s v="TECH-8"/>
    <s v="Mid-level"/>
    <x v="0"/>
    <s v="Yes"/>
    <n v="3"/>
    <s v="No"/>
    <n v="10"/>
    <n v="2.6"/>
    <n v="8.9"/>
    <s v="No"/>
    <s v="Excellent"/>
    <s v="No"/>
    <s v="IT"/>
    <s v="Thursday"/>
    <s v="Afternoon"/>
  </r>
  <r>
    <x v="521"/>
    <s v="2024-05-16 02:21:52"/>
    <x v="8"/>
    <s v="2024-05-23 15:33:52"/>
    <n v="157.19999999999999"/>
    <n v="6.6"/>
    <s v="Access Requests"/>
    <s v="Application Access"/>
    <x v="0"/>
    <n v="240"/>
    <x v="1"/>
    <s v="Email"/>
    <s v="Tier 1"/>
    <s v="TECH-22"/>
    <s v="Junior"/>
    <x v="0"/>
    <s v="No"/>
    <n v="1"/>
    <s v="No"/>
    <n v="7"/>
    <n v="2"/>
    <n v="24.2"/>
    <s v="No"/>
    <s v="Fair"/>
    <s v="Yes"/>
    <s v="IT"/>
    <s v="Thursday"/>
    <s v="Afternoon"/>
  </r>
  <r>
    <x v="522"/>
    <s v="2024-02-16 01:51:18"/>
    <x v="6"/>
    <s v="2024-03-16 11:03:18"/>
    <n v="681.2"/>
    <n v="28.4"/>
    <s v="Software Installation"/>
    <s v="MS Office"/>
    <x v="0"/>
    <n v="240"/>
    <x v="0"/>
    <s v="Email"/>
    <s v="Tier 1"/>
    <s v="TECH-20"/>
    <s v="Mid-level"/>
    <x v="1"/>
    <s v="No"/>
    <n v="0"/>
    <s v="No"/>
    <n v="7"/>
    <n v="1.7"/>
    <n v="19.600000000000001"/>
    <s v="Yes"/>
    <s v="Good"/>
    <s v="Yes"/>
    <s v="Executive"/>
    <s v="Thursday"/>
    <s v="Morning"/>
  </r>
  <r>
    <x v="523"/>
    <s v="2024-09-03 22:27:30"/>
    <x v="9"/>
    <s v="2024-09-13 05:57:30"/>
    <n v="223.5"/>
    <n v="9.3000000000000007"/>
    <s v="Other"/>
    <s v="Documentation"/>
    <x v="2"/>
    <n v="360"/>
    <x v="1"/>
    <s v="Phone"/>
    <s v="Tier 1"/>
    <s v="TECH-2"/>
    <s v="Mid-level"/>
    <x v="1"/>
    <s v="No"/>
    <n v="0"/>
    <s v="Yes"/>
    <n v="10"/>
    <n v="0.7"/>
    <n v="14.9"/>
    <s v="No"/>
    <s v="Fair"/>
    <s v="Yes"/>
    <s v="Finance"/>
    <s v="Wednesday"/>
    <s v="Afternoon"/>
  </r>
  <r>
    <x v="524"/>
    <s v="2024-06-05 04:09:31"/>
    <x v="10"/>
    <s v="2024-06-13 02:27:31"/>
    <n v="214.3"/>
    <n v="8.9"/>
    <s v="Access Requests"/>
    <s v="VPN Access"/>
    <x v="0"/>
    <n v="240"/>
    <x v="1"/>
    <s v="Chat"/>
    <s v="Tier 1"/>
    <s v="TECH-6"/>
    <s v="Senior"/>
    <x v="1"/>
    <s v="No"/>
    <n v="0"/>
    <s v="No"/>
    <n v="8"/>
    <n v="3.9"/>
    <n v="29.1"/>
    <s v="Yes"/>
    <s v="Poor"/>
    <s v="No"/>
    <s v="Legal"/>
    <s v="Monday"/>
    <s v="Afternoon"/>
  </r>
  <r>
    <x v="525"/>
    <s v="2024-08-02 16:14:04"/>
    <x v="1"/>
    <s v="2024-08-09 23:08:04"/>
    <n v="174.9"/>
    <n v="7.3"/>
    <s v="Email/Calendar"/>
    <s v="Calendar Sync"/>
    <x v="0"/>
    <n v="240"/>
    <x v="1"/>
    <s v="Portal"/>
    <s v="Tier 1"/>
    <s v="TECH-3"/>
    <s v="Mid-level"/>
    <x v="1"/>
    <s v="No"/>
    <n v="0"/>
    <s v="No"/>
    <n v="9"/>
    <n v="0.7"/>
    <n v="25.4"/>
    <s v="Yes"/>
    <s v="Fair"/>
    <s v="Yes"/>
    <s v="IT"/>
    <s v="Wednesday"/>
    <s v="Morning"/>
  </r>
  <r>
    <x v="526"/>
    <s v="2024-10-01 11:02:58"/>
    <x v="2"/>
    <s v="2024-10-11 02:44:58"/>
    <n v="255.7"/>
    <n v="10.7"/>
    <s v="Application Errors"/>
    <s v="Login Issues"/>
    <x v="2"/>
    <n v="360"/>
    <x v="1"/>
    <s v="Phone"/>
    <s v="Tier 1"/>
    <s v="TECH-7"/>
    <s v="Junior"/>
    <x v="0"/>
    <s v="No"/>
    <n v="1"/>
    <s v="No"/>
    <n v="8"/>
    <n v="2.1"/>
    <n v="19.8"/>
    <s v="Yes"/>
    <s v="Fair"/>
    <s v="Yes"/>
    <s v="Finance"/>
    <s v="Friday"/>
    <s v="Morning"/>
  </r>
  <r>
    <x v="527"/>
    <s v="2024-12-22 19:12:21"/>
    <x v="0"/>
    <s v="2024-12-24 03:00:21"/>
    <n v="31.8"/>
    <n v="1.3"/>
    <s v="Hardware Issues"/>
    <s v="Monitor"/>
    <x v="3"/>
    <n v="48"/>
    <x v="1"/>
    <s v="Email"/>
    <s v="Tier 2"/>
    <s v="TECH-6"/>
    <s v="Junior"/>
    <x v="0"/>
    <s v="Yes"/>
    <n v="2"/>
    <s v="No"/>
    <n v="6"/>
    <n v="2.5"/>
    <n v="24.1"/>
    <s v="Yes"/>
    <s v="Excellent"/>
    <s v="No"/>
    <s v="Executive"/>
    <s v="Wednesday"/>
    <s v="Morning"/>
  </r>
  <r>
    <x v="528"/>
    <s v="2024-12-19 15:09:57"/>
    <x v="0"/>
    <s v="2025-01-03 03:03:57"/>
    <n v="347.9"/>
    <n v="14.5"/>
    <s v="Application Errors"/>
    <s v="Performance"/>
    <x v="0"/>
    <n v="240"/>
    <x v="0"/>
    <s v="Email"/>
    <s v="Tier 2"/>
    <s v="TECH-21"/>
    <s v="Mid-level"/>
    <x v="0"/>
    <s v="Yes"/>
    <n v="4"/>
    <s v="No"/>
    <n v="4"/>
    <n v="6.4"/>
    <n v="4.5"/>
    <s v="No"/>
    <s v="Good"/>
    <s v="Yes"/>
    <s v="Marketing"/>
    <s v="Tuesday"/>
    <s v="Afternoon"/>
  </r>
  <r>
    <x v="529"/>
    <s v="2024-04-27 08:01:37"/>
    <x v="11"/>
    <s v="2024-04-30 09:13:37"/>
    <n v="73.2"/>
    <n v="3.1"/>
    <s v="Network Connectivity"/>
    <s v="Slow Network"/>
    <x v="1"/>
    <n v="120"/>
    <x v="1"/>
    <s v="Portal"/>
    <s v="Tier 2"/>
    <s v="TECH-24"/>
    <s v="Mid-level"/>
    <x v="0"/>
    <s v="Yes"/>
    <n v="1"/>
    <s v="No"/>
    <n v="8"/>
    <n v="4.0999999999999996"/>
    <n v="8.5"/>
    <s v="Yes"/>
    <s v="Fair"/>
    <s v="Yes"/>
    <s v="IT"/>
    <s v="Wednesday"/>
    <s v="Morning"/>
  </r>
  <r>
    <x v="530"/>
    <s v="2024-06-23 09:02:40"/>
    <x v="10"/>
    <s v="2024-07-18 05:32:40"/>
    <n v="596.5"/>
    <n v="24.9"/>
    <s v="Application Errors"/>
    <s v="Performance"/>
    <x v="0"/>
    <n v="240"/>
    <x v="0"/>
    <s v="Walk-in"/>
    <s v="Tier 1"/>
    <s v="TECH-15"/>
    <s v="Senior"/>
    <x v="1"/>
    <s v="No"/>
    <n v="0"/>
    <s v="No"/>
    <n v="5"/>
    <n v="0.3"/>
    <n v="4.4000000000000004"/>
    <s v="Yes"/>
    <s v="Poor"/>
    <s v="Yes"/>
    <s v="Finance"/>
    <s v="Friday"/>
    <s v="Afternoon"/>
  </r>
  <r>
    <x v="531"/>
    <s v="2024-07-18 13:05:25"/>
    <x v="4"/>
    <s v="2024-07-28 13:05:25"/>
    <n v="240"/>
    <n v="10"/>
    <s v="Password Reset"/>
    <s v="Windows Password"/>
    <x v="2"/>
    <n v="360"/>
    <x v="1"/>
    <s v="Phone"/>
    <s v="Tier 1"/>
    <s v="TECH-9"/>
    <s v="Mid-level"/>
    <x v="1"/>
    <s v="No"/>
    <n v="0"/>
    <s v="No"/>
    <n v="10"/>
    <n v="0.5"/>
    <n v="14.1"/>
    <s v="Yes"/>
    <s v="Good"/>
    <s v="Yes"/>
    <s v="Legal"/>
    <s v="Thursday"/>
    <s v="Afternoon"/>
  </r>
  <r>
    <x v="532"/>
    <s v="2024-07-08 18:58:35"/>
    <x v="4"/>
    <s v="2024-07-17 10:22:35"/>
    <n v="207.4"/>
    <n v="8.6"/>
    <s v="Access Requests"/>
    <s v="File Share"/>
    <x v="1"/>
    <n v="120"/>
    <x v="0"/>
    <s v="Email"/>
    <s v="Tier 1"/>
    <s v="TECH-19"/>
    <s v="Senior"/>
    <x v="0"/>
    <s v="No"/>
    <n v="1"/>
    <s v="No"/>
    <n v="3"/>
    <n v="1.7"/>
    <n v="9.1"/>
    <s v="Yes"/>
    <s v="Poor"/>
    <s v="Yes"/>
    <s v="Sales"/>
    <s v="Tuesday"/>
    <s v="Afternoon"/>
  </r>
  <r>
    <x v="533"/>
    <s v="2024-03-08 10:12:32"/>
    <x v="5"/>
    <s v="2024-03-21 14:36:32"/>
    <n v="316.39999999999998"/>
    <n v="13.2"/>
    <s v="Password Reset"/>
    <s v="Application Password"/>
    <x v="2"/>
    <n v="360"/>
    <x v="1"/>
    <s v="Portal"/>
    <s v="Tier 1"/>
    <s v="TECH-13"/>
    <s v="Mid-level"/>
    <x v="1"/>
    <s v="No"/>
    <n v="0"/>
    <s v="No"/>
    <n v="9"/>
    <n v="4.9000000000000004"/>
    <n v="0.4"/>
    <s v="Yes"/>
    <s v="Poor"/>
    <s v="No"/>
    <s v="Executive"/>
    <s v="Friday"/>
    <s v="Afternoon"/>
  </r>
  <r>
    <x v="534"/>
    <s v="2024-06-11 18:44:06"/>
    <x v="10"/>
    <s v="2024-06-19 21:38:06"/>
    <n v="194.9"/>
    <n v="8.1"/>
    <s v="Email/Calendar"/>
    <s v="Cannot Send/Receive"/>
    <x v="0"/>
    <n v="240"/>
    <x v="1"/>
    <s v="Portal"/>
    <s v="Tier 1"/>
    <s v="TECH-22"/>
    <s v="Junior"/>
    <x v="1"/>
    <s v="No"/>
    <n v="0"/>
    <s v="No"/>
    <n v="10"/>
    <n v="5.2"/>
    <n v="27.3"/>
    <s v="Yes"/>
    <s v="Good"/>
    <s v="Yes"/>
    <s v="Marketing"/>
    <s v="Wednesday"/>
    <s v="Afternoon"/>
  </r>
  <r>
    <x v="535"/>
    <s v="2024-09-04 10:03:26"/>
    <x v="9"/>
    <s v="2024-09-07 02:09:26"/>
    <n v="88.1"/>
    <n v="3.7"/>
    <s v="Hardware Issues"/>
    <s v="Printer"/>
    <x v="1"/>
    <n v="120"/>
    <x v="1"/>
    <s v="Email"/>
    <s v="Tier 1"/>
    <s v="TECH-15"/>
    <s v="Mid-level"/>
    <x v="1"/>
    <s v="No"/>
    <n v="0"/>
    <s v="No"/>
    <n v="9"/>
    <n v="0.9"/>
    <n v="47.6"/>
    <s v="No"/>
    <s v="Excellent"/>
    <s v="No"/>
    <s v="Marketing"/>
    <s v="Monday"/>
    <s v="Morning"/>
  </r>
  <r>
    <x v="536"/>
    <s v="2024-05-20 15:33:19"/>
    <x v="8"/>
    <s v="2024-05-29 02:03:19"/>
    <n v="226.5"/>
    <n v="9.4"/>
    <s v="Software Installation"/>
    <s v="MS Office"/>
    <x v="0"/>
    <n v="240"/>
    <x v="1"/>
    <s v="Portal"/>
    <s v="Tier 1"/>
    <s v="TECH-7"/>
    <s v="Mid-level"/>
    <x v="1"/>
    <s v="No"/>
    <n v="0"/>
    <s v="No"/>
    <n v="10"/>
    <n v="5.5"/>
    <n v="6.7"/>
    <s v="Yes"/>
    <s v="Poor"/>
    <s v="No"/>
    <s v="IT"/>
    <s v="Tuesday"/>
    <s v="Afternoon"/>
  </r>
  <r>
    <x v="537"/>
    <s v="2024-01-11 05:54:51"/>
    <x v="3"/>
    <s v="2024-01-24 02:42:51"/>
    <n v="308.8"/>
    <n v="12.9"/>
    <s v="Application Errors"/>
    <s v="Login Issues"/>
    <x v="0"/>
    <n v="240"/>
    <x v="0"/>
    <s v="Portal"/>
    <s v="Tier 1"/>
    <s v="TECH-20"/>
    <s v="Junior"/>
    <x v="0"/>
    <s v="No"/>
    <n v="1"/>
    <s v="No"/>
    <n v="4"/>
    <n v="0.1"/>
    <n v="27.6"/>
    <s v="Yes"/>
    <s v="Poor"/>
    <s v="No"/>
    <s v="IT"/>
    <s v="Tuesday"/>
    <s v="Morning"/>
  </r>
  <r>
    <x v="538"/>
    <s v="2024-10-15 02:02:37"/>
    <x v="2"/>
    <s v="2024-10-22 13:38:37"/>
    <n v="155.6"/>
    <n v="6.5"/>
    <s v="Password Reset"/>
    <s v="Application Password"/>
    <x v="0"/>
    <n v="240"/>
    <x v="1"/>
    <s v="Portal"/>
    <s v="Tier 1"/>
    <s v="TECH-22"/>
    <s v="Senior"/>
    <x v="1"/>
    <s v="No"/>
    <n v="0"/>
    <s v="No"/>
    <n v="10"/>
    <n v="0.1"/>
    <n v="36.9"/>
    <s v="Yes"/>
    <s v="Excellent"/>
    <s v="Yes"/>
    <s v="Operations"/>
    <s v="Wednesday"/>
    <s v="Morning"/>
  </r>
  <r>
    <x v="539"/>
    <s v="2024-02-15 12:26:55"/>
    <x v="6"/>
    <s v="2024-03-04 00:50:55"/>
    <n v="444.4"/>
    <n v="18.5"/>
    <s v="Software Installation"/>
    <s v="Drivers"/>
    <x v="0"/>
    <n v="240"/>
    <x v="0"/>
    <s v="Phone"/>
    <s v="Tier 2"/>
    <s v="TECH-2"/>
    <s v="Junior"/>
    <x v="0"/>
    <s v="Yes"/>
    <n v="3"/>
    <s v="No"/>
    <n v="8"/>
    <n v="4.8"/>
    <n v="26.2"/>
    <s v="Yes"/>
    <s v="Fair"/>
    <s v="Yes"/>
    <s v="HR"/>
    <s v="Monday"/>
    <s v="Afternoon"/>
  </r>
  <r>
    <x v="540"/>
    <s v="2024-08-31 02:17:36"/>
    <x v="1"/>
    <s v="2024-09-10 15:29:36"/>
    <n v="229.2"/>
    <n v="9.5"/>
    <s v="Password Reset"/>
    <s v="Email Password"/>
    <x v="2"/>
    <n v="360"/>
    <x v="1"/>
    <s v="Chat"/>
    <s v="Tier 1"/>
    <s v="TECH-4"/>
    <s v="Mid-level"/>
    <x v="0"/>
    <s v="No"/>
    <n v="1"/>
    <s v="No"/>
    <n v="9"/>
    <n v="0.7"/>
    <n v="11.4"/>
    <s v="Yes"/>
    <s v="Excellent"/>
    <s v="Yes"/>
    <s v="Finance"/>
    <s v="Tuesday"/>
    <s v="Morning"/>
  </r>
  <r>
    <x v="541"/>
    <s v="2024-07-26 02:47:36"/>
    <x v="4"/>
    <s v="2024-08-03 14:59:36"/>
    <n v="180.2"/>
    <n v="7.5"/>
    <s v="Access Requests"/>
    <s v="Admin Rights"/>
    <x v="0"/>
    <n v="240"/>
    <x v="1"/>
    <s v="Email"/>
    <s v="Tier 1"/>
    <s v="TECH-18"/>
    <s v="Senior"/>
    <x v="1"/>
    <s v="No"/>
    <n v="0"/>
    <s v="No"/>
    <n v="10"/>
    <n v="4.3"/>
    <n v="29.4"/>
    <s v="Yes"/>
    <s v="Poor"/>
    <s v="No"/>
    <s v="Finance"/>
    <s v="Tuesday"/>
    <s v="Morning"/>
  </r>
  <r>
    <x v="542"/>
    <s v="2024-03-12 17:10:45"/>
    <x v="5"/>
    <s v="2024-04-07 03:22:45"/>
    <n v="609.20000000000005"/>
    <n v="25.4"/>
    <s v="Access Requests"/>
    <s v="VPN Access"/>
    <x v="0"/>
    <n v="240"/>
    <x v="0"/>
    <s v="Phone"/>
    <s v="Tier 1"/>
    <s v="TECH-10"/>
    <s v="Junior"/>
    <x v="1"/>
    <s v="No"/>
    <n v="0"/>
    <s v="No"/>
    <n v="7"/>
    <n v="3.5"/>
    <n v="31.8"/>
    <s v="No"/>
    <s v="Fair"/>
    <s v="Yes"/>
    <s v="HR"/>
    <s v="Friday"/>
    <s v="Afternoon"/>
  </r>
  <r>
    <x v="543"/>
    <s v="2024-09-16 02:45:26"/>
    <x v="9"/>
    <s v="2024-09-21 03:09:26"/>
    <n v="96.4"/>
    <n v="4"/>
    <s v="Network Connectivity"/>
    <s v="WiFi Issues"/>
    <x v="1"/>
    <n v="120"/>
    <x v="1"/>
    <s v="Phone"/>
    <s v="Tier 1"/>
    <s v="TECH-9"/>
    <s v="Mid-level"/>
    <x v="1"/>
    <s v="No"/>
    <n v="0"/>
    <s v="No"/>
    <n v="10"/>
    <n v="1.6"/>
    <n v="7.8"/>
    <s v="No"/>
    <s v="Poor"/>
    <s v="Yes"/>
    <s v="Sales"/>
    <s v="Thursday"/>
    <s v="Morning"/>
  </r>
  <r>
    <x v="544"/>
    <s v="2024-03-05 13:21:49"/>
    <x v="5"/>
    <s v="2024-03-09 02:21:49"/>
    <n v="85"/>
    <n v="3.5"/>
    <s v="Network Connectivity"/>
    <s v="VPN Connection"/>
    <x v="1"/>
    <n v="120"/>
    <x v="1"/>
    <s v="Email"/>
    <s v="Tier 1"/>
    <s v="TECH-2"/>
    <s v="Junior"/>
    <x v="1"/>
    <s v="No"/>
    <n v="0"/>
    <s v="No"/>
    <n v="8"/>
    <n v="1.9"/>
    <n v="28.8"/>
    <s v="Yes"/>
    <s v="Fair"/>
    <s v="Yes"/>
    <s v="IT"/>
    <s v="Wednesday"/>
    <s v="Morning"/>
  </r>
  <r>
    <x v="545"/>
    <s v="2024-02-16 14:09:12"/>
    <x v="6"/>
    <s v="2024-02-19 18:51:12"/>
    <n v="76.7"/>
    <n v="3.2"/>
    <s v="Hardware Issues"/>
    <s v="Keyboard/Mouse"/>
    <x v="1"/>
    <n v="120"/>
    <x v="1"/>
    <s v="Phone"/>
    <s v="Tier 2"/>
    <s v="TECH-24"/>
    <s v="Mid-level"/>
    <x v="0"/>
    <s v="Yes"/>
    <n v="1"/>
    <s v="No"/>
    <n v="9"/>
    <n v="1.8"/>
    <n v="7.1"/>
    <s v="Yes"/>
    <s v="Fair"/>
    <s v="No"/>
    <s v="Finance"/>
    <s v="Tuesday"/>
    <s v="Morning"/>
  </r>
  <r>
    <x v="546"/>
    <s v="2024-09-08 18:22:51"/>
    <x v="9"/>
    <s v="2024-09-29 00:16:51"/>
    <n v="509.9"/>
    <n v="21.2"/>
    <s v="Software Installation"/>
    <s v="Drivers"/>
    <x v="0"/>
    <n v="240"/>
    <x v="0"/>
    <s v="Portal"/>
    <s v="Tier 2"/>
    <s v="TECH-25"/>
    <s v="Mid-level"/>
    <x v="0"/>
    <s v="Yes"/>
    <n v="4"/>
    <s v="No"/>
    <n v="6"/>
    <n v="0.7"/>
    <n v="14.3"/>
    <s v="Yes"/>
    <s v="Fair"/>
    <s v="No"/>
    <s v="Marketing"/>
    <s v="Wednesday"/>
    <s v="Morning"/>
  </r>
  <r>
    <x v="547"/>
    <s v="2024-10-12 00:17:38"/>
    <x v="2"/>
    <s v="2024-10-23 02:05:38"/>
    <n v="265.8"/>
    <n v="11.1"/>
    <s v="Access Requests"/>
    <s v="VPN Access"/>
    <x v="0"/>
    <n v="240"/>
    <x v="0"/>
    <s v="Portal"/>
    <s v="Tier 1"/>
    <s v="TECH-12"/>
    <s v="Junior"/>
    <x v="1"/>
    <s v="No"/>
    <n v="0"/>
    <s v="No"/>
    <n v="6"/>
    <n v="1.6"/>
    <n v="37.200000000000003"/>
    <s v="No"/>
    <s v="Excellent"/>
    <s v="Yes"/>
    <s v="Operations"/>
    <s v="Wednesday"/>
    <s v="Morning"/>
  </r>
  <r>
    <x v="548"/>
    <s v="2024-12-30 04:26:31"/>
    <x v="0"/>
    <s v="2025-01-02 22:56:31"/>
    <n v="90.5"/>
    <n v="3.8"/>
    <s v="Application Errors"/>
    <s v="Crash"/>
    <x v="1"/>
    <n v="120"/>
    <x v="1"/>
    <s v="Phone"/>
    <s v="Tier 1"/>
    <s v="TECH-2"/>
    <s v="Junior"/>
    <x v="1"/>
    <s v="No"/>
    <n v="0"/>
    <s v="No"/>
    <n v="10"/>
    <n v="1.6"/>
    <n v="40.799999999999997"/>
    <s v="No"/>
    <s v="Fair"/>
    <s v="No"/>
    <s v="Operations"/>
    <s v="Monday"/>
    <s v="Morning"/>
  </r>
  <r>
    <x v="549"/>
    <s v="2024-02-15 06:24:22"/>
    <x v="6"/>
    <s v="2024-02-16 14:24:22"/>
    <n v="32"/>
    <n v="1.3"/>
    <s v="Network Connectivity"/>
    <s v="VPN Connection"/>
    <x v="3"/>
    <n v="48"/>
    <x v="1"/>
    <s v="Walk-in"/>
    <s v="Tier 1"/>
    <s v="TECH-11"/>
    <s v="Mid-level"/>
    <x v="0"/>
    <s v="No"/>
    <n v="1"/>
    <s v="No"/>
    <n v="10"/>
    <n v="1.1000000000000001"/>
    <n v="30.4"/>
    <s v="Yes"/>
    <s v="Fair"/>
    <s v="No"/>
    <s v="Legal"/>
    <s v="Tuesday"/>
    <s v="Morning"/>
  </r>
  <r>
    <x v="550"/>
    <s v="2024-04-20 17:39:07"/>
    <x v="11"/>
    <s v="2024-04-29 23:15:07"/>
    <n v="221.6"/>
    <n v="9.1999999999999993"/>
    <s v="Hardware Issues"/>
    <s v="Docking Station"/>
    <x v="1"/>
    <n v="120"/>
    <x v="0"/>
    <s v="Portal"/>
    <s v="Tier 1"/>
    <s v="TECH-9"/>
    <s v="Junior"/>
    <x v="0"/>
    <s v="No"/>
    <n v="1"/>
    <s v="Yes"/>
    <n v="7"/>
    <n v="2.8"/>
    <n v="8.8000000000000007"/>
    <s v="No"/>
    <s v="Good"/>
    <s v="Yes"/>
    <s v="Finance"/>
    <s v="Tuesday"/>
    <s v="Morning"/>
  </r>
  <r>
    <x v="551"/>
    <s v="2024-12-26 02:20:17"/>
    <x v="0"/>
    <s v="2024-12-27 09:50:17"/>
    <n v="31.5"/>
    <n v="1.3"/>
    <s v="Password Reset"/>
    <s v="Email Password"/>
    <x v="3"/>
    <n v="48"/>
    <x v="1"/>
    <s v="Email"/>
    <s v="Tier 1"/>
    <s v="TECH-24"/>
    <s v="Mid-level"/>
    <x v="1"/>
    <s v="No"/>
    <n v="0"/>
    <s v="No"/>
    <n v="10"/>
    <n v="0.9"/>
    <n v="5.3"/>
    <s v="No"/>
    <s v="Good"/>
    <s v="Yes"/>
    <s v="Operations"/>
    <s v="Wednesday"/>
    <s v="Evening"/>
  </r>
  <r>
    <x v="552"/>
    <s v="2024-04-26 14:00:40"/>
    <x v="11"/>
    <s v="2024-05-16 06:18:40"/>
    <n v="472.3"/>
    <n v="19.7"/>
    <s v="Password Reset"/>
    <s v="Windows Password"/>
    <x v="2"/>
    <n v="360"/>
    <x v="0"/>
    <s v="Phone"/>
    <s v="Tier 1"/>
    <s v="TECH-14"/>
    <s v="Senior"/>
    <x v="1"/>
    <s v="No"/>
    <n v="0"/>
    <s v="No"/>
    <n v="6"/>
    <n v="1.3"/>
    <n v="0"/>
    <s v="Yes"/>
    <s v="Fair"/>
    <s v="No"/>
    <s v="Marketing"/>
    <s v="Monday"/>
    <s v="Afternoon"/>
  </r>
  <r>
    <x v="553"/>
    <s v="2024-12-06 01:49:43"/>
    <x v="0"/>
    <s v="2024-12-16 04:13:43"/>
    <n v="218.4"/>
    <n v="9.1"/>
    <s v="Access Requests"/>
    <s v="VPN Access"/>
    <x v="0"/>
    <n v="240"/>
    <x v="1"/>
    <s v="Portal"/>
    <s v="Tier 1"/>
    <s v="TECH-21"/>
    <s v="Senior"/>
    <x v="0"/>
    <s v="No"/>
    <n v="1"/>
    <s v="No"/>
    <n v="7"/>
    <n v="2.2999999999999998"/>
    <n v="29.5"/>
    <s v="Yes"/>
    <s v="Fair"/>
    <s v="No"/>
    <s v="Legal"/>
    <s v="Thursday"/>
    <s v="Morning"/>
  </r>
  <r>
    <x v="554"/>
    <s v="2024-11-07 12:46:47"/>
    <x v="7"/>
    <s v="2024-11-26 15:40:47"/>
    <n v="458.9"/>
    <n v="19.100000000000001"/>
    <s v="Access Requests"/>
    <s v="File Share"/>
    <x v="2"/>
    <n v="360"/>
    <x v="0"/>
    <s v="Portal"/>
    <s v="Tier 1"/>
    <s v="TECH-10"/>
    <s v="Junior"/>
    <x v="0"/>
    <s v="No"/>
    <n v="1"/>
    <s v="No"/>
    <n v="5"/>
    <n v="1.3"/>
    <n v="13.3"/>
    <s v="Yes"/>
    <s v="Good"/>
    <s v="Yes"/>
    <s v="Legal"/>
    <s v="Wednesday"/>
    <s v="Evening"/>
  </r>
  <r>
    <x v="555"/>
    <s v="2024-12-15 23:24:54"/>
    <x v="0"/>
    <s v="2024-12-19 07:12:54"/>
    <n v="79.8"/>
    <n v="3.3"/>
    <s v="Application Errors"/>
    <s v="Performance"/>
    <x v="1"/>
    <n v="120"/>
    <x v="1"/>
    <s v="Phone"/>
    <s v="Tier 1"/>
    <s v="TECH-17"/>
    <s v="Junior"/>
    <x v="0"/>
    <s v="No"/>
    <n v="1"/>
    <s v="No"/>
    <n v="7"/>
    <n v="1.4"/>
    <n v="14"/>
    <s v="Yes"/>
    <s v="Good"/>
    <s v="No"/>
    <s v="Legal"/>
    <s v="Monday"/>
    <s v="Afternoon"/>
  </r>
  <r>
    <x v="556"/>
    <s v="2024-12-19 21:13:18"/>
    <x v="0"/>
    <s v="2024-12-29 17:13:18"/>
    <n v="236"/>
    <n v="9.8000000000000007"/>
    <s v="Password Reset"/>
    <s v="Email Password"/>
    <x v="2"/>
    <n v="360"/>
    <x v="1"/>
    <s v="Phone"/>
    <s v="Tier 1"/>
    <s v="TECH-10"/>
    <s v="Senior"/>
    <x v="0"/>
    <s v="No"/>
    <n v="1"/>
    <s v="No"/>
    <n v="9"/>
    <n v="0.1"/>
    <n v="0"/>
    <s v="Yes"/>
    <s v="Poor"/>
    <s v="Yes"/>
    <s v="Marketing"/>
    <s v="Tuesday"/>
    <s v="Evening"/>
  </r>
  <r>
    <x v="557"/>
    <s v="2024-12-27 13:49:36"/>
    <x v="0"/>
    <s v="2025-01-05 15:49:36"/>
    <n v="218"/>
    <n v="9.1"/>
    <s v="Software Installation"/>
    <s v="VPN Client"/>
    <x v="0"/>
    <n v="240"/>
    <x v="1"/>
    <s v="Phone"/>
    <s v="Tier 1"/>
    <s v="TECH-4"/>
    <s v="Senior"/>
    <x v="1"/>
    <s v="No"/>
    <n v="0"/>
    <s v="No"/>
    <n v="9"/>
    <n v="2.8"/>
    <n v="0"/>
    <s v="Yes"/>
    <s v="Poor"/>
    <s v="Yes"/>
    <s v="Marketing"/>
    <s v="Wednesday"/>
    <s v="Evening"/>
  </r>
  <r>
    <x v="558"/>
    <s v="2024-05-09 06:39:35"/>
    <x v="8"/>
    <s v="2024-05-12 22:15:35"/>
    <n v="87.6"/>
    <n v="3.7"/>
    <s v="Application Errors"/>
    <s v="Crash"/>
    <x v="1"/>
    <n v="120"/>
    <x v="1"/>
    <s v="Email"/>
    <s v="Tier 2"/>
    <s v="TECH-14"/>
    <s v="Senior"/>
    <x v="0"/>
    <s v="Yes"/>
    <n v="2"/>
    <s v="No"/>
    <n v="5"/>
    <n v="0.4"/>
    <n v="57.1"/>
    <s v="Yes"/>
    <s v="Fair"/>
    <s v="Yes"/>
    <s v="Executive"/>
    <s v="Wednesday"/>
    <s v="Afternoon"/>
  </r>
  <r>
    <x v="559"/>
    <s v="2024-08-06 03:10:25"/>
    <x v="1"/>
    <s v="2024-08-09 06:46:25"/>
    <n v="75.599999999999994"/>
    <n v="3.2"/>
    <s v="Network Connectivity"/>
    <s v="VPN Connection"/>
    <x v="1"/>
    <n v="120"/>
    <x v="1"/>
    <s v="Walk-in"/>
    <s v="Tier 2"/>
    <s v="TECH-24"/>
    <s v="Mid-level"/>
    <x v="0"/>
    <s v="Yes"/>
    <n v="3"/>
    <s v="No"/>
    <n v="9"/>
    <n v="5.8"/>
    <n v="11.5"/>
    <s v="Yes"/>
    <s v="Poor"/>
    <s v="No"/>
    <s v="Finance"/>
    <s v="Monday"/>
    <s v="Afternoon"/>
  </r>
  <r>
    <x v="560"/>
    <s v="2024-01-31 19:52:36"/>
    <x v="3"/>
    <s v="2024-02-02 17:04:36"/>
    <n v="45.2"/>
    <n v="1.9"/>
    <s v="Application Errors"/>
    <s v="Login Issues"/>
    <x v="3"/>
    <n v="48"/>
    <x v="1"/>
    <s v="Portal"/>
    <s v="Tier 1"/>
    <s v="TECH-1"/>
    <s v="Junior"/>
    <x v="1"/>
    <s v="No"/>
    <n v="0"/>
    <s v="Yes"/>
    <n v="10"/>
    <n v="0.6"/>
    <n v="29.5"/>
    <s v="No"/>
    <s v="Fair"/>
    <s v="Yes"/>
    <s v="IT"/>
    <s v="Thursday"/>
    <s v="Afternoon"/>
  </r>
  <r>
    <x v="561"/>
    <s v="2024-10-12 17:17:33"/>
    <x v="2"/>
    <s v="2024-10-27 08:47:33"/>
    <n v="352.5"/>
    <n v="14.7"/>
    <s v="Access Requests"/>
    <s v="Admin Rights"/>
    <x v="0"/>
    <n v="240"/>
    <x v="0"/>
    <s v="Email"/>
    <s v="Tier 1"/>
    <s v="TECH-20"/>
    <s v="Mid-level"/>
    <x v="1"/>
    <s v="No"/>
    <n v="0"/>
    <s v="No"/>
    <n v="9"/>
    <n v="3.6"/>
    <n v="22.9"/>
    <s v="Yes"/>
    <s v="Good"/>
    <s v="Yes"/>
    <s v="Legal"/>
    <s v="Monday"/>
    <s v="Afternoon"/>
  </r>
  <r>
    <x v="562"/>
    <s v="2024-09-05 21:05:51"/>
    <x v="9"/>
    <s v="2024-09-18 11:29:51"/>
    <n v="302.39999999999998"/>
    <n v="12.6"/>
    <s v="Other"/>
    <s v="Miscellaneous"/>
    <x v="2"/>
    <n v="360"/>
    <x v="1"/>
    <s v="Email"/>
    <s v="Tier 1"/>
    <s v="TECH-18"/>
    <s v="Mid-level"/>
    <x v="1"/>
    <s v="No"/>
    <n v="0"/>
    <s v="No"/>
    <n v="10"/>
    <n v="5.7"/>
    <n v="7.9"/>
    <s v="No"/>
    <s v="Good"/>
    <s v="No"/>
    <s v="Legal"/>
    <s v="Monday"/>
    <s v="Afternoon"/>
  </r>
  <r>
    <x v="563"/>
    <s v="2024-09-17 00:14:50"/>
    <x v="9"/>
    <s v="2024-09-19 20:44:50"/>
    <n v="44.5"/>
    <n v="1.9"/>
    <s v="Application Errors"/>
    <s v="Features Not Working"/>
    <x v="3"/>
    <n v="48"/>
    <x v="1"/>
    <s v="Phone"/>
    <s v="Tier 1"/>
    <s v="TECH-19"/>
    <s v="Junior"/>
    <x v="1"/>
    <s v="No"/>
    <n v="0"/>
    <s v="No"/>
    <n v="10"/>
    <n v="0.6"/>
    <n v="12.1"/>
    <s v="Yes"/>
    <s v="Poor"/>
    <s v="No"/>
    <s v="IT"/>
    <s v="Thursday"/>
    <s v="Afternoon"/>
  </r>
  <r>
    <x v="564"/>
    <s v="2024-05-03 12:44:23"/>
    <x v="8"/>
    <s v="2024-05-29 12:32:23"/>
    <n v="623.79999999999995"/>
    <n v="26"/>
    <s v="Other"/>
    <s v="Miscellaneous"/>
    <x v="0"/>
    <n v="240"/>
    <x v="0"/>
    <s v="Phone"/>
    <s v="Tier 2"/>
    <s v="TECH-5"/>
    <s v="Junior"/>
    <x v="0"/>
    <s v="Yes"/>
    <n v="1"/>
    <s v="No"/>
    <n v="3"/>
    <n v="4.5"/>
    <n v="24.9"/>
    <s v="Yes"/>
    <s v="Poor"/>
    <s v="Yes"/>
    <s v="HR"/>
    <s v="Thursday"/>
    <s v="Afternoon"/>
  </r>
  <r>
    <x v="565"/>
    <s v="2024-05-19 12:35:44"/>
    <x v="8"/>
    <s v="2024-06-01 04:35:44"/>
    <n v="304"/>
    <n v="12.7"/>
    <s v="Access Requests"/>
    <s v="VPN Access"/>
    <x v="2"/>
    <n v="360"/>
    <x v="1"/>
    <s v="Phone"/>
    <s v="Tier 1"/>
    <s v="TECH-21"/>
    <s v="Junior"/>
    <x v="0"/>
    <s v="No"/>
    <n v="1"/>
    <s v="No"/>
    <n v="10"/>
    <n v="0.6"/>
    <n v="8.4"/>
    <s v="No"/>
    <s v="Good"/>
    <s v="Yes"/>
    <s v="Operations"/>
    <s v="Thursday"/>
    <s v="Morning"/>
  </r>
  <r>
    <x v="566"/>
    <s v="2024-11-01 05:06:22"/>
    <x v="7"/>
    <s v="2024-11-10 16:18:22"/>
    <n v="227.2"/>
    <n v="9.5"/>
    <s v="Password Reset"/>
    <s v="Account Unlock"/>
    <x v="0"/>
    <n v="240"/>
    <x v="1"/>
    <s v="Phone"/>
    <s v="Tier 1"/>
    <s v="TECH-13"/>
    <s v="Mid-level"/>
    <x v="1"/>
    <s v="No"/>
    <n v="0"/>
    <s v="Yes"/>
    <n v="10"/>
    <n v="0.1"/>
    <n v="0"/>
    <s v="Yes"/>
    <s v="Fair"/>
    <s v="No"/>
    <s v="Legal"/>
    <s v="Friday"/>
    <s v="Afternoon"/>
  </r>
  <r>
    <x v="567"/>
    <s v="2024-04-17 02:09:37"/>
    <x v="11"/>
    <s v="2024-04-28 02:21:37"/>
    <n v="264.2"/>
    <n v="11"/>
    <s v="Network Connectivity"/>
    <s v="VPN Connection"/>
    <x v="0"/>
    <n v="240"/>
    <x v="0"/>
    <s v="Email"/>
    <s v="Tier 1"/>
    <s v="TECH-16"/>
    <s v="Mid-level"/>
    <x v="1"/>
    <s v="No"/>
    <n v="0"/>
    <s v="Yes"/>
    <n v="7"/>
    <n v="1.4"/>
    <n v="38.200000000000003"/>
    <s v="Yes"/>
    <s v="Excellent"/>
    <s v="No"/>
    <s v="IT"/>
    <s v="Monday"/>
    <s v="Morning"/>
  </r>
  <r>
    <x v="568"/>
    <s v="2024-05-24 15:42:17"/>
    <x v="8"/>
    <s v="2024-06-06 10:00:17"/>
    <n v="306.3"/>
    <n v="12.8"/>
    <s v="Other"/>
    <s v="Miscellaneous"/>
    <x v="2"/>
    <n v="360"/>
    <x v="1"/>
    <s v="Chat"/>
    <s v="Tier 2"/>
    <s v="TECH-18"/>
    <s v="Mid-level"/>
    <x v="0"/>
    <s v="Yes"/>
    <n v="3"/>
    <s v="Yes"/>
    <n v="7"/>
    <n v="5.3"/>
    <n v="31.3"/>
    <s v="No"/>
    <s v="Good"/>
    <s v="No"/>
    <s v="Finance"/>
    <s v="Monday"/>
    <s v="Afternoon"/>
  </r>
  <r>
    <x v="569"/>
    <s v="2024-08-19 03:52:54"/>
    <x v="1"/>
    <s v="2024-08-20 21:34:54"/>
    <n v="41.7"/>
    <n v="1.7"/>
    <s v="Application Errors"/>
    <s v="Features Not Working"/>
    <x v="3"/>
    <n v="48"/>
    <x v="1"/>
    <s v="Phone"/>
    <s v="Tier 2"/>
    <s v="TECH-22"/>
    <s v="Junior"/>
    <x v="0"/>
    <s v="Yes"/>
    <n v="4"/>
    <s v="Yes"/>
    <n v="8"/>
    <n v="3.9"/>
    <n v="20.8"/>
    <s v="Yes"/>
    <s v="Good"/>
    <s v="No"/>
    <s v="Sales"/>
    <s v="Tuesday"/>
    <s v="Afternoon"/>
  </r>
  <r>
    <x v="570"/>
    <s v="2024-01-29 11:11:09"/>
    <x v="3"/>
    <s v="2024-02-05 10:53:09"/>
    <n v="167.7"/>
    <n v="7"/>
    <s v="Software Installation"/>
    <s v="Business Apps"/>
    <x v="0"/>
    <n v="240"/>
    <x v="1"/>
    <s v="Phone"/>
    <s v="Tier 1"/>
    <s v="TECH-18"/>
    <s v="Senior"/>
    <x v="0"/>
    <s v="No"/>
    <n v="1"/>
    <s v="No"/>
    <n v="8"/>
    <n v="0.1"/>
    <n v="44.4"/>
    <s v="Yes"/>
    <s v="Poor"/>
    <s v="Yes"/>
    <s v="IT"/>
    <s v="Friday"/>
    <s v="Morning"/>
  </r>
  <r>
    <x v="571"/>
    <s v="2024-06-01 12:12:03"/>
    <x v="10"/>
    <s v="2024-06-08 15:18:03"/>
    <n v="171.1"/>
    <n v="7.1"/>
    <s v="Hardware Issues"/>
    <s v="Docking Station"/>
    <x v="1"/>
    <n v="120"/>
    <x v="0"/>
    <s v="Email"/>
    <s v="Tier 1"/>
    <s v="TECH-7"/>
    <s v="Mid-level"/>
    <x v="0"/>
    <s v="No"/>
    <n v="1"/>
    <s v="No"/>
    <n v="5"/>
    <n v="4.2"/>
    <n v="29.6"/>
    <s v="No"/>
    <s v="Fair"/>
    <s v="Yes"/>
    <s v="Sales"/>
    <s v="Friday"/>
    <s v="Afternoon"/>
  </r>
  <r>
    <x v="572"/>
    <s v="2024-01-07 13:41:07"/>
    <x v="3"/>
    <s v="2024-01-21 00:29:07"/>
    <n v="346.8"/>
    <n v="14.5"/>
    <s v="Software Installation"/>
    <s v="MS Office"/>
    <x v="0"/>
    <n v="240"/>
    <x v="0"/>
    <s v="Portal"/>
    <s v="Tier 1"/>
    <s v="TECH-12"/>
    <s v="Mid-level"/>
    <x v="0"/>
    <s v="No"/>
    <n v="1"/>
    <s v="No"/>
    <n v="5"/>
    <n v="1.3"/>
    <n v="15.4"/>
    <s v="Yes"/>
    <s v="Fair"/>
    <s v="No"/>
    <s v="IT"/>
    <s v="Friday"/>
    <s v="Morning"/>
  </r>
  <r>
    <x v="573"/>
    <s v="2024-06-08 13:37:25"/>
    <x v="10"/>
    <s v="2024-06-14 23:31:25"/>
    <n v="153.9"/>
    <n v="6.4"/>
    <s v="Software Installation"/>
    <s v="Drivers"/>
    <x v="0"/>
    <n v="240"/>
    <x v="1"/>
    <s v="Portal"/>
    <s v="Tier 1"/>
    <s v="TECH-13"/>
    <s v="Senior"/>
    <x v="0"/>
    <s v="No"/>
    <n v="1"/>
    <s v="Yes"/>
    <n v="7"/>
    <n v="1.8"/>
    <n v="5.5"/>
    <s v="No"/>
    <s v="Poor"/>
    <s v="Yes"/>
    <s v="IT"/>
    <s v="Thursday"/>
    <s v="Morning"/>
  </r>
  <r>
    <x v="574"/>
    <s v="2024-06-17 18:27:09"/>
    <x v="10"/>
    <s v="2024-06-24 01:57:09"/>
    <n v="175.5"/>
    <n v="7.3"/>
    <s v="Application Errors"/>
    <s v="Performance"/>
    <x v="0"/>
    <n v="240"/>
    <x v="1"/>
    <s v="Email"/>
    <s v="Tier 1"/>
    <s v="TECH-5"/>
    <s v="Senior"/>
    <x v="0"/>
    <s v="No"/>
    <n v="1"/>
    <s v="No"/>
    <n v="8"/>
    <n v="3.7"/>
    <n v="26.4"/>
    <s v="Yes"/>
    <s v="Poor"/>
    <s v="No"/>
    <s v="Marketing"/>
    <s v="Wednesday"/>
    <s v="Afternoon"/>
  </r>
  <r>
    <x v="575"/>
    <s v="2024-08-14 23:38:29"/>
    <x v="1"/>
    <s v="2024-08-17 00:32:29"/>
    <n v="72.900000000000006"/>
    <n v="3"/>
    <s v="Network Connectivity"/>
    <s v="WiFi Issues"/>
    <x v="1"/>
    <n v="120"/>
    <x v="1"/>
    <s v="Portal"/>
    <s v="Tier 1"/>
    <s v="TECH-5"/>
    <s v="Senior"/>
    <x v="0"/>
    <s v="No"/>
    <n v="1"/>
    <s v="Yes"/>
    <n v="8"/>
    <n v="3.6"/>
    <n v="15.5"/>
    <s v="Yes"/>
    <s v="Poor"/>
    <s v="Yes"/>
    <s v="Executive"/>
    <s v="Monday"/>
    <s v="Morning"/>
  </r>
  <r>
    <x v="576"/>
    <s v="2024-10-29 16:44:14"/>
    <x v="2"/>
    <s v="2024-11-06 22:50:14"/>
    <n v="198.1"/>
    <n v="8.3000000000000007"/>
    <s v="Hardware Issues"/>
    <s v="Printer"/>
    <x v="0"/>
    <n v="240"/>
    <x v="1"/>
    <s v="Portal"/>
    <s v="Tier 2"/>
    <s v="TECH-6"/>
    <s v="Mid-level"/>
    <x v="0"/>
    <s v="Yes"/>
    <n v="1"/>
    <s v="No"/>
    <n v="10"/>
    <n v="0.3"/>
    <n v="20.5"/>
    <s v="Yes"/>
    <s v="Poor"/>
    <s v="No"/>
    <s v="Legal"/>
    <s v="Monday"/>
    <s v="Afternoon"/>
  </r>
  <r>
    <x v="577"/>
    <s v="2024-07-08 21:26:22"/>
    <x v="4"/>
    <s v="2024-07-16 05:56:22"/>
    <n v="176.5"/>
    <n v="7.4"/>
    <s v="Access Requests"/>
    <s v="Admin Rights"/>
    <x v="0"/>
    <n v="240"/>
    <x v="1"/>
    <s v="Portal"/>
    <s v="Tier 1"/>
    <s v="TECH-22"/>
    <s v="Mid-level"/>
    <x v="0"/>
    <s v="No"/>
    <n v="1"/>
    <s v="Yes"/>
    <n v="9"/>
    <n v="1.4"/>
    <n v="11"/>
    <s v="Yes"/>
    <s v="Excellent"/>
    <s v="Yes"/>
    <s v="Sales"/>
    <s v="Wednesday"/>
    <s v="Morning"/>
  </r>
  <r>
    <x v="578"/>
    <s v="2024-10-25 19:17:24"/>
    <x v="2"/>
    <s v="2024-11-01 17:59:24"/>
    <n v="167.7"/>
    <n v="7"/>
    <s v="Application Errors"/>
    <s v="Performance"/>
    <x v="1"/>
    <n v="120"/>
    <x v="0"/>
    <s v="Chat"/>
    <s v="Tier 1"/>
    <s v="TECH-15"/>
    <s v="Mid-level"/>
    <x v="0"/>
    <s v="No"/>
    <n v="1"/>
    <s v="No"/>
    <n v="4"/>
    <n v="2.5"/>
    <n v="32.1"/>
    <s v="Yes"/>
    <s v="Fair"/>
    <s v="Yes"/>
    <s v="Finance"/>
    <s v="Monday"/>
    <s v="Afternoon"/>
  </r>
  <r>
    <x v="579"/>
    <s v="2024-01-24 10:41:24"/>
    <x v="3"/>
    <s v="2024-01-30 21:29:24"/>
    <n v="154.80000000000001"/>
    <n v="6.5"/>
    <s v="Software Installation"/>
    <s v="VPN Client"/>
    <x v="0"/>
    <n v="240"/>
    <x v="1"/>
    <s v="Email"/>
    <s v="Tier 1"/>
    <s v="TECH-20"/>
    <s v="Mid-level"/>
    <x v="0"/>
    <s v="No"/>
    <n v="1"/>
    <s v="No"/>
    <n v="8"/>
    <n v="3.9"/>
    <n v="16.399999999999999"/>
    <s v="Yes"/>
    <s v="Fair"/>
    <s v="Yes"/>
    <s v="Sales"/>
    <s v="Monday"/>
    <s v="Morning"/>
  </r>
  <r>
    <x v="580"/>
    <s v="2024-01-14 07:12:37"/>
    <x v="3"/>
    <s v="2024-02-06 13:42:37"/>
    <n v="558.5"/>
    <n v="23.3"/>
    <s v="Access Requests"/>
    <s v="VPN Access"/>
    <x v="2"/>
    <n v="360"/>
    <x v="0"/>
    <s v="Email"/>
    <s v="Tier 1"/>
    <s v="TECH-6"/>
    <s v="Senior"/>
    <x v="0"/>
    <s v="No"/>
    <n v="1"/>
    <s v="No"/>
    <n v="7"/>
    <n v="2"/>
    <n v="30.4"/>
    <s v="Yes"/>
    <s v="Poor"/>
    <s v="Yes"/>
    <s v="Legal"/>
    <s v="Thursday"/>
    <s v="Afternoon"/>
  </r>
  <r>
    <x v="581"/>
    <s v="2024-06-28 21:18:35"/>
    <x v="10"/>
    <s v="2024-07-04 08:06:35"/>
    <n v="130.80000000000001"/>
    <n v="5.5"/>
    <s v="Network Connectivity"/>
    <s v="WiFi Issues"/>
    <x v="1"/>
    <n v="120"/>
    <x v="0"/>
    <s v="Phone"/>
    <s v="Tier 1"/>
    <s v="TECH-22"/>
    <s v="Junior"/>
    <x v="0"/>
    <s v="No"/>
    <n v="1"/>
    <s v="No"/>
    <n v="3"/>
    <n v="5.2"/>
    <n v="0"/>
    <s v="No"/>
    <s v="Good"/>
    <s v="Yes"/>
    <s v="Legal"/>
    <s v="Thursday"/>
    <s v="Morning"/>
  </r>
  <r>
    <x v="582"/>
    <s v="2024-10-03 20:02:07"/>
    <x v="2"/>
    <s v="2024-10-07 13:14:07"/>
    <n v="89.2"/>
    <n v="3.7"/>
    <s v="Network Connectivity"/>
    <s v="Ethernet"/>
    <x v="1"/>
    <n v="120"/>
    <x v="1"/>
    <s v="Walk-in"/>
    <s v="Tier 1"/>
    <s v="TECH-22"/>
    <s v="Junior"/>
    <x v="0"/>
    <s v="No"/>
    <n v="1"/>
    <s v="No"/>
    <n v="8"/>
    <n v="4.2"/>
    <n v="30.2"/>
    <s v="No"/>
    <s v="Poor"/>
    <s v="Yes"/>
    <s v="Legal"/>
    <s v="Wednesday"/>
    <s v="Morning"/>
  </r>
  <r>
    <x v="583"/>
    <s v="2024-07-14 22:21:06"/>
    <x v="4"/>
    <s v="2024-07-25 17:33:06"/>
    <n v="259.2"/>
    <n v="10.8"/>
    <s v="Other"/>
    <s v="General Inquiry"/>
    <x v="2"/>
    <n v="360"/>
    <x v="1"/>
    <s v="Walk-in"/>
    <s v="Tier 1"/>
    <s v="TECH-23"/>
    <s v="Junior"/>
    <x v="0"/>
    <s v="No"/>
    <n v="1"/>
    <s v="No"/>
    <n v="10"/>
    <n v="2.9"/>
    <n v="0"/>
    <s v="No"/>
    <s v="Good"/>
    <s v="Yes"/>
    <s v="Operations"/>
    <s v="Friday"/>
    <s v="Afternoon"/>
  </r>
  <r>
    <x v="584"/>
    <s v="2024-06-17 23:39:55"/>
    <x v="10"/>
    <s v="2024-07-13 17:33:55"/>
    <n v="617.9"/>
    <n v="25.7"/>
    <s v="Password Reset"/>
    <s v="Windows Password"/>
    <x v="0"/>
    <n v="240"/>
    <x v="0"/>
    <s v="Email"/>
    <s v="Tier 1"/>
    <s v="TECH-25"/>
    <s v="Mid-level"/>
    <x v="1"/>
    <s v="No"/>
    <n v="0"/>
    <s v="No"/>
    <n v="9"/>
    <n v="1.7"/>
    <n v="19.3"/>
    <s v="No"/>
    <s v="Excellent"/>
    <s v="Yes"/>
    <s v="Marketing"/>
    <s v="Thursday"/>
    <s v="Morning"/>
  </r>
  <r>
    <x v="585"/>
    <s v="2024-04-13 18:52:44"/>
    <x v="11"/>
    <s v="2024-04-22 16:52:44"/>
    <n v="214"/>
    <n v="8.9"/>
    <s v="Access Requests"/>
    <s v="Application Access"/>
    <x v="0"/>
    <n v="240"/>
    <x v="1"/>
    <s v="Email"/>
    <s v="Tier 1"/>
    <s v="TECH-21"/>
    <s v="Senior"/>
    <x v="1"/>
    <s v="No"/>
    <n v="0"/>
    <s v="No"/>
    <n v="10"/>
    <n v="4"/>
    <n v="4.7"/>
    <s v="No"/>
    <s v="Fair"/>
    <s v="Yes"/>
    <s v="Marketing"/>
    <s v="Monday"/>
    <s v="Evening"/>
  </r>
  <r>
    <x v="586"/>
    <s v="2024-09-23 19:07:57"/>
    <x v="9"/>
    <s v="2024-10-04 02:31:57"/>
    <n v="271.39999999999998"/>
    <n v="11.3"/>
    <s v="Email/Calendar"/>
    <s v="Cannot Send/Receive"/>
    <x v="2"/>
    <n v="360"/>
    <x v="1"/>
    <s v="Email"/>
    <s v="Tier 1"/>
    <s v="TECH-1"/>
    <s v="Mid-level"/>
    <x v="0"/>
    <s v="No"/>
    <n v="1"/>
    <s v="Yes"/>
    <n v="9"/>
    <n v="4.3"/>
    <n v="43"/>
    <s v="No"/>
    <s v="Fair"/>
    <s v="No"/>
    <s v="Sales"/>
    <s v="Wednesday"/>
    <s v="Morning"/>
  </r>
  <r>
    <x v="587"/>
    <s v="2024-10-03 19:08:28"/>
    <x v="2"/>
    <s v="2024-10-07 01:38:28"/>
    <n v="102.5"/>
    <n v="4.3"/>
    <s v="Email/Calendar"/>
    <s v="Distribution List"/>
    <x v="1"/>
    <n v="120"/>
    <x v="1"/>
    <s v="Portal"/>
    <s v="Tier 1"/>
    <s v="TECH-4"/>
    <s v="Junior"/>
    <x v="0"/>
    <s v="No"/>
    <n v="1"/>
    <s v="No"/>
    <n v="8"/>
    <n v="4.4000000000000004"/>
    <n v="17.100000000000001"/>
    <s v="Yes"/>
    <s v="Fair"/>
    <s v="No"/>
    <s v="Executive"/>
    <s v="Monday"/>
    <s v="Morning"/>
  </r>
  <r>
    <x v="588"/>
    <s v="2024-12-15 15:49:54"/>
    <x v="0"/>
    <s v="2024-12-24 01:55:54"/>
    <n v="226.1"/>
    <n v="9.4"/>
    <s v="Software Installation"/>
    <s v="MS Office"/>
    <x v="2"/>
    <n v="360"/>
    <x v="1"/>
    <s v="Phone"/>
    <s v="Tier 1"/>
    <s v="TECH-13"/>
    <s v="Senior"/>
    <x v="0"/>
    <s v="No"/>
    <n v="1"/>
    <s v="No"/>
    <n v="8"/>
    <n v="2.6"/>
    <n v="26.2"/>
    <s v="No"/>
    <s v="Fair"/>
    <s v="No"/>
    <s v="Finance"/>
    <s v="Thursday"/>
    <s v="Evening"/>
  </r>
  <r>
    <x v="589"/>
    <s v="2024-11-15 22:58:04"/>
    <x v="7"/>
    <s v="2024-11-25 08:46:04"/>
    <n v="225.8"/>
    <n v="9.4"/>
    <s v="Password Reset"/>
    <s v="Email Password"/>
    <x v="2"/>
    <n v="360"/>
    <x v="1"/>
    <s v="Portal"/>
    <s v="Tier 1"/>
    <s v="TECH-21"/>
    <s v="Senior"/>
    <x v="1"/>
    <s v="No"/>
    <n v="0"/>
    <s v="No"/>
    <n v="8"/>
    <n v="1.9"/>
    <n v="34.200000000000003"/>
    <s v="No"/>
    <s v="Excellent"/>
    <s v="No"/>
    <s v="Marketing"/>
    <s v="Friday"/>
    <s v="Afternoon"/>
  </r>
  <r>
    <x v="590"/>
    <s v="2024-05-07 16:05:31"/>
    <x v="8"/>
    <s v="2024-05-21 20:47:31"/>
    <n v="340.7"/>
    <n v="14.2"/>
    <s v="Password Reset"/>
    <s v="Application Password"/>
    <x v="2"/>
    <n v="360"/>
    <x v="1"/>
    <s v="Email"/>
    <s v="Tier 1"/>
    <s v="TECH-22"/>
    <s v="Mid-level"/>
    <x v="0"/>
    <s v="No"/>
    <n v="1"/>
    <s v="No"/>
    <n v="8"/>
    <n v="2.2000000000000002"/>
    <n v="20.6"/>
    <s v="No"/>
    <s v="Excellent"/>
    <s v="Yes"/>
    <s v="Operations"/>
    <s v="Friday"/>
    <s v="Afternoon"/>
  </r>
  <r>
    <x v="591"/>
    <s v="2024-03-01 13:26:52"/>
    <x v="5"/>
    <s v="2024-03-05 01:20:52"/>
    <n v="107.9"/>
    <n v="4.5"/>
    <s v="Hardware Issues"/>
    <s v="Docking Station"/>
    <x v="1"/>
    <n v="120"/>
    <x v="1"/>
    <s v="Email"/>
    <s v="Tier 2"/>
    <s v="TECH-21"/>
    <s v="Junior"/>
    <x v="0"/>
    <s v="Yes"/>
    <n v="2"/>
    <s v="No"/>
    <n v="10"/>
    <n v="6.2"/>
    <n v="0.7"/>
    <s v="Yes"/>
    <s v="Poor"/>
    <s v="No"/>
    <s v="Marketing"/>
    <s v="Thursday"/>
    <s v="Morning"/>
  </r>
  <r>
    <x v="592"/>
    <s v="2024-11-03 14:40:19"/>
    <x v="7"/>
    <s v="2024-11-14 23:52:19"/>
    <n v="273.2"/>
    <n v="11.4"/>
    <s v="Software Installation"/>
    <s v="VPN Client"/>
    <x v="2"/>
    <n v="360"/>
    <x v="1"/>
    <s v="Phone"/>
    <s v="Tier 2"/>
    <s v="TECH-16"/>
    <s v="Senior"/>
    <x v="0"/>
    <s v="Yes"/>
    <n v="3"/>
    <s v="No"/>
    <n v="7"/>
    <n v="4.8"/>
    <n v="7"/>
    <s v="Yes"/>
    <s v="Poor"/>
    <s v="Yes"/>
    <s v="HR"/>
    <s v="Wednesday"/>
    <s v="Afternoon"/>
  </r>
  <r>
    <x v="593"/>
    <s v="2024-01-12 07:20:54"/>
    <x v="3"/>
    <s v="2024-01-15 10:20:54"/>
    <n v="75"/>
    <n v="3.1"/>
    <s v="Application Errors"/>
    <s v="Performance"/>
    <x v="1"/>
    <n v="120"/>
    <x v="1"/>
    <s v="Phone"/>
    <s v="Tier 1"/>
    <s v="TECH-22"/>
    <s v="Senior"/>
    <x v="0"/>
    <s v="No"/>
    <n v="1"/>
    <s v="No"/>
    <n v="9"/>
    <n v="0.1"/>
    <n v="27.3"/>
    <s v="Yes"/>
    <s v="Excellent"/>
    <s v="No"/>
    <s v="IT"/>
    <s v="Thursday"/>
    <s v="Morning"/>
  </r>
  <r>
    <x v="594"/>
    <s v="2024-03-26 06:58:58"/>
    <x v="5"/>
    <s v="2024-05-07 02:28:58"/>
    <n v="1026.5"/>
    <n v="42.8"/>
    <s v="Software Installation"/>
    <s v="Adobe Suite"/>
    <x v="2"/>
    <n v="360"/>
    <x v="0"/>
    <s v="Phone"/>
    <s v="Tier 1"/>
    <s v="TECH-1"/>
    <s v="Senior"/>
    <x v="1"/>
    <s v="No"/>
    <n v="0"/>
    <s v="Yes"/>
    <n v="9"/>
    <n v="2.8"/>
    <n v="18.600000000000001"/>
    <s v="No"/>
    <s v="Good"/>
    <s v="Yes"/>
    <s v="IT"/>
    <s v="Monday"/>
    <s v="Afternoon"/>
  </r>
  <r>
    <x v="595"/>
    <s v="2024-03-13 22:58:20"/>
    <x v="5"/>
    <s v="2024-03-20 05:16:20"/>
    <n v="150.30000000000001"/>
    <n v="6.3"/>
    <s v="Access Requests"/>
    <s v="Application Access"/>
    <x v="0"/>
    <n v="240"/>
    <x v="1"/>
    <s v="Phone"/>
    <s v="Tier 1"/>
    <s v="TECH-23"/>
    <s v="Mid-level"/>
    <x v="0"/>
    <s v="No"/>
    <n v="1"/>
    <s v="No"/>
    <n v="10"/>
    <n v="3.3"/>
    <n v="24.1"/>
    <s v="Yes"/>
    <s v="Good"/>
    <s v="No"/>
    <s v="Executive"/>
    <s v="Friday"/>
    <s v="Morning"/>
  </r>
  <r>
    <x v="596"/>
    <s v="2024-04-01 00:26:01"/>
    <x v="11"/>
    <s v="2024-04-10 13:32:01"/>
    <n v="205.1"/>
    <n v="8.5"/>
    <s v="Access Requests"/>
    <s v="VPN Access"/>
    <x v="0"/>
    <n v="240"/>
    <x v="1"/>
    <s v="Phone"/>
    <s v="Tier 1"/>
    <s v="TECH-10"/>
    <s v="Mid-level"/>
    <x v="1"/>
    <s v="No"/>
    <n v="0"/>
    <s v="No"/>
    <n v="10"/>
    <n v="1.8"/>
    <n v="20"/>
    <s v="Yes"/>
    <s v="Poor"/>
    <s v="No"/>
    <s v="Sales"/>
    <s v="Wednesday"/>
    <s v="Evening"/>
  </r>
  <r>
    <x v="597"/>
    <s v="2024-06-20 06:34:06"/>
    <x v="10"/>
    <s v="2024-07-06 04:04:06"/>
    <n v="381.5"/>
    <n v="15.9"/>
    <s v="Password Reset"/>
    <s v="Windows Password"/>
    <x v="2"/>
    <n v="360"/>
    <x v="0"/>
    <s v="Portal"/>
    <s v="Tier 1"/>
    <s v="TECH-1"/>
    <s v="Senior"/>
    <x v="0"/>
    <s v="No"/>
    <n v="1"/>
    <s v="No"/>
    <n v="8"/>
    <n v="0.1"/>
    <n v="24.7"/>
    <s v="Yes"/>
    <s v="Fair"/>
    <s v="Yes"/>
    <s v="Operations"/>
    <s v="Thursday"/>
    <s v="Morning"/>
  </r>
  <r>
    <x v="598"/>
    <s v="2024-08-24 06:09:36"/>
    <x v="1"/>
    <s v="2024-08-27 15:27:36"/>
    <n v="81.3"/>
    <n v="3.4"/>
    <s v="Application Errors"/>
    <s v="Login Issues"/>
    <x v="1"/>
    <n v="120"/>
    <x v="1"/>
    <s v="Email"/>
    <s v="Tier 1"/>
    <s v="TECH-24"/>
    <s v="Junior"/>
    <x v="0"/>
    <s v="No"/>
    <n v="1"/>
    <s v="Yes"/>
    <n v="10"/>
    <n v="5.4"/>
    <n v="13.4"/>
    <s v="Yes"/>
    <s v="Good"/>
    <s v="Yes"/>
    <s v="Legal"/>
    <s v="Wednesday"/>
    <s v="Evening"/>
  </r>
  <r>
    <x v="599"/>
    <s v="2024-12-07 15:25:03"/>
    <x v="0"/>
    <s v="2024-12-18 02:55:03"/>
    <n v="251.5"/>
    <n v="10.5"/>
    <s v="Email/Calendar"/>
    <s v="Cannot Send/Receive"/>
    <x v="0"/>
    <n v="240"/>
    <x v="0"/>
    <s v="Email"/>
    <s v="Tier 1"/>
    <s v="TECH-12"/>
    <s v="Senior"/>
    <x v="0"/>
    <s v="No"/>
    <n v="1"/>
    <s v="No"/>
    <n v="5"/>
    <n v="3.4"/>
    <n v="42.9"/>
    <s v="Yes"/>
    <s v="Fair"/>
    <s v="No"/>
    <s v="Finance"/>
    <s v="Monday"/>
    <s v="Afternoon"/>
  </r>
  <r>
    <x v="600"/>
    <s v="2024-08-28 01:10:20"/>
    <x v="1"/>
    <s v="2024-09-09 15:10:20"/>
    <n v="278"/>
    <n v="11.6"/>
    <s v="Access Requests"/>
    <s v="VPN Access"/>
    <x v="2"/>
    <n v="360"/>
    <x v="1"/>
    <s v="Email"/>
    <s v="Tier 1"/>
    <s v="TECH-16"/>
    <s v="Junior"/>
    <x v="1"/>
    <s v="No"/>
    <n v="0"/>
    <s v="No"/>
    <n v="10"/>
    <n v="1.5"/>
    <n v="0"/>
    <s v="No"/>
    <s v="Fair"/>
    <s v="No"/>
    <s v="Marketing"/>
    <s v="Thursday"/>
    <s v="Evening"/>
  </r>
  <r>
    <x v="601"/>
    <s v="2024-12-29 00:47:09"/>
    <x v="0"/>
    <s v="2025-01-08 04:35:09"/>
    <n v="219.8"/>
    <n v="9.1999999999999993"/>
    <s v="Hardware Issues"/>
    <s v="Printer"/>
    <x v="0"/>
    <n v="240"/>
    <x v="1"/>
    <s v="Phone"/>
    <s v="Tier 1"/>
    <s v="TECH-3"/>
    <s v="Mid-level"/>
    <x v="0"/>
    <s v="No"/>
    <n v="1"/>
    <s v="No"/>
    <n v="9"/>
    <n v="2.2000000000000002"/>
    <n v="20"/>
    <s v="No"/>
    <s v="Poor"/>
    <s v="No"/>
    <s v="Operations"/>
    <s v="Wednesday"/>
    <s v="Morning"/>
  </r>
  <r>
    <x v="602"/>
    <s v="2024-03-05 06:46:41"/>
    <x v="5"/>
    <s v="2024-03-10 20:52:41"/>
    <n v="134.1"/>
    <n v="5.6"/>
    <s v="Application Errors"/>
    <s v="Features Not Working"/>
    <x v="1"/>
    <n v="120"/>
    <x v="0"/>
    <s v="Phone"/>
    <s v="Tier 2"/>
    <s v="TECH-6"/>
    <s v="Mid-level"/>
    <x v="0"/>
    <s v="Yes"/>
    <n v="1"/>
    <s v="Yes"/>
    <n v="5"/>
    <n v="3.8"/>
    <n v="21.4"/>
    <s v="No"/>
    <s v="Good"/>
    <s v="Yes"/>
    <s v="IT"/>
    <s v="Monday"/>
    <s v="Morning"/>
  </r>
  <r>
    <x v="603"/>
    <s v="2024-07-02 17:09:56"/>
    <x v="4"/>
    <s v="2024-07-13 09:21:56"/>
    <n v="256.2"/>
    <n v="10.7"/>
    <s v="Password Reset"/>
    <s v="Windows Password"/>
    <x v="2"/>
    <n v="360"/>
    <x v="1"/>
    <s v="Walk-in"/>
    <s v="Tier 1"/>
    <s v="TECH-20"/>
    <s v="Mid-level"/>
    <x v="1"/>
    <s v="No"/>
    <n v="0"/>
    <s v="No"/>
    <n v="10"/>
    <n v="0.8"/>
    <n v="28.5"/>
    <s v="No"/>
    <s v="Good"/>
    <s v="Yes"/>
    <s v="Sales"/>
    <s v="Wednesday"/>
    <s v="Morning"/>
  </r>
  <r>
    <x v="604"/>
    <s v="2024-09-17 10:20:34"/>
    <x v="9"/>
    <s v="2024-09-28 02:02:34"/>
    <n v="279.7"/>
    <n v="11.7"/>
    <s v="Access Requests"/>
    <s v="File Share"/>
    <x v="0"/>
    <n v="240"/>
    <x v="0"/>
    <s v="Email"/>
    <s v="Tier 2"/>
    <s v="TECH-3"/>
    <s v="Junior"/>
    <x v="0"/>
    <s v="Yes"/>
    <n v="1"/>
    <s v="No"/>
    <n v="7"/>
    <n v="4"/>
    <n v="0"/>
    <s v="Yes"/>
    <s v="Excellent"/>
    <s v="Yes"/>
    <s v="Marketing"/>
    <s v="Tuesday"/>
    <s v="Morning"/>
  </r>
  <r>
    <x v="605"/>
    <s v="2024-05-21 04:02:53"/>
    <x v="8"/>
    <s v="2024-06-01 05:32:53"/>
    <n v="265.5"/>
    <n v="11.1"/>
    <s v="Password Reset"/>
    <s v="Account Unlock"/>
    <x v="2"/>
    <n v="360"/>
    <x v="1"/>
    <s v="Phone"/>
    <s v="Tier 1"/>
    <s v="TECH-14"/>
    <s v="Senior"/>
    <x v="0"/>
    <s v="No"/>
    <n v="1"/>
    <s v="No"/>
    <n v="7"/>
    <n v="6.8"/>
    <n v="21.2"/>
    <s v="No"/>
    <s v="Good"/>
    <s v="Yes"/>
    <s v="HR"/>
    <s v="Thursday"/>
    <s v="Afternoon"/>
  </r>
  <r>
    <x v="606"/>
    <s v="2024-08-10 03:17:36"/>
    <x v="1"/>
    <s v="2024-08-19 16:29:36"/>
    <n v="229.2"/>
    <n v="9.5"/>
    <s v="Password Reset"/>
    <s v="Account Unlock"/>
    <x v="2"/>
    <n v="360"/>
    <x v="1"/>
    <s v="Portal"/>
    <s v="Tier 1"/>
    <s v="TECH-24"/>
    <s v="Mid-level"/>
    <x v="1"/>
    <s v="No"/>
    <n v="0"/>
    <s v="No"/>
    <n v="8"/>
    <n v="3"/>
    <n v="23.1"/>
    <s v="No"/>
    <s v="Good"/>
    <s v="No"/>
    <s v="HR"/>
    <s v="Friday"/>
    <s v="Morning"/>
  </r>
  <r>
    <x v="607"/>
    <s v="2024-11-05 21:58:45"/>
    <x v="7"/>
    <s v="2024-12-17 12:10:45"/>
    <n v="998.2"/>
    <n v="41.6"/>
    <s v="Password Reset"/>
    <s v="Account Unlock"/>
    <x v="2"/>
    <n v="360"/>
    <x v="0"/>
    <s v="Email"/>
    <s v="Tier 1"/>
    <s v="TECH-19"/>
    <s v="Senior"/>
    <x v="1"/>
    <s v="No"/>
    <n v="0"/>
    <s v="No"/>
    <n v="8"/>
    <n v="3"/>
    <n v="0"/>
    <s v="No"/>
    <s v="Fair"/>
    <s v="Yes"/>
    <s v="Executive"/>
    <s v="Thursday"/>
    <s v="Morning"/>
  </r>
  <r>
    <x v="608"/>
    <s v="2024-11-24 18:55:45"/>
    <x v="7"/>
    <s v="2024-12-08 07:37:45"/>
    <n v="324.7"/>
    <n v="13.5"/>
    <s v="Software Installation"/>
    <s v="Adobe Suite"/>
    <x v="2"/>
    <n v="360"/>
    <x v="1"/>
    <s v="Portal"/>
    <s v="Tier 1"/>
    <s v="TECH-18"/>
    <s v="Mid-level"/>
    <x v="1"/>
    <s v="No"/>
    <n v="0"/>
    <s v="No"/>
    <n v="8"/>
    <n v="2.1"/>
    <n v="13.2"/>
    <s v="Yes"/>
    <s v="Poor"/>
    <s v="Yes"/>
    <s v="Sales"/>
    <s v="Wednesday"/>
    <s v="Morning"/>
  </r>
  <r>
    <x v="609"/>
    <s v="2024-05-20 12:20:07"/>
    <x v="8"/>
    <s v="2024-05-24 21:32:07"/>
    <n v="105.2"/>
    <n v="4.4000000000000004"/>
    <s v="Software Installation"/>
    <s v="MS Office"/>
    <x v="1"/>
    <n v="120"/>
    <x v="1"/>
    <s v="Portal"/>
    <s v="Tier 2"/>
    <s v="TECH-20"/>
    <s v="Senior"/>
    <x v="0"/>
    <s v="Yes"/>
    <n v="1"/>
    <s v="No"/>
    <n v="9"/>
    <n v="2.7"/>
    <n v="29.1"/>
    <s v="Yes"/>
    <s v="Fair"/>
    <s v="Yes"/>
    <s v="Sales"/>
    <s v="Thursday"/>
    <s v="Morning"/>
  </r>
  <r>
    <x v="610"/>
    <s v="2024-02-22 20:11:18"/>
    <x v="6"/>
    <s v="2024-02-27 09:35:18"/>
    <n v="109.4"/>
    <n v="4.5999999999999996"/>
    <s v="Hardware Issues"/>
    <s v="Keyboard/Mouse"/>
    <x v="1"/>
    <n v="120"/>
    <x v="1"/>
    <s v="Phone"/>
    <s v="Tier 2"/>
    <s v="TECH-17"/>
    <s v="Junior"/>
    <x v="0"/>
    <s v="Yes"/>
    <n v="3"/>
    <s v="No"/>
    <n v="10"/>
    <n v="5"/>
    <n v="25.4"/>
    <s v="No"/>
    <s v="Poor"/>
    <s v="Yes"/>
    <s v="Sales"/>
    <s v="Wednesday"/>
    <s v="Morning"/>
  </r>
  <r>
    <x v="611"/>
    <s v="2024-07-04 15:52:22"/>
    <x v="4"/>
    <s v="2024-07-09 03:52:22"/>
    <n v="108"/>
    <n v="4.5"/>
    <s v="Software Installation"/>
    <s v="Drivers"/>
    <x v="1"/>
    <n v="120"/>
    <x v="1"/>
    <s v="Email"/>
    <s v="Tier 2"/>
    <s v="TECH-22"/>
    <s v="Mid-level"/>
    <x v="0"/>
    <s v="Yes"/>
    <n v="4"/>
    <s v="No"/>
    <n v="7"/>
    <n v="2.4"/>
    <n v="44.1"/>
    <s v="Yes"/>
    <s v="Good"/>
    <s v="No"/>
    <s v="Legal"/>
    <s v="Friday"/>
    <s v="Afternoon"/>
  </r>
  <r>
    <x v="612"/>
    <s v="2024-07-18 04:45:05"/>
    <x v="4"/>
    <s v="2024-07-22 10:09:05"/>
    <n v="101.4"/>
    <n v="4.2"/>
    <s v="Access Requests"/>
    <s v="VPN Access"/>
    <x v="1"/>
    <n v="120"/>
    <x v="1"/>
    <s v="Email"/>
    <s v="Tier 2"/>
    <s v="TECH-12"/>
    <s v="Senior"/>
    <x v="0"/>
    <s v="Yes"/>
    <n v="1"/>
    <s v="No"/>
    <n v="8"/>
    <n v="0.8"/>
    <n v="38.9"/>
    <s v="No"/>
    <s v="Fair"/>
    <s v="Yes"/>
    <s v="Marketing"/>
    <s v="Tuesday"/>
    <s v="Evening"/>
  </r>
  <r>
    <x v="613"/>
    <s v="2024-02-24 04:56:37"/>
    <x v="6"/>
    <s v="2024-03-09 22:14:37"/>
    <n v="353.3"/>
    <n v="14.7"/>
    <s v="Access Requests"/>
    <s v="File Share"/>
    <x v="0"/>
    <n v="240"/>
    <x v="0"/>
    <s v="Phone"/>
    <s v="Tier 1"/>
    <s v="TECH-1"/>
    <s v="Junior"/>
    <x v="0"/>
    <s v="No"/>
    <n v="1"/>
    <s v="No"/>
    <n v="6"/>
    <n v="8.4"/>
    <n v="10.8"/>
    <s v="No"/>
    <s v="Poor"/>
    <s v="No"/>
    <s v="Marketing"/>
    <s v="Tuesday"/>
    <s v="Afternoon"/>
  </r>
  <r>
    <x v="614"/>
    <s v="2024-12-07 16:46:46"/>
    <x v="0"/>
    <s v="2024-12-11 14:22:46"/>
    <n v="93.6"/>
    <n v="3.9"/>
    <s v="Hardware Issues"/>
    <s v="Docking Station"/>
    <x v="1"/>
    <n v="120"/>
    <x v="1"/>
    <s v="Email"/>
    <s v="Tier 2"/>
    <s v="TECH-6"/>
    <s v="Junior"/>
    <x v="0"/>
    <s v="Yes"/>
    <n v="1"/>
    <s v="No"/>
    <n v="7"/>
    <n v="1.3"/>
    <n v="8.9"/>
    <s v="No"/>
    <s v="Fair"/>
    <s v="Yes"/>
    <s v="Finance"/>
    <s v="Monday"/>
    <s v="Afternoon"/>
  </r>
  <r>
    <x v="615"/>
    <s v="2024-02-20 02:23:53"/>
    <x v="6"/>
    <s v="2024-02-26 02:29:53"/>
    <n v="144.1"/>
    <n v="6"/>
    <s v="Password Reset"/>
    <s v="Windows Password"/>
    <x v="1"/>
    <n v="120"/>
    <x v="0"/>
    <s v="Email"/>
    <s v="Tier 1"/>
    <s v="TECH-25"/>
    <s v="Senior"/>
    <x v="1"/>
    <s v="No"/>
    <n v="0"/>
    <s v="No"/>
    <n v="7"/>
    <n v="1.6"/>
    <n v="31.5"/>
    <s v="Yes"/>
    <s v="Fair"/>
    <s v="Yes"/>
    <s v="Executive"/>
    <s v="Thursday"/>
    <s v="Morning"/>
  </r>
  <r>
    <x v="616"/>
    <s v="2024-08-19 00:21:29"/>
    <x v="1"/>
    <s v="2024-08-27 01:27:29"/>
    <n v="193.1"/>
    <n v="8"/>
    <s v="Email/Calendar"/>
    <s v="Cannot Send/Receive"/>
    <x v="0"/>
    <n v="240"/>
    <x v="1"/>
    <s v="Phone"/>
    <s v="Tier 1"/>
    <s v="TECH-9"/>
    <s v="Senior"/>
    <x v="0"/>
    <s v="No"/>
    <n v="1"/>
    <s v="No"/>
    <n v="8"/>
    <n v="1.3"/>
    <n v="6.4"/>
    <s v="Yes"/>
    <s v="Fair"/>
    <s v="No"/>
    <s v="Executive"/>
    <s v="Wednesday"/>
    <s v="Morning"/>
  </r>
  <r>
    <x v="617"/>
    <s v="2024-08-14 18:38:28"/>
    <x v="1"/>
    <s v="2024-08-27 18:50:28"/>
    <n v="312.2"/>
    <n v="13"/>
    <s v="Other"/>
    <s v="General Inquiry"/>
    <x v="2"/>
    <n v="360"/>
    <x v="1"/>
    <s v="Email"/>
    <s v="Tier 1"/>
    <s v="TECH-22"/>
    <s v="Mid-level"/>
    <x v="1"/>
    <s v="No"/>
    <n v="0"/>
    <s v="Yes"/>
    <n v="10"/>
    <n v="1.1000000000000001"/>
    <n v="18.899999999999999"/>
    <s v="Yes"/>
    <s v="Fair"/>
    <s v="Yes"/>
    <s v="IT"/>
    <s v="Tuesday"/>
    <s v="Morning"/>
  </r>
  <r>
    <x v="618"/>
    <s v="2024-11-02 07:20:41"/>
    <x v="7"/>
    <s v="2024-11-10 09:02:41"/>
    <n v="193.7"/>
    <n v="8.1"/>
    <s v="Application Errors"/>
    <s v="Features Not Working"/>
    <x v="0"/>
    <n v="240"/>
    <x v="1"/>
    <s v="Phone"/>
    <s v="Tier 2"/>
    <s v="TECH-25"/>
    <s v="Junior"/>
    <x v="0"/>
    <s v="Yes"/>
    <n v="1"/>
    <s v="No"/>
    <n v="7"/>
    <n v="5"/>
    <n v="14.5"/>
    <s v="No"/>
    <s v="Poor"/>
    <s v="No"/>
    <s v="Marketing"/>
    <s v="Friday"/>
    <s v="Morning"/>
  </r>
  <r>
    <x v="619"/>
    <s v="2024-10-10 00:00:36"/>
    <x v="2"/>
    <s v="2024-10-29 19:30:36"/>
    <n v="452.5"/>
    <n v="18.899999999999999"/>
    <s v="Access Requests"/>
    <s v="Admin Rights"/>
    <x v="0"/>
    <n v="240"/>
    <x v="0"/>
    <s v="Walk-in"/>
    <s v="Tier 1"/>
    <s v="TECH-10"/>
    <s v="Senior"/>
    <x v="1"/>
    <s v="No"/>
    <n v="0"/>
    <s v="Yes"/>
    <n v="7"/>
    <n v="3.3"/>
    <n v="17.2"/>
    <s v="Yes"/>
    <s v="Good"/>
    <s v="No"/>
    <s v="Operations"/>
    <s v="Wednesday"/>
    <s v="Afternoon"/>
  </r>
  <r>
    <x v="620"/>
    <s v="2024-06-11 18:47:49"/>
    <x v="10"/>
    <s v="2024-07-10 05:59:49"/>
    <n v="683.2"/>
    <n v="28.5"/>
    <s v="Software Installation"/>
    <s v="MS Office"/>
    <x v="0"/>
    <n v="240"/>
    <x v="0"/>
    <s v="Email"/>
    <s v="Tier 1"/>
    <s v="TECH-14"/>
    <s v="Mid-level"/>
    <x v="0"/>
    <s v="No"/>
    <n v="1"/>
    <s v="No"/>
    <n v="5"/>
    <n v="1.7"/>
    <n v="22.7"/>
    <s v="Yes"/>
    <s v="Good"/>
    <s v="Yes"/>
    <s v="Finance"/>
    <s v="Tuesday"/>
    <s v="Evening"/>
  </r>
  <r>
    <x v="621"/>
    <s v="2024-10-02 21:56:43"/>
    <x v="2"/>
    <s v="2024-10-16 07:26:43"/>
    <n v="321.5"/>
    <n v="13.4"/>
    <s v="Password Reset"/>
    <s v="Application Password"/>
    <x v="2"/>
    <n v="360"/>
    <x v="1"/>
    <s v="Walk-in"/>
    <s v="Tier 1"/>
    <s v="TECH-5"/>
    <s v="Junior"/>
    <x v="1"/>
    <s v="No"/>
    <n v="0"/>
    <s v="No"/>
    <n v="9"/>
    <n v="1.5"/>
    <n v="9.8000000000000007"/>
    <s v="Yes"/>
    <s v="Poor"/>
    <s v="No"/>
    <s v="IT"/>
    <s v="Thursday"/>
    <s v="Morning"/>
  </r>
  <r>
    <x v="622"/>
    <s v="2024-06-12 22:06:43"/>
    <x v="10"/>
    <s v="2024-06-16 11:06:43"/>
    <n v="85"/>
    <n v="3.5"/>
    <s v="Application Errors"/>
    <s v="Features Not Working"/>
    <x v="1"/>
    <n v="120"/>
    <x v="1"/>
    <s v="Phone"/>
    <s v="Tier 1"/>
    <s v="TECH-19"/>
    <s v="Junior"/>
    <x v="0"/>
    <s v="No"/>
    <n v="1"/>
    <s v="No"/>
    <n v="5"/>
    <n v="4.0999999999999996"/>
    <n v="6"/>
    <s v="Yes"/>
    <s v="Good"/>
    <s v="Yes"/>
    <s v="Sales"/>
    <s v="Thursday"/>
    <s v="Afternoon"/>
  </r>
  <r>
    <x v="623"/>
    <s v="2024-11-20 05:21:31"/>
    <x v="7"/>
    <s v="2024-11-29 07:27:31"/>
    <n v="218.1"/>
    <n v="9.1"/>
    <s v="Access Requests"/>
    <s v="VPN Access"/>
    <x v="2"/>
    <n v="360"/>
    <x v="1"/>
    <s v="Phone"/>
    <s v="Tier 1"/>
    <s v="TECH-15"/>
    <s v="Junior"/>
    <x v="0"/>
    <s v="No"/>
    <n v="1"/>
    <s v="Yes"/>
    <n v="6"/>
    <n v="3.9"/>
    <n v="29.1"/>
    <s v="Yes"/>
    <s v="Poor"/>
    <s v="Yes"/>
    <s v="Finance"/>
    <s v="Friday"/>
    <s v="Morning"/>
  </r>
  <r>
    <x v="624"/>
    <s v="2024-07-04 02:50:33"/>
    <x v="4"/>
    <s v="2024-07-09 18:20:33"/>
    <n v="111.5"/>
    <n v="4.5999999999999996"/>
    <s v="Application Errors"/>
    <s v="Login Issues"/>
    <x v="3"/>
    <n v="48"/>
    <x v="0"/>
    <s v="Phone"/>
    <s v="Tier 2"/>
    <s v="TECH-19"/>
    <s v="Mid-level"/>
    <x v="0"/>
    <s v="Yes"/>
    <n v="4"/>
    <s v="No"/>
    <n v="2"/>
    <n v="0.1"/>
    <n v="37.6"/>
    <s v="Yes"/>
    <s v="Poor"/>
    <s v="No"/>
    <s v="HR"/>
    <s v="Thursday"/>
    <s v="Morning"/>
  </r>
  <r>
    <x v="625"/>
    <s v="2024-05-02 09:27:36"/>
    <x v="8"/>
    <s v="2024-05-04 18:09:36"/>
    <n v="56.7"/>
    <n v="2.4"/>
    <s v="Password Reset"/>
    <s v="Account Unlock"/>
    <x v="3"/>
    <n v="48"/>
    <x v="0"/>
    <s v="Email"/>
    <s v="Tier 1"/>
    <s v="TECH-23"/>
    <s v="Junior"/>
    <x v="1"/>
    <s v="No"/>
    <n v="0"/>
    <s v="Yes"/>
    <n v="7"/>
    <n v="1.8"/>
    <n v="35.299999999999997"/>
    <s v="No"/>
    <s v="Fair"/>
    <s v="Yes"/>
    <s v="HR"/>
    <s v="Friday"/>
    <s v="Evening"/>
  </r>
  <r>
    <x v="626"/>
    <s v="2024-01-18 19:22:55"/>
    <x v="3"/>
    <s v="2024-01-20 12:28:55"/>
    <n v="41.1"/>
    <n v="1.7"/>
    <s v="Access Requests"/>
    <s v="Application Access"/>
    <x v="3"/>
    <n v="48"/>
    <x v="1"/>
    <s v="Phone"/>
    <s v="Tier 2"/>
    <s v="TECH-22"/>
    <s v="Mid-level"/>
    <x v="0"/>
    <s v="Yes"/>
    <n v="1"/>
    <s v="No"/>
    <n v="7"/>
    <n v="1.6"/>
    <n v="21.7"/>
    <s v="No"/>
    <s v="Fair"/>
    <s v="Yes"/>
    <s v="Legal"/>
    <s v="Thursday"/>
    <s v="Morning"/>
  </r>
  <r>
    <x v="627"/>
    <s v="2024-05-08 06:22:55"/>
    <x v="8"/>
    <s v="2024-05-21 19:34:55"/>
    <n v="325.2"/>
    <n v="13.6"/>
    <s v="Hardware Issues"/>
    <s v="Desktop"/>
    <x v="0"/>
    <n v="240"/>
    <x v="0"/>
    <s v="Walk-in"/>
    <s v="Tier 1"/>
    <s v="TECH-21"/>
    <s v="Mid-level"/>
    <x v="0"/>
    <s v="No"/>
    <n v="1"/>
    <s v="No"/>
    <n v="9"/>
    <n v="4.4000000000000004"/>
    <n v="6.7"/>
    <s v="Yes"/>
    <s v="Fair"/>
    <s v="No"/>
    <s v="Sales"/>
    <s v="Thursday"/>
    <s v="Morning"/>
  </r>
  <r>
    <x v="628"/>
    <s v="2024-06-11 07:42:02"/>
    <x v="10"/>
    <s v="2024-06-14 13:06:02"/>
    <n v="77.400000000000006"/>
    <n v="3.2"/>
    <s v="Access Requests"/>
    <s v="File Share"/>
    <x v="1"/>
    <n v="120"/>
    <x v="1"/>
    <s v="Walk-in"/>
    <s v="Tier 2"/>
    <s v="TECH-8"/>
    <s v="Mid-level"/>
    <x v="0"/>
    <s v="Yes"/>
    <n v="4"/>
    <s v="Yes"/>
    <n v="9"/>
    <n v="2.7"/>
    <n v="29.3"/>
    <s v="Yes"/>
    <s v="Good"/>
    <s v="Yes"/>
    <s v="Operations"/>
    <s v="Monday"/>
    <s v="Afternoon"/>
  </r>
  <r>
    <x v="629"/>
    <s v="2024-09-02 20:16:14"/>
    <x v="9"/>
    <s v="2024-09-09 21:46:14"/>
    <n v="169.5"/>
    <n v="7.1"/>
    <s v="Password Reset"/>
    <s v="Windows Password"/>
    <x v="0"/>
    <n v="240"/>
    <x v="1"/>
    <s v="Phone"/>
    <s v="Tier 1"/>
    <s v="TECH-9"/>
    <s v="Senior"/>
    <x v="1"/>
    <s v="No"/>
    <n v="0"/>
    <s v="No"/>
    <n v="10"/>
    <n v="2.2000000000000002"/>
    <n v="18.3"/>
    <s v="Yes"/>
    <s v="Poor"/>
    <s v="Yes"/>
    <s v="Operations"/>
    <s v="Wednesday"/>
    <s v="Morning"/>
  </r>
  <r>
    <x v="630"/>
    <s v="2024-05-18 22:12:02"/>
    <x v="8"/>
    <s v="2024-06-09 23:42:02"/>
    <n v="529.5"/>
    <n v="22.1"/>
    <s v="Access Requests"/>
    <s v="Application Access"/>
    <x v="0"/>
    <n v="240"/>
    <x v="0"/>
    <s v="Email"/>
    <s v="Tier 1"/>
    <s v="TECH-7"/>
    <s v="Mid-level"/>
    <x v="0"/>
    <s v="No"/>
    <n v="1"/>
    <s v="No"/>
    <n v="4"/>
    <n v="2.8"/>
    <n v="7.8"/>
    <s v="Yes"/>
    <s v="Fair"/>
    <s v="No"/>
    <s v="IT"/>
    <s v="Tuesday"/>
    <s v="Afternoon"/>
  </r>
  <r>
    <x v="631"/>
    <s v="2024-08-17 09:14:42"/>
    <x v="1"/>
    <s v="2024-08-21 13:02:42"/>
    <n v="99.8"/>
    <n v="4.2"/>
    <s v="Hardware Issues"/>
    <s v="Monitor"/>
    <x v="1"/>
    <n v="120"/>
    <x v="1"/>
    <s v="Phone"/>
    <s v="Tier 2"/>
    <s v="TECH-1"/>
    <s v="Mid-level"/>
    <x v="0"/>
    <s v="Yes"/>
    <n v="4"/>
    <s v="Yes"/>
    <n v="8"/>
    <n v="2.1"/>
    <n v="31.5"/>
    <s v="Yes"/>
    <s v="Good"/>
    <s v="Yes"/>
    <s v="Executive"/>
    <s v="Tuesday"/>
    <s v="Morning"/>
  </r>
  <r>
    <x v="632"/>
    <s v="2024-02-02 19:25:23"/>
    <x v="6"/>
    <s v="2024-03-16 11:25:23"/>
    <n v="1024"/>
    <n v="42.7"/>
    <s v="Password Reset"/>
    <s v="Windows Password"/>
    <x v="2"/>
    <n v="360"/>
    <x v="0"/>
    <s v="Email"/>
    <s v="Tier 1"/>
    <s v="TECH-17"/>
    <s v="Mid-level"/>
    <x v="0"/>
    <s v="No"/>
    <n v="1"/>
    <s v="No"/>
    <n v="7"/>
    <n v="1.7"/>
    <n v="0.9"/>
    <s v="No"/>
    <s v="Good"/>
    <s v="No"/>
    <s v="Finance"/>
    <s v="Tuesday"/>
    <s v="Morning"/>
  </r>
  <r>
    <x v="633"/>
    <s v="2024-08-17 12:50:45"/>
    <x v="1"/>
    <s v="2024-08-20 18:14:45"/>
    <n v="77.400000000000006"/>
    <n v="3.2"/>
    <s v="Access Requests"/>
    <s v="VPN Access"/>
    <x v="1"/>
    <n v="120"/>
    <x v="1"/>
    <s v="Phone"/>
    <s v="Tier 1"/>
    <s v="TECH-21"/>
    <s v="Junior"/>
    <x v="0"/>
    <s v="No"/>
    <n v="1"/>
    <s v="Yes"/>
    <n v="9"/>
    <n v="2.2000000000000002"/>
    <n v="0"/>
    <s v="Yes"/>
    <s v="Fair"/>
    <s v="Yes"/>
    <s v="IT"/>
    <s v="Friday"/>
    <s v="Evening"/>
  </r>
  <r>
    <x v="634"/>
    <s v="2024-08-11 01:18:24"/>
    <x v="1"/>
    <s v="2024-08-16 07:06:24"/>
    <n v="101.8"/>
    <n v="4.2"/>
    <s v="Access Requests"/>
    <s v="Admin Rights"/>
    <x v="1"/>
    <n v="120"/>
    <x v="1"/>
    <s v="Walk-in"/>
    <s v="Tier 1"/>
    <s v="TECH-5"/>
    <s v="Senior"/>
    <x v="1"/>
    <s v="No"/>
    <n v="0"/>
    <s v="No"/>
    <n v="10"/>
    <n v="6"/>
    <n v="22.6"/>
    <s v="No"/>
    <s v="Good"/>
    <s v="No"/>
    <s v="HR"/>
    <s v="Thursday"/>
    <s v="Afternoon"/>
  </r>
  <r>
    <x v="635"/>
    <s v="2024-11-27 16:08:58"/>
    <x v="7"/>
    <s v="2024-12-08 11:50:58"/>
    <n v="259.7"/>
    <n v="10.8"/>
    <s v="Access Requests"/>
    <s v="VPN Access"/>
    <x v="2"/>
    <n v="360"/>
    <x v="1"/>
    <s v="Email"/>
    <s v="Tier 1"/>
    <s v="TECH-7"/>
    <s v="Mid-level"/>
    <x v="0"/>
    <s v="No"/>
    <n v="1"/>
    <s v="No"/>
    <n v="8"/>
    <n v="3.5"/>
    <n v="6.6"/>
    <s v="Yes"/>
    <s v="Good"/>
    <s v="Yes"/>
    <s v="Operations"/>
    <s v="Thursday"/>
    <s v="Morning"/>
  </r>
  <r>
    <x v="636"/>
    <s v="2024-05-31 03:41:55"/>
    <x v="8"/>
    <s v="2024-06-10 14:23:55"/>
    <n v="250.7"/>
    <n v="10.4"/>
    <s v="Access Requests"/>
    <s v="VPN Access"/>
    <x v="1"/>
    <n v="120"/>
    <x v="0"/>
    <s v="Email"/>
    <s v="Tier 1"/>
    <s v="TECH-14"/>
    <s v="Mid-level"/>
    <x v="1"/>
    <s v="No"/>
    <n v="0"/>
    <s v="No"/>
    <n v="6"/>
    <n v="5.8"/>
    <n v="12.6"/>
    <s v="No"/>
    <s v="Good"/>
    <s v="Yes"/>
    <s v="HR"/>
    <s v="Tuesday"/>
    <s v="Afternoon"/>
  </r>
  <r>
    <x v="637"/>
    <s v="2024-05-09 07:24:54"/>
    <x v="8"/>
    <s v="2024-05-29 02:06:54"/>
    <n v="498.7"/>
    <n v="20.8"/>
    <s v="Email/Calendar"/>
    <s v="Distribution List"/>
    <x v="0"/>
    <n v="240"/>
    <x v="0"/>
    <s v="Email"/>
    <s v="Tier 1"/>
    <s v="TECH-13"/>
    <s v="Mid-level"/>
    <x v="0"/>
    <s v="No"/>
    <n v="1"/>
    <s v="No"/>
    <n v="5"/>
    <n v="2.7"/>
    <n v="23"/>
    <s v="Yes"/>
    <s v="Fair"/>
    <s v="Yes"/>
    <s v="Sales"/>
    <s v="Friday"/>
    <s v="Afternoon"/>
  </r>
  <r>
    <x v="638"/>
    <s v="2024-06-09 05:14:20"/>
    <x v="10"/>
    <s v="2024-06-15 23:38:20"/>
    <n v="162.4"/>
    <n v="6.8"/>
    <s v="Hardware Issues"/>
    <s v="Monitor"/>
    <x v="1"/>
    <n v="120"/>
    <x v="0"/>
    <s v="Phone"/>
    <s v="Tier 1"/>
    <s v="TECH-22"/>
    <s v="Mid-level"/>
    <x v="1"/>
    <s v="No"/>
    <n v="0"/>
    <s v="No"/>
    <n v="5"/>
    <n v="2.4"/>
    <n v="13.8"/>
    <s v="No"/>
    <s v="Good"/>
    <s v="Yes"/>
    <s v="Marketing"/>
    <s v="Tuesday"/>
    <s v="Morning"/>
  </r>
  <r>
    <x v="639"/>
    <s v="2024-02-03 13:39:11"/>
    <x v="6"/>
    <s v="2024-02-09 23:21:11"/>
    <n v="153.69999999999999"/>
    <n v="6.4"/>
    <s v="Other"/>
    <s v="Training Request"/>
    <x v="1"/>
    <n v="120"/>
    <x v="0"/>
    <s v="Walk-in"/>
    <s v="Tier 1"/>
    <s v="TECH-1"/>
    <s v="Mid-level"/>
    <x v="1"/>
    <s v="No"/>
    <n v="0"/>
    <s v="No"/>
    <n v="8"/>
    <n v="0.1"/>
    <n v="29"/>
    <s v="Yes"/>
    <s v="Poor"/>
    <s v="No"/>
    <s v="Legal"/>
    <s v="Tuesday"/>
    <s v="Evening"/>
  </r>
  <r>
    <x v="640"/>
    <s v="2024-05-06 05:12:56"/>
    <x v="8"/>
    <s v="2024-05-07 14:18:56"/>
    <n v="33.1"/>
    <n v="1.4"/>
    <s v="Network Connectivity"/>
    <s v="Slow Network"/>
    <x v="3"/>
    <n v="48"/>
    <x v="1"/>
    <s v="Phone"/>
    <s v="Tier 1"/>
    <s v="TECH-11"/>
    <s v="Junior"/>
    <x v="0"/>
    <s v="No"/>
    <n v="1"/>
    <s v="No"/>
    <n v="6"/>
    <n v="2.5"/>
    <n v="12.7"/>
    <s v="Yes"/>
    <s v="Fair"/>
    <s v="Yes"/>
    <s v="HR"/>
    <s v="Friday"/>
    <s v="Afternoon"/>
  </r>
  <r>
    <x v="641"/>
    <s v="2024-09-14 12:34:58"/>
    <x v="9"/>
    <s v="2024-09-28 12:16:58"/>
    <n v="335.7"/>
    <n v="14"/>
    <s v="Email/Calendar"/>
    <s v="Calendar Sync"/>
    <x v="2"/>
    <n v="360"/>
    <x v="1"/>
    <s v="Phone"/>
    <s v="Tier 1"/>
    <s v="TECH-2"/>
    <s v="Mid-level"/>
    <x v="0"/>
    <s v="No"/>
    <n v="1"/>
    <s v="No"/>
    <n v="7"/>
    <n v="0.1"/>
    <n v="15.5"/>
    <s v="Yes"/>
    <s v="Poor"/>
    <s v="Yes"/>
    <s v="Marketing"/>
    <s v="Tuesday"/>
    <s v="Morning"/>
  </r>
  <r>
    <x v="642"/>
    <s v="2024-03-22 15:23:08"/>
    <x v="5"/>
    <s v="2024-04-02 03:29:08"/>
    <n v="251.1"/>
    <n v="10.5"/>
    <s v="Access Requests"/>
    <s v="VPN Access"/>
    <x v="0"/>
    <n v="240"/>
    <x v="0"/>
    <s v="Phone"/>
    <s v="Tier 1"/>
    <s v="TECH-13"/>
    <s v="Junior"/>
    <x v="1"/>
    <s v="No"/>
    <n v="0"/>
    <s v="No"/>
    <n v="7"/>
    <n v="1.5"/>
    <n v="15.8"/>
    <s v="Yes"/>
    <s v="Fair"/>
    <s v="No"/>
    <s v="Finance"/>
    <s v="Wednesday"/>
    <s v="Afternoon"/>
  </r>
  <r>
    <x v="643"/>
    <s v="2024-10-15 07:54:18"/>
    <x v="2"/>
    <s v="2024-10-19 21:06:18"/>
    <n v="109.2"/>
    <n v="4.5999999999999996"/>
    <s v="Application Errors"/>
    <s v="Performance"/>
    <x v="1"/>
    <n v="120"/>
    <x v="1"/>
    <s v="Walk-in"/>
    <s v="Tier 1"/>
    <s v="TECH-2"/>
    <s v="Mid-level"/>
    <x v="0"/>
    <s v="No"/>
    <n v="1"/>
    <s v="No"/>
    <n v="5"/>
    <n v="0.1"/>
    <n v="20.9"/>
    <s v="No"/>
    <s v="Poor"/>
    <s v="No"/>
    <s v="Legal"/>
    <s v="Wednesday"/>
    <s v="Afternoon"/>
  </r>
  <r>
    <x v="644"/>
    <s v="2024-11-24 21:21:10"/>
    <x v="7"/>
    <s v="2024-12-08 11:45:10"/>
    <n v="326.39999999999998"/>
    <n v="13.6"/>
    <s v="Other"/>
    <s v="Miscellaneous"/>
    <x v="2"/>
    <n v="360"/>
    <x v="1"/>
    <s v="Phone"/>
    <s v="Tier 1"/>
    <s v="TECH-25"/>
    <s v="Senior"/>
    <x v="0"/>
    <s v="No"/>
    <n v="1"/>
    <s v="No"/>
    <n v="7"/>
    <n v="3.9"/>
    <n v="16.3"/>
    <s v="No"/>
    <s v="Fair"/>
    <s v="Yes"/>
    <s v="Executive"/>
    <s v="Thursday"/>
    <s v="Morning"/>
  </r>
  <r>
    <x v="645"/>
    <s v="2024-02-14 19:24:37"/>
    <x v="6"/>
    <s v="2024-02-25 19:48:37"/>
    <n v="264.39999999999998"/>
    <n v="11"/>
    <s v="Other"/>
    <s v="Documentation"/>
    <x v="2"/>
    <n v="360"/>
    <x v="1"/>
    <s v="Email"/>
    <s v="Tier 1"/>
    <s v="TECH-21"/>
    <s v="Junior"/>
    <x v="0"/>
    <s v="No"/>
    <n v="1"/>
    <s v="No"/>
    <n v="8"/>
    <n v="0.6"/>
    <n v="10.7"/>
    <s v="Yes"/>
    <s v="Excellent"/>
    <s v="No"/>
    <s v="Marketing"/>
    <s v="Friday"/>
    <s v="Afternoon"/>
  </r>
  <r>
    <x v="646"/>
    <s v="2024-03-27 18:05:39"/>
    <x v="5"/>
    <s v="2024-04-01 12:35:39"/>
    <n v="113.5"/>
    <n v="4.7"/>
    <s v="Network Connectivity"/>
    <s v="Ethernet"/>
    <x v="1"/>
    <n v="120"/>
    <x v="1"/>
    <s v="Email"/>
    <s v="Tier 1"/>
    <s v="TECH-18"/>
    <s v="Senior"/>
    <x v="1"/>
    <s v="No"/>
    <n v="0"/>
    <s v="No"/>
    <n v="7"/>
    <n v="0.1"/>
    <n v="12.9"/>
    <s v="Yes"/>
    <s v="Poor"/>
    <s v="No"/>
    <s v="Legal"/>
    <s v="Wednesday"/>
    <s v="Morning"/>
  </r>
  <r>
    <x v="647"/>
    <s v="2024-12-06 17:53:05"/>
    <x v="0"/>
    <s v="2024-12-17 14:53:05"/>
    <n v="261"/>
    <n v="10.9"/>
    <s v="Network Connectivity"/>
    <s v="VPN Connection"/>
    <x v="2"/>
    <n v="360"/>
    <x v="1"/>
    <s v="Walk-in"/>
    <s v="Tier 1"/>
    <s v="TECH-19"/>
    <s v="Junior"/>
    <x v="0"/>
    <s v="No"/>
    <n v="1"/>
    <s v="No"/>
    <n v="9"/>
    <n v="2.5"/>
    <n v="12.2"/>
    <s v="Yes"/>
    <s v="Poor"/>
    <s v="Yes"/>
    <s v="IT"/>
    <s v="Monday"/>
    <s v="Morning"/>
  </r>
  <r>
    <x v="648"/>
    <s v="2024-09-08 09:27:01"/>
    <x v="9"/>
    <s v="2024-09-16 18:39:01"/>
    <n v="201.2"/>
    <n v="8.4"/>
    <s v="Access Requests"/>
    <s v="VPN Access"/>
    <x v="0"/>
    <n v="240"/>
    <x v="1"/>
    <s v="Email"/>
    <s v="Tier 1"/>
    <s v="TECH-13"/>
    <s v="Mid-level"/>
    <x v="0"/>
    <s v="No"/>
    <n v="1"/>
    <s v="No"/>
    <n v="9"/>
    <n v="3.9"/>
    <n v="16.3"/>
    <s v="No"/>
    <s v="Good"/>
    <s v="Yes"/>
    <s v="Operations"/>
    <s v="Thursday"/>
    <s v="Afternoon"/>
  </r>
  <r>
    <x v="649"/>
    <s v="2024-02-16 19:41:02"/>
    <x v="6"/>
    <s v="2024-02-23 07:53:02"/>
    <n v="156.19999999999999"/>
    <n v="6.5"/>
    <s v="Software Installation"/>
    <s v="MS Office"/>
    <x v="0"/>
    <n v="240"/>
    <x v="1"/>
    <s v="Chat"/>
    <s v="Tier 2"/>
    <s v="TECH-11"/>
    <s v="Junior"/>
    <x v="0"/>
    <s v="Yes"/>
    <n v="3"/>
    <s v="No"/>
    <n v="8"/>
    <n v="2.2000000000000002"/>
    <n v="20.2"/>
    <s v="Yes"/>
    <s v="Excellent"/>
    <s v="Yes"/>
    <s v="Operations"/>
    <s v="Thursday"/>
    <s v="Afternoon"/>
  </r>
  <r>
    <x v="650"/>
    <s v="2024-08-07 09:06:43"/>
    <x v="1"/>
    <s v="2024-08-13 15:24:43"/>
    <n v="150.30000000000001"/>
    <n v="6.3"/>
    <s v="Access Requests"/>
    <s v="VPN Access"/>
    <x v="0"/>
    <n v="240"/>
    <x v="1"/>
    <s v="Phone"/>
    <s v="Tier 1"/>
    <s v="TECH-19"/>
    <s v="Junior"/>
    <x v="0"/>
    <s v="No"/>
    <n v="1"/>
    <s v="No"/>
    <n v="5"/>
    <n v="2.7"/>
    <n v="18.7"/>
    <s v="No"/>
    <s v="Fair"/>
    <s v="Yes"/>
    <s v="Marketing"/>
    <s v="Friday"/>
    <s v="Afternoon"/>
  </r>
  <r>
    <x v="651"/>
    <s v="2024-11-04 04:27:07"/>
    <x v="7"/>
    <s v="2024-11-07 08:09:07"/>
    <n v="75.7"/>
    <n v="3.2"/>
    <s v="Application Errors"/>
    <s v="Login Issues"/>
    <x v="1"/>
    <n v="120"/>
    <x v="1"/>
    <s v="Phone"/>
    <s v="Tier 2"/>
    <s v="TECH-8"/>
    <s v="Junior"/>
    <x v="0"/>
    <s v="Yes"/>
    <n v="2"/>
    <s v="No"/>
    <n v="6"/>
    <n v="4.2"/>
    <n v="22.3"/>
    <s v="Yes"/>
    <s v="Poor"/>
    <s v="Yes"/>
    <s v="Executive"/>
    <s v="Thursday"/>
    <s v="Morning"/>
  </r>
  <r>
    <x v="652"/>
    <s v="2024-10-24 17:24:08"/>
    <x v="2"/>
    <s v="2024-10-31 08:42:08"/>
    <n v="160.30000000000001"/>
    <n v="6.7"/>
    <s v="Hardware Issues"/>
    <s v="Printer"/>
    <x v="0"/>
    <n v="240"/>
    <x v="1"/>
    <s v="Email"/>
    <s v="Tier 1"/>
    <s v="TECH-12"/>
    <s v="Mid-level"/>
    <x v="1"/>
    <s v="No"/>
    <n v="0"/>
    <s v="No"/>
    <n v="10"/>
    <n v="0.1"/>
    <n v="27.9"/>
    <s v="No"/>
    <s v="Good"/>
    <s v="Yes"/>
    <s v="Marketing"/>
    <s v="Thursday"/>
    <s v="Morning"/>
  </r>
  <r>
    <x v="653"/>
    <s v="2024-02-04 14:50:20"/>
    <x v="6"/>
    <s v="2024-02-13 17:26:20"/>
    <n v="218.6"/>
    <n v="9.1"/>
    <s v="Email/Calendar"/>
    <s v="Cannot Send/Receive"/>
    <x v="0"/>
    <n v="240"/>
    <x v="1"/>
    <s v="Email"/>
    <s v="Tier 1"/>
    <s v="TECH-5"/>
    <s v="Senior"/>
    <x v="0"/>
    <s v="No"/>
    <n v="1"/>
    <s v="No"/>
    <n v="9"/>
    <n v="4"/>
    <n v="22.8"/>
    <s v="Yes"/>
    <s v="Fair"/>
    <s v="Yes"/>
    <s v="Operations"/>
    <s v="Monday"/>
    <s v="Afternoon"/>
  </r>
  <r>
    <x v="654"/>
    <s v="2024-03-02 20:45:12"/>
    <x v="5"/>
    <s v="2024-03-05 23:33:12"/>
    <n v="74.8"/>
    <n v="3.1"/>
    <s v="Application Errors"/>
    <s v="Features Not Working"/>
    <x v="1"/>
    <n v="120"/>
    <x v="1"/>
    <s v="Walk-in"/>
    <s v="Tier 2"/>
    <s v="TECH-24"/>
    <s v="Junior"/>
    <x v="0"/>
    <s v="Yes"/>
    <n v="1"/>
    <s v="Yes"/>
    <n v="10"/>
    <n v="0.1"/>
    <n v="17.100000000000001"/>
    <s v="Yes"/>
    <s v="Good"/>
    <s v="Yes"/>
    <s v="Executive"/>
    <s v="Tuesday"/>
    <s v="Afternoon"/>
  </r>
  <r>
    <x v="655"/>
    <s v="2024-07-30 03:30:25"/>
    <x v="4"/>
    <s v="2024-08-22 12:42:25"/>
    <n v="561.20000000000005"/>
    <n v="23.4"/>
    <s v="Password Reset"/>
    <s v="Application Password"/>
    <x v="2"/>
    <n v="360"/>
    <x v="0"/>
    <s v="Portal"/>
    <s v="Tier 1"/>
    <s v="TECH-7"/>
    <s v="Mid-level"/>
    <x v="0"/>
    <s v="No"/>
    <n v="1"/>
    <s v="No"/>
    <n v="6"/>
    <n v="1.1000000000000001"/>
    <n v="49.9"/>
    <s v="No"/>
    <s v="Poor"/>
    <s v="Yes"/>
    <s v="Sales"/>
    <s v="Wednesday"/>
    <s v="Afternoon"/>
  </r>
  <r>
    <x v="656"/>
    <s v="2024-07-04 08:20:33"/>
    <x v="4"/>
    <s v="2024-07-15 10:08:33"/>
    <n v="265.8"/>
    <n v="11.1"/>
    <s v="Network Connectivity"/>
    <s v="Ethernet"/>
    <x v="0"/>
    <n v="240"/>
    <x v="0"/>
    <s v="Phone"/>
    <s v="Tier 2"/>
    <s v="TECH-18"/>
    <s v="Senior"/>
    <x v="0"/>
    <s v="Yes"/>
    <n v="4"/>
    <s v="No"/>
    <n v="5"/>
    <n v="0.1"/>
    <n v="0"/>
    <s v="No"/>
    <s v="Good"/>
    <s v="Yes"/>
    <s v="Sales"/>
    <s v="Friday"/>
    <s v="Afternoon"/>
  </r>
  <r>
    <x v="657"/>
    <s v="2024-05-07 21:50:29"/>
    <x v="8"/>
    <s v="2024-05-16 12:14:29"/>
    <n v="206.4"/>
    <n v="8.6"/>
    <s v="Software Installation"/>
    <s v="VPN Client"/>
    <x v="0"/>
    <n v="240"/>
    <x v="1"/>
    <s v="Email"/>
    <s v="Tier 1"/>
    <s v="TECH-6"/>
    <s v="Senior"/>
    <x v="0"/>
    <s v="No"/>
    <n v="1"/>
    <s v="No"/>
    <n v="10"/>
    <n v="1.3"/>
    <n v="15.6"/>
    <s v="No"/>
    <s v="Good"/>
    <s v="No"/>
    <s v="HR"/>
    <s v="Monday"/>
    <s v="Evening"/>
  </r>
  <r>
    <x v="658"/>
    <s v="2024-08-10 19:59:09"/>
    <x v="1"/>
    <s v="2024-08-17 04:59:09"/>
    <n v="153"/>
    <n v="6.4"/>
    <s v="Hardware Issues"/>
    <s v="Docking Station"/>
    <x v="0"/>
    <n v="240"/>
    <x v="1"/>
    <s v="Phone"/>
    <s v="Tier 2"/>
    <s v="TECH-11"/>
    <s v="Junior"/>
    <x v="0"/>
    <s v="Yes"/>
    <n v="1"/>
    <s v="No"/>
    <n v="8"/>
    <n v="4.8"/>
    <n v="46"/>
    <s v="Yes"/>
    <s v="Good"/>
    <s v="Yes"/>
    <s v="HR"/>
    <s v="Monday"/>
    <s v="Evening"/>
  </r>
  <r>
    <x v="659"/>
    <s v="2024-11-14 01:35:25"/>
    <x v="7"/>
    <s v="2024-11-20 10:11:25"/>
    <n v="128.6"/>
    <n v="5.4"/>
    <s v="Other"/>
    <s v="Documentation"/>
    <x v="1"/>
    <n v="120"/>
    <x v="0"/>
    <s v="Email"/>
    <s v="Tier 1"/>
    <s v="TECH-23"/>
    <s v="Senior"/>
    <x v="0"/>
    <s v="No"/>
    <n v="1"/>
    <s v="No"/>
    <n v="6"/>
    <n v="1.1000000000000001"/>
    <n v="27.9"/>
    <s v="No"/>
    <s v="Good"/>
    <s v="Yes"/>
    <s v="IT"/>
    <s v="Friday"/>
    <s v="Afternoon"/>
  </r>
  <r>
    <x v="660"/>
    <s v="2024-06-23 05:08:09"/>
    <x v="10"/>
    <s v="2024-06-30 11:38:09"/>
    <n v="174.5"/>
    <n v="7.3"/>
    <s v="Application Errors"/>
    <s v="Crash"/>
    <x v="0"/>
    <n v="240"/>
    <x v="1"/>
    <s v="Phone"/>
    <s v="Tier 1"/>
    <s v="TECH-9"/>
    <s v="Senior"/>
    <x v="0"/>
    <s v="No"/>
    <n v="1"/>
    <s v="No"/>
    <n v="8"/>
    <n v="0.5"/>
    <n v="9.9"/>
    <s v="No"/>
    <s v="Poor"/>
    <s v="No"/>
    <s v="Sales"/>
    <s v="Thursday"/>
    <s v="Afternoon"/>
  </r>
  <r>
    <x v="661"/>
    <s v="2024-03-27 13:42:55"/>
    <x v="5"/>
    <s v="2024-04-07 18:06:55"/>
    <n v="267.39999999999998"/>
    <n v="11.1"/>
    <s v="Software Installation"/>
    <s v="VPN Client"/>
    <x v="0"/>
    <n v="240"/>
    <x v="0"/>
    <s v="Portal"/>
    <s v="Tier 2"/>
    <s v="TECH-22"/>
    <s v="Mid-level"/>
    <x v="0"/>
    <s v="Yes"/>
    <n v="2"/>
    <s v="No"/>
    <n v="6"/>
    <n v="2.1"/>
    <n v="7.3"/>
    <s v="Yes"/>
    <s v="Fair"/>
    <s v="Yes"/>
    <s v="Finance"/>
    <s v="Thursday"/>
    <s v="Afternoon"/>
  </r>
  <r>
    <x v="662"/>
    <s v="2024-10-15 07:19:10"/>
    <x v="2"/>
    <s v="2024-10-19 03:43:10"/>
    <n v="92.4"/>
    <n v="3.9"/>
    <s v="Hardware Issues"/>
    <s v="Docking Station"/>
    <x v="1"/>
    <n v="120"/>
    <x v="1"/>
    <s v="Phone"/>
    <s v="Tier 2"/>
    <s v="TECH-9"/>
    <s v="Senior"/>
    <x v="0"/>
    <s v="Yes"/>
    <n v="4"/>
    <s v="No"/>
    <n v="9"/>
    <n v="3"/>
    <n v="29.9"/>
    <s v="Yes"/>
    <s v="Good"/>
    <s v="Yes"/>
    <s v="IT"/>
    <s v="Monday"/>
    <s v="Morning"/>
  </r>
  <r>
    <x v="663"/>
    <s v="2024-05-07 03:51:00"/>
    <x v="8"/>
    <s v="2024-05-08 01:15:00"/>
    <n v="45.4"/>
    <n v="1.9"/>
    <s v="Access Requests"/>
    <s v="Application Access"/>
    <x v="3"/>
    <n v="48"/>
    <x v="1"/>
    <s v="Phone"/>
    <s v="Tier 1"/>
    <s v="TECH-6"/>
    <s v="Mid-level"/>
    <x v="1"/>
    <s v="No"/>
    <n v="0"/>
    <s v="No"/>
    <n v="10"/>
    <n v="1.7"/>
    <n v="18.3"/>
    <s v="Yes"/>
    <s v="Fair"/>
    <s v="No"/>
    <s v="Marketing"/>
    <s v="Wednesday"/>
    <s v="Morning"/>
  </r>
  <r>
    <x v="664"/>
    <s v="2024-11-06 22:24:01"/>
    <x v="7"/>
    <s v="2024-12-05 09:48:01"/>
    <n v="683.4"/>
    <n v="28.5"/>
    <s v="Access Requests"/>
    <s v="Application Access"/>
    <x v="0"/>
    <n v="240"/>
    <x v="0"/>
    <s v="Walk-in"/>
    <s v="Tier 1"/>
    <s v="TECH-15"/>
    <s v="Mid-level"/>
    <x v="1"/>
    <s v="No"/>
    <n v="0"/>
    <s v="No"/>
    <n v="9"/>
    <n v="0.1"/>
    <n v="7.5"/>
    <s v="Yes"/>
    <s v="Fair"/>
    <s v="Yes"/>
    <s v="IT"/>
    <s v="Tuesday"/>
    <s v="Afternoon"/>
  </r>
  <r>
    <x v="665"/>
    <s v="2024-11-16 11:32:12"/>
    <x v="7"/>
    <s v="2024-11-23 10:32:12"/>
    <n v="167"/>
    <n v="7"/>
    <s v="Email/Calendar"/>
    <s v="Mailbox Full"/>
    <x v="0"/>
    <n v="240"/>
    <x v="1"/>
    <s v="Walk-in"/>
    <s v="Tier 1"/>
    <s v="TECH-11"/>
    <s v="Junior"/>
    <x v="1"/>
    <s v="No"/>
    <n v="0"/>
    <s v="No"/>
    <n v="10"/>
    <n v="2.8"/>
    <n v="27.5"/>
    <s v="Yes"/>
    <s v="Poor"/>
    <s v="No"/>
    <s v="Marketing"/>
    <s v="Thursday"/>
    <s v="Morning"/>
  </r>
  <r>
    <x v="666"/>
    <s v="2024-02-18 22:58:46"/>
    <x v="6"/>
    <s v="2024-02-27 03:52:46"/>
    <n v="196.9"/>
    <n v="8.1999999999999993"/>
    <s v="Application Errors"/>
    <s v="Features Not Working"/>
    <x v="0"/>
    <n v="240"/>
    <x v="1"/>
    <s v="Email"/>
    <s v="Tier 2"/>
    <s v="TECH-16"/>
    <s v="Senior"/>
    <x v="0"/>
    <s v="Yes"/>
    <n v="3"/>
    <s v="No"/>
    <n v="9"/>
    <n v="2.7"/>
    <n v="29.5"/>
    <s v="Yes"/>
    <s v="Fair"/>
    <s v="Yes"/>
    <s v="Sales"/>
    <s v="Tuesday"/>
    <s v="Morning"/>
  </r>
  <r>
    <x v="667"/>
    <s v="2024-11-06 13:21:17"/>
    <x v="7"/>
    <s v="2024-11-10 01:27:17"/>
    <n v="108.1"/>
    <n v="4.5"/>
    <s v="Application Errors"/>
    <s v="Crash"/>
    <x v="1"/>
    <n v="120"/>
    <x v="1"/>
    <s v="Phone"/>
    <s v="Tier 2"/>
    <s v="TECH-14"/>
    <s v="Junior"/>
    <x v="0"/>
    <s v="Yes"/>
    <n v="3"/>
    <s v="No"/>
    <n v="9"/>
    <n v="2.5"/>
    <n v="14.7"/>
    <s v="Yes"/>
    <s v="Poor"/>
    <s v="No"/>
    <s v="Finance"/>
    <s v="Friday"/>
    <s v="Afternoon"/>
  </r>
  <r>
    <x v="668"/>
    <s v="2024-11-28 23:39:14"/>
    <x v="7"/>
    <s v="2024-12-12 07:33:14"/>
    <n v="319.89999999999998"/>
    <n v="13.3"/>
    <s v="Hardware Issues"/>
    <s v="Printer"/>
    <x v="1"/>
    <n v="120"/>
    <x v="0"/>
    <s v="Portal"/>
    <s v="Tier 2"/>
    <s v="TECH-3"/>
    <s v="Mid-level"/>
    <x v="0"/>
    <s v="Yes"/>
    <n v="1"/>
    <s v="No"/>
    <n v="4"/>
    <n v="3.1"/>
    <n v="16.3"/>
    <s v="Yes"/>
    <s v="Poor"/>
    <s v="No"/>
    <s v="Legal"/>
    <s v="Wednesday"/>
    <s v="Afternoon"/>
  </r>
  <r>
    <x v="669"/>
    <s v="2024-06-13 05:12:50"/>
    <x v="10"/>
    <s v="2024-06-17 19:12:50"/>
    <n v="110"/>
    <n v="4.5999999999999996"/>
    <s v="Email/Calendar"/>
    <s v="Cannot Send/Receive"/>
    <x v="1"/>
    <n v="120"/>
    <x v="1"/>
    <s v="Portal"/>
    <s v="Tier 1"/>
    <s v="TECH-19"/>
    <s v="Senior"/>
    <x v="1"/>
    <s v="No"/>
    <n v="0"/>
    <s v="No"/>
    <n v="10"/>
    <n v="3.2"/>
    <n v="25.3"/>
    <s v="Yes"/>
    <s v="Good"/>
    <s v="Yes"/>
    <s v="Executive"/>
    <s v="Wednesday"/>
    <s v="Afternoon"/>
  </r>
  <r>
    <x v="670"/>
    <s v="2024-06-05 02:41:41"/>
    <x v="10"/>
    <s v="2024-06-16 23:23:41"/>
    <n v="260.7"/>
    <n v="10.9"/>
    <s v="Access Requests"/>
    <s v="File Share"/>
    <x v="2"/>
    <n v="360"/>
    <x v="1"/>
    <s v="Phone"/>
    <s v="Tier 1"/>
    <s v="TECH-8"/>
    <s v="Junior"/>
    <x v="0"/>
    <s v="No"/>
    <n v="1"/>
    <s v="No"/>
    <n v="8"/>
    <n v="0.2"/>
    <n v="43.7"/>
    <s v="Yes"/>
    <s v="Excellent"/>
    <s v="Yes"/>
    <s v="Operations"/>
    <s v="Wednesday"/>
    <s v="Morning"/>
  </r>
  <r>
    <x v="671"/>
    <s v="2024-07-16 15:04:19"/>
    <x v="4"/>
    <s v="2024-08-01 15:04:19"/>
    <n v="384"/>
    <n v="16"/>
    <s v="Hardware Issues"/>
    <s v="Monitor"/>
    <x v="0"/>
    <n v="240"/>
    <x v="0"/>
    <s v="Email"/>
    <s v="Tier 2"/>
    <s v="TECH-3"/>
    <s v="Mid-level"/>
    <x v="0"/>
    <s v="Yes"/>
    <n v="4"/>
    <s v="No"/>
    <n v="3"/>
    <n v="0.2"/>
    <n v="17.600000000000001"/>
    <s v="Yes"/>
    <s v="Fair"/>
    <s v="No"/>
    <s v="Finance"/>
    <s v="Wednesday"/>
    <s v="Evening"/>
  </r>
  <r>
    <x v="672"/>
    <s v="2024-02-06 07:22:06"/>
    <x v="6"/>
    <s v="2024-02-19 11:58:06"/>
    <n v="316.60000000000002"/>
    <n v="13.2"/>
    <s v="Access Requests"/>
    <s v="File Share"/>
    <x v="0"/>
    <n v="240"/>
    <x v="0"/>
    <s v="Portal"/>
    <s v="Tier 1"/>
    <s v="TECH-19"/>
    <s v="Mid-level"/>
    <x v="0"/>
    <s v="No"/>
    <n v="1"/>
    <s v="No"/>
    <n v="1"/>
    <n v="1.5"/>
    <n v="30.7"/>
    <s v="Yes"/>
    <s v="Fair"/>
    <s v="Yes"/>
    <s v="Executive"/>
    <s v="Thursday"/>
    <s v="Morning"/>
  </r>
  <r>
    <x v="673"/>
    <s v="2024-05-25 14:45:49"/>
    <x v="8"/>
    <s v="2024-06-08 07:33:49"/>
    <n v="328.8"/>
    <n v="13.7"/>
    <s v="Other"/>
    <s v="General Inquiry"/>
    <x v="2"/>
    <n v="360"/>
    <x v="1"/>
    <s v="Phone"/>
    <s v="Tier 1"/>
    <s v="TECH-8"/>
    <s v="Mid-level"/>
    <x v="0"/>
    <s v="No"/>
    <n v="1"/>
    <s v="No"/>
    <n v="9"/>
    <n v="3.7"/>
    <n v="10.3"/>
    <s v="No"/>
    <s v="Poor"/>
    <s v="Yes"/>
    <s v="IT"/>
    <s v="Wednesday"/>
    <s v="Evening"/>
  </r>
  <r>
    <x v="674"/>
    <s v="2024-04-28 16:51:31"/>
    <x v="11"/>
    <s v="2024-05-07 07:03:31"/>
    <n v="206.2"/>
    <n v="8.6"/>
    <s v="Application Errors"/>
    <s v="Crash"/>
    <x v="0"/>
    <n v="240"/>
    <x v="1"/>
    <s v="Email"/>
    <s v="Tier 2"/>
    <s v="TECH-4"/>
    <s v="Mid-level"/>
    <x v="0"/>
    <s v="Yes"/>
    <n v="2"/>
    <s v="No"/>
    <n v="8"/>
    <n v="5"/>
    <n v="5.5"/>
    <s v="Yes"/>
    <s v="Poor"/>
    <s v="Yes"/>
    <s v="Executive"/>
    <s v="Friday"/>
    <s v="Morning"/>
  </r>
  <r>
    <x v="675"/>
    <s v="2024-07-27 20:23:42"/>
    <x v="4"/>
    <s v="2024-08-06 19:23:42"/>
    <n v="239"/>
    <n v="10"/>
    <s v="Other"/>
    <s v="Miscellaneous"/>
    <x v="2"/>
    <n v="360"/>
    <x v="1"/>
    <s v="Portal"/>
    <s v="Tier 1"/>
    <s v="TECH-3"/>
    <s v="Mid-level"/>
    <x v="0"/>
    <s v="No"/>
    <n v="1"/>
    <s v="No"/>
    <n v="7"/>
    <n v="3.4"/>
    <n v="27.3"/>
    <s v="Yes"/>
    <s v="Fair"/>
    <s v="No"/>
    <s v="IT"/>
    <s v="Friday"/>
    <s v="Morning"/>
  </r>
  <r>
    <x v="676"/>
    <s v="2024-03-18 19:57:46"/>
    <x v="5"/>
    <s v="2024-03-29 10:27:46"/>
    <n v="254.5"/>
    <n v="10.6"/>
    <s v="Access Requests"/>
    <s v="Application Access"/>
    <x v="2"/>
    <n v="360"/>
    <x v="1"/>
    <s v="Portal"/>
    <s v="Tier 1"/>
    <s v="TECH-21"/>
    <s v="Mid-level"/>
    <x v="1"/>
    <s v="No"/>
    <n v="0"/>
    <s v="No"/>
    <n v="8"/>
    <n v="3.2"/>
    <n v="22.1"/>
    <s v="Yes"/>
    <s v="Poor"/>
    <s v="No"/>
    <s v="Marketing"/>
    <s v="Thursday"/>
    <s v="Evening"/>
  </r>
  <r>
    <x v="677"/>
    <s v="2024-04-13 13:13:39"/>
    <x v="11"/>
    <s v="2024-04-20 15:49:39"/>
    <n v="170.6"/>
    <n v="7.1"/>
    <s v="Email/Calendar"/>
    <s v="Mailbox Full"/>
    <x v="1"/>
    <n v="120"/>
    <x v="0"/>
    <s v="Phone"/>
    <s v="Tier 1"/>
    <s v="TECH-14"/>
    <s v="Junior"/>
    <x v="1"/>
    <s v="No"/>
    <n v="0"/>
    <s v="No"/>
    <n v="9"/>
    <n v="2.2999999999999998"/>
    <n v="36.200000000000003"/>
    <s v="Yes"/>
    <s v="Fair"/>
    <s v="No"/>
    <s v="Sales"/>
    <s v="Monday"/>
    <s v="Morning"/>
  </r>
  <r>
    <x v="678"/>
    <s v="2024-10-31 02:38:53"/>
    <x v="2"/>
    <s v="2024-11-03 04:44:53"/>
    <n v="74.099999999999994"/>
    <n v="3.1"/>
    <s v="Application Errors"/>
    <s v="Login Issues"/>
    <x v="1"/>
    <n v="120"/>
    <x v="1"/>
    <s v="Portal"/>
    <s v="Tier 2"/>
    <s v="TECH-1"/>
    <s v="Junior"/>
    <x v="0"/>
    <s v="Yes"/>
    <n v="4"/>
    <s v="Yes"/>
    <n v="9"/>
    <n v="4"/>
    <n v="30.4"/>
    <s v="Yes"/>
    <s v="Excellent"/>
    <s v="Yes"/>
    <s v="IT"/>
    <s v="Thursday"/>
    <s v="Afternoon"/>
  </r>
  <r>
    <x v="679"/>
    <s v="2024-09-14 15:59:33"/>
    <x v="9"/>
    <s v="2024-09-27 07:05:33"/>
    <n v="303.10000000000002"/>
    <n v="12.6"/>
    <s v="Password Reset"/>
    <s v="Windows Password"/>
    <x v="2"/>
    <n v="360"/>
    <x v="1"/>
    <s v="Phone"/>
    <s v="Tier 1"/>
    <s v="TECH-24"/>
    <s v="Mid-level"/>
    <x v="1"/>
    <s v="No"/>
    <n v="0"/>
    <s v="No"/>
    <n v="10"/>
    <n v="4.0999999999999996"/>
    <n v="42.1"/>
    <s v="No"/>
    <s v="Fair"/>
    <s v="Yes"/>
    <s v="Sales"/>
    <s v="Wednesday"/>
    <s v="Afternoon"/>
  </r>
  <r>
    <x v="680"/>
    <s v="2024-03-15 22:58:31"/>
    <x v="5"/>
    <s v="2024-03-23 00:46:31"/>
    <n v="193.8"/>
    <n v="8.1"/>
    <s v="Email/Calendar"/>
    <s v="Mailbox Full"/>
    <x v="0"/>
    <n v="240"/>
    <x v="1"/>
    <s v="Email"/>
    <s v="Tier 1"/>
    <s v="TECH-9"/>
    <s v="Junior"/>
    <x v="0"/>
    <s v="No"/>
    <n v="1"/>
    <s v="No"/>
    <n v="7"/>
    <n v="2"/>
    <n v="0"/>
    <s v="Yes"/>
    <s v="Fair"/>
    <s v="Yes"/>
    <s v="Legal"/>
    <s v="Tuesday"/>
    <s v="Morning"/>
  </r>
  <r>
    <x v="681"/>
    <s v="2024-01-10 23:40:43"/>
    <x v="3"/>
    <s v="2024-01-17 03:40:43"/>
    <n v="148"/>
    <n v="6.2"/>
    <s v="Hardware Issues"/>
    <s v="Docking Station"/>
    <x v="0"/>
    <n v="240"/>
    <x v="1"/>
    <s v="Walk-in"/>
    <s v="Tier 2"/>
    <s v="TECH-23"/>
    <s v="Senior"/>
    <x v="0"/>
    <s v="Yes"/>
    <n v="1"/>
    <s v="No"/>
    <n v="8"/>
    <n v="0.5"/>
    <n v="21.2"/>
    <s v="No"/>
    <s v="Good"/>
    <s v="No"/>
    <s v="HR"/>
    <s v="Wednesday"/>
    <s v="Morning"/>
  </r>
  <r>
    <x v="682"/>
    <s v="2024-08-30 16:45:13"/>
    <x v="1"/>
    <s v="2024-09-02 00:09:13"/>
    <n v="79.400000000000006"/>
    <n v="3.3"/>
    <s v="Network Connectivity"/>
    <s v="Ethernet"/>
    <x v="1"/>
    <n v="120"/>
    <x v="1"/>
    <s v="Walk-in"/>
    <s v="Tier 1"/>
    <s v="TECH-10"/>
    <s v="Mid-level"/>
    <x v="1"/>
    <s v="No"/>
    <n v="0"/>
    <s v="No"/>
    <n v="10"/>
    <n v="3.5"/>
    <n v="3.8"/>
    <s v="Yes"/>
    <s v="Good"/>
    <s v="No"/>
    <s v="IT"/>
    <s v="Tuesday"/>
    <s v="Afternoon"/>
  </r>
  <r>
    <x v="683"/>
    <s v="2024-02-03 19:53:23"/>
    <x v="6"/>
    <s v="2024-02-05 15:29:23"/>
    <n v="43.6"/>
    <n v="1.8"/>
    <s v="Email/Calendar"/>
    <s v="Mailbox Full"/>
    <x v="3"/>
    <n v="48"/>
    <x v="1"/>
    <s v="Email"/>
    <s v="Tier 1"/>
    <s v="TECH-23"/>
    <s v="Junior"/>
    <x v="1"/>
    <s v="No"/>
    <n v="0"/>
    <s v="No"/>
    <n v="9"/>
    <n v="6.1"/>
    <n v="6.8"/>
    <s v="No"/>
    <s v="Fair"/>
    <s v="Yes"/>
    <s v="HR"/>
    <s v="Friday"/>
    <s v="Morning"/>
  </r>
  <r>
    <x v="684"/>
    <s v="2024-10-17 18:13:40"/>
    <x v="2"/>
    <s v="2024-10-23 02:55:40"/>
    <n v="152.69999999999999"/>
    <n v="6.4"/>
    <s v="Hardware Issues"/>
    <s v="Printer"/>
    <x v="0"/>
    <n v="240"/>
    <x v="1"/>
    <s v="Phone"/>
    <s v="Tier 2"/>
    <s v="TECH-10"/>
    <s v="Mid-level"/>
    <x v="0"/>
    <s v="Yes"/>
    <n v="3"/>
    <s v="No"/>
    <n v="6"/>
    <n v="1.8"/>
    <n v="30.8"/>
    <s v="No"/>
    <s v="Fair"/>
    <s v="Yes"/>
    <s v="Marketing"/>
    <s v="Wednesday"/>
    <s v="Morning"/>
  </r>
  <r>
    <x v="685"/>
    <s v="2024-05-10 06:43:40"/>
    <x v="8"/>
    <s v="2024-05-20 05:01:40"/>
    <n v="238.3"/>
    <n v="9.9"/>
    <s v="Password Reset"/>
    <s v="Application Password"/>
    <x v="2"/>
    <n v="360"/>
    <x v="1"/>
    <s v="Phone"/>
    <s v="Tier 1"/>
    <s v="TECH-1"/>
    <s v="Senior"/>
    <x v="0"/>
    <s v="No"/>
    <n v="1"/>
    <s v="No"/>
    <n v="8"/>
    <n v="2.9"/>
    <n v="6.6"/>
    <s v="Yes"/>
    <s v="Good"/>
    <s v="Yes"/>
    <s v="Executive"/>
    <s v="Wednesday"/>
    <s v="Afternoon"/>
  </r>
  <r>
    <x v="686"/>
    <s v="2024-01-16 20:12:10"/>
    <x v="3"/>
    <s v="2024-01-30 10:00:10"/>
    <n v="325.8"/>
    <n v="13.6"/>
    <s v="Other"/>
    <s v="Miscellaneous"/>
    <x v="2"/>
    <n v="360"/>
    <x v="1"/>
    <s v="Email"/>
    <s v="Tier 2"/>
    <s v="TECH-23"/>
    <s v="Junior"/>
    <x v="0"/>
    <s v="Yes"/>
    <n v="1"/>
    <s v="No"/>
    <n v="7"/>
    <n v="0.1"/>
    <n v="20.3"/>
    <s v="No"/>
    <s v="Fair"/>
    <s v="No"/>
    <s v="Sales"/>
    <s v="Thursday"/>
    <s v="Afternoon"/>
  </r>
  <r>
    <x v="687"/>
    <s v="2024-02-18 15:17:55"/>
    <x v="6"/>
    <s v="2024-02-24 23:29:55"/>
    <n v="152.19999999999999"/>
    <n v="6.3"/>
    <s v="Network Connectivity"/>
    <s v="VPN Connection"/>
    <x v="0"/>
    <n v="240"/>
    <x v="1"/>
    <s v="Phone"/>
    <s v="Tier 1"/>
    <s v="TECH-4"/>
    <s v="Junior"/>
    <x v="0"/>
    <s v="No"/>
    <n v="1"/>
    <s v="No"/>
    <n v="7"/>
    <n v="1.7"/>
    <n v="26.4"/>
    <s v="No"/>
    <s v="Good"/>
    <s v="Yes"/>
    <s v="Marketing"/>
    <s v="Friday"/>
    <s v="Morning"/>
  </r>
  <r>
    <x v="688"/>
    <s v="2024-10-22 03:20:50"/>
    <x v="2"/>
    <s v="2024-10-30 01:38:50"/>
    <n v="215.3"/>
    <n v="9"/>
    <s v="Software Installation"/>
    <s v="VPN Client"/>
    <x v="0"/>
    <n v="240"/>
    <x v="1"/>
    <s v="Walk-in"/>
    <s v="Tier 1"/>
    <s v="TECH-6"/>
    <s v="Mid-level"/>
    <x v="0"/>
    <s v="No"/>
    <n v="1"/>
    <s v="Yes"/>
    <n v="8"/>
    <n v="3.3"/>
    <n v="24.1"/>
    <s v="Yes"/>
    <s v="Good"/>
    <s v="Yes"/>
    <s v="Sales"/>
    <s v="Wednesday"/>
    <s v="Morning"/>
  </r>
  <r>
    <x v="689"/>
    <s v="2024-07-31 09:18:34"/>
    <x v="4"/>
    <s v="2024-08-06 12:06:34"/>
    <n v="146.80000000000001"/>
    <n v="6.1"/>
    <s v="Access Requests"/>
    <s v="VPN Access"/>
    <x v="0"/>
    <n v="240"/>
    <x v="1"/>
    <s v="Email"/>
    <s v="Tier 1"/>
    <s v="TECH-5"/>
    <s v="Mid-level"/>
    <x v="1"/>
    <s v="No"/>
    <n v="0"/>
    <s v="No"/>
    <n v="10"/>
    <n v="1.4"/>
    <n v="15.2"/>
    <s v="Yes"/>
    <s v="Good"/>
    <s v="Yes"/>
    <s v="Legal"/>
    <s v="Tuesday"/>
    <s v="Morning"/>
  </r>
  <r>
    <x v="690"/>
    <s v="2024-12-19 16:49:28"/>
    <x v="0"/>
    <s v="2024-12-27 17:49:28"/>
    <n v="193"/>
    <n v="8"/>
    <s v="Network Connectivity"/>
    <s v="Slow Network"/>
    <x v="0"/>
    <n v="240"/>
    <x v="1"/>
    <s v="Walk-in"/>
    <s v="Tier 2"/>
    <s v="TECH-16"/>
    <s v="Junior"/>
    <x v="0"/>
    <s v="Yes"/>
    <n v="4"/>
    <s v="No"/>
    <n v="7"/>
    <n v="2.5"/>
    <n v="29.3"/>
    <s v="Yes"/>
    <s v="Good"/>
    <s v="Yes"/>
    <s v="Sales"/>
    <s v="Thursday"/>
    <s v="Morning"/>
  </r>
  <r>
    <x v="691"/>
    <s v="2024-02-28 02:25:16"/>
    <x v="6"/>
    <s v="2024-03-14 07:55:16"/>
    <n v="365.5"/>
    <n v="15.2"/>
    <s v="Email/Calendar"/>
    <s v="Calendar Sync"/>
    <x v="0"/>
    <n v="240"/>
    <x v="0"/>
    <s v="Email"/>
    <s v="Tier 1"/>
    <s v="TECH-25"/>
    <s v="Senior"/>
    <x v="0"/>
    <s v="No"/>
    <n v="1"/>
    <s v="No"/>
    <n v="3"/>
    <n v="5.5"/>
    <n v="40.6"/>
    <s v="No"/>
    <s v="Good"/>
    <s v="No"/>
    <s v="HR"/>
    <s v="Friday"/>
    <s v="Evening"/>
  </r>
  <r>
    <x v="692"/>
    <s v="2024-11-06 03:46:07"/>
    <x v="7"/>
    <s v="2024-11-10 04:52:07"/>
    <n v="97.1"/>
    <n v="4"/>
    <s v="Hardware Issues"/>
    <s v="Docking Station"/>
    <x v="1"/>
    <n v="120"/>
    <x v="1"/>
    <s v="Email"/>
    <s v="Tier 1"/>
    <s v="TECH-6"/>
    <s v="Mid-level"/>
    <x v="0"/>
    <s v="No"/>
    <n v="1"/>
    <s v="No"/>
    <n v="7"/>
    <n v="2"/>
    <n v="24.6"/>
    <s v="Yes"/>
    <s v="Poor"/>
    <s v="Yes"/>
    <s v="HR"/>
    <s v="Monday"/>
    <s v="Evening"/>
  </r>
  <r>
    <x v="693"/>
    <s v="2024-02-24 08:52:12"/>
    <x v="6"/>
    <s v="2024-03-15 15:52:12"/>
    <n v="487"/>
    <n v="20.3"/>
    <s v="Email/Calendar"/>
    <s v="Cannot Send/Receive"/>
    <x v="2"/>
    <n v="360"/>
    <x v="0"/>
    <s v="Email"/>
    <s v="Tier 1"/>
    <s v="TECH-12"/>
    <s v="Junior"/>
    <x v="0"/>
    <s v="No"/>
    <n v="1"/>
    <s v="No"/>
    <n v="5"/>
    <n v="1.3"/>
    <n v="10.3"/>
    <s v="Yes"/>
    <s v="Fair"/>
    <s v="Yes"/>
    <s v="Finance"/>
    <s v="Wednesday"/>
    <s v="Afternoon"/>
  </r>
  <r>
    <x v="694"/>
    <s v="2024-01-29 10:28:22"/>
    <x v="3"/>
    <s v="2024-02-04 23:10:22"/>
    <n v="156.69999999999999"/>
    <n v="6.5"/>
    <s v="Application Errors"/>
    <s v="Features Not Working"/>
    <x v="1"/>
    <n v="120"/>
    <x v="0"/>
    <s v="Email"/>
    <s v="Tier 2"/>
    <s v="TECH-17"/>
    <s v="Junior"/>
    <x v="0"/>
    <s v="Yes"/>
    <n v="4"/>
    <s v="No"/>
    <n v="4"/>
    <n v="1.4"/>
    <n v="38.4"/>
    <s v="Yes"/>
    <s v="Fair"/>
    <s v="Yes"/>
    <s v="Sales"/>
    <s v="Monday"/>
    <s v="Morning"/>
  </r>
  <r>
    <x v="695"/>
    <s v="2024-06-29 20:16:00"/>
    <x v="10"/>
    <s v="2024-07-10 07:28:00"/>
    <n v="251.2"/>
    <n v="10.5"/>
    <s v="Other"/>
    <s v="Miscellaneous"/>
    <x v="2"/>
    <n v="360"/>
    <x v="1"/>
    <s v="Phone"/>
    <s v="Tier 1"/>
    <s v="TECH-25"/>
    <s v="Junior"/>
    <x v="1"/>
    <s v="No"/>
    <n v="0"/>
    <s v="Yes"/>
    <n v="10"/>
    <n v="0.5"/>
    <n v="39.1"/>
    <s v="Yes"/>
    <s v="Poor"/>
    <s v="Yes"/>
    <s v="Legal"/>
    <s v="Thursday"/>
    <s v="Afternoon"/>
  </r>
  <r>
    <x v="696"/>
    <s v="2024-10-10 13:51:13"/>
    <x v="2"/>
    <s v="2024-10-21 22:09:13"/>
    <n v="272.3"/>
    <n v="11.3"/>
    <s v="Password Reset"/>
    <s v="Application Password"/>
    <x v="2"/>
    <n v="360"/>
    <x v="1"/>
    <s v="Phone"/>
    <s v="Tier 1"/>
    <s v="TECH-14"/>
    <s v="Junior"/>
    <x v="1"/>
    <s v="No"/>
    <n v="0"/>
    <s v="No"/>
    <n v="9"/>
    <n v="5.6"/>
    <n v="20.5"/>
    <s v="Yes"/>
    <s v="Good"/>
    <s v="Yes"/>
    <s v="HR"/>
    <s v="Tuesday"/>
    <s v="Morning"/>
  </r>
  <r>
    <x v="697"/>
    <s v="2024-07-27 09:33:19"/>
    <x v="4"/>
    <s v="2024-07-30 16:03:19"/>
    <n v="78.5"/>
    <n v="3.3"/>
    <s v="Access Requests"/>
    <s v="File Share"/>
    <x v="1"/>
    <n v="120"/>
    <x v="1"/>
    <s v="Portal"/>
    <s v="Tier 1"/>
    <s v="TECH-2"/>
    <s v="Junior"/>
    <x v="1"/>
    <s v="No"/>
    <n v="0"/>
    <s v="No"/>
    <n v="10"/>
    <n v="2"/>
    <n v="20.100000000000001"/>
    <s v="No"/>
    <s v="Fair"/>
    <s v="No"/>
    <s v="Executive"/>
    <s v="Tuesday"/>
    <s v="Afternoon"/>
  </r>
  <r>
    <x v="698"/>
    <s v="2024-09-13 17:59:02"/>
    <x v="9"/>
    <s v="2024-09-21 06:29:02"/>
    <n v="180.5"/>
    <n v="7.5"/>
    <s v="Access Requests"/>
    <s v="File Share"/>
    <x v="0"/>
    <n v="240"/>
    <x v="1"/>
    <s v="Email"/>
    <s v="Tier 2"/>
    <s v="TECH-15"/>
    <s v="Mid-level"/>
    <x v="0"/>
    <s v="Yes"/>
    <n v="3"/>
    <s v="No"/>
    <n v="10"/>
    <n v="2.8"/>
    <n v="12.2"/>
    <s v="Yes"/>
    <s v="Poor"/>
    <s v="No"/>
    <s v="Legal"/>
    <s v="Monday"/>
    <s v="Morning"/>
  </r>
  <r>
    <x v="699"/>
    <s v="2024-04-26 11:33:53"/>
    <x v="11"/>
    <s v="2024-05-09 01:57:53"/>
    <n v="326.39999999999998"/>
    <n v="13.6"/>
    <s v="Access Requests"/>
    <s v="VPN Access"/>
    <x v="1"/>
    <n v="120"/>
    <x v="0"/>
    <s v="Portal"/>
    <s v="Tier 2"/>
    <s v="TECH-24"/>
    <s v="Junior"/>
    <x v="0"/>
    <s v="Yes"/>
    <n v="3"/>
    <s v="No"/>
    <n v="7"/>
    <n v="4"/>
    <n v="29.4"/>
    <s v="Yes"/>
    <s v="Good"/>
    <s v="No"/>
    <s v="Finance"/>
    <s v="Wednesday"/>
    <s v="Morning"/>
  </r>
  <r>
    <x v="700"/>
    <s v="2024-09-27 20:16:35"/>
    <x v="9"/>
    <s v="2024-10-04 11:34:35"/>
    <n v="159.30000000000001"/>
    <n v="6.6"/>
    <s v="Access Requests"/>
    <s v="VPN Access"/>
    <x v="1"/>
    <n v="120"/>
    <x v="0"/>
    <s v="Phone"/>
    <s v="Tier 1"/>
    <s v="TECH-11"/>
    <s v="Mid-level"/>
    <x v="1"/>
    <s v="No"/>
    <n v="0"/>
    <s v="No"/>
    <n v="8"/>
    <n v="2.9"/>
    <n v="33.299999999999997"/>
    <s v="No"/>
    <s v="Excellent"/>
    <s v="No"/>
    <s v="HR"/>
    <s v="Friday"/>
    <s v="Afternoon"/>
  </r>
  <r>
    <x v="701"/>
    <s v="2024-03-10 00:15:45"/>
    <x v="5"/>
    <s v="2024-03-14 07:39:45"/>
    <n v="79.400000000000006"/>
    <n v="3.3"/>
    <s v="Application Errors"/>
    <s v="Features Not Working"/>
    <x v="1"/>
    <n v="120"/>
    <x v="1"/>
    <s v="Phone"/>
    <s v="Tier 2"/>
    <s v="TECH-16"/>
    <s v="Mid-level"/>
    <x v="0"/>
    <s v="Yes"/>
    <n v="2"/>
    <s v="No"/>
    <n v="10"/>
    <n v="2.7"/>
    <n v="15.7"/>
    <s v="Yes"/>
    <s v="Good"/>
    <s v="Yes"/>
    <s v="Operations"/>
    <s v="Thursday"/>
    <s v="Evening"/>
  </r>
  <r>
    <x v="702"/>
    <s v="2024-03-07 21:26:18"/>
    <x v="5"/>
    <s v="2024-03-12 12:14:18"/>
    <n v="110.8"/>
    <n v="4.5999999999999996"/>
    <s v="Email/Calendar"/>
    <s v="Cannot Send/Receive"/>
    <x v="1"/>
    <n v="120"/>
    <x v="1"/>
    <s v="Portal"/>
    <s v="Tier 2"/>
    <s v="TECH-15"/>
    <s v="Senior"/>
    <x v="0"/>
    <s v="Yes"/>
    <n v="2"/>
    <s v="No"/>
    <n v="8"/>
    <n v="0.9"/>
    <n v="1.9"/>
    <s v="No"/>
    <s v="Poor"/>
    <s v="No"/>
    <s v="Operations"/>
    <s v="Thursday"/>
    <s v="Morning"/>
  </r>
  <r>
    <x v="703"/>
    <s v="2024-06-06 12:33:04"/>
    <x v="10"/>
    <s v="2024-06-27 19:45:04"/>
    <n v="511.2"/>
    <n v="21.3"/>
    <s v="Password Reset"/>
    <s v="Application Password"/>
    <x v="2"/>
    <n v="360"/>
    <x v="0"/>
    <s v="Walk-in"/>
    <s v="Tier 1"/>
    <s v="TECH-6"/>
    <s v="Mid-level"/>
    <x v="1"/>
    <s v="No"/>
    <n v="0"/>
    <s v="No"/>
    <n v="7"/>
    <n v="3.8"/>
    <n v="33.4"/>
    <s v="No"/>
    <s v="Poor"/>
    <s v="Yes"/>
    <s v="Marketing"/>
    <s v="Wednesday"/>
    <s v="Morning"/>
  </r>
  <r>
    <x v="704"/>
    <s v="2024-02-17 10:06:34"/>
    <x v="6"/>
    <s v="2024-02-23 09:42:34"/>
    <n v="143.6"/>
    <n v="6"/>
    <s v="Email/Calendar"/>
    <s v="Cannot Send/Receive"/>
    <x v="1"/>
    <n v="120"/>
    <x v="0"/>
    <s v="Email"/>
    <s v="Tier 2"/>
    <s v="TECH-12"/>
    <s v="Senior"/>
    <x v="0"/>
    <s v="Yes"/>
    <n v="1"/>
    <s v="No"/>
    <n v="6"/>
    <n v="1.9"/>
    <n v="27.2"/>
    <s v="Yes"/>
    <s v="Poor"/>
    <s v="Yes"/>
    <s v="Executive"/>
    <s v="Friday"/>
    <s v="Afternoon"/>
  </r>
  <r>
    <x v="705"/>
    <s v="2024-06-14 18:34:34"/>
    <x v="10"/>
    <s v="2024-06-27 15:34:34"/>
    <n v="309"/>
    <n v="12.9"/>
    <s v="Email/Calendar"/>
    <s v="Mailbox Full"/>
    <x v="0"/>
    <n v="240"/>
    <x v="0"/>
    <s v="Phone"/>
    <s v="Tier 1"/>
    <s v="TECH-24"/>
    <s v="Mid-level"/>
    <x v="0"/>
    <s v="No"/>
    <n v="1"/>
    <s v="No"/>
    <n v="7"/>
    <n v="2.6"/>
    <n v="38.200000000000003"/>
    <s v="No"/>
    <s v="Good"/>
    <s v="No"/>
    <s v="Executive"/>
    <s v="Thursday"/>
    <s v="Morning"/>
  </r>
  <r>
    <x v="706"/>
    <s v="2024-06-06 08:37:20"/>
    <x v="10"/>
    <s v="2024-06-20 13:31:20"/>
    <n v="340.9"/>
    <n v="14.2"/>
    <s v="Password Reset"/>
    <s v="Application Password"/>
    <x v="2"/>
    <n v="360"/>
    <x v="1"/>
    <s v="Phone"/>
    <s v="Tier 1"/>
    <s v="TECH-1"/>
    <s v="Mid-level"/>
    <x v="1"/>
    <s v="No"/>
    <n v="0"/>
    <s v="No"/>
    <n v="10"/>
    <n v="1.8"/>
    <n v="15.3"/>
    <s v="Yes"/>
    <s v="Fair"/>
    <s v="Yes"/>
    <s v="IT"/>
    <s v="Friday"/>
    <s v="Afternoon"/>
  </r>
  <r>
    <x v="707"/>
    <s v="2024-02-19 15:32:46"/>
    <x v="6"/>
    <s v="2024-03-16 05:44:46"/>
    <n v="614.20000000000005"/>
    <n v="25.6"/>
    <s v="Password Reset"/>
    <s v="Account Unlock"/>
    <x v="2"/>
    <n v="360"/>
    <x v="0"/>
    <s v="Email"/>
    <s v="Tier 1"/>
    <s v="TECH-2"/>
    <s v="Junior"/>
    <x v="1"/>
    <s v="No"/>
    <n v="0"/>
    <s v="No"/>
    <n v="7"/>
    <n v="0.1"/>
    <n v="11.3"/>
    <s v="Yes"/>
    <s v="Excellent"/>
    <s v="No"/>
    <s v="HR"/>
    <s v="Tuesday"/>
    <s v="Evening"/>
  </r>
  <r>
    <x v="708"/>
    <s v="2024-11-21 10:39:19"/>
    <x v="7"/>
    <s v="2024-12-02 15:15:19"/>
    <n v="268.60000000000002"/>
    <n v="11.2"/>
    <s v="Other"/>
    <s v="Miscellaneous"/>
    <x v="2"/>
    <n v="360"/>
    <x v="1"/>
    <s v="Phone"/>
    <s v="Tier 2"/>
    <s v="TECH-3"/>
    <s v="Junior"/>
    <x v="0"/>
    <s v="Yes"/>
    <n v="1"/>
    <s v="No"/>
    <n v="6"/>
    <n v="4.0999999999999996"/>
    <n v="0"/>
    <s v="Yes"/>
    <s v="Fair"/>
    <s v="Yes"/>
    <s v="IT"/>
    <s v="Monday"/>
    <s v="Afternoon"/>
  </r>
  <r>
    <x v="709"/>
    <s v="2024-04-08 04:53:11"/>
    <x v="11"/>
    <s v="2024-04-09 17:17:11"/>
    <n v="36.4"/>
    <n v="1.5"/>
    <s v="Access Requests"/>
    <s v="File Share"/>
    <x v="3"/>
    <n v="48"/>
    <x v="1"/>
    <s v="Portal"/>
    <s v="Tier 2"/>
    <s v="TECH-22"/>
    <s v="Mid-level"/>
    <x v="0"/>
    <s v="Yes"/>
    <n v="1"/>
    <s v="No"/>
    <n v="7"/>
    <n v="5.8"/>
    <n v="8.6"/>
    <s v="No"/>
    <s v="Poor"/>
    <s v="No"/>
    <s v="Marketing"/>
    <s v="Tuesday"/>
    <s v="Afternoon"/>
  </r>
  <r>
    <x v="710"/>
    <s v="2024-12-10 20:56:20"/>
    <x v="0"/>
    <s v="2025-01-23 19:44:20"/>
    <n v="1054.8"/>
    <n v="43.9"/>
    <s v="Software Installation"/>
    <s v="MS Office"/>
    <x v="2"/>
    <n v="360"/>
    <x v="0"/>
    <s v="Walk-in"/>
    <s v="Tier 1"/>
    <s v="TECH-2"/>
    <s v="Mid-level"/>
    <x v="0"/>
    <s v="No"/>
    <n v="1"/>
    <s v="Yes"/>
    <n v="4"/>
    <n v="1.8"/>
    <n v="32.9"/>
    <s v="Yes"/>
    <s v="Poor"/>
    <s v="No"/>
    <s v="Operations"/>
    <s v="Thursday"/>
    <s v="Morning"/>
  </r>
  <r>
    <x v="711"/>
    <s v="2024-09-10 06:12:58"/>
    <x v="9"/>
    <s v="2024-09-19 15:42:58"/>
    <n v="225.5"/>
    <n v="9.4"/>
    <s v="Access Requests"/>
    <s v="Application Access"/>
    <x v="0"/>
    <n v="240"/>
    <x v="1"/>
    <s v="Phone"/>
    <s v="Tier 1"/>
    <s v="TECH-8"/>
    <s v="Mid-level"/>
    <x v="0"/>
    <s v="No"/>
    <n v="1"/>
    <s v="No"/>
    <n v="10"/>
    <n v="0.9"/>
    <n v="34.9"/>
    <s v="No"/>
    <s v="Fair"/>
    <s v="Yes"/>
    <s v="Sales"/>
    <s v="Thursday"/>
    <s v="Morning"/>
  </r>
  <r>
    <x v="712"/>
    <s v="2024-02-27 21:36:13"/>
    <x v="6"/>
    <s v="2024-03-19 12:24:13"/>
    <n v="494.8"/>
    <n v="20.6"/>
    <s v="Software Installation"/>
    <s v="VPN Client"/>
    <x v="0"/>
    <n v="240"/>
    <x v="0"/>
    <s v="Email"/>
    <s v="Tier 1"/>
    <s v="TECH-3"/>
    <s v="Mid-level"/>
    <x v="1"/>
    <s v="No"/>
    <n v="0"/>
    <s v="No"/>
    <n v="8"/>
    <n v="3.9"/>
    <n v="23.2"/>
    <s v="No"/>
    <s v="Fair"/>
    <s v="No"/>
    <s v="Operations"/>
    <s v="Monday"/>
    <s v="Morning"/>
  </r>
  <r>
    <x v="713"/>
    <s v="2024-01-15 17:22:16"/>
    <x v="3"/>
    <s v="2024-02-02 23:52:16"/>
    <n v="438.5"/>
    <n v="18.3"/>
    <s v="Password Reset"/>
    <s v="Account Unlock"/>
    <x v="2"/>
    <n v="360"/>
    <x v="0"/>
    <s v="Email"/>
    <s v="Tier 1"/>
    <s v="TECH-12"/>
    <s v="Junior"/>
    <x v="0"/>
    <s v="No"/>
    <n v="1"/>
    <s v="No"/>
    <n v="5"/>
    <n v="0.5"/>
    <n v="23.5"/>
    <s v="Yes"/>
    <s v="Good"/>
    <s v="No"/>
    <s v="Finance"/>
    <s v="Monday"/>
    <s v="Evening"/>
  </r>
  <r>
    <x v="714"/>
    <s v="2024-05-18 11:51:15"/>
    <x v="8"/>
    <s v="2024-06-06 00:57:15"/>
    <n v="469.1"/>
    <n v="19.5"/>
    <s v="Password Reset"/>
    <s v="Account Unlock"/>
    <x v="2"/>
    <n v="360"/>
    <x v="0"/>
    <s v="Portal"/>
    <s v="Tier 1"/>
    <s v="TECH-18"/>
    <s v="Junior"/>
    <x v="0"/>
    <s v="No"/>
    <n v="1"/>
    <s v="No"/>
    <n v="7"/>
    <n v="5.0999999999999996"/>
    <n v="18"/>
    <s v="No"/>
    <s v="Poor"/>
    <s v="Yes"/>
    <s v="Executive"/>
    <s v="Monday"/>
    <s v="Afternoon"/>
  </r>
  <r>
    <x v="715"/>
    <s v="2024-01-04 15:14:16"/>
    <x v="3"/>
    <s v="2024-01-12 08:32:16"/>
    <n v="185.3"/>
    <n v="7.7"/>
    <s v="Other"/>
    <s v="Miscellaneous"/>
    <x v="0"/>
    <n v="240"/>
    <x v="1"/>
    <s v="Phone"/>
    <s v="Tier 2"/>
    <s v="TECH-25"/>
    <s v="Junior"/>
    <x v="0"/>
    <s v="Yes"/>
    <n v="3"/>
    <s v="No"/>
    <n v="7"/>
    <n v="2.7"/>
    <n v="9.6999999999999993"/>
    <s v="No"/>
    <s v="Fair"/>
    <s v="Yes"/>
    <s v="HR"/>
    <s v="Friday"/>
    <s v="Afternoon"/>
  </r>
  <r>
    <x v="716"/>
    <s v="2024-12-07 14:54:09"/>
    <x v="0"/>
    <s v="2024-12-15 10:42:09"/>
    <n v="187.8"/>
    <n v="7.8"/>
    <s v="Email/Calendar"/>
    <s v="Mailbox Full"/>
    <x v="0"/>
    <n v="240"/>
    <x v="1"/>
    <s v="Walk-in"/>
    <s v="Tier 1"/>
    <s v="TECH-14"/>
    <s v="Senior"/>
    <x v="0"/>
    <s v="No"/>
    <n v="1"/>
    <s v="No"/>
    <n v="8"/>
    <n v="2.7"/>
    <n v="5.9"/>
    <s v="No"/>
    <s v="Good"/>
    <s v="Yes"/>
    <s v="Sales"/>
    <s v="Wednesday"/>
    <s v="Morning"/>
  </r>
  <r>
    <x v="717"/>
    <s v="2024-04-04 05:55:25"/>
    <x v="11"/>
    <s v="2024-04-16 12:55:25"/>
    <n v="295"/>
    <n v="12.3"/>
    <s v="Password Reset"/>
    <s v="Windows Password"/>
    <x v="2"/>
    <n v="360"/>
    <x v="1"/>
    <s v="Phone"/>
    <s v="Tier 1"/>
    <s v="TECH-6"/>
    <s v="Mid-level"/>
    <x v="1"/>
    <s v="No"/>
    <n v="0"/>
    <s v="No"/>
    <n v="10"/>
    <n v="3.7"/>
    <n v="8.1"/>
    <s v="Yes"/>
    <s v="Poor"/>
    <s v="Yes"/>
    <s v="Marketing"/>
    <s v="Wednesday"/>
    <s v="Afternoon"/>
  </r>
  <r>
    <x v="718"/>
    <s v="2024-01-27 08:08:25"/>
    <x v="3"/>
    <s v="2024-02-02 14:02:25"/>
    <n v="149.9"/>
    <n v="6.2"/>
    <s v="Email/Calendar"/>
    <s v="Mailbox Full"/>
    <x v="0"/>
    <n v="240"/>
    <x v="1"/>
    <s v="Phone"/>
    <s v="Tier 1"/>
    <s v="TECH-11"/>
    <s v="Junior"/>
    <x v="0"/>
    <s v="No"/>
    <n v="1"/>
    <s v="Yes"/>
    <n v="8"/>
    <n v="2.7"/>
    <n v="22.3"/>
    <s v="No"/>
    <s v="Poor"/>
    <s v="Yes"/>
    <s v="Sales"/>
    <s v="Thursday"/>
    <s v="Afternoon"/>
  </r>
  <r>
    <x v="719"/>
    <s v="2024-02-01 08:08:28"/>
    <x v="6"/>
    <s v="2024-02-27 02:38:28"/>
    <n v="618.5"/>
    <n v="25.8"/>
    <s v="Password Reset"/>
    <s v="Email Password"/>
    <x v="2"/>
    <n v="360"/>
    <x v="0"/>
    <s v="Email"/>
    <s v="Tier 1"/>
    <s v="TECH-5"/>
    <s v="Senior"/>
    <x v="1"/>
    <s v="No"/>
    <n v="0"/>
    <s v="No"/>
    <n v="6"/>
    <n v="0.4"/>
    <n v="25.2"/>
    <s v="Yes"/>
    <s v="Poor"/>
    <s v="Yes"/>
    <s v="IT"/>
    <s v="Thursday"/>
    <s v="Morning"/>
  </r>
  <r>
    <x v="720"/>
    <s v="2024-08-06 16:22:55"/>
    <x v="1"/>
    <s v="2024-08-14 11:28:55"/>
    <n v="187.1"/>
    <n v="7.8"/>
    <s v="Application Errors"/>
    <s v="Login Issues"/>
    <x v="0"/>
    <n v="240"/>
    <x v="1"/>
    <s v="Phone"/>
    <s v="Tier 2"/>
    <s v="TECH-16"/>
    <s v="Mid-level"/>
    <x v="0"/>
    <s v="Yes"/>
    <n v="4"/>
    <s v="No"/>
    <n v="8"/>
    <n v="2.2000000000000002"/>
    <n v="34"/>
    <s v="Yes"/>
    <s v="Fair"/>
    <s v="No"/>
    <s v="Finance"/>
    <s v="Monday"/>
    <s v="Morning"/>
  </r>
  <r>
    <x v="721"/>
    <s v="2024-10-04 11:25:29"/>
    <x v="2"/>
    <s v="2024-10-13 16:13:29"/>
    <n v="220.8"/>
    <n v="9.1999999999999993"/>
    <s v="Password Reset"/>
    <s v="Email Password"/>
    <x v="2"/>
    <n v="360"/>
    <x v="1"/>
    <s v="Phone"/>
    <s v="Tier 1"/>
    <s v="TECH-8"/>
    <s v="Mid-level"/>
    <x v="0"/>
    <s v="No"/>
    <n v="1"/>
    <s v="No"/>
    <n v="7"/>
    <n v="0.1"/>
    <n v="27.6"/>
    <s v="Yes"/>
    <s v="Good"/>
    <s v="No"/>
    <s v="Finance"/>
    <s v="Friday"/>
    <s v="Afternoon"/>
  </r>
  <r>
    <x v="722"/>
    <s v="2024-10-10 03:04:23"/>
    <x v="2"/>
    <s v="2024-10-27 13:28:23"/>
    <n v="419.4"/>
    <n v="17.5"/>
    <s v="Software Installation"/>
    <s v="VPN Client"/>
    <x v="2"/>
    <n v="360"/>
    <x v="0"/>
    <s v="Email"/>
    <s v="Tier 1"/>
    <s v="TECH-15"/>
    <s v="Senior"/>
    <x v="0"/>
    <s v="No"/>
    <n v="1"/>
    <s v="No"/>
    <n v="5"/>
    <n v="4.7"/>
    <n v="0"/>
    <s v="Yes"/>
    <s v="Poor"/>
    <s v="Yes"/>
    <s v="Marketing"/>
    <s v="Monday"/>
    <s v="Afternoon"/>
  </r>
  <r>
    <x v="723"/>
    <s v="2024-05-29 08:48:55"/>
    <x v="8"/>
    <s v="2024-06-09 12:00:55"/>
    <n v="267.2"/>
    <n v="11.1"/>
    <s v="Password Reset"/>
    <s v="Account Unlock"/>
    <x v="2"/>
    <n v="360"/>
    <x v="1"/>
    <s v="Email"/>
    <s v="Tier 1"/>
    <s v="TECH-1"/>
    <s v="Junior"/>
    <x v="0"/>
    <s v="No"/>
    <n v="1"/>
    <s v="No"/>
    <n v="10"/>
    <n v="0.1"/>
    <n v="31.9"/>
    <s v="Yes"/>
    <s v="Fair"/>
    <s v="No"/>
    <s v="Sales"/>
    <s v="Thursday"/>
    <s v="Morning"/>
  </r>
  <r>
    <x v="724"/>
    <s v="2024-07-05 17:41:14"/>
    <x v="4"/>
    <s v="2024-08-01 09:41:14"/>
    <n v="640"/>
    <n v="26.7"/>
    <s v="Password Reset"/>
    <s v="Account Unlock"/>
    <x v="2"/>
    <n v="360"/>
    <x v="0"/>
    <s v="Phone"/>
    <s v="Tier 1"/>
    <s v="TECH-6"/>
    <s v="Mid-level"/>
    <x v="1"/>
    <s v="No"/>
    <n v="0"/>
    <s v="No"/>
    <n v="9"/>
    <n v="2.5"/>
    <n v="0"/>
    <s v="Yes"/>
    <s v="Fair"/>
    <s v="No"/>
    <s v="Sales"/>
    <s v="Monday"/>
    <s v="Evening"/>
  </r>
  <r>
    <x v="725"/>
    <s v="2024-03-22 20:15:42"/>
    <x v="5"/>
    <s v="2024-03-26 23:03:42"/>
    <n v="98.8"/>
    <n v="4.0999999999999996"/>
    <s v="Software Installation"/>
    <s v="VPN Client"/>
    <x v="1"/>
    <n v="120"/>
    <x v="1"/>
    <s v="Portal"/>
    <s v="Tier 1"/>
    <s v="TECH-15"/>
    <s v="Mid-level"/>
    <x v="1"/>
    <s v="No"/>
    <n v="0"/>
    <s v="No"/>
    <n v="10"/>
    <n v="3.4"/>
    <n v="25.7"/>
    <s v="Yes"/>
    <s v="Poor"/>
    <s v="No"/>
    <s v="IT"/>
    <s v="Monday"/>
    <s v="Afternoon"/>
  </r>
  <r>
    <x v="726"/>
    <s v="2024-06-16 14:33:00"/>
    <x v="10"/>
    <s v="2024-06-27 00:21:00"/>
    <n v="273.8"/>
    <n v="11.4"/>
    <s v="Access Requests"/>
    <s v="VPN Access"/>
    <x v="0"/>
    <n v="240"/>
    <x v="0"/>
    <s v="Email"/>
    <s v="Tier 1"/>
    <s v="TECH-7"/>
    <s v="Junior"/>
    <x v="1"/>
    <s v="No"/>
    <n v="0"/>
    <s v="Yes"/>
    <n v="6"/>
    <n v="0.1"/>
    <n v="18.600000000000001"/>
    <s v="Yes"/>
    <s v="Good"/>
    <s v="Yes"/>
    <s v="Marketing"/>
    <s v="Monday"/>
    <s v="Morning"/>
  </r>
  <r>
    <x v="727"/>
    <s v="2024-09-12 10:25:41"/>
    <x v="9"/>
    <s v="2024-09-15 11:25:41"/>
    <n v="73"/>
    <n v="3"/>
    <s v="Email/Calendar"/>
    <s v="Distribution List"/>
    <x v="1"/>
    <n v="120"/>
    <x v="1"/>
    <s v="Phone"/>
    <s v="Tier 1"/>
    <s v="TECH-6"/>
    <s v="Mid-level"/>
    <x v="0"/>
    <s v="No"/>
    <n v="1"/>
    <s v="No"/>
    <n v="9"/>
    <n v="0.1"/>
    <n v="11.5"/>
    <s v="Yes"/>
    <s v="Poor"/>
    <s v="Yes"/>
    <s v="IT"/>
    <s v="Wednesday"/>
    <s v="Morning"/>
  </r>
  <r>
    <x v="728"/>
    <s v="2024-03-05 14:54:10"/>
    <x v="5"/>
    <s v="2024-03-12 17:42:10"/>
    <n v="170.8"/>
    <n v="7.1"/>
    <s v="Application Errors"/>
    <s v="Crash"/>
    <x v="1"/>
    <n v="120"/>
    <x v="0"/>
    <s v="Walk-in"/>
    <s v="Tier 1"/>
    <s v="TECH-3"/>
    <s v="Mid-level"/>
    <x v="0"/>
    <s v="No"/>
    <n v="1"/>
    <s v="No"/>
    <n v="6"/>
    <n v="1"/>
    <n v="6.4"/>
    <s v="Yes"/>
    <s v="Good"/>
    <s v="Yes"/>
    <s v="Operations"/>
    <s v="Tuesday"/>
    <s v="Afternoon"/>
  </r>
  <r>
    <x v="729"/>
    <s v="2024-04-10 23:00:04"/>
    <x v="11"/>
    <s v="2024-04-20 05:36:04"/>
    <n v="222.6"/>
    <n v="9.3000000000000007"/>
    <s v="Hardware Issues"/>
    <s v="Desktop"/>
    <x v="0"/>
    <n v="240"/>
    <x v="1"/>
    <s v="Phone"/>
    <s v="Tier 2"/>
    <s v="TECH-19"/>
    <s v="Junior"/>
    <x v="0"/>
    <s v="Yes"/>
    <n v="2"/>
    <s v="No"/>
    <n v="10"/>
    <n v="0.4"/>
    <n v="33.9"/>
    <s v="Yes"/>
    <s v="Poor"/>
    <s v="No"/>
    <s v="Legal"/>
    <s v="Monday"/>
    <s v="Morning"/>
  </r>
  <r>
    <x v="730"/>
    <s v="2024-02-20 12:13:41"/>
    <x v="6"/>
    <s v="2024-03-09 11:01:41"/>
    <n v="430.8"/>
    <n v="18"/>
    <s v="Access Requests"/>
    <s v="Admin Rights"/>
    <x v="0"/>
    <n v="240"/>
    <x v="0"/>
    <s v="Walk-in"/>
    <s v="Tier 1"/>
    <s v="TECH-13"/>
    <s v="Senior"/>
    <x v="1"/>
    <s v="No"/>
    <n v="0"/>
    <s v="No"/>
    <n v="7"/>
    <n v="2.8"/>
    <n v="0"/>
    <s v="No"/>
    <s v="Poor"/>
    <s v="No"/>
    <s v="Marketing"/>
    <s v="Wednesday"/>
    <s v="Afternoon"/>
  </r>
  <r>
    <x v="731"/>
    <s v="2024-11-19 09:32:21"/>
    <x v="7"/>
    <s v="2024-11-21 11:44:21"/>
    <n v="50.2"/>
    <n v="2.1"/>
    <s v="Hardware Issues"/>
    <s v="Laptop"/>
    <x v="3"/>
    <n v="48"/>
    <x v="0"/>
    <s v="Chat"/>
    <s v="Tier 1"/>
    <s v="TECH-6"/>
    <s v="Senior"/>
    <x v="0"/>
    <s v="No"/>
    <n v="1"/>
    <s v="No"/>
    <n v="3"/>
    <n v="2.2000000000000002"/>
    <n v="28.7"/>
    <s v="Yes"/>
    <s v="Fair"/>
    <s v="Yes"/>
    <s v="Sales"/>
    <s v="Thursday"/>
    <s v="Afternoon"/>
  </r>
  <r>
    <x v="732"/>
    <s v="2024-03-29 08:51:30"/>
    <x v="5"/>
    <s v="2024-04-02 16:33:30"/>
    <n v="102.7"/>
    <n v="4.3"/>
    <s v="Application Errors"/>
    <s v="Login Issues"/>
    <x v="1"/>
    <n v="120"/>
    <x v="1"/>
    <s v="Phone"/>
    <s v="Tier 2"/>
    <s v="TECH-1"/>
    <s v="Mid-level"/>
    <x v="0"/>
    <s v="Yes"/>
    <n v="2"/>
    <s v="No"/>
    <n v="8"/>
    <n v="3.5"/>
    <n v="29.2"/>
    <s v="Yes"/>
    <s v="Good"/>
    <s v="No"/>
    <s v="IT"/>
    <s v="Monday"/>
    <s v="Evening"/>
  </r>
  <r>
    <x v="733"/>
    <s v="2024-10-25 14:39:44"/>
    <x v="2"/>
    <s v="2024-11-06 21:57:44"/>
    <n v="296.3"/>
    <n v="12.3"/>
    <s v="Access Requests"/>
    <s v="Application Access"/>
    <x v="0"/>
    <n v="240"/>
    <x v="0"/>
    <s v="Phone"/>
    <s v="Tier 1"/>
    <s v="TECH-5"/>
    <s v="Senior"/>
    <x v="1"/>
    <s v="No"/>
    <n v="0"/>
    <s v="No"/>
    <n v="5"/>
    <n v="3.1"/>
    <n v="26.9"/>
    <s v="Yes"/>
    <s v="Good"/>
    <s v="Yes"/>
    <s v="IT"/>
    <s v="Wednesday"/>
    <s v="Morning"/>
  </r>
  <r>
    <x v="734"/>
    <s v="2024-05-02 10:09:50"/>
    <x v="8"/>
    <s v="2024-05-03 17:33:50"/>
    <n v="31.4"/>
    <n v="1.3"/>
    <s v="Software Installation"/>
    <s v="Drivers"/>
    <x v="3"/>
    <n v="48"/>
    <x v="1"/>
    <s v="Portal"/>
    <s v="Tier 1"/>
    <s v="TECH-23"/>
    <s v="Senior"/>
    <x v="0"/>
    <s v="No"/>
    <n v="1"/>
    <s v="Yes"/>
    <n v="9"/>
    <n v="6.2"/>
    <n v="32.6"/>
    <s v="Yes"/>
    <s v="Excellent"/>
    <s v="No"/>
    <s v="HR"/>
    <s v="Tuesday"/>
    <s v="Morning"/>
  </r>
  <r>
    <x v="735"/>
    <s v="2024-04-01 23:03:02"/>
    <x v="11"/>
    <s v="2024-04-11 01:51:02"/>
    <n v="242.8"/>
    <n v="10.1"/>
    <s v="Password Reset"/>
    <s v="Email Password"/>
    <x v="2"/>
    <n v="360"/>
    <x v="1"/>
    <s v="Phone"/>
    <s v="Tier 1"/>
    <s v="TECH-2"/>
    <s v="Senior"/>
    <x v="1"/>
    <s v="No"/>
    <n v="0"/>
    <s v="No"/>
    <n v="9"/>
    <n v="1.7"/>
    <n v="15.7"/>
    <s v="Yes"/>
    <s v="Poor"/>
    <s v="No"/>
    <s v="Sales"/>
    <s v="Tuesday"/>
    <s v="Morning"/>
  </r>
  <r>
    <x v="736"/>
    <s v="2024-07-08 18:49:53"/>
    <x v="4"/>
    <s v="2024-07-26 12:43:53"/>
    <n v="425.9"/>
    <n v="17.7"/>
    <s v="Email/Calendar"/>
    <s v="Distribution List"/>
    <x v="2"/>
    <n v="360"/>
    <x v="0"/>
    <s v="Portal"/>
    <s v="Tier 2"/>
    <s v="TECH-1"/>
    <s v="Mid-level"/>
    <x v="0"/>
    <s v="Yes"/>
    <n v="1"/>
    <s v="No"/>
    <n v="7"/>
    <n v="0.1"/>
    <n v="20.7"/>
    <s v="No"/>
    <s v="Good"/>
    <s v="Yes"/>
    <s v="Sales"/>
    <s v="Tuesday"/>
    <s v="Evening"/>
  </r>
  <r>
    <x v="737"/>
    <s v="2024-04-30 18:27:45"/>
    <x v="11"/>
    <s v="2024-05-17 13:09:45"/>
    <n v="402.7"/>
    <n v="16.8"/>
    <s v="Password Reset"/>
    <s v="Application Password"/>
    <x v="2"/>
    <n v="360"/>
    <x v="0"/>
    <s v="Phone"/>
    <s v="Tier 1"/>
    <s v="TECH-21"/>
    <s v="Senior"/>
    <x v="0"/>
    <s v="No"/>
    <n v="1"/>
    <s v="Yes"/>
    <n v="7"/>
    <n v="1.5"/>
    <n v="28.9"/>
    <s v="Yes"/>
    <s v="Good"/>
    <s v="No"/>
    <s v="Legal"/>
    <s v="Tuesday"/>
    <s v="Morning"/>
  </r>
  <r>
    <x v="738"/>
    <s v="2024-07-07 09:46:43"/>
    <x v="4"/>
    <s v="2024-07-11 08:22:43"/>
    <n v="94.6"/>
    <n v="3.9"/>
    <s v="Hardware Issues"/>
    <s v="Laptop"/>
    <x v="1"/>
    <n v="120"/>
    <x v="1"/>
    <s v="Phone"/>
    <s v="Tier 2"/>
    <s v="TECH-4"/>
    <s v="Mid-level"/>
    <x v="0"/>
    <s v="Yes"/>
    <n v="3"/>
    <s v="No"/>
    <n v="6"/>
    <n v="2.2999999999999998"/>
    <n v="9.8000000000000007"/>
    <s v="Yes"/>
    <s v="Good"/>
    <s v="No"/>
    <s v="HR"/>
    <s v="Tuesday"/>
    <s v="Afternoon"/>
  </r>
  <r>
    <x v="739"/>
    <s v="2024-12-15 14:39:29"/>
    <x v="0"/>
    <s v="2024-12-25 02:51:29"/>
    <n v="228.2"/>
    <n v="9.5"/>
    <s v="Password Reset"/>
    <s v="Email Password"/>
    <x v="2"/>
    <n v="360"/>
    <x v="1"/>
    <s v="Phone"/>
    <s v="Tier 1"/>
    <s v="TECH-10"/>
    <s v="Mid-level"/>
    <x v="1"/>
    <s v="No"/>
    <n v="0"/>
    <s v="No"/>
    <n v="8"/>
    <n v="4.7"/>
    <n v="14.5"/>
    <s v="Yes"/>
    <s v="Good"/>
    <s v="Yes"/>
    <s v="HR"/>
    <s v="Monday"/>
    <s v="Morning"/>
  </r>
  <r>
    <x v="740"/>
    <s v="2024-05-26 20:17:00"/>
    <x v="8"/>
    <s v="2024-06-01 04:17:00"/>
    <n v="128"/>
    <n v="5.3"/>
    <s v="Hardware Issues"/>
    <s v="Printer"/>
    <x v="1"/>
    <n v="120"/>
    <x v="0"/>
    <s v="Email"/>
    <s v="Tier 1"/>
    <s v="TECH-1"/>
    <s v="Mid-level"/>
    <x v="0"/>
    <s v="No"/>
    <n v="1"/>
    <s v="Yes"/>
    <n v="8"/>
    <n v="3"/>
    <n v="9.1999999999999993"/>
    <s v="No"/>
    <s v="Good"/>
    <s v="No"/>
    <s v="Finance"/>
    <s v="Monday"/>
    <s v="Morning"/>
  </r>
  <r>
    <x v="741"/>
    <s v="2024-08-12 06:44:15"/>
    <x v="1"/>
    <s v="2024-08-28 06:26:15"/>
    <n v="383.7"/>
    <n v="16"/>
    <s v="Password Reset"/>
    <s v="Windows Password"/>
    <x v="2"/>
    <n v="360"/>
    <x v="0"/>
    <s v="Phone"/>
    <s v="Tier 1"/>
    <s v="TECH-18"/>
    <s v="Junior"/>
    <x v="1"/>
    <s v="No"/>
    <n v="0"/>
    <s v="Yes"/>
    <n v="7"/>
    <n v="6"/>
    <n v="27.7"/>
    <s v="No"/>
    <s v="Poor"/>
    <s v="No"/>
    <s v="IT"/>
    <s v="Friday"/>
    <s v="Evening"/>
  </r>
  <r>
    <x v="742"/>
    <s v="2024-02-11 16:57:05"/>
    <x v="6"/>
    <s v="2024-02-20 18:45:05"/>
    <n v="217.8"/>
    <n v="9.1"/>
    <s v="Password Reset"/>
    <s v="Email Password"/>
    <x v="2"/>
    <n v="360"/>
    <x v="1"/>
    <s v="Phone"/>
    <s v="Tier 1"/>
    <s v="TECH-8"/>
    <s v="Mid-level"/>
    <x v="1"/>
    <s v="No"/>
    <n v="0"/>
    <s v="No"/>
    <n v="10"/>
    <n v="3.2"/>
    <n v="35.700000000000003"/>
    <s v="Yes"/>
    <s v="Good"/>
    <s v="Yes"/>
    <s v="Finance"/>
    <s v="Tuesday"/>
    <s v="Morning"/>
  </r>
  <r>
    <x v="743"/>
    <s v="2024-08-28 14:58:49"/>
    <x v="1"/>
    <s v="2024-09-04 04:52:49"/>
    <n v="157.9"/>
    <n v="6.6"/>
    <s v="Other"/>
    <s v="Miscellaneous"/>
    <x v="0"/>
    <n v="240"/>
    <x v="1"/>
    <s v="Portal"/>
    <s v="Tier 1"/>
    <s v="TECH-8"/>
    <s v="Junior"/>
    <x v="1"/>
    <s v="No"/>
    <n v="0"/>
    <s v="No"/>
    <n v="10"/>
    <n v="4.7"/>
    <n v="24.4"/>
    <s v="Yes"/>
    <s v="Good"/>
    <s v="No"/>
    <s v="HR"/>
    <s v="Wednesday"/>
    <s v="Afternoon"/>
  </r>
  <r>
    <x v="744"/>
    <s v="2024-10-12 03:04:28"/>
    <x v="2"/>
    <s v="2024-11-09 13:28:28"/>
    <n v="683.4"/>
    <n v="28.5"/>
    <s v="Email/Calendar"/>
    <s v="Distribution List"/>
    <x v="2"/>
    <n v="360"/>
    <x v="0"/>
    <s v="Email"/>
    <s v="Tier 1"/>
    <s v="TECH-5"/>
    <s v="Senior"/>
    <x v="1"/>
    <s v="No"/>
    <n v="0"/>
    <s v="No"/>
    <n v="7"/>
    <n v="1.2"/>
    <n v="19.3"/>
    <s v="Yes"/>
    <s v="Good"/>
    <s v="Yes"/>
    <s v="Operations"/>
    <s v="Wednesday"/>
    <s v="Evening"/>
  </r>
  <r>
    <x v="745"/>
    <s v="2024-01-31 15:03:29"/>
    <x v="3"/>
    <s v="2024-02-07 11:33:29"/>
    <n v="164.5"/>
    <n v="6.9"/>
    <s v="Email/Calendar"/>
    <s v="Cannot Send/Receive"/>
    <x v="1"/>
    <n v="120"/>
    <x v="0"/>
    <s v="Phone"/>
    <s v="Tier 1"/>
    <s v="TECH-22"/>
    <s v="Junior"/>
    <x v="0"/>
    <s v="No"/>
    <n v="1"/>
    <s v="Yes"/>
    <n v="6"/>
    <n v="2.9"/>
    <n v="1.8"/>
    <s v="Yes"/>
    <s v="Poor"/>
    <s v="No"/>
    <s v="Executive"/>
    <s v="Wednesday"/>
    <s v="Evening"/>
  </r>
  <r>
    <x v="746"/>
    <s v="2024-04-18 11:40:07"/>
    <x v="11"/>
    <s v="2024-04-20 05:16:07"/>
    <n v="41.6"/>
    <n v="1.7"/>
    <s v="Application Errors"/>
    <s v="Crash"/>
    <x v="3"/>
    <n v="48"/>
    <x v="1"/>
    <s v="Portal"/>
    <s v="Tier 1"/>
    <s v="TECH-17"/>
    <s v="Junior"/>
    <x v="0"/>
    <s v="No"/>
    <n v="1"/>
    <s v="No"/>
    <n v="9"/>
    <n v="0.1"/>
    <n v="16.3"/>
    <s v="No"/>
    <s v="Fair"/>
    <s v="Yes"/>
    <s v="Marketing"/>
    <s v="Tuesday"/>
    <s v="Morning"/>
  </r>
  <r>
    <x v="747"/>
    <s v="2024-01-04 12:17:00"/>
    <x v="3"/>
    <s v="2024-01-16 17:35:00"/>
    <n v="293.3"/>
    <n v="12.2"/>
    <s v="Other"/>
    <s v="Documentation"/>
    <x v="2"/>
    <n v="360"/>
    <x v="1"/>
    <s v="Phone"/>
    <s v="Tier 1"/>
    <s v="TECH-24"/>
    <s v="Mid-level"/>
    <x v="0"/>
    <s v="No"/>
    <n v="1"/>
    <s v="Yes"/>
    <n v="10"/>
    <n v="3.2"/>
    <n v="0"/>
    <s v="Yes"/>
    <s v="Good"/>
    <s v="Yes"/>
    <s v="IT"/>
    <s v="Thursday"/>
    <s v="Morning"/>
  </r>
  <r>
    <x v="748"/>
    <s v="2024-05-07 12:23:25"/>
    <x v="8"/>
    <s v="2024-05-15 18:17:25"/>
    <n v="197.9"/>
    <n v="8.1999999999999993"/>
    <s v="Access Requests"/>
    <s v="VPN Access"/>
    <x v="0"/>
    <n v="240"/>
    <x v="1"/>
    <s v="Walk-in"/>
    <s v="Tier 1"/>
    <s v="TECH-14"/>
    <s v="Mid-level"/>
    <x v="1"/>
    <s v="No"/>
    <n v="0"/>
    <s v="Yes"/>
    <n v="10"/>
    <n v="3.5"/>
    <n v="14.5"/>
    <s v="Yes"/>
    <s v="Poor"/>
    <s v="Yes"/>
    <s v="Finance"/>
    <s v="Monday"/>
    <s v="Afternoon"/>
  </r>
  <r>
    <x v="749"/>
    <s v="2024-07-23 19:14:38"/>
    <x v="4"/>
    <s v="2024-07-30 03:20:38"/>
    <n v="152.1"/>
    <n v="6.3"/>
    <s v="Password Reset"/>
    <s v="Account Unlock"/>
    <x v="0"/>
    <n v="240"/>
    <x v="1"/>
    <s v="Phone"/>
    <s v="Tier 1"/>
    <s v="TECH-20"/>
    <s v="Mid-level"/>
    <x v="1"/>
    <s v="No"/>
    <n v="0"/>
    <s v="Yes"/>
    <n v="10"/>
    <n v="1.9"/>
    <n v="21.1"/>
    <s v="Yes"/>
    <s v="Fair"/>
    <s v="No"/>
    <s v="Executive"/>
    <s v="Wednesday"/>
    <s v="Evening"/>
  </r>
  <r>
    <x v="750"/>
    <s v="2024-03-23 07:26:49"/>
    <x v="5"/>
    <s v="2024-03-25 00:14:49"/>
    <n v="64.8"/>
    <n v="2.7"/>
    <s v="Application Errors"/>
    <s v="Login Issues"/>
    <x v="3"/>
    <n v="48"/>
    <x v="0"/>
    <s v="Phone"/>
    <s v="Tier 1"/>
    <s v="TECH-7"/>
    <s v="Junior"/>
    <x v="0"/>
    <s v="No"/>
    <n v="1"/>
    <s v="No"/>
    <n v="3"/>
    <n v="2.2000000000000002"/>
    <n v="30.1"/>
    <s v="No"/>
    <s v="Good"/>
    <s v="Yes"/>
    <s v="Marketing"/>
    <s v="Tuesday"/>
    <s v="Morning"/>
  </r>
  <r>
    <x v="751"/>
    <s v="2024-09-29 19:26:37"/>
    <x v="9"/>
    <s v="2024-10-13 11:38:37"/>
    <n v="328.2"/>
    <n v="13.7"/>
    <s v="Password Reset"/>
    <s v="Account Unlock"/>
    <x v="2"/>
    <n v="360"/>
    <x v="1"/>
    <s v="Email"/>
    <s v="Tier 1"/>
    <s v="TECH-4"/>
    <s v="Junior"/>
    <x v="1"/>
    <s v="No"/>
    <n v="0"/>
    <s v="Yes"/>
    <n v="10"/>
    <n v="0.5"/>
    <n v="18.8"/>
    <s v="Yes"/>
    <s v="Fair"/>
    <s v="No"/>
    <s v="Marketing"/>
    <s v="Friday"/>
    <s v="Morning"/>
  </r>
  <r>
    <x v="752"/>
    <s v="2024-08-11 08:41:13"/>
    <x v="1"/>
    <s v="2024-08-17 12:35:13"/>
    <n v="147.9"/>
    <n v="6.2"/>
    <s v="Software Installation"/>
    <s v="Business Apps"/>
    <x v="0"/>
    <n v="240"/>
    <x v="1"/>
    <s v="Walk-in"/>
    <s v="Tier 2"/>
    <s v="TECH-14"/>
    <s v="Senior"/>
    <x v="0"/>
    <s v="Yes"/>
    <n v="3"/>
    <s v="Yes"/>
    <n v="8"/>
    <n v="5.0999999999999996"/>
    <n v="29.2"/>
    <s v="No"/>
    <s v="Poor"/>
    <s v="No"/>
    <s v="Sales"/>
    <s v="Friday"/>
    <s v="Afternoon"/>
  </r>
  <r>
    <x v="753"/>
    <s v="2024-05-09 21:33:55"/>
    <x v="8"/>
    <s v="2024-05-24 03:27:55"/>
    <n v="341.9"/>
    <n v="14.2"/>
    <s v="Email/Calendar"/>
    <s v="Calendar Sync"/>
    <x v="2"/>
    <n v="360"/>
    <x v="1"/>
    <s v="Portal"/>
    <s v="Tier 1"/>
    <s v="TECH-19"/>
    <s v="Junior"/>
    <x v="1"/>
    <s v="No"/>
    <n v="0"/>
    <s v="No"/>
    <n v="6"/>
    <n v="0.1"/>
    <n v="32.200000000000003"/>
    <s v="Yes"/>
    <s v="Good"/>
    <s v="No"/>
    <s v="Operations"/>
    <s v="Wednesday"/>
    <s v="Morning"/>
  </r>
  <r>
    <x v="754"/>
    <s v="2024-02-16 23:21:46"/>
    <x v="6"/>
    <s v="2024-03-08 19:21:46"/>
    <n v="500"/>
    <n v="20.8"/>
    <s v="Access Requests"/>
    <s v="VPN Access"/>
    <x v="0"/>
    <n v="240"/>
    <x v="0"/>
    <s v="Chat"/>
    <s v="Tier 1"/>
    <s v="TECH-14"/>
    <s v="Junior"/>
    <x v="0"/>
    <s v="No"/>
    <n v="1"/>
    <s v="No"/>
    <n v="4"/>
    <n v="4.8"/>
    <n v="0.4"/>
    <s v="No"/>
    <s v="Excellent"/>
    <s v="No"/>
    <s v="IT"/>
    <s v="Thursday"/>
    <s v="Afternoon"/>
  </r>
  <r>
    <x v="755"/>
    <s v="2024-04-21 20:35:35"/>
    <x v="11"/>
    <s v="2024-05-05 06:59:35"/>
    <n v="322.39999999999998"/>
    <n v="13.4"/>
    <s v="Password Reset"/>
    <s v="Email Password"/>
    <x v="0"/>
    <n v="240"/>
    <x v="0"/>
    <s v="Phone"/>
    <s v="Tier 1"/>
    <s v="TECH-9"/>
    <s v="Senior"/>
    <x v="0"/>
    <s v="No"/>
    <n v="1"/>
    <s v="No"/>
    <n v="7"/>
    <n v="5.5"/>
    <n v="9"/>
    <s v="No"/>
    <s v="Fair"/>
    <s v="No"/>
    <s v="HR"/>
    <s v="Thursday"/>
    <s v="Morning"/>
  </r>
  <r>
    <x v="756"/>
    <s v="2024-10-22 03:34:16"/>
    <x v="2"/>
    <s v="2024-10-26 07:46:16"/>
    <n v="100.2"/>
    <n v="4.2"/>
    <s v="Network Connectivity"/>
    <s v="Ethernet"/>
    <x v="1"/>
    <n v="120"/>
    <x v="1"/>
    <s v="Portal"/>
    <s v="Tier 1"/>
    <s v="TECH-4"/>
    <s v="Junior"/>
    <x v="0"/>
    <s v="No"/>
    <n v="1"/>
    <s v="No"/>
    <n v="6"/>
    <n v="2"/>
    <n v="33.299999999999997"/>
    <s v="Yes"/>
    <s v="Fair"/>
    <s v="Yes"/>
    <s v="HR"/>
    <s v="Friday"/>
    <s v="Morning"/>
  </r>
  <r>
    <x v="757"/>
    <s v="2024-07-29 19:20:28"/>
    <x v="4"/>
    <s v="2024-08-12 16:02:28"/>
    <n v="332.7"/>
    <n v="13.9"/>
    <s v="Software Installation"/>
    <s v="MS Office"/>
    <x v="2"/>
    <n v="360"/>
    <x v="1"/>
    <s v="Portal"/>
    <s v="Tier 1"/>
    <s v="TECH-6"/>
    <s v="Junior"/>
    <x v="0"/>
    <s v="No"/>
    <n v="1"/>
    <s v="No"/>
    <n v="7"/>
    <n v="2.5"/>
    <n v="6.1"/>
    <s v="No"/>
    <s v="Fair"/>
    <s v="Yes"/>
    <s v="Legal"/>
    <s v="Friday"/>
    <s v="Morning"/>
  </r>
  <r>
    <x v="758"/>
    <s v="2024-10-07 14:30:54"/>
    <x v="2"/>
    <s v="2024-10-14 01:42:54"/>
    <n v="179.2"/>
    <n v="7.5"/>
    <s v="Hardware Issues"/>
    <s v="Laptop"/>
    <x v="1"/>
    <n v="120"/>
    <x v="0"/>
    <s v="Email"/>
    <s v="Tier 1"/>
    <s v="TECH-21"/>
    <s v="Mid-level"/>
    <x v="0"/>
    <s v="No"/>
    <n v="1"/>
    <s v="Yes"/>
    <n v="6"/>
    <n v="0.7"/>
    <n v="9.6999999999999993"/>
    <s v="Yes"/>
    <s v="Fair"/>
    <s v="Yes"/>
    <s v="Marketing"/>
    <s v="Monday"/>
    <s v="Morning"/>
  </r>
  <r>
    <x v="759"/>
    <s v="2024-06-05 20:17:37"/>
    <x v="10"/>
    <s v="2024-06-09 18:05:37"/>
    <n v="93.8"/>
    <n v="3.9"/>
    <s v="Access Requests"/>
    <s v="Admin Rights"/>
    <x v="1"/>
    <n v="120"/>
    <x v="1"/>
    <s v="Phone"/>
    <s v="Tier 1"/>
    <s v="TECH-16"/>
    <s v="Mid-level"/>
    <x v="0"/>
    <s v="No"/>
    <n v="1"/>
    <s v="Yes"/>
    <n v="6"/>
    <n v="0.5"/>
    <n v="14.1"/>
    <s v="No"/>
    <s v="Good"/>
    <s v="No"/>
    <s v="IT"/>
    <s v="Friday"/>
    <s v="Afternoon"/>
  </r>
  <r>
    <x v="760"/>
    <s v="2024-04-30 17:25:19"/>
    <x v="11"/>
    <s v="2024-05-06 20:01:19"/>
    <n v="146.6"/>
    <n v="6.1"/>
    <s v="Hardware Issues"/>
    <s v="Monitor"/>
    <x v="0"/>
    <n v="240"/>
    <x v="1"/>
    <s v="Phone"/>
    <s v="Tier 2"/>
    <s v="TECH-3"/>
    <s v="Junior"/>
    <x v="0"/>
    <s v="Yes"/>
    <n v="3"/>
    <s v="No"/>
    <n v="9"/>
    <n v="0.1"/>
    <n v="6.5"/>
    <s v="Yes"/>
    <s v="Poor"/>
    <s v="Yes"/>
    <s v="HR"/>
    <s v="Monday"/>
    <s v="Morning"/>
  </r>
  <r>
    <x v="761"/>
    <s v="2024-10-26 07:29:52"/>
    <x v="2"/>
    <s v="2024-11-09 15:11:52"/>
    <n v="344.7"/>
    <n v="14.4"/>
    <s v="Software Installation"/>
    <s v="VPN Client"/>
    <x v="0"/>
    <n v="240"/>
    <x v="0"/>
    <s v="Portal"/>
    <s v="Tier 1"/>
    <s v="TECH-16"/>
    <s v="Mid-level"/>
    <x v="0"/>
    <s v="No"/>
    <n v="1"/>
    <s v="No"/>
    <n v="6"/>
    <n v="0.8"/>
    <n v="16.600000000000001"/>
    <s v="No"/>
    <s v="Fair"/>
    <s v="No"/>
    <s v="Legal"/>
    <s v="Monday"/>
    <s v="Afternoon"/>
  </r>
  <r>
    <x v="762"/>
    <s v="2024-11-21 08:22:54"/>
    <x v="7"/>
    <s v="2024-11-27 22:28:54"/>
    <n v="158.1"/>
    <n v="6.6"/>
    <s v="Access Requests"/>
    <s v="File Share"/>
    <x v="0"/>
    <n v="240"/>
    <x v="1"/>
    <s v="Walk-in"/>
    <s v="Tier 1"/>
    <s v="TECH-16"/>
    <s v="Senior"/>
    <x v="1"/>
    <s v="No"/>
    <n v="0"/>
    <s v="No"/>
    <n v="10"/>
    <n v="2.7"/>
    <n v="15.6"/>
    <s v="No"/>
    <s v="Excellent"/>
    <s v="Yes"/>
    <s v="HR"/>
    <s v="Friday"/>
    <s v="Morning"/>
  </r>
  <r>
    <x v="763"/>
    <s v="2024-01-22 04:59:33"/>
    <x v="3"/>
    <s v="2024-01-29 06:53:33"/>
    <n v="169.9"/>
    <n v="7.1"/>
    <s v="Password Reset"/>
    <s v="Windows Password"/>
    <x v="1"/>
    <n v="120"/>
    <x v="0"/>
    <s v="Phone"/>
    <s v="Tier 1"/>
    <s v="TECH-23"/>
    <s v="Mid-level"/>
    <x v="1"/>
    <s v="No"/>
    <n v="0"/>
    <s v="No"/>
    <n v="9"/>
    <n v="0.6"/>
    <n v="5.5"/>
    <s v="No"/>
    <s v="Fair"/>
    <s v="Yes"/>
    <s v="Finance"/>
    <s v="Monday"/>
    <s v="Morning"/>
  </r>
  <r>
    <x v="764"/>
    <s v="2024-02-06 09:23:31"/>
    <x v="6"/>
    <s v="2024-02-12 11:05:31"/>
    <n v="145.69999999999999"/>
    <n v="6.1"/>
    <s v="Software Installation"/>
    <s v="VPN Client"/>
    <x v="0"/>
    <n v="240"/>
    <x v="1"/>
    <s v="Portal"/>
    <s v="Tier 2"/>
    <s v="TECH-23"/>
    <s v="Mid-level"/>
    <x v="0"/>
    <s v="Yes"/>
    <n v="3"/>
    <s v="No"/>
    <n v="5"/>
    <n v="2.4"/>
    <n v="39"/>
    <s v="Yes"/>
    <s v="Good"/>
    <s v="Yes"/>
    <s v="Executive"/>
    <s v="Monday"/>
    <s v="Morning"/>
  </r>
  <r>
    <x v="765"/>
    <s v="2024-03-28 10:52:26"/>
    <x v="5"/>
    <s v="2024-04-17 01:52:26"/>
    <n v="494"/>
    <n v="20.6"/>
    <s v="Application Errors"/>
    <s v="Performance"/>
    <x v="2"/>
    <n v="360"/>
    <x v="0"/>
    <s v="Walk-in"/>
    <s v="Tier 2"/>
    <s v="TECH-6"/>
    <s v="Mid-level"/>
    <x v="0"/>
    <s v="Yes"/>
    <n v="3"/>
    <s v="No"/>
    <n v="5"/>
    <n v="3.4"/>
    <n v="35.9"/>
    <s v="No"/>
    <s v="Fair"/>
    <s v="No"/>
    <s v="IT"/>
    <s v="Wednesday"/>
    <s v="Afternoon"/>
  </r>
  <r>
    <x v="766"/>
    <s v="2024-11-15 21:34:12"/>
    <x v="7"/>
    <s v="2024-11-25 06:58:12"/>
    <n v="225.4"/>
    <n v="9.4"/>
    <s v="Email/Calendar"/>
    <s v="Distribution List"/>
    <x v="0"/>
    <n v="240"/>
    <x v="1"/>
    <s v="Email"/>
    <s v="Tier 1"/>
    <s v="TECH-3"/>
    <s v="Mid-level"/>
    <x v="0"/>
    <s v="No"/>
    <n v="1"/>
    <s v="No"/>
    <n v="9"/>
    <n v="1.8"/>
    <n v="24.6"/>
    <s v="No"/>
    <s v="Fair"/>
    <s v="No"/>
    <s v="Executive"/>
    <s v="Friday"/>
    <s v="Morning"/>
  </r>
  <r>
    <x v="767"/>
    <s v="2024-06-24 23:07:10"/>
    <x v="10"/>
    <s v="2024-06-30 02:49:10"/>
    <n v="147.69999999999999"/>
    <n v="6.2"/>
    <s v="Access Requests"/>
    <s v="Application Access"/>
    <x v="0"/>
    <n v="240"/>
    <x v="1"/>
    <s v="Portal"/>
    <s v="Tier 1"/>
    <s v="TECH-17"/>
    <s v="Mid-level"/>
    <x v="1"/>
    <s v="No"/>
    <n v="0"/>
    <s v="No"/>
    <n v="10"/>
    <n v="3"/>
    <n v="22.3"/>
    <s v="Yes"/>
    <s v="Fair"/>
    <s v="Yes"/>
    <s v="Executive"/>
    <s v="Thursday"/>
    <s v="Morning"/>
  </r>
  <r>
    <x v="768"/>
    <s v="2024-03-14 14:14:43"/>
    <x v="5"/>
    <s v="2024-03-24 23:20:43"/>
    <n v="249.1"/>
    <n v="10.4"/>
    <s v="Other"/>
    <s v="General Inquiry"/>
    <x v="0"/>
    <n v="240"/>
    <x v="0"/>
    <s v="Email"/>
    <s v="Tier 1"/>
    <s v="TECH-14"/>
    <s v="Junior"/>
    <x v="1"/>
    <s v="No"/>
    <n v="0"/>
    <s v="No"/>
    <n v="9"/>
    <n v="1.2"/>
    <n v="18.3"/>
    <s v="Yes"/>
    <s v="Fair"/>
    <s v="Yes"/>
    <s v="Executive"/>
    <s v="Thursday"/>
    <s v="Afternoon"/>
  </r>
  <r>
    <x v="769"/>
    <s v="2024-10-15 17:49:31"/>
    <x v="2"/>
    <s v="2024-10-26 12:13:31"/>
    <n v="258.39999999999998"/>
    <n v="10.8"/>
    <s v="Application Errors"/>
    <s v="Crash"/>
    <x v="0"/>
    <n v="240"/>
    <x v="0"/>
    <s v="Phone"/>
    <s v="Tier 2"/>
    <s v="TECH-15"/>
    <s v="Mid-level"/>
    <x v="0"/>
    <s v="Yes"/>
    <n v="3"/>
    <s v="No"/>
    <n v="4"/>
    <n v="2"/>
    <n v="13.1"/>
    <s v="No"/>
    <s v="Good"/>
    <s v="No"/>
    <s v="IT"/>
    <s v="Monday"/>
    <s v="Evening"/>
  </r>
  <r>
    <x v="770"/>
    <s v="2024-05-13 07:06:44"/>
    <x v="8"/>
    <s v="2024-05-19 11:24:44"/>
    <n v="148.30000000000001"/>
    <n v="6.2"/>
    <s v="Hardware Issues"/>
    <s v="Docking Station"/>
    <x v="1"/>
    <n v="120"/>
    <x v="0"/>
    <s v="Portal"/>
    <s v="Tier 2"/>
    <s v="TECH-25"/>
    <s v="Mid-level"/>
    <x v="0"/>
    <s v="Yes"/>
    <n v="4"/>
    <s v="No"/>
    <n v="8"/>
    <n v="4.8"/>
    <n v="25.6"/>
    <s v="No"/>
    <s v="Poor"/>
    <s v="No"/>
    <s v="Marketing"/>
    <s v="Wednesday"/>
    <s v="Evening"/>
  </r>
  <r>
    <x v="771"/>
    <s v="2024-01-10 18:42:42"/>
    <x v="3"/>
    <s v="2024-01-14 21:54:42"/>
    <n v="99.2"/>
    <n v="4.0999999999999996"/>
    <s v="Hardware Issues"/>
    <s v="Laptop"/>
    <x v="1"/>
    <n v="120"/>
    <x v="1"/>
    <s v="Portal"/>
    <s v="Tier 1"/>
    <s v="TECH-9"/>
    <s v="Mid-level"/>
    <x v="0"/>
    <s v="No"/>
    <n v="1"/>
    <s v="No"/>
    <n v="9"/>
    <n v="4.5"/>
    <n v="12.2"/>
    <s v="Yes"/>
    <s v="Fair"/>
    <s v="Yes"/>
    <s v="Operations"/>
    <s v="Tuesday"/>
    <s v="Afternoon"/>
  </r>
  <r>
    <x v="772"/>
    <s v="2024-03-13 17:32:21"/>
    <x v="5"/>
    <s v="2024-03-22 12:14:21"/>
    <n v="210.7"/>
    <n v="8.8000000000000007"/>
    <s v="Access Requests"/>
    <s v="Admin Rights"/>
    <x v="0"/>
    <n v="240"/>
    <x v="1"/>
    <s v="Phone"/>
    <s v="Tier 1"/>
    <s v="TECH-24"/>
    <s v="Senior"/>
    <x v="0"/>
    <s v="No"/>
    <n v="1"/>
    <s v="No"/>
    <n v="9"/>
    <n v="4.3"/>
    <n v="25.4"/>
    <s v="Yes"/>
    <s v="Fair"/>
    <s v="Yes"/>
    <s v="Marketing"/>
    <s v="Thursday"/>
    <s v="Evening"/>
  </r>
  <r>
    <x v="773"/>
    <s v="2024-10-30 18:07:23"/>
    <x v="2"/>
    <s v="2024-11-08 07:49:23"/>
    <n v="205.7"/>
    <n v="8.6"/>
    <s v="Access Requests"/>
    <s v="Admin Rights"/>
    <x v="0"/>
    <n v="240"/>
    <x v="1"/>
    <s v="Chat"/>
    <s v="Tier 1"/>
    <s v="TECH-7"/>
    <s v="Mid-level"/>
    <x v="0"/>
    <s v="No"/>
    <n v="1"/>
    <s v="Yes"/>
    <n v="10"/>
    <n v="2.2999999999999998"/>
    <n v="14.6"/>
    <s v="No"/>
    <s v="Good"/>
    <s v="Yes"/>
    <s v="Sales"/>
    <s v="Monday"/>
    <s v="Afternoon"/>
  </r>
  <r>
    <x v="774"/>
    <s v="2024-09-25 02:46:13"/>
    <x v="9"/>
    <s v="2024-10-04 01:22:13"/>
    <n v="214.6"/>
    <n v="8.9"/>
    <s v="Application Errors"/>
    <s v="Features Not Working"/>
    <x v="0"/>
    <n v="240"/>
    <x v="1"/>
    <s v="Email"/>
    <s v="Tier 2"/>
    <s v="TECH-24"/>
    <s v="Senior"/>
    <x v="0"/>
    <s v="Yes"/>
    <n v="3"/>
    <s v="No"/>
    <n v="8"/>
    <n v="1"/>
    <n v="42.3"/>
    <s v="Yes"/>
    <s v="Fair"/>
    <s v="Yes"/>
    <s v="IT"/>
    <s v="Friday"/>
    <s v="Afternoon"/>
  </r>
  <r>
    <x v="775"/>
    <s v="2024-03-19 22:55:35"/>
    <x v="5"/>
    <s v="2024-03-31 12:13:35"/>
    <n v="276.3"/>
    <n v="11.5"/>
    <s v="Hardware Issues"/>
    <s v="Printer"/>
    <x v="1"/>
    <n v="120"/>
    <x v="0"/>
    <s v="Email"/>
    <s v="Tier 1"/>
    <s v="TECH-23"/>
    <s v="Mid-level"/>
    <x v="0"/>
    <s v="No"/>
    <n v="1"/>
    <s v="No"/>
    <n v="4"/>
    <n v="4.8"/>
    <n v="10.9"/>
    <s v="Yes"/>
    <s v="Fair"/>
    <s v="Yes"/>
    <s v="Finance"/>
    <s v="Thursday"/>
    <s v="Afternoon"/>
  </r>
  <r>
    <x v="776"/>
    <s v="2024-01-24 03:39:27"/>
    <x v="3"/>
    <s v="2024-01-27 12:33:27"/>
    <n v="80.900000000000006"/>
    <n v="3.4"/>
    <s v="Application Errors"/>
    <s v="Login Issues"/>
    <x v="1"/>
    <n v="120"/>
    <x v="1"/>
    <s v="Portal"/>
    <s v="Tier 2"/>
    <s v="TECH-14"/>
    <s v="Senior"/>
    <x v="0"/>
    <s v="Yes"/>
    <n v="4"/>
    <s v="No"/>
    <n v="7"/>
    <n v="0.1"/>
    <n v="9.6"/>
    <s v="No"/>
    <s v="Fair"/>
    <s v="Yes"/>
    <s v="IT"/>
    <s v="Monday"/>
    <s v="Afternoon"/>
  </r>
  <r>
    <x v="777"/>
    <s v="2024-10-16 18:33:08"/>
    <x v="2"/>
    <s v="2024-11-28 05:39:08"/>
    <n v="1020.1"/>
    <n v="42.5"/>
    <s v="Password Reset"/>
    <s v="Account Unlock"/>
    <x v="2"/>
    <n v="360"/>
    <x v="0"/>
    <s v="Email"/>
    <s v="Tier 1"/>
    <s v="TECH-3"/>
    <s v="Junior"/>
    <x v="1"/>
    <s v="No"/>
    <n v="0"/>
    <s v="Yes"/>
    <n v="5"/>
    <n v="0.5"/>
    <n v="13.8"/>
    <s v="Yes"/>
    <s v="Poor"/>
    <s v="No"/>
    <s v="IT"/>
    <s v="Wednesday"/>
    <s v="Morning"/>
  </r>
  <r>
    <x v="778"/>
    <s v="2024-07-23 16:40:15"/>
    <x v="4"/>
    <s v="2024-07-29 23:16:15"/>
    <n v="150.6"/>
    <n v="6.3"/>
    <s v="Access Requests"/>
    <s v="File Share"/>
    <x v="0"/>
    <n v="240"/>
    <x v="1"/>
    <s v="Phone"/>
    <s v="Tier 1"/>
    <s v="TECH-6"/>
    <s v="Mid-level"/>
    <x v="0"/>
    <s v="No"/>
    <n v="1"/>
    <s v="Yes"/>
    <n v="9"/>
    <n v="2.5"/>
    <n v="9.6"/>
    <s v="Yes"/>
    <s v="Fair"/>
    <s v="No"/>
    <s v="Operations"/>
    <s v="Friday"/>
    <s v="Afternoon"/>
  </r>
  <r>
    <x v="779"/>
    <s v="2024-06-26 22:01:30"/>
    <x v="10"/>
    <s v="2024-07-05 22:55:30"/>
    <n v="216.9"/>
    <n v="9"/>
    <s v="Software Installation"/>
    <s v="Adobe Suite"/>
    <x v="0"/>
    <n v="240"/>
    <x v="1"/>
    <s v="Walk-in"/>
    <s v="Tier 2"/>
    <s v="TECH-25"/>
    <s v="Junior"/>
    <x v="0"/>
    <s v="Yes"/>
    <n v="2"/>
    <s v="No"/>
    <n v="8"/>
    <n v="5"/>
    <n v="19.899999999999999"/>
    <s v="Yes"/>
    <s v="Poor"/>
    <s v="Yes"/>
    <s v="Finance"/>
    <s v="Friday"/>
    <s v="Morning"/>
  </r>
  <r>
    <x v="780"/>
    <s v="2024-01-12 07:49:12"/>
    <x v="3"/>
    <s v="2024-01-16 23:55:12"/>
    <n v="112.1"/>
    <n v="4.7"/>
    <s v="Software Installation"/>
    <s v="Adobe Suite"/>
    <x v="1"/>
    <n v="120"/>
    <x v="1"/>
    <s v="Phone"/>
    <s v="Tier 1"/>
    <s v="TECH-20"/>
    <s v="Mid-level"/>
    <x v="0"/>
    <s v="No"/>
    <n v="1"/>
    <s v="No"/>
    <n v="7"/>
    <n v="4.0999999999999996"/>
    <n v="1"/>
    <s v="Yes"/>
    <s v="Excellent"/>
    <s v="No"/>
    <s v="IT"/>
    <s v="Wednesday"/>
    <s v="Evening"/>
  </r>
  <r>
    <x v="781"/>
    <s v="2024-10-12 18:29:12"/>
    <x v="2"/>
    <s v="2024-10-21 02:47:12"/>
    <n v="224.3"/>
    <n v="9.3000000000000007"/>
    <s v="Password Reset"/>
    <s v="Account Unlock"/>
    <x v="2"/>
    <n v="360"/>
    <x v="1"/>
    <s v="Phone"/>
    <s v="Tier 1"/>
    <s v="TECH-11"/>
    <s v="Mid-level"/>
    <x v="1"/>
    <s v="No"/>
    <n v="0"/>
    <s v="No"/>
    <n v="7"/>
    <n v="5.5"/>
    <n v="16.899999999999999"/>
    <s v="Yes"/>
    <s v="Fair"/>
    <s v="Yes"/>
    <s v="IT"/>
    <s v="Tuesday"/>
    <s v="Morning"/>
  </r>
  <r>
    <x v="782"/>
    <s v="2024-10-25 21:44:21"/>
    <x v="2"/>
    <s v="2024-10-31 04:26:21"/>
    <n v="127.7"/>
    <n v="5.3"/>
    <s v="Hardware Issues"/>
    <s v="Monitor"/>
    <x v="1"/>
    <n v="120"/>
    <x v="0"/>
    <s v="Email"/>
    <s v="Tier 1"/>
    <s v="TECH-14"/>
    <s v="Junior"/>
    <x v="0"/>
    <s v="No"/>
    <n v="1"/>
    <s v="No"/>
    <n v="8"/>
    <n v="5.7"/>
    <n v="16.600000000000001"/>
    <s v="Yes"/>
    <s v="Poor"/>
    <s v="No"/>
    <s v="Marketing"/>
    <s v="Friday"/>
    <s v="Morning"/>
  </r>
  <r>
    <x v="783"/>
    <s v="2024-10-12 18:42:37"/>
    <x v="2"/>
    <s v="2024-10-23 08:24:37"/>
    <n v="253.7"/>
    <n v="10.6"/>
    <s v="Application Errors"/>
    <s v="Crash"/>
    <x v="1"/>
    <n v="120"/>
    <x v="0"/>
    <s v="Walk-in"/>
    <s v="Tier 1"/>
    <s v="TECH-4"/>
    <s v="Junior"/>
    <x v="0"/>
    <s v="No"/>
    <n v="1"/>
    <s v="No"/>
    <n v="6"/>
    <n v="2.9"/>
    <n v="9.9"/>
    <s v="Yes"/>
    <s v="Good"/>
    <s v="No"/>
    <s v="HR"/>
    <s v="Tuesday"/>
    <s v="Morning"/>
  </r>
  <r>
    <x v="784"/>
    <s v="2024-07-28 11:28:05"/>
    <x v="4"/>
    <s v="2024-08-04 05:28:05"/>
    <n v="162"/>
    <n v="6.8"/>
    <s v="Access Requests"/>
    <s v="VPN Access"/>
    <x v="0"/>
    <n v="240"/>
    <x v="1"/>
    <s v="Email"/>
    <s v="Tier 1"/>
    <s v="TECH-2"/>
    <s v="Junior"/>
    <x v="1"/>
    <s v="No"/>
    <n v="0"/>
    <s v="No"/>
    <n v="10"/>
    <n v="2.2999999999999998"/>
    <n v="15.4"/>
    <s v="Yes"/>
    <s v="Poor"/>
    <s v="Yes"/>
    <s v="Marketing"/>
    <s v="Tuesday"/>
    <s v="Afternoon"/>
  </r>
  <r>
    <x v="785"/>
    <s v="2024-05-18 02:11:56"/>
    <x v="8"/>
    <s v="2024-05-25 05:29:56"/>
    <n v="147.30000000000001"/>
    <n v="6.1"/>
    <s v="Software Installation"/>
    <s v="Drivers"/>
    <x v="1"/>
    <n v="120"/>
    <x v="0"/>
    <s v="Email"/>
    <s v="Tier 1"/>
    <s v="TECH-2"/>
    <s v="Senior"/>
    <x v="1"/>
    <s v="No"/>
    <n v="0"/>
    <s v="No"/>
    <n v="8"/>
    <n v="3.7"/>
    <n v="18.100000000000001"/>
    <s v="Yes"/>
    <s v="Poor"/>
    <s v="Yes"/>
    <s v="Marketing"/>
    <s v="Tuesday"/>
    <s v="Morning"/>
  </r>
  <r>
    <x v="786"/>
    <s v="2024-05-05 12:51:23"/>
    <x v="8"/>
    <s v="2024-05-14 04:21:23"/>
    <n v="207.5"/>
    <n v="8.6"/>
    <s v="Application Errors"/>
    <s v="Features Not Working"/>
    <x v="0"/>
    <n v="240"/>
    <x v="1"/>
    <s v="Email"/>
    <s v="Tier 2"/>
    <s v="TECH-11"/>
    <s v="Junior"/>
    <x v="0"/>
    <s v="Yes"/>
    <n v="2"/>
    <s v="Yes"/>
    <n v="8"/>
    <n v="0.1"/>
    <n v="20.7"/>
    <s v="No"/>
    <s v="Good"/>
    <s v="Yes"/>
    <s v="Operations"/>
    <s v="Wednesday"/>
    <s v="Morning"/>
  </r>
  <r>
    <x v="787"/>
    <s v="2024-05-06 17:40:12"/>
    <x v="8"/>
    <s v="2024-05-18 09:40:12"/>
    <n v="280"/>
    <n v="11.7"/>
    <s v="Other"/>
    <s v="General Inquiry"/>
    <x v="2"/>
    <n v="360"/>
    <x v="1"/>
    <s v="Email"/>
    <s v="Tier 2"/>
    <s v="TECH-2"/>
    <s v="Mid-level"/>
    <x v="0"/>
    <s v="Yes"/>
    <n v="1"/>
    <s v="No"/>
    <n v="7"/>
    <n v="1.6"/>
    <n v="17.5"/>
    <s v="No"/>
    <s v="Fair"/>
    <s v="Yes"/>
    <s v="Operations"/>
    <s v="Monday"/>
    <s v="Morning"/>
  </r>
  <r>
    <x v="788"/>
    <s v="2024-07-29 13:26:00"/>
    <x v="4"/>
    <s v="2024-08-10 23:56:00"/>
    <n v="298.5"/>
    <n v="12.4"/>
    <s v="Password Reset"/>
    <s v="Email Password"/>
    <x v="2"/>
    <n v="360"/>
    <x v="1"/>
    <s v="Phone"/>
    <s v="Tier 1"/>
    <s v="TECH-14"/>
    <s v="Senior"/>
    <x v="1"/>
    <s v="No"/>
    <n v="0"/>
    <s v="No"/>
    <n v="10"/>
    <n v="0.6"/>
    <n v="18.600000000000001"/>
    <s v="Yes"/>
    <s v="Fair"/>
    <s v="No"/>
    <s v="Marketing"/>
    <s v="Tuesday"/>
    <s v="Afternoon"/>
  </r>
  <r>
    <x v="789"/>
    <s v="2024-06-20 08:55:47"/>
    <x v="10"/>
    <s v="2024-06-26 12:31:47"/>
    <n v="147.6"/>
    <n v="6.1"/>
    <s v="Software Installation"/>
    <s v="Drivers"/>
    <x v="0"/>
    <n v="240"/>
    <x v="1"/>
    <s v="Chat"/>
    <s v="Tier 1"/>
    <s v="TECH-18"/>
    <s v="Junior"/>
    <x v="1"/>
    <s v="No"/>
    <n v="0"/>
    <s v="No"/>
    <n v="10"/>
    <n v="0.9"/>
    <n v="10.1"/>
    <s v="Yes"/>
    <s v="Fair"/>
    <s v="No"/>
    <s v="Executive"/>
    <s v="Friday"/>
    <s v="Morning"/>
  </r>
  <r>
    <x v="790"/>
    <s v="2024-05-22 19:35:01"/>
    <x v="8"/>
    <s v="2024-05-31 02:47:01"/>
    <n v="223.2"/>
    <n v="9.3000000000000007"/>
    <s v="Access Requests"/>
    <s v="Admin Rights"/>
    <x v="0"/>
    <n v="240"/>
    <x v="1"/>
    <s v="Email"/>
    <s v="Tier 1"/>
    <s v="TECH-23"/>
    <s v="Mid-level"/>
    <x v="0"/>
    <s v="No"/>
    <n v="1"/>
    <s v="No"/>
    <n v="8"/>
    <n v="2.4"/>
    <n v="13"/>
    <s v="Yes"/>
    <s v="Poor"/>
    <s v="Yes"/>
    <s v="Marketing"/>
    <s v="Thursday"/>
    <s v="Afternoon"/>
  </r>
  <r>
    <x v="791"/>
    <s v="2024-10-28 11:06:49"/>
    <x v="2"/>
    <s v="2024-11-09 02:06:49"/>
    <n v="279"/>
    <n v="11.6"/>
    <s v="Software Installation"/>
    <s v="VPN Client"/>
    <x v="2"/>
    <n v="360"/>
    <x v="1"/>
    <s v="Walk-in"/>
    <s v="Tier 1"/>
    <s v="TECH-18"/>
    <s v="Senior"/>
    <x v="0"/>
    <s v="No"/>
    <n v="1"/>
    <s v="No"/>
    <n v="8"/>
    <n v="0.4"/>
    <n v="20"/>
    <s v="No"/>
    <s v="Fair"/>
    <s v="Yes"/>
    <s v="IT"/>
    <s v="Monday"/>
    <s v="Afternoon"/>
  </r>
  <r>
    <x v="792"/>
    <s v="2024-01-14 07:44:31"/>
    <x v="3"/>
    <s v="2024-01-21 22:08:31"/>
    <n v="182.4"/>
    <n v="7.6"/>
    <s v="Software Installation"/>
    <s v="MS Office"/>
    <x v="0"/>
    <n v="240"/>
    <x v="1"/>
    <s v="Phone"/>
    <s v="Tier 1"/>
    <s v="TECH-9"/>
    <s v="Junior"/>
    <x v="0"/>
    <s v="No"/>
    <n v="1"/>
    <s v="No"/>
    <n v="9"/>
    <n v="4.5999999999999996"/>
    <n v="12.9"/>
    <s v="Yes"/>
    <s v="Fair"/>
    <s v="Yes"/>
    <s v="Legal"/>
    <s v="Monday"/>
    <s v="Morning"/>
  </r>
  <r>
    <x v="793"/>
    <s v="2024-04-25 00:48:29"/>
    <x v="11"/>
    <s v="2024-05-08 06:06:29"/>
    <n v="293.3"/>
    <n v="12.2"/>
    <s v="Access Requests"/>
    <s v="VPN Access"/>
    <x v="0"/>
    <n v="240"/>
    <x v="0"/>
    <s v="Portal"/>
    <s v="Tier 1"/>
    <s v="TECH-10"/>
    <s v="Mid-level"/>
    <x v="1"/>
    <s v="No"/>
    <n v="0"/>
    <s v="No"/>
    <n v="10"/>
    <n v="2.7"/>
    <n v="14.1"/>
    <s v="No"/>
    <s v="Poor"/>
    <s v="No"/>
    <s v="Operations"/>
    <s v="Tuesday"/>
    <s v="Afternoon"/>
  </r>
  <r>
    <x v="794"/>
    <s v="2024-07-19 16:21:10"/>
    <x v="4"/>
    <s v="2024-07-23 08:15:10"/>
    <n v="87.9"/>
    <n v="3.7"/>
    <s v="Password Reset"/>
    <s v="Windows Password"/>
    <x v="1"/>
    <n v="120"/>
    <x v="1"/>
    <s v="Phone"/>
    <s v="Tier 1"/>
    <s v="TECH-13"/>
    <s v="Junior"/>
    <x v="1"/>
    <s v="No"/>
    <n v="0"/>
    <s v="No"/>
    <n v="7"/>
    <n v="3.6"/>
    <n v="16.600000000000001"/>
    <s v="No"/>
    <s v="Poor"/>
    <s v="Yes"/>
    <s v="IT"/>
    <s v="Tuesday"/>
    <s v="Evening"/>
  </r>
  <r>
    <x v="795"/>
    <s v="2024-05-31 22:14:38"/>
    <x v="8"/>
    <s v="2024-06-09 14:08:38"/>
    <n v="207.9"/>
    <n v="8.6999999999999993"/>
    <s v="Email/Calendar"/>
    <s v="Cannot Send/Receive"/>
    <x v="0"/>
    <n v="240"/>
    <x v="1"/>
    <s v="Portal"/>
    <s v="Tier 1"/>
    <s v="TECH-3"/>
    <s v="Mid-level"/>
    <x v="0"/>
    <s v="No"/>
    <n v="1"/>
    <s v="No"/>
    <n v="10"/>
    <n v="2.6"/>
    <n v="12.9"/>
    <s v="No"/>
    <s v="Fair"/>
    <s v="Yes"/>
    <s v="Legal"/>
    <s v="Monday"/>
    <s v="Afternoon"/>
  </r>
  <r>
    <x v="796"/>
    <s v="2024-11-18 11:30:21"/>
    <x v="7"/>
    <s v="2024-12-31 18:42:21"/>
    <n v="1039.2"/>
    <n v="43.3"/>
    <s v="Password Reset"/>
    <s v="Windows Password"/>
    <x v="2"/>
    <n v="360"/>
    <x v="0"/>
    <s v="Portal"/>
    <s v="Tier 1"/>
    <s v="TECH-8"/>
    <s v="Mid-level"/>
    <x v="1"/>
    <s v="No"/>
    <n v="0"/>
    <s v="No"/>
    <n v="7"/>
    <n v="2.2999999999999998"/>
    <n v="18.7"/>
    <s v="Yes"/>
    <s v="Poor"/>
    <s v="No"/>
    <s v="Sales"/>
    <s v="Monday"/>
    <s v="Afternoon"/>
  </r>
  <r>
    <x v="797"/>
    <s v="2024-09-03 00:28:33"/>
    <x v="9"/>
    <s v="2024-09-19 03:28:33"/>
    <n v="363"/>
    <n v="15.1"/>
    <s v="Other"/>
    <s v="Miscellaneous"/>
    <x v="2"/>
    <n v="360"/>
    <x v="0"/>
    <s v="Email"/>
    <s v="Tier 2"/>
    <s v="TECH-23"/>
    <s v="Mid-level"/>
    <x v="0"/>
    <s v="Yes"/>
    <n v="4"/>
    <s v="No"/>
    <n v="4"/>
    <n v="2.1"/>
    <n v="15.1"/>
    <s v="No"/>
    <s v="Good"/>
    <s v="Yes"/>
    <s v="Executive"/>
    <s v="Friday"/>
    <s v="Evening"/>
  </r>
  <r>
    <x v="798"/>
    <s v="2024-06-13 15:56:17"/>
    <x v="10"/>
    <s v="2024-06-21 21:08:17"/>
    <n v="197.2"/>
    <n v="8.1999999999999993"/>
    <s v="Network Connectivity"/>
    <s v="Ethernet"/>
    <x v="0"/>
    <n v="240"/>
    <x v="1"/>
    <s v="Phone"/>
    <s v="Tier 1"/>
    <s v="TECH-1"/>
    <s v="Senior"/>
    <x v="0"/>
    <s v="No"/>
    <n v="1"/>
    <s v="No"/>
    <n v="6"/>
    <n v="2.7"/>
    <n v="32.1"/>
    <s v="Yes"/>
    <s v="Poor"/>
    <s v="No"/>
    <s v="Legal"/>
    <s v="Monday"/>
    <s v="Morning"/>
  </r>
  <r>
    <x v="799"/>
    <s v="2024-10-04 02:48:24"/>
    <x v="2"/>
    <s v="2024-10-07 17:18:24"/>
    <n v="62.5"/>
    <n v="2.6"/>
    <s v="Password Reset"/>
    <s v="Email Password"/>
    <x v="3"/>
    <n v="48"/>
    <x v="0"/>
    <s v="Email"/>
    <s v="Tier 1"/>
    <s v="TECH-7"/>
    <s v="Senior"/>
    <x v="1"/>
    <s v="No"/>
    <n v="0"/>
    <s v="No"/>
    <n v="4"/>
    <n v="0.5"/>
    <n v="26"/>
    <s v="No"/>
    <s v="Good"/>
    <s v="No"/>
    <s v="Executive"/>
    <s v="Tuesday"/>
    <s v="Morning"/>
  </r>
  <r>
    <x v="800"/>
    <s v="2024-07-21 06:51:22"/>
    <x v="4"/>
    <s v="2024-07-24 02:27:22"/>
    <n v="91.6"/>
    <n v="3.8"/>
    <s v="Email/Calendar"/>
    <s v="Calendar Sync"/>
    <x v="1"/>
    <n v="120"/>
    <x v="1"/>
    <s v="Phone"/>
    <s v="Tier 1"/>
    <s v="TECH-21"/>
    <s v="Mid-level"/>
    <x v="0"/>
    <s v="No"/>
    <n v="1"/>
    <s v="Yes"/>
    <n v="8"/>
    <n v="0.1"/>
    <n v="28.8"/>
    <s v="Yes"/>
    <s v="Poor"/>
    <s v="Yes"/>
    <s v="Sales"/>
    <s v="Friday"/>
    <s v="Afternoon"/>
  </r>
  <r>
    <x v="801"/>
    <s v="2024-02-22 20:02:45"/>
    <x v="6"/>
    <s v="2024-03-08 14:20:45"/>
    <n v="354.3"/>
    <n v="14.8"/>
    <s v="Access Requests"/>
    <s v="VPN Access"/>
    <x v="0"/>
    <n v="240"/>
    <x v="0"/>
    <s v="Email"/>
    <s v="Tier 2"/>
    <s v="TECH-22"/>
    <s v="Mid-level"/>
    <x v="0"/>
    <s v="Yes"/>
    <n v="4"/>
    <s v="No"/>
    <n v="4"/>
    <n v="5.0999999999999996"/>
    <n v="23.8"/>
    <s v="No"/>
    <s v="Poor"/>
    <s v="No"/>
    <s v="Operations"/>
    <s v="Monday"/>
    <s v="Afternoon"/>
  </r>
  <r>
    <x v="802"/>
    <s v="2024-02-15 15:30:02"/>
    <x v="6"/>
    <s v="2024-02-19 14:48:02"/>
    <n v="95.3"/>
    <n v="4"/>
    <s v="Email/Calendar"/>
    <s v="Cannot Send/Receive"/>
    <x v="1"/>
    <n v="120"/>
    <x v="1"/>
    <s v="Portal"/>
    <s v="Tier 1"/>
    <s v="TECH-19"/>
    <s v="Mid-level"/>
    <x v="1"/>
    <s v="No"/>
    <n v="0"/>
    <s v="No"/>
    <n v="10"/>
    <n v="0.5"/>
    <n v="1.5"/>
    <s v="No"/>
    <s v="Poor"/>
    <s v="No"/>
    <s v="HR"/>
    <s v="Tuesday"/>
    <s v="Morning"/>
  </r>
  <r>
    <x v="803"/>
    <s v="2024-08-08 06:44:13"/>
    <x v="1"/>
    <s v="2024-08-17 18:38:13"/>
    <n v="227.9"/>
    <n v="9.5"/>
    <s v="Application Errors"/>
    <s v="Features Not Working"/>
    <x v="0"/>
    <n v="240"/>
    <x v="1"/>
    <s v="Email"/>
    <s v="Tier 2"/>
    <s v="TECH-5"/>
    <s v="Senior"/>
    <x v="0"/>
    <s v="Yes"/>
    <n v="3"/>
    <s v="No"/>
    <n v="5"/>
    <n v="1.2"/>
    <n v="15.6"/>
    <s v="No"/>
    <s v="Fair"/>
    <s v="Yes"/>
    <s v="Operations"/>
    <s v="Tuesday"/>
    <s v="Morning"/>
  </r>
  <r>
    <x v="804"/>
    <s v="2024-03-17 14:21:12"/>
    <x v="5"/>
    <s v="2024-04-02 04:09:12"/>
    <n v="372.8"/>
    <n v="15.5"/>
    <s v="Software Installation"/>
    <s v="Drivers"/>
    <x v="0"/>
    <n v="240"/>
    <x v="0"/>
    <s v="Email"/>
    <s v="Tier 1"/>
    <s v="TECH-7"/>
    <s v="Mid-level"/>
    <x v="0"/>
    <s v="No"/>
    <n v="1"/>
    <s v="Yes"/>
    <n v="6"/>
    <n v="0.5"/>
    <n v="7"/>
    <s v="Yes"/>
    <s v="Poor"/>
    <s v="No"/>
    <s v="IT"/>
    <s v="Thursday"/>
    <s v="Morning"/>
  </r>
  <r>
    <x v="805"/>
    <s v="2024-09-04 05:46:20"/>
    <x v="9"/>
    <s v="2024-09-12 22:28:20"/>
    <n v="208.7"/>
    <n v="8.6999999999999993"/>
    <s v="Other"/>
    <s v="General Inquiry"/>
    <x v="0"/>
    <n v="240"/>
    <x v="1"/>
    <s v="Phone"/>
    <s v="Tier 2"/>
    <s v="TECH-22"/>
    <s v="Junior"/>
    <x v="0"/>
    <s v="Yes"/>
    <n v="3"/>
    <s v="No"/>
    <n v="7"/>
    <n v="6"/>
    <n v="1.9"/>
    <s v="Yes"/>
    <s v="Good"/>
    <s v="Yes"/>
    <s v="Sales"/>
    <s v="Monday"/>
    <s v="Evening"/>
  </r>
  <r>
    <x v="806"/>
    <s v="2024-04-21 02:05:42"/>
    <x v="11"/>
    <s v="2024-04-29 07:41:42"/>
    <n v="173.6"/>
    <n v="7.2"/>
    <s v="Application Errors"/>
    <s v="Login Issues"/>
    <x v="1"/>
    <n v="120"/>
    <x v="0"/>
    <s v="Walk-in"/>
    <s v="Tier 2"/>
    <s v="TECH-6"/>
    <s v="Junior"/>
    <x v="0"/>
    <s v="Yes"/>
    <n v="1"/>
    <s v="No"/>
    <n v="3"/>
    <n v="3.8"/>
    <n v="28.5"/>
    <s v="No"/>
    <s v="Poor"/>
    <s v="Yes"/>
    <s v="Marketing"/>
    <s v="Tuesday"/>
    <s v="Afternoon"/>
  </r>
  <r>
    <x v="807"/>
    <s v="2024-04-06 21:41:01"/>
    <x v="11"/>
    <s v="2024-04-20 02:17:01"/>
    <n v="340.6"/>
    <n v="14.2"/>
    <s v="Password Reset"/>
    <s v="Windows Password"/>
    <x v="2"/>
    <n v="360"/>
    <x v="1"/>
    <s v="Phone"/>
    <s v="Tier 1"/>
    <s v="TECH-10"/>
    <s v="Junior"/>
    <x v="0"/>
    <s v="No"/>
    <n v="1"/>
    <s v="No"/>
    <n v="8"/>
    <n v="4.8"/>
    <n v="19.600000000000001"/>
    <s v="Yes"/>
    <s v="Fair"/>
    <s v="Yes"/>
    <s v="IT"/>
    <s v="Friday"/>
    <s v="Afternoon"/>
  </r>
  <r>
    <x v="808"/>
    <s v="2024-07-25 06:23:22"/>
    <x v="4"/>
    <s v="2024-07-30 22:41:22"/>
    <n v="136.30000000000001"/>
    <n v="5.7"/>
    <s v="Access Requests"/>
    <s v="Admin Rights"/>
    <x v="1"/>
    <n v="120"/>
    <x v="0"/>
    <s v="Email"/>
    <s v="Tier 1"/>
    <s v="TECH-10"/>
    <s v="Mid-level"/>
    <x v="0"/>
    <s v="No"/>
    <n v="1"/>
    <s v="No"/>
    <n v="5"/>
    <n v="4.0999999999999996"/>
    <n v="23.2"/>
    <s v="Yes"/>
    <s v="Excellent"/>
    <s v="Yes"/>
    <s v="Finance"/>
    <s v="Thursday"/>
    <s v="Evening"/>
  </r>
  <r>
    <x v="809"/>
    <s v="2024-11-27 03:31:06"/>
    <x v="7"/>
    <s v="2024-11-28 00:01:06"/>
    <n v="44.5"/>
    <n v="1.9"/>
    <s v="Access Requests"/>
    <s v="VPN Access"/>
    <x v="3"/>
    <n v="48"/>
    <x v="1"/>
    <s v="Walk-in"/>
    <s v="Tier 1"/>
    <s v="TECH-21"/>
    <s v="Mid-level"/>
    <x v="1"/>
    <s v="No"/>
    <n v="0"/>
    <s v="No"/>
    <n v="10"/>
    <n v="1"/>
    <n v="6.9"/>
    <s v="Yes"/>
    <s v="Good"/>
    <s v="Yes"/>
    <s v="Executive"/>
    <s v="Friday"/>
    <s v="Morning"/>
  </r>
  <r>
    <x v="810"/>
    <s v="2024-01-15 23:04:54"/>
    <x v="3"/>
    <s v="2024-01-20 05:04:54"/>
    <n v="102"/>
    <n v="4.3"/>
    <s v="Hardware Issues"/>
    <s v="Keyboard/Mouse"/>
    <x v="1"/>
    <n v="120"/>
    <x v="1"/>
    <s v="Phone"/>
    <s v="Tier 2"/>
    <s v="TECH-8"/>
    <s v="Junior"/>
    <x v="0"/>
    <s v="Yes"/>
    <n v="4"/>
    <s v="Yes"/>
    <n v="10"/>
    <n v="1.9"/>
    <n v="10.6"/>
    <s v="Yes"/>
    <s v="Fair"/>
    <s v="No"/>
    <s v="IT"/>
    <s v="Monday"/>
    <s v="Evening"/>
  </r>
  <r>
    <x v="811"/>
    <s v="2024-04-17 08:17:15"/>
    <x v="11"/>
    <s v="2024-04-26 07:47:15"/>
    <n v="215.5"/>
    <n v="9"/>
    <s v="Software Installation"/>
    <s v="MS Office"/>
    <x v="0"/>
    <n v="240"/>
    <x v="1"/>
    <s v="Portal"/>
    <s v="Tier 2"/>
    <s v="TECH-10"/>
    <s v="Mid-level"/>
    <x v="0"/>
    <s v="Yes"/>
    <n v="2"/>
    <s v="No"/>
    <n v="9"/>
    <n v="0.3"/>
    <n v="10"/>
    <s v="Yes"/>
    <s v="Poor"/>
    <s v="No"/>
    <s v="IT"/>
    <s v="Tuesday"/>
    <s v="Morning"/>
  </r>
  <r>
    <x v="812"/>
    <s v="2024-10-13 20:06:20"/>
    <x v="2"/>
    <s v="2024-10-15 05:24:20"/>
    <n v="33.299999999999997"/>
    <n v="1.4"/>
    <s v="Access Requests"/>
    <s v="File Share"/>
    <x v="3"/>
    <n v="48"/>
    <x v="1"/>
    <s v="Phone"/>
    <s v="Tier 1"/>
    <s v="TECH-9"/>
    <s v="Mid-level"/>
    <x v="1"/>
    <s v="No"/>
    <n v="0"/>
    <s v="No"/>
    <n v="10"/>
    <n v="3.1"/>
    <n v="20.7"/>
    <s v="No"/>
    <s v="Good"/>
    <s v="Yes"/>
    <s v="Sales"/>
    <s v="Thursday"/>
    <s v="Afternoon"/>
  </r>
  <r>
    <x v="813"/>
    <s v="2024-11-22 23:25:40"/>
    <x v="7"/>
    <s v="2024-12-02 23:49:40"/>
    <n v="240.4"/>
    <n v="10"/>
    <s v="Software Installation"/>
    <s v="Drivers"/>
    <x v="0"/>
    <n v="240"/>
    <x v="0"/>
    <s v="Walk-in"/>
    <s v="Tier 2"/>
    <s v="TECH-14"/>
    <s v="Junior"/>
    <x v="0"/>
    <s v="Yes"/>
    <n v="1"/>
    <s v="No"/>
    <n v="4"/>
    <n v="2.2999999999999998"/>
    <n v="24.8"/>
    <s v="Yes"/>
    <s v="Good"/>
    <s v="No"/>
    <s v="Marketing"/>
    <s v="Monday"/>
    <s v="Morning"/>
  </r>
  <r>
    <x v="814"/>
    <s v="2024-04-10 15:10:28"/>
    <x v="11"/>
    <s v="2024-04-18 04:10:28"/>
    <n v="181"/>
    <n v="7.5"/>
    <s v="Application Errors"/>
    <s v="Performance"/>
    <x v="0"/>
    <n v="240"/>
    <x v="1"/>
    <s v="Phone"/>
    <s v="Tier 2"/>
    <s v="TECH-4"/>
    <s v="Mid-level"/>
    <x v="0"/>
    <s v="Yes"/>
    <n v="3"/>
    <s v="No"/>
    <n v="10"/>
    <n v="4.3"/>
    <n v="15.7"/>
    <s v="Yes"/>
    <s v="Fair"/>
    <s v="Yes"/>
    <s v="Marketing"/>
    <s v="Friday"/>
    <s v="Evening"/>
  </r>
  <r>
    <x v="815"/>
    <s v="2024-01-01 05:05:51"/>
    <x v="3"/>
    <s v="2024-01-08 11:59:51"/>
    <n v="174.9"/>
    <n v="7.3"/>
    <s v="Application Errors"/>
    <s v="Features Not Working"/>
    <x v="0"/>
    <n v="240"/>
    <x v="1"/>
    <s v="Phone"/>
    <s v="Tier 1"/>
    <s v="TECH-7"/>
    <s v="Senior"/>
    <x v="1"/>
    <s v="No"/>
    <n v="0"/>
    <s v="No"/>
    <n v="10"/>
    <n v="4.9000000000000004"/>
    <n v="30.8"/>
    <s v="Yes"/>
    <s v="Fair"/>
    <s v="Yes"/>
    <s v="Legal"/>
    <s v="Friday"/>
    <s v="Morning"/>
  </r>
  <r>
    <x v="816"/>
    <s v="2024-07-27 01:03:48"/>
    <x v="4"/>
    <s v="2024-08-01 15:27:48"/>
    <n v="110.4"/>
    <n v="4.5999999999999996"/>
    <s v="Application Errors"/>
    <s v="Login Issues"/>
    <x v="1"/>
    <n v="120"/>
    <x v="1"/>
    <s v="Phone"/>
    <s v="Tier 2"/>
    <s v="TECH-4"/>
    <s v="Senior"/>
    <x v="0"/>
    <s v="Yes"/>
    <n v="1"/>
    <s v="Yes"/>
    <n v="8"/>
    <n v="2.9"/>
    <n v="19.8"/>
    <s v="No"/>
    <s v="Good"/>
    <s v="No"/>
    <s v="Sales"/>
    <s v="Friday"/>
    <s v="Morning"/>
  </r>
  <r>
    <x v="817"/>
    <s v="2024-03-15 02:29:59"/>
    <x v="5"/>
    <s v="2024-03-18 09:17:59"/>
    <n v="78.8"/>
    <n v="3.3"/>
    <s v="Application Errors"/>
    <s v="Performance"/>
    <x v="1"/>
    <n v="120"/>
    <x v="1"/>
    <s v="Email"/>
    <s v="Tier 1"/>
    <s v="TECH-12"/>
    <s v="Senior"/>
    <x v="0"/>
    <s v="No"/>
    <n v="1"/>
    <s v="No"/>
    <n v="9"/>
    <n v="3.4"/>
    <n v="14"/>
    <s v="Yes"/>
    <s v="Poor"/>
    <s v="No"/>
    <s v="Executive"/>
    <s v="Tuesday"/>
    <s v="Morning"/>
  </r>
  <r>
    <x v="818"/>
    <s v="2024-07-28 09:35:31"/>
    <x v="4"/>
    <s v="2024-08-01 19:17:31"/>
    <n v="105.7"/>
    <n v="4.4000000000000004"/>
    <s v="Password Reset"/>
    <s v="Email Password"/>
    <x v="1"/>
    <n v="120"/>
    <x v="1"/>
    <s v="Email"/>
    <s v="Tier 1"/>
    <s v="TECH-22"/>
    <s v="Senior"/>
    <x v="0"/>
    <s v="No"/>
    <n v="1"/>
    <s v="No"/>
    <n v="10"/>
    <n v="3.1"/>
    <n v="18.600000000000001"/>
    <s v="Yes"/>
    <s v="Excellent"/>
    <s v="No"/>
    <s v="HR"/>
    <s v="Tuesday"/>
    <s v="Afternoon"/>
  </r>
  <r>
    <x v="819"/>
    <s v="2024-07-04 12:26:42"/>
    <x v="4"/>
    <s v="2024-07-11 20:02:42"/>
    <n v="175.6"/>
    <n v="7.3"/>
    <s v="Application Errors"/>
    <s v="Performance"/>
    <x v="0"/>
    <n v="240"/>
    <x v="1"/>
    <s v="Chat"/>
    <s v="Tier 1"/>
    <s v="TECH-14"/>
    <s v="Junior"/>
    <x v="1"/>
    <s v="No"/>
    <n v="0"/>
    <s v="No"/>
    <n v="10"/>
    <n v="2.4"/>
    <n v="33.700000000000003"/>
    <s v="No"/>
    <s v="Poor"/>
    <s v="Yes"/>
    <s v="Legal"/>
    <s v="Tuesday"/>
    <s v="Morning"/>
  </r>
  <r>
    <x v="820"/>
    <s v="2024-01-18 10:08:21"/>
    <x v="3"/>
    <s v="2024-01-26 20:38:21"/>
    <n v="202.5"/>
    <n v="8.4"/>
    <s v="Software Installation"/>
    <s v="MS Office"/>
    <x v="0"/>
    <n v="240"/>
    <x v="1"/>
    <s v="Phone"/>
    <s v="Tier 1"/>
    <s v="TECH-15"/>
    <s v="Mid-level"/>
    <x v="1"/>
    <s v="No"/>
    <n v="0"/>
    <s v="No"/>
    <n v="9"/>
    <n v="5.3"/>
    <n v="0"/>
    <s v="Yes"/>
    <s v="Poor"/>
    <s v="No"/>
    <s v="Finance"/>
    <s v="Friday"/>
    <s v="Afternoon"/>
  </r>
  <r>
    <x v="821"/>
    <s v="2024-01-14 23:11:06"/>
    <x v="3"/>
    <s v="2024-01-24 06:35:06"/>
    <n v="223.4"/>
    <n v="9.3000000000000007"/>
    <s v="Hardware Issues"/>
    <s v="Printer"/>
    <x v="0"/>
    <n v="240"/>
    <x v="1"/>
    <s v="Email"/>
    <s v="Tier 1"/>
    <s v="TECH-23"/>
    <s v="Senior"/>
    <x v="0"/>
    <s v="No"/>
    <n v="1"/>
    <s v="No"/>
    <n v="8"/>
    <n v="3.4"/>
    <n v="8.8000000000000007"/>
    <s v="No"/>
    <s v="Poor"/>
    <s v="Yes"/>
    <s v="Operations"/>
    <s v="Thursday"/>
    <s v="Afternoon"/>
  </r>
  <r>
    <x v="822"/>
    <s v="2024-10-04 19:54:30"/>
    <x v="2"/>
    <s v="2024-10-16 19:00:30"/>
    <n v="287.10000000000002"/>
    <n v="12"/>
    <s v="Software Installation"/>
    <s v="Business Apps"/>
    <x v="2"/>
    <n v="360"/>
    <x v="1"/>
    <s v="Email"/>
    <s v="Tier 1"/>
    <s v="TECH-21"/>
    <s v="Mid-level"/>
    <x v="0"/>
    <s v="No"/>
    <n v="1"/>
    <s v="No"/>
    <n v="8"/>
    <n v="2.8"/>
    <n v="10.3"/>
    <s v="No"/>
    <s v="Good"/>
    <s v="Yes"/>
    <s v="Executive"/>
    <s v="Monday"/>
    <s v="Afternoon"/>
  </r>
  <r>
    <x v="823"/>
    <s v="2024-12-24 02:19:45"/>
    <x v="0"/>
    <s v="2024-12-29 12:25:45"/>
    <n v="130.1"/>
    <n v="5.4"/>
    <s v="Hardware Issues"/>
    <s v="Keyboard/Mouse"/>
    <x v="1"/>
    <n v="120"/>
    <x v="0"/>
    <s v="Phone"/>
    <s v="Tier 1"/>
    <s v="TECH-3"/>
    <s v="Junior"/>
    <x v="0"/>
    <s v="No"/>
    <n v="1"/>
    <s v="No"/>
    <n v="5"/>
    <n v="4.0999999999999996"/>
    <n v="26.1"/>
    <s v="Yes"/>
    <s v="Fair"/>
    <s v="No"/>
    <s v="Sales"/>
    <s v="Monday"/>
    <s v="Morning"/>
  </r>
  <r>
    <x v="824"/>
    <s v="2024-03-06 19:53:11"/>
    <x v="5"/>
    <s v="2024-03-15 19:05:11"/>
    <n v="215.2"/>
    <n v="9"/>
    <s v="Access Requests"/>
    <s v="Admin Rights"/>
    <x v="0"/>
    <n v="240"/>
    <x v="1"/>
    <s v="Chat"/>
    <s v="Tier 1"/>
    <s v="TECH-4"/>
    <s v="Mid-level"/>
    <x v="0"/>
    <s v="No"/>
    <n v="1"/>
    <s v="No"/>
    <n v="6"/>
    <n v="4.5999999999999996"/>
    <n v="3.1"/>
    <s v="No"/>
    <s v="Poor"/>
    <s v="No"/>
    <s v="Finance"/>
    <s v="Friday"/>
    <s v="Morning"/>
  </r>
  <r>
    <x v="825"/>
    <s v="2024-03-20 22:19:37"/>
    <x v="5"/>
    <s v="2024-03-25 12:55:37"/>
    <n v="110.6"/>
    <n v="4.5999999999999996"/>
    <s v="Password Reset"/>
    <s v="Email Password"/>
    <x v="1"/>
    <n v="120"/>
    <x v="1"/>
    <s v="Portal"/>
    <s v="Tier 1"/>
    <s v="TECH-7"/>
    <s v="Junior"/>
    <x v="0"/>
    <s v="No"/>
    <n v="1"/>
    <s v="No"/>
    <n v="10"/>
    <n v="4.3"/>
    <n v="24"/>
    <s v="Yes"/>
    <s v="Fair"/>
    <s v="No"/>
    <s v="Sales"/>
    <s v="Monday"/>
    <s v="Afternoon"/>
  </r>
  <r>
    <x v="826"/>
    <s v="2024-03-27 15:53:19"/>
    <x v="5"/>
    <s v="2024-03-31 16:35:19"/>
    <n v="95.7"/>
    <n v="4"/>
    <s v="Software Installation"/>
    <s v="Drivers"/>
    <x v="1"/>
    <n v="120"/>
    <x v="1"/>
    <s v="Portal"/>
    <s v="Tier 2"/>
    <s v="TECH-21"/>
    <s v="Junior"/>
    <x v="0"/>
    <s v="Yes"/>
    <n v="2"/>
    <s v="No"/>
    <n v="7"/>
    <n v="2.2000000000000002"/>
    <n v="10.199999999999999"/>
    <s v="Yes"/>
    <s v="Good"/>
    <s v="No"/>
    <s v="Executive"/>
    <s v="Friday"/>
    <s v="Morning"/>
  </r>
  <r>
    <x v="827"/>
    <s v="2024-09-29 02:29:02"/>
    <x v="9"/>
    <s v="2024-10-06 21:47:02"/>
    <n v="163.30000000000001"/>
    <n v="6.8"/>
    <s v="Other"/>
    <s v="Training Request"/>
    <x v="0"/>
    <n v="240"/>
    <x v="1"/>
    <s v="Walk-in"/>
    <s v="Tier 2"/>
    <s v="TECH-18"/>
    <s v="Senior"/>
    <x v="0"/>
    <s v="Yes"/>
    <n v="1"/>
    <s v="No"/>
    <n v="6"/>
    <n v="2.7"/>
    <n v="16.5"/>
    <s v="Yes"/>
    <s v="Good"/>
    <s v="No"/>
    <s v="Executive"/>
    <s v="Monday"/>
    <s v="Morning"/>
  </r>
  <r>
    <x v="828"/>
    <s v="2024-01-12 19:21:16"/>
    <x v="3"/>
    <s v="2024-01-25 01:27:16"/>
    <n v="318.10000000000002"/>
    <n v="13.3"/>
    <s v="Network Connectivity"/>
    <s v="WiFi Issues"/>
    <x v="0"/>
    <n v="240"/>
    <x v="0"/>
    <s v="Chat"/>
    <s v="Tier 1"/>
    <s v="TECH-14"/>
    <s v="Mid-level"/>
    <x v="0"/>
    <s v="No"/>
    <n v="1"/>
    <s v="No"/>
    <n v="6"/>
    <n v="0.1"/>
    <n v="6"/>
    <s v="No"/>
    <s v="Poor"/>
    <s v="Yes"/>
    <s v="Finance"/>
    <s v="Wednesday"/>
    <s v="Afternoon"/>
  </r>
  <r>
    <x v="829"/>
    <s v="2024-11-06 23:03:48"/>
    <x v="7"/>
    <s v="2024-11-15 16:51:48"/>
    <n v="209.8"/>
    <n v="8.6999999999999993"/>
    <s v="Email/Calendar"/>
    <s v="Calendar Sync"/>
    <x v="0"/>
    <n v="240"/>
    <x v="1"/>
    <s v="Email"/>
    <s v="Tier 1"/>
    <s v="TECH-19"/>
    <s v="Senior"/>
    <x v="0"/>
    <s v="No"/>
    <n v="1"/>
    <s v="No"/>
    <n v="10"/>
    <n v="4.5"/>
    <n v="13.5"/>
    <s v="Yes"/>
    <s v="Good"/>
    <s v="No"/>
    <s v="Sales"/>
    <s v="Wednesday"/>
    <s v="Morning"/>
  </r>
  <r>
    <x v="830"/>
    <s v="2024-04-03 22:09:13"/>
    <x v="11"/>
    <s v="2024-04-15 04:51:13"/>
    <n v="270.7"/>
    <n v="11.3"/>
    <s v="Application Errors"/>
    <s v="Login Issues"/>
    <x v="2"/>
    <n v="360"/>
    <x v="1"/>
    <s v="Phone"/>
    <s v="Tier 1"/>
    <s v="TECH-23"/>
    <s v="Mid-level"/>
    <x v="0"/>
    <s v="No"/>
    <n v="1"/>
    <s v="No"/>
    <n v="8"/>
    <n v="0.1"/>
    <n v="22.5"/>
    <s v="Yes"/>
    <s v="Poor"/>
    <s v="No"/>
    <s v="Marketing"/>
    <s v="Thursday"/>
    <s v="Morning"/>
  </r>
  <r>
    <x v="831"/>
    <s v="2024-06-25 21:08:11"/>
    <x v="10"/>
    <s v="2024-06-29 07:20:11"/>
    <n v="82.2"/>
    <n v="3.4"/>
    <s v="Application Errors"/>
    <s v="Features Not Working"/>
    <x v="1"/>
    <n v="120"/>
    <x v="1"/>
    <s v="Phone"/>
    <s v="Tier 1"/>
    <s v="TECH-22"/>
    <s v="Senior"/>
    <x v="1"/>
    <s v="No"/>
    <n v="0"/>
    <s v="No"/>
    <n v="10"/>
    <n v="0.1"/>
    <n v="1.6"/>
    <s v="Yes"/>
    <s v="Fair"/>
    <s v="Yes"/>
    <s v="Finance"/>
    <s v="Friday"/>
    <s v="Morning"/>
  </r>
  <r>
    <x v="832"/>
    <s v="2024-09-22 09:09:04"/>
    <x v="9"/>
    <s v="2024-09-29 13:15:04"/>
    <n v="172.1"/>
    <n v="7.2"/>
    <s v="Password Reset"/>
    <s v="Email Password"/>
    <x v="0"/>
    <n v="240"/>
    <x v="1"/>
    <s v="Phone"/>
    <s v="Tier 1"/>
    <s v="TECH-19"/>
    <s v="Junior"/>
    <x v="0"/>
    <s v="No"/>
    <n v="1"/>
    <s v="No"/>
    <n v="7"/>
    <n v="0.9"/>
    <n v="17"/>
    <s v="Yes"/>
    <s v="Poor"/>
    <s v="Yes"/>
    <s v="IT"/>
    <s v="Thursday"/>
    <s v="Morning"/>
  </r>
  <r>
    <x v="833"/>
    <s v="2024-02-01 07:06:57"/>
    <x v="6"/>
    <s v="2024-02-08 07:54:57"/>
    <n v="168.8"/>
    <n v="7"/>
    <s v="Hardware Issues"/>
    <s v="Printer"/>
    <x v="0"/>
    <n v="240"/>
    <x v="1"/>
    <s v="Portal"/>
    <s v="Tier 1"/>
    <s v="TECH-25"/>
    <s v="Junior"/>
    <x v="0"/>
    <s v="No"/>
    <n v="1"/>
    <s v="No"/>
    <n v="9"/>
    <n v="2.2999999999999998"/>
    <n v="0"/>
    <s v="Yes"/>
    <s v="Good"/>
    <s v="No"/>
    <s v="Sales"/>
    <s v="Tuesday"/>
    <s v="Morning"/>
  </r>
  <r>
    <x v="834"/>
    <s v="2024-07-30 05:14:40"/>
    <x v="4"/>
    <s v="2024-08-04 09:14:40"/>
    <n v="124"/>
    <n v="5.2"/>
    <s v="Application Errors"/>
    <s v="Login Issues"/>
    <x v="1"/>
    <n v="120"/>
    <x v="0"/>
    <s v="Portal"/>
    <s v="Tier 1"/>
    <s v="TECH-7"/>
    <s v="Junior"/>
    <x v="1"/>
    <s v="No"/>
    <n v="0"/>
    <s v="No"/>
    <n v="7"/>
    <n v="5.4"/>
    <n v="4.3"/>
    <s v="Yes"/>
    <s v="Poor"/>
    <s v="Yes"/>
    <s v="HR"/>
    <s v="Thursday"/>
    <s v="Morning"/>
  </r>
  <r>
    <x v="835"/>
    <s v="2024-02-02 07:02:17"/>
    <x v="6"/>
    <s v="2024-02-05 22:08:17"/>
    <n v="87.1"/>
    <n v="3.6"/>
    <s v="Access Requests"/>
    <s v="VPN Access"/>
    <x v="1"/>
    <n v="120"/>
    <x v="1"/>
    <s v="Portal"/>
    <s v="Tier 1"/>
    <s v="TECH-25"/>
    <s v="Mid-level"/>
    <x v="1"/>
    <s v="No"/>
    <n v="0"/>
    <s v="No"/>
    <n v="10"/>
    <n v="5.9"/>
    <n v="23.3"/>
    <s v="Yes"/>
    <s v="Good"/>
    <s v="Yes"/>
    <s v="Executive"/>
    <s v="Tuesday"/>
    <s v="Afternoon"/>
  </r>
  <r>
    <x v="836"/>
    <s v="2024-10-19 12:04:05"/>
    <x v="2"/>
    <s v="2024-10-28 10:58:05"/>
    <n v="215.9"/>
    <n v="9"/>
    <s v="Email/Calendar"/>
    <s v="Calendar Sync"/>
    <x v="0"/>
    <n v="240"/>
    <x v="1"/>
    <s v="Walk-in"/>
    <s v="Tier 1"/>
    <s v="TECH-4"/>
    <s v="Mid-level"/>
    <x v="0"/>
    <s v="No"/>
    <n v="1"/>
    <s v="Yes"/>
    <n v="5"/>
    <n v="3"/>
    <n v="26.4"/>
    <s v="Yes"/>
    <s v="Poor"/>
    <s v="Yes"/>
    <s v="IT"/>
    <s v="Wednesday"/>
    <s v="Morning"/>
  </r>
  <r>
    <x v="837"/>
    <s v="2024-03-03 00:13:38"/>
    <x v="5"/>
    <s v="2024-03-24 09:25:38"/>
    <n v="489.2"/>
    <n v="20.399999999999999"/>
    <s v="Password Reset"/>
    <s v="Account Unlock"/>
    <x v="2"/>
    <n v="360"/>
    <x v="0"/>
    <s v="Walk-in"/>
    <s v="Tier 1"/>
    <s v="TECH-23"/>
    <s v="Senior"/>
    <x v="1"/>
    <s v="No"/>
    <n v="0"/>
    <s v="No"/>
    <n v="6"/>
    <n v="3.4"/>
    <n v="7.6"/>
    <s v="Yes"/>
    <s v="Fair"/>
    <s v="Yes"/>
    <s v="Operations"/>
    <s v="Tuesday"/>
    <s v="Morning"/>
  </r>
  <r>
    <x v="838"/>
    <s v="2024-06-09 09:43:40"/>
    <x v="10"/>
    <s v="2024-06-18 14:55:40"/>
    <n v="221.2"/>
    <n v="9.1999999999999993"/>
    <s v="Access Requests"/>
    <s v="Application Access"/>
    <x v="0"/>
    <n v="240"/>
    <x v="1"/>
    <s v="Walk-in"/>
    <s v="Tier 1"/>
    <s v="TECH-11"/>
    <s v="Junior"/>
    <x v="0"/>
    <s v="No"/>
    <n v="1"/>
    <s v="No"/>
    <n v="8"/>
    <n v="0.2"/>
    <n v="16.100000000000001"/>
    <s v="No"/>
    <s v="Fair"/>
    <s v="No"/>
    <s v="Operations"/>
    <s v="Thursday"/>
    <s v="Morning"/>
  </r>
  <r>
    <x v="839"/>
    <s v="2024-06-12 22:57:16"/>
    <x v="10"/>
    <s v="2024-06-14 19:03:16"/>
    <n v="44.1"/>
    <n v="1.8"/>
    <s v="Application Errors"/>
    <s v="Performance"/>
    <x v="3"/>
    <n v="48"/>
    <x v="1"/>
    <s v="Email"/>
    <s v="Tier 2"/>
    <s v="TECH-5"/>
    <s v="Senior"/>
    <x v="0"/>
    <s v="Yes"/>
    <n v="4"/>
    <s v="No"/>
    <n v="7"/>
    <n v="3.1"/>
    <n v="22.1"/>
    <s v="No"/>
    <s v="Fair"/>
    <s v="Yes"/>
    <s v="Executive"/>
    <s v="Wednesday"/>
    <s v="Morning"/>
  </r>
  <r>
    <x v="840"/>
    <s v="2024-10-16 13:39:12"/>
    <x v="2"/>
    <s v="2024-10-24 22:39:12"/>
    <n v="201"/>
    <n v="8.4"/>
    <s v="Password Reset"/>
    <s v="Application Password"/>
    <x v="0"/>
    <n v="240"/>
    <x v="1"/>
    <s v="Email"/>
    <s v="Tier 1"/>
    <s v="TECH-17"/>
    <s v="Senior"/>
    <x v="1"/>
    <s v="No"/>
    <n v="0"/>
    <s v="No"/>
    <n v="10"/>
    <n v="3.1"/>
    <n v="42.9"/>
    <s v="Yes"/>
    <s v="Good"/>
    <s v="Yes"/>
    <s v="Marketing"/>
    <s v="Tuesday"/>
    <s v="Morning"/>
  </r>
  <r>
    <x v="841"/>
    <s v="2024-02-27 14:47:39"/>
    <x v="6"/>
    <s v="2024-03-07 05:29:39"/>
    <n v="206.7"/>
    <n v="8.6"/>
    <s v="Email/Calendar"/>
    <s v="Calendar Sync"/>
    <x v="0"/>
    <n v="240"/>
    <x v="1"/>
    <s v="Portal"/>
    <s v="Tier 1"/>
    <s v="TECH-17"/>
    <s v="Senior"/>
    <x v="0"/>
    <s v="No"/>
    <n v="1"/>
    <s v="No"/>
    <n v="10"/>
    <n v="0.4"/>
    <n v="31.9"/>
    <s v="No"/>
    <s v="Fair"/>
    <s v="Yes"/>
    <s v="Legal"/>
    <s v="Monday"/>
    <s v="Afternoon"/>
  </r>
  <r>
    <x v="842"/>
    <s v="2024-04-30 18:57:23"/>
    <x v="11"/>
    <s v="2024-05-08 09:03:23"/>
    <n v="182.1"/>
    <n v="7.6"/>
    <s v="Network Connectivity"/>
    <s v="Ethernet"/>
    <x v="0"/>
    <n v="240"/>
    <x v="1"/>
    <s v="Email"/>
    <s v="Tier 1"/>
    <s v="TECH-15"/>
    <s v="Mid-level"/>
    <x v="0"/>
    <s v="No"/>
    <n v="1"/>
    <s v="No"/>
    <n v="8"/>
    <n v="4.3"/>
    <n v="23.6"/>
    <s v="No"/>
    <s v="Fair"/>
    <s v="Yes"/>
    <s v="Operations"/>
    <s v="Thursday"/>
    <s v="Afternoon"/>
  </r>
  <r>
    <x v="843"/>
    <s v="2024-02-22 02:15:04"/>
    <x v="6"/>
    <s v="2024-02-25 09:03:04"/>
    <n v="78.8"/>
    <n v="3.3"/>
    <s v="Application Errors"/>
    <s v="Crash"/>
    <x v="1"/>
    <n v="120"/>
    <x v="1"/>
    <s v="Portal"/>
    <s v="Tier 1"/>
    <s v="TECH-16"/>
    <s v="Mid-level"/>
    <x v="1"/>
    <s v="No"/>
    <n v="0"/>
    <s v="No"/>
    <n v="10"/>
    <n v="1.6"/>
    <n v="21.2"/>
    <s v="No"/>
    <s v="Good"/>
    <s v="Yes"/>
    <s v="Marketing"/>
    <s v="Wednesday"/>
    <s v="Afternoon"/>
  </r>
  <r>
    <x v="844"/>
    <s v="2024-12-23 14:53:12"/>
    <x v="0"/>
    <s v="2024-12-30 19:47:12"/>
    <n v="172.9"/>
    <n v="7.2"/>
    <s v="Email/Calendar"/>
    <s v="Distribution List"/>
    <x v="1"/>
    <n v="120"/>
    <x v="0"/>
    <s v="Email"/>
    <s v="Tier 1"/>
    <s v="TECH-17"/>
    <s v="Junior"/>
    <x v="0"/>
    <s v="No"/>
    <n v="1"/>
    <s v="No"/>
    <n v="4"/>
    <n v="4.0999999999999996"/>
    <n v="14.5"/>
    <s v="Yes"/>
    <s v="Good"/>
    <s v="Yes"/>
    <s v="Operations"/>
    <s v="Thursday"/>
    <s v="Afternoon"/>
  </r>
  <r>
    <x v="845"/>
    <s v="2024-08-30 09:08:13"/>
    <x v="1"/>
    <s v="2024-10-07 11:44:13"/>
    <n v="914.6"/>
    <n v="38.1"/>
    <s v="Password Reset"/>
    <s v="Application Password"/>
    <x v="2"/>
    <n v="360"/>
    <x v="0"/>
    <s v="Phone"/>
    <s v="Tier 1"/>
    <s v="TECH-24"/>
    <s v="Mid-level"/>
    <x v="0"/>
    <s v="No"/>
    <n v="1"/>
    <s v="No"/>
    <n v="5"/>
    <n v="1.5"/>
    <n v="14.8"/>
    <s v="Yes"/>
    <s v="Excellent"/>
    <s v="No"/>
    <s v="Marketing"/>
    <s v="Friday"/>
    <s v="Evening"/>
  </r>
  <r>
    <x v="846"/>
    <s v="2024-04-10 17:22:05"/>
    <x v="11"/>
    <s v="2024-04-18 07:04:05"/>
    <n v="181.7"/>
    <n v="7.6"/>
    <s v="Software Installation"/>
    <s v="Adobe Suite"/>
    <x v="0"/>
    <n v="240"/>
    <x v="1"/>
    <s v="Email"/>
    <s v="Tier 2"/>
    <s v="TECH-11"/>
    <s v="Junior"/>
    <x v="0"/>
    <s v="Yes"/>
    <n v="4"/>
    <s v="No"/>
    <n v="7"/>
    <n v="0.9"/>
    <n v="22.5"/>
    <s v="No"/>
    <s v="Good"/>
    <s v="No"/>
    <s v="Marketing"/>
    <s v="Monday"/>
    <s v="Evening"/>
  </r>
  <r>
    <x v="847"/>
    <s v="2024-02-21 16:35:06"/>
    <x v="6"/>
    <s v="2024-03-06 17:23:06"/>
    <n v="336.8"/>
    <n v="14"/>
    <s v="Password Reset"/>
    <s v="Application Password"/>
    <x v="2"/>
    <n v="360"/>
    <x v="1"/>
    <s v="Phone"/>
    <s v="Tier 1"/>
    <s v="TECH-14"/>
    <s v="Mid-level"/>
    <x v="0"/>
    <s v="No"/>
    <n v="1"/>
    <s v="No"/>
    <n v="9"/>
    <n v="3.1"/>
    <n v="22.7"/>
    <s v="No"/>
    <s v="Fair"/>
    <s v="No"/>
    <s v="IT"/>
    <s v="Thursday"/>
    <s v="Morning"/>
  </r>
  <r>
    <x v="848"/>
    <s v="2024-08-31 09:06:21"/>
    <x v="1"/>
    <s v="2024-09-06 17:36:21"/>
    <n v="152.5"/>
    <n v="6.4"/>
    <s v="Other"/>
    <s v="Miscellaneous"/>
    <x v="0"/>
    <n v="240"/>
    <x v="1"/>
    <s v="Email"/>
    <s v="Tier 2"/>
    <s v="TECH-13"/>
    <s v="Mid-level"/>
    <x v="0"/>
    <s v="Yes"/>
    <n v="2"/>
    <s v="No"/>
    <n v="7"/>
    <n v="2.2000000000000002"/>
    <n v="9.6999999999999993"/>
    <s v="Yes"/>
    <s v="Excellent"/>
    <s v="Yes"/>
    <s v="Operations"/>
    <s v="Wednesday"/>
    <s v="Morning"/>
  </r>
  <r>
    <x v="849"/>
    <s v="2024-08-12 06:29:26"/>
    <x v="1"/>
    <s v="2024-08-21 10:05:26"/>
    <n v="219.6"/>
    <n v="9.1999999999999993"/>
    <s v="Access Requests"/>
    <s v="File Share"/>
    <x v="0"/>
    <n v="240"/>
    <x v="1"/>
    <s v="Chat"/>
    <s v="Tier 1"/>
    <s v="TECH-10"/>
    <s v="Senior"/>
    <x v="1"/>
    <s v="No"/>
    <n v="0"/>
    <s v="No"/>
    <n v="8"/>
    <n v="5.2"/>
    <n v="0.3"/>
    <s v="Yes"/>
    <s v="Excellent"/>
    <s v="Yes"/>
    <s v="Marketing"/>
    <s v="Monday"/>
    <s v="Morning"/>
  </r>
  <r>
    <x v="850"/>
    <s v="2024-04-02 18:54:12"/>
    <x v="11"/>
    <s v="2024-04-11 01:06:12"/>
    <n v="222.2"/>
    <n v="9.3000000000000007"/>
    <s v="Access Requests"/>
    <s v="File Share"/>
    <x v="0"/>
    <n v="240"/>
    <x v="1"/>
    <s v="Portal"/>
    <s v="Tier 1"/>
    <s v="TECH-6"/>
    <s v="Senior"/>
    <x v="1"/>
    <s v="No"/>
    <n v="0"/>
    <s v="No"/>
    <n v="10"/>
    <n v="1.8"/>
    <n v="29.5"/>
    <s v="Yes"/>
    <s v="Good"/>
    <s v="No"/>
    <s v="IT"/>
    <s v="Thursday"/>
    <s v="Afternoon"/>
  </r>
  <r>
    <x v="851"/>
    <s v="2024-03-29 10:47:08"/>
    <x v="5"/>
    <s v="2024-04-10 12:35:08"/>
    <n v="288.8"/>
    <n v="12"/>
    <s v="Password Reset"/>
    <s v="Account Unlock"/>
    <x v="2"/>
    <n v="360"/>
    <x v="1"/>
    <s v="Phone"/>
    <s v="Tier 1"/>
    <s v="TECH-14"/>
    <s v="Mid-level"/>
    <x v="1"/>
    <s v="No"/>
    <n v="0"/>
    <s v="No"/>
    <n v="9"/>
    <n v="3.4"/>
    <n v="20.7"/>
    <s v="Yes"/>
    <s v="Fair"/>
    <s v="Yes"/>
    <s v="IT"/>
    <s v="Monday"/>
    <s v="Afternoon"/>
  </r>
  <r>
    <x v="852"/>
    <s v="2024-09-19 13:20:15"/>
    <x v="9"/>
    <s v="2024-09-23 21:56:15"/>
    <n v="104.6"/>
    <n v="4.4000000000000004"/>
    <s v="Hardware Issues"/>
    <s v="Laptop"/>
    <x v="1"/>
    <n v="120"/>
    <x v="1"/>
    <s v="Portal"/>
    <s v="Tier 1"/>
    <s v="TECH-9"/>
    <s v="Mid-level"/>
    <x v="0"/>
    <s v="No"/>
    <n v="1"/>
    <s v="Yes"/>
    <n v="7"/>
    <n v="3.8"/>
    <n v="23.3"/>
    <s v="No"/>
    <s v="Good"/>
    <s v="Yes"/>
    <s v="Operations"/>
    <s v="Monday"/>
    <s v="Afternoon"/>
  </r>
  <r>
    <x v="853"/>
    <s v="2024-11-28 11:08:27"/>
    <x v="7"/>
    <s v="2024-12-07 18:50:27"/>
    <n v="223.7"/>
    <n v="9.3000000000000007"/>
    <s v="Email/Calendar"/>
    <s v="Cannot Send/Receive"/>
    <x v="0"/>
    <n v="240"/>
    <x v="1"/>
    <s v="Phone"/>
    <s v="Tier 1"/>
    <s v="TECH-6"/>
    <s v="Mid-level"/>
    <x v="0"/>
    <s v="No"/>
    <n v="1"/>
    <s v="No"/>
    <n v="10"/>
    <n v="0.1"/>
    <n v="9.3000000000000007"/>
    <s v="Yes"/>
    <s v="Fair"/>
    <s v="Yes"/>
    <s v="Marketing"/>
    <s v="Friday"/>
    <s v="Morning"/>
  </r>
  <r>
    <x v="854"/>
    <s v="2024-03-04 08:49:17"/>
    <x v="5"/>
    <s v="2024-03-13 06:19:17"/>
    <n v="213.5"/>
    <n v="8.9"/>
    <s v="Network Connectivity"/>
    <s v="Ethernet"/>
    <x v="1"/>
    <n v="120"/>
    <x v="0"/>
    <s v="Chat"/>
    <s v="Tier 2"/>
    <s v="TECH-14"/>
    <s v="Mid-level"/>
    <x v="0"/>
    <s v="Yes"/>
    <n v="1"/>
    <s v="No"/>
    <n v="7"/>
    <n v="4.9000000000000004"/>
    <n v="20"/>
    <s v="Yes"/>
    <s v="Good"/>
    <s v="No"/>
    <s v="Finance"/>
    <s v="Wednesday"/>
    <s v="Morning"/>
  </r>
  <r>
    <x v="855"/>
    <s v="2024-12-29 02:31:54"/>
    <x v="0"/>
    <s v="2024-12-30 23:43:54"/>
    <n v="45.2"/>
    <n v="1.9"/>
    <s v="Application Errors"/>
    <s v="Features Not Working"/>
    <x v="3"/>
    <n v="48"/>
    <x v="1"/>
    <s v="Walk-in"/>
    <s v="Tier 1"/>
    <s v="TECH-1"/>
    <s v="Junior"/>
    <x v="0"/>
    <s v="No"/>
    <n v="1"/>
    <s v="No"/>
    <n v="7"/>
    <n v="5"/>
    <n v="7.3"/>
    <s v="No"/>
    <s v="Poor"/>
    <s v="Yes"/>
    <s v="HR"/>
    <s v="Friday"/>
    <s v="Morning"/>
  </r>
  <r>
    <x v="856"/>
    <s v="2024-04-21 06:12:48"/>
    <x v="11"/>
    <s v="2024-05-02 13:24:48"/>
    <n v="271.2"/>
    <n v="11.3"/>
    <s v="Other"/>
    <s v="Documentation"/>
    <x v="2"/>
    <n v="360"/>
    <x v="1"/>
    <s v="Email"/>
    <s v="Tier 1"/>
    <s v="TECH-19"/>
    <s v="Mid-level"/>
    <x v="0"/>
    <s v="No"/>
    <n v="1"/>
    <s v="No"/>
    <n v="8"/>
    <n v="2.1"/>
    <n v="0"/>
    <s v="Yes"/>
    <s v="Fair"/>
    <s v="Yes"/>
    <s v="Marketing"/>
    <s v="Friday"/>
    <s v="Afternoon"/>
  </r>
  <r>
    <x v="857"/>
    <s v="2024-03-01 19:48:12"/>
    <x v="5"/>
    <s v="2024-03-10 23:12:12"/>
    <n v="219.4"/>
    <n v="9.1"/>
    <s v="Network Connectivity"/>
    <s v="Ethernet"/>
    <x v="0"/>
    <n v="240"/>
    <x v="1"/>
    <s v="Phone"/>
    <s v="Tier 1"/>
    <s v="TECH-20"/>
    <s v="Senior"/>
    <x v="1"/>
    <s v="No"/>
    <n v="0"/>
    <s v="No"/>
    <n v="9"/>
    <n v="4.5"/>
    <n v="34.9"/>
    <s v="Yes"/>
    <s v="Good"/>
    <s v="Yes"/>
    <s v="IT"/>
    <s v="Thursday"/>
    <s v="Evening"/>
  </r>
  <r>
    <x v="858"/>
    <s v="2024-02-17 05:24:16"/>
    <x v="6"/>
    <s v="2024-03-17 20:12:16"/>
    <n v="710.8"/>
    <n v="29.6"/>
    <s v="Hardware Issues"/>
    <s v="Desktop"/>
    <x v="0"/>
    <n v="240"/>
    <x v="0"/>
    <s v="Phone"/>
    <s v="Tier 2"/>
    <s v="TECH-11"/>
    <s v="Mid-level"/>
    <x v="0"/>
    <s v="Yes"/>
    <n v="2"/>
    <s v="No"/>
    <n v="4"/>
    <n v="0.2"/>
    <n v="14.7"/>
    <s v="Yes"/>
    <s v="Excellent"/>
    <s v="No"/>
    <s v="HR"/>
    <s v="Wednesday"/>
    <s v="Afternoon"/>
  </r>
  <r>
    <x v="859"/>
    <s v="2024-07-28 02:20:33"/>
    <x v="4"/>
    <s v="2024-08-01 11:32:33"/>
    <n v="81.2"/>
    <n v="3.4"/>
    <s v="Hardware Issues"/>
    <s v="Printer"/>
    <x v="1"/>
    <n v="120"/>
    <x v="1"/>
    <s v="Email"/>
    <s v="Tier 2"/>
    <s v="TECH-23"/>
    <s v="Senior"/>
    <x v="0"/>
    <s v="Yes"/>
    <n v="3"/>
    <s v="Yes"/>
    <n v="6"/>
    <n v="0.5"/>
    <n v="20.5"/>
    <s v="No"/>
    <s v="Fair"/>
    <s v="No"/>
    <s v="Executive"/>
    <s v="Monday"/>
    <s v="Morning"/>
  </r>
  <r>
    <x v="860"/>
    <s v="2024-02-07 10:51:54"/>
    <x v="6"/>
    <s v="2024-03-13 07:57:54"/>
    <n v="837.1"/>
    <n v="34.9"/>
    <s v="Access Requests"/>
    <s v="Application Access"/>
    <x v="2"/>
    <n v="360"/>
    <x v="0"/>
    <s v="Portal"/>
    <s v="Tier 1"/>
    <s v="TECH-12"/>
    <s v="Senior"/>
    <x v="0"/>
    <s v="No"/>
    <n v="1"/>
    <s v="No"/>
    <n v="4"/>
    <n v="1.4"/>
    <n v="18.7"/>
    <s v="Yes"/>
    <s v="Good"/>
    <s v="Yes"/>
    <s v="Sales"/>
    <s v="Tuesday"/>
    <s v="Morning"/>
  </r>
  <r>
    <x v="861"/>
    <s v="2024-02-05 15:26:48"/>
    <x v="6"/>
    <s v="2024-02-14 01:02:48"/>
    <n v="225.6"/>
    <n v="9.4"/>
    <s v="Access Requests"/>
    <s v="File Share"/>
    <x v="0"/>
    <n v="240"/>
    <x v="1"/>
    <s v="Email"/>
    <s v="Tier 1"/>
    <s v="TECH-15"/>
    <s v="Mid-level"/>
    <x v="1"/>
    <s v="No"/>
    <n v="0"/>
    <s v="No"/>
    <n v="8"/>
    <n v="1.4"/>
    <n v="13.3"/>
    <s v="No"/>
    <s v="Poor"/>
    <s v="Yes"/>
    <s v="IT"/>
    <s v="Wednesday"/>
    <s v="Morning"/>
  </r>
  <r>
    <x v="862"/>
    <s v="2024-12-08 06:32:24"/>
    <x v="0"/>
    <s v="2024-12-11 09:38:24"/>
    <n v="75.099999999999994"/>
    <n v="3.1"/>
    <s v="Password Reset"/>
    <s v="Windows Password"/>
    <x v="1"/>
    <n v="120"/>
    <x v="1"/>
    <s v="Walk-in"/>
    <s v="Tier 1"/>
    <s v="TECH-25"/>
    <s v="Mid-level"/>
    <x v="0"/>
    <s v="No"/>
    <n v="1"/>
    <s v="No"/>
    <n v="9"/>
    <n v="3.1"/>
    <n v="11.1"/>
    <s v="No"/>
    <s v="Poor"/>
    <s v="No"/>
    <s v="Operations"/>
    <s v="Thursday"/>
    <s v="Afternoon"/>
  </r>
  <r>
    <x v="863"/>
    <s v="2024-01-11 02:42:07"/>
    <x v="3"/>
    <s v="2024-01-24 12:18:07"/>
    <n v="321.60000000000002"/>
    <n v="13.4"/>
    <s v="Software Installation"/>
    <s v="Business Apps"/>
    <x v="0"/>
    <n v="240"/>
    <x v="0"/>
    <s v="Email"/>
    <s v="Tier 2"/>
    <s v="TECH-11"/>
    <s v="Junior"/>
    <x v="0"/>
    <s v="Yes"/>
    <n v="1"/>
    <s v="No"/>
    <n v="6"/>
    <n v="1.6"/>
    <n v="29.9"/>
    <s v="Yes"/>
    <s v="Good"/>
    <s v="Yes"/>
    <s v="Legal"/>
    <s v="Friday"/>
    <s v="Evening"/>
  </r>
  <r>
    <x v="864"/>
    <s v="2024-09-05 09:56:21"/>
    <x v="9"/>
    <s v="2024-09-19 04:14:21"/>
    <n v="330.3"/>
    <n v="13.8"/>
    <s v="Password Reset"/>
    <s v="Account Unlock"/>
    <x v="2"/>
    <n v="360"/>
    <x v="1"/>
    <s v="Email"/>
    <s v="Tier 1"/>
    <s v="TECH-23"/>
    <s v="Mid-level"/>
    <x v="0"/>
    <s v="No"/>
    <n v="1"/>
    <s v="No"/>
    <n v="6"/>
    <n v="3.4"/>
    <n v="19.3"/>
    <s v="No"/>
    <s v="Poor"/>
    <s v="Yes"/>
    <s v="Marketing"/>
    <s v="Thursday"/>
    <s v="Evening"/>
  </r>
  <r>
    <x v="865"/>
    <s v="2024-02-14 00:48:56"/>
    <x v="6"/>
    <s v="2024-02-18 22:24:56"/>
    <n v="93.6"/>
    <n v="3.9"/>
    <s v="Network Connectivity"/>
    <s v="VPN Connection"/>
    <x v="1"/>
    <n v="120"/>
    <x v="1"/>
    <s v="Portal"/>
    <s v="Tier 2"/>
    <s v="TECH-4"/>
    <s v="Senior"/>
    <x v="0"/>
    <s v="Yes"/>
    <n v="1"/>
    <s v="No"/>
    <n v="10"/>
    <n v="3.4"/>
    <n v="15.9"/>
    <s v="Yes"/>
    <s v="Fair"/>
    <s v="Yes"/>
    <s v="Legal"/>
    <s v="Monday"/>
    <s v="Morning"/>
  </r>
  <r>
    <x v="866"/>
    <s v="2024-10-25 00:40:33"/>
    <x v="2"/>
    <s v="2024-11-08 02:10:33"/>
    <n v="314.5"/>
    <n v="13.1"/>
    <s v="Other"/>
    <s v="Training Request"/>
    <x v="2"/>
    <n v="360"/>
    <x v="1"/>
    <s v="Email"/>
    <s v="Tier 1"/>
    <s v="TECH-19"/>
    <s v="Mid-level"/>
    <x v="0"/>
    <s v="No"/>
    <n v="1"/>
    <s v="No"/>
    <n v="10"/>
    <n v="2.4"/>
    <n v="26.6"/>
    <s v="Yes"/>
    <s v="Good"/>
    <s v="No"/>
    <s v="Legal"/>
    <s v="Friday"/>
    <s v="Afternoon"/>
  </r>
  <r>
    <x v="867"/>
    <s v="2024-04-22 20:48:48"/>
    <x v="11"/>
    <s v="2024-05-21 12:42:48"/>
    <n v="687.9"/>
    <n v="28.7"/>
    <s v="Password Reset"/>
    <s v="Email Password"/>
    <x v="2"/>
    <n v="360"/>
    <x v="0"/>
    <s v="Email"/>
    <s v="Tier 1"/>
    <s v="TECH-11"/>
    <s v="Senior"/>
    <x v="1"/>
    <s v="No"/>
    <n v="0"/>
    <s v="No"/>
    <n v="8"/>
    <n v="2.4"/>
    <n v="0"/>
    <s v="No"/>
    <s v="Poor"/>
    <s v="Yes"/>
    <s v="HR"/>
    <s v="Monday"/>
    <s v="Morning"/>
  </r>
  <r>
    <x v="868"/>
    <s v="2024-03-08 14:06:16"/>
    <x v="5"/>
    <s v="2024-03-11 16:12:16"/>
    <n v="74.099999999999994"/>
    <n v="3.1"/>
    <s v="Application Errors"/>
    <s v="Performance"/>
    <x v="1"/>
    <n v="120"/>
    <x v="1"/>
    <s v="Walk-in"/>
    <s v="Tier 2"/>
    <s v="TECH-10"/>
    <s v="Mid-level"/>
    <x v="0"/>
    <s v="Yes"/>
    <n v="3"/>
    <s v="No"/>
    <n v="8"/>
    <n v="3"/>
    <n v="7"/>
    <s v="No"/>
    <s v="Poor"/>
    <s v="Yes"/>
    <s v="Finance"/>
    <s v="Tuesday"/>
    <s v="Afternoon"/>
  </r>
  <r>
    <x v="869"/>
    <s v="2024-03-23 23:13:54"/>
    <x v="5"/>
    <s v="2024-04-02 22:49:54"/>
    <n v="238.6"/>
    <n v="9.9"/>
    <s v="Email/Calendar"/>
    <s v="Calendar Sync"/>
    <x v="2"/>
    <n v="360"/>
    <x v="1"/>
    <s v="Walk-in"/>
    <s v="Tier 1"/>
    <s v="TECH-7"/>
    <s v="Junior"/>
    <x v="0"/>
    <s v="No"/>
    <n v="1"/>
    <s v="No"/>
    <n v="8"/>
    <n v="4.2"/>
    <n v="30.2"/>
    <s v="Yes"/>
    <s v="Good"/>
    <s v="Yes"/>
    <s v="Finance"/>
    <s v="Friday"/>
    <s v="Morning"/>
  </r>
  <r>
    <x v="870"/>
    <s v="2024-09-22 01:02:55"/>
    <x v="9"/>
    <s v="2024-10-02 11:20:55"/>
    <n v="226.3"/>
    <n v="9.4"/>
    <s v="Password Reset"/>
    <s v="Application Password"/>
    <x v="2"/>
    <n v="360"/>
    <x v="1"/>
    <s v="Phone"/>
    <s v="Tier 1"/>
    <s v="TECH-8"/>
    <s v="Mid-level"/>
    <x v="1"/>
    <s v="No"/>
    <n v="0"/>
    <s v="No"/>
    <n v="7"/>
    <n v="0.1"/>
    <n v="29.7"/>
    <s v="No"/>
    <s v="Good"/>
    <s v="Yes"/>
    <s v="Sales"/>
    <s v="Monday"/>
    <s v="Afternoon"/>
  </r>
  <r>
    <x v="871"/>
    <s v="2024-03-18 05:16:44"/>
    <x v="5"/>
    <s v="2024-03-30 04:34:44"/>
    <n v="287.3"/>
    <n v="12"/>
    <s v="Password Reset"/>
    <s v="Application Password"/>
    <x v="2"/>
    <n v="360"/>
    <x v="1"/>
    <s v="Portal"/>
    <s v="Tier 1"/>
    <s v="TECH-17"/>
    <s v="Mid-level"/>
    <x v="1"/>
    <s v="No"/>
    <n v="0"/>
    <s v="No"/>
    <n v="10"/>
    <n v="2.9"/>
    <n v="15"/>
    <s v="Yes"/>
    <s v="Excellent"/>
    <s v="Yes"/>
    <s v="Executive"/>
    <s v="Wednesday"/>
    <s v="Morning"/>
  </r>
  <r>
    <x v="872"/>
    <s v="2024-10-22 18:48:38"/>
    <x v="2"/>
    <s v="2024-10-26 11:24:38"/>
    <n v="88.6"/>
    <n v="3.7"/>
    <s v="Application Errors"/>
    <s v="Login Issues"/>
    <x v="1"/>
    <n v="120"/>
    <x v="1"/>
    <s v="Phone"/>
    <s v="Tier 1"/>
    <s v="TECH-11"/>
    <s v="Senior"/>
    <x v="0"/>
    <s v="No"/>
    <n v="1"/>
    <s v="No"/>
    <n v="7"/>
    <n v="1.6"/>
    <n v="21.9"/>
    <s v="Yes"/>
    <s v="Fair"/>
    <s v="Yes"/>
    <s v="IT"/>
    <s v="Wednesday"/>
    <s v="Morning"/>
  </r>
  <r>
    <x v="873"/>
    <s v="2024-11-27 01:47:38"/>
    <x v="7"/>
    <s v="2024-12-09 14:23:38"/>
    <n v="276.60000000000002"/>
    <n v="11.5"/>
    <s v="Password Reset"/>
    <s v="Email Password"/>
    <x v="2"/>
    <n v="360"/>
    <x v="1"/>
    <s v="Email"/>
    <s v="Tier 1"/>
    <s v="TECH-10"/>
    <s v="Junior"/>
    <x v="1"/>
    <s v="No"/>
    <n v="0"/>
    <s v="Yes"/>
    <n v="9"/>
    <n v="4.0999999999999996"/>
    <n v="30.4"/>
    <s v="Yes"/>
    <s v="Excellent"/>
    <s v="Yes"/>
    <s v="Sales"/>
    <s v="Thursday"/>
    <s v="Morning"/>
  </r>
  <r>
    <x v="874"/>
    <s v="2024-09-01 05:24:31"/>
    <x v="9"/>
    <s v="2024-09-14 16:30:31"/>
    <n v="323.10000000000002"/>
    <n v="13.5"/>
    <s v="Password Reset"/>
    <s v="Email Password"/>
    <x v="2"/>
    <n v="360"/>
    <x v="1"/>
    <s v="Portal"/>
    <s v="Tier 1"/>
    <s v="TECH-22"/>
    <s v="Mid-level"/>
    <x v="0"/>
    <s v="No"/>
    <n v="1"/>
    <s v="Yes"/>
    <n v="9"/>
    <n v="7.1"/>
    <n v="36.799999999999997"/>
    <s v="No"/>
    <s v="Fair"/>
    <s v="Yes"/>
    <s v="IT"/>
    <s v="Thursday"/>
    <s v="Morning"/>
  </r>
  <r>
    <x v="875"/>
    <s v="2024-10-07 16:44:15"/>
    <x v="2"/>
    <s v="2024-10-10 22:38:15"/>
    <n v="77.900000000000006"/>
    <n v="3.2"/>
    <s v="Email/Calendar"/>
    <s v="Calendar Sync"/>
    <x v="1"/>
    <n v="120"/>
    <x v="1"/>
    <s v="Portal"/>
    <s v="Tier 1"/>
    <s v="TECH-17"/>
    <s v="Junior"/>
    <x v="0"/>
    <s v="No"/>
    <n v="1"/>
    <s v="No"/>
    <n v="9"/>
    <n v="1.3"/>
    <n v="14.3"/>
    <s v="No"/>
    <s v="Excellent"/>
    <s v="Yes"/>
    <s v="Operations"/>
    <s v="Monday"/>
    <s v="Afternoon"/>
  </r>
  <r>
    <x v="876"/>
    <s v="2024-06-08 01:49:42"/>
    <x v="10"/>
    <s v="2024-06-15 21:19:42"/>
    <n v="163.5"/>
    <n v="6.8"/>
    <s v="Network Connectivity"/>
    <s v="Slow Network"/>
    <x v="0"/>
    <n v="240"/>
    <x v="1"/>
    <s v="Phone"/>
    <s v="Tier 1"/>
    <s v="TECH-24"/>
    <s v="Junior"/>
    <x v="0"/>
    <s v="No"/>
    <n v="1"/>
    <s v="No"/>
    <n v="9"/>
    <n v="2.8"/>
    <n v="24.7"/>
    <s v="Yes"/>
    <s v="Poor"/>
    <s v="Yes"/>
    <s v="IT"/>
    <s v="Tuesday"/>
    <s v="Afternoon"/>
  </r>
  <r>
    <x v="877"/>
    <s v="2024-01-02 00:25:14"/>
    <x v="3"/>
    <s v="2024-01-11 19:43:14"/>
    <n v="211.3"/>
    <n v="8.8000000000000007"/>
    <s v="Other"/>
    <s v="Documentation"/>
    <x v="0"/>
    <n v="240"/>
    <x v="1"/>
    <s v="Phone"/>
    <s v="Tier 1"/>
    <s v="TECH-23"/>
    <s v="Junior"/>
    <x v="0"/>
    <s v="No"/>
    <n v="1"/>
    <s v="Yes"/>
    <n v="9"/>
    <n v="3.4"/>
    <n v="14.5"/>
    <s v="No"/>
    <s v="Fair"/>
    <s v="Yes"/>
    <s v="Operations"/>
    <s v="Monday"/>
    <s v="Morning"/>
  </r>
  <r>
    <x v="878"/>
    <s v="2024-03-06 05:52:57"/>
    <x v="5"/>
    <s v="2024-03-16 08:52:57"/>
    <n v="243"/>
    <n v="10.1"/>
    <s v="Password Reset"/>
    <s v="Email Password"/>
    <x v="2"/>
    <n v="360"/>
    <x v="1"/>
    <s v="Phone"/>
    <s v="Tier 1"/>
    <s v="TECH-5"/>
    <s v="Mid-level"/>
    <x v="0"/>
    <s v="No"/>
    <n v="1"/>
    <s v="No"/>
    <n v="7"/>
    <n v="3.7"/>
    <n v="23.5"/>
    <s v="Yes"/>
    <s v="Good"/>
    <s v="Yes"/>
    <s v="Executive"/>
    <s v="Monday"/>
    <s v="Morning"/>
  </r>
  <r>
    <x v="879"/>
    <s v="2024-06-10 10:39:50"/>
    <x v="10"/>
    <s v="2024-06-17 07:51:50"/>
    <n v="165.2"/>
    <n v="6.9"/>
    <s v="Email/Calendar"/>
    <s v="Mailbox Full"/>
    <x v="0"/>
    <n v="240"/>
    <x v="1"/>
    <s v="Phone"/>
    <s v="Tier 1"/>
    <s v="TECH-16"/>
    <s v="Junior"/>
    <x v="1"/>
    <s v="No"/>
    <n v="0"/>
    <s v="No"/>
    <n v="10"/>
    <n v="4"/>
    <n v="35.4"/>
    <s v="No"/>
    <s v="Poor"/>
    <s v="No"/>
    <s v="Operations"/>
    <s v="Friday"/>
    <s v="Morning"/>
  </r>
  <r>
    <x v="880"/>
    <s v="2024-01-08 15:38:50"/>
    <x v="3"/>
    <s v="2024-01-12 14:50:50"/>
    <n v="95.2"/>
    <n v="4"/>
    <s v="Software Installation"/>
    <s v="MS Office"/>
    <x v="1"/>
    <n v="120"/>
    <x v="1"/>
    <s v="Phone"/>
    <s v="Tier 1"/>
    <s v="TECH-15"/>
    <s v="Mid-level"/>
    <x v="0"/>
    <s v="No"/>
    <n v="1"/>
    <s v="No"/>
    <n v="8"/>
    <n v="1.8"/>
    <n v="32"/>
    <s v="Yes"/>
    <s v="Fair"/>
    <s v="No"/>
    <s v="Executive"/>
    <s v="Tuesday"/>
    <s v="Afternoon"/>
  </r>
  <r>
    <x v="881"/>
    <s v="2024-11-28 18:25:37"/>
    <x v="7"/>
    <s v="2024-12-03 06:49:37"/>
    <n v="108.4"/>
    <n v="4.5"/>
    <s v="Hardware Issues"/>
    <s v="Desktop"/>
    <x v="1"/>
    <n v="120"/>
    <x v="1"/>
    <s v="Chat"/>
    <s v="Tier 2"/>
    <s v="TECH-20"/>
    <s v="Junior"/>
    <x v="0"/>
    <s v="Yes"/>
    <n v="3"/>
    <s v="No"/>
    <n v="8"/>
    <n v="2.8"/>
    <n v="8.5"/>
    <s v="Yes"/>
    <s v="Fair"/>
    <s v="Yes"/>
    <s v="Sales"/>
    <s v="Monday"/>
    <s v="Morning"/>
  </r>
  <r>
    <x v="882"/>
    <s v="2024-12-22 09:29:49"/>
    <x v="0"/>
    <s v="2024-12-28 16:17:49"/>
    <n v="150.80000000000001"/>
    <n v="6.3"/>
    <s v="Application Errors"/>
    <s v="Login Issues"/>
    <x v="1"/>
    <n v="120"/>
    <x v="0"/>
    <s v="Portal"/>
    <s v="Tier 1"/>
    <s v="TECH-12"/>
    <s v="Senior"/>
    <x v="0"/>
    <s v="No"/>
    <n v="1"/>
    <s v="No"/>
    <n v="8"/>
    <n v="0.4"/>
    <n v="6.3"/>
    <s v="Yes"/>
    <s v="Poor"/>
    <s v="No"/>
    <s v="Marketing"/>
    <s v="Monday"/>
    <s v="Afternoon"/>
  </r>
  <r>
    <x v="883"/>
    <s v="2024-02-12 02:22:46"/>
    <x v="6"/>
    <s v="2024-02-26 23:16:46"/>
    <n v="356.9"/>
    <n v="14.9"/>
    <s v="Email/Calendar"/>
    <s v="Mailbox Full"/>
    <x v="1"/>
    <n v="120"/>
    <x v="0"/>
    <s v="Email"/>
    <s v="Tier 1"/>
    <s v="TECH-22"/>
    <s v="Senior"/>
    <x v="0"/>
    <s v="No"/>
    <n v="1"/>
    <s v="Yes"/>
    <n v="5"/>
    <n v="1.3"/>
    <n v="28.6"/>
    <s v="No"/>
    <s v="Fair"/>
    <s v="No"/>
    <s v="Legal"/>
    <s v="Thursday"/>
    <s v="Evening"/>
  </r>
  <r>
    <x v="884"/>
    <s v="2024-09-25 20:00:27"/>
    <x v="9"/>
    <s v="2024-09-30 05:30:27"/>
    <n v="105.5"/>
    <n v="4.4000000000000004"/>
    <s v="Hardware Issues"/>
    <s v="Laptop"/>
    <x v="1"/>
    <n v="120"/>
    <x v="1"/>
    <s v="Portal"/>
    <s v="Tier 1"/>
    <s v="TECH-11"/>
    <s v="Mid-level"/>
    <x v="0"/>
    <s v="No"/>
    <n v="1"/>
    <s v="Yes"/>
    <n v="10"/>
    <n v="3.7"/>
    <n v="2.2000000000000002"/>
    <s v="Yes"/>
    <s v="Good"/>
    <s v="Yes"/>
    <s v="HR"/>
    <s v="Tuesday"/>
    <s v="Afternoon"/>
  </r>
  <r>
    <x v="885"/>
    <s v="2024-04-02 12:44:57"/>
    <x v="11"/>
    <s v="2024-04-16 14:14:57"/>
    <n v="337.5"/>
    <n v="14.1"/>
    <s v="Software Installation"/>
    <s v="VPN Client"/>
    <x v="2"/>
    <n v="360"/>
    <x v="1"/>
    <s v="Phone"/>
    <s v="Tier 1"/>
    <s v="TECH-15"/>
    <s v="Junior"/>
    <x v="1"/>
    <s v="No"/>
    <n v="0"/>
    <s v="No"/>
    <n v="7"/>
    <n v="1.7"/>
    <n v="13.4"/>
    <s v="No"/>
    <s v="Poor"/>
    <s v="No"/>
    <s v="Marketing"/>
    <s v="Friday"/>
    <s v="Evening"/>
  </r>
  <r>
    <x v="886"/>
    <s v="2024-09-02 23:53:22"/>
    <x v="9"/>
    <s v="2024-09-09 21:35:22"/>
    <n v="165.7"/>
    <n v="6.9"/>
    <s v="Email/Calendar"/>
    <s v="Mailbox Full"/>
    <x v="0"/>
    <n v="240"/>
    <x v="1"/>
    <s v="Email"/>
    <s v="Tier 1"/>
    <s v="TECH-18"/>
    <s v="Mid-level"/>
    <x v="0"/>
    <s v="No"/>
    <n v="1"/>
    <s v="No"/>
    <n v="9"/>
    <n v="2.2999999999999998"/>
    <n v="35.200000000000003"/>
    <s v="Yes"/>
    <s v="Good"/>
    <s v="Yes"/>
    <s v="HR"/>
    <s v="Tuesday"/>
    <s v="Evening"/>
  </r>
  <r>
    <x v="887"/>
    <s v="2024-10-14 04:01:37"/>
    <x v="2"/>
    <s v="2024-10-17 06:55:37"/>
    <n v="74.900000000000006"/>
    <n v="3.1"/>
    <s v="Other"/>
    <s v="General Inquiry"/>
    <x v="1"/>
    <n v="120"/>
    <x v="1"/>
    <s v="Portal"/>
    <s v="Tier 1"/>
    <s v="TECH-5"/>
    <s v="Junior"/>
    <x v="1"/>
    <s v="No"/>
    <n v="0"/>
    <s v="Yes"/>
    <n v="9"/>
    <n v="0.7"/>
    <n v="21.7"/>
    <s v="Yes"/>
    <s v="Fair"/>
    <s v="Yes"/>
    <s v="Operations"/>
    <s v="Wednesday"/>
    <s v="Afternoon"/>
  </r>
  <r>
    <x v="888"/>
    <s v="2024-08-21 04:53:45"/>
    <x v="1"/>
    <s v="2024-08-24 07:41:45"/>
    <n v="74.8"/>
    <n v="3.1"/>
    <s v="Email/Calendar"/>
    <s v="Calendar Sync"/>
    <x v="1"/>
    <n v="120"/>
    <x v="1"/>
    <s v="Portal"/>
    <s v="Tier 1"/>
    <s v="TECH-2"/>
    <s v="Mid-level"/>
    <x v="1"/>
    <s v="No"/>
    <n v="0"/>
    <s v="No"/>
    <n v="10"/>
    <n v="1.5"/>
    <n v="20.8"/>
    <s v="Yes"/>
    <s v="Good"/>
    <s v="No"/>
    <s v="Legal"/>
    <s v="Wednesday"/>
    <s v="Afternoon"/>
  </r>
  <r>
    <x v="889"/>
    <s v="2024-05-28 06:48:50"/>
    <x v="8"/>
    <s v="2024-06-07 16:00:50"/>
    <n v="249.2"/>
    <n v="10.4"/>
    <s v="Other"/>
    <s v="Training Request"/>
    <x v="2"/>
    <n v="360"/>
    <x v="1"/>
    <s v="Phone"/>
    <s v="Tier 2"/>
    <s v="TECH-22"/>
    <s v="Mid-level"/>
    <x v="0"/>
    <s v="Yes"/>
    <n v="4"/>
    <s v="No"/>
    <n v="9"/>
    <n v="0.8"/>
    <n v="0.5"/>
    <s v="Yes"/>
    <s v="Good"/>
    <s v="Yes"/>
    <s v="IT"/>
    <s v="Wednesday"/>
    <s v="Morning"/>
  </r>
  <r>
    <x v="890"/>
    <s v="2024-12-27 21:58:27"/>
    <x v="0"/>
    <s v="2025-01-07 07:10:27"/>
    <n v="249.2"/>
    <n v="10.4"/>
    <s v="Network Connectivity"/>
    <s v="VPN Connection"/>
    <x v="1"/>
    <n v="120"/>
    <x v="0"/>
    <s v="Portal"/>
    <s v="Tier 2"/>
    <s v="TECH-8"/>
    <s v="Junior"/>
    <x v="0"/>
    <s v="Yes"/>
    <n v="1"/>
    <s v="No"/>
    <n v="5"/>
    <n v="1.6"/>
    <n v="7.7"/>
    <s v="Yes"/>
    <s v="Poor"/>
    <s v="No"/>
    <s v="Executive"/>
    <s v="Friday"/>
    <s v="Afternoon"/>
  </r>
  <r>
    <x v="891"/>
    <s v="2024-09-19 13:33:19"/>
    <x v="9"/>
    <s v="2024-09-25 01:33:19"/>
    <n v="156"/>
    <n v="6.5"/>
    <s v="Other"/>
    <s v="Documentation"/>
    <x v="0"/>
    <n v="240"/>
    <x v="1"/>
    <s v="Phone"/>
    <s v="Tier 1"/>
    <s v="TECH-13"/>
    <s v="Junior"/>
    <x v="0"/>
    <s v="No"/>
    <n v="1"/>
    <s v="No"/>
    <n v="7"/>
    <n v="5.3"/>
    <n v="29"/>
    <s v="Yes"/>
    <s v="Fair"/>
    <s v="Yes"/>
    <s v="HR"/>
    <s v="Monday"/>
    <s v="Morning"/>
  </r>
  <r>
    <x v="892"/>
    <s v="2024-04-13 17:33:41"/>
    <x v="11"/>
    <s v="2024-04-17 05:21:41"/>
    <n v="83.8"/>
    <n v="3.5"/>
    <s v="Application Errors"/>
    <s v="Login Issues"/>
    <x v="1"/>
    <n v="120"/>
    <x v="1"/>
    <s v="Portal"/>
    <s v="Tier 2"/>
    <s v="TECH-17"/>
    <s v="Mid-level"/>
    <x v="0"/>
    <s v="Yes"/>
    <n v="2"/>
    <s v="Yes"/>
    <n v="7"/>
    <n v="0.1"/>
    <n v="12.8"/>
    <s v="Yes"/>
    <s v="Excellent"/>
    <s v="No"/>
    <s v="Sales"/>
    <s v="Monday"/>
    <s v="Morning"/>
  </r>
  <r>
    <x v="893"/>
    <s v="2024-05-18 18:27:52"/>
    <x v="8"/>
    <s v="2024-05-31 18:21:52"/>
    <n v="311.89999999999998"/>
    <n v="13"/>
    <s v="Email/Calendar"/>
    <s v="Cannot Send/Receive"/>
    <x v="2"/>
    <n v="360"/>
    <x v="1"/>
    <s v="Portal"/>
    <s v="Tier 2"/>
    <s v="TECH-9"/>
    <s v="Mid-level"/>
    <x v="0"/>
    <s v="Yes"/>
    <n v="4"/>
    <s v="No"/>
    <n v="8"/>
    <n v="4.4000000000000004"/>
    <n v="10.9"/>
    <s v="Yes"/>
    <s v="Fair"/>
    <s v="Yes"/>
    <s v="Operations"/>
    <s v="Tuesday"/>
    <s v="Evening"/>
  </r>
  <r>
    <x v="894"/>
    <s v="2024-02-19 10:19:43"/>
    <x v="6"/>
    <s v="2024-03-03 05:25:43"/>
    <n v="307.10000000000002"/>
    <n v="12.8"/>
    <s v="Hardware Issues"/>
    <s v="Laptop"/>
    <x v="1"/>
    <n v="120"/>
    <x v="0"/>
    <s v="Email"/>
    <s v="Tier 1"/>
    <s v="TECH-11"/>
    <s v="Mid-level"/>
    <x v="1"/>
    <s v="No"/>
    <n v="0"/>
    <s v="Yes"/>
    <n v="7"/>
    <n v="0.5"/>
    <n v="5.6"/>
    <s v="Yes"/>
    <s v="Poor"/>
    <s v="Yes"/>
    <s v="Finance"/>
    <s v="Monday"/>
    <s v="Morning"/>
  </r>
  <r>
    <x v="895"/>
    <s v="2024-05-20 15:34:17"/>
    <x v="8"/>
    <s v="2024-05-26 20:58:17"/>
    <n v="149.4"/>
    <n v="6.2"/>
    <s v="Email/Calendar"/>
    <s v="Cannot Send/Receive"/>
    <x v="0"/>
    <n v="240"/>
    <x v="1"/>
    <s v="Email"/>
    <s v="Tier 1"/>
    <s v="TECH-13"/>
    <s v="Senior"/>
    <x v="0"/>
    <s v="No"/>
    <n v="1"/>
    <s v="Yes"/>
    <n v="9"/>
    <n v="2.2999999999999998"/>
    <n v="25.2"/>
    <s v="Yes"/>
    <s v="Fair"/>
    <s v="Yes"/>
    <s v="Marketing"/>
    <s v="Friday"/>
    <s v="Evening"/>
  </r>
  <r>
    <x v="896"/>
    <s v="2024-03-20 22:32:57"/>
    <x v="5"/>
    <s v="2024-04-19 14:20:57"/>
    <n v="710.8"/>
    <n v="29.6"/>
    <s v="Software Installation"/>
    <s v="Business Apps"/>
    <x v="2"/>
    <n v="360"/>
    <x v="0"/>
    <s v="Email"/>
    <s v="Tier 1"/>
    <s v="TECH-17"/>
    <s v="Senior"/>
    <x v="0"/>
    <s v="No"/>
    <n v="1"/>
    <s v="No"/>
    <n v="5"/>
    <n v="2.2000000000000002"/>
    <n v="13.2"/>
    <s v="No"/>
    <s v="Fair"/>
    <s v="No"/>
    <s v="Executive"/>
    <s v="Friday"/>
    <s v="Morning"/>
  </r>
  <r>
    <x v="897"/>
    <s v="2024-05-06 01:31:14"/>
    <x v="8"/>
    <s v="2024-05-21 05:25:14"/>
    <n v="339.9"/>
    <n v="14.2"/>
    <s v="Password Reset"/>
    <s v="Windows Password"/>
    <x v="2"/>
    <n v="360"/>
    <x v="1"/>
    <s v="Phone"/>
    <s v="Tier 1"/>
    <s v="TECH-10"/>
    <s v="Junior"/>
    <x v="0"/>
    <s v="No"/>
    <n v="1"/>
    <s v="Yes"/>
    <n v="8"/>
    <n v="4.3"/>
    <n v="11.7"/>
    <s v="No"/>
    <s v="Good"/>
    <s v="Yes"/>
    <s v="Operations"/>
    <s v="Thursday"/>
    <s v="Morning"/>
  </r>
  <r>
    <x v="898"/>
    <s v="2024-10-05 23:11:05"/>
    <x v="2"/>
    <s v="2024-10-09 06:53:05"/>
    <n v="79.7"/>
    <n v="3.3"/>
    <s v="Application Errors"/>
    <s v="Performance"/>
    <x v="1"/>
    <n v="120"/>
    <x v="1"/>
    <s v="Phone"/>
    <s v="Tier 1"/>
    <s v="TECH-15"/>
    <s v="Junior"/>
    <x v="0"/>
    <s v="No"/>
    <n v="1"/>
    <s v="No"/>
    <n v="8"/>
    <n v="3.4"/>
    <n v="13.6"/>
    <s v="Yes"/>
    <s v="Fair"/>
    <s v="Yes"/>
    <s v="Legal"/>
    <s v="Monday"/>
    <s v="Afternoon"/>
  </r>
  <r>
    <x v="899"/>
    <s v="2024-11-19 08:02:27"/>
    <x v="7"/>
    <s v="2024-11-30 00:08:27"/>
    <n v="280.10000000000002"/>
    <n v="11.7"/>
    <s v="Password Reset"/>
    <s v="Windows Password"/>
    <x v="2"/>
    <n v="360"/>
    <x v="1"/>
    <s v="Email"/>
    <s v="Tier 1"/>
    <s v="TECH-19"/>
    <s v="Mid-level"/>
    <x v="1"/>
    <s v="No"/>
    <n v="0"/>
    <s v="No"/>
    <n v="8"/>
    <n v="2.8"/>
    <n v="15"/>
    <s v="No"/>
    <s v="Good"/>
    <s v="Yes"/>
    <s v="IT"/>
    <s v="Monday"/>
    <s v="Evening"/>
  </r>
  <r>
    <x v="900"/>
    <s v="2024-07-16 03:16:50"/>
    <x v="4"/>
    <s v="2024-07-20 13:34:50"/>
    <n v="106.3"/>
    <n v="4.4000000000000004"/>
    <s v="Other"/>
    <s v="Training Request"/>
    <x v="1"/>
    <n v="120"/>
    <x v="1"/>
    <s v="Phone"/>
    <s v="Tier 2"/>
    <s v="TECH-18"/>
    <s v="Mid-level"/>
    <x v="0"/>
    <s v="Yes"/>
    <n v="1"/>
    <s v="No"/>
    <n v="8"/>
    <n v="4.2"/>
    <n v="19.8"/>
    <s v="Yes"/>
    <s v="Poor"/>
    <s v="No"/>
    <s v="HR"/>
    <s v="Tuesday"/>
    <s v="Afternoon"/>
  </r>
  <r>
    <x v="901"/>
    <s v="2024-04-25 00:55:34"/>
    <x v="11"/>
    <s v="2024-05-08 12:31:34"/>
    <n v="299.60000000000002"/>
    <n v="12.5"/>
    <s v="Other"/>
    <s v="Training Request"/>
    <x v="0"/>
    <n v="240"/>
    <x v="0"/>
    <s v="Email"/>
    <s v="Tier 2"/>
    <s v="TECH-20"/>
    <s v="Senior"/>
    <x v="0"/>
    <s v="Yes"/>
    <n v="2"/>
    <s v="No"/>
    <n v="6"/>
    <n v="2.9"/>
    <n v="18.399999999999999"/>
    <s v="Yes"/>
    <s v="Good"/>
    <s v="No"/>
    <s v="Legal"/>
    <s v="Tuesday"/>
    <s v="Afternoon"/>
  </r>
  <r>
    <x v="902"/>
    <s v="2024-05-27 22:55:09"/>
    <x v="8"/>
    <s v="2024-06-05 12:31:09"/>
    <n v="205.6"/>
    <n v="8.6"/>
    <s v="Software Installation"/>
    <s v="MS Office"/>
    <x v="0"/>
    <n v="240"/>
    <x v="1"/>
    <s v="Phone"/>
    <s v="Tier 1"/>
    <s v="TECH-13"/>
    <s v="Senior"/>
    <x v="1"/>
    <s v="No"/>
    <n v="0"/>
    <s v="No"/>
    <n v="9"/>
    <n v="2.4"/>
    <n v="3.4"/>
    <s v="Yes"/>
    <s v="Poor"/>
    <s v="Yes"/>
    <s v="Marketing"/>
    <s v="Friday"/>
    <s v="Afternoon"/>
  </r>
  <r>
    <x v="903"/>
    <s v="2024-05-23 05:49:14"/>
    <x v="8"/>
    <s v="2024-06-02 08:55:14"/>
    <n v="243.1"/>
    <n v="10.1"/>
    <s v="Network Connectivity"/>
    <s v="Slow Network"/>
    <x v="0"/>
    <n v="240"/>
    <x v="0"/>
    <s v="Walk-in"/>
    <s v="Tier 1"/>
    <s v="TECH-5"/>
    <s v="Mid-level"/>
    <x v="0"/>
    <s v="No"/>
    <n v="1"/>
    <s v="Yes"/>
    <n v="7"/>
    <n v="0.4"/>
    <n v="0"/>
    <s v="Yes"/>
    <s v="Poor"/>
    <s v="Yes"/>
    <s v="Executive"/>
    <s v="Monday"/>
    <s v="Afternoon"/>
  </r>
  <r>
    <x v="904"/>
    <s v="2024-09-10 15:49:14"/>
    <x v="9"/>
    <s v="2024-09-23 17:25:14"/>
    <n v="313.60000000000002"/>
    <n v="13.1"/>
    <s v="Password Reset"/>
    <s v="Email Password"/>
    <x v="2"/>
    <n v="360"/>
    <x v="1"/>
    <s v="Phone"/>
    <s v="Tier 1"/>
    <s v="TECH-16"/>
    <s v="Senior"/>
    <x v="0"/>
    <s v="No"/>
    <n v="1"/>
    <s v="No"/>
    <n v="8"/>
    <n v="2.4"/>
    <n v="5.6"/>
    <s v="Yes"/>
    <s v="Fair"/>
    <s v="Yes"/>
    <s v="Finance"/>
    <s v="Thursday"/>
    <s v="Morning"/>
  </r>
  <r>
    <x v="905"/>
    <s v="2024-05-13 09:33:53"/>
    <x v="8"/>
    <s v="2024-05-22 20:27:53"/>
    <n v="226.9"/>
    <n v="9.5"/>
    <s v="Other"/>
    <s v="Miscellaneous"/>
    <x v="0"/>
    <n v="240"/>
    <x v="1"/>
    <s v="Email"/>
    <s v="Tier 1"/>
    <s v="TECH-18"/>
    <s v="Mid-level"/>
    <x v="0"/>
    <s v="No"/>
    <n v="1"/>
    <s v="No"/>
    <n v="9"/>
    <n v="5.5"/>
    <n v="48.4"/>
    <s v="No"/>
    <s v="Poor"/>
    <s v="No"/>
    <s v="Executive"/>
    <s v="Thursday"/>
    <s v="Afternoon"/>
  </r>
  <r>
    <x v="906"/>
    <s v="2024-09-16 10:17:07"/>
    <x v="9"/>
    <s v="2024-09-23 16:29:07"/>
    <n v="174.2"/>
    <n v="7.3"/>
    <s v="Software Installation"/>
    <s v="MS Office"/>
    <x v="0"/>
    <n v="240"/>
    <x v="1"/>
    <s v="Chat"/>
    <s v="Tier 1"/>
    <s v="TECH-12"/>
    <s v="Mid-level"/>
    <x v="0"/>
    <s v="No"/>
    <n v="1"/>
    <s v="No"/>
    <n v="8"/>
    <n v="2"/>
    <n v="35.700000000000003"/>
    <s v="Yes"/>
    <s v="Excellent"/>
    <s v="Yes"/>
    <s v="Operations"/>
    <s v="Tuesday"/>
    <s v="Afternoon"/>
  </r>
  <r>
    <x v="907"/>
    <s v="2024-10-10 02:36:18"/>
    <x v="2"/>
    <s v="2024-10-15 20:24:18"/>
    <n v="113.8"/>
    <n v="4.7"/>
    <s v="Email/Calendar"/>
    <s v="Distribution List"/>
    <x v="1"/>
    <n v="120"/>
    <x v="1"/>
    <s v="Phone"/>
    <s v="Tier 1"/>
    <s v="TECH-23"/>
    <s v="Senior"/>
    <x v="0"/>
    <s v="No"/>
    <n v="1"/>
    <s v="No"/>
    <n v="6"/>
    <n v="5.6"/>
    <n v="25.7"/>
    <s v="Yes"/>
    <s v="Poor"/>
    <s v="Yes"/>
    <s v="IT"/>
    <s v="Thursday"/>
    <s v="Morning"/>
  </r>
  <r>
    <x v="908"/>
    <s v="2024-04-09 10:08:27"/>
    <x v="11"/>
    <s v="2024-04-17 13:08:27"/>
    <n v="195"/>
    <n v="8.1"/>
    <s v="Access Requests"/>
    <s v="Admin Rights"/>
    <x v="0"/>
    <n v="240"/>
    <x v="1"/>
    <s v="Chat"/>
    <s v="Tier 1"/>
    <s v="TECH-19"/>
    <s v="Junior"/>
    <x v="1"/>
    <s v="No"/>
    <n v="0"/>
    <s v="No"/>
    <n v="8"/>
    <n v="3.7"/>
    <n v="8.6"/>
    <s v="Yes"/>
    <s v="Good"/>
    <s v="No"/>
    <s v="HR"/>
    <s v="Thursday"/>
    <s v="Evening"/>
  </r>
  <r>
    <x v="909"/>
    <s v="2024-12-14 01:13:01"/>
    <x v="0"/>
    <s v="2024-12-19 07:07:01"/>
    <n v="101.9"/>
    <n v="4.2"/>
    <s v="Email/Calendar"/>
    <s v="Mailbox Full"/>
    <x v="1"/>
    <n v="120"/>
    <x v="1"/>
    <s v="Walk-in"/>
    <s v="Tier 1"/>
    <s v="TECH-18"/>
    <s v="Mid-level"/>
    <x v="0"/>
    <s v="No"/>
    <n v="1"/>
    <s v="No"/>
    <n v="8"/>
    <n v="2.6"/>
    <n v="19.3"/>
    <s v="Yes"/>
    <s v="Good"/>
    <s v="No"/>
    <s v="Sales"/>
    <s v="Tuesday"/>
    <s v="Afternoon"/>
  </r>
  <r>
    <x v="910"/>
    <s v="2024-03-04 08:59:26"/>
    <x v="5"/>
    <s v="2024-03-11 08:47:26"/>
    <n v="167.8"/>
    <n v="7"/>
    <s v="Access Requests"/>
    <s v="File Share"/>
    <x v="0"/>
    <n v="240"/>
    <x v="1"/>
    <s v="Phone"/>
    <s v="Tier 1"/>
    <s v="TECH-4"/>
    <s v="Mid-level"/>
    <x v="1"/>
    <s v="No"/>
    <n v="0"/>
    <s v="No"/>
    <n v="9"/>
    <n v="2.6"/>
    <n v="10.8"/>
    <s v="Yes"/>
    <s v="Fair"/>
    <s v="No"/>
    <s v="Legal"/>
    <s v="Monday"/>
    <s v="Afternoon"/>
  </r>
  <r>
    <x v="911"/>
    <s v="2024-05-02 18:09:59"/>
    <x v="8"/>
    <s v="2024-05-09 12:03:59"/>
    <n v="161.9"/>
    <n v="6.7"/>
    <s v="Password Reset"/>
    <s v="Account Unlock"/>
    <x v="0"/>
    <n v="240"/>
    <x v="1"/>
    <s v="Email"/>
    <s v="Tier 1"/>
    <s v="TECH-12"/>
    <s v="Junior"/>
    <x v="1"/>
    <s v="No"/>
    <n v="0"/>
    <s v="No"/>
    <n v="10"/>
    <n v="2.6"/>
    <n v="22.3"/>
    <s v="Yes"/>
    <s v="Good"/>
    <s v="Yes"/>
    <s v="Marketing"/>
    <s v="Thursday"/>
    <s v="Morning"/>
  </r>
  <r>
    <x v="912"/>
    <s v="2024-10-08 04:39:18"/>
    <x v="2"/>
    <s v="2024-10-12 05:33:18"/>
    <n v="96.9"/>
    <n v="4"/>
    <s v="Hardware Issues"/>
    <s v="Monitor"/>
    <x v="1"/>
    <n v="120"/>
    <x v="1"/>
    <s v="Chat"/>
    <s v="Tier 2"/>
    <s v="TECH-14"/>
    <s v="Mid-level"/>
    <x v="0"/>
    <s v="Yes"/>
    <n v="1"/>
    <s v="No"/>
    <n v="6"/>
    <n v="4.5"/>
    <n v="21.9"/>
    <s v="No"/>
    <s v="Good"/>
    <s v="No"/>
    <s v="Legal"/>
    <s v="Tuesday"/>
    <s v="Morning"/>
  </r>
  <r>
    <x v="913"/>
    <s v="2024-04-21 15:25:44"/>
    <x v="11"/>
    <s v="2024-04-25 08:49:44"/>
    <n v="89.4"/>
    <n v="3.7"/>
    <s v="Application Errors"/>
    <s v="Features Not Working"/>
    <x v="1"/>
    <n v="120"/>
    <x v="1"/>
    <s v="Portal"/>
    <s v="Tier 2"/>
    <s v="TECH-8"/>
    <s v="Junior"/>
    <x v="0"/>
    <s v="Yes"/>
    <n v="3"/>
    <s v="No"/>
    <n v="5"/>
    <n v="1.8"/>
    <n v="11.3"/>
    <s v="No"/>
    <s v="Fair"/>
    <s v="No"/>
    <s v="Executive"/>
    <s v="Monday"/>
    <s v="Morning"/>
  </r>
  <r>
    <x v="914"/>
    <s v="2024-09-07 22:49:53"/>
    <x v="9"/>
    <s v="2024-09-14 00:31:53"/>
    <n v="169.7"/>
    <n v="7.1"/>
    <s v="Software Installation"/>
    <s v="Adobe Suite"/>
    <x v="0"/>
    <n v="240"/>
    <x v="1"/>
    <s v="Chat"/>
    <s v="Tier 2"/>
    <s v="TECH-8"/>
    <s v="Mid-level"/>
    <x v="0"/>
    <s v="Yes"/>
    <n v="4"/>
    <s v="No"/>
    <n v="10"/>
    <n v="1.6"/>
    <n v="35"/>
    <s v="Yes"/>
    <s v="Good"/>
    <s v="Yes"/>
    <s v="IT"/>
    <s v="Thursday"/>
    <s v="Morning"/>
  </r>
  <r>
    <x v="915"/>
    <s v="2024-07-14 17:48:55"/>
    <x v="4"/>
    <s v="2024-08-04 18:30:55"/>
    <n v="504.7"/>
    <n v="21"/>
    <s v="Password Reset"/>
    <s v="Account Unlock"/>
    <x v="2"/>
    <n v="360"/>
    <x v="0"/>
    <s v="Phone"/>
    <s v="Tier 1"/>
    <s v="TECH-1"/>
    <s v="Mid-level"/>
    <x v="0"/>
    <s v="No"/>
    <n v="1"/>
    <s v="No"/>
    <n v="8"/>
    <n v="1.6"/>
    <n v="14.2"/>
    <s v="Yes"/>
    <s v="Excellent"/>
    <s v="Yes"/>
    <s v="Finance"/>
    <s v="Tuesday"/>
    <s v="Morning"/>
  </r>
  <r>
    <x v="916"/>
    <s v="2024-12-24 06:53:54"/>
    <x v="0"/>
    <s v="2025-01-03 03:29:54"/>
    <n v="236.6"/>
    <n v="9.9"/>
    <s v="Network Connectivity"/>
    <s v="Slow Network"/>
    <x v="2"/>
    <n v="360"/>
    <x v="1"/>
    <s v="Portal"/>
    <s v="Tier 1"/>
    <s v="TECH-24"/>
    <s v="Mid-level"/>
    <x v="0"/>
    <s v="No"/>
    <n v="1"/>
    <s v="No"/>
    <n v="7"/>
    <n v="3.8"/>
    <n v="21.7"/>
    <s v="Yes"/>
    <s v="Excellent"/>
    <s v="Yes"/>
    <s v="Marketing"/>
    <s v="Friday"/>
    <s v="Afternoon"/>
  </r>
  <r>
    <x v="917"/>
    <s v="2024-07-17 10:48:30"/>
    <x v="4"/>
    <s v="2024-08-06 07:06:30"/>
    <n v="476.3"/>
    <n v="19.8"/>
    <s v="Access Requests"/>
    <s v="Application Access"/>
    <x v="2"/>
    <n v="360"/>
    <x v="0"/>
    <s v="Email"/>
    <s v="Tier 2"/>
    <s v="TECH-20"/>
    <s v="Mid-level"/>
    <x v="0"/>
    <s v="Yes"/>
    <n v="3"/>
    <s v="No"/>
    <n v="5"/>
    <n v="1.4"/>
    <n v="20.399999999999999"/>
    <s v="Yes"/>
    <s v="Fair"/>
    <s v="Yes"/>
    <s v="Sales"/>
    <s v="Friday"/>
    <s v="Morning"/>
  </r>
  <r>
    <x v="918"/>
    <s v="2024-05-30 03:17:21"/>
    <x v="8"/>
    <s v="2024-06-06 15:41:21"/>
    <n v="180.4"/>
    <n v="7.5"/>
    <s v="Access Requests"/>
    <s v="File Share"/>
    <x v="0"/>
    <n v="240"/>
    <x v="1"/>
    <s v="Portal"/>
    <s v="Tier 1"/>
    <s v="TECH-9"/>
    <s v="Mid-level"/>
    <x v="0"/>
    <s v="No"/>
    <n v="1"/>
    <s v="No"/>
    <n v="9"/>
    <n v="1.3"/>
    <n v="14.4"/>
    <s v="Yes"/>
    <s v="Fair"/>
    <s v="No"/>
    <s v="IT"/>
    <s v="Thursday"/>
    <s v="Morning"/>
  </r>
  <r>
    <x v="919"/>
    <s v="2024-07-01 08:21:05"/>
    <x v="4"/>
    <s v="2024-07-08 06:15:05"/>
    <n v="165.9"/>
    <n v="6.9"/>
    <s v="Access Requests"/>
    <s v="Admin Rights"/>
    <x v="0"/>
    <n v="240"/>
    <x v="1"/>
    <s v="Portal"/>
    <s v="Tier 1"/>
    <s v="TECH-11"/>
    <s v="Junior"/>
    <x v="1"/>
    <s v="No"/>
    <n v="0"/>
    <s v="Yes"/>
    <n v="10"/>
    <n v="3.8"/>
    <n v="25.4"/>
    <s v="Yes"/>
    <s v="Fair"/>
    <s v="No"/>
    <s v="Legal"/>
    <s v="Monday"/>
    <s v="Morning"/>
  </r>
  <r>
    <x v="920"/>
    <s v="2024-05-20 05:52:50"/>
    <x v="8"/>
    <s v="2024-06-10 20:16:50"/>
    <n v="518.4"/>
    <n v="21.6"/>
    <s v="Network Connectivity"/>
    <s v="Ethernet"/>
    <x v="0"/>
    <n v="240"/>
    <x v="0"/>
    <s v="Phone"/>
    <s v="Tier 1"/>
    <s v="TECH-25"/>
    <s v="Senior"/>
    <x v="1"/>
    <s v="No"/>
    <n v="0"/>
    <s v="No"/>
    <n v="6"/>
    <n v="4.5"/>
    <n v="37.299999999999997"/>
    <s v="No"/>
    <s v="Poor"/>
    <s v="No"/>
    <s v="Legal"/>
    <s v="Thursday"/>
    <s v="Evening"/>
  </r>
  <r>
    <x v="921"/>
    <s v="2024-12-27 15:04:59"/>
    <x v="0"/>
    <s v="2024-12-31 06:46:59"/>
    <n v="87.7"/>
    <n v="3.7"/>
    <s v="Application Errors"/>
    <s v="Features Not Working"/>
    <x v="1"/>
    <n v="120"/>
    <x v="1"/>
    <s v="Portal"/>
    <s v="Tier 2"/>
    <s v="TECH-1"/>
    <s v="Senior"/>
    <x v="0"/>
    <s v="Yes"/>
    <n v="3"/>
    <s v="No"/>
    <n v="9"/>
    <n v="2.9"/>
    <n v="9"/>
    <s v="Yes"/>
    <s v="Fair"/>
    <s v="Yes"/>
    <s v="HR"/>
    <s v="Monday"/>
    <s v="Afternoon"/>
  </r>
  <r>
    <x v="922"/>
    <s v="2024-12-11 00:05:00"/>
    <x v="0"/>
    <s v="2024-12-24 19:41:00"/>
    <n v="307.60000000000002"/>
    <n v="12.8"/>
    <s v="Email/Calendar"/>
    <s v="Cannot Send/Receive"/>
    <x v="0"/>
    <n v="240"/>
    <x v="0"/>
    <s v="Email"/>
    <s v="Tier 1"/>
    <s v="TECH-9"/>
    <s v="Junior"/>
    <x v="0"/>
    <s v="No"/>
    <n v="1"/>
    <s v="No"/>
    <n v="3"/>
    <n v="1.7"/>
    <n v="8.4"/>
    <s v="No"/>
    <s v="Fair"/>
    <s v="Yes"/>
    <s v="Executive"/>
    <s v="Thursday"/>
    <s v="Afternoon"/>
  </r>
  <r>
    <x v="923"/>
    <s v="2024-06-01 19:27:26"/>
    <x v="10"/>
    <s v="2024-06-17 08:09:26"/>
    <n v="372.7"/>
    <n v="15.5"/>
    <s v="Password Reset"/>
    <s v="Application Password"/>
    <x v="2"/>
    <n v="360"/>
    <x v="0"/>
    <s v="Email"/>
    <s v="Tier 1"/>
    <s v="TECH-10"/>
    <s v="Mid-level"/>
    <x v="1"/>
    <s v="No"/>
    <n v="0"/>
    <s v="No"/>
    <n v="5"/>
    <n v="4.5"/>
    <n v="0.9"/>
    <s v="No"/>
    <s v="Good"/>
    <s v="No"/>
    <s v="Finance"/>
    <s v="Monday"/>
    <s v="Morning"/>
  </r>
  <r>
    <x v="924"/>
    <s v="2024-02-17 20:12:52"/>
    <x v="6"/>
    <s v="2024-03-01 10:12:52"/>
    <n v="302"/>
    <n v="12.6"/>
    <s v="Password Reset"/>
    <s v="Application Password"/>
    <x v="2"/>
    <n v="360"/>
    <x v="1"/>
    <s v="Phone"/>
    <s v="Tier 1"/>
    <s v="TECH-12"/>
    <s v="Junior"/>
    <x v="0"/>
    <s v="No"/>
    <n v="1"/>
    <s v="No"/>
    <n v="9"/>
    <n v="2"/>
    <n v="6.1"/>
    <s v="Yes"/>
    <s v="Fair"/>
    <s v="Yes"/>
    <s v="Marketing"/>
    <s v="Wednesday"/>
    <s v="Morning"/>
  </r>
  <r>
    <x v="925"/>
    <s v="2024-10-01 09:43:43"/>
    <x v="2"/>
    <s v="2024-10-10 04:49:43"/>
    <n v="211.1"/>
    <n v="8.8000000000000007"/>
    <s v="Other"/>
    <s v="Miscellaneous"/>
    <x v="0"/>
    <n v="240"/>
    <x v="1"/>
    <s v="Phone"/>
    <s v="Tier 1"/>
    <s v="TECH-22"/>
    <s v="Senior"/>
    <x v="0"/>
    <s v="No"/>
    <n v="1"/>
    <s v="No"/>
    <n v="7"/>
    <n v="4.2"/>
    <n v="20.3"/>
    <s v="Yes"/>
    <s v="Fair"/>
    <s v="Yes"/>
    <s v="Finance"/>
    <s v="Thursday"/>
    <s v="Morning"/>
  </r>
  <r>
    <x v="926"/>
    <s v="2024-03-21 12:02:42"/>
    <x v="5"/>
    <s v="2024-03-25 04:56:42"/>
    <n v="88.9"/>
    <n v="3.7"/>
    <s v="Application Errors"/>
    <s v="Login Issues"/>
    <x v="1"/>
    <n v="120"/>
    <x v="1"/>
    <s v="Walk-in"/>
    <s v="Tier 2"/>
    <s v="TECH-23"/>
    <s v="Mid-level"/>
    <x v="0"/>
    <s v="Yes"/>
    <n v="4"/>
    <s v="No"/>
    <n v="7"/>
    <n v="2.8"/>
    <n v="0"/>
    <s v="No"/>
    <s v="Good"/>
    <s v="Yes"/>
    <s v="Sales"/>
    <s v="Friday"/>
    <s v="Evening"/>
  </r>
  <r>
    <x v="927"/>
    <s v="2024-11-04 07:12:56"/>
    <x v="7"/>
    <s v="2024-11-10 18:18:56"/>
    <n v="155.1"/>
    <n v="6.5"/>
    <s v="Access Requests"/>
    <s v="VPN Access"/>
    <x v="0"/>
    <n v="240"/>
    <x v="1"/>
    <s v="Phone"/>
    <s v="Tier 1"/>
    <s v="TECH-10"/>
    <s v="Junior"/>
    <x v="0"/>
    <s v="No"/>
    <n v="1"/>
    <s v="No"/>
    <n v="9"/>
    <n v="2"/>
    <n v="5.3"/>
    <s v="Yes"/>
    <s v="Fair"/>
    <s v="No"/>
    <s v="Sales"/>
    <s v="Wednesday"/>
    <s v="Morning"/>
  </r>
  <r>
    <x v="928"/>
    <s v="2024-10-26 22:15:07"/>
    <x v="2"/>
    <s v="2024-11-02 06:45:07"/>
    <n v="153.5"/>
    <n v="6.4"/>
    <s v="Access Requests"/>
    <s v="VPN Access"/>
    <x v="0"/>
    <n v="240"/>
    <x v="1"/>
    <s v="Email"/>
    <s v="Tier 2"/>
    <s v="TECH-1"/>
    <s v="Mid-level"/>
    <x v="0"/>
    <s v="Yes"/>
    <n v="3"/>
    <s v="No"/>
    <n v="7"/>
    <n v="3"/>
    <n v="0"/>
    <s v="Yes"/>
    <s v="Good"/>
    <s v="No"/>
    <s v="IT"/>
    <s v="Monday"/>
    <s v="Evening"/>
  </r>
  <r>
    <x v="929"/>
    <s v="2024-04-30 22:04:03"/>
    <x v="11"/>
    <s v="2024-05-04 06:52:03"/>
    <n v="80.8"/>
    <n v="3.4"/>
    <s v="Email/Calendar"/>
    <s v="Calendar Sync"/>
    <x v="1"/>
    <n v="120"/>
    <x v="1"/>
    <s v="Portal"/>
    <s v="Tier 1"/>
    <s v="TECH-25"/>
    <s v="Mid-level"/>
    <x v="0"/>
    <s v="No"/>
    <n v="1"/>
    <s v="Yes"/>
    <n v="9"/>
    <n v="0.1"/>
    <n v="0"/>
    <s v="Yes"/>
    <s v="Fair"/>
    <s v="No"/>
    <s v="IT"/>
    <s v="Monday"/>
    <s v="Morning"/>
  </r>
  <r>
    <x v="930"/>
    <s v="2024-11-16 21:00:21"/>
    <x v="7"/>
    <s v="2024-11-25 17:18:21"/>
    <n v="212.3"/>
    <n v="8.8000000000000007"/>
    <s v="Access Requests"/>
    <s v="File Share"/>
    <x v="0"/>
    <n v="240"/>
    <x v="1"/>
    <s v="Email"/>
    <s v="Tier 1"/>
    <s v="TECH-3"/>
    <s v="Senior"/>
    <x v="1"/>
    <s v="No"/>
    <n v="0"/>
    <s v="No"/>
    <n v="7"/>
    <n v="1.6"/>
    <n v="48.9"/>
    <s v="Yes"/>
    <s v="Poor"/>
    <s v="Yes"/>
    <s v="Finance"/>
    <s v="Friday"/>
    <s v="Afternoon"/>
  </r>
  <r>
    <x v="931"/>
    <s v="2024-04-01 09:24:42"/>
    <x v="11"/>
    <s v="2024-04-13 12:00:42"/>
    <n v="290.60000000000002"/>
    <n v="12.1"/>
    <s v="Password Reset"/>
    <s v="Windows Password"/>
    <x v="2"/>
    <n v="360"/>
    <x v="1"/>
    <s v="Portal"/>
    <s v="Tier 1"/>
    <s v="TECH-8"/>
    <s v="Mid-level"/>
    <x v="1"/>
    <s v="No"/>
    <n v="0"/>
    <s v="No"/>
    <n v="9"/>
    <n v="0.9"/>
    <n v="11.1"/>
    <s v="No"/>
    <s v="Good"/>
    <s v="Yes"/>
    <s v="Marketing"/>
    <s v="Monday"/>
    <s v="Evening"/>
  </r>
  <r>
    <x v="932"/>
    <s v="2024-01-02 05:54:46"/>
    <x v="3"/>
    <s v="2024-01-05 15:06:46"/>
    <n v="81.2"/>
    <n v="3.4"/>
    <s v="Hardware Issues"/>
    <s v="Laptop"/>
    <x v="1"/>
    <n v="120"/>
    <x v="1"/>
    <s v="Portal"/>
    <s v="Tier 1"/>
    <s v="TECH-6"/>
    <s v="Senior"/>
    <x v="1"/>
    <s v="No"/>
    <n v="0"/>
    <s v="No"/>
    <n v="10"/>
    <n v="3.6"/>
    <n v="35"/>
    <s v="No"/>
    <s v="Poor"/>
    <s v="No"/>
    <s v="Sales"/>
    <s v="Thursday"/>
    <s v="Morning"/>
  </r>
  <r>
    <x v="933"/>
    <s v="2024-03-26 05:32:03"/>
    <x v="5"/>
    <s v="2024-04-05 00:14:03"/>
    <n v="257.7"/>
    <n v="10.7"/>
    <s v="Email/Calendar"/>
    <s v="Distribution List"/>
    <x v="0"/>
    <n v="240"/>
    <x v="0"/>
    <s v="Email"/>
    <s v="Tier 2"/>
    <s v="TECH-19"/>
    <s v="Mid-level"/>
    <x v="0"/>
    <s v="Yes"/>
    <n v="3"/>
    <s v="No"/>
    <n v="4"/>
    <n v="0.1"/>
    <n v="50.1"/>
    <s v="Yes"/>
    <s v="Fair"/>
    <s v="Yes"/>
    <s v="Marketing"/>
    <s v="Friday"/>
    <s v="Afternoon"/>
  </r>
  <r>
    <x v="934"/>
    <s v="2024-08-07 01:45:47"/>
    <x v="1"/>
    <s v="2024-08-12 16:09:47"/>
    <n v="110.4"/>
    <n v="4.5999999999999996"/>
    <s v="Application Errors"/>
    <s v="Login Issues"/>
    <x v="1"/>
    <n v="120"/>
    <x v="1"/>
    <s v="Email"/>
    <s v="Tier 1"/>
    <s v="TECH-24"/>
    <s v="Mid-level"/>
    <x v="0"/>
    <s v="No"/>
    <n v="1"/>
    <s v="No"/>
    <n v="9"/>
    <n v="2.6"/>
    <n v="22.2"/>
    <s v="Yes"/>
    <s v="Fair"/>
    <s v="Yes"/>
    <s v="Marketing"/>
    <s v="Thursday"/>
    <s v="Morning"/>
  </r>
  <r>
    <x v="935"/>
    <s v="2024-12-16 02:58:59"/>
    <x v="0"/>
    <s v="2024-12-28 09:22:59"/>
    <n v="294.39999999999998"/>
    <n v="12.3"/>
    <s v="Software Installation"/>
    <s v="MS Office"/>
    <x v="2"/>
    <n v="360"/>
    <x v="1"/>
    <s v="Phone"/>
    <s v="Tier 2"/>
    <s v="TECH-22"/>
    <s v="Junior"/>
    <x v="0"/>
    <s v="Yes"/>
    <n v="1"/>
    <s v="No"/>
    <n v="5"/>
    <n v="2.4"/>
    <n v="40"/>
    <s v="Yes"/>
    <s v="Excellent"/>
    <s v="Yes"/>
    <s v="HR"/>
    <s v="Friday"/>
    <s v="Evening"/>
  </r>
  <r>
    <x v="936"/>
    <s v="2024-09-26 03:59:14"/>
    <x v="9"/>
    <s v="2024-10-08 15:35:14"/>
    <n v="299.60000000000002"/>
    <n v="12.5"/>
    <s v="Email/Calendar"/>
    <s v="Distribution List"/>
    <x v="2"/>
    <n v="360"/>
    <x v="1"/>
    <s v="Portal"/>
    <s v="Tier 2"/>
    <s v="TECH-16"/>
    <s v="Senior"/>
    <x v="0"/>
    <s v="Yes"/>
    <n v="3"/>
    <s v="Yes"/>
    <n v="7"/>
    <n v="1.2"/>
    <n v="33.799999999999997"/>
    <s v="No"/>
    <s v="Good"/>
    <s v="Yes"/>
    <s v="Executive"/>
    <s v="Monday"/>
    <s v="Afternoon"/>
  </r>
  <r>
    <x v="937"/>
    <s v="2024-04-23 16:29:01"/>
    <x v="11"/>
    <s v="2024-04-29 23:11:01"/>
    <n v="150.69999999999999"/>
    <n v="6.3"/>
    <s v="Software Installation"/>
    <s v="MS Office"/>
    <x v="0"/>
    <n v="240"/>
    <x v="1"/>
    <s v="Email"/>
    <s v="Tier 1"/>
    <s v="TECH-15"/>
    <s v="Senior"/>
    <x v="0"/>
    <s v="No"/>
    <n v="1"/>
    <s v="No"/>
    <n v="5"/>
    <n v="1.4"/>
    <n v="23.3"/>
    <s v="Yes"/>
    <s v="Poor"/>
    <s v="No"/>
    <s v="Operations"/>
    <s v="Monday"/>
    <s v="Morning"/>
  </r>
  <r>
    <x v="938"/>
    <s v="2024-09-03 00:37:19"/>
    <x v="9"/>
    <s v="2024-09-07 01:01:19"/>
    <n v="96.4"/>
    <n v="4"/>
    <s v="Email/Calendar"/>
    <s v="Distribution List"/>
    <x v="1"/>
    <n v="120"/>
    <x v="1"/>
    <s v="Email"/>
    <s v="Tier 1"/>
    <s v="TECH-8"/>
    <s v="Mid-level"/>
    <x v="0"/>
    <s v="No"/>
    <n v="1"/>
    <s v="No"/>
    <n v="7"/>
    <n v="1.6"/>
    <n v="9.9"/>
    <s v="Yes"/>
    <s v="Good"/>
    <s v="Yes"/>
    <s v="Finance"/>
    <s v="Wednesday"/>
    <s v="Morning"/>
  </r>
  <r>
    <x v="939"/>
    <s v="2024-08-05 05:19:04"/>
    <x v="1"/>
    <s v="2024-08-11 02:43:04"/>
    <n v="165.4"/>
    <n v="6.9"/>
    <s v="Application Errors"/>
    <s v="Performance"/>
    <x v="0"/>
    <n v="240"/>
    <x v="1"/>
    <s v="Portal"/>
    <s v="Tier 1"/>
    <s v="TECH-17"/>
    <s v="Mid-level"/>
    <x v="0"/>
    <s v="No"/>
    <n v="1"/>
    <s v="No"/>
    <n v="7"/>
    <n v="1"/>
    <n v="4.9000000000000004"/>
    <s v="Yes"/>
    <s v="Poor"/>
    <s v="No"/>
    <s v="HR"/>
    <s v="Wednesday"/>
    <s v="Morning"/>
  </r>
  <r>
    <x v="940"/>
    <s v="2024-03-12 03:34:12"/>
    <x v="5"/>
    <s v="2024-03-25 18:28:12"/>
    <n v="326.89999999999998"/>
    <n v="13.6"/>
    <s v="Access Requests"/>
    <s v="File Share"/>
    <x v="0"/>
    <n v="240"/>
    <x v="0"/>
    <s v="Phone"/>
    <s v="Tier 1"/>
    <s v="TECH-2"/>
    <s v="Junior"/>
    <x v="1"/>
    <s v="No"/>
    <n v="0"/>
    <s v="No"/>
    <n v="8"/>
    <n v="5.3"/>
    <n v="0"/>
    <s v="Yes"/>
    <s v="Poor"/>
    <s v="No"/>
    <s v="Legal"/>
    <s v="Wednesday"/>
    <s v="Evening"/>
  </r>
  <r>
    <x v="941"/>
    <s v="2024-12-03 08:39:06"/>
    <x v="0"/>
    <s v="2024-12-12 05:15:06"/>
    <n v="212.6"/>
    <n v="8.9"/>
    <s v="Network Connectivity"/>
    <s v="Ethernet"/>
    <x v="0"/>
    <n v="240"/>
    <x v="1"/>
    <s v="Phone"/>
    <s v="Tier 1"/>
    <s v="TECH-18"/>
    <s v="Senior"/>
    <x v="0"/>
    <s v="No"/>
    <n v="1"/>
    <s v="No"/>
    <n v="8"/>
    <n v="3.2"/>
    <n v="14.9"/>
    <s v="Yes"/>
    <s v="Poor"/>
    <s v="No"/>
    <s v="Marketing"/>
    <s v="Wednesday"/>
    <s v="Afternoon"/>
  </r>
  <r>
    <x v="942"/>
    <s v="2024-05-16 07:39:18"/>
    <x v="8"/>
    <s v="2024-05-18 03:39:18"/>
    <n v="44"/>
    <n v="1.8"/>
    <s v="Access Requests"/>
    <s v="VPN Access"/>
    <x v="3"/>
    <n v="48"/>
    <x v="1"/>
    <s v="Email"/>
    <s v="Tier 1"/>
    <s v="TECH-6"/>
    <s v="Mid-level"/>
    <x v="0"/>
    <s v="No"/>
    <n v="1"/>
    <s v="No"/>
    <n v="10"/>
    <n v="2.9"/>
    <n v="26.1"/>
    <s v="Yes"/>
    <s v="Poor"/>
    <s v="No"/>
    <s v="Executive"/>
    <s v="Tuesday"/>
    <s v="Afternoon"/>
  </r>
  <r>
    <x v="943"/>
    <s v="2024-01-29 22:41:35"/>
    <x v="3"/>
    <s v="2024-02-05 02:05:35"/>
    <n v="147.4"/>
    <n v="6.1"/>
    <s v="Software Installation"/>
    <s v="Adobe Suite"/>
    <x v="0"/>
    <n v="240"/>
    <x v="1"/>
    <s v="Portal"/>
    <s v="Tier 1"/>
    <s v="TECH-21"/>
    <s v="Mid-level"/>
    <x v="0"/>
    <s v="No"/>
    <n v="1"/>
    <s v="No"/>
    <n v="10"/>
    <n v="4.0999999999999996"/>
    <n v="14.6"/>
    <s v="Yes"/>
    <s v="Excellent"/>
    <s v="Yes"/>
    <s v="IT"/>
    <s v="Tuesday"/>
    <s v="Afternoon"/>
  </r>
  <r>
    <x v="944"/>
    <s v="2024-08-18 05:50:18"/>
    <x v="1"/>
    <s v="2024-08-22 10:38:18"/>
    <n v="100.8"/>
    <n v="4.2"/>
    <s v="Email/Calendar"/>
    <s v="Distribution List"/>
    <x v="1"/>
    <n v="120"/>
    <x v="1"/>
    <s v="Portal"/>
    <s v="Tier 1"/>
    <s v="TECH-8"/>
    <s v="Senior"/>
    <x v="0"/>
    <s v="No"/>
    <n v="1"/>
    <s v="No"/>
    <n v="7"/>
    <n v="2.6"/>
    <n v="10.7"/>
    <s v="No"/>
    <s v="Excellent"/>
    <s v="Yes"/>
    <s v="Marketing"/>
    <s v="Friday"/>
    <s v="Afternoon"/>
  </r>
  <r>
    <x v="945"/>
    <s v="2024-01-06 20:00:00"/>
    <x v="3"/>
    <s v="2024-01-11 08:54:00"/>
    <n v="108.9"/>
    <n v="4.5"/>
    <s v="Access Requests"/>
    <s v="File Share"/>
    <x v="1"/>
    <n v="120"/>
    <x v="1"/>
    <s v="Email"/>
    <s v="Tier 1"/>
    <s v="TECH-12"/>
    <s v="Junior"/>
    <x v="0"/>
    <s v="No"/>
    <n v="1"/>
    <s v="No"/>
    <n v="10"/>
    <n v="0.9"/>
    <n v="19.5"/>
    <s v="Yes"/>
    <s v="Excellent"/>
    <s v="No"/>
    <s v="Sales"/>
    <s v="Friday"/>
    <s v="Morning"/>
  </r>
  <r>
    <x v="946"/>
    <s v="2024-03-04 18:47:32"/>
    <x v="5"/>
    <s v="2024-03-08 03:17:32"/>
    <n v="80.5"/>
    <n v="3.4"/>
    <s v="Network Connectivity"/>
    <s v="VPN Connection"/>
    <x v="1"/>
    <n v="120"/>
    <x v="1"/>
    <s v="Walk-in"/>
    <s v="Tier 1"/>
    <s v="TECH-21"/>
    <s v="Junior"/>
    <x v="1"/>
    <s v="No"/>
    <n v="0"/>
    <s v="No"/>
    <n v="10"/>
    <n v="0.4"/>
    <n v="0"/>
    <s v="Yes"/>
    <s v="Fair"/>
    <s v="No"/>
    <s v="IT"/>
    <s v="Friday"/>
    <s v="Morning"/>
  </r>
  <r>
    <x v="947"/>
    <s v="2024-06-23 09:08:14"/>
    <x v="10"/>
    <s v="2024-06-25 05:26:14"/>
    <n v="44.3"/>
    <n v="1.8"/>
    <s v="Application Errors"/>
    <s v="Features Not Working"/>
    <x v="3"/>
    <n v="48"/>
    <x v="1"/>
    <s v="Email"/>
    <s v="Tier 1"/>
    <s v="TECH-13"/>
    <s v="Mid-level"/>
    <x v="0"/>
    <s v="No"/>
    <n v="1"/>
    <s v="No"/>
    <n v="10"/>
    <n v="3.3"/>
    <n v="2.4"/>
    <s v="No"/>
    <s v="Fair"/>
    <s v="No"/>
    <s v="Legal"/>
    <s v="Thursday"/>
    <s v="Evening"/>
  </r>
  <r>
    <x v="948"/>
    <s v="2024-08-12 20:56:56"/>
    <x v="1"/>
    <s v="2024-08-25 23:44:56"/>
    <n v="314.8"/>
    <n v="13.1"/>
    <s v="Software Installation"/>
    <s v="Business Apps"/>
    <x v="2"/>
    <n v="360"/>
    <x v="1"/>
    <s v="Portal"/>
    <s v="Tier 1"/>
    <s v="TECH-24"/>
    <s v="Mid-level"/>
    <x v="0"/>
    <s v="No"/>
    <n v="1"/>
    <s v="No"/>
    <n v="8"/>
    <n v="2.5"/>
    <n v="28.7"/>
    <s v="Yes"/>
    <s v="Fair"/>
    <s v="Yes"/>
    <s v="Operations"/>
    <s v="Thursday"/>
    <s v="Morning"/>
  </r>
  <r>
    <x v="949"/>
    <s v="2024-11-07 09:08:42"/>
    <x v="7"/>
    <s v="2024-11-14 18:02:42"/>
    <n v="176.9"/>
    <n v="7.4"/>
    <s v="Access Requests"/>
    <s v="VPN Access"/>
    <x v="0"/>
    <n v="240"/>
    <x v="1"/>
    <s v="Email"/>
    <s v="Tier 1"/>
    <s v="TECH-21"/>
    <s v="Junior"/>
    <x v="1"/>
    <s v="No"/>
    <n v="0"/>
    <s v="Yes"/>
    <n v="10"/>
    <n v="0.8"/>
    <n v="17.899999999999999"/>
    <s v="Yes"/>
    <s v="Excellent"/>
    <s v="Yes"/>
    <s v="IT"/>
    <s v="Tuesday"/>
    <s v="Morning"/>
  </r>
  <r>
    <x v="950"/>
    <s v="2024-07-25 08:45:29"/>
    <x v="4"/>
    <s v="2024-07-28 01:51:29"/>
    <n v="89.1"/>
    <n v="3.7"/>
    <s v="Hardware Issues"/>
    <s v="Desktop"/>
    <x v="1"/>
    <n v="120"/>
    <x v="1"/>
    <s v="Email"/>
    <s v="Tier 2"/>
    <s v="TECH-2"/>
    <s v="Mid-level"/>
    <x v="0"/>
    <s v="Yes"/>
    <n v="2"/>
    <s v="No"/>
    <n v="6"/>
    <n v="4.0999999999999996"/>
    <n v="33.4"/>
    <s v="No"/>
    <s v="Poor"/>
    <s v="Yes"/>
    <s v="Marketing"/>
    <s v="Monday"/>
    <s v="Morning"/>
  </r>
  <r>
    <x v="951"/>
    <s v="2024-08-01 22:38:36"/>
    <x v="1"/>
    <s v="2024-08-05 21:32:36"/>
    <n v="94.9"/>
    <n v="4"/>
    <s v="Network Connectivity"/>
    <s v="VPN Connection"/>
    <x v="1"/>
    <n v="120"/>
    <x v="1"/>
    <s v="Email"/>
    <s v="Tier 1"/>
    <s v="TECH-14"/>
    <s v="Mid-level"/>
    <x v="0"/>
    <s v="No"/>
    <n v="1"/>
    <s v="No"/>
    <n v="8"/>
    <n v="2.8"/>
    <n v="19.3"/>
    <s v="Yes"/>
    <s v="Poor"/>
    <s v="No"/>
    <s v="HR"/>
    <s v="Friday"/>
    <s v="Afternoon"/>
  </r>
  <r>
    <x v="952"/>
    <s v="2024-05-08 15:25:12"/>
    <x v="8"/>
    <s v="2024-05-17 18:13:12"/>
    <n v="218.8"/>
    <n v="9.1"/>
    <s v="Software Installation"/>
    <s v="Drivers"/>
    <x v="0"/>
    <n v="240"/>
    <x v="1"/>
    <s v="Email"/>
    <s v="Tier 1"/>
    <s v="TECH-20"/>
    <s v="Mid-level"/>
    <x v="1"/>
    <s v="No"/>
    <n v="0"/>
    <s v="No"/>
    <n v="9"/>
    <n v="2.2000000000000002"/>
    <n v="7.6"/>
    <s v="No"/>
    <s v="Fair"/>
    <s v="Yes"/>
    <s v="HR"/>
    <s v="Wednesday"/>
    <s v="Evening"/>
  </r>
  <r>
    <x v="953"/>
    <s v="2024-07-11 23:59:29"/>
    <x v="4"/>
    <s v="2024-07-15 13:05:29"/>
    <n v="85.1"/>
    <n v="3.5"/>
    <s v="Application Errors"/>
    <s v="Crash"/>
    <x v="1"/>
    <n v="120"/>
    <x v="1"/>
    <s v="Email"/>
    <s v="Tier 1"/>
    <s v="TECH-7"/>
    <s v="Mid-level"/>
    <x v="0"/>
    <s v="No"/>
    <n v="1"/>
    <s v="No"/>
    <n v="8"/>
    <n v="3.4"/>
    <n v="0"/>
    <s v="No"/>
    <s v="Good"/>
    <s v="Yes"/>
    <s v="Finance"/>
    <s v="Monday"/>
    <s v="Morning"/>
  </r>
  <r>
    <x v="954"/>
    <s v="2024-06-19 08:52:06"/>
    <x v="10"/>
    <s v="2024-06-26 06:28:06"/>
    <n v="165.6"/>
    <n v="6.9"/>
    <s v="Network Connectivity"/>
    <s v="WiFi Issues"/>
    <x v="1"/>
    <n v="120"/>
    <x v="0"/>
    <s v="Email"/>
    <s v="Tier 1"/>
    <s v="TECH-22"/>
    <s v="Senior"/>
    <x v="0"/>
    <s v="No"/>
    <n v="1"/>
    <s v="Yes"/>
    <n v="4"/>
    <n v="0.1"/>
    <n v="4.9000000000000004"/>
    <s v="No"/>
    <s v="Poor"/>
    <s v="No"/>
    <s v="Sales"/>
    <s v="Friday"/>
    <s v="Afternoon"/>
  </r>
  <r>
    <x v="955"/>
    <s v="2024-01-12 18:43:34"/>
    <x v="3"/>
    <s v="2024-02-05 15:07:34"/>
    <n v="572.4"/>
    <n v="23.8"/>
    <s v="Email/Calendar"/>
    <s v="Cannot Send/Receive"/>
    <x v="0"/>
    <n v="240"/>
    <x v="0"/>
    <s v="Portal"/>
    <s v="Tier 1"/>
    <s v="TECH-4"/>
    <s v="Junior"/>
    <x v="0"/>
    <s v="No"/>
    <n v="1"/>
    <s v="No"/>
    <n v="2"/>
    <n v="3.7"/>
    <n v="0"/>
    <s v="No"/>
    <s v="Good"/>
    <s v="No"/>
    <s v="Operations"/>
    <s v="Monday"/>
    <s v="Evening"/>
  </r>
  <r>
    <x v="956"/>
    <s v="2024-11-02 22:35:05"/>
    <x v="7"/>
    <s v="2024-11-10 22:23:05"/>
    <n v="191.8"/>
    <n v="8"/>
    <s v="Software Installation"/>
    <s v="Business Apps"/>
    <x v="0"/>
    <n v="240"/>
    <x v="1"/>
    <s v="Chat"/>
    <s v="Tier 2"/>
    <s v="TECH-4"/>
    <s v="Junior"/>
    <x v="0"/>
    <s v="Yes"/>
    <n v="4"/>
    <s v="Yes"/>
    <n v="10"/>
    <n v="2.8"/>
    <n v="15.2"/>
    <s v="No"/>
    <s v="Good"/>
    <s v="Yes"/>
    <s v="IT"/>
    <s v="Friday"/>
    <s v="Evening"/>
  </r>
  <r>
    <x v="957"/>
    <s v="2024-10-03 05:25:41"/>
    <x v="2"/>
    <s v="2024-10-10 14:31:41"/>
    <n v="177.1"/>
    <n v="7.4"/>
    <s v="Other"/>
    <s v="General Inquiry"/>
    <x v="0"/>
    <n v="240"/>
    <x v="1"/>
    <s v="Phone"/>
    <s v="Tier 2"/>
    <s v="TECH-7"/>
    <s v="Senior"/>
    <x v="0"/>
    <s v="Yes"/>
    <n v="4"/>
    <s v="No"/>
    <n v="8"/>
    <n v="0.1"/>
    <n v="0"/>
    <s v="No"/>
    <s v="Good"/>
    <s v="Yes"/>
    <s v="Marketing"/>
    <s v="Monday"/>
    <s v="Evening"/>
  </r>
  <r>
    <x v="958"/>
    <s v="2024-06-25 18:12:59"/>
    <x v="10"/>
    <s v="2024-07-06 23:00:59"/>
    <n v="268.8"/>
    <n v="11.2"/>
    <s v="Hardware Issues"/>
    <s v="Printer"/>
    <x v="2"/>
    <n v="360"/>
    <x v="1"/>
    <s v="Portal"/>
    <s v="Tier 2"/>
    <s v="TECH-25"/>
    <s v="Mid-level"/>
    <x v="0"/>
    <s v="Yes"/>
    <n v="2"/>
    <s v="No"/>
    <n v="9"/>
    <n v="2.2000000000000002"/>
    <n v="25.2"/>
    <s v="No"/>
    <s v="Fair"/>
    <s v="Yes"/>
    <s v="IT"/>
    <s v="Monday"/>
    <s v="Afternoon"/>
  </r>
  <r>
    <x v="959"/>
    <s v="2024-08-10 19:23:13"/>
    <x v="1"/>
    <s v="2024-09-07 15:29:13"/>
    <n v="668.1"/>
    <n v="27.8"/>
    <s v="Email/Calendar"/>
    <s v="Cannot Send/Receive"/>
    <x v="0"/>
    <n v="240"/>
    <x v="0"/>
    <s v="Portal"/>
    <s v="Tier 1"/>
    <s v="TECH-21"/>
    <s v="Junior"/>
    <x v="0"/>
    <s v="No"/>
    <n v="1"/>
    <s v="Yes"/>
    <n v="5"/>
    <n v="1.6"/>
    <n v="41.3"/>
    <s v="Yes"/>
    <s v="Good"/>
    <s v="Yes"/>
    <s v="IT"/>
    <s v="Friday"/>
    <s v="Afternoon"/>
  </r>
  <r>
    <x v="960"/>
    <s v="2024-01-08 04:46:55"/>
    <x v="3"/>
    <s v="2024-01-12 08:40:55"/>
    <n v="99.9"/>
    <n v="4.2"/>
    <s v="Hardware Issues"/>
    <s v="Keyboard/Mouse"/>
    <x v="1"/>
    <n v="120"/>
    <x v="1"/>
    <s v="Walk-in"/>
    <s v="Tier 1"/>
    <s v="TECH-24"/>
    <s v="Junior"/>
    <x v="1"/>
    <s v="No"/>
    <n v="0"/>
    <s v="No"/>
    <n v="8"/>
    <n v="0.6"/>
    <n v="17.399999999999999"/>
    <s v="Yes"/>
    <s v="Poor"/>
    <s v="Yes"/>
    <s v="Operations"/>
    <s v="Thursday"/>
    <s v="Afternoon"/>
  </r>
  <r>
    <x v="961"/>
    <s v="2024-08-31 12:07:54"/>
    <x v="1"/>
    <s v="2024-09-13 10:37:54"/>
    <n v="310.5"/>
    <n v="12.9"/>
    <s v="Password Reset"/>
    <s v="Application Password"/>
    <x v="2"/>
    <n v="360"/>
    <x v="1"/>
    <s v="Email"/>
    <s v="Tier 1"/>
    <s v="TECH-21"/>
    <s v="Junior"/>
    <x v="1"/>
    <s v="No"/>
    <n v="0"/>
    <s v="No"/>
    <n v="7"/>
    <n v="2.7"/>
    <n v="2.1"/>
    <s v="Yes"/>
    <s v="Fair"/>
    <s v="Yes"/>
    <s v="Marketing"/>
    <s v="Friday"/>
    <s v="Morning"/>
  </r>
  <r>
    <x v="962"/>
    <s v="2024-09-08 14:23:49"/>
    <x v="9"/>
    <s v="2024-09-16 09:05:49"/>
    <n v="186.7"/>
    <n v="7.8"/>
    <s v="Access Requests"/>
    <s v="Admin Rights"/>
    <x v="0"/>
    <n v="240"/>
    <x v="1"/>
    <s v="Email"/>
    <s v="Tier 1"/>
    <s v="TECH-14"/>
    <s v="Junior"/>
    <x v="1"/>
    <s v="No"/>
    <n v="0"/>
    <s v="No"/>
    <n v="10"/>
    <n v="3.3"/>
    <n v="9"/>
    <s v="Yes"/>
    <s v="Good"/>
    <s v="Yes"/>
    <s v="Finance"/>
    <s v="Tuesday"/>
    <s v="Evening"/>
  </r>
  <r>
    <x v="963"/>
    <s v="2024-10-28 04:07:58"/>
    <x v="2"/>
    <s v="2024-11-12 13:13:58"/>
    <n v="369.1"/>
    <n v="15.4"/>
    <s v="Software Installation"/>
    <s v="Business Apps"/>
    <x v="0"/>
    <n v="240"/>
    <x v="0"/>
    <s v="Portal"/>
    <s v="Tier 1"/>
    <s v="TECH-18"/>
    <s v="Mid-level"/>
    <x v="0"/>
    <s v="No"/>
    <n v="1"/>
    <s v="No"/>
    <n v="6"/>
    <n v="2.2000000000000002"/>
    <n v="12.9"/>
    <s v="Yes"/>
    <s v="Good"/>
    <s v="Yes"/>
    <s v="Finance"/>
    <s v="Tuesday"/>
    <s v="Afternoon"/>
  </r>
  <r>
    <x v="964"/>
    <s v="2024-11-28 19:28:10"/>
    <x v="7"/>
    <s v="2024-12-08 02:16:10"/>
    <n v="222.8"/>
    <n v="9.3000000000000007"/>
    <s v="Password Reset"/>
    <s v="Email Password"/>
    <x v="2"/>
    <n v="360"/>
    <x v="1"/>
    <s v="Portal"/>
    <s v="Tier 1"/>
    <s v="TECH-20"/>
    <s v="Mid-level"/>
    <x v="1"/>
    <s v="No"/>
    <n v="0"/>
    <s v="No"/>
    <n v="10"/>
    <n v="3.3"/>
    <n v="29.8"/>
    <s v="No"/>
    <s v="Fair"/>
    <s v="Yes"/>
    <s v="IT"/>
    <s v="Thursday"/>
    <s v="Morning"/>
  </r>
  <r>
    <x v="965"/>
    <s v="2024-02-27 22:07:50"/>
    <x v="6"/>
    <s v="2024-03-01 00:37:50"/>
    <n v="74.5"/>
    <n v="3.1"/>
    <s v="Application Errors"/>
    <s v="Login Issues"/>
    <x v="1"/>
    <n v="120"/>
    <x v="1"/>
    <s v="Portal"/>
    <s v="Tier 1"/>
    <s v="TECH-7"/>
    <s v="Junior"/>
    <x v="0"/>
    <s v="No"/>
    <n v="1"/>
    <s v="No"/>
    <n v="7"/>
    <n v="1.7"/>
    <n v="12.9"/>
    <s v="Yes"/>
    <s v="Poor"/>
    <s v="No"/>
    <s v="Marketing"/>
    <s v="Thursday"/>
    <s v="Morning"/>
  </r>
  <r>
    <x v="966"/>
    <s v="2024-03-16 10:43:14"/>
    <x v="5"/>
    <s v="2024-03-24 10:49:14"/>
    <n v="192.1"/>
    <n v="8"/>
    <s v="Software Installation"/>
    <s v="Drivers"/>
    <x v="0"/>
    <n v="240"/>
    <x v="1"/>
    <s v="Portal"/>
    <s v="Tier 1"/>
    <s v="TECH-17"/>
    <s v="Junior"/>
    <x v="0"/>
    <s v="No"/>
    <n v="1"/>
    <s v="No"/>
    <n v="6"/>
    <n v="3.5"/>
    <n v="8.6"/>
    <s v="Yes"/>
    <s v="Good"/>
    <s v="Yes"/>
    <s v="HR"/>
    <s v="Tuesday"/>
    <s v="Afternoon"/>
  </r>
  <r>
    <x v="967"/>
    <s v="2024-07-24 09:25:14"/>
    <x v="4"/>
    <s v="2024-08-03 17:49:14"/>
    <n v="248.4"/>
    <n v="10.4"/>
    <s v="Access Requests"/>
    <s v="VPN Access"/>
    <x v="0"/>
    <n v="240"/>
    <x v="0"/>
    <s v="Walk-in"/>
    <s v="Tier 1"/>
    <s v="TECH-6"/>
    <s v="Mid-level"/>
    <x v="1"/>
    <s v="No"/>
    <n v="0"/>
    <s v="No"/>
    <n v="8"/>
    <n v="0.1"/>
    <n v="18.2"/>
    <s v="Yes"/>
    <s v="Excellent"/>
    <s v="Yes"/>
    <s v="Marketing"/>
    <s v="Thursday"/>
    <s v="Afternoon"/>
  </r>
  <r>
    <x v="968"/>
    <s v="2024-07-15 17:39:38"/>
    <x v="4"/>
    <s v="2024-08-11 17:09:38"/>
    <n v="647.5"/>
    <n v="27"/>
    <s v="Software Installation"/>
    <s v="Drivers"/>
    <x v="0"/>
    <n v="240"/>
    <x v="0"/>
    <s v="Phone"/>
    <s v="Tier 2"/>
    <s v="TECH-14"/>
    <s v="Mid-level"/>
    <x v="0"/>
    <s v="Yes"/>
    <n v="1"/>
    <s v="No"/>
    <n v="6"/>
    <n v="4.5"/>
    <n v="2"/>
    <s v="Yes"/>
    <s v="Poor"/>
    <s v="No"/>
    <s v="Executive"/>
    <s v="Thursday"/>
    <s v="Morning"/>
  </r>
  <r>
    <x v="969"/>
    <s v="2024-04-12 00:20:04"/>
    <x v="11"/>
    <s v="2024-04-19 12:02:04"/>
    <n v="155.69999999999999"/>
    <n v="6.5"/>
    <s v="Software Installation"/>
    <s v="MS Office"/>
    <x v="0"/>
    <n v="240"/>
    <x v="1"/>
    <s v="Email"/>
    <s v="Tier 1"/>
    <s v="TECH-3"/>
    <s v="Mid-level"/>
    <x v="1"/>
    <s v="No"/>
    <n v="0"/>
    <s v="Yes"/>
    <n v="9"/>
    <n v="1.2"/>
    <n v="38.200000000000003"/>
    <s v="No"/>
    <s v="Fair"/>
    <s v="Yes"/>
    <s v="Marketing"/>
    <s v="Tuesday"/>
    <s v="Morning"/>
  </r>
  <r>
    <x v="970"/>
    <s v="2024-06-29 03:05:23"/>
    <x v="10"/>
    <s v="2024-07-07 03:53:23"/>
    <n v="192.8"/>
    <n v="8"/>
    <s v="Hardware Issues"/>
    <s v="Desktop"/>
    <x v="0"/>
    <n v="240"/>
    <x v="1"/>
    <s v="Email"/>
    <s v="Tier 2"/>
    <s v="TECH-9"/>
    <s v="Mid-level"/>
    <x v="0"/>
    <s v="Yes"/>
    <n v="3"/>
    <s v="No"/>
    <n v="8"/>
    <n v="0.1"/>
    <n v="25.5"/>
    <s v="No"/>
    <s v="Poor"/>
    <s v="Yes"/>
    <s v="Legal"/>
    <s v="Tuesday"/>
    <s v="Afternoon"/>
  </r>
  <r>
    <x v="971"/>
    <s v="2024-01-08 00:47:34"/>
    <x v="3"/>
    <s v="2024-01-16 11:11:34"/>
    <n v="178.4"/>
    <n v="7.4"/>
    <s v="Access Requests"/>
    <s v="Admin Rights"/>
    <x v="0"/>
    <n v="240"/>
    <x v="1"/>
    <s v="Phone"/>
    <s v="Tier 1"/>
    <s v="TECH-17"/>
    <s v="Junior"/>
    <x v="0"/>
    <s v="No"/>
    <n v="1"/>
    <s v="No"/>
    <n v="6"/>
    <n v="1.5"/>
    <n v="21"/>
    <s v="No"/>
    <s v="Fair"/>
    <s v="No"/>
    <s v="HR"/>
    <s v="Tuesday"/>
    <s v="Afternoon"/>
  </r>
  <r>
    <x v="972"/>
    <s v="2024-07-24 09:55:17"/>
    <x v="4"/>
    <s v="2024-08-01 12:19:17"/>
    <n v="194.4"/>
    <n v="8.1"/>
    <s v="Software Installation"/>
    <s v="VPN Client"/>
    <x v="0"/>
    <n v="240"/>
    <x v="1"/>
    <s v="Email"/>
    <s v="Tier 1"/>
    <s v="TECH-4"/>
    <s v="Mid-level"/>
    <x v="0"/>
    <s v="No"/>
    <n v="1"/>
    <s v="No"/>
    <n v="7"/>
    <n v="4.5"/>
    <n v="0"/>
    <s v="Yes"/>
    <s v="Fair"/>
    <s v="Yes"/>
    <s v="Marketing"/>
    <s v="Friday"/>
    <s v="Afternoon"/>
  </r>
  <r>
    <x v="973"/>
    <s v="2024-12-30 00:37:06"/>
    <x v="0"/>
    <s v="2025-01-12 16:49:06"/>
    <n v="304.2"/>
    <n v="12.7"/>
    <s v="Password Reset"/>
    <s v="Windows Password"/>
    <x v="2"/>
    <n v="360"/>
    <x v="1"/>
    <s v="Phone"/>
    <s v="Tier 1"/>
    <s v="TECH-22"/>
    <s v="Junior"/>
    <x v="1"/>
    <s v="No"/>
    <n v="0"/>
    <s v="No"/>
    <n v="9"/>
    <n v="1.1000000000000001"/>
    <n v="36.6"/>
    <s v="Yes"/>
    <s v="Fair"/>
    <s v="No"/>
    <s v="Marketing"/>
    <s v="Tuesday"/>
    <s v="Morning"/>
  </r>
  <r>
    <x v="974"/>
    <s v="2024-02-16 12:13:54"/>
    <x v="6"/>
    <s v="2024-02-23 00:31:54"/>
    <n v="180.3"/>
    <n v="7.5"/>
    <s v="Password Reset"/>
    <s v="Application Password"/>
    <x v="0"/>
    <n v="240"/>
    <x v="1"/>
    <s v="Chat"/>
    <s v="Tier 1"/>
    <s v="TECH-9"/>
    <s v="Mid-level"/>
    <x v="1"/>
    <s v="No"/>
    <n v="0"/>
    <s v="No"/>
    <n v="9"/>
    <n v="3.4"/>
    <n v="0"/>
    <s v="Yes"/>
    <s v="Poor"/>
    <s v="Yes"/>
    <s v="Marketing"/>
    <s v="Tuesday"/>
    <s v="Evening"/>
  </r>
  <r>
    <x v="975"/>
    <s v="2024-01-28 00:25:59"/>
    <x v="3"/>
    <s v="2024-02-03 07:49:59"/>
    <n v="127.4"/>
    <n v="5.3"/>
    <s v="Application Errors"/>
    <s v="Performance"/>
    <x v="3"/>
    <n v="48"/>
    <x v="0"/>
    <s v="Phone"/>
    <s v="Tier 2"/>
    <s v="TECH-15"/>
    <s v="Senior"/>
    <x v="0"/>
    <s v="Yes"/>
    <n v="2"/>
    <s v="No"/>
    <n v="6"/>
    <n v="6.2"/>
    <n v="31.2"/>
    <s v="Yes"/>
    <s v="Fair"/>
    <s v="No"/>
    <s v="IT"/>
    <s v="Wednesday"/>
    <s v="Evening"/>
  </r>
  <r>
    <x v="976"/>
    <s v="2024-07-29 01:03:58"/>
    <x v="4"/>
    <s v="2024-08-04 21:51:58"/>
    <n v="140.80000000000001"/>
    <n v="5.9"/>
    <s v="Email/Calendar"/>
    <s v="Cannot Send/Receive"/>
    <x v="1"/>
    <n v="120"/>
    <x v="0"/>
    <s v="Walk-in"/>
    <s v="Tier 1"/>
    <s v="TECH-2"/>
    <s v="Mid-level"/>
    <x v="0"/>
    <s v="No"/>
    <n v="1"/>
    <s v="No"/>
    <n v="7"/>
    <n v="3.1"/>
    <n v="30.3"/>
    <s v="Yes"/>
    <s v="Fair"/>
    <s v="Yes"/>
    <s v="Operations"/>
    <s v="Friday"/>
    <s v="Afternoon"/>
  </r>
  <r>
    <x v="977"/>
    <s v="2024-12-21 20:46:56"/>
    <x v="0"/>
    <s v="2024-12-25 23:16:56"/>
    <n v="98.5"/>
    <n v="4.0999999999999996"/>
    <s v="Hardware Issues"/>
    <s v="Printer"/>
    <x v="1"/>
    <n v="120"/>
    <x v="1"/>
    <s v="Email"/>
    <s v="Tier 2"/>
    <s v="TECH-19"/>
    <s v="Junior"/>
    <x v="0"/>
    <s v="Yes"/>
    <n v="2"/>
    <s v="No"/>
    <n v="9"/>
    <n v="1.6"/>
    <n v="39.799999999999997"/>
    <s v="No"/>
    <s v="Good"/>
    <s v="Yes"/>
    <s v="Finance"/>
    <s v="Thursday"/>
    <s v="Afternoon"/>
  </r>
  <r>
    <x v="978"/>
    <s v="2024-09-24 04:22:44"/>
    <x v="9"/>
    <s v="2024-10-01 17:58:44"/>
    <n v="181.6"/>
    <n v="7.6"/>
    <s v="Application Errors"/>
    <s v="Features Not Working"/>
    <x v="0"/>
    <n v="240"/>
    <x v="1"/>
    <s v="Phone"/>
    <s v="Tier 1"/>
    <s v="TECH-20"/>
    <s v="Senior"/>
    <x v="0"/>
    <s v="No"/>
    <n v="1"/>
    <s v="Yes"/>
    <n v="6"/>
    <n v="1.1000000000000001"/>
    <n v="31.2"/>
    <s v="Yes"/>
    <s v="Fair"/>
    <s v="Yes"/>
    <s v="HR"/>
    <s v="Thursday"/>
    <s v="Morning"/>
  </r>
  <r>
    <x v="979"/>
    <s v="2024-10-13 23:51:09"/>
    <x v="2"/>
    <s v="2024-10-28 17:09:09"/>
    <n v="354.3"/>
    <n v="14.8"/>
    <s v="Access Requests"/>
    <s v="VPN Access"/>
    <x v="0"/>
    <n v="240"/>
    <x v="0"/>
    <s v="Email"/>
    <s v="Tier 1"/>
    <s v="TECH-8"/>
    <s v="Mid-level"/>
    <x v="0"/>
    <s v="No"/>
    <n v="1"/>
    <s v="No"/>
    <n v="2"/>
    <n v="2.2999999999999998"/>
    <n v="37.299999999999997"/>
    <s v="Yes"/>
    <s v="Good"/>
    <s v="Yes"/>
    <s v="HR"/>
    <s v="Tuesday"/>
    <s v="Afternoon"/>
  </r>
  <r>
    <x v="980"/>
    <s v="2024-11-20 15:26:06"/>
    <x v="7"/>
    <s v="2024-11-24 22:50:06"/>
    <n v="103.4"/>
    <n v="4.3"/>
    <s v="Application Errors"/>
    <s v="Features Not Working"/>
    <x v="1"/>
    <n v="120"/>
    <x v="1"/>
    <s v="Portal"/>
    <s v="Tier 2"/>
    <s v="TECH-20"/>
    <s v="Mid-level"/>
    <x v="0"/>
    <s v="Yes"/>
    <n v="1"/>
    <s v="No"/>
    <n v="8"/>
    <n v="0.1"/>
    <n v="11.7"/>
    <s v="Yes"/>
    <s v="Poor"/>
    <s v="Yes"/>
    <s v="Finance"/>
    <s v="Thursday"/>
    <s v="Afternoon"/>
  </r>
  <r>
    <x v="981"/>
    <s v="2024-05-15 03:10:49"/>
    <x v="8"/>
    <s v="2024-05-18 01:28:49"/>
    <n v="94.3"/>
    <n v="3.9"/>
    <s v="Software Installation"/>
    <s v="Drivers"/>
    <x v="1"/>
    <n v="120"/>
    <x v="1"/>
    <s v="Email"/>
    <s v="Tier 1"/>
    <s v="TECH-17"/>
    <s v="Mid-level"/>
    <x v="1"/>
    <s v="No"/>
    <n v="0"/>
    <s v="Yes"/>
    <n v="9"/>
    <n v="1.2"/>
    <n v="22.1"/>
    <s v="Yes"/>
    <s v="Good"/>
    <s v="Yes"/>
    <s v="Operations"/>
    <s v="Monday"/>
    <s v="Morning"/>
  </r>
  <r>
    <x v="982"/>
    <s v="2024-12-01 11:56:59"/>
    <x v="0"/>
    <s v="2024-12-11 18:14:59"/>
    <n v="246.3"/>
    <n v="10.3"/>
    <s v="Software Installation"/>
    <s v="Drivers"/>
    <x v="0"/>
    <n v="240"/>
    <x v="0"/>
    <s v="Chat"/>
    <s v="Tier 1"/>
    <s v="TECH-21"/>
    <s v="Senior"/>
    <x v="1"/>
    <s v="No"/>
    <n v="0"/>
    <s v="No"/>
    <n v="8"/>
    <n v="4.3"/>
    <n v="24.8"/>
    <s v="No"/>
    <s v="Poor"/>
    <s v="Yes"/>
    <s v="Marketing"/>
    <s v="Wednesday"/>
    <s v="Morning"/>
  </r>
  <r>
    <x v="983"/>
    <s v="2024-11-28 07:46:02"/>
    <x v="7"/>
    <s v="2024-12-13 06:34:02"/>
    <n v="358.8"/>
    <n v="15"/>
    <s v="Software Installation"/>
    <s v="Business Apps"/>
    <x v="0"/>
    <n v="240"/>
    <x v="0"/>
    <s v="Email"/>
    <s v="Tier 2"/>
    <s v="TECH-5"/>
    <s v="Junior"/>
    <x v="0"/>
    <s v="Yes"/>
    <n v="1"/>
    <s v="No"/>
    <n v="7"/>
    <n v="3.4"/>
    <n v="19.100000000000001"/>
    <s v="Yes"/>
    <s v="Poor"/>
    <s v="Yes"/>
    <s v="IT"/>
    <s v="Wednesday"/>
    <s v="Afternoon"/>
  </r>
  <r>
    <x v="984"/>
    <s v="2024-01-27 12:09:16"/>
    <x v="3"/>
    <s v="2024-02-08 21:21:16"/>
    <n v="297.2"/>
    <n v="12.4"/>
    <s v="Application Errors"/>
    <s v="Login Issues"/>
    <x v="0"/>
    <n v="240"/>
    <x v="0"/>
    <s v="Email"/>
    <s v="Tier 2"/>
    <s v="TECH-16"/>
    <s v="Junior"/>
    <x v="0"/>
    <s v="Yes"/>
    <n v="2"/>
    <s v="Yes"/>
    <n v="5"/>
    <n v="3.9"/>
    <n v="29.6"/>
    <s v="Yes"/>
    <s v="Excellent"/>
    <s v="No"/>
    <s v="Operations"/>
    <s v="Tuesday"/>
    <s v="Morning"/>
  </r>
  <r>
    <x v="985"/>
    <s v="2024-10-31 17:29:40"/>
    <x v="2"/>
    <s v="2024-11-03 20:11:40"/>
    <n v="74.7"/>
    <n v="3.1"/>
    <s v="Application Errors"/>
    <s v="Crash"/>
    <x v="1"/>
    <n v="120"/>
    <x v="1"/>
    <s v="Phone"/>
    <s v="Tier 1"/>
    <s v="TECH-18"/>
    <s v="Junior"/>
    <x v="1"/>
    <s v="No"/>
    <n v="0"/>
    <s v="No"/>
    <n v="10"/>
    <n v="3.7"/>
    <n v="13.7"/>
    <s v="Yes"/>
    <s v="Good"/>
    <s v="Yes"/>
    <s v="IT"/>
    <s v="Thursday"/>
    <s v="Afternoon"/>
  </r>
  <r>
    <x v="986"/>
    <s v="2024-03-09 15:33:32"/>
    <x v="5"/>
    <s v="2024-04-08 15:51:32"/>
    <n v="719.3"/>
    <n v="30"/>
    <s v="Other"/>
    <s v="Miscellaneous"/>
    <x v="0"/>
    <n v="240"/>
    <x v="0"/>
    <s v="Phone"/>
    <s v="Tier 1"/>
    <s v="TECH-11"/>
    <s v="Senior"/>
    <x v="0"/>
    <s v="No"/>
    <n v="1"/>
    <s v="No"/>
    <n v="6"/>
    <n v="3.3"/>
    <n v="25.5"/>
    <s v="Yes"/>
    <s v="Fair"/>
    <s v="Yes"/>
    <s v="Marketing"/>
    <s v="Monday"/>
    <s v="Afternoon"/>
  </r>
  <r>
    <x v="987"/>
    <s v="2024-11-24 03:06:46"/>
    <x v="7"/>
    <s v="2024-12-04 18:06:46"/>
    <n v="255"/>
    <n v="10.6"/>
    <s v="Email/Calendar"/>
    <s v="Mailbox Full"/>
    <x v="2"/>
    <n v="360"/>
    <x v="1"/>
    <s v="Email"/>
    <s v="Tier 1"/>
    <s v="TECH-14"/>
    <s v="Senior"/>
    <x v="0"/>
    <s v="No"/>
    <n v="1"/>
    <s v="Yes"/>
    <n v="8"/>
    <n v="0.2"/>
    <n v="20.7"/>
    <s v="Yes"/>
    <s v="Good"/>
    <s v="Yes"/>
    <s v="IT"/>
    <s v="Tuesday"/>
    <s v="Morning"/>
  </r>
  <r>
    <x v="988"/>
    <s v="2024-10-31 21:39:22"/>
    <x v="2"/>
    <s v="2024-11-11 08:33:22"/>
    <n v="250.9"/>
    <n v="10.5"/>
    <s v="Access Requests"/>
    <s v="File Share"/>
    <x v="0"/>
    <n v="240"/>
    <x v="0"/>
    <s v="Email"/>
    <s v="Tier 2"/>
    <s v="TECH-25"/>
    <s v="Senior"/>
    <x v="0"/>
    <s v="Yes"/>
    <n v="3"/>
    <s v="No"/>
    <n v="6"/>
    <n v="1.7"/>
    <n v="18.8"/>
    <s v="Yes"/>
    <s v="Fair"/>
    <s v="No"/>
    <s v="Executive"/>
    <s v="Monday"/>
    <s v="Evening"/>
  </r>
  <r>
    <x v="989"/>
    <s v="2024-10-05 20:03:55"/>
    <x v="2"/>
    <s v="2024-10-14 01:57:55"/>
    <n v="221.9"/>
    <n v="9.1999999999999993"/>
    <s v="Application Errors"/>
    <s v="Login Issues"/>
    <x v="0"/>
    <n v="240"/>
    <x v="1"/>
    <s v="Walk-in"/>
    <s v="Tier 2"/>
    <s v="TECH-11"/>
    <s v="Senior"/>
    <x v="0"/>
    <s v="Yes"/>
    <n v="4"/>
    <s v="No"/>
    <n v="9"/>
    <n v="2.1"/>
    <n v="15.8"/>
    <s v="Yes"/>
    <s v="Poor"/>
    <s v="No"/>
    <s v="Finance"/>
    <s v="Friday"/>
    <s v="Morning"/>
  </r>
  <r>
    <x v="990"/>
    <s v="2024-04-29 22:21:24"/>
    <x v="11"/>
    <s v="2024-05-06 09:57:24"/>
    <n v="155.6"/>
    <n v="6.5"/>
    <s v="Password Reset"/>
    <s v="Account Unlock"/>
    <x v="1"/>
    <n v="120"/>
    <x v="0"/>
    <s v="Portal"/>
    <s v="Tier 1"/>
    <s v="TECH-25"/>
    <s v="Junior"/>
    <x v="1"/>
    <s v="No"/>
    <n v="0"/>
    <s v="No"/>
    <n v="5"/>
    <n v="0.5"/>
    <n v="13.1"/>
    <s v="Yes"/>
    <s v="Fair"/>
    <s v="Yes"/>
    <s v="Operations"/>
    <s v="Wednesday"/>
    <s v="Afternoon"/>
  </r>
  <r>
    <x v="991"/>
    <s v="2024-05-26 03:19:04"/>
    <x v="8"/>
    <s v="2024-06-02 20:43:04"/>
    <n v="185.4"/>
    <n v="7.7"/>
    <s v="Password Reset"/>
    <s v="Application Password"/>
    <x v="0"/>
    <n v="240"/>
    <x v="1"/>
    <s v="Portal"/>
    <s v="Tier 1"/>
    <s v="TECH-19"/>
    <s v="Junior"/>
    <x v="1"/>
    <s v="No"/>
    <n v="0"/>
    <s v="No"/>
    <n v="9"/>
    <n v="0.4"/>
    <n v="4.2"/>
    <s v="Yes"/>
    <s v="Excellent"/>
    <s v="No"/>
    <s v="Legal"/>
    <s v="Wednesday"/>
    <s v="Morning"/>
  </r>
  <r>
    <x v="992"/>
    <s v="2024-08-01 23:58:19"/>
    <x v="1"/>
    <s v="2024-08-12 06:34:19"/>
    <n v="246.6"/>
    <n v="10.3"/>
    <s v="Password Reset"/>
    <s v="Application Password"/>
    <x v="2"/>
    <n v="360"/>
    <x v="1"/>
    <s v="Phone"/>
    <s v="Tier 1"/>
    <s v="TECH-20"/>
    <s v="Junior"/>
    <x v="1"/>
    <s v="No"/>
    <n v="0"/>
    <s v="Yes"/>
    <n v="10"/>
    <n v="0.1"/>
    <n v="27.3"/>
    <s v="Yes"/>
    <s v="Fair"/>
    <s v="Yes"/>
    <s v="Sales"/>
    <s v="Monday"/>
    <s v="Morning"/>
  </r>
  <r>
    <x v="993"/>
    <s v="2024-03-28 05:23:52"/>
    <x v="5"/>
    <s v="2024-04-19 00:41:52"/>
    <n v="546.29999999999995"/>
    <n v="22.8"/>
    <s v="Email/Calendar"/>
    <s v="Calendar Sync"/>
    <x v="0"/>
    <n v="240"/>
    <x v="0"/>
    <s v="Portal"/>
    <s v="Tier 2"/>
    <s v="TECH-25"/>
    <s v="Mid-level"/>
    <x v="0"/>
    <s v="Yes"/>
    <n v="3"/>
    <s v="No"/>
    <n v="6"/>
    <n v="2.1"/>
    <n v="21.3"/>
    <s v="Yes"/>
    <s v="Fair"/>
    <s v="Yes"/>
    <s v="Finance"/>
    <s v="Wednesday"/>
    <s v="Morning"/>
  </r>
  <r>
    <x v="994"/>
    <s v="2024-12-27 10:47:35"/>
    <x v="0"/>
    <s v="2024-12-31 17:11:35"/>
    <n v="102.4"/>
    <n v="4.3"/>
    <s v="Hardware Issues"/>
    <s v="Desktop"/>
    <x v="1"/>
    <n v="120"/>
    <x v="1"/>
    <s v="Email"/>
    <s v="Tier 2"/>
    <s v="TECH-13"/>
    <s v="Mid-level"/>
    <x v="0"/>
    <s v="Yes"/>
    <n v="3"/>
    <s v="No"/>
    <n v="9"/>
    <n v="2.9"/>
    <n v="12.8"/>
    <s v="Yes"/>
    <s v="Fair"/>
    <s v="Yes"/>
    <s v="Finance"/>
    <s v="Thursday"/>
    <s v="Afternoon"/>
  </r>
  <r>
    <x v="995"/>
    <s v="2024-12-05 02:53:17"/>
    <x v="0"/>
    <s v="2024-12-18 06:53:17"/>
    <n v="316"/>
    <n v="13.2"/>
    <s v="Application Errors"/>
    <s v="Performance"/>
    <x v="0"/>
    <n v="240"/>
    <x v="0"/>
    <s v="Portal"/>
    <s v="Tier 1"/>
    <s v="TECH-23"/>
    <s v="Mid-level"/>
    <x v="0"/>
    <s v="No"/>
    <n v="1"/>
    <s v="No"/>
    <n v="6"/>
    <n v="0.4"/>
    <n v="28.8"/>
    <s v="Yes"/>
    <s v="Fair"/>
    <s v="No"/>
    <s v="Finance"/>
    <s v="Monday"/>
    <s v="Afternoon"/>
  </r>
  <r>
    <x v="996"/>
    <s v="2024-06-19 22:34:16"/>
    <x v="10"/>
    <s v="2024-06-25 00:52:16"/>
    <n v="146.30000000000001"/>
    <n v="6.1"/>
    <s v="Access Requests"/>
    <s v="File Share"/>
    <x v="0"/>
    <n v="240"/>
    <x v="1"/>
    <s v="Phone"/>
    <s v="Tier 1"/>
    <s v="TECH-15"/>
    <s v="Mid-level"/>
    <x v="0"/>
    <s v="No"/>
    <n v="1"/>
    <s v="No"/>
    <n v="7"/>
    <n v="3.8"/>
    <n v="9.4"/>
    <s v="Yes"/>
    <s v="Poor"/>
    <s v="No"/>
    <s v="HR"/>
    <s v="Tuesday"/>
    <s v="Morning"/>
  </r>
  <r>
    <x v="997"/>
    <s v="2024-11-22 12:53:05"/>
    <x v="7"/>
    <s v="2024-11-30 01:29:05"/>
    <n v="204.6"/>
    <n v="8.5"/>
    <s v="Software Installation"/>
    <s v="MS Office"/>
    <x v="0"/>
    <n v="240"/>
    <x v="1"/>
    <s v="Phone"/>
    <s v="Tier 1"/>
    <s v="TECH-13"/>
    <s v="Mid-level"/>
    <x v="1"/>
    <s v="No"/>
    <n v="0"/>
    <s v="No"/>
    <n v="10"/>
    <n v="3.7"/>
    <n v="36.799999999999997"/>
    <s v="No"/>
    <s v="Poor"/>
    <s v="Yes"/>
    <s v="Operations"/>
    <s v="Monday"/>
    <s v="Afternoon"/>
  </r>
  <r>
    <x v="998"/>
    <s v="2024-02-19 18:43:31"/>
    <x v="6"/>
    <s v="2024-03-15 03:13:31"/>
    <n v="584.5"/>
    <n v="24.4"/>
    <s v="Hardware Issues"/>
    <s v="Keyboard/Mouse"/>
    <x v="0"/>
    <n v="240"/>
    <x v="0"/>
    <s v="Email"/>
    <s v="Tier 2"/>
    <s v="TECH-12"/>
    <s v="Senior"/>
    <x v="0"/>
    <s v="Yes"/>
    <n v="1"/>
    <s v="No"/>
    <n v="8"/>
    <n v="1.8"/>
    <n v="9.6999999999999993"/>
    <s v="Yes"/>
    <s v="Fair"/>
    <s v="No"/>
    <s v="Sales"/>
    <s v="Thursday"/>
    <s v="Morning"/>
  </r>
  <r>
    <x v="999"/>
    <s v="2024-05-22 20:29:27"/>
    <x v="8"/>
    <s v="2024-05-31 13:47:27"/>
    <n v="209.3"/>
    <n v="8.6999999999999993"/>
    <s v="Application Errors"/>
    <s v="Features Not Working"/>
    <x v="0"/>
    <n v="240"/>
    <x v="1"/>
    <s v="Walk-in"/>
    <s v="Tier 1"/>
    <s v="TECH-24"/>
    <s v="Mid-level"/>
    <x v="1"/>
    <s v="No"/>
    <n v="0"/>
    <s v="No"/>
    <n v="10"/>
    <n v="0.1"/>
    <n v="17"/>
    <s v="Yes"/>
    <s v="Fair"/>
    <s v="Yes"/>
    <s v="Executive"/>
    <s v="Monday"/>
    <s v="Afternoon"/>
  </r>
  <r>
    <x v="1000"/>
    <s v="2024-04-16 16:48:06"/>
    <x v="11"/>
    <s v="2024-04-26 08:12:06"/>
    <n v="231.4"/>
    <n v="9.6"/>
    <s v="Other"/>
    <s v="Documentation"/>
    <x v="2"/>
    <n v="360"/>
    <x v="1"/>
    <s v="Portal"/>
    <s v="Tier 1"/>
    <s v="TECH-5"/>
    <s v="Mid-level"/>
    <x v="0"/>
    <s v="No"/>
    <n v="1"/>
    <s v="No"/>
    <n v="9"/>
    <n v="0.1"/>
    <n v="23"/>
    <s v="Yes"/>
    <s v="Excellent"/>
    <s v="Yes"/>
    <s v="Finance"/>
    <s v="Thursday"/>
    <s v="Morning"/>
  </r>
  <r>
    <x v="1001"/>
    <s v="2024-02-29 03:58:51"/>
    <x v="6"/>
    <s v="2024-03-08 09:46:51"/>
    <n v="197.8"/>
    <n v="8.1999999999999993"/>
    <s v="Email/Calendar"/>
    <s v="Calendar Sync"/>
    <x v="1"/>
    <n v="120"/>
    <x v="0"/>
    <s v="Phone"/>
    <s v="Tier 1"/>
    <s v="TECH-25"/>
    <s v="Senior"/>
    <x v="0"/>
    <s v="No"/>
    <n v="1"/>
    <s v="Yes"/>
    <n v="7"/>
    <n v="1.9"/>
    <n v="15.2"/>
    <s v="Yes"/>
    <s v="Fair"/>
    <s v="No"/>
    <s v="Legal"/>
    <s v="Thursday"/>
    <s v="Evening"/>
  </r>
  <r>
    <x v="1002"/>
    <s v="2024-05-05 18:54:38"/>
    <x v="8"/>
    <s v="2024-05-08 10:36:38"/>
    <n v="63.7"/>
    <n v="2.7"/>
    <s v="Application Errors"/>
    <s v="Crash"/>
    <x v="3"/>
    <n v="48"/>
    <x v="0"/>
    <s v="Email"/>
    <s v="Tier 1"/>
    <s v="TECH-2"/>
    <s v="Junior"/>
    <x v="0"/>
    <s v="No"/>
    <n v="1"/>
    <s v="Yes"/>
    <n v="1"/>
    <n v="5.8"/>
    <n v="21.9"/>
    <s v="No"/>
    <s v="Good"/>
    <s v="Yes"/>
    <s v="Sales"/>
    <s v="Thursday"/>
    <s v="Morning"/>
  </r>
  <r>
    <x v="1003"/>
    <s v="2024-07-14 16:28:04"/>
    <x v="4"/>
    <s v="2024-07-22 02:52:04"/>
    <n v="202.4"/>
    <n v="8.4"/>
    <s v="Software Installation"/>
    <s v="MS Office"/>
    <x v="0"/>
    <n v="240"/>
    <x v="1"/>
    <s v="Phone"/>
    <s v="Tier 1"/>
    <s v="TECH-5"/>
    <s v="Junior"/>
    <x v="1"/>
    <s v="No"/>
    <n v="0"/>
    <s v="No"/>
    <n v="7"/>
    <n v="4.3"/>
    <n v="11.5"/>
    <s v="No"/>
    <s v="Good"/>
    <s v="No"/>
    <s v="Finance"/>
    <s v="Monday"/>
    <s v="Morning"/>
  </r>
  <r>
    <x v="1004"/>
    <s v="2024-12-20 20:40:02"/>
    <x v="0"/>
    <s v="2024-12-30 10:28:02"/>
    <n v="229.8"/>
    <n v="9.6"/>
    <s v="Password Reset"/>
    <s v="Email Password"/>
    <x v="2"/>
    <n v="360"/>
    <x v="1"/>
    <s v="Phone"/>
    <s v="Tier 1"/>
    <s v="TECH-6"/>
    <s v="Junior"/>
    <x v="0"/>
    <s v="No"/>
    <n v="1"/>
    <s v="No"/>
    <n v="7"/>
    <n v="4.7"/>
    <n v="28"/>
    <s v="Yes"/>
    <s v="Good"/>
    <s v="Yes"/>
    <s v="HR"/>
    <s v="Monday"/>
    <s v="Afternoon"/>
  </r>
  <r>
    <x v="1005"/>
    <s v="2024-08-20 18:06:25"/>
    <x v="1"/>
    <s v="2024-09-04 12:48:25"/>
    <n v="354.7"/>
    <n v="14.8"/>
    <s v="Network Connectivity"/>
    <s v="VPN Connection"/>
    <x v="1"/>
    <n v="120"/>
    <x v="0"/>
    <s v="Email"/>
    <s v="Tier 1"/>
    <s v="TECH-18"/>
    <s v="Mid-level"/>
    <x v="0"/>
    <s v="No"/>
    <n v="1"/>
    <s v="No"/>
    <n v="5"/>
    <n v="1"/>
    <n v="42.8"/>
    <s v="No"/>
    <s v="Fair"/>
    <s v="No"/>
    <s v="Marketing"/>
    <s v="Monday"/>
    <s v="Morning"/>
  </r>
  <r>
    <x v="1006"/>
    <s v="2024-09-29 21:39:34"/>
    <x v="9"/>
    <s v="2024-10-12 11:03:34"/>
    <n v="301.39999999999998"/>
    <n v="12.6"/>
    <s v="Password Reset"/>
    <s v="Account Unlock"/>
    <x v="2"/>
    <n v="360"/>
    <x v="1"/>
    <s v="Portal"/>
    <s v="Tier 1"/>
    <s v="TECH-16"/>
    <s v="Senior"/>
    <x v="1"/>
    <s v="No"/>
    <n v="0"/>
    <s v="No"/>
    <n v="8"/>
    <n v="1.7"/>
    <n v="0"/>
    <s v="Yes"/>
    <s v="Fair"/>
    <s v="Yes"/>
    <s v="Operations"/>
    <s v="Thursday"/>
    <s v="Morning"/>
  </r>
  <r>
    <x v="1007"/>
    <s v="2024-05-21 20:35:39"/>
    <x v="8"/>
    <s v="2024-05-29 07:47:39"/>
    <n v="179.2"/>
    <n v="7.5"/>
    <s v="Software Installation"/>
    <s v="Adobe Suite"/>
    <x v="0"/>
    <n v="240"/>
    <x v="1"/>
    <s v="Portal"/>
    <s v="Tier 1"/>
    <s v="TECH-11"/>
    <s v="Mid-level"/>
    <x v="1"/>
    <s v="No"/>
    <n v="0"/>
    <s v="No"/>
    <n v="8"/>
    <n v="2.5"/>
    <n v="2.2999999999999998"/>
    <s v="Yes"/>
    <s v="Good"/>
    <s v="Yes"/>
    <s v="IT"/>
    <s v="Friday"/>
    <s v="Evening"/>
  </r>
  <r>
    <x v="1008"/>
    <s v="2024-03-02 19:38:16"/>
    <x v="5"/>
    <s v="2024-03-06 19:02:16"/>
    <n v="95.4"/>
    <n v="4"/>
    <s v="Other"/>
    <s v="Documentation"/>
    <x v="1"/>
    <n v="120"/>
    <x v="1"/>
    <s v="Email"/>
    <s v="Tier 2"/>
    <s v="TECH-10"/>
    <s v="Mid-level"/>
    <x v="0"/>
    <s v="Yes"/>
    <n v="3"/>
    <s v="Yes"/>
    <n v="7"/>
    <n v="5"/>
    <n v="18"/>
    <s v="Yes"/>
    <s v="Fair"/>
    <s v="No"/>
    <s v="Finance"/>
    <s v="Wednesday"/>
    <s v="Afternoon"/>
  </r>
  <r>
    <x v="1009"/>
    <s v="2024-04-06 03:40:38"/>
    <x v="11"/>
    <s v="2024-04-13 14:46:38"/>
    <n v="179.1"/>
    <n v="7.5"/>
    <s v="Password Reset"/>
    <s v="Windows Password"/>
    <x v="0"/>
    <n v="240"/>
    <x v="1"/>
    <s v="Email"/>
    <s v="Tier 1"/>
    <s v="TECH-9"/>
    <s v="Mid-level"/>
    <x v="1"/>
    <s v="No"/>
    <n v="0"/>
    <s v="No"/>
    <n v="10"/>
    <n v="5.4"/>
    <n v="14.8"/>
    <s v="No"/>
    <s v="Poor"/>
    <s v="Yes"/>
    <s v="Sales"/>
    <s v="Wednesday"/>
    <s v="Morning"/>
  </r>
  <r>
    <x v="1010"/>
    <s v="2024-06-01 14:56:20"/>
    <x v="10"/>
    <s v="2024-06-08 00:38:20"/>
    <n v="177.7"/>
    <n v="7.4"/>
    <s v="Network Connectivity"/>
    <s v="Slow Network"/>
    <x v="0"/>
    <n v="240"/>
    <x v="1"/>
    <s v="Email"/>
    <s v="Tier 2"/>
    <s v="TECH-5"/>
    <s v="Mid-level"/>
    <x v="0"/>
    <s v="Yes"/>
    <n v="3"/>
    <s v="No"/>
    <n v="8"/>
    <n v="0.3"/>
    <n v="0"/>
    <s v="No"/>
    <s v="Fair"/>
    <s v="Yes"/>
    <s v="IT"/>
    <s v="Friday"/>
    <s v="Evening"/>
  </r>
  <r>
    <x v="1011"/>
    <s v="2024-11-29 20:08:33"/>
    <x v="7"/>
    <s v="2024-12-03 09:02:33"/>
    <n v="84.9"/>
    <n v="3.5"/>
    <s v="Hardware Issues"/>
    <s v="Printer"/>
    <x v="1"/>
    <n v="120"/>
    <x v="1"/>
    <s v="Phone"/>
    <s v="Tier 2"/>
    <s v="TECH-7"/>
    <s v="Junior"/>
    <x v="0"/>
    <s v="Yes"/>
    <n v="2"/>
    <s v="No"/>
    <n v="7"/>
    <n v="1.3"/>
    <n v="1.7"/>
    <s v="No"/>
    <s v="Fair"/>
    <s v="No"/>
    <s v="Finance"/>
    <s v="Wednesday"/>
    <s v="Morning"/>
  </r>
  <r>
    <x v="1012"/>
    <s v="2024-11-30 10:50:24"/>
    <x v="7"/>
    <s v="2024-12-05 11:38:24"/>
    <n v="120.8"/>
    <n v="5"/>
    <s v="Hardware Issues"/>
    <s v="Keyboard/Mouse"/>
    <x v="1"/>
    <n v="120"/>
    <x v="0"/>
    <s v="Phone"/>
    <s v="Tier 2"/>
    <s v="TECH-25"/>
    <s v="Junior"/>
    <x v="0"/>
    <s v="Yes"/>
    <n v="1"/>
    <s v="Yes"/>
    <n v="2"/>
    <n v="3.7"/>
    <n v="2.8"/>
    <s v="No"/>
    <s v="Good"/>
    <s v="Yes"/>
    <s v="Legal"/>
    <s v="Wednesday"/>
    <s v="Evening"/>
  </r>
  <r>
    <x v="1013"/>
    <s v="2024-09-29 14:17:44"/>
    <x v="9"/>
    <s v="2024-10-14 13:59:44"/>
    <n v="359.7"/>
    <n v="15"/>
    <s v="Password Reset"/>
    <s v="Email Password"/>
    <x v="0"/>
    <n v="240"/>
    <x v="0"/>
    <s v="Email"/>
    <s v="Tier 1"/>
    <s v="TECH-6"/>
    <s v="Senior"/>
    <x v="1"/>
    <s v="No"/>
    <n v="0"/>
    <s v="No"/>
    <n v="7"/>
    <n v="6.4"/>
    <n v="29.7"/>
    <s v="Yes"/>
    <s v="Fair"/>
    <s v="No"/>
    <s v="Finance"/>
    <s v="Wednesday"/>
    <s v="Morning"/>
  </r>
  <r>
    <x v="1014"/>
    <s v="2024-06-19 13:58:21"/>
    <x v="10"/>
    <s v="2024-07-04 13:28:21"/>
    <n v="359.5"/>
    <n v="15"/>
    <s v="Application Errors"/>
    <s v="Features Not Working"/>
    <x v="1"/>
    <n v="120"/>
    <x v="0"/>
    <s v="Email"/>
    <s v="Tier 2"/>
    <s v="TECH-9"/>
    <s v="Junior"/>
    <x v="0"/>
    <s v="Yes"/>
    <n v="4"/>
    <s v="No"/>
    <n v="6"/>
    <n v="3"/>
    <n v="21.2"/>
    <s v="Yes"/>
    <s v="Excellent"/>
    <s v="No"/>
    <s v="HR"/>
    <s v="Tuesday"/>
    <s v="Morning"/>
  </r>
  <r>
    <x v="1015"/>
    <s v="2024-09-28 22:29:51"/>
    <x v="9"/>
    <s v="2024-10-10 18:53:51"/>
    <n v="284.39999999999998"/>
    <n v="11.9"/>
    <s v="Email/Calendar"/>
    <s v="Calendar Sync"/>
    <x v="2"/>
    <n v="360"/>
    <x v="1"/>
    <s v="Email"/>
    <s v="Tier 1"/>
    <s v="TECH-4"/>
    <s v="Mid-level"/>
    <x v="0"/>
    <s v="No"/>
    <n v="1"/>
    <s v="Yes"/>
    <n v="8"/>
    <n v="0.1"/>
    <n v="38.700000000000003"/>
    <s v="Yes"/>
    <s v="Poor"/>
    <s v="Yes"/>
    <s v="Finance"/>
    <s v="Monday"/>
    <s v="Morning"/>
  </r>
  <r>
    <x v="1016"/>
    <s v="2024-06-20 12:26:21"/>
    <x v="10"/>
    <s v="2024-06-23 02:26:21"/>
    <n v="86"/>
    <n v="3.6"/>
    <s v="Hardware Issues"/>
    <s v="Docking Station"/>
    <x v="1"/>
    <n v="120"/>
    <x v="1"/>
    <s v="Email"/>
    <s v="Tier 1"/>
    <s v="TECH-6"/>
    <s v="Junior"/>
    <x v="0"/>
    <s v="No"/>
    <n v="1"/>
    <s v="No"/>
    <n v="9"/>
    <n v="6.2"/>
    <n v="18.5"/>
    <s v="Yes"/>
    <s v="Good"/>
    <s v="No"/>
    <s v="Operations"/>
    <s v="Tuesday"/>
    <s v="Evening"/>
  </r>
  <r>
    <x v="1017"/>
    <s v="2024-06-01 14:37:03"/>
    <x v="10"/>
    <s v="2024-06-23 10:31:03"/>
    <n v="523.9"/>
    <n v="21.8"/>
    <s v="Password Reset"/>
    <s v="Application Password"/>
    <x v="2"/>
    <n v="360"/>
    <x v="0"/>
    <s v="Portal"/>
    <s v="Tier 1"/>
    <s v="TECH-1"/>
    <s v="Mid-level"/>
    <x v="1"/>
    <s v="No"/>
    <n v="0"/>
    <s v="No"/>
    <n v="9"/>
    <n v="0.1"/>
    <n v="3.5"/>
    <s v="No"/>
    <s v="Fair"/>
    <s v="Yes"/>
    <s v="IT"/>
    <s v="Thursday"/>
    <s v="Morning"/>
  </r>
  <r>
    <x v="1018"/>
    <s v="2024-09-23 15:21:59"/>
    <x v="9"/>
    <s v="2024-09-27 01:39:59"/>
    <n v="106.3"/>
    <n v="4.4000000000000004"/>
    <s v="Email/Calendar"/>
    <s v="Mailbox Full"/>
    <x v="1"/>
    <n v="120"/>
    <x v="1"/>
    <s v="Portal"/>
    <s v="Tier 1"/>
    <s v="TECH-14"/>
    <s v="Senior"/>
    <x v="0"/>
    <s v="No"/>
    <n v="1"/>
    <s v="No"/>
    <n v="6"/>
    <n v="2.1"/>
    <n v="26.9"/>
    <s v="Yes"/>
    <s v="Good"/>
    <s v="No"/>
    <s v="IT"/>
    <s v="Friday"/>
    <s v="Afternoon"/>
  </r>
  <r>
    <x v="1019"/>
    <s v="2024-06-07 21:48:29"/>
    <x v="10"/>
    <s v="2024-06-27 08:48:29"/>
    <n v="467"/>
    <n v="19.5"/>
    <s v="Access Requests"/>
    <s v="Application Access"/>
    <x v="0"/>
    <n v="240"/>
    <x v="0"/>
    <s v="Email"/>
    <s v="Tier 1"/>
    <s v="TECH-9"/>
    <s v="Mid-level"/>
    <x v="0"/>
    <s v="No"/>
    <n v="1"/>
    <s v="No"/>
    <n v="4"/>
    <n v="1.3"/>
    <n v="5.5"/>
    <s v="Yes"/>
    <s v="Good"/>
    <s v="Yes"/>
    <s v="Sales"/>
    <s v="Wednesday"/>
    <s v="Afternoon"/>
  </r>
  <r>
    <x v="1020"/>
    <s v="2024-11-04 00:40:14"/>
    <x v="7"/>
    <s v="2024-11-14 04:22:14"/>
    <n v="219.7"/>
    <n v="9.1999999999999993"/>
    <s v="Access Requests"/>
    <s v="VPN Access"/>
    <x v="0"/>
    <n v="240"/>
    <x v="1"/>
    <s v="Phone"/>
    <s v="Tier 1"/>
    <s v="TECH-14"/>
    <s v="Junior"/>
    <x v="1"/>
    <s v="No"/>
    <n v="0"/>
    <s v="No"/>
    <n v="6"/>
    <n v="5.7"/>
    <n v="21.7"/>
    <s v="Yes"/>
    <s v="Excellent"/>
    <s v="No"/>
    <s v="Finance"/>
    <s v="Thursday"/>
    <s v="Evening"/>
  </r>
  <r>
    <x v="1021"/>
    <s v="2024-06-16 18:45:24"/>
    <x v="10"/>
    <s v="2024-06-28 07:39:24"/>
    <n v="276.89999999999998"/>
    <n v="11.5"/>
    <s v="Other"/>
    <s v="Miscellaneous"/>
    <x v="2"/>
    <n v="360"/>
    <x v="1"/>
    <s v="Phone"/>
    <s v="Tier 1"/>
    <s v="TECH-3"/>
    <s v="Junior"/>
    <x v="0"/>
    <s v="No"/>
    <n v="1"/>
    <s v="No"/>
    <n v="9"/>
    <n v="2.2999999999999998"/>
    <n v="30.2"/>
    <s v="Yes"/>
    <s v="Fair"/>
    <s v="Yes"/>
    <s v="Executive"/>
    <s v="Friday"/>
    <s v="Evening"/>
  </r>
  <r>
    <x v="1022"/>
    <s v="2024-01-10 09:06:43"/>
    <x v="3"/>
    <s v="2024-01-20 21:18:43"/>
    <n v="252.2"/>
    <n v="10.5"/>
    <s v="Software Installation"/>
    <s v="Adobe Suite"/>
    <x v="0"/>
    <n v="240"/>
    <x v="0"/>
    <s v="Phone"/>
    <s v="Tier 1"/>
    <s v="TECH-10"/>
    <s v="Mid-level"/>
    <x v="0"/>
    <s v="No"/>
    <n v="1"/>
    <s v="Yes"/>
    <n v="5"/>
    <n v="1.7"/>
    <n v="42.2"/>
    <s v="No"/>
    <s v="Poor"/>
    <s v="No"/>
    <s v="Marketing"/>
    <s v="Tuesday"/>
    <s v="Morning"/>
  </r>
  <r>
    <x v="1023"/>
    <s v="2024-02-23 01:11:38"/>
    <x v="6"/>
    <s v="2024-03-03 01:29:38"/>
    <n v="216.3"/>
    <n v="9"/>
    <s v="Email/Calendar"/>
    <s v="Mailbox Full"/>
    <x v="0"/>
    <n v="240"/>
    <x v="1"/>
    <s v="Phone"/>
    <s v="Tier 1"/>
    <s v="TECH-18"/>
    <s v="Senior"/>
    <x v="1"/>
    <s v="No"/>
    <n v="0"/>
    <s v="No"/>
    <n v="10"/>
    <n v="0.1"/>
    <n v="2"/>
    <s v="Yes"/>
    <s v="Good"/>
    <s v="No"/>
    <s v="IT"/>
    <s v="Thursday"/>
    <s v="Afternoon"/>
  </r>
  <r>
    <x v="1024"/>
    <s v="2024-02-28 05:24:14"/>
    <x v="6"/>
    <s v="2024-03-07 16:24:14"/>
    <n v="203"/>
    <n v="8.5"/>
    <s v="Application Errors"/>
    <s v="Crash"/>
    <x v="1"/>
    <n v="120"/>
    <x v="0"/>
    <s v="Portal"/>
    <s v="Tier 2"/>
    <s v="TECH-13"/>
    <s v="Mid-level"/>
    <x v="0"/>
    <s v="Yes"/>
    <n v="1"/>
    <s v="No"/>
    <n v="7"/>
    <n v="1.2"/>
    <n v="4.0999999999999996"/>
    <s v="Yes"/>
    <s v="Good"/>
    <s v="Yes"/>
    <s v="HR"/>
    <s v="Friday"/>
    <s v="Morning"/>
  </r>
  <r>
    <x v="1025"/>
    <s v="2024-07-01 06:16:57"/>
    <x v="4"/>
    <s v="2024-07-10 10:22:57"/>
    <n v="220.1"/>
    <n v="9.1999999999999993"/>
    <s v="Email/Calendar"/>
    <s v="Calendar Sync"/>
    <x v="2"/>
    <n v="360"/>
    <x v="1"/>
    <s v="Phone"/>
    <s v="Tier 1"/>
    <s v="TECH-12"/>
    <s v="Mid-level"/>
    <x v="0"/>
    <s v="No"/>
    <n v="1"/>
    <s v="No"/>
    <n v="8"/>
    <n v="2.6"/>
    <n v="35.700000000000003"/>
    <s v="Yes"/>
    <s v="Good"/>
    <s v="Yes"/>
    <s v="IT"/>
    <s v="Tuesday"/>
    <s v="Afternoon"/>
  </r>
  <r>
    <x v="1026"/>
    <s v="2024-05-07 00:21:26"/>
    <x v="8"/>
    <s v="2024-05-12 05:33:26"/>
    <n v="101.2"/>
    <n v="4.2"/>
    <s v="Application Errors"/>
    <s v="Crash"/>
    <x v="1"/>
    <n v="120"/>
    <x v="1"/>
    <s v="Walk-in"/>
    <s v="Tier 2"/>
    <s v="TECH-20"/>
    <s v="Senior"/>
    <x v="0"/>
    <s v="Yes"/>
    <n v="1"/>
    <s v="No"/>
    <n v="10"/>
    <n v="3.9"/>
    <n v="44.2"/>
    <s v="Yes"/>
    <s v="Poor"/>
    <s v="No"/>
    <s v="Finance"/>
    <s v="Friday"/>
    <s v="Morning"/>
  </r>
  <r>
    <x v="1027"/>
    <s v="2024-08-08 08:55:06"/>
    <x v="1"/>
    <s v="2024-08-15 05:43:06"/>
    <n v="164.8"/>
    <n v="6.9"/>
    <s v="Email/Calendar"/>
    <s v="Cannot Send/Receive"/>
    <x v="0"/>
    <n v="240"/>
    <x v="1"/>
    <s v="Phone"/>
    <s v="Tier 1"/>
    <s v="TECH-15"/>
    <s v="Mid-level"/>
    <x v="1"/>
    <s v="No"/>
    <n v="0"/>
    <s v="Yes"/>
    <n v="9"/>
    <n v="0.1"/>
    <n v="8.1999999999999993"/>
    <s v="Yes"/>
    <s v="Fair"/>
    <s v="No"/>
    <s v="Executive"/>
    <s v="Monday"/>
    <s v="Morning"/>
  </r>
  <r>
    <x v="1028"/>
    <s v="2024-02-20 00:02:05"/>
    <x v="6"/>
    <s v="2024-02-29 09:14:05"/>
    <n v="201.2"/>
    <n v="8.4"/>
    <s v="Password Reset"/>
    <s v="Windows Password"/>
    <x v="0"/>
    <n v="240"/>
    <x v="1"/>
    <s v="Email"/>
    <s v="Tier 1"/>
    <s v="TECH-18"/>
    <s v="Senior"/>
    <x v="1"/>
    <s v="No"/>
    <n v="0"/>
    <s v="No"/>
    <n v="9"/>
    <n v="2.1"/>
    <n v="0.2"/>
    <s v="No"/>
    <s v="Fair"/>
    <s v="Yes"/>
    <s v="Sales"/>
    <s v="Tuesday"/>
    <s v="Afternoon"/>
  </r>
  <r>
    <x v="1029"/>
    <s v="2024-09-18 21:16:35"/>
    <x v="9"/>
    <s v="2024-09-23 07:46:35"/>
    <n v="106.5"/>
    <n v="4.4000000000000004"/>
    <s v="Hardware Issues"/>
    <s v="Printer"/>
    <x v="1"/>
    <n v="120"/>
    <x v="1"/>
    <s v="Email"/>
    <s v="Tier 2"/>
    <s v="TECH-14"/>
    <s v="Senior"/>
    <x v="0"/>
    <s v="Yes"/>
    <n v="2"/>
    <s v="No"/>
    <n v="10"/>
    <n v="2.9"/>
    <n v="16.2"/>
    <s v="No"/>
    <s v="Fair"/>
    <s v="Yes"/>
    <s v="IT"/>
    <s v="Monday"/>
    <s v="Morning"/>
  </r>
  <r>
    <x v="1030"/>
    <s v="2024-12-19 10:31:38"/>
    <x v="0"/>
    <s v="2024-12-30 16:31:38"/>
    <n v="270"/>
    <n v="11.3"/>
    <s v="Access Requests"/>
    <s v="VPN Access"/>
    <x v="0"/>
    <n v="240"/>
    <x v="0"/>
    <s v="Phone"/>
    <s v="Tier 1"/>
    <s v="TECH-9"/>
    <s v="Junior"/>
    <x v="1"/>
    <s v="No"/>
    <n v="0"/>
    <s v="No"/>
    <n v="5"/>
    <n v="1.1000000000000001"/>
    <n v="4.7"/>
    <s v="Yes"/>
    <s v="Excellent"/>
    <s v="No"/>
    <s v="Executive"/>
    <s v="Thursday"/>
    <s v="Morning"/>
  </r>
  <r>
    <x v="1031"/>
    <s v="2024-04-22 09:41:39"/>
    <x v="11"/>
    <s v="2024-05-01 17:41:39"/>
    <n v="224"/>
    <n v="9.3000000000000007"/>
    <s v="Application Errors"/>
    <s v="Features Not Working"/>
    <x v="0"/>
    <n v="240"/>
    <x v="1"/>
    <s v="Phone"/>
    <s v="Tier 1"/>
    <s v="TECH-15"/>
    <s v="Junior"/>
    <x v="0"/>
    <s v="No"/>
    <n v="1"/>
    <s v="No"/>
    <n v="7"/>
    <n v="4.8"/>
    <n v="0"/>
    <s v="Yes"/>
    <s v="Good"/>
    <s v="Yes"/>
    <s v="Marketing"/>
    <s v="Tuesday"/>
    <s v="Evening"/>
  </r>
  <r>
    <x v="1032"/>
    <s v="2024-03-16 08:28:36"/>
    <x v="5"/>
    <s v="2024-03-25 10:40:36"/>
    <n v="218.2"/>
    <n v="9.1"/>
    <s v="Application Errors"/>
    <s v="Features Not Working"/>
    <x v="0"/>
    <n v="240"/>
    <x v="1"/>
    <s v="Portal"/>
    <s v="Tier 2"/>
    <s v="TECH-9"/>
    <s v="Junior"/>
    <x v="0"/>
    <s v="Yes"/>
    <n v="3"/>
    <s v="Yes"/>
    <n v="9"/>
    <n v="0.8"/>
    <n v="14.9"/>
    <s v="Yes"/>
    <s v="Poor"/>
    <s v="Yes"/>
    <s v="HR"/>
    <s v="Friday"/>
    <s v="Afternoon"/>
  </r>
  <r>
    <x v="1033"/>
    <s v="2024-01-26 06:41:37"/>
    <x v="3"/>
    <s v="2024-01-30 02:47:37"/>
    <n v="92.1"/>
    <n v="3.8"/>
    <s v="Hardware Issues"/>
    <s v="Monitor"/>
    <x v="1"/>
    <n v="120"/>
    <x v="1"/>
    <s v="Walk-in"/>
    <s v="Tier 1"/>
    <s v="TECH-1"/>
    <s v="Mid-level"/>
    <x v="1"/>
    <s v="No"/>
    <n v="0"/>
    <s v="No"/>
    <n v="9"/>
    <n v="1.6"/>
    <n v="12.6"/>
    <s v="Yes"/>
    <s v="Poor"/>
    <s v="No"/>
    <s v="Operations"/>
    <s v="Monday"/>
    <s v="Morning"/>
  </r>
  <r>
    <x v="1034"/>
    <s v="2024-01-10 05:29:00"/>
    <x v="3"/>
    <s v="2024-01-24 08:41:00"/>
    <n v="339.2"/>
    <n v="14.1"/>
    <s v="Hardware Issues"/>
    <s v="Laptop"/>
    <x v="0"/>
    <n v="240"/>
    <x v="0"/>
    <s v="Phone"/>
    <s v="Tier 2"/>
    <s v="TECH-15"/>
    <s v="Senior"/>
    <x v="0"/>
    <s v="Yes"/>
    <n v="1"/>
    <s v="Yes"/>
    <n v="6"/>
    <n v="1.5"/>
    <n v="6.2"/>
    <s v="No"/>
    <s v="Fair"/>
    <s v="No"/>
    <s v="IT"/>
    <s v="Tuesday"/>
    <s v="Morning"/>
  </r>
  <r>
    <x v="1035"/>
    <s v="2024-11-06 16:13:00"/>
    <x v="7"/>
    <s v="2024-11-17 18:25:00"/>
    <n v="266.2"/>
    <n v="11.1"/>
    <s v="Password Reset"/>
    <s v="Windows Password"/>
    <x v="2"/>
    <n v="360"/>
    <x v="1"/>
    <s v="Walk-in"/>
    <s v="Tier 1"/>
    <s v="TECH-24"/>
    <s v="Junior"/>
    <x v="1"/>
    <s v="No"/>
    <n v="0"/>
    <s v="No"/>
    <n v="8"/>
    <n v="1.5"/>
    <n v="15.2"/>
    <s v="Yes"/>
    <s v="Fair"/>
    <s v="Yes"/>
    <s v="Finance"/>
    <s v="Monday"/>
    <s v="Afternoon"/>
  </r>
  <r>
    <x v="1036"/>
    <s v="2024-05-20 11:49:41"/>
    <x v="8"/>
    <s v="2024-06-28 03:19:41"/>
    <n v="927.5"/>
    <n v="38.6"/>
    <s v="Other"/>
    <s v="General Inquiry"/>
    <x v="2"/>
    <n v="360"/>
    <x v="0"/>
    <s v="Email"/>
    <s v="Tier 2"/>
    <s v="TECH-22"/>
    <s v="Mid-level"/>
    <x v="0"/>
    <s v="Yes"/>
    <n v="3"/>
    <s v="No"/>
    <n v="7"/>
    <n v="4.7"/>
    <n v="4.7"/>
    <s v="No"/>
    <s v="Fair"/>
    <s v="No"/>
    <s v="Executive"/>
    <s v="Friday"/>
    <s v="Afternoon"/>
  </r>
  <r>
    <x v="1037"/>
    <s v="2024-04-11 19:54:57"/>
    <x v="11"/>
    <s v="2024-04-17 01:36:57"/>
    <n v="149.69999999999999"/>
    <n v="6.2"/>
    <s v="Software Installation"/>
    <s v="Business Apps"/>
    <x v="0"/>
    <n v="240"/>
    <x v="1"/>
    <s v="Email"/>
    <s v="Tier 1"/>
    <s v="TECH-22"/>
    <s v="Senior"/>
    <x v="0"/>
    <s v="No"/>
    <n v="1"/>
    <s v="No"/>
    <n v="8"/>
    <n v="2.5"/>
    <n v="29"/>
    <s v="No"/>
    <s v="Fair"/>
    <s v="Yes"/>
    <s v="HR"/>
    <s v="Wednesday"/>
    <s v="Morning"/>
  </r>
  <r>
    <x v="1038"/>
    <s v="2024-05-30 03:36:21"/>
    <x v="8"/>
    <s v="2024-07-09 16:48:21"/>
    <n v="973.2"/>
    <n v="40.6"/>
    <s v="Email/Calendar"/>
    <s v="Mailbox Full"/>
    <x v="2"/>
    <n v="360"/>
    <x v="0"/>
    <s v="Phone"/>
    <s v="Tier 2"/>
    <s v="TECH-23"/>
    <s v="Mid-level"/>
    <x v="0"/>
    <s v="Yes"/>
    <n v="2"/>
    <s v="No"/>
    <n v="6"/>
    <n v="4.5"/>
    <n v="23.2"/>
    <s v="Yes"/>
    <s v="Good"/>
    <s v="No"/>
    <s v="Executive"/>
    <s v="Tuesday"/>
    <s v="Morning"/>
  </r>
  <r>
    <x v="1039"/>
    <s v="2024-04-25 15:24:33"/>
    <x v="11"/>
    <s v="2024-04-28 02:24:33"/>
    <n v="83"/>
    <n v="3.5"/>
    <s v="Password Reset"/>
    <s v="Account Unlock"/>
    <x v="1"/>
    <n v="120"/>
    <x v="1"/>
    <s v="Phone"/>
    <s v="Tier 1"/>
    <s v="TECH-16"/>
    <s v="Mid-level"/>
    <x v="0"/>
    <s v="No"/>
    <n v="1"/>
    <s v="No"/>
    <n v="9"/>
    <n v="2.8"/>
    <n v="13.5"/>
    <s v="Yes"/>
    <s v="Good"/>
    <s v="No"/>
    <s v="Executive"/>
    <s v="Thursday"/>
    <s v="Morning"/>
  </r>
  <r>
    <x v="1040"/>
    <s v="2024-02-07 12:20:12"/>
    <x v="6"/>
    <s v="2024-02-16 15:50:12"/>
    <n v="219.5"/>
    <n v="9.1"/>
    <s v="Email/Calendar"/>
    <s v="Cannot Send/Receive"/>
    <x v="0"/>
    <n v="240"/>
    <x v="1"/>
    <s v="Walk-in"/>
    <s v="Tier 1"/>
    <s v="TECH-24"/>
    <s v="Junior"/>
    <x v="1"/>
    <s v="No"/>
    <n v="0"/>
    <s v="No"/>
    <n v="8"/>
    <n v="2.4"/>
    <n v="2.6"/>
    <s v="Yes"/>
    <s v="Fair"/>
    <s v="Yes"/>
    <s v="Sales"/>
    <s v="Friday"/>
    <s v="Evening"/>
  </r>
  <r>
    <x v="1041"/>
    <s v="2024-12-02 17:47:22"/>
    <x v="0"/>
    <s v="2024-12-15 02:17:22"/>
    <n v="296.5"/>
    <n v="12.4"/>
    <s v="Password Reset"/>
    <s v="Account Unlock"/>
    <x v="2"/>
    <n v="360"/>
    <x v="1"/>
    <s v="Phone"/>
    <s v="Tier 1"/>
    <s v="TECH-12"/>
    <s v="Senior"/>
    <x v="0"/>
    <s v="No"/>
    <n v="1"/>
    <s v="No"/>
    <n v="10"/>
    <n v="0.4"/>
    <n v="8.1"/>
    <s v="Yes"/>
    <s v="Poor"/>
    <s v="Yes"/>
    <s v="Executive"/>
    <s v="Monday"/>
    <s v="Afternoon"/>
  </r>
  <r>
    <x v="1042"/>
    <s v="2024-02-17 16:43:23"/>
    <x v="6"/>
    <s v="2024-02-28 15:25:23"/>
    <n v="262.7"/>
    <n v="10.9"/>
    <s v="Other"/>
    <s v="Miscellaneous"/>
    <x v="0"/>
    <n v="240"/>
    <x v="0"/>
    <s v="Portal"/>
    <s v="Tier 1"/>
    <s v="TECH-19"/>
    <s v="Mid-level"/>
    <x v="0"/>
    <s v="No"/>
    <n v="1"/>
    <s v="Yes"/>
    <n v="7"/>
    <n v="3.6"/>
    <n v="14.1"/>
    <s v="Yes"/>
    <s v="Fair"/>
    <s v="Yes"/>
    <s v="Finance"/>
    <s v="Monday"/>
    <s v="Morning"/>
  </r>
  <r>
    <x v="1043"/>
    <s v="2024-11-11 14:29:43"/>
    <x v="7"/>
    <s v="2024-11-12 20:23:43"/>
    <n v="29.9"/>
    <n v="1.2"/>
    <s v="Network Connectivity"/>
    <s v="Ethernet"/>
    <x v="3"/>
    <n v="48"/>
    <x v="1"/>
    <s v="Phone"/>
    <s v="Tier 1"/>
    <s v="TECH-1"/>
    <s v="Junior"/>
    <x v="0"/>
    <s v="No"/>
    <n v="1"/>
    <s v="No"/>
    <n v="10"/>
    <n v="3.8"/>
    <n v="9.1999999999999993"/>
    <s v="Yes"/>
    <s v="Good"/>
    <s v="No"/>
    <s v="Sales"/>
    <s v="Friday"/>
    <s v="Morning"/>
  </r>
  <r>
    <x v="1044"/>
    <s v="2024-06-23 14:44:13"/>
    <x v="10"/>
    <s v="2024-07-07 04:32:13"/>
    <n v="325.8"/>
    <n v="13.6"/>
    <s v="Network Connectivity"/>
    <s v="VPN Connection"/>
    <x v="1"/>
    <n v="120"/>
    <x v="0"/>
    <s v="Portal"/>
    <s v="Tier 1"/>
    <s v="TECH-17"/>
    <s v="Senior"/>
    <x v="0"/>
    <s v="No"/>
    <n v="1"/>
    <s v="No"/>
    <n v="4"/>
    <n v="3.4"/>
    <n v="18.600000000000001"/>
    <s v="Yes"/>
    <s v="Excellent"/>
    <s v="No"/>
    <s v="HR"/>
    <s v="Monday"/>
    <s v="Morning"/>
  </r>
  <r>
    <x v="1045"/>
    <s v="2024-05-25 04:09:15"/>
    <x v="8"/>
    <s v="2024-06-04 04:45:15"/>
    <n v="240.6"/>
    <n v="10"/>
    <s v="Password Reset"/>
    <s v="Application Password"/>
    <x v="2"/>
    <n v="360"/>
    <x v="1"/>
    <s v="Email"/>
    <s v="Tier 1"/>
    <s v="TECH-13"/>
    <s v="Mid-level"/>
    <x v="0"/>
    <s v="No"/>
    <n v="1"/>
    <s v="No"/>
    <n v="8"/>
    <n v="3.5"/>
    <n v="49.9"/>
    <s v="Yes"/>
    <s v="Good"/>
    <s v="No"/>
    <s v="Legal"/>
    <s v="Wednesday"/>
    <s v="Evening"/>
  </r>
  <r>
    <x v="1046"/>
    <s v="2024-09-12 14:58:02"/>
    <x v="9"/>
    <s v="2024-09-21 23:34:02"/>
    <n v="224.6"/>
    <n v="9.4"/>
    <s v="Access Requests"/>
    <s v="Application Access"/>
    <x v="0"/>
    <n v="240"/>
    <x v="1"/>
    <s v="Portal"/>
    <s v="Tier 1"/>
    <s v="TECH-17"/>
    <s v="Senior"/>
    <x v="1"/>
    <s v="No"/>
    <n v="0"/>
    <s v="No"/>
    <n v="10"/>
    <n v="0.1"/>
    <n v="16.399999999999999"/>
    <s v="No"/>
    <s v="Poor"/>
    <s v="Yes"/>
    <s v="Operations"/>
    <s v="Thursday"/>
    <s v="Morning"/>
  </r>
  <r>
    <x v="1047"/>
    <s v="2024-08-26 03:51:23"/>
    <x v="1"/>
    <s v="2024-09-16 00:57:23"/>
    <n v="525.1"/>
    <n v="21.9"/>
    <s v="Access Requests"/>
    <s v="File Share"/>
    <x v="0"/>
    <n v="240"/>
    <x v="0"/>
    <s v="Phone"/>
    <s v="Tier 1"/>
    <s v="TECH-5"/>
    <s v="Mid-level"/>
    <x v="0"/>
    <s v="No"/>
    <n v="1"/>
    <s v="No"/>
    <n v="4"/>
    <n v="2"/>
    <n v="1.2"/>
    <s v="Yes"/>
    <s v="Fair"/>
    <s v="Yes"/>
    <s v="Legal"/>
    <s v="Friday"/>
    <s v="Afternoon"/>
  </r>
  <r>
    <x v="1048"/>
    <s v="2024-10-25 22:41:27"/>
    <x v="2"/>
    <s v="2024-11-07 22:41:27"/>
    <n v="313"/>
    <n v="13"/>
    <s v="Password Reset"/>
    <s v="Application Password"/>
    <x v="2"/>
    <n v="360"/>
    <x v="1"/>
    <s v="Portal"/>
    <s v="Tier 1"/>
    <s v="TECH-8"/>
    <s v="Mid-level"/>
    <x v="1"/>
    <s v="No"/>
    <n v="0"/>
    <s v="No"/>
    <n v="10"/>
    <n v="2.2000000000000002"/>
    <n v="22.3"/>
    <s v="Yes"/>
    <s v="Fair"/>
    <s v="Yes"/>
    <s v="Legal"/>
    <s v="Wednesday"/>
    <s v="Morning"/>
  </r>
  <r>
    <x v="1049"/>
    <s v="2024-10-06 03:35:56"/>
    <x v="2"/>
    <s v="2024-10-17 22:05:56"/>
    <n v="282.5"/>
    <n v="11.8"/>
    <s v="Password Reset"/>
    <s v="Email Password"/>
    <x v="2"/>
    <n v="360"/>
    <x v="1"/>
    <s v="Walk-in"/>
    <s v="Tier 1"/>
    <s v="TECH-10"/>
    <s v="Mid-level"/>
    <x v="0"/>
    <s v="No"/>
    <n v="1"/>
    <s v="No"/>
    <n v="7"/>
    <n v="0.8"/>
    <n v="0"/>
    <s v="Yes"/>
    <s v="Excellent"/>
    <s v="Yes"/>
    <s v="Marketing"/>
    <s v="Friday"/>
    <s v="Evening"/>
  </r>
  <r>
    <x v="1050"/>
    <s v="2024-12-01 20:21:34"/>
    <x v="0"/>
    <s v="2024-12-11 07:03:34"/>
    <n v="226.7"/>
    <n v="9.4"/>
    <s v="Software Installation"/>
    <s v="Adobe Suite"/>
    <x v="0"/>
    <n v="240"/>
    <x v="1"/>
    <s v="Email"/>
    <s v="Tier 2"/>
    <s v="TECH-16"/>
    <s v="Junior"/>
    <x v="0"/>
    <s v="Yes"/>
    <n v="3"/>
    <s v="Yes"/>
    <n v="7"/>
    <n v="3.1"/>
    <n v="21"/>
    <s v="Yes"/>
    <s v="Excellent"/>
    <s v="Yes"/>
    <s v="IT"/>
    <s v="Thursday"/>
    <s v="Afternoon"/>
  </r>
  <r>
    <x v="1051"/>
    <s v="2024-11-09 22:01:15"/>
    <x v="7"/>
    <s v="2024-11-16 23:13:15"/>
    <n v="169.2"/>
    <n v="7.1"/>
    <s v="Hardware Issues"/>
    <s v="Printer"/>
    <x v="1"/>
    <n v="120"/>
    <x v="0"/>
    <s v="Phone"/>
    <s v="Tier 1"/>
    <s v="TECH-18"/>
    <s v="Junior"/>
    <x v="0"/>
    <s v="No"/>
    <n v="1"/>
    <s v="No"/>
    <n v="4"/>
    <n v="3.8"/>
    <n v="18.3"/>
    <s v="No"/>
    <s v="Excellent"/>
    <s v="No"/>
    <s v="HR"/>
    <s v="Wednesday"/>
    <s v="Morning"/>
  </r>
  <r>
    <x v="1052"/>
    <s v="2024-09-17 01:20:48"/>
    <x v="9"/>
    <s v="2024-09-29 14:38:48"/>
    <n v="277.3"/>
    <n v="11.6"/>
    <s v="Software Installation"/>
    <s v="Business Apps"/>
    <x v="0"/>
    <n v="240"/>
    <x v="0"/>
    <s v="Email"/>
    <s v="Tier 1"/>
    <s v="TECH-8"/>
    <s v="Mid-level"/>
    <x v="0"/>
    <s v="No"/>
    <n v="1"/>
    <s v="No"/>
    <n v="6"/>
    <n v="2.6"/>
    <n v="14.8"/>
    <s v="Yes"/>
    <s v="Fair"/>
    <s v="Yes"/>
    <s v="Operations"/>
    <s v="Thursday"/>
    <s v="Morning"/>
  </r>
  <r>
    <x v="1053"/>
    <s v="2024-10-16 17:29:20"/>
    <x v="2"/>
    <s v="2024-10-29 03:23:20"/>
    <n v="298.89999999999998"/>
    <n v="12.5"/>
    <s v="Software Installation"/>
    <s v="Business Apps"/>
    <x v="2"/>
    <n v="360"/>
    <x v="1"/>
    <s v="Phone"/>
    <s v="Tier 1"/>
    <s v="TECH-2"/>
    <s v="Junior"/>
    <x v="0"/>
    <s v="No"/>
    <n v="1"/>
    <s v="No"/>
    <n v="10"/>
    <n v="2.1"/>
    <n v="27.4"/>
    <s v="Yes"/>
    <s v="Fair"/>
    <s v="Yes"/>
    <s v="Executive"/>
    <s v="Monday"/>
    <s v="Morning"/>
  </r>
  <r>
    <x v="1054"/>
    <s v="2024-08-09 02:34:48"/>
    <x v="1"/>
    <s v="2024-08-13 12:16:48"/>
    <n v="81.7"/>
    <n v="3.4"/>
    <s v="Application Errors"/>
    <s v="Performance"/>
    <x v="1"/>
    <n v="120"/>
    <x v="1"/>
    <s v="Phone"/>
    <s v="Tier 2"/>
    <s v="TECH-5"/>
    <s v="Mid-level"/>
    <x v="0"/>
    <s v="Yes"/>
    <n v="1"/>
    <s v="No"/>
    <n v="8"/>
    <n v="2.2999999999999998"/>
    <n v="10.9"/>
    <s v="Yes"/>
    <s v="Good"/>
    <s v="Yes"/>
    <s v="Operations"/>
    <s v="Friday"/>
    <s v="Afternoon"/>
  </r>
  <r>
    <x v="1055"/>
    <s v="2024-09-13 20:20:40"/>
    <x v="9"/>
    <s v="2024-10-03 08:26:40"/>
    <n v="468.1"/>
    <n v="19.5"/>
    <s v="Software Installation"/>
    <s v="Drivers"/>
    <x v="0"/>
    <n v="240"/>
    <x v="0"/>
    <s v="Portal"/>
    <s v="Tier 1"/>
    <s v="TECH-13"/>
    <s v="Junior"/>
    <x v="1"/>
    <s v="No"/>
    <n v="0"/>
    <s v="No"/>
    <n v="5"/>
    <n v="1.7"/>
    <n v="9.3000000000000007"/>
    <s v="Yes"/>
    <s v="Good"/>
    <s v="Yes"/>
    <s v="Marketing"/>
    <s v="Friday"/>
    <s v="Afternoon"/>
  </r>
  <r>
    <x v="1056"/>
    <s v="2024-11-21 10:35:14"/>
    <x v="7"/>
    <s v="2024-11-30 17:35:14"/>
    <n v="223"/>
    <n v="9.3000000000000007"/>
    <s v="Hardware Issues"/>
    <s v="Laptop"/>
    <x v="0"/>
    <n v="240"/>
    <x v="1"/>
    <s v="Portal"/>
    <s v="Tier 2"/>
    <s v="TECH-5"/>
    <s v="Senior"/>
    <x v="0"/>
    <s v="Yes"/>
    <n v="4"/>
    <s v="Yes"/>
    <n v="9"/>
    <n v="2.9"/>
    <n v="19.2"/>
    <s v="Yes"/>
    <s v="Fair"/>
    <s v="No"/>
    <s v="Operations"/>
    <s v="Tuesday"/>
    <s v="Morning"/>
  </r>
  <r>
    <x v="1057"/>
    <s v="2024-05-24 16:31:29"/>
    <x v="8"/>
    <s v="2024-06-04 12:25:29"/>
    <n v="259.89999999999998"/>
    <n v="10.8"/>
    <s v="Password Reset"/>
    <s v="Windows Password"/>
    <x v="2"/>
    <n v="360"/>
    <x v="1"/>
    <s v="Phone"/>
    <s v="Tier 1"/>
    <s v="TECH-8"/>
    <s v="Senior"/>
    <x v="1"/>
    <s v="No"/>
    <n v="0"/>
    <s v="No"/>
    <n v="10"/>
    <n v="2.4"/>
    <n v="6.1"/>
    <s v="Yes"/>
    <s v="Good"/>
    <s v="No"/>
    <s v="Operations"/>
    <s v="Thursday"/>
    <s v="Morning"/>
  </r>
  <r>
    <x v="1058"/>
    <s v="2024-06-24 13:56:26"/>
    <x v="10"/>
    <s v="2024-07-01 14:08:26"/>
    <n v="168.2"/>
    <n v="7"/>
    <s v="Application Errors"/>
    <s v="Crash"/>
    <x v="0"/>
    <n v="240"/>
    <x v="1"/>
    <s v="Phone"/>
    <s v="Tier 1"/>
    <s v="TECH-1"/>
    <s v="Mid-level"/>
    <x v="0"/>
    <s v="No"/>
    <n v="1"/>
    <s v="No"/>
    <n v="8"/>
    <n v="2.5"/>
    <n v="36.1"/>
    <s v="Yes"/>
    <s v="Fair"/>
    <s v="Yes"/>
    <s v="Legal"/>
    <s v="Friday"/>
    <s v="Evening"/>
  </r>
  <r>
    <x v="1059"/>
    <s v="2024-01-06 11:37:44"/>
    <x v="3"/>
    <s v="2024-01-12 00:37:44"/>
    <n v="157"/>
    <n v="6.5"/>
    <s v="Software Installation"/>
    <s v="Business Apps"/>
    <x v="0"/>
    <n v="240"/>
    <x v="1"/>
    <s v="Portal"/>
    <s v="Tier 2"/>
    <s v="TECH-20"/>
    <s v="Junior"/>
    <x v="0"/>
    <s v="Yes"/>
    <n v="1"/>
    <s v="No"/>
    <n v="7"/>
    <n v="2.6"/>
    <n v="4.3"/>
    <s v="Yes"/>
    <s v="Fair"/>
    <s v="Yes"/>
    <s v="Executive"/>
    <s v="Thursday"/>
    <s v="Morning"/>
  </r>
  <r>
    <x v="1060"/>
    <s v="2024-02-25 16:52:15"/>
    <x v="6"/>
    <s v="2024-02-28 16:46:15"/>
    <n v="71.900000000000006"/>
    <n v="3"/>
    <s v="Software Installation"/>
    <s v="Drivers"/>
    <x v="3"/>
    <n v="48"/>
    <x v="0"/>
    <s v="Email"/>
    <s v="Tier 1"/>
    <s v="TECH-22"/>
    <s v="Mid-level"/>
    <x v="0"/>
    <s v="No"/>
    <n v="1"/>
    <s v="No"/>
    <n v="3"/>
    <n v="2.8"/>
    <n v="41.6"/>
    <s v="Yes"/>
    <s v="Poor"/>
    <s v="Yes"/>
    <s v="Finance"/>
    <s v="Wednesday"/>
    <s v="Morning"/>
  </r>
  <r>
    <x v="1061"/>
    <s v="2024-07-03 01:05:40"/>
    <x v="4"/>
    <s v="2024-07-10 03:29:40"/>
    <n v="146.4"/>
    <n v="6.1"/>
    <s v="Application Errors"/>
    <s v="Performance"/>
    <x v="0"/>
    <n v="240"/>
    <x v="1"/>
    <s v="Email"/>
    <s v="Tier 1"/>
    <s v="TECH-8"/>
    <s v="Senior"/>
    <x v="0"/>
    <s v="No"/>
    <n v="1"/>
    <s v="No"/>
    <n v="7"/>
    <n v="2.5"/>
    <n v="42.2"/>
    <s v="Yes"/>
    <s v="Good"/>
    <s v="Yes"/>
    <s v="Finance"/>
    <s v="Friday"/>
    <s v="Afternoon"/>
  </r>
  <r>
    <x v="1062"/>
    <s v="2024-03-02 09:46:34"/>
    <x v="5"/>
    <s v="2024-03-23 10:10:34"/>
    <n v="504.4"/>
    <n v="21"/>
    <s v="Software Installation"/>
    <s v="Business Apps"/>
    <x v="2"/>
    <n v="360"/>
    <x v="0"/>
    <s v="Phone"/>
    <s v="Tier 1"/>
    <s v="TECH-11"/>
    <s v="Senior"/>
    <x v="0"/>
    <s v="No"/>
    <n v="1"/>
    <s v="No"/>
    <n v="3"/>
    <n v="2.8"/>
    <n v="14"/>
    <s v="Yes"/>
    <s v="Good"/>
    <s v="Yes"/>
    <s v="Finance"/>
    <s v="Friday"/>
    <s v="Morning"/>
  </r>
  <r>
    <x v="1063"/>
    <s v="2024-08-24 19:05:12"/>
    <x v="1"/>
    <s v="2024-09-02 15:47:12"/>
    <n v="212.7"/>
    <n v="8.9"/>
    <s v="Password Reset"/>
    <s v="Email Password"/>
    <x v="0"/>
    <n v="240"/>
    <x v="1"/>
    <s v="Phone"/>
    <s v="Tier 1"/>
    <s v="TECH-17"/>
    <s v="Junior"/>
    <x v="0"/>
    <s v="No"/>
    <n v="1"/>
    <s v="No"/>
    <n v="10"/>
    <n v="1.8"/>
    <n v="44.3"/>
    <s v="Yes"/>
    <s v="Good"/>
    <s v="Yes"/>
    <s v="IT"/>
    <s v="Tuesday"/>
    <s v="Afternoon"/>
  </r>
  <r>
    <x v="1064"/>
    <s v="2024-05-11 18:25:12"/>
    <x v="8"/>
    <s v="2024-05-15 15:01:12"/>
    <n v="92.6"/>
    <n v="3.9"/>
    <s v="Network Connectivity"/>
    <s v="Slow Network"/>
    <x v="1"/>
    <n v="120"/>
    <x v="1"/>
    <s v="Phone"/>
    <s v="Tier 1"/>
    <s v="TECH-12"/>
    <s v="Junior"/>
    <x v="0"/>
    <s v="No"/>
    <n v="1"/>
    <s v="No"/>
    <n v="9"/>
    <n v="2.1"/>
    <n v="24.5"/>
    <s v="Yes"/>
    <s v="Fair"/>
    <s v="No"/>
    <s v="Operations"/>
    <s v="Friday"/>
    <s v="Afternoon"/>
  </r>
  <r>
    <x v="1065"/>
    <s v="2024-09-28 09:04:37"/>
    <x v="9"/>
    <s v="2024-10-06 05:22:37"/>
    <n v="188.3"/>
    <n v="7.8"/>
    <s v="Software Installation"/>
    <s v="Business Apps"/>
    <x v="0"/>
    <n v="240"/>
    <x v="1"/>
    <s v="Phone"/>
    <s v="Tier 1"/>
    <s v="TECH-15"/>
    <s v="Senior"/>
    <x v="0"/>
    <s v="No"/>
    <n v="1"/>
    <s v="No"/>
    <n v="7"/>
    <n v="3.6"/>
    <n v="16.100000000000001"/>
    <s v="Yes"/>
    <s v="Good"/>
    <s v="Yes"/>
    <s v="HR"/>
    <s v="Monday"/>
    <s v="Evening"/>
  </r>
  <r>
    <x v="1066"/>
    <s v="2024-01-04 16:05:50"/>
    <x v="3"/>
    <s v="2024-01-11 02:47:50"/>
    <n v="154.69999999999999"/>
    <n v="6.4"/>
    <s v="Application Errors"/>
    <s v="Features Not Working"/>
    <x v="1"/>
    <n v="120"/>
    <x v="0"/>
    <s v="Email"/>
    <s v="Tier 2"/>
    <s v="TECH-12"/>
    <s v="Mid-level"/>
    <x v="0"/>
    <s v="Yes"/>
    <n v="3"/>
    <s v="Yes"/>
    <n v="6"/>
    <n v="1.5"/>
    <n v="2.9"/>
    <s v="Yes"/>
    <s v="Fair"/>
    <s v="No"/>
    <s v="Legal"/>
    <s v="Thursday"/>
    <s v="Morning"/>
  </r>
  <r>
    <x v="1067"/>
    <s v="2024-08-05 03:44:18"/>
    <x v="1"/>
    <s v="2024-08-13 09:50:18"/>
    <n v="198.1"/>
    <n v="8.3000000000000007"/>
    <s v="Network Connectivity"/>
    <s v="WiFi Issues"/>
    <x v="0"/>
    <n v="240"/>
    <x v="1"/>
    <s v="Portal"/>
    <s v="Tier 2"/>
    <s v="TECH-22"/>
    <s v="Senior"/>
    <x v="0"/>
    <s v="Yes"/>
    <n v="4"/>
    <s v="No"/>
    <n v="10"/>
    <n v="3.8"/>
    <n v="9.6999999999999993"/>
    <s v="Yes"/>
    <s v="Fair"/>
    <s v="No"/>
    <s v="Executive"/>
    <s v="Wednesday"/>
    <s v="Afternoon"/>
  </r>
  <r>
    <x v="1068"/>
    <s v="2024-11-02 12:48:06"/>
    <x v="7"/>
    <s v="2024-11-06 22:48:06"/>
    <n v="106"/>
    <n v="4.4000000000000004"/>
    <s v="Access Requests"/>
    <s v="File Share"/>
    <x v="1"/>
    <n v="120"/>
    <x v="1"/>
    <s v="Chat"/>
    <s v="Tier 1"/>
    <s v="TECH-14"/>
    <s v="Mid-level"/>
    <x v="0"/>
    <s v="No"/>
    <n v="1"/>
    <s v="No"/>
    <n v="8"/>
    <n v="1.4"/>
    <n v="39.5"/>
    <s v="Yes"/>
    <s v="Fair"/>
    <s v="No"/>
    <s v="Operations"/>
    <s v="Thursday"/>
    <s v="Afternoon"/>
  </r>
  <r>
    <x v="1069"/>
    <s v="2024-06-01 02:35:44"/>
    <x v="10"/>
    <s v="2024-06-09 16:59:44"/>
    <n v="182.4"/>
    <n v="7.6"/>
    <s v="Software Installation"/>
    <s v="Adobe Suite"/>
    <x v="0"/>
    <n v="240"/>
    <x v="1"/>
    <s v="Portal"/>
    <s v="Tier 2"/>
    <s v="TECH-1"/>
    <s v="Senior"/>
    <x v="0"/>
    <s v="Yes"/>
    <n v="4"/>
    <s v="Yes"/>
    <n v="9"/>
    <n v="3.6"/>
    <n v="5.5"/>
    <s v="No"/>
    <s v="Excellent"/>
    <s v="Yes"/>
    <s v="Sales"/>
    <s v="Friday"/>
    <s v="Morning"/>
  </r>
  <r>
    <x v="1070"/>
    <s v="2024-06-13 21:02:18"/>
    <x v="10"/>
    <s v="2024-06-17 14:26:18"/>
    <n v="89.4"/>
    <n v="3.7"/>
    <s v="Email/Calendar"/>
    <s v="Distribution List"/>
    <x v="1"/>
    <n v="120"/>
    <x v="1"/>
    <s v="Email"/>
    <s v="Tier 1"/>
    <s v="TECH-11"/>
    <s v="Mid-level"/>
    <x v="0"/>
    <s v="No"/>
    <n v="1"/>
    <s v="No"/>
    <n v="8"/>
    <n v="5.6"/>
    <n v="27.6"/>
    <s v="No"/>
    <s v="Excellent"/>
    <s v="No"/>
    <s v="Executive"/>
    <s v="Monday"/>
    <s v="Evening"/>
  </r>
  <r>
    <x v="1071"/>
    <s v="2024-12-22 04:05:19"/>
    <x v="0"/>
    <s v="2024-12-29 15:59:19"/>
    <n v="179.9"/>
    <n v="7.5"/>
    <s v="Network Connectivity"/>
    <s v="Slow Network"/>
    <x v="1"/>
    <n v="120"/>
    <x v="0"/>
    <s v="Email"/>
    <s v="Tier 1"/>
    <s v="TECH-13"/>
    <s v="Senior"/>
    <x v="0"/>
    <s v="No"/>
    <n v="1"/>
    <s v="Yes"/>
    <n v="7"/>
    <n v="1.5"/>
    <n v="14.7"/>
    <s v="Yes"/>
    <s v="Poor"/>
    <s v="No"/>
    <s v="Operations"/>
    <s v="Thursday"/>
    <s v="Evening"/>
  </r>
  <r>
    <x v="1072"/>
    <s v="2024-05-23 21:48:56"/>
    <x v="8"/>
    <s v="2024-06-06 20:54:56"/>
    <n v="335.1"/>
    <n v="14"/>
    <s v="Application Errors"/>
    <s v="Login Issues"/>
    <x v="2"/>
    <n v="360"/>
    <x v="1"/>
    <s v="Email"/>
    <s v="Tier 1"/>
    <s v="TECH-16"/>
    <s v="Mid-level"/>
    <x v="0"/>
    <s v="No"/>
    <n v="1"/>
    <s v="No"/>
    <n v="9"/>
    <n v="1.4"/>
    <n v="28.3"/>
    <s v="No"/>
    <s v="Fair"/>
    <s v="Yes"/>
    <s v="Sales"/>
    <s v="Thursday"/>
    <s v="Afternoon"/>
  </r>
  <r>
    <x v="1073"/>
    <s v="2024-01-25 14:16:26"/>
    <x v="3"/>
    <s v="2024-02-07 14:34:26"/>
    <n v="312.3"/>
    <n v="13"/>
    <s v="Hardware Issues"/>
    <s v="Docking Station"/>
    <x v="2"/>
    <n v="360"/>
    <x v="1"/>
    <s v="Chat"/>
    <s v="Tier 2"/>
    <s v="TECH-8"/>
    <s v="Junior"/>
    <x v="0"/>
    <s v="Yes"/>
    <n v="3"/>
    <s v="No"/>
    <n v="9"/>
    <n v="5"/>
    <n v="25.7"/>
    <s v="Yes"/>
    <s v="Good"/>
    <s v="No"/>
    <s v="IT"/>
    <s v="Wednesday"/>
    <s v="Afternoon"/>
  </r>
  <r>
    <x v="1074"/>
    <s v="2024-09-11 13:27:49"/>
    <x v="9"/>
    <s v="2024-09-22 16:33:49"/>
    <n v="267.10000000000002"/>
    <n v="11.1"/>
    <s v="Password Reset"/>
    <s v="Windows Password"/>
    <x v="2"/>
    <n v="360"/>
    <x v="1"/>
    <s v="Chat"/>
    <s v="Tier 1"/>
    <s v="TECH-13"/>
    <s v="Mid-level"/>
    <x v="1"/>
    <s v="No"/>
    <n v="0"/>
    <s v="No"/>
    <n v="10"/>
    <n v="2.2999999999999998"/>
    <n v="26.2"/>
    <s v="Yes"/>
    <s v="Excellent"/>
    <s v="No"/>
    <s v="IT"/>
    <s v="Wednesday"/>
    <s v="Morning"/>
  </r>
  <r>
    <x v="1075"/>
    <s v="2024-05-25 14:09:17"/>
    <x v="8"/>
    <s v="2024-05-29 22:27:17"/>
    <n v="104.3"/>
    <n v="4.3"/>
    <s v="Hardware Issues"/>
    <s v="Laptop"/>
    <x v="1"/>
    <n v="120"/>
    <x v="1"/>
    <s v="Chat"/>
    <s v="Tier 1"/>
    <s v="TECH-15"/>
    <s v="Mid-level"/>
    <x v="0"/>
    <s v="No"/>
    <n v="1"/>
    <s v="No"/>
    <n v="6"/>
    <n v="2.5"/>
    <n v="13.7"/>
    <s v="No"/>
    <s v="Fair"/>
    <s v="Yes"/>
    <s v="Operations"/>
    <s v="Friday"/>
    <s v="Evening"/>
  </r>
  <r>
    <x v="1076"/>
    <s v="2024-07-07 21:02:28"/>
    <x v="4"/>
    <s v="2024-07-20 22:32:28"/>
    <n v="313.5"/>
    <n v="13.1"/>
    <s v="Password Reset"/>
    <s v="Windows Password"/>
    <x v="2"/>
    <n v="360"/>
    <x v="1"/>
    <s v="Phone"/>
    <s v="Tier 1"/>
    <s v="TECH-19"/>
    <s v="Junior"/>
    <x v="1"/>
    <s v="No"/>
    <n v="0"/>
    <s v="No"/>
    <n v="7"/>
    <n v="5.0999999999999996"/>
    <n v="15.2"/>
    <s v="Yes"/>
    <s v="Poor"/>
    <s v="Yes"/>
    <s v="Finance"/>
    <s v="Thursday"/>
    <s v="Afternoon"/>
  </r>
  <r>
    <x v="1077"/>
    <s v="2024-08-04 12:54:00"/>
    <x v="1"/>
    <s v="2024-08-12 20:00:00"/>
    <n v="199.1"/>
    <n v="8.3000000000000007"/>
    <s v="Software Installation"/>
    <s v="MS Office"/>
    <x v="0"/>
    <n v="240"/>
    <x v="1"/>
    <s v="Phone"/>
    <s v="Tier 2"/>
    <s v="TECH-12"/>
    <s v="Junior"/>
    <x v="0"/>
    <s v="Yes"/>
    <n v="4"/>
    <s v="No"/>
    <n v="9"/>
    <n v="1"/>
    <n v="38.5"/>
    <s v="Yes"/>
    <s v="Poor"/>
    <s v="No"/>
    <s v="HR"/>
    <s v="Tuesday"/>
    <s v="Afternoon"/>
  </r>
  <r>
    <x v="1078"/>
    <s v="2024-11-27 06:21:58"/>
    <x v="7"/>
    <s v="2024-12-05 17:57:58"/>
    <n v="203.6"/>
    <n v="8.5"/>
    <s v="Software Installation"/>
    <s v="VPN Client"/>
    <x v="0"/>
    <n v="240"/>
    <x v="1"/>
    <s v="Walk-in"/>
    <s v="Tier 1"/>
    <s v="TECH-14"/>
    <s v="Junior"/>
    <x v="0"/>
    <s v="No"/>
    <n v="1"/>
    <s v="No"/>
    <n v="9"/>
    <n v="4.0999999999999996"/>
    <n v="14.3"/>
    <s v="Yes"/>
    <s v="Good"/>
    <s v="Yes"/>
    <s v="HR"/>
    <s v="Thursday"/>
    <s v="Morning"/>
  </r>
  <r>
    <x v="1079"/>
    <s v="2024-08-21 08:12:18"/>
    <x v="1"/>
    <s v="2024-08-30 02:12:18"/>
    <n v="234"/>
    <n v="9.8000000000000007"/>
    <s v="Network Connectivity"/>
    <s v="Slow Network"/>
    <x v="1"/>
    <n v="120"/>
    <x v="0"/>
    <s v="Portal"/>
    <s v="Tier 1"/>
    <s v="TECH-8"/>
    <s v="Senior"/>
    <x v="0"/>
    <s v="No"/>
    <n v="1"/>
    <s v="No"/>
    <n v="5"/>
    <n v="4.5999999999999996"/>
    <n v="0"/>
    <s v="Yes"/>
    <s v="Fair"/>
    <s v="Yes"/>
    <s v="Sales"/>
    <s v="Friday"/>
    <s v="Afternoon"/>
  </r>
  <r>
    <x v="1080"/>
    <s v="2024-10-29 07:40:34"/>
    <x v="2"/>
    <s v="2024-11-02 12:04:34"/>
    <n v="100.4"/>
    <n v="4.2"/>
    <s v="Email/Calendar"/>
    <s v="Mailbox Full"/>
    <x v="1"/>
    <n v="120"/>
    <x v="1"/>
    <s v="Portal"/>
    <s v="Tier 1"/>
    <s v="TECH-21"/>
    <s v="Senior"/>
    <x v="1"/>
    <s v="No"/>
    <n v="0"/>
    <s v="No"/>
    <n v="10"/>
    <n v="2.8"/>
    <n v="10.5"/>
    <s v="Yes"/>
    <s v="Fair"/>
    <s v="No"/>
    <s v="Operations"/>
    <s v="Monday"/>
    <s v="Afternoon"/>
  </r>
  <r>
    <x v="1081"/>
    <s v="2024-03-27 20:10:14"/>
    <x v="5"/>
    <s v="2024-04-04 12:28:14"/>
    <n v="183.3"/>
    <n v="7.6"/>
    <s v="Software Installation"/>
    <s v="MS Office"/>
    <x v="0"/>
    <n v="240"/>
    <x v="1"/>
    <s v="Email"/>
    <s v="Tier 1"/>
    <s v="TECH-2"/>
    <s v="Mid-level"/>
    <x v="0"/>
    <s v="No"/>
    <n v="1"/>
    <s v="No"/>
    <n v="10"/>
    <n v="0.3"/>
    <n v="16.899999999999999"/>
    <s v="Yes"/>
    <s v="Good"/>
    <s v="Yes"/>
    <s v="Legal"/>
    <s v="Thursday"/>
    <s v="Morning"/>
  </r>
  <r>
    <x v="1082"/>
    <s v="2024-03-26 03:30:46"/>
    <x v="5"/>
    <s v="2024-04-04 02:36:46"/>
    <n v="238.1"/>
    <n v="9.9"/>
    <s v="Password Reset"/>
    <s v="Windows Password"/>
    <x v="2"/>
    <n v="360"/>
    <x v="1"/>
    <s v="Portal"/>
    <s v="Tier 1"/>
    <s v="TECH-11"/>
    <s v="Senior"/>
    <x v="0"/>
    <s v="No"/>
    <n v="1"/>
    <s v="Yes"/>
    <n v="7"/>
    <n v="0.6"/>
    <n v="0"/>
    <s v="Yes"/>
    <s v="Fair"/>
    <s v="No"/>
    <s v="IT"/>
    <s v="Wednesday"/>
    <s v="Morning"/>
  </r>
  <r>
    <x v="1083"/>
    <s v="2024-09-19 08:50:19"/>
    <x v="9"/>
    <s v="2024-09-26 00:38:19"/>
    <n v="183.8"/>
    <n v="7.7"/>
    <s v="Email/Calendar"/>
    <s v="Distribution List"/>
    <x v="0"/>
    <n v="240"/>
    <x v="1"/>
    <s v="Email"/>
    <s v="Tier 1"/>
    <s v="TECH-14"/>
    <s v="Mid-level"/>
    <x v="1"/>
    <s v="No"/>
    <n v="0"/>
    <s v="Yes"/>
    <n v="10"/>
    <n v="2.2999999999999998"/>
    <n v="11"/>
    <s v="Yes"/>
    <s v="Good"/>
    <s v="No"/>
    <s v="HR"/>
    <s v="Monday"/>
    <s v="Afternoon"/>
  </r>
  <r>
    <x v="1084"/>
    <s v="2024-02-12 12:01:49"/>
    <x v="6"/>
    <s v="2024-02-16 14:13:49"/>
    <n v="98.2"/>
    <n v="4.0999999999999996"/>
    <s v="Hardware Issues"/>
    <s v="Laptop"/>
    <x v="1"/>
    <n v="120"/>
    <x v="1"/>
    <s v="Email"/>
    <s v="Tier 1"/>
    <s v="TECH-1"/>
    <s v="Mid-level"/>
    <x v="0"/>
    <s v="No"/>
    <n v="1"/>
    <s v="No"/>
    <n v="4"/>
    <n v="2.2999999999999998"/>
    <n v="0"/>
    <s v="Yes"/>
    <s v="Fair"/>
    <s v="Yes"/>
    <s v="Legal"/>
    <s v="Friday"/>
    <s v="Afternoon"/>
  </r>
  <r>
    <x v="1085"/>
    <s v="2024-03-14 19:14:15"/>
    <x v="5"/>
    <s v="2024-03-19 09:44:15"/>
    <n v="110.5"/>
    <n v="4.5999999999999996"/>
    <s v="Password Reset"/>
    <s v="Account Unlock"/>
    <x v="1"/>
    <n v="120"/>
    <x v="1"/>
    <s v="Phone"/>
    <s v="Tier 1"/>
    <s v="TECH-7"/>
    <s v="Junior"/>
    <x v="1"/>
    <s v="No"/>
    <n v="0"/>
    <s v="Yes"/>
    <n v="8"/>
    <n v="2.7"/>
    <n v="14.1"/>
    <s v="No"/>
    <s v="Good"/>
    <s v="No"/>
    <s v="Marketing"/>
    <s v="Friday"/>
    <s v="Afternoon"/>
  </r>
  <r>
    <x v="1086"/>
    <s v="2024-01-08 15:50:32"/>
    <x v="3"/>
    <s v="2024-01-12 18:02:32"/>
    <n v="98.2"/>
    <n v="4.0999999999999996"/>
    <s v="Hardware Issues"/>
    <s v="Printer"/>
    <x v="1"/>
    <n v="120"/>
    <x v="1"/>
    <s v="Chat"/>
    <s v="Tier 1"/>
    <s v="TECH-10"/>
    <s v="Junior"/>
    <x v="0"/>
    <s v="No"/>
    <n v="1"/>
    <s v="No"/>
    <n v="8"/>
    <n v="4.3"/>
    <n v="35.299999999999997"/>
    <s v="Yes"/>
    <s v="Fair"/>
    <s v="Yes"/>
    <s v="IT"/>
    <s v="Monday"/>
    <s v="Evening"/>
  </r>
  <r>
    <x v="1087"/>
    <s v="2024-08-20 11:50:05"/>
    <x v="1"/>
    <s v="2024-09-02 21:38:05"/>
    <n v="321.8"/>
    <n v="13.4"/>
    <s v="Password Reset"/>
    <s v="Application Password"/>
    <x v="2"/>
    <n v="360"/>
    <x v="1"/>
    <s v="Phone"/>
    <s v="Tier 1"/>
    <s v="TECH-22"/>
    <s v="Senior"/>
    <x v="0"/>
    <s v="No"/>
    <n v="1"/>
    <s v="No"/>
    <n v="9"/>
    <n v="3"/>
    <n v="4.8"/>
    <s v="Yes"/>
    <s v="Fair"/>
    <s v="No"/>
    <s v="Marketing"/>
    <s v="Monday"/>
    <s v="Evening"/>
  </r>
  <r>
    <x v="1088"/>
    <s v="2024-09-17 15:52:28"/>
    <x v="9"/>
    <s v="2024-09-18 02:10:28"/>
    <n v="34.299999999999997"/>
    <n v="1.4"/>
    <s v="Network Connectivity"/>
    <s v="VPN Connection"/>
    <x v="3"/>
    <n v="48"/>
    <x v="1"/>
    <s v="Portal"/>
    <s v="Tier 1"/>
    <s v="TECH-24"/>
    <s v="Mid-level"/>
    <x v="0"/>
    <s v="No"/>
    <n v="1"/>
    <s v="No"/>
    <n v="8"/>
    <n v="1.1000000000000001"/>
    <n v="23.6"/>
    <s v="No"/>
    <s v="Poor"/>
    <s v="No"/>
    <s v="Executive"/>
    <s v="Tuesday"/>
    <s v="Afternoon"/>
  </r>
  <r>
    <x v="1089"/>
    <s v="2024-10-03 14:11:50"/>
    <x v="2"/>
    <s v="2024-10-11 02:11:50"/>
    <n v="204"/>
    <n v="8.5"/>
    <s v="Other"/>
    <s v="Training Request"/>
    <x v="0"/>
    <n v="240"/>
    <x v="1"/>
    <s v="Phone"/>
    <s v="Tier 2"/>
    <s v="TECH-25"/>
    <s v="Junior"/>
    <x v="0"/>
    <s v="Yes"/>
    <n v="2"/>
    <s v="No"/>
    <n v="8"/>
    <n v="2.9"/>
    <n v="14.3"/>
    <s v="Yes"/>
    <s v="Poor"/>
    <s v="No"/>
    <s v="Legal"/>
    <s v="Tuesday"/>
    <s v="Afternoon"/>
  </r>
  <r>
    <x v="1090"/>
    <s v="2024-06-04 23:43:36"/>
    <x v="10"/>
    <s v="2024-06-17 08:07:36"/>
    <n v="296.39999999999998"/>
    <n v="12.4"/>
    <s v="Password Reset"/>
    <s v="Windows Password"/>
    <x v="2"/>
    <n v="360"/>
    <x v="1"/>
    <s v="Phone"/>
    <s v="Tier 1"/>
    <s v="TECH-2"/>
    <s v="Mid-level"/>
    <x v="0"/>
    <s v="No"/>
    <n v="1"/>
    <s v="No"/>
    <n v="8"/>
    <n v="1.7"/>
    <n v="9.1"/>
    <s v="No"/>
    <s v="Good"/>
    <s v="No"/>
    <s v="Operations"/>
    <s v="Wednesday"/>
    <s v="Afternoon"/>
  </r>
  <r>
    <x v="1091"/>
    <s v="2024-10-29 22:59:39"/>
    <x v="2"/>
    <s v="2024-11-08 03:47:39"/>
    <n v="220.8"/>
    <n v="9.1999999999999993"/>
    <s v="Software Installation"/>
    <s v="VPN Client"/>
    <x v="0"/>
    <n v="240"/>
    <x v="1"/>
    <s v="Email"/>
    <s v="Tier 1"/>
    <s v="TECH-17"/>
    <s v="Junior"/>
    <x v="1"/>
    <s v="No"/>
    <n v="0"/>
    <s v="No"/>
    <n v="8"/>
    <n v="1.9"/>
    <n v="48"/>
    <s v="Yes"/>
    <s v="Fair"/>
    <s v="Yes"/>
    <s v="HR"/>
    <s v="Tuesday"/>
    <s v="Evening"/>
  </r>
  <r>
    <x v="1092"/>
    <s v="2024-02-14 18:30:33"/>
    <x v="6"/>
    <s v="2024-02-26 21:18:33"/>
    <n v="290.8"/>
    <n v="12.1"/>
    <s v="Password Reset"/>
    <s v="Email Password"/>
    <x v="2"/>
    <n v="360"/>
    <x v="1"/>
    <s v="Phone"/>
    <s v="Tier 1"/>
    <s v="TECH-3"/>
    <s v="Junior"/>
    <x v="0"/>
    <s v="No"/>
    <n v="1"/>
    <s v="No"/>
    <n v="8"/>
    <n v="3.5"/>
    <n v="27.4"/>
    <s v="Yes"/>
    <s v="Excellent"/>
    <s v="Yes"/>
    <s v="Legal"/>
    <s v="Wednesday"/>
    <s v="Morning"/>
  </r>
  <r>
    <x v="1093"/>
    <s v="2024-10-02 19:27:21"/>
    <x v="2"/>
    <s v="2024-10-16 06:39:21"/>
    <n v="323.2"/>
    <n v="13.5"/>
    <s v="Other"/>
    <s v="General Inquiry"/>
    <x v="2"/>
    <n v="360"/>
    <x v="1"/>
    <s v="Phone"/>
    <s v="Tier 1"/>
    <s v="TECH-17"/>
    <s v="Mid-level"/>
    <x v="1"/>
    <s v="No"/>
    <n v="0"/>
    <s v="No"/>
    <n v="8"/>
    <n v="2.8"/>
    <n v="30.8"/>
    <s v="No"/>
    <s v="Fair"/>
    <s v="Yes"/>
    <s v="Sales"/>
    <s v="Wednesday"/>
    <s v="Evening"/>
  </r>
  <r>
    <x v="1094"/>
    <s v="2024-11-01 11:25:38"/>
    <x v="7"/>
    <s v="2024-11-10 03:13:38"/>
    <n v="207.8"/>
    <n v="8.6999999999999993"/>
    <s v="Hardware Issues"/>
    <s v="Keyboard/Mouse"/>
    <x v="0"/>
    <n v="240"/>
    <x v="1"/>
    <s v="Phone"/>
    <s v="Tier 2"/>
    <s v="TECH-21"/>
    <s v="Senior"/>
    <x v="0"/>
    <s v="Yes"/>
    <n v="2"/>
    <s v="No"/>
    <n v="8"/>
    <n v="0.6"/>
    <n v="10.199999999999999"/>
    <s v="No"/>
    <s v="Poor"/>
    <s v="No"/>
    <s v="Finance"/>
    <s v="Friday"/>
    <s v="Morning"/>
  </r>
  <r>
    <x v="1095"/>
    <s v="2024-04-09 21:36:35"/>
    <x v="11"/>
    <s v="2024-05-05 16:06:35"/>
    <n v="618.5"/>
    <n v="25.8"/>
    <s v="Software Installation"/>
    <s v="Drivers"/>
    <x v="0"/>
    <n v="240"/>
    <x v="0"/>
    <s v="Phone"/>
    <s v="Tier 2"/>
    <s v="TECH-21"/>
    <s v="Junior"/>
    <x v="0"/>
    <s v="Yes"/>
    <n v="1"/>
    <s v="No"/>
    <n v="10"/>
    <n v="4.9000000000000004"/>
    <n v="19.8"/>
    <s v="Yes"/>
    <s v="Fair"/>
    <s v="Yes"/>
    <s v="Legal"/>
    <s v="Monday"/>
    <s v="Afternoon"/>
  </r>
  <r>
    <x v="1096"/>
    <s v="2024-05-14 22:45:06"/>
    <x v="8"/>
    <s v="2024-05-25 13:27:06"/>
    <n v="254.7"/>
    <n v="10.6"/>
    <s v="Hardware Issues"/>
    <s v="Printer"/>
    <x v="2"/>
    <n v="360"/>
    <x v="1"/>
    <s v="Email"/>
    <s v="Tier 1"/>
    <s v="TECH-17"/>
    <s v="Senior"/>
    <x v="0"/>
    <s v="No"/>
    <n v="1"/>
    <s v="No"/>
    <n v="7"/>
    <n v="3.3"/>
    <n v="9.6999999999999993"/>
    <s v="Yes"/>
    <s v="Good"/>
    <s v="No"/>
    <s v="Executive"/>
    <s v="Thursday"/>
    <s v="Afternoon"/>
  </r>
  <r>
    <x v="1097"/>
    <s v="2024-01-04 18:37:48"/>
    <x v="3"/>
    <s v="2024-01-18 20:49:48"/>
    <n v="338.2"/>
    <n v="14.1"/>
    <s v="Password Reset"/>
    <s v="Account Unlock"/>
    <x v="2"/>
    <n v="360"/>
    <x v="1"/>
    <s v="Walk-in"/>
    <s v="Tier 1"/>
    <s v="TECH-22"/>
    <s v="Senior"/>
    <x v="0"/>
    <s v="No"/>
    <n v="1"/>
    <s v="Yes"/>
    <n v="8"/>
    <n v="5"/>
    <n v="34.700000000000003"/>
    <s v="Yes"/>
    <s v="Poor"/>
    <s v="No"/>
    <s v="Sales"/>
    <s v="Tuesday"/>
    <s v="Afternoon"/>
  </r>
  <r>
    <x v="1098"/>
    <s v="2024-12-05 17:31:27"/>
    <x v="0"/>
    <s v="2024-12-18 17:49:27"/>
    <n v="312.3"/>
    <n v="13"/>
    <s v="Password Reset"/>
    <s v="Email Password"/>
    <x v="2"/>
    <n v="360"/>
    <x v="1"/>
    <s v="Phone"/>
    <s v="Tier 1"/>
    <s v="TECH-23"/>
    <s v="Mid-level"/>
    <x v="1"/>
    <s v="No"/>
    <n v="0"/>
    <s v="No"/>
    <n v="10"/>
    <n v="4.5"/>
    <n v="26"/>
    <s v="Yes"/>
    <s v="Poor"/>
    <s v="No"/>
    <s v="Marketing"/>
    <s v="Monday"/>
    <s v="Afternoon"/>
  </r>
  <r>
    <x v="1099"/>
    <s v="2024-06-08 08:34:05"/>
    <x v="10"/>
    <s v="2024-06-12 10:34:05"/>
    <n v="98"/>
    <n v="4.0999999999999996"/>
    <s v="Software Installation"/>
    <s v="MS Office"/>
    <x v="1"/>
    <n v="120"/>
    <x v="1"/>
    <s v="Portal"/>
    <s v="Tier 1"/>
    <s v="TECH-23"/>
    <s v="Junior"/>
    <x v="0"/>
    <s v="No"/>
    <n v="1"/>
    <s v="No"/>
    <n v="8"/>
    <n v="0.7"/>
    <n v="18.100000000000001"/>
    <s v="No"/>
    <s v="Poor"/>
    <s v="Yes"/>
    <s v="HR"/>
    <s v="Tuesday"/>
    <s v="Afternoon"/>
  </r>
  <r>
    <x v="1100"/>
    <s v="2024-06-02 12:02:59"/>
    <x v="10"/>
    <s v="2024-06-14 17:44:59"/>
    <n v="293.7"/>
    <n v="12.2"/>
    <s v="Access Requests"/>
    <s v="Admin Rights"/>
    <x v="0"/>
    <n v="240"/>
    <x v="0"/>
    <s v="Phone"/>
    <s v="Tier 1"/>
    <s v="TECH-11"/>
    <s v="Senior"/>
    <x v="0"/>
    <s v="No"/>
    <n v="1"/>
    <s v="No"/>
    <n v="4"/>
    <n v="3.4"/>
    <n v="0"/>
    <s v="No"/>
    <s v="Poor"/>
    <s v="No"/>
    <s v="Operations"/>
    <s v="Wednesday"/>
    <s v="Afternoon"/>
  </r>
  <r>
    <x v="1101"/>
    <s v="2024-04-17 14:34:49"/>
    <x v="11"/>
    <s v="2024-05-13 12:34:49"/>
    <n v="622"/>
    <n v="25.9"/>
    <s v="Email/Calendar"/>
    <s v="Mailbox Full"/>
    <x v="2"/>
    <n v="360"/>
    <x v="0"/>
    <s v="Chat"/>
    <s v="Tier 1"/>
    <s v="TECH-25"/>
    <s v="Senior"/>
    <x v="0"/>
    <s v="No"/>
    <n v="1"/>
    <s v="No"/>
    <n v="3"/>
    <n v="4.3"/>
    <n v="10.1"/>
    <s v="No"/>
    <s v="Good"/>
    <s v="No"/>
    <s v="Operations"/>
    <s v="Thursday"/>
    <s v="Morning"/>
  </r>
  <r>
    <x v="1102"/>
    <s v="2024-10-24 15:33:21"/>
    <x v="2"/>
    <s v="2024-11-03 15:51:21"/>
    <n v="241.3"/>
    <n v="10.1"/>
    <s v="Other"/>
    <s v="General Inquiry"/>
    <x v="2"/>
    <n v="360"/>
    <x v="1"/>
    <s v="Portal"/>
    <s v="Tier 1"/>
    <s v="TECH-8"/>
    <s v="Mid-level"/>
    <x v="0"/>
    <s v="No"/>
    <n v="1"/>
    <s v="Yes"/>
    <n v="6"/>
    <n v="3.4"/>
    <n v="29.6"/>
    <s v="Yes"/>
    <s v="Poor"/>
    <s v="Yes"/>
    <s v="Finance"/>
    <s v="Friday"/>
    <s v="Afternoon"/>
  </r>
  <r>
    <x v="1103"/>
    <s v="2024-03-27 23:30:16"/>
    <x v="5"/>
    <s v="2024-04-08 11:48:16"/>
    <n v="275.3"/>
    <n v="11.5"/>
    <s v="Password Reset"/>
    <s v="Application Password"/>
    <x v="2"/>
    <n v="360"/>
    <x v="1"/>
    <s v="Walk-in"/>
    <s v="Tier 1"/>
    <s v="TECH-15"/>
    <s v="Mid-level"/>
    <x v="0"/>
    <s v="No"/>
    <n v="1"/>
    <s v="No"/>
    <n v="6"/>
    <n v="3.1"/>
    <n v="33.4"/>
    <s v="No"/>
    <s v="Good"/>
    <s v="Yes"/>
    <s v="Marketing"/>
    <s v="Monday"/>
    <s v="Afternoon"/>
  </r>
  <r>
    <x v="1104"/>
    <s v="2024-10-31 06:19:19"/>
    <x v="2"/>
    <s v="2024-11-11 21:19:19"/>
    <n v="279"/>
    <n v="11.6"/>
    <s v="Access Requests"/>
    <s v="File Share"/>
    <x v="0"/>
    <n v="240"/>
    <x v="0"/>
    <s v="Portal"/>
    <s v="Tier 1"/>
    <s v="TECH-1"/>
    <s v="Senior"/>
    <x v="1"/>
    <s v="No"/>
    <n v="0"/>
    <s v="No"/>
    <n v="3"/>
    <n v="2"/>
    <n v="18.3"/>
    <s v="Yes"/>
    <s v="Good"/>
    <s v="Yes"/>
    <s v="Executive"/>
    <s v="Monday"/>
    <s v="Afternoon"/>
  </r>
  <r>
    <x v="1105"/>
    <s v="2024-11-07 13:27:41"/>
    <x v="7"/>
    <s v="2024-11-11 06:03:41"/>
    <n v="88.6"/>
    <n v="3.7"/>
    <s v="Network Connectivity"/>
    <s v="VPN Connection"/>
    <x v="1"/>
    <n v="120"/>
    <x v="1"/>
    <s v="Phone"/>
    <s v="Tier 1"/>
    <s v="TECH-21"/>
    <s v="Mid-level"/>
    <x v="0"/>
    <s v="No"/>
    <n v="1"/>
    <s v="No"/>
    <n v="10"/>
    <n v="4.4000000000000004"/>
    <n v="3"/>
    <s v="No"/>
    <s v="Good"/>
    <s v="Yes"/>
    <s v="Marketing"/>
    <s v="Monday"/>
    <s v="Evening"/>
  </r>
  <r>
    <x v="1106"/>
    <s v="2024-05-23 13:39:21"/>
    <x v="8"/>
    <s v="2024-05-29 15:33:21"/>
    <n v="145.9"/>
    <n v="6.1"/>
    <s v="Application Errors"/>
    <s v="Features Not Working"/>
    <x v="0"/>
    <n v="240"/>
    <x v="1"/>
    <s v="Email"/>
    <s v="Tier 1"/>
    <s v="TECH-25"/>
    <s v="Senior"/>
    <x v="0"/>
    <s v="No"/>
    <n v="1"/>
    <s v="Yes"/>
    <n v="7"/>
    <n v="0.1"/>
    <n v="0"/>
    <s v="Yes"/>
    <s v="Poor"/>
    <s v="Yes"/>
    <s v="Operations"/>
    <s v="Tuesday"/>
    <s v="Afternoon"/>
  </r>
  <r>
    <x v="1107"/>
    <s v="2024-05-06 19:12:51"/>
    <x v="8"/>
    <s v="2024-05-16 17:06:51"/>
    <n v="237.9"/>
    <n v="9.9"/>
    <s v="Other"/>
    <s v="Documentation"/>
    <x v="2"/>
    <n v="360"/>
    <x v="1"/>
    <s v="Walk-in"/>
    <s v="Tier 1"/>
    <s v="TECH-15"/>
    <s v="Senior"/>
    <x v="0"/>
    <s v="No"/>
    <n v="1"/>
    <s v="No"/>
    <n v="9"/>
    <n v="2.2999999999999998"/>
    <n v="30.9"/>
    <s v="Yes"/>
    <s v="Good"/>
    <s v="Yes"/>
    <s v="Executive"/>
    <s v="Friday"/>
    <s v="Afternoon"/>
  </r>
  <r>
    <x v="1108"/>
    <s v="2024-02-05 05:26:09"/>
    <x v="6"/>
    <s v="2024-02-08 22:50:09"/>
    <n v="89.4"/>
    <n v="3.7"/>
    <s v="Software Installation"/>
    <s v="Business Apps"/>
    <x v="1"/>
    <n v="120"/>
    <x v="1"/>
    <s v="Phone"/>
    <s v="Tier 2"/>
    <s v="TECH-4"/>
    <s v="Mid-level"/>
    <x v="0"/>
    <s v="Yes"/>
    <n v="4"/>
    <s v="No"/>
    <n v="7"/>
    <n v="5"/>
    <n v="15.8"/>
    <s v="Yes"/>
    <s v="Fair"/>
    <s v="Yes"/>
    <s v="Legal"/>
    <s v="Tuesday"/>
    <s v="Evening"/>
  </r>
  <r>
    <x v="1109"/>
    <s v="2024-05-22 21:06:58"/>
    <x v="8"/>
    <s v="2024-06-06 09:18:58"/>
    <n v="348.2"/>
    <n v="14.5"/>
    <s v="Application Errors"/>
    <s v="Crash"/>
    <x v="0"/>
    <n v="240"/>
    <x v="0"/>
    <s v="Walk-in"/>
    <s v="Tier 2"/>
    <s v="TECH-6"/>
    <s v="Mid-level"/>
    <x v="0"/>
    <s v="Yes"/>
    <n v="3"/>
    <s v="Yes"/>
    <n v="8"/>
    <n v="3.9"/>
    <n v="25.1"/>
    <s v="No"/>
    <s v="Excellent"/>
    <s v="Yes"/>
    <s v="Marketing"/>
    <s v="Friday"/>
    <s v="Morning"/>
  </r>
  <r>
    <x v="1110"/>
    <s v="2024-09-13 17:15:57"/>
    <x v="9"/>
    <s v="2024-09-22 11:45:57"/>
    <n v="210.5"/>
    <n v="8.8000000000000007"/>
    <s v="Password Reset"/>
    <s v="Application Password"/>
    <x v="0"/>
    <n v="240"/>
    <x v="1"/>
    <s v="Phone"/>
    <s v="Tier 1"/>
    <s v="TECH-14"/>
    <s v="Junior"/>
    <x v="0"/>
    <s v="No"/>
    <n v="1"/>
    <s v="Yes"/>
    <n v="8"/>
    <n v="1.1000000000000001"/>
    <n v="12"/>
    <s v="Yes"/>
    <s v="Poor"/>
    <s v="No"/>
    <s v="Sales"/>
    <s v="Wednesday"/>
    <s v="Morning"/>
  </r>
  <r>
    <x v="1111"/>
    <s v="2024-04-10 18:43:05"/>
    <x v="11"/>
    <s v="2024-04-19 20:25:05"/>
    <n v="217.7"/>
    <n v="9.1"/>
    <s v="Other"/>
    <s v="Miscellaneous"/>
    <x v="2"/>
    <n v="360"/>
    <x v="1"/>
    <s v="Walk-in"/>
    <s v="Tier 1"/>
    <s v="TECH-2"/>
    <s v="Senior"/>
    <x v="1"/>
    <s v="No"/>
    <n v="0"/>
    <s v="No"/>
    <n v="10"/>
    <n v="3.8"/>
    <n v="1.6"/>
    <s v="Yes"/>
    <s v="Good"/>
    <s v="Yes"/>
    <s v="IT"/>
    <s v="Thursday"/>
    <s v="Evening"/>
  </r>
  <r>
    <x v="1112"/>
    <s v="2024-07-11 12:26:25"/>
    <x v="4"/>
    <s v="2024-07-18 21:38:25"/>
    <n v="177.2"/>
    <n v="7.4"/>
    <s v="Network Connectivity"/>
    <s v="Ethernet"/>
    <x v="1"/>
    <n v="120"/>
    <x v="0"/>
    <s v="Portal"/>
    <s v="Tier 1"/>
    <s v="TECH-24"/>
    <s v="Senior"/>
    <x v="0"/>
    <s v="No"/>
    <n v="1"/>
    <s v="No"/>
    <n v="4"/>
    <n v="4.7"/>
    <n v="11.5"/>
    <s v="Yes"/>
    <s v="Good"/>
    <s v="Yes"/>
    <s v="Legal"/>
    <s v="Monday"/>
    <s v="Evening"/>
  </r>
  <r>
    <x v="1113"/>
    <s v="2024-01-28 23:56:20"/>
    <x v="3"/>
    <s v="2024-02-04 23:14:20"/>
    <n v="167.3"/>
    <n v="7"/>
    <s v="Access Requests"/>
    <s v="Admin Rights"/>
    <x v="0"/>
    <n v="240"/>
    <x v="1"/>
    <s v="Phone"/>
    <s v="Tier 2"/>
    <s v="TECH-20"/>
    <s v="Junior"/>
    <x v="0"/>
    <s v="Yes"/>
    <n v="4"/>
    <s v="No"/>
    <n v="7"/>
    <n v="1.8"/>
    <n v="15.9"/>
    <s v="Yes"/>
    <s v="Good"/>
    <s v="Yes"/>
    <s v="IT"/>
    <s v="Wednesday"/>
    <s v="Morning"/>
  </r>
  <r>
    <x v="1114"/>
    <s v="2024-05-23 18:29:37"/>
    <x v="8"/>
    <s v="2024-05-29 14:11:37"/>
    <n v="139.69999999999999"/>
    <n v="5.8"/>
    <s v="Hardware Issues"/>
    <s v="Printer"/>
    <x v="1"/>
    <n v="120"/>
    <x v="0"/>
    <s v="Phone"/>
    <s v="Tier 1"/>
    <s v="TECH-1"/>
    <s v="Senior"/>
    <x v="0"/>
    <s v="No"/>
    <n v="1"/>
    <s v="No"/>
    <n v="3"/>
    <n v="4.7"/>
    <n v="25.2"/>
    <s v="Yes"/>
    <s v="Poor"/>
    <s v="Yes"/>
    <s v="IT"/>
    <s v="Friday"/>
    <s v="Afternoon"/>
  </r>
  <r>
    <x v="1115"/>
    <s v="2024-01-06 21:34:36"/>
    <x v="3"/>
    <s v="2024-01-10 01:40:36"/>
    <n v="100.1"/>
    <n v="4.2"/>
    <s v="Network Connectivity"/>
    <s v="Slow Network"/>
    <x v="1"/>
    <n v="120"/>
    <x v="1"/>
    <s v="Portal"/>
    <s v="Tier 1"/>
    <s v="TECH-2"/>
    <s v="Mid-level"/>
    <x v="0"/>
    <s v="No"/>
    <n v="1"/>
    <s v="No"/>
    <n v="6"/>
    <n v="1.3"/>
    <n v="10"/>
    <s v="No"/>
    <s v="Fair"/>
    <s v="Yes"/>
    <s v="Marketing"/>
    <s v="Monday"/>
    <s v="Afternoon"/>
  </r>
  <r>
    <x v="1116"/>
    <s v="2024-11-25 06:00:54"/>
    <x v="7"/>
    <s v="2024-12-07 10:36:54"/>
    <n v="292.60000000000002"/>
    <n v="12.2"/>
    <s v="Password Reset"/>
    <s v="Application Password"/>
    <x v="2"/>
    <n v="360"/>
    <x v="1"/>
    <s v="Walk-in"/>
    <s v="Tier 1"/>
    <s v="TECH-21"/>
    <s v="Junior"/>
    <x v="0"/>
    <s v="No"/>
    <n v="1"/>
    <s v="No"/>
    <n v="9"/>
    <n v="2.2000000000000002"/>
    <n v="20.6"/>
    <s v="Yes"/>
    <s v="Poor"/>
    <s v="Yes"/>
    <s v="Executive"/>
    <s v="Friday"/>
    <s v="Morning"/>
  </r>
  <r>
    <x v="1117"/>
    <s v="2024-07-21 12:25:46"/>
    <x v="4"/>
    <s v="2024-07-25 18:37:46"/>
    <n v="102.2"/>
    <n v="4.3"/>
    <s v="Hardware Issues"/>
    <s v="Docking Station"/>
    <x v="1"/>
    <n v="120"/>
    <x v="1"/>
    <s v="Email"/>
    <s v="Tier 2"/>
    <s v="TECH-12"/>
    <s v="Senior"/>
    <x v="0"/>
    <s v="Yes"/>
    <n v="2"/>
    <s v="No"/>
    <n v="10"/>
    <n v="3.7"/>
    <n v="27.4"/>
    <s v="No"/>
    <s v="Good"/>
    <s v="Yes"/>
    <s v="Legal"/>
    <s v="Wednesday"/>
    <s v="Evening"/>
  </r>
  <r>
    <x v="1118"/>
    <s v="2024-06-08 02:12:24"/>
    <x v="10"/>
    <s v="2024-06-12 13:00:24"/>
    <n v="82.8"/>
    <n v="3.5"/>
    <s v="Hardware Issues"/>
    <s v="Printer"/>
    <x v="1"/>
    <n v="120"/>
    <x v="1"/>
    <s v="Phone"/>
    <s v="Tier 1"/>
    <s v="TECH-23"/>
    <s v="Mid-level"/>
    <x v="0"/>
    <s v="No"/>
    <n v="1"/>
    <s v="No"/>
    <n v="8"/>
    <n v="2.9"/>
    <n v="10.199999999999999"/>
    <s v="Yes"/>
    <s v="Excellent"/>
    <s v="No"/>
    <s v="Operations"/>
    <s v="Friday"/>
    <s v="Morning"/>
  </r>
  <r>
    <x v="1119"/>
    <s v="2024-11-16 14:10:52"/>
    <x v="7"/>
    <s v="2024-11-20 06:40:52"/>
    <n v="88.5"/>
    <n v="3.7"/>
    <s v="Email/Calendar"/>
    <s v="Distribution List"/>
    <x v="1"/>
    <n v="120"/>
    <x v="1"/>
    <s v="Phone"/>
    <s v="Tier 2"/>
    <s v="TECH-15"/>
    <s v="Senior"/>
    <x v="0"/>
    <s v="Yes"/>
    <n v="4"/>
    <s v="No"/>
    <n v="10"/>
    <n v="4.2"/>
    <n v="12.7"/>
    <s v="No"/>
    <s v="Fair"/>
    <s v="Yes"/>
    <s v="Executive"/>
    <s v="Monday"/>
    <s v="Afternoon"/>
  </r>
  <r>
    <x v="1120"/>
    <s v="2024-11-18 04:25:16"/>
    <x v="7"/>
    <s v="2024-11-24 12:19:16"/>
    <n v="151.9"/>
    <n v="6.3"/>
    <s v="Hardware Issues"/>
    <s v="Printer"/>
    <x v="0"/>
    <n v="240"/>
    <x v="1"/>
    <s v="Walk-in"/>
    <s v="Tier 2"/>
    <s v="TECH-24"/>
    <s v="Senior"/>
    <x v="0"/>
    <s v="Yes"/>
    <n v="4"/>
    <s v="Yes"/>
    <n v="9"/>
    <n v="4.2"/>
    <n v="16.600000000000001"/>
    <s v="Yes"/>
    <s v="Excellent"/>
    <s v="Yes"/>
    <s v="Finance"/>
    <s v="Thursday"/>
    <s v="Afternoon"/>
  </r>
  <r>
    <x v="1121"/>
    <s v="2024-10-23 03:14:15"/>
    <x v="2"/>
    <s v="2024-10-30 08:32:15"/>
    <n v="174.3"/>
    <n v="7.3"/>
    <s v="Application Errors"/>
    <s v="Performance"/>
    <x v="0"/>
    <n v="240"/>
    <x v="1"/>
    <s v="Walk-in"/>
    <s v="Tier 2"/>
    <s v="TECH-13"/>
    <s v="Senior"/>
    <x v="0"/>
    <s v="Yes"/>
    <n v="3"/>
    <s v="No"/>
    <n v="10"/>
    <n v="2.2000000000000002"/>
    <n v="33.4"/>
    <s v="No"/>
    <s v="Good"/>
    <s v="Yes"/>
    <s v="Finance"/>
    <s v="Friday"/>
    <s v="Evening"/>
  </r>
  <r>
    <x v="1122"/>
    <s v="2024-04-01 15:59:30"/>
    <x v="11"/>
    <s v="2024-04-08 05:23:30"/>
    <n v="157.4"/>
    <n v="6.6"/>
    <s v="Application Errors"/>
    <s v="Performance"/>
    <x v="0"/>
    <n v="240"/>
    <x v="1"/>
    <s v="Portal"/>
    <s v="Tier 2"/>
    <s v="TECH-5"/>
    <s v="Junior"/>
    <x v="0"/>
    <s v="Yes"/>
    <n v="3"/>
    <s v="No"/>
    <n v="6"/>
    <n v="3.7"/>
    <n v="20.9"/>
    <s v="Yes"/>
    <s v="Fair"/>
    <s v="Yes"/>
    <s v="IT"/>
    <s v="Thursday"/>
    <s v="Evening"/>
  </r>
  <r>
    <x v="1123"/>
    <s v="2024-01-05 21:50:42"/>
    <x v="3"/>
    <s v="2024-01-14 21:14:42"/>
    <n v="215.4"/>
    <n v="9"/>
    <s v="Software Installation"/>
    <s v="Adobe Suite"/>
    <x v="0"/>
    <n v="240"/>
    <x v="1"/>
    <s v="Email"/>
    <s v="Tier 1"/>
    <s v="TECH-2"/>
    <s v="Mid-level"/>
    <x v="1"/>
    <s v="No"/>
    <n v="0"/>
    <s v="No"/>
    <n v="9"/>
    <n v="0.3"/>
    <n v="28.8"/>
    <s v="Yes"/>
    <s v="Poor"/>
    <s v="Yes"/>
    <s v="IT"/>
    <s v="Monday"/>
    <s v="Afternoon"/>
  </r>
  <r>
    <x v="1124"/>
    <s v="2024-08-29 01:12:07"/>
    <x v="1"/>
    <s v="2024-09-25 23:24:07"/>
    <n v="646.20000000000005"/>
    <n v="26.9"/>
    <s v="Other"/>
    <s v="General Inquiry"/>
    <x v="2"/>
    <n v="360"/>
    <x v="0"/>
    <s v="Email"/>
    <s v="Tier 2"/>
    <s v="TECH-21"/>
    <s v="Mid-level"/>
    <x v="0"/>
    <s v="Yes"/>
    <n v="1"/>
    <s v="No"/>
    <n v="5"/>
    <n v="4"/>
    <n v="13.2"/>
    <s v="Yes"/>
    <s v="Excellent"/>
    <s v="No"/>
    <s v="Legal"/>
    <s v="Wednesday"/>
    <s v="Morning"/>
  </r>
  <r>
    <x v="1125"/>
    <s v="2024-09-29 03:32:15"/>
    <x v="9"/>
    <s v="2024-10-12 08:32:15"/>
    <n v="317"/>
    <n v="13.2"/>
    <s v="Other"/>
    <s v="Miscellaneous"/>
    <x v="2"/>
    <n v="360"/>
    <x v="1"/>
    <s v="Walk-in"/>
    <s v="Tier 1"/>
    <s v="TECH-18"/>
    <s v="Mid-level"/>
    <x v="0"/>
    <s v="No"/>
    <n v="1"/>
    <s v="Yes"/>
    <n v="8"/>
    <n v="1"/>
    <n v="23.3"/>
    <s v="No"/>
    <s v="Poor"/>
    <s v="Yes"/>
    <s v="Legal"/>
    <s v="Tuesday"/>
    <s v="Afternoon"/>
  </r>
  <r>
    <x v="1126"/>
    <s v="2024-05-20 02:51:23"/>
    <x v="8"/>
    <s v="2024-05-29 09:27:23"/>
    <n v="198.6"/>
    <n v="8.3000000000000007"/>
    <s v="Access Requests"/>
    <s v="Application Access"/>
    <x v="0"/>
    <n v="240"/>
    <x v="1"/>
    <s v="Portal"/>
    <s v="Tier 1"/>
    <s v="TECH-19"/>
    <s v="Junior"/>
    <x v="1"/>
    <s v="No"/>
    <n v="0"/>
    <s v="No"/>
    <n v="10"/>
    <n v="2.8"/>
    <n v="21"/>
    <s v="Yes"/>
    <s v="Excellent"/>
    <s v="No"/>
    <s v="HR"/>
    <s v="Monday"/>
    <s v="Morning"/>
  </r>
  <r>
    <x v="1127"/>
    <s v="2024-03-01 23:57:31"/>
    <x v="5"/>
    <s v="2024-03-05 17:03:31"/>
    <n v="89.1"/>
    <n v="3.7"/>
    <s v="Application Errors"/>
    <s v="Performance"/>
    <x v="1"/>
    <n v="120"/>
    <x v="1"/>
    <s v="Chat"/>
    <s v="Tier 1"/>
    <s v="TECH-16"/>
    <s v="Mid-level"/>
    <x v="1"/>
    <s v="No"/>
    <n v="0"/>
    <s v="Yes"/>
    <n v="9"/>
    <n v="0.7"/>
    <n v="38.299999999999997"/>
    <s v="Yes"/>
    <s v="Poor"/>
    <s v="No"/>
    <s v="Marketing"/>
    <s v="Wednesday"/>
    <s v="Evening"/>
  </r>
  <r>
    <x v="1128"/>
    <s v="2024-01-11 10:58:12"/>
    <x v="3"/>
    <s v="2024-01-12 18:16:12"/>
    <n v="31.3"/>
    <n v="1.3"/>
    <s v="Access Requests"/>
    <s v="Application Access"/>
    <x v="3"/>
    <n v="48"/>
    <x v="1"/>
    <s v="Walk-in"/>
    <s v="Tier 1"/>
    <s v="TECH-4"/>
    <s v="Senior"/>
    <x v="1"/>
    <s v="No"/>
    <n v="0"/>
    <s v="No"/>
    <n v="10"/>
    <n v="2.6"/>
    <n v="16.2"/>
    <s v="Yes"/>
    <s v="Good"/>
    <s v="Yes"/>
    <s v="Sales"/>
    <s v="Monday"/>
    <s v="Afternoon"/>
  </r>
  <r>
    <x v="1129"/>
    <s v="2024-10-04 06:42:54"/>
    <x v="2"/>
    <s v="2024-10-17 23:36:54"/>
    <n v="328.9"/>
    <n v="13.7"/>
    <s v="Access Requests"/>
    <s v="Application Access"/>
    <x v="2"/>
    <n v="360"/>
    <x v="1"/>
    <s v="Phone"/>
    <s v="Tier 1"/>
    <s v="TECH-3"/>
    <s v="Mid-level"/>
    <x v="1"/>
    <s v="No"/>
    <n v="0"/>
    <s v="No"/>
    <n v="10"/>
    <n v="0.6"/>
    <n v="12.3"/>
    <s v="Yes"/>
    <s v="Good"/>
    <s v="No"/>
    <s v="HR"/>
    <s v="Tuesday"/>
    <s v="Morning"/>
  </r>
  <r>
    <x v="1130"/>
    <s v="2024-03-29 02:35:21"/>
    <x v="5"/>
    <s v="2024-04-05 17:59:21"/>
    <n v="182.4"/>
    <n v="7.6"/>
    <s v="Hardware Issues"/>
    <s v="Docking Station"/>
    <x v="0"/>
    <n v="240"/>
    <x v="1"/>
    <s v="Email"/>
    <s v="Tier 1"/>
    <s v="TECH-7"/>
    <s v="Senior"/>
    <x v="0"/>
    <s v="No"/>
    <n v="1"/>
    <s v="No"/>
    <n v="8"/>
    <n v="0.1"/>
    <n v="11.5"/>
    <s v="Yes"/>
    <s v="Excellent"/>
    <s v="Yes"/>
    <s v="Sales"/>
    <s v="Thursday"/>
    <s v="Afternoon"/>
  </r>
  <r>
    <x v="1131"/>
    <s v="2024-08-20 03:52:39"/>
    <x v="1"/>
    <s v="2024-08-23 11:40:39"/>
    <n v="79.8"/>
    <n v="3.3"/>
    <s v="Hardware Issues"/>
    <s v="Keyboard/Mouse"/>
    <x v="1"/>
    <n v="120"/>
    <x v="1"/>
    <s v="Email"/>
    <s v="Tier 1"/>
    <s v="TECH-20"/>
    <s v="Mid-level"/>
    <x v="0"/>
    <s v="No"/>
    <n v="1"/>
    <s v="No"/>
    <n v="8"/>
    <n v="2.8"/>
    <n v="24.9"/>
    <s v="No"/>
    <s v="Excellent"/>
    <s v="No"/>
    <s v="HR"/>
    <s v="Tuesday"/>
    <s v="Morning"/>
  </r>
  <r>
    <x v="1132"/>
    <s v="2024-09-25 17:00:07"/>
    <x v="9"/>
    <s v="2024-10-03 16:00:07"/>
    <n v="191"/>
    <n v="8"/>
    <s v="Password Reset"/>
    <s v="Application Password"/>
    <x v="0"/>
    <n v="240"/>
    <x v="1"/>
    <s v="Phone"/>
    <s v="Tier 1"/>
    <s v="TECH-11"/>
    <s v="Mid-level"/>
    <x v="1"/>
    <s v="No"/>
    <n v="0"/>
    <s v="No"/>
    <n v="10"/>
    <n v="3.8"/>
    <n v="28.3"/>
    <s v="Yes"/>
    <s v="Poor"/>
    <s v="No"/>
    <s v="HR"/>
    <s v="Monday"/>
    <s v="Afternoon"/>
  </r>
  <r>
    <x v="1133"/>
    <s v="2024-11-20 04:45:49"/>
    <x v="7"/>
    <s v="2024-12-02 18:33:49"/>
    <n v="301.8"/>
    <n v="12.6"/>
    <s v="Software Installation"/>
    <s v="Drivers"/>
    <x v="0"/>
    <n v="240"/>
    <x v="0"/>
    <s v="Walk-in"/>
    <s v="Tier 1"/>
    <s v="TECH-17"/>
    <s v="Junior"/>
    <x v="0"/>
    <s v="No"/>
    <n v="1"/>
    <s v="No"/>
    <n v="6"/>
    <n v="4"/>
    <n v="47.3"/>
    <s v="Yes"/>
    <s v="Good"/>
    <s v="Yes"/>
    <s v="Legal"/>
    <s v="Tuesday"/>
    <s v="Morning"/>
  </r>
  <r>
    <x v="1134"/>
    <s v="2024-05-13 01:45:16"/>
    <x v="8"/>
    <s v="2024-05-26 22:39:16"/>
    <n v="308.89999999999998"/>
    <n v="12.9"/>
    <s v="Password Reset"/>
    <s v="Account Unlock"/>
    <x v="2"/>
    <n v="360"/>
    <x v="1"/>
    <s v="Phone"/>
    <s v="Tier 1"/>
    <s v="TECH-18"/>
    <s v="Mid-level"/>
    <x v="0"/>
    <s v="No"/>
    <n v="1"/>
    <s v="No"/>
    <n v="4"/>
    <n v="2.6"/>
    <n v="15.2"/>
    <s v="Yes"/>
    <s v="Fair"/>
    <s v="Yes"/>
    <s v="Executive"/>
    <s v="Tuesday"/>
    <s v="Morning"/>
  </r>
  <r>
    <x v="1135"/>
    <s v="2024-12-25 06:40:11"/>
    <x v="0"/>
    <s v="2025-01-23 09:22:11"/>
    <n v="698.7"/>
    <n v="29.1"/>
    <s v="Application Errors"/>
    <s v="Login Issues"/>
    <x v="0"/>
    <n v="240"/>
    <x v="0"/>
    <s v="Phone"/>
    <s v="Tier 1"/>
    <s v="TECH-10"/>
    <s v="Mid-level"/>
    <x v="0"/>
    <s v="No"/>
    <n v="1"/>
    <s v="No"/>
    <n v="4"/>
    <n v="3.2"/>
    <n v="7.7"/>
    <s v="Yes"/>
    <s v="Fair"/>
    <s v="Yes"/>
    <s v="HR"/>
    <s v="Thursday"/>
    <s v="Afternoon"/>
  </r>
  <r>
    <x v="1136"/>
    <s v="2024-06-20 14:52:53"/>
    <x v="10"/>
    <s v="2024-06-23 01:04:53"/>
    <n v="82.2"/>
    <n v="3.4"/>
    <s v="Hardware Issues"/>
    <s v="Laptop"/>
    <x v="1"/>
    <n v="120"/>
    <x v="1"/>
    <s v="Walk-in"/>
    <s v="Tier 2"/>
    <s v="TECH-3"/>
    <s v="Mid-level"/>
    <x v="0"/>
    <s v="Yes"/>
    <n v="4"/>
    <s v="Yes"/>
    <n v="9"/>
    <n v="3.1"/>
    <n v="6.8"/>
    <s v="Yes"/>
    <s v="Fair"/>
    <s v="Yes"/>
    <s v="Executive"/>
    <s v="Wednesday"/>
    <s v="Afternoon"/>
  </r>
  <r>
    <x v="1137"/>
    <s v="2024-04-26 01:38:06"/>
    <x v="11"/>
    <s v="2024-04-30 05:50:06"/>
    <n v="76.2"/>
    <n v="3.2"/>
    <s v="Network Connectivity"/>
    <s v="Ethernet"/>
    <x v="1"/>
    <n v="120"/>
    <x v="1"/>
    <s v="Phone"/>
    <s v="Tier 2"/>
    <s v="TECH-16"/>
    <s v="Junior"/>
    <x v="0"/>
    <s v="Yes"/>
    <n v="1"/>
    <s v="No"/>
    <n v="8"/>
    <n v="3.6"/>
    <n v="0.6"/>
    <s v="No"/>
    <s v="Fair"/>
    <s v="Yes"/>
    <s v="Finance"/>
    <s v="Wednesday"/>
    <s v="Morning"/>
  </r>
  <r>
    <x v="1138"/>
    <s v="2024-11-01 04:54:05"/>
    <x v="7"/>
    <s v="2024-11-08 03:30:05"/>
    <n v="166.6"/>
    <n v="6.9"/>
    <s v="Software Installation"/>
    <s v="Drivers"/>
    <x v="0"/>
    <n v="240"/>
    <x v="1"/>
    <s v="Email"/>
    <s v="Tier 1"/>
    <s v="TECH-5"/>
    <s v="Mid-level"/>
    <x v="0"/>
    <s v="No"/>
    <n v="1"/>
    <s v="No"/>
    <n v="9"/>
    <n v="5.8"/>
    <n v="27.2"/>
    <s v="Yes"/>
    <s v="Fair"/>
    <s v="Yes"/>
    <s v="Marketing"/>
    <s v="Tuesday"/>
    <s v="Afternoon"/>
  </r>
  <r>
    <x v="1139"/>
    <s v="2024-03-16 14:16:27"/>
    <x v="5"/>
    <s v="2024-03-23 02:22:27"/>
    <n v="156.1"/>
    <n v="6.5"/>
    <s v="Software Installation"/>
    <s v="MS Office"/>
    <x v="0"/>
    <n v="240"/>
    <x v="1"/>
    <s v="Phone"/>
    <s v="Tier 1"/>
    <s v="TECH-18"/>
    <s v="Mid-level"/>
    <x v="0"/>
    <s v="No"/>
    <n v="1"/>
    <s v="No"/>
    <n v="5"/>
    <n v="1.5"/>
    <n v="6.8"/>
    <s v="Yes"/>
    <s v="Poor"/>
    <s v="Yes"/>
    <s v="Operations"/>
    <s v="Monday"/>
    <s v="Evening"/>
  </r>
  <r>
    <x v="1140"/>
    <s v="2024-04-07 07:30:33"/>
    <x v="11"/>
    <s v="2024-04-10 08:24:33"/>
    <n v="72.900000000000006"/>
    <n v="3"/>
    <s v="Application Errors"/>
    <s v="Features Not Working"/>
    <x v="1"/>
    <n v="120"/>
    <x v="1"/>
    <s v="Phone"/>
    <s v="Tier 1"/>
    <s v="TECH-2"/>
    <s v="Mid-level"/>
    <x v="1"/>
    <s v="No"/>
    <n v="0"/>
    <s v="No"/>
    <n v="10"/>
    <n v="1.3"/>
    <n v="29.4"/>
    <s v="No"/>
    <s v="Poor"/>
    <s v="No"/>
    <s v="Marketing"/>
    <s v="Tuesday"/>
    <s v="Afternoon"/>
  </r>
  <r>
    <x v="1141"/>
    <s v="2024-06-19 10:02:15"/>
    <x v="10"/>
    <s v="2024-06-24 03:26:15"/>
    <n v="113.4"/>
    <n v="4.7"/>
    <s v="Password Reset"/>
    <s v="Windows Password"/>
    <x v="1"/>
    <n v="120"/>
    <x v="1"/>
    <s v="Walk-in"/>
    <s v="Tier 1"/>
    <s v="TECH-5"/>
    <s v="Mid-level"/>
    <x v="1"/>
    <s v="No"/>
    <n v="0"/>
    <s v="No"/>
    <n v="10"/>
    <n v="0.8"/>
    <n v="34.700000000000003"/>
    <s v="No"/>
    <s v="Fair"/>
    <s v="Yes"/>
    <s v="Legal"/>
    <s v="Monday"/>
    <s v="Afternoon"/>
  </r>
  <r>
    <x v="1142"/>
    <s v="2024-05-19 09:11:47"/>
    <x v="8"/>
    <s v="2024-05-31 18:59:47"/>
    <n v="297.8"/>
    <n v="12.4"/>
    <s v="Access Requests"/>
    <s v="VPN Access"/>
    <x v="0"/>
    <n v="240"/>
    <x v="0"/>
    <s v="Email"/>
    <s v="Tier 1"/>
    <s v="TECH-7"/>
    <s v="Mid-level"/>
    <x v="1"/>
    <s v="No"/>
    <n v="0"/>
    <s v="No"/>
    <n v="7"/>
    <n v="1.8"/>
    <n v="24.6"/>
    <s v="Yes"/>
    <s v="Good"/>
    <s v="Yes"/>
    <s v="Executive"/>
    <s v="Monday"/>
    <s v="Evening"/>
  </r>
  <r>
    <x v="1143"/>
    <s v="2024-05-16 22:24:32"/>
    <x v="8"/>
    <s v="2024-05-25 06:54:32"/>
    <n v="200.5"/>
    <n v="8.4"/>
    <s v="Software Installation"/>
    <s v="Adobe Suite"/>
    <x v="0"/>
    <n v="240"/>
    <x v="1"/>
    <s v="Chat"/>
    <s v="Tier 2"/>
    <s v="TECH-3"/>
    <s v="Senior"/>
    <x v="0"/>
    <s v="Yes"/>
    <n v="4"/>
    <s v="No"/>
    <n v="8"/>
    <n v="2.7"/>
    <n v="17.399999999999999"/>
    <s v="No"/>
    <s v="Fair"/>
    <s v="No"/>
    <s v="Executive"/>
    <s v="Tuesday"/>
    <s v="Morning"/>
  </r>
  <r>
    <x v="1144"/>
    <s v="2024-11-14 20:50:01"/>
    <x v="7"/>
    <s v="2024-11-25 15:20:01"/>
    <n v="258.5"/>
    <n v="10.8"/>
    <s v="Access Requests"/>
    <s v="VPN Access"/>
    <x v="0"/>
    <n v="240"/>
    <x v="0"/>
    <s v="Phone"/>
    <s v="Tier 1"/>
    <s v="TECH-15"/>
    <s v="Mid-level"/>
    <x v="1"/>
    <s v="No"/>
    <n v="0"/>
    <s v="No"/>
    <n v="5"/>
    <n v="4.5999999999999996"/>
    <n v="24.2"/>
    <s v="No"/>
    <s v="Poor"/>
    <s v="No"/>
    <s v="Executive"/>
    <s v="Friday"/>
    <s v="Morning"/>
  </r>
  <r>
    <x v="1145"/>
    <s v="2024-01-17 09:07:54"/>
    <x v="3"/>
    <s v="2024-01-24 03:31:54"/>
    <n v="162.4"/>
    <n v="6.8"/>
    <s v="Hardware Issues"/>
    <s v="Keyboard/Mouse"/>
    <x v="0"/>
    <n v="240"/>
    <x v="1"/>
    <s v="Phone"/>
    <s v="Tier 2"/>
    <s v="TECH-18"/>
    <s v="Senior"/>
    <x v="0"/>
    <s v="Yes"/>
    <n v="1"/>
    <s v="No"/>
    <n v="7"/>
    <n v="0.5"/>
    <n v="26.7"/>
    <s v="No"/>
    <s v="Fair"/>
    <s v="Yes"/>
    <s v="Finance"/>
    <s v="Wednesday"/>
    <s v="Morning"/>
  </r>
  <r>
    <x v="1146"/>
    <s v="2024-11-18 11:35:56"/>
    <x v="7"/>
    <s v="2024-12-04 18:53:56"/>
    <n v="391.3"/>
    <n v="16.3"/>
    <s v="Access Requests"/>
    <s v="File Share"/>
    <x v="2"/>
    <n v="360"/>
    <x v="0"/>
    <s v="Email"/>
    <s v="Tier 1"/>
    <s v="TECH-20"/>
    <s v="Junior"/>
    <x v="1"/>
    <s v="No"/>
    <n v="0"/>
    <s v="Yes"/>
    <n v="5"/>
    <n v="1.1000000000000001"/>
    <n v="19.399999999999999"/>
    <s v="Yes"/>
    <s v="Poor"/>
    <s v="No"/>
    <s v="HR"/>
    <s v="Wednesday"/>
    <s v="Afternoon"/>
  </r>
  <r>
    <x v="1147"/>
    <s v="2024-05-30 16:36:26"/>
    <x v="8"/>
    <s v="2024-06-07 01:48:26"/>
    <n v="201.2"/>
    <n v="8.4"/>
    <s v="Email/Calendar"/>
    <s v="Mailbox Full"/>
    <x v="0"/>
    <n v="240"/>
    <x v="1"/>
    <s v="Phone"/>
    <s v="Tier 1"/>
    <s v="TECH-16"/>
    <s v="Mid-level"/>
    <x v="0"/>
    <s v="No"/>
    <n v="1"/>
    <s v="No"/>
    <n v="10"/>
    <n v="0.3"/>
    <n v="18.5"/>
    <s v="Yes"/>
    <s v="Fair"/>
    <s v="No"/>
    <s v="IT"/>
    <s v="Wednesday"/>
    <s v="Afternoon"/>
  </r>
  <r>
    <x v="1148"/>
    <s v="2024-12-10 15:26:10"/>
    <x v="0"/>
    <s v="2024-12-17 07:08:10"/>
    <n v="159.69999999999999"/>
    <n v="6.7"/>
    <s v="Access Requests"/>
    <s v="VPN Access"/>
    <x v="0"/>
    <n v="240"/>
    <x v="1"/>
    <s v="Email"/>
    <s v="Tier 1"/>
    <s v="TECH-19"/>
    <s v="Junior"/>
    <x v="0"/>
    <s v="No"/>
    <n v="1"/>
    <s v="No"/>
    <n v="10"/>
    <n v="4.7"/>
    <n v="17.600000000000001"/>
    <s v="Yes"/>
    <s v="Fair"/>
    <s v="No"/>
    <s v="Operations"/>
    <s v="Friday"/>
    <s v="Evening"/>
  </r>
  <r>
    <x v="1149"/>
    <s v="2024-10-30 02:03:34"/>
    <x v="2"/>
    <s v="2024-11-11 04:33:34"/>
    <n v="290.5"/>
    <n v="12.1"/>
    <s v="Software Installation"/>
    <s v="Business Apps"/>
    <x v="1"/>
    <n v="120"/>
    <x v="0"/>
    <s v="Email"/>
    <s v="Tier 2"/>
    <s v="TECH-11"/>
    <s v="Senior"/>
    <x v="0"/>
    <s v="Yes"/>
    <n v="3"/>
    <s v="No"/>
    <n v="7"/>
    <n v="1.7"/>
    <n v="33.5"/>
    <s v="Yes"/>
    <s v="Fair"/>
    <s v="Yes"/>
    <s v="Finance"/>
    <s v="Wednesday"/>
    <s v="Morning"/>
  </r>
  <r>
    <x v="1150"/>
    <s v="2024-08-30 02:02:52"/>
    <x v="1"/>
    <s v="2024-09-19 16:44:52"/>
    <n v="470.7"/>
    <n v="19.600000000000001"/>
    <s v="Password Reset"/>
    <s v="Account Unlock"/>
    <x v="2"/>
    <n v="360"/>
    <x v="0"/>
    <s v="Portal"/>
    <s v="Tier 1"/>
    <s v="TECH-24"/>
    <s v="Junior"/>
    <x v="0"/>
    <s v="No"/>
    <n v="1"/>
    <s v="No"/>
    <n v="3"/>
    <n v="5.0999999999999996"/>
    <n v="34.4"/>
    <s v="Yes"/>
    <s v="Fair"/>
    <s v="Yes"/>
    <s v="Sales"/>
    <s v="Tuesday"/>
    <s v="Evening"/>
  </r>
  <r>
    <x v="1151"/>
    <s v="2024-02-06 11:51:57"/>
    <x v="6"/>
    <s v="2024-02-17 00:09:57"/>
    <n v="276.3"/>
    <n v="11.5"/>
    <s v="Password Reset"/>
    <s v="Email Password"/>
    <x v="2"/>
    <n v="360"/>
    <x v="1"/>
    <s v="Email"/>
    <s v="Tier 1"/>
    <s v="TECH-19"/>
    <s v="Mid-level"/>
    <x v="1"/>
    <s v="No"/>
    <n v="0"/>
    <s v="No"/>
    <n v="10"/>
    <n v="3.5"/>
    <n v="36.200000000000003"/>
    <s v="No"/>
    <s v="Poor"/>
    <s v="Yes"/>
    <s v="HR"/>
    <s v="Friday"/>
    <s v="Morning"/>
  </r>
  <r>
    <x v="1152"/>
    <s v="2024-09-05 23:50:35"/>
    <x v="9"/>
    <s v="2024-09-13 14:38:35"/>
    <n v="182.8"/>
    <n v="7.6"/>
    <s v="Application Errors"/>
    <s v="Crash"/>
    <x v="0"/>
    <n v="240"/>
    <x v="1"/>
    <s v="Chat"/>
    <s v="Tier 2"/>
    <s v="TECH-6"/>
    <s v="Mid-level"/>
    <x v="0"/>
    <s v="Yes"/>
    <n v="2"/>
    <s v="No"/>
    <n v="10"/>
    <n v="4.5"/>
    <n v="23.5"/>
    <s v="No"/>
    <s v="Fair"/>
    <s v="Yes"/>
    <s v="HR"/>
    <s v="Friday"/>
    <s v="Morning"/>
  </r>
  <r>
    <x v="1153"/>
    <s v="2024-04-01 12:31:13"/>
    <x v="11"/>
    <s v="2024-04-15 15:19:13"/>
    <n v="338.8"/>
    <n v="14.1"/>
    <s v="Password Reset"/>
    <s v="Windows Password"/>
    <x v="2"/>
    <n v="360"/>
    <x v="1"/>
    <s v="Walk-in"/>
    <s v="Tier 1"/>
    <s v="TECH-19"/>
    <s v="Senior"/>
    <x v="1"/>
    <s v="No"/>
    <n v="0"/>
    <s v="No"/>
    <n v="8"/>
    <n v="5.8"/>
    <n v="32.1"/>
    <s v="No"/>
    <s v="Fair"/>
    <s v="No"/>
    <s v="Sales"/>
    <s v="Monday"/>
    <s v="Morning"/>
  </r>
  <r>
    <x v="1154"/>
    <s v="2024-09-16 09:44:52"/>
    <x v="9"/>
    <s v="2024-09-20 11:56:52"/>
    <n v="98.2"/>
    <n v="4.0999999999999996"/>
    <s v="Hardware Issues"/>
    <s v="Keyboard/Mouse"/>
    <x v="1"/>
    <n v="120"/>
    <x v="1"/>
    <s v="Phone"/>
    <s v="Tier 1"/>
    <s v="TECH-17"/>
    <s v="Mid-level"/>
    <x v="0"/>
    <s v="No"/>
    <n v="1"/>
    <s v="No"/>
    <n v="8"/>
    <n v="2.6"/>
    <n v="41.2"/>
    <s v="No"/>
    <s v="Fair"/>
    <s v="Yes"/>
    <s v="IT"/>
    <s v="Monday"/>
    <s v="Afternoon"/>
  </r>
  <r>
    <x v="1155"/>
    <s v="2024-01-11 19:24:35"/>
    <x v="3"/>
    <s v="2024-01-31 21:18:35"/>
    <n v="481.9"/>
    <n v="20.100000000000001"/>
    <s v="Password Reset"/>
    <s v="Account Unlock"/>
    <x v="0"/>
    <n v="240"/>
    <x v="0"/>
    <s v="Email"/>
    <s v="Tier 1"/>
    <s v="TECH-1"/>
    <s v="Mid-level"/>
    <x v="1"/>
    <s v="No"/>
    <n v="0"/>
    <s v="No"/>
    <n v="9"/>
    <n v="2.7"/>
    <n v="11.1"/>
    <s v="No"/>
    <s v="Poor"/>
    <s v="Yes"/>
    <s v="Sales"/>
    <s v="Tuesday"/>
    <s v="Morning"/>
  </r>
  <r>
    <x v="1156"/>
    <s v="2024-09-30 12:44:59"/>
    <x v="9"/>
    <s v="2024-10-29 11:08:59"/>
    <n v="695.4"/>
    <n v="29"/>
    <s v="Software Installation"/>
    <s v="Business Apps"/>
    <x v="0"/>
    <n v="240"/>
    <x v="0"/>
    <s v="Email"/>
    <s v="Tier 2"/>
    <s v="TECH-14"/>
    <s v="Senior"/>
    <x v="0"/>
    <s v="Yes"/>
    <n v="2"/>
    <s v="No"/>
    <n v="5"/>
    <n v="1"/>
    <n v="8.6"/>
    <s v="Yes"/>
    <s v="Good"/>
    <s v="Yes"/>
    <s v="IT"/>
    <s v="Monday"/>
    <s v="Afternoon"/>
  </r>
  <r>
    <x v="1157"/>
    <s v="2024-11-12 16:54:32"/>
    <x v="7"/>
    <s v="2024-11-16 07:54:32"/>
    <n v="87"/>
    <n v="3.6"/>
    <s v="Network Connectivity"/>
    <s v="VPN Connection"/>
    <x v="1"/>
    <n v="120"/>
    <x v="1"/>
    <s v="Email"/>
    <s v="Tier 2"/>
    <s v="TECH-12"/>
    <s v="Mid-level"/>
    <x v="0"/>
    <s v="Yes"/>
    <n v="1"/>
    <s v="No"/>
    <n v="8"/>
    <n v="6.4"/>
    <n v="5.9"/>
    <s v="Yes"/>
    <s v="Good"/>
    <s v="Yes"/>
    <s v="HR"/>
    <s v="Thursday"/>
    <s v="Afternoon"/>
  </r>
  <r>
    <x v="1158"/>
    <s v="2024-05-25 21:45:12"/>
    <x v="8"/>
    <s v="2024-06-07 12:21:12"/>
    <n v="302.60000000000002"/>
    <n v="12.6"/>
    <s v="Software Installation"/>
    <s v="Adobe Suite"/>
    <x v="0"/>
    <n v="240"/>
    <x v="0"/>
    <s v="Portal"/>
    <s v="Tier 2"/>
    <s v="TECH-17"/>
    <s v="Junior"/>
    <x v="0"/>
    <s v="Yes"/>
    <n v="1"/>
    <s v="No"/>
    <n v="4"/>
    <n v="1.3"/>
    <n v="10.1"/>
    <s v="No"/>
    <s v="Poor"/>
    <s v="No"/>
    <s v="Operations"/>
    <s v="Friday"/>
    <s v="Morning"/>
  </r>
  <r>
    <x v="1159"/>
    <s v="2024-12-06 18:19:39"/>
    <x v="0"/>
    <s v="2024-12-14 18:07:39"/>
    <n v="191.8"/>
    <n v="8"/>
    <s v="Email/Calendar"/>
    <s v="Distribution List"/>
    <x v="0"/>
    <n v="240"/>
    <x v="1"/>
    <s v="Email"/>
    <s v="Tier 1"/>
    <s v="TECH-7"/>
    <s v="Mid-level"/>
    <x v="1"/>
    <s v="No"/>
    <n v="0"/>
    <s v="No"/>
    <n v="10"/>
    <n v="1.5"/>
    <n v="9.6"/>
    <s v="No"/>
    <s v="Fair"/>
    <s v="Yes"/>
    <s v="Sales"/>
    <s v="Thursday"/>
    <s v="Morning"/>
  </r>
  <r>
    <x v="1160"/>
    <s v="2024-11-14 20:45:49"/>
    <x v="7"/>
    <s v="2024-11-17 22:45:49"/>
    <n v="74"/>
    <n v="3.1"/>
    <s v="Software Installation"/>
    <s v="MS Office"/>
    <x v="1"/>
    <n v="120"/>
    <x v="1"/>
    <s v="Portal"/>
    <s v="Tier 1"/>
    <s v="TECH-9"/>
    <s v="Junior"/>
    <x v="0"/>
    <s v="No"/>
    <n v="1"/>
    <s v="No"/>
    <n v="10"/>
    <n v="1.3"/>
    <n v="6.2"/>
    <s v="Yes"/>
    <s v="Good"/>
    <s v="No"/>
    <s v="IT"/>
    <s v="Wednesday"/>
    <s v="Morning"/>
  </r>
  <r>
    <x v="1161"/>
    <s v="2024-12-27 06:46:25"/>
    <x v="0"/>
    <s v="2025-01-06 09:46:25"/>
    <n v="243"/>
    <n v="10.1"/>
    <s v="Email/Calendar"/>
    <s v="Cannot Send/Receive"/>
    <x v="2"/>
    <n v="360"/>
    <x v="1"/>
    <s v="Email"/>
    <s v="Tier 2"/>
    <s v="TECH-13"/>
    <s v="Senior"/>
    <x v="0"/>
    <s v="Yes"/>
    <n v="1"/>
    <s v="No"/>
    <n v="8"/>
    <n v="1.8"/>
    <n v="19.600000000000001"/>
    <s v="Yes"/>
    <s v="Poor"/>
    <s v="No"/>
    <s v="Executive"/>
    <s v="Tuesday"/>
    <s v="Morning"/>
  </r>
  <r>
    <x v="1162"/>
    <s v="2024-06-22 01:26:19"/>
    <x v="10"/>
    <s v="2024-07-01 09:38:19"/>
    <n v="200.2"/>
    <n v="8.3000000000000007"/>
    <s v="Email/Calendar"/>
    <s v="Distribution List"/>
    <x v="0"/>
    <n v="240"/>
    <x v="1"/>
    <s v="Phone"/>
    <s v="Tier 1"/>
    <s v="TECH-7"/>
    <s v="Mid-level"/>
    <x v="1"/>
    <s v="No"/>
    <n v="0"/>
    <s v="No"/>
    <n v="10"/>
    <n v="4.2"/>
    <n v="11.6"/>
    <s v="Yes"/>
    <s v="Fair"/>
    <s v="Yes"/>
    <s v="Finance"/>
    <s v="Tuesday"/>
    <s v="Morning"/>
  </r>
  <r>
    <x v="1163"/>
    <s v="2024-12-28 04:50:24"/>
    <x v="0"/>
    <s v="2025-01-12 07:20:24"/>
    <n v="362.5"/>
    <n v="15.1"/>
    <s v="Email/Calendar"/>
    <s v="Calendar Sync"/>
    <x v="2"/>
    <n v="360"/>
    <x v="0"/>
    <s v="Phone"/>
    <s v="Tier 1"/>
    <s v="TECH-25"/>
    <s v="Junior"/>
    <x v="0"/>
    <s v="No"/>
    <n v="1"/>
    <s v="Yes"/>
    <n v="4"/>
    <n v="1"/>
    <n v="29.4"/>
    <s v="Yes"/>
    <s v="Poor"/>
    <s v="Yes"/>
    <s v="Sales"/>
    <s v="Friday"/>
    <s v="Morning"/>
  </r>
  <r>
    <x v="1164"/>
    <s v="2024-11-24 20:15:59"/>
    <x v="7"/>
    <s v="2024-12-03 02:39:59"/>
    <n v="198.4"/>
    <n v="8.3000000000000007"/>
    <s v="Software Installation"/>
    <s v="MS Office"/>
    <x v="0"/>
    <n v="240"/>
    <x v="1"/>
    <s v="Walk-in"/>
    <s v="Tier 2"/>
    <s v="TECH-1"/>
    <s v="Junior"/>
    <x v="0"/>
    <s v="Yes"/>
    <n v="4"/>
    <s v="No"/>
    <n v="8"/>
    <n v="1.4"/>
    <n v="17.7"/>
    <s v="Yes"/>
    <s v="Excellent"/>
    <s v="Yes"/>
    <s v="HR"/>
    <s v="Thursday"/>
    <s v="Afternoon"/>
  </r>
  <r>
    <x v="1165"/>
    <s v="2024-10-12 07:39:36"/>
    <x v="2"/>
    <s v="2024-10-24 08:27:36"/>
    <n v="288.8"/>
    <n v="12"/>
    <s v="Other"/>
    <s v="Documentation"/>
    <x v="0"/>
    <n v="240"/>
    <x v="0"/>
    <s v="Phone"/>
    <s v="Tier 1"/>
    <s v="TECH-6"/>
    <s v="Junior"/>
    <x v="0"/>
    <s v="No"/>
    <n v="1"/>
    <s v="No"/>
    <n v="3"/>
    <n v="0.1"/>
    <n v="15.5"/>
    <s v="No"/>
    <s v="Fair"/>
    <s v="No"/>
    <s v="HR"/>
    <s v="Thursday"/>
    <s v="Afternoon"/>
  </r>
  <r>
    <x v="1166"/>
    <s v="2024-06-19 07:35:19"/>
    <x v="10"/>
    <s v="2024-07-26 21:35:19"/>
    <n v="902"/>
    <n v="37.6"/>
    <s v="Other"/>
    <s v="General Inquiry"/>
    <x v="2"/>
    <n v="360"/>
    <x v="0"/>
    <s v="Email"/>
    <s v="Tier 1"/>
    <s v="TECH-5"/>
    <s v="Junior"/>
    <x v="0"/>
    <s v="No"/>
    <n v="1"/>
    <s v="No"/>
    <n v="7"/>
    <n v="0.1"/>
    <n v="28.1"/>
    <s v="No"/>
    <s v="Good"/>
    <s v="Yes"/>
    <s v="Marketing"/>
    <s v="Friday"/>
    <s v="Morning"/>
  </r>
  <r>
    <x v="1167"/>
    <s v="2024-02-21 00:17:59"/>
    <x v="6"/>
    <s v="2024-04-05 19:29:59"/>
    <n v="1050.2"/>
    <n v="43.8"/>
    <s v="Password Reset"/>
    <s v="Email Password"/>
    <x v="2"/>
    <n v="360"/>
    <x v="0"/>
    <s v="Email"/>
    <s v="Tier 1"/>
    <s v="TECH-17"/>
    <s v="Senior"/>
    <x v="1"/>
    <s v="No"/>
    <n v="0"/>
    <s v="No"/>
    <n v="6"/>
    <n v="3.4"/>
    <n v="24.5"/>
    <s v="No"/>
    <s v="Fair"/>
    <s v="Yes"/>
    <s v="HR"/>
    <s v="Monday"/>
    <s v="Morning"/>
  </r>
  <r>
    <x v="1168"/>
    <s v="2024-11-05 22:22:57"/>
    <x v="7"/>
    <s v="2024-11-13 07:46:57"/>
    <n v="177.4"/>
    <n v="7.4"/>
    <s v="Access Requests"/>
    <s v="Application Access"/>
    <x v="0"/>
    <n v="240"/>
    <x v="1"/>
    <s v="Email"/>
    <s v="Tier 1"/>
    <s v="TECH-10"/>
    <s v="Junior"/>
    <x v="1"/>
    <s v="No"/>
    <n v="0"/>
    <s v="No"/>
    <n v="10"/>
    <n v="3.1"/>
    <n v="11"/>
    <s v="Yes"/>
    <s v="Poor"/>
    <s v="No"/>
    <s v="Sales"/>
    <s v="Wednesday"/>
    <s v="Morning"/>
  </r>
  <r>
    <x v="1169"/>
    <s v="2024-09-09 23:42:10"/>
    <x v="9"/>
    <s v="2024-09-19 06:48:10"/>
    <n v="223.1"/>
    <n v="9.3000000000000007"/>
    <s v="Access Requests"/>
    <s v="Admin Rights"/>
    <x v="0"/>
    <n v="240"/>
    <x v="1"/>
    <s v="Portal"/>
    <s v="Tier 1"/>
    <s v="TECH-22"/>
    <s v="Mid-level"/>
    <x v="1"/>
    <s v="No"/>
    <n v="0"/>
    <s v="No"/>
    <n v="10"/>
    <n v="2.6"/>
    <n v="22.6"/>
    <s v="Yes"/>
    <s v="Good"/>
    <s v="Yes"/>
    <s v="Executive"/>
    <s v="Thursday"/>
    <s v="Morning"/>
  </r>
  <r>
    <x v="1170"/>
    <s v="2024-04-15 03:33:26"/>
    <x v="11"/>
    <s v="2024-04-25 10:57:26"/>
    <n v="247.4"/>
    <n v="10.3"/>
    <s v="Application Errors"/>
    <s v="Performance"/>
    <x v="0"/>
    <n v="240"/>
    <x v="0"/>
    <s v="Walk-in"/>
    <s v="Tier 2"/>
    <s v="TECH-23"/>
    <s v="Junior"/>
    <x v="0"/>
    <s v="Yes"/>
    <n v="3"/>
    <s v="No"/>
    <n v="5"/>
    <n v="2.4"/>
    <n v="33"/>
    <s v="Yes"/>
    <s v="Good"/>
    <s v="Yes"/>
    <s v="Operations"/>
    <s v="Tuesday"/>
    <s v="Morning"/>
  </r>
  <r>
    <x v="1171"/>
    <s v="2024-05-30 14:03:58"/>
    <x v="8"/>
    <s v="2024-06-02 20:39:58"/>
    <n v="78.599999999999994"/>
    <n v="3.3"/>
    <s v="Access Requests"/>
    <s v="VPN Access"/>
    <x v="1"/>
    <n v="120"/>
    <x v="1"/>
    <s v="Phone"/>
    <s v="Tier 2"/>
    <s v="TECH-22"/>
    <s v="Mid-level"/>
    <x v="0"/>
    <s v="Yes"/>
    <n v="1"/>
    <s v="No"/>
    <n v="5"/>
    <n v="1.5"/>
    <n v="33.200000000000003"/>
    <s v="No"/>
    <s v="Fair"/>
    <s v="Yes"/>
    <s v="Finance"/>
    <s v="Friday"/>
    <s v="Morning"/>
  </r>
  <r>
    <x v="1172"/>
    <s v="2024-08-25 01:41:18"/>
    <x v="1"/>
    <s v="2024-09-07 16:05:18"/>
    <n v="302.39999999999998"/>
    <n v="12.6"/>
    <s v="Password Reset"/>
    <s v="Account Unlock"/>
    <x v="2"/>
    <n v="360"/>
    <x v="1"/>
    <s v="Portal"/>
    <s v="Tier 1"/>
    <s v="TECH-9"/>
    <s v="Senior"/>
    <x v="1"/>
    <s v="No"/>
    <n v="0"/>
    <s v="No"/>
    <n v="6"/>
    <n v="5.4"/>
    <n v="7.1"/>
    <s v="Yes"/>
    <s v="Good"/>
    <s v="Yes"/>
    <s v="HR"/>
    <s v="Thursday"/>
    <s v="Evening"/>
  </r>
  <r>
    <x v="1173"/>
    <s v="2024-11-26 08:52:33"/>
    <x v="7"/>
    <s v="2024-11-30 10:52:33"/>
    <n v="98"/>
    <n v="4.0999999999999996"/>
    <s v="Email/Calendar"/>
    <s v="Mailbox Full"/>
    <x v="1"/>
    <n v="120"/>
    <x v="1"/>
    <s v="Phone"/>
    <s v="Tier 1"/>
    <s v="TECH-6"/>
    <s v="Junior"/>
    <x v="0"/>
    <s v="No"/>
    <n v="1"/>
    <s v="No"/>
    <n v="8"/>
    <n v="5.2"/>
    <n v="0"/>
    <s v="No"/>
    <s v="Excellent"/>
    <s v="No"/>
    <s v="IT"/>
    <s v="Thursday"/>
    <s v="Afternoon"/>
  </r>
  <r>
    <x v="1174"/>
    <s v="2024-03-08 08:15:01"/>
    <x v="5"/>
    <s v="2024-03-17 14:39:01"/>
    <n v="222.4"/>
    <n v="9.3000000000000007"/>
    <s v="Password Reset"/>
    <s v="Email Password"/>
    <x v="2"/>
    <n v="360"/>
    <x v="1"/>
    <s v="Email"/>
    <s v="Tier 1"/>
    <s v="TECH-7"/>
    <s v="Senior"/>
    <x v="1"/>
    <s v="No"/>
    <n v="0"/>
    <s v="No"/>
    <n v="10"/>
    <n v="1.6"/>
    <n v="0.8"/>
    <s v="Yes"/>
    <s v="Poor"/>
    <s v="Yes"/>
    <s v="HR"/>
    <s v="Wednesday"/>
    <s v="Afternoon"/>
  </r>
  <r>
    <x v="1175"/>
    <s v="2024-03-28 13:31:37"/>
    <x v="5"/>
    <s v="2024-04-02 04:25:37"/>
    <n v="109.9"/>
    <n v="4.5999999999999996"/>
    <s v="Hardware Issues"/>
    <s v="Keyboard/Mouse"/>
    <x v="1"/>
    <n v="120"/>
    <x v="1"/>
    <s v="Phone"/>
    <s v="Tier 1"/>
    <s v="TECH-5"/>
    <s v="Mid-level"/>
    <x v="0"/>
    <s v="No"/>
    <n v="1"/>
    <s v="Yes"/>
    <n v="5"/>
    <n v="2.4"/>
    <n v="14.6"/>
    <s v="No"/>
    <s v="Good"/>
    <s v="Yes"/>
    <s v="Marketing"/>
    <s v="Thursday"/>
    <s v="Afternoon"/>
  </r>
  <r>
    <x v="1176"/>
    <s v="2024-12-14 23:34:42"/>
    <x v="0"/>
    <s v="2024-12-27 02:34:42"/>
    <n v="291"/>
    <n v="12.1"/>
    <s v="Software Installation"/>
    <s v="Drivers"/>
    <x v="0"/>
    <n v="240"/>
    <x v="0"/>
    <s v="Email"/>
    <s v="Tier 1"/>
    <s v="TECH-13"/>
    <s v="Mid-level"/>
    <x v="0"/>
    <s v="No"/>
    <n v="1"/>
    <s v="Yes"/>
    <n v="7"/>
    <n v="3.4"/>
    <n v="0"/>
    <s v="Yes"/>
    <s v="Good"/>
    <s v="Yes"/>
    <s v="Executive"/>
    <s v="Thursday"/>
    <s v="Evening"/>
  </r>
  <r>
    <x v="1177"/>
    <s v="2024-11-20 02:02:47"/>
    <x v="7"/>
    <s v="2024-11-25 12:50:47"/>
    <n v="130.80000000000001"/>
    <n v="5.5"/>
    <s v="Network Connectivity"/>
    <s v="Ethernet"/>
    <x v="1"/>
    <n v="120"/>
    <x v="0"/>
    <s v="Email"/>
    <s v="Tier 2"/>
    <s v="TECH-23"/>
    <s v="Senior"/>
    <x v="0"/>
    <s v="Yes"/>
    <n v="3"/>
    <s v="No"/>
    <n v="8"/>
    <n v="3.1"/>
    <n v="36.1"/>
    <s v="No"/>
    <s v="Poor"/>
    <s v="Yes"/>
    <s v="IT"/>
    <s v="Thursday"/>
    <s v="Afternoon"/>
  </r>
  <r>
    <x v="1178"/>
    <s v="2024-03-09 07:26:51"/>
    <x v="5"/>
    <s v="2024-03-12 21:44:51"/>
    <n v="86.3"/>
    <n v="3.6"/>
    <s v="Network Connectivity"/>
    <s v="Ethernet"/>
    <x v="1"/>
    <n v="120"/>
    <x v="1"/>
    <s v="Phone"/>
    <s v="Tier 1"/>
    <s v="TECH-4"/>
    <s v="Junior"/>
    <x v="1"/>
    <s v="No"/>
    <n v="0"/>
    <s v="No"/>
    <n v="8"/>
    <n v="1.2"/>
    <n v="26.4"/>
    <s v="Yes"/>
    <s v="Poor"/>
    <s v="No"/>
    <s v="IT"/>
    <s v="Wednesday"/>
    <s v="Afternoon"/>
  </r>
  <r>
    <x v="1179"/>
    <s v="2024-02-01 11:53:25"/>
    <x v="6"/>
    <s v="2024-02-05 19:17:25"/>
    <n v="103.4"/>
    <n v="4.3"/>
    <s v="Other"/>
    <s v="Training Request"/>
    <x v="1"/>
    <n v="120"/>
    <x v="1"/>
    <s v="Email"/>
    <s v="Tier 1"/>
    <s v="TECH-23"/>
    <s v="Senior"/>
    <x v="0"/>
    <s v="No"/>
    <n v="1"/>
    <s v="No"/>
    <n v="7"/>
    <n v="0.9"/>
    <n v="34.200000000000003"/>
    <s v="Yes"/>
    <s v="Poor"/>
    <s v="No"/>
    <s v="Operations"/>
    <s v="Friday"/>
    <s v="Afternoon"/>
  </r>
  <r>
    <x v="1180"/>
    <s v="2024-04-08 04:39:11"/>
    <x v="11"/>
    <s v="2024-04-12 19:27:11"/>
    <n v="110.8"/>
    <n v="4.5999999999999996"/>
    <s v="Email/Calendar"/>
    <s v="Calendar Sync"/>
    <x v="1"/>
    <n v="120"/>
    <x v="1"/>
    <s v="Phone"/>
    <s v="Tier 1"/>
    <s v="TECH-15"/>
    <s v="Mid-level"/>
    <x v="0"/>
    <s v="No"/>
    <n v="1"/>
    <s v="No"/>
    <n v="7"/>
    <n v="2.2000000000000002"/>
    <n v="30.5"/>
    <s v="No"/>
    <s v="Poor"/>
    <s v="No"/>
    <s v="Operations"/>
    <s v="Tuesday"/>
    <s v="Afternoon"/>
  </r>
  <r>
    <x v="1181"/>
    <s v="2024-05-23 10:08:36"/>
    <x v="8"/>
    <s v="2024-05-26 16:38:36"/>
    <n v="78.5"/>
    <n v="3.3"/>
    <s v="Application Errors"/>
    <s v="Login Issues"/>
    <x v="1"/>
    <n v="120"/>
    <x v="1"/>
    <s v="Chat"/>
    <s v="Tier 2"/>
    <s v="TECH-17"/>
    <s v="Junior"/>
    <x v="0"/>
    <s v="Yes"/>
    <n v="3"/>
    <s v="No"/>
    <n v="7"/>
    <n v="5.6"/>
    <n v="18"/>
    <s v="Yes"/>
    <s v="Excellent"/>
    <s v="Yes"/>
    <s v="HR"/>
    <s v="Friday"/>
    <s v="Morning"/>
  </r>
  <r>
    <x v="1182"/>
    <s v="2024-07-26 21:21:50"/>
    <x v="4"/>
    <s v="2024-08-08 21:03:50"/>
    <n v="311.7"/>
    <n v="13"/>
    <s v="Network Connectivity"/>
    <s v="WiFi Issues"/>
    <x v="2"/>
    <n v="360"/>
    <x v="1"/>
    <s v="Walk-in"/>
    <s v="Tier 1"/>
    <s v="TECH-11"/>
    <s v="Junior"/>
    <x v="1"/>
    <s v="No"/>
    <n v="0"/>
    <s v="No"/>
    <n v="9"/>
    <n v="1.4"/>
    <n v="18.7"/>
    <s v="No"/>
    <s v="Poor"/>
    <s v="No"/>
    <s v="Operations"/>
    <s v="Friday"/>
    <s v="Afternoon"/>
  </r>
  <r>
    <x v="1183"/>
    <s v="2024-11-13 03:08:21"/>
    <x v="7"/>
    <s v="2024-11-27 03:38:21"/>
    <n v="336.5"/>
    <n v="14"/>
    <s v="Application Errors"/>
    <s v="Performance"/>
    <x v="0"/>
    <n v="240"/>
    <x v="0"/>
    <s v="Phone"/>
    <s v="Tier 2"/>
    <s v="TECH-23"/>
    <s v="Senior"/>
    <x v="0"/>
    <s v="Yes"/>
    <n v="2"/>
    <s v="No"/>
    <n v="5"/>
    <n v="1.7"/>
    <n v="41"/>
    <s v="Yes"/>
    <s v="Fair"/>
    <s v="Yes"/>
    <s v="Sales"/>
    <s v="Friday"/>
    <s v="Afternoon"/>
  </r>
  <r>
    <x v="1184"/>
    <s v="2024-01-15 18:01:41"/>
    <x v="3"/>
    <s v="2024-01-22 01:01:41"/>
    <n v="175"/>
    <n v="7.3"/>
    <s v="Email/Calendar"/>
    <s v="Distribution List"/>
    <x v="0"/>
    <n v="240"/>
    <x v="1"/>
    <s v="Email"/>
    <s v="Tier 1"/>
    <s v="TECH-16"/>
    <s v="Mid-level"/>
    <x v="0"/>
    <s v="No"/>
    <n v="1"/>
    <s v="No"/>
    <n v="10"/>
    <n v="1.4"/>
    <n v="24.1"/>
    <s v="Yes"/>
    <s v="Poor"/>
    <s v="Yes"/>
    <s v="Legal"/>
    <s v="Monday"/>
    <s v="Afternoon"/>
  </r>
  <r>
    <x v="1185"/>
    <s v="2024-12-25 05:17:17"/>
    <x v="0"/>
    <s v="2024-12-28 02:35:17"/>
    <n v="69.3"/>
    <n v="2.9"/>
    <s v="Access Requests"/>
    <s v="Admin Rights"/>
    <x v="3"/>
    <n v="48"/>
    <x v="0"/>
    <s v="Phone"/>
    <s v="Tier 1"/>
    <s v="TECH-21"/>
    <s v="Junior"/>
    <x v="1"/>
    <s v="No"/>
    <n v="0"/>
    <s v="Yes"/>
    <n v="6"/>
    <n v="2.8"/>
    <n v="19.8"/>
    <s v="Yes"/>
    <s v="Poor"/>
    <s v="Yes"/>
    <s v="Sales"/>
    <s v="Thursday"/>
    <s v="Morning"/>
  </r>
  <r>
    <x v="1186"/>
    <s v="2024-06-27 11:43:07"/>
    <x v="10"/>
    <s v="2024-07-05 05:13:07"/>
    <n v="185.5"/>
    <n v="7.7"/>
    <s v="Access Requests"/>
    <s v="VPN Access"/>
    <x v="0"/>
    <n v="240"/>
    <x v="1"/>
    <s v="Portal"/>
    <s v="Tier 1"/>
    <s v="TECH-6"/>
    <s v="Mid-level"/>
    <x v="1"/>
    <s v="No"/>
    <n v="0"/>
    <s v="No"/>
    <n v="10"/>
    <n v="1.5"/>
    <n v="9.1"/>
    <s v="Yes"/>
    <s v="Fair"/>
    <s v="Yes"/>
    <s v="HR"/>
    <s v="Wednesday"/>
    <s v="Afternoon"/>
  </r>
  <r>
    <x v="1187"/>
    <s v="2024-03-17 02:48:42"/>
    <x v="5"/>
    <s v="2024-03-26 09:42:42"/>
    <n v="222.9"/>
    <n v="9.3000000000000007"/>
    <s v="Hardware Issues"/>
    <s v="Monitor"/>
    <x v="2"/>
    <n v="360"/>
    <x v="1"/>
    <s v="Phone"/>
    <s v="Tier 2"/>
    <s v="TECH-2"/>
    <s v="Junior"/>
    <x v="0"/>
    <s v="Yes"/>
    <n v="1"/>
    <s v="No"/>
    <n v="8"/>
    <n v="2.5"/>
    <n v="24.7"/>
    <s v="Yes"/>
    <s v="Good"/>
    <s v="No"/>
    <s v="Legal"/>
    <s v="Friday"/>
    <s v="Afternoon"/>
  </r>
  <r>
    <x v="1188"/>
    <s v="2024-11-28 09:33:43"/>
    <x v="7"/>
    <s v="2024-12-16 15:33:43"/>
    <n v="438"/>
    <n v="18.3"/>
    <s v="Software Installation"/>
    <s v="MS Office"/>
    <x v="2"/>
    <n v="360"/>
    <x v="0"/>
    <s v="Portal"/>
    <s v="Tier 1"/>
    <s v="TECH-4"/>
    <s v="Mid-level"/>
    <x v="0"/>
    <s v="No"/>
    <n v="1"/>
    <s v="No"/>
    <n v="4"/>
    <n v="1.4"/>
    <n v="18.600000000000001"/>
    <s v="Yes"/>
    <s v="Good"/>
    <s v="Yes"/>
    <s v="Operations"/>
    <s v="Tuesday"/>
    <s v="Afternoon"/>
  </r>
  <r>
    <x v="1189"/>
    <s v="2024-10-15 07:14:17"/>
    <x v="2"/>
    <s v="2024-10-18 21:08:17"/>
    <n v="85.9"/>
    <n v="3.6"/>
    <s v="Application Errors"/>
    <s v="Crash"/>
    <x v="1"/>
    <n v="120"/>
    <x v="1"/>
    <s v="Phone"/>
    <s v="Tier 1"/>
    <s v="TECH-18"/>
    <s v="Senior"/>
    <x v="0"/>
    <s v="No"/>
    <n v="1"/>
    <s v="Yes"/>
    <n v="7"/>
    <n v="3.5"/>
    <n v="8.4"/>
    <s v="No"/>
    <s v="Poor"/>
    <s v="No"/>
    <s v="HR"/>
    <s v="Thursday"/>
    <s v="Morning"/>
  </r>
  <r>
    <x v="1190"/>
    <s v="2024-12-10 06:46:07"/>
    <x v="0"/>
    <s v="2024-12-23 21:28:07"/>
    <n v="326.7"/>
    <n v="13.6"/>
    <s v="Access Requests"/>
    <s v="Admin Rights"/>
    <x v="2"/>
    <n v="360"/>
    <x v="1"/>
    <s v="Phone"/>
    <s v="Tier 1"/>
    <s v="TECH-6"/>
    <s v="Senior"/>
    <x v="1"/>
    <s v="No"/>
    <n v="0"/>
    <s v="Yes"/>
    <n v="7"/>
    <n v="0.1"/>
    <n v="7.7"/>
    <s v="Yes"/>
    <s v="Fair"/>
    <s v="No"/>
    <s v="IT"/>
    <s v="Friday"/>
    <s v="Afternoon"/>
  </r>
  <r>
    <x v="1191"/>
    <s v="2024-01-18 13:49:00"/>
    <x v="3"/>
    <s v="2024-01-29 18:49:00"/>
    <n v="269"/>
    <n v="11.2"/>
    <s v="Password Reset"/>
    <s v="Application Password"/>
    <x v="2"/>
    <n v="360"/>
    <x v="1"/>
    <s v="Phone"/>
    <s v="Tier 1"/>
    <s v="TECH-6"/>
    <s v="Mid-level"/>
    <x v="0"/>
    <s v="No"/>
    <n v="1"/>
    <s v="No"/>
    <n v="8"/>
    <n v="4"/>
    <n v="7.4"/>
    <s v="No"/>
    <s v="Poor"/>
    <s v="No"/>
    <s v="Legal"/>
    <s v="Monday"/>
    <s v="Evening"/>
  </r>
  <r>
    <x v="1192"/>
    <s v="2024-12-05 19:21:35"/>
    <x v="0"/>
    <s v="2024-12-10 03:33:35"/>
    <n v="104.2"/>
    <n v="4.3"/>
    <s v="Password Reset"/>
    <s v="Email Password"/>
    <x v="1"/>
    <n v="120"/>
    <x v="1"/>
    <s v="Email"/>
    <s v="Tier 1"/>
    <s v="TECH-2"/>
    <s v="Junior"/>
    <x v="1"/>
    <s v="No"/>
    <n v="0"/>
    <s v="Yes"/>
    <n v="10"/>
    <n v="0.1"/>
    <n v="23.1"/>
    <s v="No"/>
    <s v="Good"/>
    <s v="Yes"/>
    <s v="Finance"/>
    <s v="Friday"/>
    <s v="Morning"/>
  </r>
  <r>
    <x v="1193"/>
    <s v="2024-08-20 07:14:17"/>
    <x v="1"/>
    <s v="2024-08-31 11:26:17"/>
    <n v="268.2"/>
    <n v="11.2"/>
    <s v="Other"/>
    <s v="Miscellaneous"/>
    <x v="2"/>
    <n v="360"/>
    <x v="1"/>
    <s v="Portal"/>
    <s v="Tier 1"/>
    <s v="TECH-20"/>
    <s v="Senior"/>
    <x v="0"/>
    <s v="No"/>
    <n v="1"/>
    <s v="No"/>
    <n v="8"/>
    <n v="3.7"/>
    <n v="18.399999999999999"/>
    <s v="Yes"/>
    <s v="Poor"/>
    <s v="No"/>
    <s v="HR"/>
    <s v="Thursday"/>
    <s v="Morning"/>
  </r>
  <r>
    <x v="1194"/>
    <s v="2024-12-04 05:31:07"/>
    <x v="0"/>
    <s v="2024-12-17 18:13:07"/>
    <n v="324.7"/>
    <n v="13.5"/>
    <s v="Access Requests"/>
    <s v="Application Access"/>
    <x v="2"/>
    <n v="360"/>
    <x v="1"/>
    <s v="Email"/>
    <s v="Tier 1"/>
    <s v="TECH-23"/>
    <s v="Junior"/>
    <x v="1"/>
    <s v="No"/>
    <n v="0"/>
    <s v="No"/>
    <n v="10"/>
    <n v="3.2"/>
    <n v="26.5"/>
    <s v="Yes"/>
    <s v="Fair"/>
    <s v="Yes"/>
    <s v="IT"/>
    <s v="Friday"/>
    <s v="Morning"/>
  </r>
  <r>
    <x v="1195"/>
    <s v="2024-02-22 02:10:09"/>
    <x v="6"/>
    <s v="2024-02-26 13:10:09"/>
    <n v="107"/>
    <n v="4.5"/>
    <s v="Network Connectivity"/>
    <s v="WiFi Issues"/>
    <x v="1"/>
    <n v="120"/>
    <x v="1"/>
    <s v="Phone"/>
    <s v="Tier 2"/>
    <s v="TECH-13"/>
    <s v="Mid-level"/>
    <x v="0"/>
    <s v="Yes"/>
    <n v="4"/>
    <s v="No"/>
    <n v="8"/>
    <n v="2.9"/>
    <n v="22.5"/>
    <s v="Yes"/>
    <s v="Good"/>
    <s v="No"/>
    <s v="IT"/>
    <s v="Friday"/>
    <s v="Morning"/>
  </r>
  <r>
    <x v="1196"/>
    <s v="2024-09-22 01:19:49"/>
    <x v="9"/>
    <s v="2024-10-07 21:37:49"/>
    <n v="356.3"/>
    <n v="14.8"/>
    <s v="Application Errors"/>
    <s v="Features Not Working"/>
    <x v="0"/>
    <n v="240"/>
    <x v="0"/>
    <s v="Portal"/>
    <s v="Tier 2"/>
    <s v="TECH-5"/>
    <s v="Mid-level"/>
    <x v="0"/>
    <s v="Yes"/>
    <n v="3"/>
    <s v="No"/>
    <n v="7"/>
    <n v="4.8"/>
    <n v="20.8"/>
    <s v="No"/>
    <s v="Fair"/>
    <s v="No"/>
    <s v="Marketing"/>
    <s v="Wednesday"/>
    <s v="Afternoon"/>
  </r>
  <r>
    <x v="1197"/>
    <s v="2024-09-15 06:34:06"/>
    <x v="9"/>
    <s v="2024-09-19 04:58:06"/>
    <n v="94.4"/>
    <n v="3.9"/>
    <s v="Software Installation"/>
    <s v="Business Apps"/>
    <x v="1"/>
    <n v="120"/>
    <x v="1"/>
    <s v="Email"/>
    <s v="Tier 2"/>
    <s v="TECH-1"/>
    <s v="Senior"/>
    <x v="0"/>
    <s v="Yes"/>
    <n v="1"/>
    <s v="No"/>
    <n v="9"/>
    <n v="2"/>
    <n v="9.9"/>
    <s v="Yes"/>
    <s v="Fair"/>
    <s v="No"/>
    <s v="Sales"/>
    <s v="Tuesday"/>
    <s v="Morning"/>
  </r>
  <r>
    <x v="1198"/>
    <s v="2024-03-02 05:01:14"/>
    <x v="5"/>
    <s v="2024-03-15 05:55:14"/>
    <n v="312.89999999999998"/>
    <n v="13"/>
    <s v="Access Requests"/>
    <s v="File Share"/>
    <x v="0"/>
    <n v="240"/>
    <x v="0"/>
    <s v="Phone"/>
    <s v="Tier 1"/>
    <s v="TECH-12"/>
    <s v="Mid-level"/>
    <x v="1"/>
    <s v="No"/>
    <n v="0"/>
    <s v="No"/>
    <n v="6"/>
    <n v="3.6"/>
    <n v="29"/>
    <s v="Yes"/>
    <s v="Poor"/>
    <s v="No"/>
    <s v="Finance"/>
    <s v="Tuesday"/>
    <s v="Afternoon"/>
  </r>
  <r>
    <x v="1199"/>
    <s v="2024-07-28 08:16:27"/>
    <x v="4"/>
    <s v="2024-07-31 21:28:27"/>
    <n v="85.2"/>
    <n v="3.6"/>
    <s v="Software Installation"/>
    <s v="VPN Client"/>
    <x v="1"/>
    <n v="120"/>
    <x v="1"/>
    <s v="Portal"/>
    <s v="Tier 1"/>
    <s v="TECH-21"/>
    <s v="Junior"/>
    <x v="1"/>
    <s v="No"/>
    <n v="0"/>
    <s v="No"/>
    <n v="8"/>
    <n v="1.5"/>
    <n v="22.2"/>
    <s v="Yes"/>
    <s v="Fair"/>
    <s v="Yes"/>
    <s v="Marketing"/>
    <s v="Monday"/>
    <s v="Morning"/>
  </r>
  <r>
    <x v="1200"/>
    <s v="2024-03-09 23:09:45"/>
    <x v="5"/>
    <s v="2024-03-16 10:15:45"/>
    <n v="155.1"/>
    <n v="6.5"/>
    <s v="Access Requests"/>
    <s v="Admin Rights"/>
    <x v="0"/>
    <n v="240"/>
    <x v="1"/>
    <s v="Email"/>
    <s v="Tier 1"/>
    <s v="TECH-13"/>
    <s v="Mid-level"/>
    <x v="0"/>
    <s v="No"/>
    <n v="1"/>
    <s v="No"/>
    <n v="7"/>
    <n v="2.2000000000000002"/>
    <n v="6.6"/>
    <s v="No"/>
    <s v="Fair"/>
    <s v="No"/>
    <s v="Operations"/>
    <s v="Thursday"/>
    <s v="Afternoon"/>
  </r>
  <r>
    <x v="1201"/>
    <s v="2024-10-19 18:29:59"/>
    <x v="2"/>
    <s v="2024-11-02 19:17:59"/>
    <n v="337.8"/>
    <n v="14.1"/>
    <s v="Password Reset"/>
    <s v="Windows Password"/>
    <x v="2"/>
    <n v="360"/>
    <x v="1"/>
    <s v="Chat"/>
    <s v="Tier 1"/>
    <s v="TECH-22"/>
    <s v="Senior"/>
    <x v="1"/>
    <s v="No"/>
    <n v="0"/>
    <s v="No"/>
    <n v="10"/>
    <n v="1.5"/>
    <n v="12.2"/>
    <s v="Yes"/>
    <s v="Poor"/>
    <s v="No"/>
    <s v="Legal"/>
    <s v="Wednesday"/>
    <s v="Morning"/>
  </r>
  <r>
    <x v="1202"/>
    <s v="2024-12-01 23:43:48"/>
    <x v="0"/>
    <s v="2024-12-05 23:49:48"/>
    <n v="96.1"/>
    <n v="4"/>
    <s v="Application Errors"/>
    <s v="Performance"/>
    <x v="1"/>
    <n v="120"/>
    <x v="1"/>
    <s v="Portal"/>
    <s v="Tier 1"/>
    <s v="TECH-1"/>
    <s v="Mid-level"/>
    <x v="0"/>
    <s v="No"/>
    <n v="1"/>
    <s v="No"/>
    <n v="8"/>
    <n v="2.9"/>
    <n v="0"/>
    <s v="Yes"/>
    <s v="Poor"/>
    <s v="Yes"/>
    <s v="Marketing"/>
    <s v="Monday"/>
    <s v="Afternoon"/>
  </r>
  <r>
    <x v="1203"/>
    <s v="2024-02-28 10:08:14"/>
    <x v="6"/>
    <s v="2024-03-02 13:02:14"/>
    <n v="74.900000000000006"/>
    <n v="3.1"/>
    <s v="Software Installation"/>
    <s v="VPN Client"/>
    <x v="1"/>
    <n v="120"/>
    <x v="1"/>
    <s v="Email"/>
    <s v="Tier 1"/>
    <s v="TECH-17"/>
    <s v="Junior"/>
    <x v="1"/>
    <s v="No"/>
    <n v="0"/>
    <s v="No"/>
    <n v="10"/>
    <n v="1.4"/>
    <n v="26.7"/>
    <s v="No"/>
    <s v="Good"/>
    <s v="Yes"/>
    <s v="Sales"/>
    <s v="Friday"/>
    <s v="Evening"/>
  </r>
  <r>
    <x v="1204"/>
    <s v="2024-01-28 18:16:52"/>
    <x v="3"/>
    <s v="2024-02-05 23:22:52"/>
    <n v="197.1"/>
    <n v="8.1999999999999993"/>
    <s v="Email/Calendar"/>
    <s v="Cannot Send/Receive"/>
    <x v="0"/>
    <n v="240"/>
    <x v="1"/>
    <s v="Portal"/>
    <s v="Tier 2"/>
    <s v="TECH-6"/>
    <s v="Senior"/>
    <x v="0"/>
    <s v="Yes"/>
    <n v="3"/>
    <s v="No"/>
    <n v="6"/>
    <n v="0.4"/>
    <n v="9.1"/>
    <s v="Yes"/>
    <s v="Excellent"/>
    <s v="Yes"/>
    <s v="IT"/>
    <s v="Friday"/>
    <s v="Morning"/>
  </r>
  <r>
    <x v="1205"/>
    <s v="2024-12-07 10:37:04"/>
    <x v="0"/>
    <s v="2024-12-16 20:55:04"/>
    <n v="226.3"/>
    <n v="9.4"/>
    <s v="Password Reset"/>
    <s v="Account Unlock"/>
    <x v="2"/>
    <n v="360"/>
    <x v="1"/>
    <s v="Phone"/>
    <s v="Tier 1"/>
    <s v="TECH-24"/>
    <s v="Mid-level"/>
    <x v="1"/>
    <s v="No"/>
    <n v="0"/>
    <s v="No"/>
    <n v="10"/>
    <n v="0.5"/>
    <n v="0"/>
    <s v="Yes"/>
    <s v="Good"/>
    <s v="Yes"/>
    <s v="HR"/>
    <s v="Thursday"/>
    <s v="Afternoon"/>
  </r>
  <r>
    <x v="1206"/>
    <s v="2024-02-19 22:20:52"/>
    <x v="6"/>
    <s v="2024-03-01 17:50:52"/>
    <n v="259.5"/>
    <n v="10.8"/>
    <s v="Password Reset"/>
    <s v="Application Password"/>
    <x v="2"/>
    <n v="360"/>
    <x v="1"/>
    <s v="Phone"/>
    <s v="Tier 1"/>
    <s v="TECH-25"/>
    <s v="Mid-level"/>
    <x v="1"/>
    <s v="No"/>
    <n v="0"/>
    <s v="No"/>
    <n v="10"/>
    <n v="4.3"/>
    <n v="6.1"/>
    <s v="Yes"/>
    <s v="Fair"/>
    <s v="No"/>
    <s v="HR"/>
    <s v="Thursday"/>
    <s v="Morning"/>
  </r>
  <r>
    <x v="1207"/>
    <s v="2024-11-03 00:43:05"/>
    <x v="7"/>
    <s v="2024-11-07 18:13:05"/>
    <n v="89.5"/>
    <n v="3.7"/>
    <s v="Email/Calendar"/>
    <s v="Mailbox Full"/>
    <x v="1"/>
    <n v="120"/>
    <x v="1"/>
    <s v="Email"/>
    <s v="Tier 1"/>
    <s v="TECH-8"/>
    <s v="Junior"/>
    <x v="1"/>
    <s v="No"/>
    <n v="0"/>
    <s v="No"/>
    <n v="10"/>
    <n v="1.7"/>
    <n v="35.299999999999997"/>
    <s v="Yes"/>
    <s v="Good"/>
    <s v="Yes"/>
    <s v="HR"/>
    <s v="Thursday"/>
    <s v="Afternoon"/>
  </r>
  <r>
    <x v="1208"/>
    <s v="2024-10-13 17:33:50"/>
    <x v="2"/>
    <s v="2024-10-27 07:57:50"/>
    <n v="327.39999999999998"/>
    <n v="13.6"/>
    <s v="Password Reset"/>
    <s v="Windows Password"/>
    <x v="2"/>
    <n v="360"/>
    <x v="1"/>
    <s v="Email"/>
    <s v="Tier 1"/>
    <s v="TECH-11"/>
    <s v="Junior"/>
    <x v="0"/>
    <s v="No"/>
    <n v="1"/>
    <s v="Yes"/>
    <n v="6"/>
    <n v="3.7"/>
    <n v="10"/>
    <s v="No"/>
    <s v="Poor"/>
    <s v="Yes"/>
    <s v="Operations"/>
    <s v="Friday"/>
    <s v="Morning"/>
  </r>
  <r>
    <x v="1209"/>
    <s v="2024-01-12 06:48:34"/>
    <x v="3"/>
    <s v="2024-01-21 10:54:34"/>
    <n v="220.1"/>
    <n v="9.1999999999999993"/>
    <s v="Access Requests"/>
    <s v="Admin Rights"/>
    <x v="0"/>
    <n v="240"/>
    <x v="1"/>
    <s v="Portal"/>
    <s v="Tier 1"/>
    <s v="TECH-12"/>
    <s v="Mid-level"/>
    <x v="0"/>
    <s v="No"/>
    <n v="1"/>
    <s v="No"/>
    <n v="9"/>
    <n v="1.8"/>
    <n v="12.1"/>
    <s v="Yes"/>
    <s v="Fair"/>
    <s v="Yes"/>
    <s v="Operations"/>
    <s v="Wednesday"/>
    <s v="Morning"/>
  </r>
  <r>
    <x v="1210"/>
    <s v="2024-12-18 04:45:21"/>
    <x v="0"/>
    <s v="2024-12-22 12:45:21"/>
    <n v="104"/>
    <n v="4.3"/>
    <s v="Network Connectivity"/>
    <s v="Slow Network"/>
    <x v="1"/>
    <n v="120"/>
    <x v="1"/>
    <s v="Email"/>
    <s v="Tier 2"/>
    <s v="TECH-21"/>
    <s v="Junior"/>
    <x v="0"/>
    <s v="Yes"/>
    <n v="4"/>
    <s v="No"/>
    <n v="10"/>
    <n v="1"/>
    <n v="20"/>
    <s v="No"/>
    <s v="Fair"/>
    <s v="Yes"/>
    <s v="HR"/>
    <s v="Wednesday"/>
    <s v="Afternoon"/>
  </r>
  <r>
    <x v="1211"/>
    <s v="2024-04-15 09:42:16"/>
    <x v="11"/>
    <s v="2024-04-29 07:54:16"/>
    <n v="334.2"/>
    <n v="13.9"/>
    <s v="Other"/>
    <s v="Training Request"/>
    <x v="2"/>
    <n v="360"/>
    <x v="1"/>
    <s v="Portal"/>
    <s v="Tier 1"/>
    <s v="TECH-22"/>
    <s v="Junior"/>
    <x v="1"/>
    <s v="No"/>
    <n v="0"/>
    <s v="No"/>
    <n v="10"/>
    <n v="4.3"/>
    <n v="18.399999999999999"/>
    <s v="Yes"/>
    <s v="Good"/>
    <s v="Yes"/>
    <s v="HR"/>
    <s v="Wednesday"/>
    <s v="Afternoon"/>
  </r>
  <r>
    <x v="1212"/>
    <s v="2024-02-28 07:04:48"/>
    <x v="6"/>
    <s v="2024-03-07 20:16:48"/>
    <n v="205.2"/>
    <n v="8.5"/>
    <s v="Access Requests"/>
    <s v="VPN Access"/>
    <x v="0"/>
    <n v="240"/>
    <x v="1"/>
    <s v="Portal"/>
    <s v="Tier 1"/>
    <s v="TECH-22"/>
    <s v="Mid-level"/>
    <x v="0"/>
    <s v="No"/>
    <n v="1"/>
    <s v="No"/>
    <n v="9"/>
    <n v="3.7"/>
    <n v="26.9"/>
    <s v="Yes"/>
    <s v="Fair"/>
    <s v="No"/>
    <s v="HR"/>
    <s v="Tuesday"/>
    <s v="Afternoon"/>
  </r>
  <r>
    <x v="1213"/>
    <s v="2024-09-15 06:30:25"/>
    <x v="9"/>
    <s v="2024-09-19 03:36:25"/>
    <n v="93.1"/>
    <n v="3.9"/>
    <s v="Network Connectivity"/>
    <s v="VPN Connection"/>
    <x v="1"/>
    <n v="120"/>
    <x v="1"/>
    <s v="Walk-in"/>
    <s v="Tier 1"/>
    <s v="TECH-15"/>
    <s v="Senior"/>
    <x v="1"/>
    <s v="No"/>
    <n v="0"/>
    <s v="No"/>
    <n v="8"/>
    <n v="1"/>
    <n v="15.4"/>
    <s v="Yes"/>
    <s v="Poor"/>
    <s v="Yes"/>
    <s v="Marketing"/>
    <s v="Tuesday"/>
    <s v="Evening"/>
  </r>
  <r>
    <x v="1214"/>
    <s v="2024-06-05 08:46:37"/>
    <x v="10"/>
    <s v="2024-06-12 18:52:37"/>
    <n v="178.1"/>
    <n v="7.4"/>
    <s v="Network Connectivity"/>
    <s v="Ethernet"/>
    <x v="0"/>
    <n v="240"/>
    <x v="1"/>
    <s v="Walk-in"/>
    <s v="Tier 1"/>
    <s v="TECH-16"/>
    <s v="Senior"/>
    <x v="0"/>
    <s v="No"/>
    <n v="1"/>
    <s v="No"/>
    <n v="8"/>
    <n v="0.1"/>
    <n v="33.799999999999997"/>
    <s v="Yes"/>
    <s v="Good"/>
    <s v="Yes"/>
    <s v="Operations"/>
    <s v="Thursday"/>
    <s v="Morning"/>
  </r>
  <r>
    <x v="1215"/>
    <s v="2024-09-03 11:52:46"/>
    <x v="9"/>
    <s v="2024-09-28 09:46:46"/>
    <n v="597.9"/>
    <n v="24.9"/>
    <s v="Hardware Issues"/>
    <s v="Docking Station"/>
    <x v="0"/>
    <n v="240"/>
    <x v="0"/>
    <s v="Email"/>
    <s v="Tier 1"/>
    <s v="TECH-22"/>
    <s v="Mid-level"/>
    <x v="0"/>
    <s v="No"/>
    <n v="1"/>
    <s v="No"/>
    <n v="5"/>
    <n v="2.5"/>
    <n v="20.5"/>
    <s v="Yes"/>
    <s v="Fair"/>
    <s v="Yes"/>
    <s v="IT"/>
    <s v="Wednesday"/>
    <s v="Morning"/>
  </r>
  <r>
    <x v="1216"/>
    <s v="2024-01-03 11:45:42"/>
    <x v="3"/>
    <s v="2024-01-20 18:15:42"/>
    <n v="414.5"/>
    <n v="17.3"/>
    <s v="Password Reset"/>
    <s v="Application Password"/>
    <x v="2"/>
    <n v="360"/>
    <x v="0"/>
    <s v="Walk-in"/>
    <s v="Tier 1"/>
    <s v="TECH-6"/>
    <s v="Mid-level"/>
    <x v="1"/>
    <s v="No"/>
    <n v="0"/>
    <s v="Yes"/>
    <n v="5"/>
    <n v="0.1"/>
    <n v="5.9"/>
    <s v="Yes"/>
    <s v="Excellent"/>
    <s v="Yes"/>
    <s v="Sales"/>
    <s v="Monday"/>
    <s v="Afternoon"/>
  </r>
  <r>
    <x v="1217"/>
    <s v="2024-01-28 06:54:15"/>
    <x v="3"/>
    <s v="2024-02-03 10:00:15"/>
    <n v="147.1"/>
    <n v="6.1"/>
    <s v="Access Requests"/>
    <s v="File Share"/>
    <x v="0"/>
    <n v="240"/>
    <x v="1"/>
    <s v="Phone"/>
    <s v="Tier 2"/>
    <s v="TECH-5"/>
    <s v="Mid-level"/>
    <x v="0"/>
    <s v="Yes"/>
    <n v="2"/>
    <s v="No"/>
    <n v="5"/>
    <n v="1.4"/>
    <n v="36.200000000000003"/>
    <s v="Yes"/>
    <s v="Good"/>
    <s v="No"/>
    <s v="Marketing"/>
    <s v="Thursday"/>
    <s v="Afternoon"/>
  </r>
  <r>
    <x v="1218"/>
    <s v="2024-11-14 14:19:25"/>
    <x v="7"/>
    <s v="2024-12-05 02:13:25"/>
    <n v="491.9"/>
    <n v="20.5"/>
    <s v="Hardware Issues"/>
    <s v="Desktop"/>
    <x v="0"/>
    <n v="240"/>
    <x v="0"/>
    <s v="Walk-in"/>
    <s v="Tier 2"/>
    <s v="TECH-24"/>
    <s v="Junior"/>
    <x v="0"/>
    <s v="Yes"/>
    <n v="1"/>
    <s v="No"/>
    <n v="7"/>
    <n v="0.1"/>
    <n v="28"/>
    <s v="No"/>
    <s v="Fair"/>
    <s v="No"/>
    <s v="HR"/>
    <s v="Tuesday"/>
    <s v="Morning"/>
  </r>
  <r>
    <x v="1219"/>
    <s v="2024-10-20 17:37:47"/>
    <x v="2"/>
    <s v="2024-10-25 03:55:47"/>
    <n v="106.3"/>
    <n v="4.4000000000000004"/>
    <s v="Application Errors"/>
    <s v="Login Issues"/>
    <x v="1"/>
    <n v="120"/>
    <x v="1"/>
    <s v="Portal"/>
    <s v="Tier 1"/>
    <s v="TECH-23"/>
    <s v="Senior"/>
    <x v="0"/>
    <s v="No"/>
    <n v="1"/>
    <s v="No"/>
    <n v="7"/>
    <n v="5.4"/>
    <n v="8.3000000000000007"/>
    <s v="No"/>
    <s v="Poor"/>
    <s v="No"/>
    <s v="HR"/>
    <s v="Thursday"/>
    <s v="Morning"/>
  </r>
  <r>
    <x v="1220"/>
    <s v="2024-05-20 20:17:23"/>
    <x v="8"/>
    <s v="2024-05-31 13:35:23"/>
    <n v="257.3"/>
    <n v="10.7"/>
    <s v="Application Errors"/>
    <s v="Features Not Working"/>
    <x v="1"/>
    <n v="120"/>
    <x v="0"/>
    <s v="Phone"/>
    <s v="Tier 1"/>
    <s v="TECH-25"/>
    <s v="Senior"/>
    <x v="1"/>
    <s v="No"/>
    <n v="0"/>
    <s v="No"/>
    <n v="6"/>
    <n v="2.2999999999999998"/>
    <n v="32.299999999999997"/>
    <s v="No"/>
    <s v="Fair"/>
    <s v="Yes"/>
    <s v="Marketing"/>
    <s v="Wednesday"/>
    <s v="Evening"/>
  </r>
  <r>
    <x v="1221"/>
    <s v="2024-05-07 20:51:49"/>
    <x v="8"/>
    <s v="2024-05-11 09:45:49"/>
    <n v="84.9"/>
    <n v="3.5"/>
    <s v="Hardware Issues"/>
    <s v="Keyboard/Mouse"/>
    <x v="1"/>
    <n v="120"/>
    <x v="1"/>
    <s v="Email"/>
    <s v="Tier 2"/>
    <s v="TECH-9"/>
    <s v="Junior"/>
    <x v="0"/>
    <s v="Yes"/>
    <n v="3"/>
    <s v="No"/>
    <n v="8"/>
    <n v="2.6"/>
    <n v="39.6"/>
    <s v="No"/>
    <s v="Good"/>
    <s v="Yes"/>
    <s v="IT"/>
    <s v="Friday"/>
    <s v="Evening"/>
  </r>
  <r>
    <x v="1222"/>
    <s v="2024-02-20 16:31:58"/>
    <x v="6"/>
    <s v="2024-02-26 03:13:58"/>
    <n v="130.69999999999999"/>
    <n v="5.4"/>
    <s v="Network Connectivity"/>
    <s v="VPN Connection"/>
    <x v="3"/>
    <n v="48"/>
    <x v="0"/>
    <s v="Email"/>
    <s v="Tier 1"/>
    <s v="TECH-2"/>
    <s v="Junior"/>
    <x v="0"/>
    <s v="No"/>
    <n v="1"/>
    <s v="No"/>
    <n v="4"/>
    <n v="2.2999999999999998"/>
    <n v="36.1"/>
    <s v="Yes"/>
    <s v="Poor"/>
    <s v="Yes"/>
    <s v="Legal"/>
    <s v="Monday"/>
    <s v="Afternoon"/>
  </r>
  <r>
    <x v="1223"/>
    <s v="2024-07-15 21:01:57"/>
    <x v="4"/>
    <s v="2024-07-23 10:31:57"/>
    <n v="181.5"/>
    <n v="7.6"/>
    <s v="Software Installation"/>
    <s v="Adobe Suite"/>
    <x v="0"/>
    <n v="240"/>
    <x v="1"/>
    <s v="Phone"/>
    <s v="Tier 2"/>
    <s v="TECH-9"/>
    <s v="Mid-level"/>
    <x v="0"/>
    <s v="Yes"/>
    <n v="3"/>
    <s v="Yes"/>
    <n v="9"/>
    <n v="1"/>
    <n v="11.8"/>
    <s v="No"/>
    <s v="Excellent"/>
    <s v="No"/>
    <s v="Legal"/>
    <s v="Tuesday"/>
    <s v="Afternoon"/>
  </r>
  <r>
    <x v="1224"/>
    <s v="2024-09-14 05:06:24"/>
    <x v="9"/>
    <s v="2024-09-25 09:36:24"/>
    <n v="268.5"/>
    <n v="11.2"/>
    <s v="Password Reset"/>
    <s v="Application Password"/>
    <x v="2"/>
    <n v="360"/>
    <x v="1"/>
    <s v="Email"/>
    <s v="Tier 1"/>
    <s v="TECH-14"/>
    <s v="Senior"/>
    <x v="1"/>
    <s v="No"/>
    <n v="0"/>
    <s v="No"/>
    <n v="7"/>
    <n v="0.4"/>
    <n v="5"/>
    <s v="Yes"/>
    <s v="Excellent"/>
    <s v="No"/>
    <s v="Marketing"/>
    <s v="Wednesday"/>
    <s v="Evening"/>
  </r>
  <r>
    <x v="1225"/>
    <s v="2024-10-21 21:03:37"/>
    <x v="2"/>
    <s v="2024-10-30 22:21:37"/>
    <n v="218.3"/>
    <n v="9.1"/>
    <s v="Access Requests"/>
    <s v="Application Access"/>
    <x v="0"/>
    <n v="240"/>
    <x v="1"/>
    <s v="Phone"/>
    <s v="Tier 1"/>
    <s v="TECH-19"/>
    <s v="Junior"/>
    <x v="0"/>
    <s v="No"/>
    <n v="1"/>
    <s v="Yes"/>
    <n v="8"/>
    <n v="2.4"/>
    <n v="12.7"/>
    <s v="Yes"/>
    <s v="Good"/>
    <s v="Yes"/>
    <s v="Finance"/>
    <s v="Thursday"/>
    <s v="Morning"/>
  </r>
  <r>
    <x v="1226"/>
    <s v="2024-10-30 13:07:10"/>
    <x v="2"/>
    <s v="2024-11-05 22:31:10"/>
    <n v="153.4"/>
    <n v="6.4"/>
    <s v="Access Requests"/>
    <s v="Admin Rights"/>
    <x v="1"/>
    <n v="120"/>
    <x v="0"/>
    <s v="Portal"/>
    <s v="Tier 1"/>
    <s v="TECH-13"/>
    <s v="Junior"/>
    <x v="1"/>
    <s v="No"/>
    <n v="0"/>
    <s v="No"/>
    <n v="6"/>
    <n v="0.4"/>
    <n v="1.2"/>
    <s v="Yes"/>
    <s v="Fair"/>
    <s v="No"/>
    <s v="Sales"/>
    <s v="Friday"/>
    <s v="Morning"/>
  </r>
  <r>
    <x v="1227"/>
    <s v="2024-12-30 21:47:32"/>
    <x v="0"/>
    <s v="2025-01-14 11:05:32"/>
    <n v="349.3"/>
    <n v="14.6"/>
    <s v="Email/Calendar"/>
    <s v="Mailbox Full"/>
    <x v="0"/>
    <n v="240"/>
    <x v="0"/>
    <s v="Phone"/>
    <s v="Tier 1"/>
    <s v="TECH-5"/>
    <s v="Mid-level"/>
    <x v="0"/>
    <s v="No"/>
    <n v="1"/>
    <s v="No"/>
    <n v="6"/>
    <n v="3.1"/>
    <n v="15.1"/>
    <s v="Yes"/>
    <s v="Fair"/>
    <s v="Yes"/>
    <s v="Executive"/>
    <s v="Thursday"/>
    <s v="Afternoon"/>
  </r>
  <r>
    <x v="1228"/>
    <s v="2024-04-02 21:56:00"/>
    <x v="11"/>
    <s v="2024-04-11 13:32:00"/>
    <n v="207.6"/>
    <n v="8.6999999999999993"/>
    <s v="Access Requests"/>
    <s v="Admin Rights"/>
    <x v="0"/>
    <n v="240"/>
    <x v="1"/>
    <s v="Phone"/>
    <s v="Tier 1"/>
    <s v="TECH-18"/>
    <s v="Senior"/>
    <x v="1"/>
    <s v="No"/>
    <n v="0"/>
    <s v="No"/>
    <n v="10"/>
    <n v="0.2"/>
    <n v="32.299999999999997"/>
    <s v="Yes"/>
    <s v="Good"/>
    <s v="No"/>
    <s v="Legal"/>
    <s v="Thursday"/>
    <s v="Afternoon"/>
  </r>
  <r>
    <x v="1229"/>
    <s v="2024-04-25 00:14:26"/>
    <x v="11"/>
    <s v="2024-04-29 18:44:26"/>
    <n v="90.5"/>
    <n v="3.8"/>
    <s v="Application Errors"/>
    <s v="Login Issues"/>
    <x v="1"/>
    <n v="120"/>
    <x v="1"/>
    <s v="Email"/>
    <s v="Tier 2"/>
    <s v="TECH-16"/>
    <s v="Mid-level"/>
    <x v="0"/>
    <s v="Yes"/>
    <n v="4"/>
    <s v="No"/>
    <n v="6"/>
    <n v="0.1"/>
    <n v="16.600000000000001"/>
    <s v="No"/>
    <s v="Good"/>
    <s v="No"/>
    <s v="Sales"/>
    <s v="Friday"/>
    <s v="Afternoon"/>
  </r>
  <r>
    <x v="1230"/>
    <s v="2024-08-10 17:24:41"/>
    <x v="1"/>
    <s v="2024-09-14 01:54:41"/>
    <n v="848.5"/>
    <n v="35.4"/>
    <s v="Other"/>
    <s v="General Inquiry"/>
    <x v="2"/>
    <n v="360"/>
    <x v="0"/>
    <s v="Email"/>
    <s v="Tier 1"/>
    <s v="TECH-18"/>
    <s v="Junior"/>
    <x v="0"/>
    <s v="No"/>
    <n v="1"/>
    <s v="No"/>
    <n v="5"/>
    <n v="0.6"/>
    <n v="33"/>
    <s v="Yes"/>
    <s v="Poor"/>
    <s v="No"/>
    <s v="Sales"/>
    <s v="Tuesday"/>
    <s v="Morning"/>
  </r>
  <r>
    <x v="1231"/>
    <s v="2024-08-23 11:01:26"/>
    <x v="1"/>
    <s v="2024-09-18 18:43:26"/>
    <n v="631.70000000000005"/>
    <n v="26.3"/>
    <s v="Network Connectivity"/>
    <s v="Ethernet"/>
    <x v="0"/>
    <n v="240"/>
    <x v="0"/>
    <s v="Phone"/>
    <s v="Tier 1"/>
    <s v="TECH-1"/>
    <s v="Senior"/>
    <x v="0"/>
    <s v="No"/>
    <n v="1"/>
    <s v="No"/>
    <n v="3"/>
    <n v="2.4"/>
    <n v="20.3"/>
    <s v="Yes"/>
    <s v="Good"/>
    <s v="No"/>
    <s v="IT"/>
    <s v="Friday"/>
    <s v="Evening"/>
  </r>
  <r>
    <x v="1232"/>
    <s v="2024-12-30 16:22:57"/>
    <x v="0"/>
    <s v="2025-01-06 02:10:57"/>
    <n v="153.80000000000001"/>
    <n v="6.4"/>
    <s v="Hardware Issues"/>
    <s v="Docking Station"/>
    <x v="0"/>
    <n v="240"/>
    <x v="1"/>
    <s v="Portal"/>
    <s v="Tier 1"/>
    <s v="TECH-5"/>
    <s v="Senior"/>
    <x v="1"/>
    <s v="No"/>
    <n v="0"/>
    <s v="No"/>
    <n v="8"/>
    <n v="4.2"/>
    <n v="48"/>
    <s v="Yes"/>
    <s v="Fair"/>
    <s v="Yes"/>
    <s v="Finance"/>
    <s v="Tuesday"/>
    <s v="Morning"/>
  </r>
  <r>
    <x v="1233"/>
    <s v="2024-04-25 14:37:28"/>
    <x v="11"/>
    <s v="2024-04-29 20:25:28"/>
    <n v="101.8"/>
    <n v="4.2"/>
    <s v="Email/Calendar"/>
    <s v="Distribution List"/>
    <x v="1"/>
    <n v="120"/>
    <x v="1"/>
    <s v="Chat"/>
    <s v="Tier 1"/>
    <s v="TECH-6"/>
    <s v="Mid-level"/>
    <x v="0"/>
    <s v="No"/>
    <n v="1"/>
    <s v="No"/>
    <n v="9"/>
    <n v="2.8"/>
    <n v="15.9"/>
    <s v="Yes"/>
    <s v="Fair"/>
    <s v="No"/>
    <s v="Operations"/>
    <s v="Thursday"/>
    <s v="Afternoon"/>
  </r>
  <r>
    <x v="1234"/>
    <s v="2024-08-05 21:41:11"/>
    <x v="1"/>
    <s v="2024-08-09 03:41:11"/>
    <n v="78"/>
    <n v="3.3"/>
    <s v="Software Installation"/>
    <s v="MS Office"/>
    <x v="1"/>
    <n v="120"/>
    <x v="1"/>
    <s v="Chat"/>
    <s v="Tier 1"/>
    <s v="TECH-23"/>
    <s v="Mid-level"/>
    <x v="0"/>
    <s v="No"/>
    <n v="1"/>
    <s v="No"/>
    <n v="4"/>
    <n v="3.3"/>
    <n v="13.8"/>
    <s v="No"/>
    <s v="Poor"/>
    <s v="No"/>
    <s v="Executive"/>
    <s v="Tuesday"/>
    <s v="Afternoon"/>
  </r>
  <r>
    <x v="1235"/>
    <s v="2024-10-18 16:23:16"/>
    <x v="2"/>
    <s v="2024-10-29 22:59:16"/>
    <n v="271.60000000000002"/>
    <n v="11.3"/>
    <s v="Other"/>
    <s v="Training Request"/>
    <x v="2"/>
    <n v="360"/>
    <x v="1"/>
    <s v="Portal"/>
    <s v="Tier 1"/>
    <s v="TECH-19"/>
    <s v="Senior"/>
    <x v="1"/>
    <s v="No"/>
    <n v="0"/>
    <s v="No"/>
    <n v="7"/>
    <n v="2.4"/>
    <n v="12.5"/>
    <s v="Yes"/>
    <s v="Fair"/>
    <s v="Yes"/>
    <s v="Legal"/>
    <s v="Monday"/>
    <s v="Afternoon"/>
  </r>
  <r>
    <x v="1236"/>
    <s v="2024-03-26 03:09:50"/>
    <x v="5"/>
    <s v="2024-04-02 23:03:50"/>
    <n v="186.9"/>
    <n v="7.8"/>
    <s v="Email/Calendar"/>
    <s v="Calendar Sync"/>
    <x v="0"/>
    <n v="240"/>
    <x v="1"/>
    <s v="Phone"/>
    <s v="Tier 1"/>
    <s v="TECH-24"/>
    <s v="Senior"/>
    <x v="1"/>
    <s v="No"/>
    <n v="0"/>
    <s v="No"/>
    <n v="8"/>
    <n v="2.9"/>
    <n v="19.7"/>
    <s v="Yes"/>
    <s v="Poor"/>
    <s v="No"/>
    <s v="Operations"/>
    <s v="Friday"/>
    <s v="Afternoon"/>
  </r>
  <r>
    <x v="1237"/>
    <s v="2024-05-02 04:44:34"/>
    <x v="8"/>
    <s v="2024-05-20 13:26:34"/>
    <n v="440.7"/>
    <n v="18.399999999999999"/>
    <s v="Email/Calendar"/>
    <s v="Cannot Send/Receive"/>
    <x v="0"/>
    <n v="240"/>
    <x v="0"/>
    <s v="Phone"/>
    <s v="Tier 1"/>
    <s v="TECH-3"/>
    <s v="Mid-level"/>
    <x v="0"/>
    <s v="No"/>
    <n v="1"/>
    <s v="No"/>
    <n v="7"/>
    <n v="2.8"/>
    <n v="13.7"/>
    <s v="Yes"/>
    <s v="Good"/>
    <s v="Yes"/>
    <s v="Operations"/>
    <s v="Friday"/>
    <s v="Morning"/>
  </r>
  <r>
    <x v="1238"/>
    <s v="2024-10-04 11:16:33"/>
    <x v="2"/>
    <s v="2024-10-09 22:04:33"/>
    <n v="130.80000000000001"/>
    <n v="5.5"/>
    <s v="Email/Calendar"/>
    <s v="Mailbox Full"/>
    <x v="1"/>
    <n v="120"/>
    <x v="0"/>
    <s v="Email"/>
    <s v="Tier 2"/>
    <s v="TECH-18"/>
    <s v="Senior"/>
    <x v="0"/>
    <s v="Yes"/>
    <n v="2"/>
    <s v="Yes"/>
    <n v="5"/>
    <n v="5.2"/>
    <n v="27.5"/>
    <s v="Yes"/>
    <s v="Poor"/>
    <s v="Yes"/>
    <s v="Legal"/>
    <s v="Tuesday"/>
    <s v="Morning"/>
  </r>
  <r>
    <x v="1239"/>
    <s v="2024-02-11 17:40:03"/>
    <x v="6"/>
    <s v="2024-02-24 21:04:03"/>
    <n v="315.39999999999998"/>
    <n v="13.1"/>
    <s v="Software Installation"/>
    <s v="Drivers"/>
    <x v="0"/>
    <n v="240"/>
    <x v="0"/>
    <s v="Chat"/>
    <s v="Tier 1"/>
    <s v="TECH-17"/>
    <s v="Mid-level"/>
    <x v="0"/>
    <s v="No"/>
    <n v="1"/>
    <s v="Yes"/>
    <n v="5"/>
    <n v="3.2"/>
    <n v="27.7"/>
    <s v="Yes"/>
    <s v="Fair"/>
    <s v="No"/>
    <s v="Sales"/>
    <s v="Monday"/>
    <s v="Morning"/>
  </r>
  <r>
    <x v="1240"/>
    <s v="2024-06-12 06:58:28"/>
    <x v="10"/>
    <s v="2024-06-22 15:34:28"/>
    <n v="248.6"/>
    <n v="10.4"/>
    <s v="Password Reset"/>
    <s v="Windows Password"/>
    <x v="0"/>
    <n v="240"/>
    <x v="0"/>
    <s v="Phone"/>
    <s v="Tier 1"/>
    <s v="TECH-17"/>
    <s v="Mid-level"/>
    <x v="1"/>
    <s v="No"/>
    <n v="0"/>
    <s v="No"/>
    <n v="8"/>
    <n v="2.1"/>
    <n v="0"/>
    <s v="Yes"/>
    <s v="Fair"/>
    <s v="No"/>
    <s v="Executive"/>
    <s v="Thursday"/>
    <s v="Morning"/>
  </r>
  <r>
    <x v="1241"/>
    <s v="2024-10-09 07:33:33"/>
    <x v="2"/>
    <s v="2024-10-10 19:21:33"/>
    <n v="35.799999999999997"/>
    <n v="1.5"/>
    <s v="Application Errors"/>
    <s v="Features Not Working"/>
    <x v="3"/>
    <n v="48"/>
    <x v="1"/>
    <s v="Email"/>
    <s v="Tier 2"/>
    <s v="TECH-10"/>
    <s v="Mid-level"/>
    <x v="0"/>
    <s v="Yes"/>
    <n v="2"/>
    <s v="No"/>
    <n v="9"/>
    <n v="3.8"/>
    <n v="4.9000000000000004"/>
    <s v="Yes"/>
    <s v="Poor"/>
    <s v="Yes"/>
    <s v="Executive"/>
    <s v="Thursday"/>
    <s v="Afternoon"/>
  </r>
  <r>
    <x v="1242"/>
    <s v="2024-11-06 12:44:01"/>
    <x v="7"/>
    <s v="2024-11-09 15:08:01"/>
    <n v="74.400000000000006"/>
    <n v="3.1"/>
    <s v="Hardware Issues"/>
    <s v="Printer"/>
    <x v="1"/>
    <n v="120"/>
    <x v="1"/>
    <s v="Phone"/>
    <s v="Tier 1"/>
    <s v="TECH-24"/>
    <s v="Mid-level"/>
    <x v="0"/>
    <s v="No"/>
    <n v="1"/>
    <s v="No"/>
    <n v="6"/>
    <n v="2.5"/>
    <n v="0"/>
    <s v="Yes"/>
    <s v="Fair"/>
    <s v="Yes"/>
    <s v="IT"/>
    <s v="Wednesday"/>
    <s v="Afternoon"/>
  </r>
  <r>
    <x v="1243"/>
    <s v="2024-02-19 06:15:52"/>
    <x v="6"/>
    <s v="2024-02-27 09:27:52"/>
    <n v="195.2"/>
    <n v="8.1"/>
    <s v="Application Errors"/>
    <s v="Crash"/>
    <x v="0"/>
    <n v="240"/>
    <x v="1"/>
    <s v="Phone"/>
    <s v="Tier 2"/>
    <s v="TECH-12"/>
    <s v="Junior"/>
    <x v="0"/>
    <s v="Yes"/>
    <n v="4"/>
    <s v="Yes"/>
    <n v="6"/>
    <n v="2.5"/>
    <n v="30.6"/>
    <s v="No"/>
    <s v="Fair"/>
    <s v="Yes"/>
    <s v="Executive"/>
    <s v="Thursday"/>
    <s v="Afternoon"/>
  </r>
  <r>
    <x v="1244"/>
    <s v="2024-01-12 21:09:46"/>
    <x v="3"/>
    <s v="2024-01-19 18:57:46"/>
    <n v="165.8"/>
    <n v="6.9"/>
    <s v="Software Installation"/>
    <s v="VPN Client"/>
    <x v="0"/>
    <n v="240"/>
    <x v="1"/>
    <s v="Phone"/>
    <s v="Tier 1"/>
    <s v="TECH-1"/>
    <s v="Junior"/>
    <x v="0"/>
    <s v="No"/>
    <n v="1"/>
    <s v="No"/>
    <n v="7"/>
    <n v="5.5"/>
    <n v="12.1"/>
    <s v="Yes"/>
    <s v="Poor"/>
    <s v="No"/>
    <s v="Marketing"/>
    <s v="Tuesday"/>
    <s v="Afternoon"/>
  </r>
  <r>
    <x v="1245"/>
    <s v="2024-06-23 16:37:35"/>
    <x v="10"/>
    <s v="2024-07-05 05:31:35"/>
    <n v="276.89999999999998"/>
    <n v="11.5"/>
    <s v="Password Reset"/>
    <s v="Application Password"/>
    <x v="2"/>
    <n v="360"/>
    <x v="1"/>
    <s v="Phone"/>
    <s v="Tier 1"/>
    <s v="TECH-8"/>
    <s v="Mid-level"/>
    <x v="1"/>
    <s v="No"/>
    <n v="0"/>
    <s v="No"/>
    <n v="6"/>
    <n v="1"/>
    <n v="7.3"/>
    <s v="Yes"/>
    <s v="Fair"/>
    <s v="No"/>
    <s v="Finance"/>
    <s v="Friday"/>
    <s v="Afternoon"/>
  </r>
  <r>
    <x v="1246"/>
    <s v="2024-09-29 10:03:46"/>
    <x v="9"/>
    <s v="2024-10-01 03:27:46"/>
    <n v="41.4"/>
    <n v="1.7"/>
    <s v="Hardware Issues"/>
    <s v="Printer"/>
    <x v="3"/>
    <n v="48"/>
    <x v="1"/>
    <s v="Phone"/>
    <s v="Tier 2"/>
    <s v="TECH-4"/>
    <s v="Mid-level"/>
    <x v="0"/>
    <s v="Yes"/>
    <n v="3"/>
    <s v="No"/>
    <n v="8"/>
    <n v="0.1"/>
    <n v="26.3"/>
    <s v="Yes"/>
    <s v="Poor"/>
    <s v="No"/>
    <s v="Operations"/>
    <s v="Thursday"/>
    <s v="Morning"/>
  </r>
  <r>
    <x v="1247"/>
    <s v="2024-09-30 15:58:26"/>
    <x v="9"/>
    <s v="2024-10-06 21:46:26"/>
    <n v="149.80000000000001"/>
    <n v="6.2"/>
    <s v="Access Requests"/>
    <s v="Admin Rights"/>
    <x v="1"/>
    <n v="120"/>
    <x v="0"/>
    <s v="Portal"/>
    <s v="Tier 1"/>
    <s v="TECH-3"/>
    <s v="Mid-level"/>
    <x v="1"/>
    <s v="No"/>
    <n v="0"/>
    <s v="No"/>
    <n v="6"/>
    <n v="0.3"/>
    <n v="6.7"/>
    <s v="No"/>
    <s v="Fair"/>
    <s v="Yes"/>
    <s v="Executive"/>
    <s v="Friday"/>
    <s v="Morning"/>
  </r>
  <r>
    <x v="1248"/>
    <s v="2024-08-04 11:33:53"/>
    <x v="1"/>
    <s v="2024-08-10 16:33:53"/>
    <n v="149"/>
    <n v="6.2"/>
    <s v="Access Requests"/>
    <s v="File Share"/>
    <x v="0"/>
    <n v="240"/>
    <x v="1"/>
    <s v="Phone"/>
    <s v="Tier 1"/>
    <s v="TECH-5"/>
    <s v="Mid-level"/>
    <x v="1"/>
    <s v="No"/>
    <n v="0"/>
    <s v="No"/>
    <n v="7"/>
    <n v="0.1"/>
    <n v="3.6"/>
    <s v="Yes"/>
    <s v="Excellent"/>
    <s v="Yes"/>
    <s v="Marketing"/>
    <s v="Friday"/>
    <s v="Morning"/>
  </r>
  <r>
    <x v="1249"/>
    <s v="2024-03-28 16:49:55"/>
    <x v="5"/>
    <s v="2024-04-11 10:19:55"/>
    <n v="328.5"/>
    <n v="13.7"/>
    <s v="Email/Calendar"/>
    <s v="Cannot Send/Receive"/>
    <x v="2"/>
    <n v="360"/>
    <x v="1"/>
    <s v="Email"/>
    <s v="Tier 2"/>
    <s v="TECH-3"/>
    <s v="Mid-level"/>
    <x v="0"/>
    <s v="Yes"/>
    <n v="2"/>
    <s v="No"/>
    <n v="8"/>
    <n v="0.1"/>
    <n v="35.6"/>
    <s v="No"/>
    <s v="Fair"/>
    <s v="No"/>
    <s v="HR"/>
    <s v="Monday"/>
    <s v="Afternoon"/>
  </r>
  <r>
    <x v="1250"/>
    <s v="2024-08-18 19:08:28"/>
    <x v="1"/>
    <s v="2024-09-04 19:44:28"/>
    <n v="408.6"/>
    <n v="17"/>
    <s v="Password Reset"/>
    <s v="Email Password"/>
    <x v="2"/>
    <n v="360"/>
    <x v="0"/>
    <s v="Portal"/>
    <s v="Tier 1"/>
    <s v="TECH-9"/>
    <s v="Mid-level"/>
    <x v="1"/>
    <s v="No"/>
    <n v="0"/>
    <s v="No"/>
    <n v="8"/>
    <n v="0.1"/>
    <n v="7"/>
    <s v="Yes"/>
    <s v="Fair"/>
    <s v="No"/>
    <s v="Finance"/>
    <s v="Thursday"/>
    <s v="Morning"/>
  </r>
  <r>
    <x v="1251"/>
    <s v="2024-07-24 01:43:16"/>
    <x v="4"/>
    <s v="2024-08-01 13:19:16"/>
    <n v="179.6"/>
    <n v="7.5"/>
    <s v="Other"/>
    <s v="Training Request"/>
    <x v="0"/>
    <n v="240"/>
    <x v="1"/>
    <s v="Email"/>
    <s v="Tier 1"/>
    <s v="TECH-23"/>
    <s v="Mid-level"/>
    <x v="0"/>
    <s v="No"/>
    <n v="1"/>
    <s v="No"/>
    <n v="8"/>
    <n v="5"/>
    <n v="23.5"/>
    <s v="Yes"/>
    <s v="Fair"/>
    <s v="Yes"/>
    <s v="HR"/>
    <s v="Tuesday"/>
    <s v="Morning"/>
  </r>
  <r>
    <x v="1252"/>
    <s v="2024-08-30 15:09:23"/>
    <x v="1"/>
    <s v="2024-09-04 00:03:23"/>
    <n v="128.9"/>
    <n v="5.4"/>
    <s v="Network Connectivity"/>
    <s v="Ethernet"/>
    <x v="1"/>
    <n v="120"/>
    <x v="0"/>
    <s v="Chat"/>
    <s v="Tier 2"/>
    <s v="TECH-11"/>
    <s v="Junior"/>
    <x v="0"/>
    <s v="Yes"/>
    <n v="3"/>
    <s v="No"/>
    <n v="7"/>
    <n v="0.1"/>
    <n v="10.199999999999999"/>
    <s v="Yes"/>
    <s v="Poor"/>
    <s v="Yes"/>
    <s v="Marketing"/>
    <s v="Monday"/>
    <s v="Morning"/>
  </r>
  <r>
    <x v="1253"/>
    <s v="2024-10-28 18:20:05"/>
    <x v="2"/>
    <s v="2024-11-05 14:20:05"/>
    <n v="188"/>
    <n v="7.8"/>
    <s v="Hardware Issues"/>
    <s v="Printer"/>
    <x v="0"/>
    <n v="240"/>
    <x v="1"/>
    <s v="Chat"/>
    <s v="Tier 2"/>
    <s v="TECH-17"/>
    <s v="Junior"/>
    <x v="0"/>
    <s v="Yes"/>
    <n v="3"/>
    <s v="No"/>
    <n v="9"/>
    <n v="3.3"/>
    <n v="1.1000000000000001"/>
    <s v="No"/>
    <s v="Poor"/>
    <s v="Yes"/>
    <s v="IT"/>
    <s v="Friday"/>
    <s v="Afternoon"/>
  </r>
  <r>
    <x v="1254"/>
    <s v="2024-05-19 07:49:48"/>
    <x v="8"/>
    <s v="2024-05-26 16:55:48"/>
    <n v="177.1"/>
    <n v="7.4"/>
    <s v="Access Requests"/>
    <s v="Application Access"/>
    <x v="0"/>
    <n v="240"/>
    <x v="1"/>
    <s v="Email"/>
    <s v="Tier 1"/>
    <s v="TECH-18"/>
    <s v="Senior"/>
    <x v="1"/>
    <s v="No"/>
    <n v="0"/>
    <s v="Yes"/>
    <n v="10"/>
    <n v="2.5"/>
    <n v="0"/>
    <s v="Yes"/>
    <s v="Poor"/>
    <s v="No"/>
    <s v="HR"/>
    <s v="Monday"/>
    <s v="Evening"/>
  </r>
  <r>
    <x v="1255"/>
    <s v="2024-05-17 13:51:30"/>
    <x v="8"/>
    <s v="2024-05-29 20:21:30"/>
    <n v="294.5"/>
    <n v="12.3"/>
    <s v="Password Reset"/>
    <s v="Windows Password"/>
    <x v="2"/>
    <n v="360"/>
    <x v="1"/>
    <s v="Portal"/>
    <s v="Tier 1"/>
    <s v="TECH-15"/>
    <s v="Junior"/>
    <x v="1"/>
    <s v="No"/>
    <n v="0"/>
    <s v="No"/>
    <n v="10"/>
    <n v="3.8"/>
    <n v="6.6"/>
    <s v="No"/>
    <s v="Good"/>
    <s v="Yes"/>
    <s v="IT"/>
    <s v="Friday"/>
    <s v="Evening"/>
  </r>
  <r>
    <x v="1256"/>
    <s v="2024-05-14 16:52:07"/>
    <x v="8"/>
    <s v="2024-05-20 00:28:07"/>
    <n v="151.6"/>
    <n v="6.3"/>
    <s v="Access Requests"/>
    <s v="Admin Rights"/>
    <x v="0"/>
    <n v="240"/>
    <x v="1"/>
    <s v="Walk-in"/>
    <s v="Tier 1"/>
    <s v="TECH-17"/>
    <s v="Mid-level"/>
    <x v="0"/>
    <s v="No"/>
    <n v="1"/>
    <s v="No"/>
    <n v="8"/>
    <n v="3.5"/>
    <n v="21.8"/>
    <s v="Yes"/>
    <s v="Fair"/>
    <s v="Yes"/>
    <s v="Sales"/>
    <s v="Wednesday"/>
    <s v="Morning"/>
  </r>
  <r>
    <x v="1257"/>
    <s v="2024-11-09 16:21:15"/>
    <x v="7"/>
    <s v="2024-11-18 11:27:15"/>
    <n v="211.1"/>
    <n v="8.8000000000000007"/>
    <s v="Access Requests"/>
    <s v="Admin Rights"/>
    <x v="0"/>
    <n v="240"/>
    <x v="1"/>
    <s v="Email"/>
    <s v="Tier 1"/>
    <s v="TECH-21"/>
    <s v="Mid-level"/>
    <x v="1"/>
    <s v="No"/>
    <n v="0"/>
    <s v="No"/>
    <n v="10"/>
    <n v="0.1"/>
    <n v="0"/>
    <s v="Yes"/>
    <s v="Fair"/>
    <s v="Yes"/>
    <s v="Sales"/>
    <s v="Friday"/>
    <s v="Evening"/>
  </r>
  <r>
    <x v="1258"/>
    <s v="2024-08-14 10:45:02"/>
    <x v="1"/>
    <s v="2024-08-24 11:39:02"/>
    <n v="240.9"/>
    <n v="10"/>
    <s v="Password Reset"/>
    <s v="Email Password"/>
    <x v="2"/>
    <n v="360"/>
    <x v="1"/>
    <s v="Phone"/>
    <s v="Tier 1"/>
    <s v="TECH-20"/>
    <s v="Mid-level"/>
    <x v="1"/>
    <s v="No"/>
    <n v="0"/>
    <s v="No"/>
    <n v="10"/>
    <n v="4.9000000000000004"/>
    <n v="18"/>
    <s v="No"/>
    <s v="Poor"/>
    <s v="Yes"/>
    <s v="IT"/>
    <s v="Tuesday"/>
    <s v="Afternoon"/>
  </r>
  <r>
    <x v="1259"/>
    <s v="2024-09-02 13:08:52"/>
    <x v="9"/>
    <s v="2024-09-09 05:20:52"/>
    <n v="160.19999999999999"/>
    <n v="6.7"/>
    <s v="Software Installation"/>
    <s v="Business Apps"/>
    <x v="0"/>
    <n v="240"/>
    <x v="1"/>
    <s v="Phone"/>
    <s v="Tier 2"/>
    <s v="TECH-13"/>
    <s v="Junior"/>
    <x v="0"/>
    <s v="Yes"/>
    <n v="1"/>
    <s v="Yes"/>
    <n v="8"/>
    <n v="6.9"/>
    <n v="21.7"/>
    <s v="No"/>
    <s v="Poor"/>
    <s v="Yes"/>
    <s v="Sales"/>
    <s v="Tuesday"/>
    <s v="Morning"/>
  </r>
  <r>
    <x v="1260"/>
    <s v="2024-07-28 06:34:15"/>
    <x v="4"/>
    <s v="2024-08-04 18:22:15"/>
    <n v="179.8"/>
    <n v="7.5"/>
    <s v="Software Installation"/>
    <s v="Adobe Suite"/>
    <x v="0"/>
    <n v="240"/>
    <x v="1"/>
    <s v="Phone"/>
    <s v="Tier 1"/>
    <s v="TECH-22"/>
    <s v="Mid-level"/>
    <x v="1"/>
    <s v="No"/>
    <n v="0"/>
    <s v="No"/>
    <n v="10"/>
    <n v="0.1"/>
    <n v="14.6"/>
    <s v="No"/>
    <s v="Poor"/>
    <s v="No"/>
    <s v="Finance"/>
    <s v="Thursday"/>
    <s v="Morning"/>
  </r>
  <r>
    <x v="1261"/>
    <s v="2024-04-09 13:24:06"/>
    <x v="11"/>
    <s v="2024-04-13 08:12:06"/>
    <n v="90.8"/>
    <n v="3.8"/>
    <s v="Hardware Issues"/>
    <s v="Monitor"/>
    <x v="1"/>
    <n v="120"/>
    <x v="1"/>
    <s v="Email"/>
    <s v="Tier 2"/>
    <s v="TECH-13"/>
    <s v="Junior"/>
    <x v="0"/>
    <s v="Yes"/>
    <n v="2"/>
    <s v="No"/>
    <n v="6"/>
    <n v="2"/>
    <n v="25.4"/>
    <s v="No"/>
    <s v="Good"/>
    <s v="No"/>
    <s v="Legal"/>
    <s v="Wednesday"/>
    <s v="Afternoon"/>
  </r>
  <r>
    <x v="1262"/>
    <s v="2024-06-30 10:23:01"/>
    <x v="10"/>
    <s v="2024-07-06 13:17:01"/>
    <n v="146.9"/>
    <n v="6.1"/>
    <s v="Software Installation"/>
    <s v="VPN Client"/>
    <x v="0"/>
    <n v="240"/>
    <x v="1"/>
    <s v="Email"/>
    <s v="Tier 1"/>
    <s v="TECH-20"/>
    <s v="Mid-level"/>
    <x v="0"/>
    <s v="No"/>
    <n v="1"/>
    <s v="No"/>
    <n v="8"/>
    <n v="0.2"/>
    <n v="10.4"/>
    <s v="Yes"/>
    <s v="Good"/>
    <s v="Yes"/>
    <s v="Operations"/>
    <s v="Thursday"/>
    <s v="Afternoon"/>
  </r>
  <r>
    <x v="1263"/>
    <s v="2024-04-14 10:31:15"/>
    <x v="11"/>
    <s v="2024-04-29 17:49:15"/>
    <n v="367.3"/>
    <n v="15.3"/>
    <s v="Software Installation"/>
    <s v="Adobe Suite"/>
    <x v="0"/>
    <n v="240"/>
    <x v="0"/>
    <s v="Email"/>
    <s v="Tier 1"/>
    <s v="TECH-1"/>
    <s v="Mid-level"/>
    <x v="1"/>
    <s v="No"/>
    <n v="0"/>
    <s v="No"/>
    <n v="7"/>
    <n v="1.8"/>
    <n v="22.4"/>
    <s v="No"/>
    <s v="Poor"/>
    <s v="No"/>
    <s v="IT"/>
    <s v="Wednesday"/>
    <s v="Afternoon"/>
  </r>
  <r>
    <x v="1264"/>
    <s v="2024-05-28 09:38:24"/>
    <x v="8"/>
    <s v="2024-06-11 13:08:24"/>
    <n v="339.5"/>
    <n v="14.1"/>
    <s v="Other"/>
    <s v="Documentation"/>
    <x v="2"/>
    <n v="360"/>
    <x v="1"/>
    <s v="Phone"/>
    <s v="Tier 1"/>
    <s v="TECH-4"/>
    <s v="Senior"/>
    <x v="0"/>
    <s v="No"/>
    <n v="1"/>
    <s v="No"/>
    <n v="7"/>
    <n v="2.2999999999999998"/>
    <n v="0"/>
    <s v="Yes"/>
    <s v="Good"/>
    <s v="Yes"/>
    <s v="Executive"/>
    <s v="Monday"/>
    <s v="Morning"/>
  </r>
  <r>
    <x v="1265"/>
    <s v="2024-02-27 13:16:23"/>
    <x v="6"/>
    <s v="2024-03-13 03:28:23"/>
    <n v="350.2"/>
    <n v="14.6"/>
    <s v="Password Reset"/>
    <s v="Account Unlock"/>
    <x v="0"/>
    <n v="240"/>
    <x v="0"/>
    <s v="Phone"/>
    <s v="Tier 1"/>
    <s v="TECH-19"/>
    <s v="Mid-level"/>
    <x v="1"/>
    <s v="No"/>
    <n v="0"/>
    <s v="No"/>
    <n v="5"/>
    <n v="4.5999999999999996"/>
    <n v="26.9"/>
    <s v="No"/>
    <s v="Excellent"/>
    <s v="Yes"/>
    <s v="Finance"/>
    <s v="Friday"/>
    <s v="Afternoon"/>
  </r>
  <r>
    <x v="1266"/>
    <s v="2024-04-10 18:32:04"/>
    <x v="11"/>
    <s v="2024-04-18 16:32:04"/>
    <n v="190"/>
    <n v="7.9"/>
    <s v="Application Errors"/>
    <s v="Login Issues"/>
    <x v="0"/>
    <n v="240"/>
    <x v="1"/>
    <s v="Phone"/>
    <s v="Tier 1"/>
    <s v="TECH-2"/>
    <s v="Junior"/>
    <x v="0"/>
    <s v="No"/>
    <n v="1"/>
    <s v="No"/>
    <n v="7"/>
    <n v="2"/>
    <n v="39.299999999999997"/>
    <s v="Yes"/>
    <s v="Good"/>
    <s v="No"/>
    <s v="IT"/>
    <s v="Friday"/>
    <s v="Afternoon"/>
  </r>
  <r>
    <x v="1267"/>
    <s v="2024-11-26 00:49:24"/>
    <x v="7"/>
    <s v="2024-11-30 05:31:24"/>
    <n v="76.7"/>
    <n v="3.2"/>
    <s v="Hardware Issues"/>
    <s v="Monitor"/>
    <x v="1"/>
    <n v="120"/>
    <x v="1"/>
    <s v="Portal"/>
    <s v="Tier 1"/>
    <s v="TECH-7"/>
    <s v="Mid-level"/>
    <x v="1"/>
    <s v="No"/>
    <n v="0"/>
    <s v="No"/>
    <n v="8"/>
    <n v="3"/>
    <n v="3.9"/>
    <s v="Yes"/>
    <s v="Good"/>
    <s v="Yes"/>
    <s v="IT"/>
    <s v="Wednesday"/>
    <s v="Afternoon"/>
  </r>
  <r>
    <x v="1268"/>
    <s v="2024-03-08 23:07:11"/>
    <x v="5"/>
    <s v="2024-03-10 11:19:11"/>
    <n v="36.200000000000003"/>
    <n v="1.5"/>
    <s v="Application Errors"/>
    <s v="Features Not Working"/>
    <x v="3"/>
    <n v="48"/>
    <x v="1"/>
    <s v="Walk-in"/>
    <s v="Tier 2"/>
    <s v="TECH-18"/>
    <s v="Junior"/>
    <x v="0"/>
    <s v="Yes"/>
    <n v="3"/>
    <s v="No"/>
    <n v="9"/>
    <n v="1.3"/>
    <n v="8.5"/>
    <s v="Yes"/>
    <s v="Good"/>
    <s v="Yes"/>
    <s v="Finance"/>
    <s v="Tuesday"/>
    <s v="Afternoon"/>
  </r>
  <r>
    <x v="1269"/>
    <s v="2024-07-27 14:15:38"/>
    <x v="4"/>
    <s v="2024-07-31 19:51:38"/>
    <n v="101.6"/>
    <n v="4.2"/>
    <s v="Password Reset"/>
    <s v="Email Password"/>
    <x v="1"/>
    <n v="120"/>
    <x v="1"/>
    <s v="Chat"/>
    <s v="Tier 1"/>
    <s v="TECH-9"/>
    <s v="Junior"/>
    <x v="1"/>
    <s v="No"/>
    <n v="0"/>
    <s v="No"/>
    <n v="6"/>
    <n v="2"/>
    <n v="17.100000000000001"/>
    <s v="No"/>
    <s v="Good"/>
    <s v="Yes"/>
    <s v="Legal"/>
    <s v="Monday"/>
    <s v="Morning"/>
  </r>
  <r>
    <x v="1270"/>
    <s v="2024-06-08 18:26:27"/>
    <x v="10"/>
    <s v="2024-07-08 01:50:27"/>
    <n v="727.4"/>
    <n v="30.3"/>
    <s v="Application Errors"/>
    <s v="Performance"/>
    <x v="2"/>
    <n v="360"/>
    <x v="0"/>
    <s v="Chat"/>
    <s v="Tier 2"/>
    <s v="TECH-20"/>
    <s v="Senior"/>
    <x v="0"/>
    <s v="Yes"/>
    <n v="2"/>
    <s v="No"/>
    <n v="3"/>
    <n v="5.2"/>
    <n v="19.3"/>
    <s v="Yes"/>
    <s v="Poor"/>
    <s v="No"/>
    <s v="Finance"/>
    <s v="Monday"/>
    <s v="Afternoon"/>
  </r>
  <r>
    <x v="1271"/>
    <s v="2024-05-27 03:03:11"/>
    <x v="8"/>
    <s v="2024-05-30 00:57:11"/>
    <n v="93.9"/>
    <n v="3.9"/>
    <s v="Hardware Issues"/>
    <s v="Laptop"/>
    <x v="1"/>
    <n v="120"/>
    <x v="1"/>
    <s v="Walk-in"/>
    <s v="Tier 1"/>
    <s v="TECH-17"/>
    <s v="Junior"/>
    <x v="0"/>
    <s v="No"/>
    <n v="1"/>
    <s v="Yes"/>
    <n v="7"/>
    <n v="0.1"/>
    <n v="14"/>
    <s v="No"/>
    <s v="Good"/>
    <s v="Yes"/>
    <s v="Finance"/>
    <s v="Thursday"/>
    <s v="Afternoon"/>
  </r>
  <r>
    <x v="1272"/>
    <s v="2024-07-12 17:41:06"/>
    <x v="4"/>
    <s v="2024-07-27 13:23:06"/>
    <n v="355.7"/>
    <n v="14.8"/>
    <s v="Access Requests"/>
    <s v="VPN Access"/>
    <x v="0"/>
    <n v="240"/>
    <x v="0"/>
    <s v="Phone"/>
    <s v="Tier 1"/>
    <s v="TECH-15"/>
    <s v="Junior"/>
    <x v="1"/>
    <s v="No"/>
    <n v="0"/>
    <s v="No"/>
    <n v="3"/>
    <n v="3.9"/>
    <n v="0"/>
    <s v="Yes"/>
    <s v="Fair"/>
    <s v="Yes"/>
    <s v="Executive"/>
    <s v="Tuesday"/>
    <s v="Morning"/>
  </r>
  <r>
    <x v="1273"/>
    <s v="2024-08-02 18:42:32"/>
    <x v="1"/>
    <s v="2024-08-09 18:48:32"/>
    <n v="168.1"/>
    <n v="7"/>
    <s v="Software Installation"/>
    <s v="Drivers"/>
    <x v="0"/>
    <n v="240"/>
    <x v="1"/>
    <s v="Phone"/>
    <s v="Tier 1"/>
    <s v="TECH-9"/>
    <s v="Mid-level"/>
    <x v="0"/>
    <s v="No"/>
    <n v="1"/>
    <s v="No"/>
    <n v="10"/>
    <n v="4.5999999999999996"/>
    <n v="0.8"/>
    <s v="Yes"/>
    <s v="Poor"/>
    <s v="Yes"/>
    <s v="Operations"/>
    <s v="Thursday"/>
    <s v="Afternoon"/>
  </r>
  <r>
    <x v="1274"/>
    <s v="2024-05-15 16:36:53"/>
    <x v="8"/>
    <s v="2024-05-28 04:42:53"/>
    <n v="300.10000000000002"/>
    <n v="12.5"/>
    <s v="Password Reset"/>
    <s v="Application Password"/>
    <x v="2"/>
    <n v="360"/>
    <x v="1"/>
    <s v="Phone"/>
    <s v="Tier 1"/>
    <s v="TECH-12"/>
    <s v="Mid-level"/>
    <x v="1"/>
    <s v="No"/>
    <n v="0"/>
    <s v="Yes"/>
    <n v="10"/>
    <n v="0.1"/>
    <n v="25.6"/>
    <s v="Yes"/>
    <s v="Fair"/>
    <s v="No"/>
    <s v="HR"/>
    <s v="Friday"/>
    <s v="Afternoon"/>
  </r>
  <r>
    <x v="1275"/>
    <s v="2024-10-22 00:39:06"/>
    <x v="2"/>
    <s v="2024-11-05 16:15:06"/>
    <n v="328.6"/>
    <n v="13.7"/>
    <s v="Email/Calendar"/>
    <s v="Cannot Send/Receive"/>
    <x v="0"/>
    <n v="240"/>
    <x v="0"/>
    <s v="Email"/>
    <s v="Tier 1"/>
    <s v="TECH-22"/>
    <s v="Senior"/>
    <x v="0"/>
    <s v="No"/>
    <n v="1"/>
    <s v="No"/>
    <n v="4"/>
    <n v="1"/>
    <n v="0"/>
    <s v="Yes"/>
    <s v="Good"/>
    <s v="Yes"/>
    <s v="HR"/>
    <s v="Monday"/>
    <s v="Morning"/>
  </r>
  <r>
    <x v="1276"/>
    <s v="2024-07-01 07:58:23"/>
    <x v="4"/>
    <s v="2024-07-04 09:40:23"/>
    <n v="73.7"/>
    <n v="3.1"/>
    <s v="Access Requests"/>
    <s v="Application Access"/>
    <x v="1"/>
    <n v="120"/>
    <x v="1"/>
    <s v="Email"/>
    <s v="Tier 1"/>
    <s v="TECH-23"/>
    <s v="Junior"/>
    <x v="0"/>
    <s v="No"/>
    <n v="1"/>
    <s v="No"/>
    <n v="9"/>
    <n v="5.3"/>
    <n v="31.2"/>
    <s v="Yes"/>
    <s v="Poor"/>
    <s v="Yes"/>
    <s v="Marketing"/>
    <s v="Thursday"/>
    <s v="Afternoon"/>
  </r>
  <r>
    <x v="1277"/>
    <s v="2024-02-12 01:32:38"/>
    <x v="6"/>
    <s v="2024-02-26 06:14:38"/>
    <n v="316.7"/>
    <n v="13.2"/>
    <s v="Password Reset"/>
    <s v="Application Password"/>
    <x v="0"/>
    <n v="240"/>
    <x v="0"/>
    <s v="Chat"/>
    <s v="Tier 1"/>
    <s v="TECH-9"/>
    <s v="Senior"/>
    <x v="1"/>
    <s v="No"/>
    <n v="0"/>
    <s v="No"/>
    <n v="4"/>
    <n v="3.4"/>
    <n v="35.700000000000003"/>
    <s v="No"/>
    <s v="Poor"/>
    <s v="Yes"/>
    <s v="Executive"/>
    <s v="Friday"/>
    <s v="Afternoon"/>
  </r>
  <r>
    <x v="1278"/>
    <s v="2024-07-18 08:33:42"/>
    <x v="4"/>
    <s v="2024-07-26 14:27:42"/>
    <n v="197.9"/>
    <n v="8.1999999999999993"/>
    <s v="Software Installation"/>
    <s v="Adobe Suite"/>
    <x v="0"/>
    <n v="240"/>
    <x v="1"/>
    <s v="Portal"/>
    <s v="Tier 1"/>
    <s v="TECH-5"/>
    <s v="Senior"/>
    <x v="0"/>
    <s v="No"/>
    <n v="1"/>
    <s v="No"/>
    <n v="7"/>
    <n v="1.2"/>
    <n v="42"/>
    <s v="No"/>
    <s v="Good"/>
    <s v="Yes"/>
    <s v="HR"/>
    <s v="Friday"/>
    <s v="Morning"/>
  </r>
  <r>
    <x v="1279"/>
    <s v="2024-09-15 10:33:23"/>
    <x v="9"/>
    <s v="2024-09-27 09:39:23"/>
    <n v="287.10000000000002"/>
    <n v="12"/>
    <s v="Email/Calendar"/>
    <s v="Distribution List"/>
    <x v="2"/>
    <n v="360"/>
    <x v="1"/>
    <s v="Email"/>
    <s v="Tier 1"/>
    <s v="TECH-24"/>
    <s v="Senior"/>
    <x v="0"/>
    <s v="No"/>
    <n v="1"/>
    <s v="No"/>
    <n v="8"/>
    <n v="2.9"/>
    <n v="48.7"/>
    <s v="Yes"/>
    <s v="Poor"/>
    <s v="Yes"/>
    <s v="Finance"/>
    <s v="Thursday"/>
    <s v="Morning"/>
  </r>
  <r>
    <x v="1280"/>
    <s v="2024-12-02 15:53:53"/>
    <x v="0"/>
    <s v="2024-12-06 07:53:53"/>
    <n v="88"/>
    <n v="3.7"/>
    <s v="Hardware Issues"/>
    <s v="Laptop"/>
    <x v="1"/>
    <n v="120"/>
    <x v="1"/>
    <s v="Email"/>
    <s v="Tier 2"/>
    <s v="TECH-17"/>
    <s v="Mid-level"/>
    <x v="0"/>
    <s v="Yes"/>
    <n v="1"/>
    <s v="No"/>
    <n v="8"/>
    <n v="2.2999999999999998"/>
    <n v="2.2999999999999998"/>
    <s v="Yes"/>
    <s v="Fair"/>
    <s v="Yes"/>
    <s v="Legal"/>
    <s v="Tuesday"/>
    <s v="Evening"/>
  </r>
  <r>
    <x v="1281"/>
    <s v="2024-06-25 00:48:14"/>
    <x v="10"/>
    <s v="2024-06-30 06:06:14"/>
    <n v="101.3"/>
    <n v="4.2"/>
    <s v="Hardware Issues"/>
    <s v="Monitor"/>
    <x v="1"/>
    <n v="120"/>
    <x v="1"/>
    <s v="Walk-in"/>
    <s v="Tier 1"/>
    <s v="TECH-24"/>
    <s v="Senior"/>
    <x v="0"/>
    <s v="No"/>
    <n v="1"/>
    <s v="No"/>
    <n v="7"/>
    <n v="0.1"/>
    <n v="22.7"/>
    <s v="Yes"/>
    <s v="Good"/>
    <s v="No"/>
    <s v="Finance"/>
    <s v="Monday"/>
    <s v="Morning"/>
  </r>
  <r>
    <x v="1282"/>
    <s v="2024-05-30 10:31:19"/>
    <x v="8"/>
    <s v="2024-06-14 06:37:19"/>
    <n v="356.1"/>
    <n v="14.8"/>
    <s v="Email/Calendar"/>
    <s v="Calendar Sync"/>
    <x v="0"/>
    <n v="240"/>
    <x v="0"/>
    <s v="Email"/>
    <s v="Tier 2"/>
    <s v="TECH-23"/>
    <s v="Senior"/>
    <x v="0"/>
    <s v="Yes"/>
    <n v="2"/>
    <s v="No"/>
    <n v="4"/>
    <n v="2.2000000000000002"/>
    <n v="46.5"/>
    <s v="Yes"/>
    <s v="Good"/>
    <s v="No"/>
    <s v="Sales"/>
    <s v="Thursday"/>
    <s v="Afternoon"/>
  </r>
  <r>
    <x v="1283"/>
    <s v="2024-05-13 09:14:02"/>
    <x v="8"/>
    <s v="2024-05-15 10:56:02"/>
    <n v="49.7"/>
    <n v="2.1"/>
    <s v="Access Requests"/>
    <s v="Admin Rights"/>
    <x v="3"/>
    <n v="48"/>
    <x v="0"/>
    <s v="Portal"/>
    <s v="Tier 1"/>
    <s v="TECH-24"/>
    <s v="Junior"/>
    <x v="1"/>
    <s v="No"/>
    <n v="0"/>
    <s v="No"/>
    <n v="3"/>
    <n v="2"/>
    <n v="0"/>
    <s v="Yes"/>
    <s v="Fair"/>
    <s v="Yes"/>
    <s v="Operations"/>
    <s v="Monday"/>
    <s v="Morning"/>
  </r>
  <r>
    <x v="1284"/>
    <s v="2024-04-07 22:59:47"/>
    <x v="11"/>
    <s v="2024-04-16 21:53:47"/>
    <n v="214.9"/>
    <n v="9"/>
    <s v="Access Requests"/>
    <s v="VPN Access"/>
    <x v="0"/>
    <n v="240"/>
    <x v="1"/>
    <s v="Phone"/>
    <s v="Tier 2"/>
    <s v="TECH-9"/>
    <s v="Junior"/>
    <x v="0"/>
    <s v="Yes"/>
    <n v="3"/>
    <s v="Yes"/>
    <n v="7"/>
    <n v="0.8"/>
    <n v="11.6"/>
    <s v="Yes"/>
    <s v="Fair"/>
    <s v="No"/>
    <s v="Legal"/>
    <s v="Friday"/>
    <s v="Morning"/>
  </r>
  <r>
    <x v="1285"/>
    <s v="2024-03-23 14:11:30"/>
    <x v="5"/>
    <s v="2024-03-30 17:53:30"/>
    <n v="171.7"/>
    <n v="7.2"/>
    <s v="Access Requests"/>
    <s v="Application Access"/>
    <x v="0"/>
    <n v="240"/>
    <x v="1"/>
    <s v="Email"/>
    <s v="Tier 1"/>
    <s v="TECH-25"/>
    <s v="Mid-level"/>
    <x v="0"/>
    <s v="No"/>
    <n v="1"/>
    <s v="Yes"/>
    <n v="10"/>
    <n v="4"/>
    <n v="23"/>
    <s v="No"/>
    <s v="Good"/>
    <s v="No"/>
    <s v="Legal"/>
    <s v="Tuesday"/>
    <s v="Afternoon"/>
  </r>
  <r>
    <x v="1286"/>
    <s v="2024-06-22 11:54:38"/>
    <x v="10"/>
    <s v="2024-06-29 17:54:38"/>
    <n v="174"/>
    <n v="7.3"/>
    <s v="Access Requests"/>
    <s v="VPN Access"/>
    <x v="0"/>
    <n v="240"/>
    <x v="1"/>
    <s v="Walk-in"/>
    <s v="Tier 1"/>
    <s v="TECH-19"/>
    <s v="Senior"/>
    <x v="1"/>
    <s v="No"/>
    <n v="0"/>
    <s v="No"/>
    <n v="10"/>
    <n v="3.7"/>
    <n v="26.2"/>
    <s v="Yes"/>
    <s v="Poor"/>
    <s v="Yes"/>
    <s v="Finance"/>
    <s v="Tuesday"/>
    <s v="Morning"/>
  </r>
  <r>
    <x v="1287"/>
    <s v="2024-09-03 15:23:50"/>
    <x v="9"/>
    <s v="2024-09-10 12:53:50"/>
    <n v="165.5"/>
    <n v="6.9"/>
    <s v="Software Installation"/>
    <s v="Adobe Suite"/>
    <x v="0"/>
    <n v="240"/>
    <x v="1"/>
    <s v="Portal"/>
    <s v="Tier 1"/>
    <s v="TECH-18"/>
    <s v="Mid-level"/>
    <x v="1"/>
    <s v="No"/>
    <n v="0"/>
    <s v="No"/>
    <n v="9"/>
    <n v="0.8"/>
    <n v="24.3"/>
    <s v="Yes"/>
    <s v="Good"/>
    <s v="No"/>
    <s v="Sales"/>
    <s v="Monday"/>
    <s v="Afternoon"/>
  </r>
  <r>
    <x v="1288"/>
    <s v="2024-02-24 13:56:27"/>
    <x v="6"/>
    <s v="2024-03-17 22:50:27"/>
    <n v="536.9"/>
    <n v="22.4"/>
    <s v="Password Reset"/>
    <s v="Email Password"/>
    <x v="2"/>
    <n v="360"/>
    <x v="0"/>
    <s v="Email"/>
    <s v="Tier 1"/>
    <s v="TECH-7"/>
    <s v="Junior"/>
    <x v="1"/>
    <s v="No"/>
    <n v="0"/>
    <s v="Yes"/>
    <n v="8"/>
    <n v="4.5"/>
    <n v="18"/>
    <s v="Yes"/>
    <s v="Poor"/>
    <s v="Yes"/>
    <s v="Executive"/>
    <s v="Monday"/>
    <s v="Afternoon"/>
  </r>
  <r>
    <x v="1289"/>
    <s v="2024-03-07 05:06:25"/>
    <x v="5"/>
    <s v="2024-03-13 17:36:25"/>
    <n v="156.5"/>
    <n v="6.5"/>
    <s v="Software Installation"/>
    <s v="Adobe Suite"/>
    <x v="0"/>
    <n v="240"/>
    <x v="1"/>
    <s v="Email"/>
    <s v="Tier 1"/>
    <s v="TECH-6"/>
    <s v="Junior"/>
    <x v="0"/>
    <s v="No"/>
    <n v="1"/>
    <s v="No"/>
    <n v="9"/>
    <n v="2.4"/>
    <n v="33.6"/>
    <s v="Yes"/>
    <s v="Poor"/>
    <s v="Yes"/>
    <s v="Legal"/>
    <s v="Monday"/>
    <s v="Morning"/>
  </r>
  <r>
    <x v="1290"/>
    <s v="2024-04-19 07:54:12"/>
    <x v="11"/>
    <s v="2024-04-20 01:18:12"/>
    <n v="41.4"/>
    <n v="1.7"/>
    <s v="Software Installation"/>
    <s v="Adobe Suite"/>
    <x v="3"/>
    <n v="48"/>
    <x v="1"/>
    <s v="Walk-in"/>
    <s v="Tier 1"/>
    <s v="TECH-8"/>
    <s v="Senior"/>
    <x v="0"/>
    <s v="No"/>
    <n v="1"/>
    <s v="No"/>
    <n v="8"/>
    <n v="3.7"/>
    <n v="45.2"/>
    <s v="Yes"/>
    <s v="Fair"/>
    <s v="Yes"/>
    <s v="Executive"/>
    <s v="Thursday"/>
    <s v="Afternoon"/>
  </r>
  <r>
    <x v="1291"/>
    <s v="2024-06-03 17:45:23"/>
    <x v="10"/>
    <s v="2024-06-07 10:39:23"/>
    <n v="88.9"/>
    <n v="3.7"/>
    <s v="Application Errors"/>
    <s v="Features Not Working"/>
    <x v="1"/>
    <n v="120"/>
    <x v="1"/>
    <s v="Phone"/>
    <s v="Tier 1"/>
    <s v="TECH-6"/>
    <s v="Junior"/>
    <x v="0"/>
    <s v="No"/>
    <n v="1"/>
    <s v="No"/>
    <n v="9"/>
    <n v="2.6"/>
    <n v="30.3"/>
    <s v="Yes"/>
    <s v="Fair"/>
    <s v="Yes"/>
    <s v="Legal"/>
    <s v="Monday"/>
    <s v="Afternoon"/>
  </r>
  <r>
    <x v="1292"/>
    <s v="2024-04-17 11:21:55"/>
    <x v="11"/>
    <s v="2024-05-13 08:27:55"/>
    <n v="621.1"/>
    <n v="25.9"/>
    <s v="Other"/>
    <s v="Training Request"/>
    <x v="0"/>
    <n v="240"/>
    <x v="0"/>
    <s v="Phone"/>
    <s v="Tier 2"/>
    <s v="TECH-1"/>
    <s v="Senior"/>
    <x v="0"/>
    <s v="Yes"/>
    <n v="4"/>
    <s v="No"/>
    <n v="6"/>
    <n v="4.5999999999999996"/>
    <n v="7.8"/>
    <s v="Yes"/>
    <s v="Fair"/>
    <s v="No"/>
    <s v="Executive"/>
    <s v="Thursday"/>
    <s v="Afternoon"/>
  </r>
  <r>
    <x v="1293"/>
    <s v="2024-04-07 12:02:26"/>
    <x v="11"/>
    <s v="2024-04-13 10:50:26"/>
    <n v="142.80000000000001"/>
    <n v="6"/>
    <s v="Application Errors"/>
    <s v="Performance"/>
    <x v="1"/>
    <n v="120"/>
    <x v="0"/>
    <s v="Portal"/>
    <s v="Tier 2"/>
    <s v="TECH-21"/>
    <s v="Senior"/>
    <x v="0"/>
    <s v="Yes"/>
    <n v="2"/>
    <s v="No"/>
    <n v="3"/>
    <n v="0.7"/>
    <n v="26.8"/>
    <s v="No"/>
    <s v="Good"/>
    <s v="Yes"/>
    <s v="Legal"/>
    <s v="Tuesday"/>
    <s v="Morning"/>
  </r>
  <r>
    <x v="1294"/>
    <s v="2024-06-22 03:34:05"/>
    <x v="10"/>
    <s v="2024-07-02 00:34:05"/>
    <n v="261"/>
    <n v="10.9"/>
    <s v="Password Reset"/>
    <s v="Application Password"/>
    <x v="2"/>
    <n v="360"/>
    <x v="1"/>
    <s v="Email"/>
    <s v="Tier 1"/>
    <s v="TECH-11"/>
    <s v="Mid-level"/>
    <x v="1"/>
    <s v="No"/>
    <n v="0"/>
    <s v="No"/>
    <n v="8"/>
    <n v="0.8"/>
    <n v="18.100000000000001"/>
    <s v="Yes"/>
    <s v="Excellent"/>
    <s v="No"/>
    <s v="IT"/>
    <s v="Monday"/>
    <s v="Afternoon"/>
  </r>
  <r>
    <x v="1295"/>
    <s v="2024-10-26 13:14:22"/>
    <x v="2"/>
    <s v="2024-11-08 15:38:22"/>
    <n v="315.39999999999998"/>
    <n v="13.1"/>
    <s v="Password Reset"/>
    <s v="Windows Password"/>
    <x v="2"/>
    <n v="360"/>
    <x v="1"/>
    <s v="Email"/>
    <s v="Tier 1"/>
    <s v="TECH-19"/>
    <s v="Mid-level"/>
    <x v="1"/>
    <s v="No"/>
    <n v="0"/>
    <s v="No"/>
    <n v="10"/>
    <n v="0.8"/>
    <n v="18"/>
    <s v="Yes"/>
    <s v="Poor"/>
    <s v="No"/>
    <s v="Marketing"/>
    <s v="Monday"/>
    <s v="Morning"/>
  </r>
  <r>
    <x v="1296"/>
    <s v="2024-01-21 01:51:23"/>
    <x v="3"/>
    <s v="2024-01-26 06:39:23"/>
    <n v="100.8"/>
    <n v="4.2"/>
    <s v="Application Errors"/>
    <s v="Performance"/>
    <x v="1"/>
    <n v="120"/>
    <x v="1"/>
    <s v="Walk-in"/>
    <s v="Tier 1"/>
    <s v="TECH-16"/>
    <s v="Junior"/>
    <x v="1"/>
    <s v="No"/>
    <n v="0"/>
    <s v="No"/>
    <n v="10"/>
    <n v="4.8"/>
    <n v="13.2"/>
    <s v="Yes"/>
    <s v="Good"/>
    <s v="No"/>
    <s v="HR"/>
    <s v="Thursday"/>
    <s v="Morning"/>
  </r>
  <r>
    <x v="1297"/>
    <s v="2024-10-04 10:09:39"/>
    <x v="2"/>
    <s v="2024-10-30 06:45:39"/>
    <n v="621.6"/>
    <n v="25.9"/>
    <s v="Software Installation"/>
    <s v="Business Apps"/>
    <x v="0"/>
    <n v="240"/>
    <x v="0"/>
    <s v="Portal"/>
    <s v="Tier 1"/>
    <s v="TECH-17"/>
    <s v="Mid-level"/>
    <x v="1"/>
    <s v="No"/>
    <n v="0"/>
    <s v="Yes"/>
    <n v="4"/>
    <n v="2.8"/>
    <n v="0"/>
    <s v="Yes"/>
    <s v="Good"/>
    <s v="Yes"/>
    <s v="IT"/>
    <s v="Wednesday"/>
    <s v="Morning"/>
  </r>
  <r>
    <x v="1298"/>
    <s v="2024-08-02 16:04:54"/>
    <x v="1"/>
    <s v="2024-08-09 23:16:54"/>
    <n v="175.2"/>
    <n v="7.3"/>
    <s v="Access Requests"/>
    <s v="VPN Access"/>
    <x v="1"/>
    <n v="120"/>
    <x v="0"/>
    <s v="Portal"/>
    <s v="Tier 1"/>
    <s v="TECH-6"/>
    <s v="Junior"/>
    <x v="1"/>
    <s v="No"/>
    <n v="0"/>
    <s v="Yes"/>
    <n v="6"/>
    <n v="3"/>
    <n v="19.3"/>
    <s v="Yes"/>
    <s v="Poor"/>
    <s v="No"/>
    <s v="Sales"/>
    <s v="Wednesday"/>
    <s v="Morning"/>
  </r>
  <r>
    <x v="1299"/>
    <s v="2024-09-27 18:06:34"/>
    <x v="9"/>
    <s v="2024-10-07 17:18:34"/>
    <n v="239.2"/>
    <n v="10"/>
    <s v="Password Reset"/>
    <s v="Application Password"/>
    <x v="2"/>
    <n v="360"/>
    <x v="1"/>
    <s v="Chat"/>
    <s v="Tier 1"/>
    <s v="TECH-1"/>
    <s v="Mid-level"/>
    <x v="0"/>
    <s v="No"/>
    <n v="1"/>
    <s v="No"/>
    <n v="8"/>
    <n v="2.7"/>
    <n v="26.2"/>
    <s v="No"/>
    <s v="Excellent"/>
    <s v="Yes"/>
    <s v="Operations"/>
    <s v="Thursday"/>
    <s v="Afternoon"/>
  </r>
  <r>
    <x v="1300"/>
    <s v="2024-11-21 23:26:09"/>
    <x v="7"/>
    <s v="2024-11-28 13:02:09"/>
    <n v="157.6"/>
    <n v="6.6"/>
    <s v="Network Connectivity"/>
    <s v="VPN Connection"/>
    <x v="1"/>
    <n v="120"/>
    <x v="0"/>
    <s v="Phone"/>
    <s v="Tier 2"/>
    <s v="TECH-11"/>
    <s v="Junior"/>
    <x v="0"/>
    <s v="Yes"/>
    <n v="3"/>
    <s v="No"/>
    <n v="5"/>
    <n v="4.5"/>
    <n v="19.600000000000001"/>
    <s v="Yes"/>
    <s v="Fair"/>
    <s v="No"/>
    <s v="Sales"/>
    <s v="Thursday"/>
    <s v="Morning"/>
  </r>
  <r>
    <x v="1301"/>
    <s v="2024-11-09 12:43:29"/>
    <x v="7"/>
    <s v="2024-11-23 18:19:29"/>
    <n v="341.6"/>
    <n v="14.2"/>
    <s v="Hardware Issues"/>
    <s v="Monitor"/>
    <x v="0"/>
    <n v="240"/>
    <x v="0"/>
    <s v="Portal"/>
    <s v="Tier 1"/>
    <s v="TECH-15"/>
    <s v="Mid-level"/>
    <x v="0"/>
    <s v="No"/>
    <n v="1"/>
    <s v="No"/>
    <n v="7"/>
    <n v="4.4000000000000004"/>
    <n v="4.4000000000000004"/>
    <s v="Yes"/>
    <s v="Fair"/>
    <s v="Yes"/>
    <s v="Legal"/>
    <s v="Monday"/>
    <s v="Morning"/>
  </r>
  <r>
    <x v="1302"/>
    <s v="2024-04-14 03:22:20"/>
    <x v="11"/>
    <s v="2024-04-20 07:28:20"/>
    <n v="148.1"/>
    <n v="6.2"/>
    <s v="Application Errors"/>
    <s v="Crash"/>
    <x v="0"/>
    <n v="240"/>
    <x v="1"/>
    <s v="Phone"/>
    <s v="Tier 2"/>
    <s v="TECH-11"/>
    <s v="Senior"/>
    <x v="0"/>
    <s v="Yes"/>
    <n v="3"/>
    <s v="No"/>
    <n v="9"/>
    <n v="3.4"/>
    <n v="20.3"/>
    <s v="No"/>
    <s v="Fair"/>
    <s v="No"/>
    <s v="Operations"/>
    <s v="Tuesday"/>
    <s v="Evening"/>
  </r>
  <r>
    <x v="1303"/>
    <s v="2024-03-19 09:46:54"/>
    <x v="5"/>
    <s v="2024-03-25 14:04:54"/>
    <n v="148.30000000000001"/>
    <n v="6.2"/>
    <s v="Software Installation"/>
    <s v="Adobe Suite"/>
    <x v="0"/>
    <n v="240"/>
    <x v="1"/>
    <s v="Phone"/>
    <s v="Tier 1"/>
    <s v="TECH-21"/>
    <s v="Junior"/>
    <x v="1"/>
    <s v="No"/>
    <n v="0"/>
    <s v="Yes"/>
    <n v="10"/>
    <n v="0.1"/>
    <n v="10"/>
    <s v="Yes"/>
    <s v="Good"/>
    <s v="Yes"/>
    <s v="Sales"/>
    <s v="Monday"/>
    <s v="Evening"/>
  </r>
  <r>
    <x v="1304"/>
    <s v="2024-07-05 19:49:18"/>
    <x v="4"/>
    <s v="2024-07-10 12:19:18"/>
    <n v="112.5"/>
    <n v="4.7"/>
    <s v="Network Connectivity"/>
    <s v="Slow Network"/>
    <x v="1"/>
    <n v="120"/>
    <x v="1"/>
    <s v="Email"/>
    <s v="Tier 2"/>
    <s v="TECH-1"/>
    <s v="Junior"/>
    <x v="0"/>
    <s v="Yes"/>
    <n v="1"/>
    <s v="No"/>
    <n v="10"/>
    <n v="1.6"/>
    <n v="15.5"/>
    <s v="Yes"/>
    <s v="Good"/>
    <s v="No"/>
    <s v="Sales"/>
    <s v="Friday"/>
    <s v="Morning"/>
  </r>
  <r>
    <x v="1305"/>
    <s v="2024-07-25 21:31:51"/>
    <x v="4"/>
    <s v="2024-08-03 22:55:51"/>
    <n v="217.4"/>
    <n v="9.1"/>
    <s v="Password Reset"/>
    <s v="Account Unlock"/>
    <x v="2"/>
    <n v="360"/>
    <x v="1"/>
    <s v="Email"/>
    <s v="Tier 1"/>
    <s v="TECH-18"/>
    <s v="Mid-level"/>
    <x v="1"/>
    <s v="No"/>
    <n v="0"/>
    <s v="No"/>
    <n v="9"/>
    <n v="2.2000000000000002"/>
    <n v="3.6"/>
    <s v="Yes"/>
    <s v="Fair"/>
    <s v="Yes"/>
    <s v="Finance"/>
    <s v="Wednesday"/>
    <s v="Morning"/>
  </r>
  <r>
    <x v="1306"/>
    <s v="2024-05-24 12:24:06"/>
    <x v="8"/>
    <s v="2024-05-28 02:30:06"/>
    <n v="110.1"/>
    <n v="4.5999999999999996"/>
    <s v="Application Errors"/>
    <s v="Crash"/>
    <x v="1"/>
    <n v="120"/>
    <x v="1"/>
    <s v="Email"/>
    <s v="Tier 1"/>
    <s v="TECH-18"/>
    <s v="Junior"/>
    <x v="0"/>
    <s v="No"/>
    <n v="1"/>
    <s v="No"/>
    <n v="9"/>
    <n v="0.5"/>
    <n v="21"/>
    <s v="Yes"/>
    <s v="Good"/>
    <s v="Yes"/>
    <s v="Executive"/>
    <s v="Tuesday"/>
    <s v="Morning"/>
  </r>
  <r>
    <x v="1307"/>
    <s v="2024-03-09 10:45:46"/>
    <x v="5"/>
    <s v="2024-03-14 16:03:46"/>
    <n v="125.3"/>
    <n v="5.2"/>
    <s v="Other"/>
    <s v="Miscellaneous"/>
    <x v="1"/>
    <n v="120"/>
    <x v="0"/>
    <s v="Email"/>
    <s v="Tier 2"/>
    <s v="TECH-11"/>
    <s v="Mid-level"/>
    <x v="0"/>
    <s v="Yes"/>
    <n v="4"/>
    <s v="Yes"/>
    <n v="4"/>
    <n v="2.9"/>
    <n v="2.2000000000000002"/>
    <s v="No"/>
    <s v="Good"/>
    <s v="No"/>
    <s v="IT"/>
    <s v="Tuesday"/>
    <s v="Afternoon"/>
  </r>
  <r>
    <x v="1308"/>
    <s v="2024-02-10 02:49:25"/>
    <x v="6"/>
    <s v="2024-02-17 08:19:25"/>
    <n v="173.5"/>
    <n v="7.2"/>
    <s v="Hardware Issues"/>
    <s v="Printer"/>
    <x v="1"/>
    <n v="120"/>
    <x v="0"/>
    <s v="Phone"/>
    <s v="Tier 1"/>
    <s v="TECH-4"/>
    <s v="Junior"/>
    <x v="0"/>
    <s v="No"/>
    <n v="1"/>
    <s v="No"/>
    <n v="3"/>
    <n v="0.1"/>
    <n v="6.6"/>
    <s v="Yes"/>
    <s v="Good"/>
    <s v="No"/>
    <s v="IT"/>
    <s v="Friday"/>
    <s v="Afternoon"/>
  </r>
  <r>
    <x v="1309"/>
    <s v="2024-10-09 02:48:46"/>
    <x v="2"/>
    <s v="2024-10-16 16:30:46"/>
    <n v="157.69999999999999"/>
    <n v="6.6"/>
    <s v="Software Installation"/>
    <s v="MS Office"/>
    <x v="0"/>
    <n v="240"/>
    <x v="1"/>
    <s v="Email"/>
    <s v="Tier 2"/>
    <s v="TECH-23"/>
    <s v="Mid-level"/>
    <x v="0"/>
    <s v="Yes"/>
    <n v="4"/>
    <s v="No"/>
    <n v="8"/>
    <n v="2"/>
    <n v="0"/>
    <s v="No"/>
    <s v="Fair"/>
    <s v="Yes"/>
    <s v="IT"/>
    <s v="Monday"/>
    <s v="Afternoon"/>
  </r>
  <r>
    <x v="1310"/>
    <s v="2024-07-06 18:53:05"/>
    <x v="4"/>
    <s v="2024-07-13 19:53:05"/>
    <n v="169"/>
    <n v="7"/>
    <s v="Application Errors"/>
    <s v="Performance"/>
    <x v="1"/>
    <n v="120"/>
    <x v="0"/>
    <s v="Email"/>
    <s v="Tier 1"/>
    <s v="TECH-20"/>
    <s v="Senior"/>
    <x v="0"/>
    <s v="No"/>
    <n v="1"/>
    <s v="No"/>
    <n v="6"/>
    <n v="4.4000000000000004"/>
    <n v="2.7"/>
    <s v="No"/>
    <s v="Poor"/>
    <s v="Yes"/>
    <s v="HR"/>
    <s v="Friday"/>
    <s v="Afternoon"/>
  </r>
  <r>
    <x v="1311"/>
    <s v="2024-01-23 10:12:27"/>
    <x v="3"/>
    <s v="2024-02-01 15:30:27"/>
    <n v="221.3"/>
    <n v="9.1999999999999993"/>
    <s v="Email/Calendar"/>
    <s v="Distribution List"/>
    <x v="0"/>
    <n v="240"/>
    <x v="1"/>
    <s v="Portal"/>
    <s v="Tier 2"/>
    <s v="TECH-7"/>
    <s v="Senior"/>
    <x v="0"/>
    <s v="Yes"/>
    <n v="3"/>
    <s v="No"/>
    <n v="7"/>
    <n v="0.1"/>
    <n v="0"/>
    <s v="Yes"/>
    <s v="Fair"/>
    <s v="No"/>
    <s v="Executive"/>
    <s v="Wednesday"/>
    <s v="Evening"/>
  </r>
  <r>
    <x v="1312"/>
    <s v="2024-06-25 11:44:34"/>
    <x v="10"/>
    <s v="2024-07-02 06:26:34"/>
    <n v="162.69999999999999"/>
    <n v="6.8"/>
    <s v="Email/Calendar"/>
    <s v="Cannot Send/Receive"/>
    <x v="0"/>
    <n v="240"/>
    <x v="1"/>
    <s v="Phone"/>
    <s v="Tier 1"/>
    <s v="TECH-11"/>
    <s v="Mid-level"/>
    <x v="1"/>
    <s v="No"/>
    <n v="0"/>
    <s v="Yes"/>
    <n v="10"/>
    <n v="1.6"/>
    <n v="9.1999999999999993"/>
    <s v="Yes"/>
    <s v="Good"/>
    <s v="Yes"/>
    <s v="IT"/>
    <s v="Tuesday"/>
    <s v="Afternoon"/>
  </r>
  <r>
    <x v="1313"/>
    <s v="2024-07-24 02:23:13"/>
    <x v="4"/>
    <s v="2024-08-02 10:47:13"/>
    <n v="200.4"/>
    <n v="8.4"/>
    <s v="Password Reset"/>
    <s v="Account Unlock"/>
    <x v="0"/>
    <n v="240"/>
    <x v="1"/>
    <s v="Email"/>
    <s v="Tier 1"/>
    <s v="TECH-19"/>
    <s v="Junior"/>
    <x v="1"/>
    <s v="No"/>
    <n v="0"/>
    <s v="No"/>
    <n v="10"/>
    <n v="0.5"/>
    <n v="23.8"/>
    <s v="Yes"/>
    <s v="Poor"/>
    <s v="Yes"/>
    <s v="Sales"/>
    <s v="Tuesday"/>
    <s v="Afternoon"/>
  </r>
  <r>
    <x v="1314"/>
    <s v="2024-11-05 05:47:34"/>
    <x v="7"/>
    <s v="2024-11-17 15:53:34"/>
    <n v="298.10000000000002"/>
    <n v="12.4"/>
    <s v="Other"/>
    <s v="Training Request"/>
    <x v="2"/>
    <n v="360"/>
    <x v="1"/>
    <s v="Email"/>
    <s v="Tier 1"/>
    <s v="TECH-25"/>
    <s v="Mid-level"/>
    <x v="0"/>
    <s v="No"/>
    <n v="1"/>
    <s v="No"/>
    <n v="7"/>
    <n v="4.4000000000000004"/>
    <n v="8.1999999999999993"/>
    <s v="No"/>
    <s v="Excellent"/>
    <s v="Yes"/>
    <s v="HR"/>
    <s v="Tuesday"/>
    <s v="Morning"/>
  </r>
  <r>
    <x v="1315"/>
    <s v="2024-04-09 15:08:12"/>
    <x v="11"/>
    <s v="2024-04-13 12:38:12"/>
    <n v="93.5"/>
    <n v="3.9"/>
    <s v="Hardware Issues"/>
    <s v="Desktop"/>
    <x v="1"/>
    <n v="120"/>
    <x v="1"/>
    <s v="Phone"/>
    <s v="Tier 1"/>
    <s v="TECH-10"/>
    <s v="Junior"/>
    <x v="1"/>
    <s v="No"/>
    <n v="0"/>
    <s v="No"/>
    <n v="10"/>
    <n v="1.2"/>
    <n v="28.1"/>
    <s v="Yes"/>
    <s v="Fair"/>
    <s v="Yes"/>
    <s v="Executive"/>
    <s v="Thursday"/>
    <s v="Morning"/>
  </r>
  <r>
    <x v="1316"/>
    <s v="2024-09-27 16:54:04"/>
    <x v="9"/>
    <s v="2024-10-07 10:24:04"/>
    <n v="233.5"/>
    <n v="9.6999999999999993"/>
    <s v="Network Connectivity"/>
    <s v="Ethernet"/>
    <x v="2"/>
    <n v="360"/>
    <x v="1"/>
    <s v="Portal"/>
    <s v="Tier 1"/>
    <s v="TECH-5"/>
    <s v="Senior"/>
    <x v="0"/>
    <s v="No"/>
    <n v="1"/>
    <s v="No"/>
    <n v="7"/>
    <n v="0.1"/>
    <n v="19.899999999999999"/>
    <s v="Yes"/>
    <s v="Fair"/>
    <s v="No"/>
    <s v="Finance"/>
    <s v="Thursday"/>
    <s v="Morning"/>
  </r>
  <r>
    <x v="1317"/>
    <s v="2024-07-12 01:50:41"/>
    <x v="4"/>
    <s v="2024-07-17 13:32:41"/>
    <n v="107.7"/>
    <n v="4.5"/>
    <s v="Email/Calendar"/>
    <s v="Mailbox Full"/>
    <x v="1"/>
    <n v="120"/>
    <x v="1"/>
    <s v="Portal"/>
    <s v="Tier 1"/>
    <s v="TECH-2"/>
    <s v="Junior"/>
    <x v="0"/>
    <s v="No"/>
    <n v="1"/>
    <s v="No"/>
    <n v="8"/>
    <n v="0.7"/>
    <n v="21.5"/>
    <s v="No"/>
    <s v="Fair"/>
    <s v="Yes"/>
    <s v="IT"/>
    <s v="Friday"/>
    <s v="Morning"/>
  </r>
  <r>
    <x v="1318"/>
    <s v="2024-05-21 20:25:21"/>
    <x v="8"/>
    <s v="2024-05-24 23:31:21"/>
    <n v="75.099999999999994"/>
    <n v="3.1"/>
    <s v="Network Connectivity"/>
    <s v="WiFi Issues"/>
    <x v="1"/>
    <n v="120"/>
    <x v="1"/>
    <s v="Phone"/>
    <s v="Tier 1"/>
    <s v="TECH-13"/>
    <s v="Mid-level"/>
    <x v="1"/>
    <s v="No"/>
    <n v="0"/>
    <s v="No"/>
    <n v="10"/>
    <n v="1.1000000000000001"/>
    <n v="0.4"/>
    <s v="Yes"/>
    <s v="Fair"/>
    <s v="No"/>
    <s v="Marketing"/>
    <s v="Tuesday"/>
    <s v="Morning"/>
  </r>
  <r>
    <x v="1319"/>
    <s v="2024-11-11 22:41:21"/>
    <x v="7"/>
    <s v="2024-11-15 06:41:21"/>
    <n v="80"/>
    <n v="3.3"/>
    <s v="Software Installation"/>
    <s v="MS Office"/>
    <x v="1"/>
    <n v="120"/>
    <x v="1"/>
    <s v="Phone"/>
    <s v="Tier 1"/>
    <s v="TECH-18"/>
    <s v="Junior"/>
    <x v="0"/>
    <s v="No"/>
    <n v="1"/>
    <s v="No"/>
    <n v="10"/>
    <n v="0.9"/>
    <n v="15.2"/>
    <s v="Yes"/>
    <s v="Good"/>
    <s v="No"/>
    <s v="IT"/>
    <s v="Thursday"/>
    <s v="Morning"/>
  </r>
  <r>
    <x v="1320"/>
    <s v="2024-04-29 17:54:01"/>
    <x v="11"/>
    <s v="2024-05-04 03:54:01"/>
    <n v="106"/>
    <n v="4.4000000000000004"/>
    <s v="Hardware Issues"/>
    <s v="Docking Station"/>
    <x v="1"/>
    <n v="120"/>
    <x v="1"/>
    <s v="Phone"/>
    <s v="Tier 2"/>
    <s v="TECH-1"/>
    <s v="Junior"/>
    <x v="0"/>
    <s v="Yes"/>
    <n v="3"/>
    <s v="No"/>
    <n v="9"/>
    <n v="3"/>
    <n v="15"/>
    <s v="Yes"/>
    <s v="Good"/>
    <s v="Yes"/>
    <s v="Marketing"/>
    <s v="Wednesday"/>
    <s v="Afternoon"/>
  </r>
  <r>
    <x v="1321"/>
    <s v="2024-04-11 07:49:03"/>
    <x v="11"/>
    <s v="2024-04-15 13:55:03"/>
    <n v="102.1"/>
    <n v="4.3"/>
    <s v="Application Errors"/>
    <s v="Features Not Working"/>
    <x v="1"/>
    <n v="120"/>
    <x v="1"/>
    <s v="Portal"/>
    <s v="Tier 1"/>
    <s v="TECH-23"/>
    <s v="Senior"/>
    <x v="0"/>
    <s v="No"/>
    <n v="1"/>
    <s v="No"/>
    <n v="9"/>
    <n v="3"/>
    <n v="26"/>
    <s v="No"/>
    <s v="Poor"/>
    <s v="Yes"/>
    <s v="IT"/>
    <s v="Monday"/>
    <s v="Evening"/>
  </r>
  <r>
    <x v="1322"/>
    <s v="2024-03-21 08:04:18"/>
    <x v="5"/>
    <s v="2024-03-25 23:22:18"/>
    <n v="111.3"/>
    <n v="4.5999999999999996"/>
    <s v="Network Connectivity"/>
    <s v="Slow Network"/>
    <x v="1"/>
    <n v="120"/>
    <x v="1"/>
    <s v="Phone"/>
    <s v="Tier 1"/>
    <s v="TECH-22"/>
    <s v="Mid-level"/>
    <x v="0"/>
    <s v="No"/>
    <n v="1"/>
    <s v="No"/>
    <n v="8"/>
    <n v="0.5"/>
    <n v="30.5"/>
    <s v="Yes"/>
    <s v="Fair"/>
    <s v="No"/>
    <s v="Legal"/>
    <s v="Wednesday"/>
    <s v="Evening"/>
  </r>
  <r>
    <x v="1323"/>
    <s v="2024-11-18 15:05:07"/>
    <x v="7"/>
    <s v="2024-11-26 06:59:07"/>
    <n v="183.9"/>
    <n v="7.7"/>
    <s v="Software Installation"/>
    <s v="Adobe Suite"/>
    <x v="0"/>
    <n v="240"/>
    <x v="1"/>
    <s v="Phone"/>
    <s v="Tier 1"/>
    <s v="TECH-6"/>
    <s v="Mid-level"/>
    <x v="0"/>
    <s v="No"/>
    <n v="1"/>
    <s v="No"/>
    <n v="8"/>
    <n v="2.9"/>
    <n v="23.7"/>
    <s v="No"/>
    <s v="Excellent"/>
    <s v="No"/>
    <s v="Sales"/>
    <s v="Monday"/>
    <s v="Morning"/>
  </r>
  <r>
    <x v="1324"/>
    <s v="2024-08-26 00:58:35"/>
    <x v="1"/>
    <s v="2024-08-31 18:16:35"/>
    <n v="113.3"/>
    <n v="4.7"/>
    <s v="Application Errors"/>
    <s v="Performance"/>
    <x v="1"/>
    <n v="120"/>
    <x v="1"/>
    <s v="Email"/>
    <s v="Tier 2"/>
    <s v="TECH-15"/>
    <s v="Mid-level"/>
    <x v="0"/>
    <s v="Yes"/>
    <n v="1"/>
    <s v="No"/>
    <n v="7"/>
    <n v="1.3"/>
    <n v="21.4"/>
    <s v="Yes"/>
    <s v="Fair"/>
    <s v="Yes"/>
    <s v="IT"/>
    <s v="Thursday"/>
    <s v="Morning"/>
  </r>
  <r>
    <x v="1325"/>
    <s v="2024-07-29 20:27:43"/>
    <x v="4"/>
    <s v="2024-07-31 09:45:43"/>
    <n v="37.299999999999997"/>
    <n v="1.6"/>
    <s v="Hardware Issues"/>
    <s v="Laptop"/>
    <x v="3"/>
    <n v="48"/>
    <x v="1"/>
    <s v="Phone"/>
    <s v="Tier 1"/>
    <s v="TECH-7"/>
    <s v="Senior"/>
    <x v="0"/>
    <s v="No"/>
    <n v="1"/>
    <s v="No"/>
    <n v="9"/>
    <n v="4.9000000000000004"/>
    <n v="32.5"/>
    <s v="Yes"/>
    <s v="Poor"/>
    <s v="Yes"/>
    <s v="Legal"/>
    <s v="Monday"/>
    <s v="Afternoon"/>
  </r>
  <r>
    <x v="1326"/>
    <s v="2024-08-30 01:56:59"/>
    <x v="1"/>
    <s v="2024-10-06 02:02:59"/>
    <n v="888.1"/>
    <n v="37"/>
    <s v="Other"/>
    <s v="Documentation"/>
    <x v="2"/>
    <n v="360"/>
    <x v="0"/>
    <s v="Phone"/>
    <s v="Tier 1"/>
    <s v="TECH-20"/>
    <s v="Mid-level"/>
    <x v="1"/>
    <s v="No"/>
    <n v="0"/>
    <s v="No"/>
    <n v="5"/>
    <n v="0.5"/>
    <n v="32.299999999999997"/>
    <s v="Yes"/>
    <s v="Fair"/>
    <s v="Yes"/>
    <s v="HR"/>
    <s v="Thursday"/>
    <s v="Morning"/>
  </r>
  <r>
    <x v="1327"/>
    <s v="2024-03-01 15:19:14"/>
    <x v="5"/>
    <s v="2024-03-06 01:31:14"/>
    <n v="130.19999999999999"/>
    <n v="5.4"/>
    <s v="Application Errors"/>
    <s v="Login Issues"/>
    <x v="3"/>
    <n v="48"/>
    <x v="0"/>
    <s v="Email"/>
    <s v="Tier 1"/>
    <s v="TECH-25"/>
    <s v="Mid-level"/>
    <x v="0"/>
    <s v="No"/>
    <n v="1"/>
    <s v="No"/>
    <n v="6"/>
    <n v="2.1"/>
    <n v="30.8"/>
    <s v="No"/>
    <s v="Poor"/>
    <s v="Yes"/>
    <s v="Legal"/>
    <s v="Monday"/>
    <s v="Morning"/>
  </r>
  <r>
    <x v="1328"/>
    <s v="2024-11-10 09:48:44"/>
    <x v="7"/>
    <s v="2024-11-26 00:18:44"/>
    <n v="398.5"/>
    <n v="16.600000000000001"/>
    <s v="Password Reset"/>
    <s v="Email Password"/>
    <x v="2"/>
    <n v="360"/>
    <x v="0"/>
    <s v="Email"/>
    <s v="Tier 1"/>
    <s v="TECH-10"/>
    <s v="Junior"/>
    <x v="0"/>
    <s v="No"/>
    <n v="1"/>
    <s v="No"/>
    <n v="7"/>
    <n v="4.2"/>
    <n v="11.1"/>
    <s v="No"/>
    <s v="Poor"/>
    <s v="No"/>
    <s v="Executive"/>
    <s v="Tuesday"/>
    <s v="Morning"/>
  </r>
  <r>
    <x v="1329"/>
    <s v="2024-10-23 07:45:25"/>
    <x v="2"/>
    <s v="2024-11-02 20:33:25"/>
    <n v="253.8"/>
    <n v="10.6"/>
    <s v="Password Reset"/>
    <s v="Windows Password"/>
    <x v="2"/>
    <n v="360"/>
    <x v="1"/>
    <s v="Email"/>
    <s v="Tier 1"/>
    <s v="TECH-6"/>
    <s v="Mid-level"/>
    <x v="1"/>
    <s v="No"/>
    <n v="0"/>
    <s v="No"/>
    <n v="8"/>
    <n v="3.6"/>
    <n v="11"/>
    <s v="No"/>
    <s v="Fair"/>
    <s v="Yes"/>
    <s v="Legal"/>
    <s v="Wednesday"/>
    <s v="Morning"/>
  </r>
  <r>
    <x v="1330"/>
    <s v="2024-03-20 07:09:19"/>
    <x v="5"/>
    <s v="2024-03-29 14:27:19"/>
    <n v="223.3"/>
    <n v="9.3000000000000007"/>
    <s v="Software Installation"/>
    <s v="VPN Client"/>
    <x v="0"/>
    <n v="240"/>
    <x v="1"/>
    <s v="Chat"/>
    <s v="Tier 2"/>
    <s v="TECH-7"/>
    <s v="Mid-level"/>
    <x v="0"/>
    <s v="Yes"/>
    <n v="1"/>
    <s v="No"/>
    <n v="7"/>
    <n v="0.1"/>
    <n v="8.4"/>
    <s v="No"/>
    <s v="Good"/>
    <s v="No"/>
    <s v="Executive"/>
    <s v="Monday"/>
    <s v="Evening"/>
  </r>
  <r>
    <x v="1331"/>
    <s v="2024-12-02 05:58:24"/>
    <x v="0"/>
    <s v="2024-12-06 13:28:24"/>
    <n v="103.5"/>
    <n v="4.3"/>
    <s v="Software Installation"/>
    <s v="Adobe Suite"/>
    <x v="1"/>
    <n v="120"/>
    <x v="1"/>
    <s v="Walk-in"/>
    <s v="Tier 1"/>
    <s v="TECH-12"/>
    <s v="Mid-level"/>
    <x v="0"/>
    <s v="No"/>
    <n v="1"/>
    <s v="No"/>
    <n v="6"/>
    <n v="3.3"/>
    <n v="30.5"/>
    <s v="No"/>
    <s v="Fair"/>
    <s v="Yes"/>
    <s v="HR"/>
    <s v="Wednesday"/>
    <s v="Evening"/>
  </r>
  <r>
    <x v="1332"/>
    <s v="2024-09-13 09:24:23"/>
    <x v="9"/>
    <s v="2024-10-03 22:06:23"/>
    <n v="492.7"/>
    <n v="20.5"/>
    <s v="Access Requests"/>
    <s v="VPN Access"/>
    <x v="2"/>
    <n v="360"/>
    <x v="0"/>
    <s v="Portal"/>
    <s v="Tier 1"/>
    <s v="TECH-16"/>
    <s v="Mid-level"/>
    <x v="0"/>
    <s v="No"/>
    <n v="1"/>
    <s v="No"/>
    <n v="4"/>
    <n v="3.6"/>
    <n v="17.5"/>
    <s v="No"/>
    <s v="Fair"/>
    <s v="Yes"/>
    <s v="Executive"/>
    <s v="Monday"/>
    <s v="Afternoon"/>
  </r>
  <r>
    <x v="1333"/>
    <s v="2024-01-13 19:27:29"/>
    <x v="3"/>
    <s v="2024-01-23 21:51:29"/>
    <n v="242.4"/>
    <n v="10.1"/>
    <s v="Other"/>
    <s v="Training Request"/>
    <x v="0"/>
    <n v="240"/>
    <x v="0"/>
    <s v="Phone"/>
    <s v="Tier 2"/>
    <s v="TECH-6"/>
    <s v="Senior"/>
    <x v="0"/>
    <s v="Yes"/>
    <n v="2"/>
    <s v="No"/>
    <n v="2"/>
    <n v="2.6"/>
    <n v="32.1"/>
    <s v="Yes"/>
    <s v="Excellent"/>
    <s v="Yes"/>
    <s v="Executive"/>
    <s v="Wednesday"/>
    <s v="Morning"/>
  </r>
  <r>
    <x v="1334"/>
    <s v="2024-05-05 10:15:09"/>
    <x v="8"/>
    <s v="2024-05-18 17:21:09"/>
    <n v="319.10000000000002"/>
    <n v="13.3"/>
    <s v="Other"/>
    <s v="Miscellaneous"/>
    <x v="2"/>
    <n v="360"/>
    <x v="1"/>
    <s v="Email"/>
    <s v="Tier 2"/>
    <s v="TECH-18"/>
    <s v="Mid-level"/>
    <x v="0"/>
    <s v="Yes"/>
    <n v="1"/>
    <s v="No"/>
    <n v="5"/>
    <n v="2.4"/>
    <n v="7.3"/>
    <s v="No"/>
    <s v="Good"/>
    <s v="Yes"/>
    <s v="Marketing"/>
    <s v="Wednesday"/>
    <s v="Morning"/>
  </r>
  <r>
    <x v="1335"/>
    <s v="2024-10-30 20:00:00"/>
    <x v="2"/>
    <s v="2024-11-12 04:12:00"/>
    <n v="296.2"/>
    <n v="12.3"/>
    <s v="Password Reset"/>
    <s v="Email Password"/>
    <x v="2"/>
    <n v="360"/>
    <x v="1"/>
    <s v="Walk-in"/>
    <s v="Tier 1"/>
    <s v="TECH-5"/>
    <s v="Senior"/>
    <x v="1"/>
    <s v="No"/>
    <n v="0"/>
    <s v="No"/>
    <n v="10"/>
    <n v="3.7"/>
    <n v="11.6"/>
    <s v="No"/>
    <s v="Excellent"/>
    <s v="No"/>
    <s v="Sales"/>
    <s v="Monday"/>
    <s v="Morning"/>
  </r>
  <r>
    <x v="1336"/>
    <s v="2024-05-19 18:37:23"/>
    <x v="8"/>
    <s v="2024-05-26 22:13:23"/>
    <n v="171.6"/>
    <n v="7.2"/>
    <s v="Access Requests"/>
    <s v="Application Access"/>
    <x v="0"/>
    <n v="240"/>
    <x v="1"/>
    <s v="Portal"/>
    <s v="Tier 1"/>
    <s v="TECH-23"/>
    <s v="Mid-level"/>
    <x v="1"/>
    <s v="No"/>
    <n v="0"/>
    <s v="No"/>
    <n v="10"/>
    <n v="1.8"/>
    <n v="30.3"/>
    <s v="No"/>
    <s v="Excellent"/>
    <s v="Yes"/>
    <s v="HR"/>
    <s v="Thursday"/>
    <s v="Afternoon"/>
  </r>
  <r>
    <x v="1337"/>
    <s v="2024-08-11 06:18:16"/>
    <x v="1"/>
    <s v="2024-08-21 23:12:16"/>
    <n v="256.89999999999998"/>
    <n v="10.7"/>
    <s v="Password Reset"/>
    <s v="Account Unlock"/>
    <x v="2"/>
    <n v="360"/>
    <x v="1"/>
    <s v="Email"/>
    <s v="Tier 1"/>
    <s v="TECH-21"/>
    <s v="Mid-level"/>
    <x v="1"/>
    <s v="No"/>
    <n v="0"/>
    <s v="No"/>
    <n v="9"/>
    <n v="5.6"/>
    <n v="23.2"/>
    <s v="Yes"/>
    <s v="Poor"/>
    <s v="Yes"/>
    <s v="Executive"/>
    <s v="Monday"/>
    <s v="Afternoon"/>
  </r>
  <r>
    <x v="1338"/>
    <s v="2024-08-08 04:44:50"/>
    <x v="1"/>
    <s v="2024-08-09 16:26:50"/>
    <n v="35.700000000000003"/>
    <n v="1.5"/>
    <s v="Application Errors"/>
    <s v="Login Issues"/>
    <x v="3"/>
    <n v="48"/>
    <x v="1"/>
    <s v="Phone"/>
    <s v="Tier 1"/>
    <s v="TECH-20"/>
    <s v="Junior"/>
    <x v="0"/>
    <s v="No"/>
    <n v="1"/>
    <s v="No"/>
    <n v="7"/>
    <n v="5"/>
    <n v="11.9"/>
    <s v="No"/>
    <s v="Poor"/>
    <s v="Yes"/>
    <s v="Operations"/>
    <s v="Friday"/>
    <s v="Morning"/>
  </r>
  <r>
    <x v="1339"/>
    <s v="2024-03-15 04:48:55"/>
    <x v="5"/>
    <s v="2024-03-22 18:24:55"/>
    <n v="181.6"/>
    <n v="7.6"/>
    <s v="Application Errors"/>
    <s v="Performance"/>
    <x v="0"/>
    <n v="240"/>
    <x v="1"/>
    <s v="Email"/>
    <s v="Tier 1"/>
    <s v="TECH-18"/>
    <s v="Mid-level"/>
    <x v="0"/>
    <s v="No"/>
    <n v="1"/>
    <s v="Yes"/>
    <n v="8"/>
    <n v="4.5999999999999996"/>
    <n v="27.4"/>
    <s v="Yes"/>
    <s v="Good"/>
    <s v="No"/>
    <s v="HR"/>
    <s v="Wednesday"/>
    <s v="Afternoon"/>
  </r>
  <r>
    <x v="1340"/>
    <s v="2024-02-04 00:35:30"/>
    <x v="6"/>
    <s v="2024-02-14 04:23:30"/>
    <n v="219.8"/>
    <n v="9.1999999999999993"/>
    <s v="Access Requests"/>
    <s v="File Share"/>
    <x v="0"/>
    <n v="240"/>
    <x v="1"/>
    <s v="Phone"/>
    <s v="Tier 1"/>
    <s v="TECH-20"/>
    <s v="Mid-level"/>
    <x v="1"/>
    <s v="No"/>
    <n v="0"/>
    <s v="No"/>
    <n v="8"/>
    <n v="4.2"/>
    <n v="11.8"/>
    <s v="Yes"/>
    <s v="Fair"/>
    <s v="Yes"/>
    <s v="Executive"/>
    <s v="Wednesday"/>
    <s v="Afternoon"/>
  </r>
  <r>
    <x v="1341"/>
    <s v="2024-05-02 18:17:16"/>
    <x v="8"/>
    <s v="2024-05-25 17:05:16"/>
    <n v="550.79999999999995"/>
    <n v="23"/>
    <s v="Application Errors"/>
    <s v="Crash"/>
    <x v="0"/>
    <n v="240"/>
    <x v="0"/>
    <s v="Portal"/>
    <s v="Tier 1"/>
    <s v="TECH-24"/>
    <s v="Mid-level"/>
    <x v="0"/>
    <s v="No"/>
    <n v="1"/>
    <s v="No"/>
    <n v="7"/>
    <n v="1.5"/>
    <n v="7.2"/>
    <s v="Yes"/>
    <s v="Good"/>
    <s v="Yes"/>
    <s v="Sales"/>
    <s v="Monday"/>
    <s v="Afternoon"/>
  </r>
  <r>
    <x v="1342"/>
    <s v="2024-09-21 21:21:03"/>
    <x v="9"/>
    <s v="2024-10-12 05:51:03"/>
    <n v="488.5"/>
    <n v="20.399999999999999"/>
    <s v="Password Reset"/>
    <s v="Application Password"/>
    <x v="2"/>
    <n v="360"/>
    <x v="0"/>
    <s v="Email"/>
    <s v="Tier 1"/>
    <s v="TECH-13"/>
    <s v="Junior"/>
    <x v="1"/>
    <s v="No"/>
    <n v="0"/>
    <s v="No"/>
    <n v="6"/>
    <n v="2"/>
    <n v="14.7"/>
    <s v="Yes"/>
    <s v="Fair"/>
    <s v="No"/>
    <s v="Finance"/>
    <s v="Thursday"/>
    <s v="Morning"/>
  </r>
  <r>
    <x v="1343"/>
    <s v="2024-04-02 00:31:25"/>
    <x v="11"/>
    <s v="2024-04-08 02:55:25"/>
    <n v="146.4"/>
    <n v="6.1"/>
    <s v="Email/Calendar"/>
    <s v="Calendar Sync"/>
    <x v="0"/>
    <n v="240"/>
    <x v="1"/>
    <s v="Phone"/>
    <s v="Tier 1"/>
    <s v="TECH-5"/>
    <s v="Junior"/>
    <x v="0"/>
    <s v="No"/>
    <n v="1"/>
    <s v="No"/>
    <n v="8"/>
    <n v="1.1000000000000001"/>
    <n v="19"/>
    <s v="No"/>
    <s v="Fair"/>
    <s v="Yes"/>
    <s v="Operations"/>
    <s v="Thursday"/>
    <s v="Evening"/>
  </r>
  <r>
    <x v="1344"/>
    <s v="2024-03-20 19:10:58"/>
    <x v="5"/>
    <s v="2024-03-27 00:16:58"/>
    <n v="173.1"/>
    <n v="7.2"/>
    <s v="Access Requests"/>
    <s v="Admin Rights"/>
    <x v="0"/>
    <n v="240"/>
    <x v="1"/>
    <s v="Email"/>
    <s v="Tier 1"/>
    <s v="TECH-5"/>
    <s v="Mid-level"/>
    <x v="0"/>
    <s v="No"/>
    <n v="1"/>
    <s v="No"/>
    <n v="10"/>
    <n v="2.2000000000000002"/>
    <n v="2.8"/>
    <s v="Yes"/>
    <s v="Fair"/>
    <s v="Yes"/>
    <s v="Marketing"/>
    <s v="Thursday"/>
    <s v="Evening"/>
  </r>
  <r>
    <x v="1345"/>
    <s v="2024-04-29 08:19:20"/>
    <x v="11"/>
    <s v="2024-05-02 09:07:20"/>
    <n v="72.8"/>
    <n v="3"/>
    <s v="Network Connectivity"/>
    <s v="Ethernet"/>
    <x v="1"/>
    <n v="120"/>
    <x v="1"/>
    <s v="Phone"/>
    <s v="Tier 2"/>
    <s v="TECH-15"/>
    <s v="Mid-level"/>
    <x v="0"/>
    <s v="Yes"/>
    <n v="4"/>
    <s v="No"/>
    <n v="7"/>
    <n v="1.3"/>
    <n v="1.9"/>
    <s v="Yes"/>
    <s v="Excellent"/>
    <s v="Yes"/>
    <s v="Executive"/>
    <s v="Thursday"/>
    <s v="Morning"/>
  </r>
  <r>
    <x v="1346"/>
    <s v="2024-03-06 16:34:01"/>
    <x v="5"/>
    <s v="2024-03-20 08:04:01"/>
    <n v="327.5"/>
    <n v="13.6"/>
    <s v="Password Reset"/>
    <s v="Windows Password"/>
    <x v="0"/>
    <n v="240"/>
    <x v="0"/>
    <s v="Phone"/>
    <s v="Tier 1"/>
    <s v="TECH-7"/>
    <s v="Senior"/>
    <x v="1"/>
    <s v="No"/>
    <n v="0"/>
    <s v="No"/>
    <n v="8"/>
    <n v="2.7"/>
    <n v="27.6"/>
    <s v="Yes"/>
    <s v="Fair"/>
    <s v="No"/>
    <s v="Marketing"/>
    <s v="Friday"/>
    <s v="Afternoon"/>
  </r>
  <r>
    <x v="1347"/>
    <s v="2024-02-21 09:44:55"/>
    <x v="6"/>
    <s v="2024-02-28 21:44:55"/>
    <n v="180"/>
    <n v="7.5"/>
    <s v="Email/Calendar"/>
    <s v="Cannot Send/Receive"/>
    <x v="1"/>
    <n v="120"/>
    <x v="0"/>
    <s v="Walk-in"/>
    <s v="Tier 1"/>
    <s v="TECH-1"/>
    <s v="Junior"/>
    <x v="0"/>
    <s v="No"/>
    <n v="1"/>
    <s v="Yes"/>
    <n v="6"/>
    <n v="0.1"/>
    <n v="26.4"/>
    <s v="Yes"/>
    <s v="Fair"/>
    <s v="Yes"/>
    <s v="Operations"/>
    <s v="Thursday"/>
    <s v="Afternoon"/>
  </r>
  <r>
    <x v="1348"/>
    <s v="2024-06-20 02:18:03"/>
    <x v="10"/>
    <s v="2024-06-28 04:12:03"/>
    <n v="169.9"/>
    <n v="7.1"/>
    <s v="Network Connectivity"/>
    <s v="Ethernet"/>
    <x v="1"/>
    <n v="120"/>
    <x v="0"/>
    <s v="Chat"/>
    <s v="Tier 1"/>
    <s v="TECH-17"/>
    <s v="Mid-level"/>
    <x v="0"/>
    <s v="No"/>
    <n v="1"/>
    <s v="No"/>
    <n v="9"/>
    <n v="2.6"/>
    <n v="32.5"/>
    <s v="No"/>
    <s v="Fair"/>
    <s v="Yes"/>
    <s v="Marketing"/>
    <s v="Wednesday"/>
    <s v="Afternoon"/>
  </r>
  <r>
    <x v="1349"/>
    <s v="2024-08-18 11:28:08"/>
    <x v="1"/>
    <s v="2024-08-29 15:04:08"/>
    <n v="267.60000000000002"/>
    <n v="11.2"/>
    <s v="Software Installation"/>
    <s v="Drivers"/>
    <x v="0"/>
    <n v="240"/>
    <x v="0"/>
    <s v="Phone"/>
    <s v="Tier 1"/>
    <s v="TECH-18"/>
    <s v="Junior"/>
    <x v="0"/>
    <s v="No"/>
    <n v="1"/>
    <s v="No"/>
    <n v="4"/>
    <n v="4.9000000000000004"/>
    <n v="24.5"/>
    <s v="No"/>
    <s v="Fair"/>
    <s v="No"/>
    <s v="Finance"/>
    <s v="Wednesday"/>
    <s v="Morning"/>
  </r>
  <r>
    <x v="1350"/>
    <s v="2024-04-04 23:10:58"/>
    <x v="11"/>
    <s v="2024-04-14 10:52:58"/>
    <n v="227.7"/>
    <n v="9.5"/>
    <s v="Password Reset"/>
    <s v="Account Unlock"/>
    <x v="2"/>
    <n v="360"/>
    <x v="1"/>
    <s v="Chat"/>
    <s v="Tier 1"/>
    <s v="TECH-4"/>
    <s v="Mid-level"/>
    <x v="1"/>
    <s v="No"/>
    <n v="0"/>
    <s v="No"/>
    <n v="7"/>
    <n v="2.8"/>
    <n v="20.3"/>
    <s v="Yes"/>
    <s v="Poor"/>
    <s v="Yes"/>
    <s v="Executive"/>
    <s v="Friday"/>
    <s v="Afternoon"/>
  </r>
  <r>
    <x v="1351"/>
    <s v="2024-08-17 05:45:37"/>
    <x v="1"/>
    <s v="2024-09-05 23:09:37"/>
    <n v="473.4"/>
    <n v="19.7"/>
    <s v="Software Installation"/>
    <s v="Drivers"/>
    <x v="0"/>
    <n v="240"/>
    <x v="0"/>
    <s v="Email"/>
    <s v="Tier 1"/>
    <s v="TECH-9"/>
    <s v="Mid-level"/>
    <x v="0"/>
    <s v="No"/>
    <n v="1"/>
    <s v="No"/>
    <n v="5"/>
    <n v="2.1"/>
    <n v="29"/>
    <s v="No"/>
    <s v="Excellent"/>
    <s v="Yes"/>
    <s v="Operations"/>
    <s v="Wednesday"/>
    <s v="Morning"/>
  </r>
  <r>
    <x v="1352"/>
    <s v="2024-02-04 16:44:12"/>
    <x v="6"/>
    <s v="2024-02-12 19:08:12"/>
    <n v="194.4"/>
    <n v="8.1"/>
    <s v="Network Connectivity"/>
    <s v="Slow Network"/>
    <x v="0"/>
    <n v="240"/>
    <x v="1"/>
    <s v="Email"/>
    <s v="Tier 1"/>
    <s v="TECH-13"/>
    <s v="Mid-level"/>
    <x v="0"/>
    <s v="No"/>
    <n v="1"/>
    <s v="No"/>
    <n v="10"/>
    <n v="0.4"/>
    <n v="0"/>
    <s v="No"/>
    <s v="Good"/>
    <s v="Yes"/>
    <s v="IT"/>
    <s v="Wednesday"/>
    <s v="Afternoon"/>
  </r>
  <r>
    <x v="1353"/>
    <s v="2024-07-03 18:49:09"/>
    <x v="4"/>
    <s v="2024-07-07 09:07:09"/>
    <n v="86.3"/>
    <n v="3.6"/>
    <s v="Application Errors"/>
    <s v="Performance"/>
    <x v="1"/>
    <n v="120"/>
    <x v="1"/>
    <s v="Email"/>
    <s v="Tier 2"/>
    <s v="TECH-7"/>
    <s v="Mid-level"/>
    <x v="0"/>
    <s v="Yes"/>
    <n v="2"/>
    <s v="No"/>
    <n v="8"/>
    <n v="2"/>
    <n v="15.3"/>
    <s v="No"/>
    <s v="Good"/>
    <s v="No"/>
    <s v="Operations"/>
    <s v="Thursday"/>
    <s v="Morning"/>
  </r>
  <r>
    <x v="1354"/>
    <s v="2024-03-02 23:58:36"/>
    <x v="5"/>
    <s v="2024-03-12 04:52:36"/>
    <n v="220.9"/>
    <n v="9.1999999999999993"/>
    <s v="Access Requests"/>
    <s v="Application Access"/>
    <x v="0"/>
    <n v="240"/>
    <x v="1"/>
    <s v="Email"/>
    <s v="Tier 1"/>
    <s v="TECH-9"/>
    <s v="Mid-level"/>
    <x v="1"/>
    <s v="No"/>
    <n v="0"/>
    <s v="Yes"/>
    <n v="9"/>
    <n v="1.2"/>
    <n v="44.4"/>
    <s v="Yes"/>
    <s v="Fair"/>
    <s v="Yes"/>
    <s v="Operations"/>
    <s v="Tuesday"/>
    <s v="Morning"/>
  </r>
  <r>
    <x v="1355"/>
    <s v="2024-11-06 06:08:56"/>
    <x v="7"/>
    <s v="2024-11-15 03:14:56"/>
    <n v="213.1"/>
    <n v="8.9"/>
    <s v="Software Installation"/>
    <s v="Adobe Suite"/>
    <x v="0"/>
    <n v="240"/>
    <x v="1"/>
    <s v="Walk-in"/>
    <s v="Tier 2"/>
    <s v="TECH-7"/>
    <s v="Junior"/>
    <x v="0"/>
    <s v="Yes"/>
    <n v="4"/>
    <s v="Yes"/>
    <n v="7"/>
    <n v="4.4000000000000004"/>
    <n v="9.6"/>
    <s v="No"/>
    <s v="Fair"/>
    <s v="Yes"/>
    <s v="Sales"/>
    <s v="Friday"/>
    <s v="Morning"/>
  </r>
  <r>
    <x v="1356"/>
    <s v="2024-09-09 10:46:32"/>
    <x v="9"/>
    <s v="2024-09-22 19:52:32"/>
    <n v="321.10000000000002"/>
    <n v="13.4"/>
    <s v="Password Reset"/>
    <s v="Application Password"/>
    <x v="2"/>
    <n v="360"/>
    <x v="1"/>
    <s v="Chat"/>
    <s v="Tier 1"/>
    <s v="TECH-20"/>
    <s v="Junior"/>
    <x v="1"/>
    <s v="No"/>
    <n v="0"/>
    <s v="No"/>
    <n v="9"/>
    <n v="2.2999999999999998"/>
    <n v="22"/>
    <s v="Yes"/>
    <s v="Fair"/>
    <s v="No"/>
    <s v="IT"/>
    <s v="Monday"/>
    <s v="Afternoon"/>
  </r>
  <r>
    <x v="1357"/>
    <s v="2024-11-12 04:01:33"/>
    <x v="7"/>
    <s v="2024-11-17 20:01:33"/>
    <n v="136"/>
    <n v="5.7"/>
    <s v="Network Connectivity"/>
    <s v="Ethernet"/>
    <x v="1"/>
    <n v="120"/>
    <x v="0"/>
    <s v="Portal"/>
    <s v="Tier 2"/>
    <s v="TECH-7"/>
    <s v="Junior"/>
    <x v="0"/>
    <s v="Yes"/>
    <n v="3"/>
    <s v="No"/>
    <n v="7"/>
    <n v="0.1"/>
    <n v="18.399999999999999"/>
    <s v="Yes"/>
    <s v="Good"/>
    <s v="Yes"/>
    <s v="Operations"/>
    <s v="Thursday"/>
    <s v="Morning"/>
  </r>
  <r>
    <x v="1358"/>
    <s v="2024-08-22 08:46:13"/>
    <x v="1"/>
    <s v="2024-08-28 16:22:13"/>
    <n v="151.6"/>
    <n v="6.3"/>
    <s v="Software Installation"/>
    <s v="Business Apps"/>
    <x v="0"/>
    <n v="240"/>
    <x v="1"/>
    <s v="Email"/>
    <s v="Tier 2"/>
    <s v="TECH-25"/>
    <s v="Mid-level"/>
    <x v="0"/>
    <s v="Yes"/>
    <n v="1"/>
    <s v="No"/>
    <n v="10"/>
    <n v="3.8"/>
    <n v="44"/>
    <s v="No"/>
    <s v="Good"/>
    <s v="Yes"/>
    <s v="Legal"/>
    <s v="Thursday"/>
    <s v="Morning"/>
  </r>
  <r>
    <x v="1359"/>
    <s v="2024-11-05 19:34:39"/>
    <x v="7"/>
    <s v="2024-11-13 23:28:39"/>
    <n v="195.9"/>
    <n v="8.1999999999999993"/>
    <s v="Password Reset"/>
    <s v="Account Unlock"/>
    <x v="0"/>
    <n v="240"/>
    <x v="1"/>
    <s v="Walk-in"/>
    <s v="Tier 1"/>
    <s v="TECH-15"/>
    <s v="Mid-level"/>
    <x v="1"/>
    <s v="No"/>
    <n v="0"/>
    <s v="No"/>
    <n v="9"/>
    <n v="2.4"/>
    <n v="49.4"/>
    <s v="Yes"/>
    <s v="Fair"/>
    <s v="No"/>
    <s v="Sales"/>
    <s v="Thursday"/>
    <s v="Morning"/>
  </r>
  <r>
    <x v="1360"/>
    <s v="2024-08-06 01:48:52"/>
    <x v="1"/>
    <s v="2024-08-11 06:12:52"/>
    <n v="100.4"/>
    <n v="4.2"/>
    <s v="Application Errors"/>
    <s v="Crash"/>
    <x v="1"/>
    <n v="120"/>
    <x v="1"/>
    <s v="Phone"/>
    <s v="Tier 1"/>
    <s v="TECH-6"/>
    <s v="Senior"/>
    <x v="0"/>
    <s v="No"/>
    <n v="1"/>
    <s v="No"/>
    <n v="8"/>
    <n v="0.1"/>
    <n v="24.1"/>
    <s v="Yes"/>
    <s v="Excellent"/>
    <s v="No"/>
    <s v="Executive"/>
    <s v="Thursday"/>
    <s v="Morning"/>
  </r>
  <r>
    <x v="1361"/>
    <s v="2024-06-29 06:03:20"/>
    <x v="10"/>
    <s v="2024-07-12 08:03:20"/>
    <n v="314"/>
    <n v="13.1"/>
    <s v="Password Reset"/>
    <s v="Application Password"/>
    <x v="2"/>
    <n v="360"/>
    <x v="1"/>
    <s v="Portal"/>
    <s v="Tier 1"/>
    <s v="TECH-11"/>
    <s v="Mid-level"/>
    <x v="0"/>
    <s v="No"/>
    <n v="1"/>
    <s v="Yes"/>
    <n v="7"/>
    <n v="0.1"/>
    <n v="18.5"/>
    <s v="No"/>
    <s v="Fair"/>
    <s v="Yes"/>
    <s v="HR"/>
    <s v="Tuesday"/>
    <s v="Afternoon"/>
  </r>
  <r>
    <x v="1362"/>
    <s v="2024-12-20 18:33:08"/>
    <x v="0"/>
    <s v="2025-01-16 00:15:08"/>
    <n v="653.70000000000005"/>
    <n v="27.2"/>
    <s v="Password Reset"/>
    <s v="Windows Password"/>
    <x v="2"/>
    <n v="360"/>
    <x v="0"/>
    <s v="Phone"/>
    <s v="Tier 2"/>
    <s v="TECH-2"/>
    <s v="Mid-level"/>
    <x v="0"/>
    <s v="Yes"/>
    <n v="3"/>
    <s v="No"/>
    <n v="4"/>
    <n v="6"/>
    <n v="0"/>
    <s v="Yes"/>
    <s v="Poor"/>
    <s v="Yes"/>
    <s v="Sales"/>
    <s v="Wednesday"/>
    <s v="Morning"/>
  </r>
  <r>
    <x v="1363"/>
    <s v="2024-06-03 16:51:31"/>
    <x v="10"/>
    <s v="2024-06-11 02:57:31"/>
    <n v="202.1"/>
    <n v="8.4"/>
    <s v="Network Connectivity"/>
    <s v="VPN Connection"/>
    <x v="0"/>
    <n v="240"/>
    <x v="1"/>
    <s v="Phone"/>
    <s v="Tier 2"/>
    <s v="TECH-23"/>
    <s v="Junior"/>
    <x v="0"/>
    <s v="Yes"/>
    <n v="3"/>
    <s v="Yes"/>
    <n v="9"/>
    <n v="3"/>
    <n v="2.2000000000000002"/>
    <s v="Yes"/>
    <s v="Poor"/>
    <s v="Yes"/>
    <s v="Operations"/>
    <s v="Wednesday"/>
    <s v="Afternoon"/>
  </r>
  <r>
    <x v="1364"/>
    <s v="2024-08-08 01:44:40"/>
    <x v="1"/>
    <s v="2024-08-12 08:02:40"/>
    <n v="78.3"/>
    <n v="3.3"/>
    <s v="Application Errors"/>
    <s v="Performance"/>
    <x v="1"/>
    <n v="120"/>
    <x v="1"/>
    <s v="Walk-in"/>
    <s v="Tier 1"/>
    <s v="TECH-4"/>
    <s v="Junior"/>
    <x v="0"/>
    <s v="No"/>
    <n v="1"/>
    <s v="Yes"/>
    <n v="10"/>
    <n v="3.5"/>
    <n v="37.700000000000003"/>
    <s v="No"/>
    <s v="Excellent"/>
    <s v="No"/>
    <s v="Finance"/>
    <s v="Friday"/>
    <s v="Evening"/>
  </r>
  <r>
    <x v="1365"/>
    <s v="2024-04-05 11:27:55"/>
    <x v="11"/>
    <s v="2024-04-16 19:03:55"/>
    <n v="271.60000000000002"/>
    <n v="11.3"/>
    <s v="Other"/>
    <s v="General Inquiry"/>
    <x v="0"/>
    <n v="240"/>
    <x v="0"/>
    <s v="Walk-in"/>
    <s v="Tier 1"/>
    <s v="TECH-6"/>
    <s v="Junior"/>
    <x v="0"/>
    <s v="No"/>
    <n v="1"/>
    <s v="No"/>
    <n v="5"/>
    <n v="5.6"/>
    <n v="2.2000000000000002"/>
    <s v="Yes"/>
    <s v="Good"/>
    <s v="Yes"/>
    <s v="Finance"/>
    <s v="Monday"/>
    <s v="Morning"/>
  </r>
  <r>
    <x v="1366"/>
    <s v="2024-11-25 14:11:01"/>
    <x v="7"/>
    <s v="2024-11-30 07:17:01"/>
    <n v="113.1"/>
    <n v="4.7"/>
    <s v="Hardware Issues"/>
    <s v="Printer"/>
    <x v="1"/>
    <n v="120"/>
    <x v="1"/>
    <s v="Email"/>
    <s v="Tier 1"/>
    <s v="TECH-10"/>
    <s v="Senior"/>
    <x v="0"/>
    <s v="No"/>
    <n v="1"/>
    <s v="No"/>
    <n v="6"/>
    <n v="2.8"/>
    <n v="11.1"/>
    <s v="Yes"/>
    <s v="Fair"/>
    <s v="No"/>
    <s v="Legal"/>
    <s v="Thursday"/>
    <s v="Morning"/>
  </r>
  <r>
    <x v="1367"/>
    <s v="2024-10-24 22:09:34"/>
    <x v="2"/>
    <s v="2024-11-02 00:45:34"/>
    <n v="219.6"/>
    <n v="9.1999999999999993"/>
    <s v="Software Installation"/>
    <s v="Drivers"/>
    <x v="0"/>
    <n v="240"/>
    <x v="1"/>
    <s v="Portal"/>
    <s v="Tier 1"/>
    <s v="TECH-4"/>
    <s v="Junior"/>
    <x v="0"/>
    <s v="No"/>
    <n v="1"/>
    <s v="Yes"/>
    <n v="7"/>
    <n v="2.6"/>
    <n v="29"/>
    <s v="Yes"/>
    <s v="Good"/>
    <s v="Yes"/>
    <s v="HR"/>
    <s v="Thursday"/>
    <s v="Morning"/>
  </r>
  <r>
    <x v="1368"/>
    <s v="2024-11-06 08:45:42"/>
    <x v="7"/>
    <s v="2024-11-18 08:21:42"/>
    <n v="287.60000000000002"/>
    <n v="12"/>
    <s v="Other"/>
    <s v="General Inquiry"/>
    <x v="2"/>
    <n v="360"/>
    <x v="1"/>
    <s v="Email"/>
    <s v="Tier 1"/>
    <s v="TECH-11"/>
    <s v="Junior"/>
    <x v="0"/>
    <s v="No"/>
    <n v="1"/>
    <s v="No"/>
    <n v="5"/>
    <n v="1.2"/>
    <n v="27.4"/>
    <s v="Yes"/>
    <s v="Poor"/>
    <s v="No"/>
    <s v="Finance"/>
    <s v="Tuesday"/>
    <s v="Morning"/>
  </r>
  <r>
    <x v="1369"/>
    <s v="2024-06-04 13:56:58"/>
    <x v="10"/>
    <s v="2024-06-12 02:02:58"/>
    <n v="204.1"/>
    <n v="8.5"/>
    <s v="Access Requests"/>
    <s v="File Share"/>
    <x v="0"/>
    <n v="240"/>
    <x v="1"/>
    <s v="Email"/>
    <s v="Tier 1"/>
    <s v="TECH-2"/>
    <s v="Mid-level"/>
    <x v="0"/>
    <s v="No"/>
    <n v="1"/>
    <s v="No"/>
    <n v="7"/>
    <n v="3.5"/>
    <n v="12.2"/>
    <s v="Yes"/>
    <s v="Poor"/>
    <s v="Yes"/>
    <s v="IT"/>
    <s v="Friday"/>
    <s v="Morning"/>
  </r>
  <r>
    <x v="1370"/>
    <s v="2024-06-24 00:07:24"/>
    <x v="10"/>
    <s v="2024-07-21 13:01:24"/>
    <n v="636.9"/>
    <n v="26.5"/>
    <s v="Application Errors"/>
    <s v="Login Issues"/>
    <x v="0"/>
    <n v="240"/>
    <x v="0"/>
    <s v="Email"/>
    <s v="Tier 1"/>
    <s v="TECH-2"/>
    <s v="Junior"/>
    <x v="0"/>
    <s v="No"/>
    <n v="1"/>
    <s v="No"/>
    <n v="6"/>
    <n v="0.4"/>
    <n v="43.8"/>
    <s v="Yes"/>
    <s v="Good"/>
    <s v="No"/>
    <s v="Executive"/>
    <s v="Monday"/>
    <s v="Afternoon"/>
  </r>
  <r>
    <x v="1371"/>
    <s v="2024-06-01 08:33:09"/>
    <x v="10"/>
    <s v="2024-06-05 02:27:09"/>
    <n v="113.9"/>
    <n v="4.7"/>
    <s v="Access Requests"/>
    <s v="File Share"/>
    <x v="1"/>
    <n v="120"/>
    <x v="1"/>
    <s v="Email"/>
    <s v="Tier 1"/>
    <s v="TECH-5"/>
    <s v="Senior"/>
    <x v="0"/>
    <s v="No"/>
    <n v="1"/>
    <s v="Yes"/>
    <n v="7"/>
    <n v="0.7"/>
    <n v="9.6"/>
    <s v="Yes"/>
    <s v="Fair"/>
    <s v="Yes"/>
    <s v="Marketing"/>
    <s v="Tuesday"/>
    <s v="Afternoon"/>
  </r>
  <r>
    <x v="1372"/>
    <s v="2024-09-09 05:46:16"/>
    <x v="9"/>
    <s v="2024-09-16 22:22:16"/>
    <n v="184.6"/>
    <n v="7.7"/>
    <s v="Hardware Issues"/>
    <s v="Desktop"/>
    <x v="0"/>
    <n v="240"/>
    <x v="1"/>
    <s v="Email"/>
    <s v="Tier 2"/>
    <s v="TECH-25"/>
    <s v="Mid-level"/>
    <x v="0"/>
    <s v="Yes"/>
    <n v="1"/>
    <s v="No"/>
    <n v="9"/>
    <n v="0.8"/>
    <n v="14.3"/>
    <s v="Yes"/>
    <s v="Poor"/>
    <s v="Yes"/>
    <s v="Executive"/>
    <s v="Tuesday"/>
    <s v="Morning"/>
  </r>
  <r>
    <x v="1373"/>
    <s v="2024-11-19 19:44:51"/>
    <x v="7"/>
    <s v="2024-11-24 11:50:51"/>
    <n v="112.1"/>
    <n v="4.7"/>
    <s v="Hardware Issues"/>
    <s v="Printer"/>
    <x v="1"/>
    <n v="120"/>
    <x v="1"/>
    <s v="Email"/>
    <s v="Tier 2"/>
    <s v="TECH-13"/>
    <s v="Senior"/>
    <x v="0"/>
    <s v="Yes"/>
    <n v="3"/>
    <s v="No"/>
    <n v="8"/>
    <n v="1.5"/>
    <n v="3.4"/>
    <s v="Yes"/>
    <s v="Fair"/>
    <s v="No"/>
    <s v="IT"/>
    <s v="Friday"/>
    <s v="Morning"/>
  </r>
  <r>
    <x v="1374"/>
    <s v="2024-04-26 19:58:33"/>
    <x v="11"/>
    <s v="2024-05-08 22:58:33"/>
    <n v="291"/>
    <n v="12.1"/>
    <s v="Email/Calendar"/>
    <s v="Distribution List"/>
    <x v="0"/>
    <n v="240"/>
    <x v="0"/>
    <s v="Walk-in"/>
    <s v="Tier 1"/>
    <s v="TECH-5"/>
    <s v="Mid-level"/>
    <x v="0"/>
    <s v="No"/>
    <n v="1"/>
    <s v="No"/>
    <n v="5"/>
    <n v="5"/>
    <n v="0.6"/>
    <s v="Yes"/>
    <s v="Good"/>
    <s v="Yes"/>
    <s v="Sales"/>
    <s v="Tuesday"/>
    <s v="Morning"/>
  </r>
  <r>
    <x v="1375"/>
    <s v="2024-05-08 06:13:01"/>
    <x v="8"/>
    <s v="2024-05-12 18:25:01"/>
    <n v="108.2"/>
    <n v="4.5"/>
    <s v="Network Connectivity"/>
    <s v="WiFi Issues"/>
    <x v="1"/>
    <n v="120"/>
    <x v="1"/>
    <s v="Phone"/>
    <s v="Tier 2"/>
    <s v="TECH-20"/>
    <s v="Senior"/>
    <x v="0"/>
    <s v="Yes"/>
    <n v="1"/>
    <s v="No"/>
    <n v="9"/>
    <n v="0.9"/>
    <n v="0"/>
    <s v="No"/>
    <s v="Good"/>
    <s v="No"/>
    <s v="Marketing"/>
    <s v="Monday"/>
    <s v="Morning"/>
  </r>
  <r>
    <x v="1376"/>
    <s v="2024-08-11 05:03:11"/>
    <x v="1"/>
    <s v="2024-08-17 21:39:11"/>
    <n v="160.6"/>
    <n v="6.7"/>
    <s v="Access Requests"/>
    <s v="VPN Access"/>
    <x v="0"/>
    <n v="240"/>
    <x v="1"/>
    <s v="Email"/>
    <s v="Tier 1"/>
    <s v="TECH-13"/>
    <s v="Mid-level"/>
    <x v="1"/>
    <s v="No"/>
    <n v="0"/>
    <s v="No"/>
    <n v="10"/>
    <n v="3.1"/>
    <n v="0"/>
    <s v="No"/>
    <s v="Good"/>
    <s v="Yes"/>
    <s v="Executive"/>
    <s v="Wednesday"/>
    <s v="Afternoon"/>
  </r>
  <r>
    <x v="1377"/>
    <s v="2024-12-23 13:25:08"/>
    <x v="0"/>
    <s v="2025-01-02 11:25:08"/>
    <n v="238"/>
    <n v="9.9"/>
    <s v="Password Reset"/>
    <s v="Application Password"/>
    <x v="2"/>
    <n v="360"/>
    <x v="1"/>
    <s v="Portal"/>
    <s v="Tier 1"/>
    <s v="TECH-3"/>
    <s v="Mid-level"/>
    <x v="1"/>
    <s v="No"/>
    <n v="0"/>
    <s v="No"/>
    <n v="10"/>
    <n v="5.3"/>
    <n v="18.399999999999999"/>
    <s v="Yes"/>
    <s v="Good"/>
    <s v="No"/>
    <s v="Legal"/>
    <s v="Wednesday"/>
    <s v="Morning"/>
  </r>
  <r>
    <x v="1378"/>
    <s v="2024-11-16 05:30:31"/>
    <x v="7"/>
    <s v="2024-11-22 08:06:31"/>
    <n v="146.6"/>
    <n v="6.1"/>
    <s v="Software Installation"/>
    <s v="Adobe Suite"/>
    <x v="1"/>
    <n v="120"/>
    <x v="0"/>
    <s v="Chat"/>
    <s v="Tier 1"/>
    <s v="TECH-19"/>
    <s v="Senior"/>
    <x v="1"/>
    <s v="No"/>
    <n v="0"/>
    <s v="No"/>
    <n v="7"/>
    <n v="0.1"/>
    <n v="30.9"/>
    <s v="No"/>
    <s v="Poor"/>
    <s v="Yes"/>
    <s v="Executive"/>
    <s v="Tuesday"/>
    <s v="Morning"/>
  </r>
  <r>
    <x v="1379"/>
    <s v="2024-12-19 08:56:46"/>
    <x v="0"/>
    <s v="2025-01-16 06:08:46"/>
    <n v="669.2"/>
    <n v="27.9"/>
    <s v="Software Installation"/>
    <s v="MS Office"/>
    <x v="0"/>
    <n v="240"/>
    <x v="0"/>
    <s v="Email"/>
    <s v="Tier 1"/>
    <s v="TECH-6"/>
    <s v="Mid-level"/>
    <x v="1"/>
    <s v="No"/>
    <n v="0"/>
    <s v="No"/>
    <n v="8"/>
    <n v="4"/>
    <n v="29"/>
    <s v="Yes"/>
    <s v="Fair"/>
    <s v="Yes"/>
    <s v="Finance"/>
    <s v="Thursday"/>
    <s v="Morning"/>
  </r>
  <r>
    <x v="1380"/>
    <s v="2024-08-26 04:42:50"/>
    <x v="1"/>
    <s v="2024-09-02 07:12:50"/>
    <n v="170.5"/>
    <n v="7.1"/>
    <s v="Access Requests"/>
    <s v="File Share"/>
    <x v="0"/>
    <n v="240"/>
    <x v="1"/>
    <s v="Portal"/>
    <s v="Tier 1"/>
    <s v="TECH-16"/>
    <s v="Junior"/>
    <x v="0"/>
    <s v="No"/>
    <n v="1"/>
    <s v="No"/>
    <n v="8"/>
    <n v="2"/>
    <n v="19.8"/>
    <s v="Yes"/>
    <s v="Fair"/>
    <s v="No"/>
    <s v="Finance"/>
    <s v="Friday"/>
    <s v="Afternoon"/>
  </r>
  <r>
    <x v="1381"/>
    <s v="2024-12-02 23:17:44"/>
    <x v="0"/>
    <s v="2024-12-10 09:17:44"/>
    <n v="178"/>
    <n v="7.4"/>
    <s v="Email/Calendar"/>
    <s v="Mailbox Full"/>
    <x v="0"/>
    <n v="240"/>
    <x v="1"/>
    <s v="Walk-in"/>
    <s v="Tier 1"/>
    <s v="TECH-12"/>
    <s v="Senior"/>
    <x v="0"/>
    <s v="No"/>
    <n v="1"/>
    <s v="Yes"/>
    <n v="7"/>
    <n v="3.9"/>
    <n v="20.6"/>
    <s v="Yes"/>
    <s v="Fair"/>
    <s v="Yes"/>
    <s v="Marketing"/>
    <s v="Wednesday"/>
    <s v="Afternoon"/>
  </r>
  <r>
    <x v="1382"/>
    <s v="2024-06-23 22:52:11"/>
    <x v="10"/>
    <s v="2024-06-27 20:58:11"/>
    <n v="94.1"/>
    <n v="3.9"/>
    <s v="Application Errors"/>
    <s v="Features Not Working"/>
    <x v="1"/>
    <n v="120"/>
    <x v="1"/>
    <s v="Phone"/>
    <s v="Tier 2"/>
    <s v="TECH-8"/>
    <s v="Senior"/>
    <x v="0"/>
    <s v="Yes"/>
    <n v="4"/>
    <s v="Yes"/>
    <n v="10"/>
    <n v="1.1000000000000001"/>
    <n v="12.5"/>
    <s v="Yes"/>
    <s v="Good"/>
    <s v="Yes"/>
    <s v="Legal"/>
    <s v="Thursday"/>
    <s v="Afternoon"/>
  </r>
  <r>
    <x v="1383"/>
    <s v="2024-04-10 18:12:34"/>
    <x v="11"/>
    <s v="2024-04-26 23:24:34"/>
    <n v="389.2"/>
    <n v="16.2"/>
    <s v="Password Reset"/>
    <s v="Email Password"/>
    <x v="2"/>
    <n v="360"/>
    <x v="0"/>
    <s v="Email"/>
    <s v="Tier 1"/>
    <s v="TECH-21"/>
    <s v="Junior"/>
    <x v="1"/>
    <s v="No"/>
    <n v="0"/>
    <s v="No"/>
    <n v="10"/>
    <n v="3.1"/>
    <n v="9"/>
    <s v="Yes"/>
    <s v="Good"/>
    <s v="Yes"/>
    <s v="Marketing"/>
    <s v="Wednesday"/>
    <s v="Afternoon"/>
  </r>
  <r>
    <x v="1384"/>
    <s v="2024-10-25 17:46:53"/>
    <x v="2"/>
    <s v="2024-10-29 13:46:53"/>
    <n v="93"/>
    <n v="3.9"/>
    <s v="Hardware Issues"/>
    <s v="Docking Station"/>
    <x v="1"/>
    <n v="120"/>
    <x v="1"/>
    <s v="Phone"/>
    <s v="Tier 1"/>
    <s v="TECH-4"/>
    <s v="Junior"/>
    <x v="0"/>
    <s v="No"/>
    <n v="1"/>
    <s v="No"/>
    <n v="10"/>
    <n v="4.8"/>
    <n v="22.8"/>
    <s v="No"/>
    <s v="Fair"/>
    <s v="No"/>
    <s v="HR"/>
    <s v="Friday"/>
    <s v="Afternoon"/>
  </r>
  <r>
    <x v="1385"/>
    <s v="2024-03-29 05:55:11"/>
    <x v="5"/>
    <s v="2024-04-08 17:55:11"/>
    <n v="251"/>
    <n v="10.5"/>
    <s v="Password Reset"/>
    <s v="Windows Password"/>
    <x v="2"/>
    <n v="360"/>
    <x v="1"/>
    <s v="Email"/>
    <s v="Tier 1"/>
    <s v="TECH-5"/>
    <s v="Senior"/>
    <x v="1"/>
    <s v="No"/>
    <n v="0"/>
    <s v="No"/>
    <n v="10"/>
    <n v="3.2"/>
    <n v="16.5"/>
    <s v="No"/>
    <s v="Fair"/>
    <s v="No"/>
    <s v="Executive"/>
    <s v="Monday"/>
    <s v="Morning"/>
  </r>
  <r>
    <x v="1386"/>
    <s v="2024-02-27 22:55:20"/>
    <x v="6"/>
    <s v="2024-03-06 15:19:20"/>
    <n v="184.4"/>
    <n v="7.7"/>
    <s v="Software Installation"/>
    <s v="Adobe Suite"/>
    <x v="0"/>
    <n v="240"/>
    <x v="1"/>
    <s v="Phone"/>
    <s v="Tier 1"/>
    <s v="TECH-16"/>
    <s v="Mid-level"/>
    <x v="1"/>
    <s v="No"/>
    <n v="0"/>
    <s v="No"/>
    <n v="10"/>
    <n v="0.1"/>
    <n v="1.9"/>
    <s v="Yes"/>
    <s v="Good"/>
    <s v="Yes"/>
    <s v="HR"/>
    <s v="Thursday"/>
    <s v="Morning"/>
  </r>
  <r>
    <x v="1387"/>
    <s v="2024-06-25 07:59:57"/>
    <x v="10"/>
    <s v="2024-07-02 04:29:57"/>
    <n v="164.5"/>
    <n v="6.9"/>
    <s v="Software Installation"/>
    <s v="Adobe Suite"/>
    <x v="0"/>
    <n v="240"/>
    <x v="1"/>
    <s v="Email"/>
    <s v="Tier 1"/>
    <s v="TECH-18"/>
    <s v="Junior"/>
    <x v="1"/>
    <s v="No"/>
    <n v="0"/>
    <s v="No"/>
    <n v="8"/>
    <n v="3.5"/>
    <n v="15.3"/>
    <s v="No"/>
    <s v="Fair"/>
    <s v="Yes"/>
    <s v="Operations"/>
    <s v="Tuesday"/>
    <s v="Morning"/>
  </r>
  <r>
    <x v="1388"/>
    <s v="2024-06-28 11:34:51"/>
    <x v="10"/>
    <s v="2024-07-11 04:46:51"/>
    <n v="305.2"/>
    <n v="12.7"/>
    <s v="Password Reset"/>
    <s v="Account Unlock"/>
    <x v="2"/>
    <n v="360"/>
    <x v="1"/>
    <s v="Email"/>
    <s v="Tier 1"/>
    <s v="TECH-15"/>
    <s v="Mid-level"/>
    <x v="0"/>
    <s v="No"/>
    <n v="1"/>
    <s v="No"/>
    <n v="8"/>
    <n v="2.8"/>
    <n v="5.5"/>
    <s v="No"/>
    <s v="Good"/>
    <s v="No"/>
    <s v="Legal"/>
    <s v="Friday"/>
    <s v="Afternoon"/>
  </r>
  <r>
    <x v="1389"/>
    <s v="2024-01-18 13:20:41"/>
    <x v="3"/>
    <s v="2024-01-25 07:02:41"/>
    <n v="161.69999999999999"/>
    <n v="6.7"/>
    <s v="Other"/>
    <s v="Training Request"/>
    <x v="0"/>
    <n v="240"/>
    <x v="1"/>
    <s v="Email"/>
    <s v="Tier 1"/>
    <s v="TECH-12"/>
    <s v="Mid-level"/>
    <x v="0"/>
    <s v="No"/>
    <n v="1"/>
    <s v="No"/>
    <n v="9"/>
    <n v="2.8"/>
    <n v="18.100000000000001"/>
    <s v="No"/>
    <s v="Fair"/>
    <s v="Yes"/>
    <s v="Marketing"/>
    <s v="Monday"/>
    <s v="Morning"/>
  </r>
  <r>
    <x v="1390"/>
    <s v="2024-10-11 16:34:40"/>
    <x v="2"/>
    <s v="2024-10-20 19:10:40"/>
    <n v="218.6"/>
    <n v="9.1"/>
    <s v="Software Installation"/>
    <s v="Drivers"/>
    <x v="2"/>
    <n v="360"/>
    <x v="1"/>
    <s v="Phone"/>
    <s v="Tier 1"/>
    <s v="TECH-15"/>
    <s v="Junior"/>
    <x v="1"/>
    <s v="No"/>
    <n v="0"/>
    <s v="No"/>
    <n v="7"/>
    <n v="2.2999999999999998"/>
    <n v="30.3"/>
    <s v="Yes"/>
    <s v="Excellent"/>
    <s v="No"/>
    <s v="Marketing"/>
    <s v="Tuesday"/>
    <s v="Evening"/>
  </r>
  <r>
    <x v="1391"/>
    <s v="2024-04-18 13:50:13"/>
    <x v="11"/>
    <s v="2024-05-01 18:14:13"/>
    <n v="316.39999999999998"/>
    <n v="13.2"/>
    <s v="Application Errors"/>
    <s v="Login Issues"/>
    <x v="0"/>
    <n v="240"/>
    <x v="0"/>
    <s v="Email"/>
    <s v="Tier 2"/>
    <s v="TECH-25"/>
    <s v="Senior"/>
    <x v="0"/>
    <s v="Yes"/>
    <n v="1"/>
    <s v="No"/>
    <n v="4"/>
    <n v="2.6"/>
    <n v="5.4"/>
    <s v="Yes"/>
    <s v="Poor"/>
    <s v="Yes"/>
    <s v="Legal"/>
    <s v="Monday"/>
    <s v="Afternoon"/>
  </r>
  <r>
    <x v="1392"/>
    <s v="2024-11-11 05:47:10"/>
    <x v="7"/>
    <s v="2024-11-19 00:41:10"/>
    <n v="210.9"/>
    <n v="8.8000000000000007"/>
    <s v="Other"/>
    <s v="General Inquiry"/>
    <x v="0"/>
    <n v="240"/>
    <x v="1"/>
    <s v="Email"/>
    <s v="Tier 1"/>
    <s v="TECH-17"/>
    <s v="Senior"/>
    <x v="1"/>
    <s v="No"/>
    <n v="0"/>
    <s v="No"/>
    <n v="10"/>
    <n v="4.8"/>
    <n v="13.4"/>
    <s v="No"/>
    <s v="Excellent"/>
    <s v="No"/>
    <s v="IT"/>
    <s v="Monday"/>
    <s v="Evening"/>
  </r>
  <r>
    <x v="1393"/>
    <s v="2024-04-21 20:18:43"/>
    <x v="11"/>
    <s v="2024-05-01 08:06:43"/>
    <n v="227.8"/>
    <n v="9.5"/>
    <s v="Access Requests"/>
    <s v="Admin Rights"/>
    <x v="0"/>
    <n v="240"/>
    <x v="1"/>
    <s v="Email"/>
    <s v="Tier 1"/>
    <s v="TECH-2"/>
    <s v="Mid-level"/>
    <x v="0"/>
    <s v="No"/>
    <n v="1"/>
    <s v="No"/>
    <n v="9"/>
    <n v="3.2"/>
    <n v="21.7"/>
    <s v="No"/>
    <s v="Fair"/>
    <s v="No"/>
    <s v="Sales"/>
    <s v="Friday"/>
    <s v="Morning"/>
  </r>
  <r>
    <x v="1394"/>
    <s v="2024-12-08 19:40:43"/>
    <x v="0"/>
    <s v="2024-12-12 06:40:43"/>
    <n v="83"/>
    <n v="3.5"/>
    <s v="Application Errors"/>
    <s v="Features Not Working"/>
    <x v="1"/>
    <n v="120"/>
    <x v="1"/>
    <s v="Walk-in"/>
    <s v="Tier 1"/>
    <s v="TECH-8"/>
    <s v="Mid-level"/>
    <x v="0"/>
    <s v="No"/>
    <n v="1"/>
    <s v="Yes"/>
    <n v="7"/>
    <n v="2.6"/>
    <n v="45.5"/>
    <s v="Yes"/>
    <s v="Good"/>
    <s v="No"/>
    <s v="Finance"/>
    <s v="Friday"/>
    <s v="Afternoon"/>
  </r>
  <r>
    <x v="1395"/>
    <s v="2024-04-16 05:19:24"/>
    <x v="11"/>
    <s v="2024-04-26 18:01:24"/>
    <n v="252.7"/>
    <n v="10.5"/>
    <s v="Software Installation"/>
    <s v="Business Apps"/>
    <x v="0"/>
    <n v="240"/>
    <x v="0"/>
    <s v="Phone"/>
    <s v="Tier 1"/>
    <s v="TECH-6"/>
    <s v="Junior"/>
    <x v="0"/>
    <s v="No"/>
    <n v="1"/>
    <s v="No"/>
    <n v="7"/>
    <n v="3.1"/>
    <n v="25.6"/>
    <s v="Yes"/>
    <s v="Fair"/>
    <s v="Yes"/>
    <s v="IT"/>
    <s v="Thursday"/>
    <s v="Afternoon"/>
  </r>
  <r>
    <x v="1396"/>
    <s v="2024-12-24 23:17:41"/>
    <x v="0"/>
    <s v="2025-01-02 20:59:41"/>
    <n v="213.7"/>
    <n v="8.9"/>
    <s v="Software Installation"/>
    <s v="Adobe Suite"/>
    <x v="0"/>
    <n v="240"/>
    <x v="1"/>
    <s v="Portal"/>
    <s v="Tier 1"/>
    <s v="TECH-15"/>
    <s v="Junior"/>
    <x v="0"/>
    <s v="No"/>
    <n v="1"/>
    <s v="No"/>
    <n v="9"/>
    <n v="2.2999999999999998"/>
    <n v="30"/>
    <s v="No"/>
    <s v="Fair"/>
    <s v="No"/>
    <s v="Finance"/>
    <s v="Tuesday"/>
    <s v="Morning"/>
  </r>
  <r>
    <x v="1397"/>
    <s v="2024-12-29 01:31:09"/>
    <x v="0"/>
    <s v="2025-01-07 12:07:09"/>
    <n v="202.6"/>
    <n v="8.4"/>
    <s v="Access Requests"/>
    <s v="Admin Rights"/>
    <x v="0"/>
    <n v="240"/>
    <x v="1"/>
    <s v="Email"/>
    <s v="Tier 1"/>
    <s v="TECH-17"/>
    <s v="Senior"/>
    <x v="0"/>
    <s v="No"/>
    <n v="1"/>
    <s v="No"/>
    <n v="5"/>
    <n v="3.6"/>
    <n v="20.8"/>
    <s v="Yes"/>
    <s v="Good"/>
    <s v="Yes"/>
    <s v="Marketing"/>
    <s v="Monday"/>
    <s v="Morning"/>
  </r>
  <r>
    <x v="1398"/>
    <s v="2024-01-05 17:01:03"/>
    <x v="3"/>
    <s v="2024-01-09 17:31:03"/>
    <n v="96.5"/>
    <n v="4"/>
    <s v="Application Errors"/>
    <s v="Performance"/>
    <x v="1"/>
    <n v="120"/>
    <x v="1"/>
    <s v="Portal"/>
    <s v="Tier 1"/>
    <s v="TECH-1"/>
    <s v="Junior"/>
    <x v="0"/>
    <s v="No"/>
    <n v="1"/>
    <s v="Yes"/>
    <n v="8"/>
    <n v="5.8"/>
    <n v="4"/>
    <s v="No"/>
    <s v="Excellent"/>
    <s v="No"/>
    <s v="Sales"/>
    <s v="Friday"/>
    <s v="Afternoon"/>
  </r>
  <r>
    <x v="1399"/>
    <s v="2024-04-16 22:01:18"/>
    <x v="11"/>
    <s v="2024-04-25 17:43:18"/>
    <n v="211.7"/>
    <n v="8.8000000000000007"/>
    <s v="Network Connectivity"/>
    <s v="WiFi Issues"/>
    <x v="0"/>
    <n v="240"/>
    <x v="1"/>
    <s v="Phone"/>
    <s v="Tier 2"/>
    <s v="TECH-24"/>
    <s v="Senior"/>
    <x v="0"/>
    <s v="Yes"/>
    <n v="2"/>
    <s v="No"/>
    <n v="9"/>
    <n v="2.5"/>
    <n v="35.1"/>
    <s v="No"/>
    <s v="Poor"/>
    <s v="Yes"/>
    <s v="Executive"/>
    <s v="Monday"/>
    <s v="Afternoon"/>
  </r>
  <r>
    <x v="1400"/>
    <s v="2024-01-04 11:07:21"/>
    <x v="3"/>
    <s v="2024-01-11 00:31:21"/>
    <n v="181.4"/>
    <n v="7.6"/>
    <s v="Application Errors"/>
    <s v="Crash"/>
    <x v="0"/>
    <n v="240"/>
    <x v="1"/>
    <s v="Phone"/>
    <s v="Tier 2"/>
    <s v="TECH-4"/>
    <s v="Junior"/>
    <x v="0"/>
    <s v="Yes"/>
    <n v="4"/>
    <s v="No"/>
    <n v="9"/>
    <n v="0.1"/>
    <n v="29.6"/>
    <s v="No"/>
    <s v="Excellent"/>
    <s v="Yes"/>
    <s v="Legal"/>
    <s v="Thursday"/>
    <s v="Morning"/>
  </r>
  <r>
    <x v="1401"/>
    <s v="2024-06-12 16:46:08"/>
    <x v="10"/>
    <s v="2024-06-14 09:16:08"/>
    <n v="40.5"/>
    <n v="1.7"/>
    <s v="Application Errors"/>
    <s v="Features Not Working"/>
    <x v="3"/>
    <n v="48"/>
    <x v="1"/>
    <s v="Phone"/>
    <s v="Tier 1"/>
    <s v="TECH-9"/>
    <s v="Junior"/>
    <x v="0"/>
    <s v="No"/>
    <n v="1"/>
    <s v="No"/>
    <n v="5"/>
    <n v="5.0999999999999996"/>
    <n v="17.600000000000001"/>
    <s v="Yes"/>
    <s v="Good"/>
    <s v="Yes"/>
    <s v="Marketing"/>
    <s v="Wednesday"/>
    <s v="Morning"/>
  </r>
  <r>
    <x v="1402"/>
    <s v="2024-06-03 20:23:20"/>
    <x v="10"/>
    <s v="2024-06-10 16:35:20"/>
    <n v="164.2"/>
    <n v="6.8"/>
    <s v="Access Requests"/>
    <s v="Application Access"/>
    <x v="0"/>
    <n v="240"/>
    <x v="1"/>
    <s v="Email"/>
    <s v="Tier 1"/>
    <s v="TECH-13"/>
    <s v="Mid-level"/>
    <x v="0"/>
    <s v="No"/>
    <n v="1"/>
    <s v="No"/>
    <n v="9"/>
    <n v="1.7"/>
    <n v="23.8"/>
    <s v="No"/>
    <s v="Fair"/>
    <s v="No"/>
    <s v="Operations"/>
    <s v="Friday"/>
    <s v="Afternoon"/>
  </r>
  <r>
    <x v="1403"/>
    <s v="2024-01-25 13:40:35"/>
    <x v="3"/>
    <s v="2024-02-07 11:40:35"/>
    <n v="310"/>
    <n v="12.9"/>
    <s v="Software Installation"/>
    <s v="VPN Client"/>
    <x v="0"/>
    <n v="240"/>
    <x v="0"/>
    <s v="Email"/>
    <s v="Tier 2"/>
    <s v="TECH-6"/>
    <s v="Senior"/>
    <x v="0"/>
    <s v="Yes"/>
    <n v="4"/>
    <s v="No"/>
    <n v="7"/>
    <n v="3.9"/>
    <n v="43.3"/>
    <s v="Yes"/>
    <s v="Fair"/>
    <s v="No"/>
    <s v="Sales"/>
    <s v="Thursday"/>
    <s v="Afternoon"/>
  </r>
  <r>
    <x v="1404"/>
    <s v="2024-04-23 21:20:13"/>
    <x v="11"/>
    <s v="2024-05-07 15:38:13"/>
    <n v="330.3"/>
    <n v="13.8"/>
    <s v="Access Requests"/>
    <s v="Application Access"/>
    <x v="2"/>
    <n v="360"/>
    <x v="1"/>
    <s v="Portal"/>
    <s v="Tier 1"/>
    <s v="TECH-18"/>
    <s v="Mid-level"/>
    <x v="0"/>
    <s v="No"/>
    <n v="1"/>
    <s v="No"/>
    <n v="7"/>
    <n v="0.6"/>
    <n v="28.9"/>
    <s v="Yes"/>
    <s v="Poor"/>
    <s v="Yes"/>
    <s v="IT"/>
    <s v="Monday"/>
    <s v="Evening"/>
  </r>
  <r>
    <x v="1405"/>
    <s v="2024-02-17 12:33:11"/>
    <x v="6"/>
    <s v="2024-02-27 06:51:11"/>
    <n v="234.3"/>
    <n v="9.8000000000000007"/>
    <s v="Password Reset"/>
    <s v="Application Password"/>
    <x v="2"/>
    <n v="360"/>
    <x v="1"/>
    <s v="Email"/>
    <s v="Tier 1"/>
    <s v="TECH-5"/>
    <s v="Mid-level"/>
    <x v="1"/>
    <s v="No"/>
    <n v="0"/>
    <s v="Yes"/>
    <n v="7"/>
    <n v="2.4"/>
    <n v="12.6"/>
    <s v="Yes"/>
    <s v="Fair"/>
    <s v="Yes"/>
    <s v="Finance"/>
    <s v="Monday"/>
    <s v="Morning"/>
  </r>
  <r>
    <x v="1406"/>
    <s v="2024-11-10 06:20:15"/>
    <x v="7"/>
    <s v="2024-11-22 11:14:15"/>
    <n v="292.89999999999998"/>
    <n v="12.2"/>
    <s v="Password Reset"/>
    <s v="Account Unlock"/>
    <x v="2"/>
    <n v="360"/>
    <x v="1"/>
    <s v="Phone"/>
    <s v="Tier 1"/>
    <s v="TECH-7"/>
    <s v="Senior"/>
    <x v="1"/>
    <s v="No"/>
    <n v="0"/>
    <s v="No"/>
    <n v="7"/>
    <n v="2.7"/>
    <n v="25.9"/>
    <s v="No"/>
    <s v="Fair"/>
    <s v="Yes"/>
    <s v="Marketing"/>
    <s v="Thursday"/>
    <s v="Morning"/>
  </r>
  <r>
    <x v="1407"/>
    <s v="2024-10-24 06:27:40"/>
    <x v="2"/>
    <s v="2024-11-03 16:39:40"/>
    <n v="251.2"/>
    <n v="10.5"/>
    <s v="Software Installation"/>
    <s v="VPN Client"/>
    <x v="2"/>
    <n v="360"/>
    <x v="1"/>
    <s v="Email"/>
    <s v="Tier 1"/>
    <s v="TECH-20"/>
    <s v="Mid-level"/>
    <x v="1"/>
    <s v="No"/>
    <n v="0"/>
    <s v="No"/>
    <n v="10"/>
    <n v="0.1"/>
    <n v="40.700000000000003"/>
    <s v="No"/>
    <s v="Poor"/>
    <s v="No"/>
    <s v="HR"/>
    <s v="Monday"/>
    <s v="Evening"/>
  </r>
  <r>
    <x v="1408"/>
    <s v="2024-12-22 03:38:08"/>
    <x v="0"/>
    <s v="2025-01-04 23:14:08"/>
    <n v="331.6"/>
    <n v="13.8"/>
    <s v="Password Reset"/>
    <s v="Account Unlock"/>
    <x v="2"/>
    <n v="360"/>
    <x v="1"/>
    <s v="Phone"/>
    <s v="Tier 1"/>
    <s v="TECH-1"/>
    <s v="Mid-level"/>
    <x v="1"/>
    <s v="No"/>
    <n v="0"/>
    <s v="No"/>
    <n v="10"/>
    <n v="1.4"/>
    <n v="0"/>
    <s v="Yes"/>
    <s v="Poor"/>
    <s v="No"/>
    <s v="Sales"/>
    <s v="Thursday"/>
    <s v="Morning"/>
  </r>
  <r>
    <x v="1409"/>
    <s v="2024-02-15 20:12:09"/>
    <x v="6"/>
    <s v="2024-02-24 05:24:09"/>
    <n v="201.2"/>
    <n v="8.4"/>
    <s v="Email/Calendar"/>
    <s v="Distribution List"/>
    <x v="0"/>
    <n v="240"/>
    <x v="1"/>
    <s v="Phone"/>
    <s v="Tier 1"/>
    <s v="TECH-14"/>
    <s v="Senior"/>
    <x v="0"/>
    <s v="No"/>
    <n v="1"/>
    <s v="No"/>
    <n v="10"/>
    <n v="1.8"/>
    <n v="16.8"/>
    <s v="No"/>
    <s v="Fair"/>
    <s v="Yes"/>
    <s v="HR"/>
    <s v="Friday"/>
    <s v="Afternoon"/>
  </r>
  <r>
    <x v="1410"/>
    <s v="2024-02-16 01:09:54"/>
    <x v="6"/>
    <s v="2024-02-21 10:21:54"/>
    <n v="105.2"/>
    <n v="4.4000000000000004"/>
    <s v="Hardware Issues"/>
    <s v="Laptop"/>
    <x v="1"/>
    <n v="120"/>
    <x v="1"/>
    <s v="Chat"/>
    <s v="Tier 2"/>
    <s v="TECH-19"/>
    <s v="Mid-level"/>
    <x v="0"/>
    <s v="Yes"/>
    <n v="1"/>
    <s v="No"/>
    <n v="5"/>
    <n v="1"/>
    <n v="30.5"/>
    <s v="Yes"/>
    <s v="Fair"/>
    <s v="Yes"/>
    <s v="HR"/>
    <s v="Wednesday"/>
    <s v="Morning"/>
  </r>
  <r>
    <x v="1411"/>
    <s v="2024-09-03 08:27:31"/>
    <x v="9"/>
    <s v="2024-09-08 08:39:31"/>
    <n v="120.2"/>
    <n v="5"/>
    <s v="Password Reset"/>
    <s v="Email Password"/>
    <x v="1"/>
    <n v="120"/>
    <x v="0"/>
    <s v="Phone"/>
    <s v="Tier 1"/>
    <s v="TECH-7"/>
    <s v="Junior"/>
    <x v="1"/>
    <s v="No"/>
    <n v="0"/>
    <s v="No"/>
    <n v="10"/>
    <n v="3.8"/>
    <n v="22.4"/>
    <s v="No"/>
    <s v="Good"/>
    <s v="Yes"/>
    <s v="Operations"/>
    <s v="Monday"/>
    <s v="Morning"/>
  </r>
  <r>
    <x v="1412"/>
    <s v="2024-08-05 03:16:58"/>
    <x v="1"/>
    <s v="2024-08-08 18:58:58"/>
    <n v="87.7"/>
    <n v="3.7"/>
    <s v="Hardware Issues"/>
    <s v="Laptop"/>
    <x v="1"/>
    <n v="120"/>
    <x v="1"/>
    <s v="Portal"/>
    <s v="Tier 2"/>
    <s v="TECH-16"/>
    <s v="Mid-level"/>
    <x v="0"/>
    <s v="Yes"/>
    <n v="1"/>
    <s v="No"/>
    <n v="8"/>
    <n v="1.9"/>
    <n v="27.4"/>
    <s v="Yes"/>
    <s v="Poor"/>
    <s v="Yes"/>
    <s v="HR"/>
    <s v="Friday"/>
    <s v="Morning"/>
  </r>
  <r>
    <x v="1413"/>
    <s v="2024-07-28 22:45:37"/>
    <x v="4"/>
    <s v="2024-08-02 09:21:37"/>
    <n v="106.6"/>
    <n v="4.4000000000000004"/>
    <s v="Network Connectivity"/>
    <s v="WiFi Issues"/>
    <x v="1"/>
    <n v="120"/>
    <x v="1"/>
    <s v="Portal"/>
    <s v="Tier 1"/>
    <s v="TECH-20"/>
    <s v="Junior"/>
    <x v="0"/>
    <s v="No"/>
    <n v="1"/>
    <s v="No"/>
    <n v="9"/>
    <n v="0.3"/>
    <n v="9.6999999999999993"/>
    <s v="Yes"/>
    <s v="Good"/>
    <s v="No"/>
    <s v="Sales"/>
    <s v="Tuesday"/>
    <s v="Morning"/>
  </r>
  <r>
    <x v="1414"/>
    <s v="2024-08-29 23:04:14"/>
    <x v="1"/>
    <s v="2024-09-09 08:22:14"/>
    <n v="249.3"/>
    <n v="10.4"/>
    <s v="Other"/>
    <s v="Documentation"/>
    <x v="2"/>
    <n v="360"/>
    <x v="1"/>
    <s v="Email"/>
    <s v="Tier 1"/>
    <s v="TECH-11"/>
    <s v="Junior"/>
    <x v="1"/>
    <s v="No"/>
    <n v="0"/>
    <s v="No"/>
    <n v="9"/>
    <n v="3"/>
    <n v="47.5"/>
    <s v="Yes"/>
    <s v="Fair"/>
    <s v="No"/>
    <s v="Finance"/>
    <s v="Tuesday"/>
    <s v="Afternoon"/>
  </r>
  <r>
    <x v="1415"/>
    <s v="2024-08-31 16:46:07"/>
    <x v="1"/>
    <s v="2024-09-05 10:40:07"/>
    <n v="113.9"/>
    <n v="4.7"/>
    <s v="Application Errors"/>
    <s v="Crash"/>
    <x v="1"/>
    <n v="120"/>
    <x v="1"/>
    <s v="Email"/>
    <s v="Tier 2"/>
    <s v="TECH-15"/>
    <s v="Mid-level"/>
    <x v="0"/>
    <s v="Yes"/>
    <n v="1"/>
    <s v="Yes"/>
    <n v="8"/>
    <n v="1.7"/>
    <n v="14.6"/>
    <s v="No"/>
    <s v="Good"/>
    <s v="Yes"/>
    <s v="HR"/>
    <s v="Monday"/>
    <s v="Afternoon"/>
  </r>
  <r>
    <x v="1416"/>
    <s v="2024-08-18 21:55:49"/>
    <x v="1"/>
    <s v="2024-08-31 04:49:49"/>
    <n v="294.89999999999998"/>
    <n v="12.3"/>
    <s v="Application Errors"/>
    <s v="Crash"/>
    <x v="0"/>
    <n v="240"/>
    <x v="0"/>
    <s v="Phone"/>
    <s v="Tier 1"/>
    <s v="TECH-2"/>
    <s v="Junior"/>
    <x v="0"/>
    <s v="No"/>
    <n v="1"/>
    <s v="No"/>
    <n v="5"/>
    <n v="3.2"/>
    <n v="25.5"/>
    <s v="No"/>
    <s v="Fair"/>
    <s v="Yes"/>
    <s v="Legal"/>
    <s v="Monday"/>
    <s v="Morning"/>
  </r>
  <r>
    <x v="1417"/>
    <s v="2024-09-14 18:49:53"/>
    <x v="9"/>
    <s v="2024-09-17 00:13:53"/>
    <n v="77.400000000000006"/>
    <n v="3.2"/>
    <s v="Hardware Issues"/>
    <s v="Printer"/>
    <x v="1"/>
    <n v="120"/>
    <x v="1"/>
    <s v="Portal"/>
    <s v="Tier 2"/>
    <s v="TECH-17"/>
    <s v="Junior"/>
    <x v="0"/>
    <s v="Yes"/>
    <n v="4"/>
    <s v="Yes"/>
    <n v="9"/>
    <n v="1.4"/>
    <n v="22.4"/>
    <s v="No"/>
    <s v="Good"/>
    <s v="No"/>
    <s v="Legal"/>
    <s v="Monday"/>
    <s v="Afternoon"/>
  </r>
  <r>
    <x v="1418"/>
    <s v="2024-06-30 17:21:41"/>
    <x v="10"/>
    <s v="2024-07-04 21:45:41"/>
    <n v="100.4"/>
    <n v="4.2"/>
    <s v="Application Errors"/>
    <s v="Login Issues"/>
    <x v="3"/>
    <n v="48"/>
    <x v="0"/>
    <s v="Phone"/>
    <s v="Tier 1"/>
    <s v="TECH-7"/>
    <s v="Mid-level"/>
    <x v="1"/>
    <s v="No"/>
    <n v="0"/>
    <s v="No"/>
    <n v="5"/>
    <n v="2.6"/>
    <n v="16"/>
    <s v="No"/>
    <s v="Fair"/>
    <s v="No"/>
    <s v="Operations"/>
    <s v="Friday"/>
    <s v="Evening"/>
  </r>
  <r>
    <x v="1419"/>
    <s v="2024-11-13 11:05:33"/>
    <x v="7"/>
    <s v="2024-11-18 02:59:33"/>
    <n v="111.9"/>
    <n v="4.7"/>
    <s v="Software Installation"/>
    <s v="Adobe Suite"/>
    <x v="1"/>
    <n v="120"/>
    <x v="1"/>
    <s v="Phone"/>
    <s v="Tier 1"/>
    <s v="TECH-16"/>
    <s v="Senior"/>
    <x v="0"/>
    <s v="No"/>
    <n v="1"/>
    <s v="No"/>
    <n v="8"/>
    <n v="0.1"/>
    <n v="28.2"/>
    <s v="No"/>
    <s v="Poor"/>
    <s v="No"/>
    <s v="Executive"/>
    <s v="Monday"/>
    <s v="Evening"/>
  </r>
  <r>
    <x v="1420"/>
    <s v="2024-12-18 17:57:17"/>
    <x v="0"/>
    <s v="2024-12-31 23:21:17"/>
    <n v="317.39999999999998"/>
    <n v="13.2"/>
    <s v="Password Reset"/>
    <s v="Account Unlock"/>
    <x v="2"/>
    <n v="360"/>
    <x v="1"/>
    <s v="Phone"/>
    <s v="Tier 1"/>
    <s v="TECH-20"/>
    <s v="Junior"/>
    <x v="1"/>
    <s v="No"/>
    <n v="0"/>
    <s v="No"/>
    <n v="10"/>
    <n v="4.3"/>
    <n v="17.2"/>
    <s v="Yes"/>
    <s v="Fair"/>
    <s v="Yes"/>
    <s v="Finance"/>
    <s v="Wednesday"/>
    <s v="Morning"/>
  </r>
  <r>
    <x v="1421"/>
    <s v="2024-02-13 10:28:39"/>
    <x v="6"/>
    <s v="2024-02-22 11:16:39"/>
    <n v="216.8"/>
    <n v="9"/>
    <s v="Email/Calendar"/>
    <s v="Cannot Send/Receive"/>
    <x v="0"/>
    <n v="240"/>
    <x v="1"/>
    <s v="Phone"/>
    <s v="Tier 1"/>
    <s v="TECH-5"/>
    <s v="Junior"/>
    <x v="0"/>
    <s v="No"/>
    <n v="1"/>
    <s v="Yes"/>
    <n v="9"/>
    <n v="3.6"/>
    <n v="39.6"/>
    <s v="Yes"/>
    <s v="Excellent"/>
    <s v="Yes"/>
    <s v="Operations"/>
    <s v="Tuesday"/>
    <s v="Afternoon"/>
  </r>
  <r>
    <x v="1422"/>
    <s v="2024-11-11 17:30:06"/>
    <x v="7"/>
    <s v="2024-11-13 01:36:06"/>
    <n v="56.1"/>
    <n v="2.2999999999999998"/>
    <s v="Application Errors"/>
    <s v="Features Not Working"/>
    <x v="3"/>
    <n v="48"/>
    <x v="0"/>
    <s v="Phone"/>
    <s v="Tier 2"/>
    <s v="TECH-8"/>
    <s v="Mid-level"/>
    <x v="0"/>
    <s v="Yes"/>
    <n v="2"/>
    <s v="No"/>
    <n v="1"/>
    <n v="0.7"/>
    <n v="0"/>
    <s v="Yes"/>
    <s v="Poor"/>
    <s v="No"/>
    <s v="Legal"/>
    <s v="Thursday"/>
    <s v="Morning"/>
  </r>
  <r>
    <x v="1423"/>
    <s v="2024-05-26 09:10:10"/>
    <x v="8"/>
    <s v="2024-06-09 09:10:10"/>
    <n v="336"/>
    <n v="14"/>
    <s v="Software Installation"/>
    <s v="Adobe Suite"/>
    <x v="2"/>
    <n v="360"/>
    <x v="1"/>
    <s v="Email"/>
    <s v="Tier 2"/>
    <s v="TECH-8"/>
    <s v="Mid-level"/>
    <x v="0"/>
    <s v="Yes"/>
    <n v="2"/>
    <s v="Yes"/>
    <n v="7"/>
    <n v="1"/>
    <n v="40.200000000000003"/>
    <s v="No"/>
    <s v="Excellent"/>
    <s v="Yes"/>
    <s v="Legal"/>
    <s v="Monday"/>
    <s v="Evening"/>
  </r>
  <r>
    <x v="1424"/>
    <s v="2024-08-22 19:45:04"/>
    <x v="1"/>
    <s v="2024-08-25 22:21:04"/>
    <n v="74.599999999999994"/>
    <n v="3.1"/>
    <s v="Access Requests"/>
    <s v="Application Access"/>
    <x v="1"/>
    <n v="120"/>
    <x v="1"/>
    <s v="Email"/>
    <s v="Tier 1"/>
    <s v="TECH-11"/>
    <s v="Mid-level"/>
    <x v="0"/>
    <s v="No"/>
    <n v="1"/>
    <s v="No"/>
    <n v="7"/>
    <n v="3"/>
    <n v="40"/>
    <s v="No"/>
    <s v="Good"/>
    <s v="Yes"/>
    <s v="HR"/>
    <s v="Friday"/>
    <s v="Morning"/>
  </r>
  <r>
    <x v="1425"/>
    <s v="2024-03-10 09:58:23"/>
    <x v="5"/>
    <s v="2024-03-24 14:16:23"/>
    <n v="340.3"/>
    <n v="14.2"/>
    <s v="Other"/>
    <s v="Documentation"/>
    <x v="2"/>
    <n v="360"/>
    <x v="1"/>
    <s v="Email"/>
    <s v="Tier 1"/>
    <s v="TECH-2"/>
    <s v="Senior"/>
    <x v="1"/>
    <s v="No"/>
    <n v="0"/>
    <s v="Yes"/>
    <n v="7"/>
    <n v="5.8"/>
    <n v="0"/>
    <s v="Yes"/>
    <s v="Poor"/>
    <s v="No"/>
    <s v="Sales"/>
    <s v="Wednesday"/>
    <s v="Afternoon"/>
  </r>
  <r>
    <x v="1426"/>
    <s v="2024-04-13 23:20:37"/>
    <x v="11"/>
    <s v="2024-05-10 21:14:37"/>
    <n v="645.9"/>
    <n v="26.9"/>
    <s v="Email/Calendar"/>
    <s v="Calendar Sync"/>
    <x v="0"/>
    <n v="240"/>
    <x v="0"/>
    <s v="Portal"/>
    <s v="Tier 1"/>
    <s v="TECH-15"/>
    <s v="Junior"/>
    <x v="0"/>
    <s v="No"/>
    <n v="1"/>
    <s v="No"/>
    <n v="2"/>
    <n v="1.6"/>
    <n v="0"/>
    <s v="No"/>
    <s v="Good"/>
    <s v="Yes"/>
    <s v="Sales"/>
    <s v="Monday"/>
    <s v="Afternoon"/>
  </r>
  <r>
    <x v="1427"/>
    <s v="2024-02-14 17:33:51"/>
    <x v="6"/>
    <s v="2024-02-24 01:39:51"/>
    <n v="248.1"/>
    <n v="10.3"/>
    <s v="Email/Calendar"/>
    <s v="Mailbox Full"/>
    <x v="0"/>
    <n v="240"/>
    <x v="0"/>
    <s v="Email"/>
    <s v="Tier 1"/>
    <s v="TECH-18"/>
    <s v="Junior"/>
    <x v="1"/>
    <s v="No"/>
    <n v="0"/>
    <s v="Yes"/>
    <n v="5"/>
    <n v="4"/>
    <n v="19.899999999999999"/>
    <s v="No"/>
    <s v="Fair"/>
    <s v="Yes"/>
    <s v="Legal"/>
    <s v="Friday"/>
    <s v="Afternoon"/>
  </r>
  <r>
    <x v="1428"/>
    <s v="2024-06-28 06:34:59"/>
    <x v="10"/>
    <s v="2024-07-10 00:46:59"/>
    <n v="306.2"/>
    <n v="12.8"/>
    <s v="Access Requests"/>
    <s v="File Share"/>
    <x v="2"/>
    <n v="360"/>
    <x v="1"/>
    <s v="Phone"/>
    <s v="Tier 1"/>
    <s v="TECH-24"/>
    <s v="Mid-level"/>
    <x v="0"/>
    <s v="No"/>
    <n v="1"/>
    <s v="No"/>
    <n v="5"/>
    <n v="1.6"/>
    <n v="17.100000000000001"/>
    <s v="Yes"/>
    <s v="Good"/>
    <s v="Yes"/>
    <s v="Executive"/>
    <s v="Thursday"/>
    <s v="Afternoon"/>
  </r>
  <r>
    <x v="1429"/>
    <s v="2024-08-27 23:42:29"/>
    <x v="1"/>
    <s v="2024-09-05 22:18:29"/>
    <n v="214.6"/>
    <n v="8.9"/>
    <s v="Access Requests"/>
    <s v="VPN Access"/>
    <x v="0"/>
    <n v="240"/>
    <x v="1"/>
    <s v="Email"/>
    <s v="Tier 2"/>
    <s v="TECH-3"/>
    <s v="Junior"/>
    <x v="0"/>
    <s v="Yes"/>
    <n v="2"/>
    <s v="No"/>
    <n v="7"/>
    <n v="4.7"/>
    <n v="20.2"/>
    <s v="Yes"/>
    <s v="Good"/>
    <s v="Yes"/>
    <s v="Legal"/>
    <s v="Monday"/>
    <s v="Evening"/>
  </r>
  <r>
    <x v="1430"/>
    <s v="2024-04-25 19:35:58"/>
    <x v="11"/>
    <s v="2024-05-02 15:29:58"/>
    <n v="163.9"/>
    <n v="6.8"/>
    <s v="Network Connectivity"/>
    <s v="Slow Network"/>
    <x v="0"/>
    <n v="240"/>
    <x v="1"/>
    <s v="Email"/>
    <s v="Tier 1"/>
    <s v="TECH-23"/>
    <s v="Junior"/>
    <x v="0"/>
    <s v="No"/>
    <n v="1"/>
    <s v="No"/>
    <n v="9"/>
    <n v="2.8"/>
    <n v="22.2"/>
    <s v="Yes"/>
    <s v="Poor"/>
    <s v="Yes"/>
    <s v="Executive"/>
    <s v="Wednesday"/>
    <s v="Afternoon"/>
  </r>
  <r>
    <x v="1431"/>
    <s v="2024-05-16 10:12:49"/>
    <x v="8"/>
    <s v="2024-05-30 03:06:49"/>
    <n v="328.9"/>
    <n v="13.7"/>
    <s v="Password Reset"/>
    <s v="Application Password"/>
    <x v="0"/>
    <n v="240"/>
    <x v="0"/>
    <s v="Portal"/>
    <s v="Tier 2"/>
    <s v="TECH-13"/>
    <s v="Mid-level"/>
    <x v="0"/>
    <s v="Yes"/>
    <n v="2"/>
    <s v="No"/>
    <n v="4"/>
    <n v="3.5"/>
    <n v="27.2"/>
    <s v="Yes"/>
    <s v="Good"/>
    <s v="Yes"/>
    <s v="Marketing"/>
    <s v="Thursday"/>
    <s v="Morning"/>
  </r>
  <r>
    <x v="1432"/>
    <s v="2024-05-15 20:24:28"/>
    <x v="8"/>
    <s v="2024-05-18 22:36:28"/>
    <n v="74.2"/>
    <n v="3.1"/>
    <s v="Hardware Issues"/>
    <s v="Docking Station"/>
    <x v="1"/>
    <n v="120"/>
    <x v="1"/>
    <s v="Phone"/>
    <s v="Tier 2"/>
    <s v="TECH-17"/>
    <s v="Mid-level"/>
    <x v="0"/>
    <s v="Yes"/>
    <n v="1"/>
    <s v="No"/>
    <n v="5"/>
    <n v="5.3"/>
    <n v="5.6"/>
    <s v="Yes"/>
    <s v="Poor"/>
    <s v="Yes"/>
    <s v="HR"/>
    <s v="Wednesday"/>
    <s v="Morning"/>
  </r>
  <r>
    <x v="1433"/>
    <s v="2024-04-27 11:44:46"/>
    <x v="11"/>
    <s v="2024-05-05 15:44:46"/>
    <n v="196"/>
    <n v="8.1999999999999993"/>
    <s v="Email/Calendar"/>
    <s v="Mailbox Full"/>
    <x v="0"/>
    <n v="240"/>
    <x v="1"/>
    <s v="Email"/>
    <s v="Tier 1"/>
    <s v="TECH-8"/>
    <s v="Mid-level"/>
    <x v="0"/>
    <s v="No"/>
    <n v="1"/>
    <s v="Yes"/>
    <n v="7"/>
    <n v="0.6"/>
    <n v="10.8"/>
    <s v="Yes"/>
    <s v="Good"/>
    <s v="No"/>
    <s v="Finance"/>
    <s v="Monday"/>
    <s v="Morning"/>
  </r>
  <r>
    <x v="1434"/>
    <s v="2024-10-31 12:30:43"/>
    <x v="2"/>
    <s v="2024-11-08 06:12:43"/>
    <n v="185.7"/>
    <n v="7.7"/>
    <s v="Access Requests"/>
    <s v="Application Access"/>
    <x v="0"/>
    <n v="240"/>
    <x v="1"/>
    <s v="Phone"/>
    <s v="Tier 1"/>
    <s v="TECH-12"/>
    <s v="Senior"/>
    <x v="0"/>
    <s v="No"/>
    <n v="1"/>
    <s v="No"/>
    <n v="10"/>
    <n v="4"/>
    <n v="22.1"/>
    <s v="Yes"/>
    <s v="Poor"/>
    <s v="Yes"/>
    <s v="Finance"/>
    <s v="Wednesday"/>
    <s v="Morning"/>
  </r>
  <r>
    <x v="1435"/>
    <s v="2024-04-15 04:08:23"/>
    <x v="11"/>
    <s v="2024-05-01 09:38:23"/>
    <n v="389.5"/>
    <n v="16.2"/>
    <s v="Password Reset"/>
    <s v="Application Password"/>
    <x v="2"/>
    <n v="360"/>
    <x v="0"/>
    <s v="Walk-in"/>
    <s v="Tier 1"/>
    <s v="TECH-14"/>
    <s v="Junior"/>
    <x v="1"/>
    <s v="No"/>
    <n v="0"/>
    <s v="No"/>
    <n v="6"/>
    <n v="1.3"/>
    <n v="24.9"/>
    <s v="Yes"/>
    <s v="Fair"/>
    <s v="Yes"/>
    <s v="Finance"/>
    <s v="Friday"/>
    <s v="Morning"/>
  </r>
  <r>
    <x v="1436"/>
    <s v="2024-06-20 19:19:48"/>
    <x v="10"/>
    <s v="2024-06-24 16:07:48"/>
    <n v="92.8"/>
    <n v="3.9"/>
    <s v="Email/Calendar"/>
    <s v="Calendar Sync"/>
    <x v="1"/>
    <n v="120"/>
    <x v="1"/>
    <s v="Email"/>
    <s v="Tier 2"/>
    <s v="TECH-17"/>
    <s v="Mid-level"/>
    <x v="0"/>
    <s v="Yes"/>
    <n v="2"/>
    <s v="No"/>
    <n v="7"/>
    <n v="0.4"/>
    <n v="26"/>
    <s v="No"/>
    <s v="Good"/>
    <s v="Yes"/>
    <s v="Executive"/>
    <s v="Thursday"/>
    <s v="Morning"/>
  </r>
  <r>
    <x v="1437"/>
    <s v="2024-08-11 21:30:33"/>
    <x v="1"/>
    <s v="2024-08-15 22:24:33"/>
    <n v="96.9"/>
    <n v="4"/>
    <s v="Network Connectivity"/>
    <s v="VPN Connection"/>
    <x v="1"/>
    <n v="120"/>
    <x v="1"/>
    <s v="Phone"/>
    <s v="Tier 1"/>
    <s v="TECH-18"/>
    <s v="Mid-level"/>
    <x v="1"/>
    <s v="No"/>
    <n v="0"/>
    <s v="No"/>
    <n v="9"/>
    <n v="1.4"/>
    <n v="19.5"/>
    <s v="No"/>
    <s v="Excellent"/>
    <s v="Yes"/>
    <s v="Marketing"/>
    <s v="Friday"/>
    <s v="Afternoon"/>
  </r>
  <r>
    <x v="1438"/>
    <s v="2024-09-29 21:32:30"/>
    <x v="9"/>
    <s v="2024-10-06 03:44:30"/>
    <n v="150.19999999999999"/>
    <n v="6.3"/>
    <s v="Access Requests"/>
    <s v="File Share"/>
    <x v="0"/>
    <n v="240"/>
    <x v="1"/>
    <s v="Email"/>
    <s v="Tier 1"/>
    <s v="TECH-12"/>
    <s v="Senior"/>
    <x v="1"/>
    <s v="No"/>
    <n v="0"/>
    <s v="Yes"/>
    <n v="9"/>
    <n v="5.0999999999999996"/>
    <n v="25.2"/>
    <s v="Yes"/>
    <s v="Poor"/>
    <s v="No"/>
    <s v="HR"/>
    <s v="Friday"/>
    <s v="Morning"/>
  </r>
  <r>
    <x v="1439"/>
    <s v="2024-06-16 11:34:53"/>
    <x v="10"/>
    <s v="2024-07-22 10:28:53"/>
    <n v="862.9"/>
    <n v="36"/>
    <s v="Password Reset"/>
    <s v="Account Unlock"/>
    <x v="2"/>
    <n v="360"/>
    <x v="0"/>
    <s v="Portal"/>
    <s v="Tier 1"/>
    <s v="TECH-18"/>
    <s v="Mid-level"/>
    <x v="1"/>
    <s v="No"/>
    <n v="0"/>
    <s v="No"/>
    <n v="8"/>
    <n v="4.0999999999999996"/>
    <n v="13.9"/>
    <s v="Yes"/>
    <s v="Fair"/>
    <s v="Yes"/>
    <s v="HR"/>
    <s v="Tuesday"/>
    <s v="Morning"/>
  </r>
  <r>
    <x v="1440"/>
    <s v="2024-02-21 17:55:36"/>
    <x v="6"/>
    <s v="2024-02-25 15:07:36"/>
    <n v="93.2"/>
    <n v="3.9"/>
    <s v="Access Requests"/>
    <s v="VPN Access"/>
    <x v="1"/>
    <n v="120"/>
    <x v="1"/>
    <s v="Phone"/>
    <s v="Tier 1"/>
    <s v="TECH-21"/>
    <s v="Junior"/>
    <x v="0"/>
    <s v="No"/>
    <n v="1"/>
    <s v="Yes"/>
    <n v="9"/>
    <n v="5.2"/>
    <n v="1.9"/>
    <s v="Yes"/>
    <s v="Fair"/>
    <s v="Yes"/>
    <s v="Executive"/>
    <s v="Thursday"/>
    <s v="Afternoon"/>
  </r>
  <r>
    <x v="1441"/>
    <s v="2024-09-26 21:40:14"/>
    <x v="9"/>
    <s v="2024-10-02 12:16:14"/>
    <n v="134.6"/>
    <n v="5.6"/>
    <s v="Application Errors"/>
    <s v="Performance"/>
    <x v="1"/>
    <n v="120"/>
    <x v="0"/>
    <s v="Phone"/>
    <s v="Tier 2"/>
    <s v="TECH-25"/>
    <s v="Junior"/>
    <x v="0"/>
    <s v="Yes"/>
    <n v="4"/>
    <s v="No"/>
    <n v="8"/>
    <n v="1.2"/>
    <n v="2.2999999999999998"/>
    <s v="No"/>
    <s v="Good"/>
    <s v="Yes"/>
    <s v="Marketing"/>
    <s v="Friday"/>
    <s v="Morning"/>
  </r>
  <r>
    <x v="1442"/>
    <s v="2024-04-03 21:01:28"/>
    <x v="11"/>
    <s v="2024-04-14 06:49:28"/>
    <n v="249.8"/>
    <n v="10.4"/>
    <s v="Software Installation"/>
    <s v="MS Office"/>
    <x v="2"/>
    <n v="360"/>
    <x v="1"/>
    <s v="Phone"/>
    <s v="Tier 2"/>
    <s v="TECH-13"/>
    <s v="Mid-level"/>
    <x v="0"/>
    <s v="Yes"/>
    <n v="3"/>
    <s v="No"/>
    <n v="9"/>
    <n v="5.0999999999999996"/>
    <n v="30.1"/>
    <s v="Yes"/>
    <s v="Fair"/>
    <s v="Yes"/>
    <s v="Marketing"/>
    <s v="Wednesday"/>
    <s v="Morning"/>
  </r>
  <r>
    <x v="1443"/>
    <s v="2024-08-04 09:58:34"/>
    <x v="1"/>
    <s v="2024-08-23 16:58:34"/>
    <n v="463"/>
    <n v="19.3"/>
    <s v="Password Reset"/>
    <s v="Email Password"/>
    <x v="2"/>
    <n v="360"/>
    <x v="0"/>
    <s v="Chat"/>
    <s v="Tier 1"/>
    <s v="TECH-9"/>
    <s v="Senior"/>
    <x v="1"/>
    <s v="No"/>
    <n v="0"/>
    <s v="No"/>
    <n v="5"/>
    <n v="4.9000000000000004"/>
    <n v="18.3"/>
    <s v="Yes"/>
    <s v="Good"/>
    <s v="Yes"/>
    <s v="Sales"/>
    <s v="Monday"/>
    <s v="Morning"/>
  </r>
  <r>
    <x v="1444"/>
    <s v="2024-11-30 20:37:45"/>
    <x v="7"/>
    <s v="2024-12-08 22:25:45"/>
    <n v="193.8"/>
    <n v="8.1"/>
    <s v="Software Installation"/>
    <s v="Adobe Suite"/>
    <x v="0"/>
    <n v="240"/>
    <x v="1"/>
    <s v="Portal"/>
    <s v="Tier 2"/>
    <s v="TECH-5"/>
    <s v="Mid-level"/>
    <x v="0"/>
    <s v="Yes"/>
    <n v="1"/>
    <s v="No"/>
    <n v="6"/>
    <n v="0.1"/>
    <n v="20.7"/>
    <s v="Yes"/>
    <s v="Good"/>
    <s v="Yes"/>
    <s v="Legal"/>
    <s v="Wednesday"/>
    <s v="Morning"/>
  </r>
  <r>
    <x v="1445"/>
    <s v="2024-05-13 05:08:21"/>
    <x v="8"/>
    <s v="2024-06-02 22:32:21"/>
    <n v="497.4"/>
    <n v="20.7"/>
    <s v="Email/Calendar"/>
    <s v="Cannot Send/Receive"/>
    <x v="2"/>
    <n v="360"/>
    <x v="0"/>
    <s v="Portal"/>
    <s v="Tier 1"/>
    <s v="TECH-19"/>
    <s v="Junior"/>
    <x v="1"/>
    <s v="No"/>
    <n v="0"/>
    <s v="No"/>
    <n v="6"/>
    <n v="4.3"/>
    <n v="10"/>
    <s v="Yes"/>
    <s v="Good"/>
    <s v="Yes"/>
    <s v="Operations"/>
    <s v="Wednesday"/>
    <s v="Afternoon"/>
  </r>
  <r>
    <x v="1446"/>
    <s v="2024-09-18 19:41:58"/>
    <x v="9"/>
    <s v="2024-09-22 11:11:58"/>
    <n v="87.5"/>
    <n v="3.6"/>
    <s v="Application Errors"/>
    <s v="Features Not Working"/>
    <x v="1"/>
    <n v="120"/>
    <x v="1"/>
    <s v="Portal"/>
    <s v="Tier 1"/>
    <s v="TECH-2"/>
    <s v="Senior"/>
    <x v="0"/>
    <s v="No"/>
    <n v="1"/>
    <s v="No"/>
    <n v="8"/>
    <n v="0.3"/>
    <n v="9.4"/>
    <s v="Yes"/>
    <s v="Fair"/>
    <s v="Yes"/>
    <s v="Marketing"/>
    <s v="Thursday"/>
    <s v="Morning"/>
  </r>
  <r>
    <x v="1447"/>
    <s v="2024-10-07 20:03:32"/>
    <x v="2"/>
    <s v="2024-10-18 08:57:32"/>
    <n v="252.9"/>
    <n v="10.5"/>
    <s v="Hardware Issues"/>
    <s v="Desktop"/>
    <x v="0"/>
    <n v="240"/>
    <x v="0"/>
    <s v="Email"/>
    <s v="Tier 1"/>
    <s v="TECH-24"/>
    <s v="Mid-level"/>
    <x v="0"/>
    <s v="No"/>
    <n v="1"/>
    <s v="No"/>
    <n v="7"/>
    <n v="4.5999999999999996"/>
    <n v="25"/>
    <s v="Yes"/>
    <s v="Good"/>
    <s v="No"/>
    <s v="Executive"/>
    <s v="Friday"/>
    <s v="Afternoon"/>
  </r>
  <r>
    <x v="1448"/>
    <s v="2024-02-02 19:15:30"/>
    <x v="6"/>
    <s v="2024-02-15 16:15:30"/>
    <n v="309"/>
    <n v="12.9"/>
    <s v="Software Installation"/>
    <s v="Drivers"/>
    <x v="0"/>
    <n v="240"/>
    <x v="0"/>
    <s v="Chat"/>
    <s v="Tier 1"/>
    <s v="TECH-24"/>
    <s v="Junior"/>
    <x v="0"/>
    <s v="No"/>
    <n v="1"/>
    <s v="No"/>
    <n v="7"/>
    <n v="5.5"/>
    <n v="27.4"/>
    <s v="Yes"/>
    <s v="Fair"/>
    <s v="Yes"/>
    <s v="Sales"/>
    <s v="Tuesday"/>
    <s v="Morning"/>
  </r>
  <r>
    <x v="1449"/>
    <s v="2024-08-05 15:10:11"/>
    <x v="1"/>
    <s v="2024-08-06 20:22:11"/>
    <n v="29.2"/>
    <n v="1.2"/>
    <s v="Network Connectivity"/>
    <s v="VPN Connection"/>
    <x v="3"/>
    <n v="48"/>
    <x v="1"/>
    <s v="Email"/>
    <s v="Tier 2"/>
    <s v="TECH-19"/>
    <s v="Junior"/>
    <x v="0"/>
    <s v="Yes"/>
    <n v="2"/>
    <s v="Yes"/>
    <n v="10"/>
    <n v="2.2000000000000002"/>
    <n v="23"/>
    <s v="Yes"/>
    <s v="Poor"/>
    <s v="No"/>
    <s v="Finance"/>
    <s v="Tuesday"/>
    <s v="Evening"/>
  </r>
  <r>
    <x v="1450"/>
    <s v="2024-09-22 03:43:05"/>
    <x v="9"/>
    <s v="2024-09-28 13:13:05"/>
    <n v="153.5"/>
    <n v="6.4"/>
    <s v="Hardware Issues"/>
    <s v="Printer"/>
    <x v="0"/>
    <n v="240"/>
    <x v="1"/>
    <s v="Email"/>
    <s v="Tier 2"/>
    <s v="TECH-5"/>
    <s v="Mid-level"/>
    <x v="0"/>
    <s v="Yes"/>
    <n v="2"/>
    <s v="No"/>
    <n v="5"/>
    <n v="0.1"/>
    <n v="26.8"/>
    <s v="Yes"/>
    <s v="Poor"/>
    <s v="Yes"/>
    <s v="Marketing"/>
    <s v="Tuesday"/>
    <s v="Evening"/>
  </r>
  <r>
    <x v="1451"/>
    <s v="2024-09-01 18:07:08"/>
    <x v="9"/>
    <s v="2024-09-07 22:31:08"/>
    <n v="148.4"/>
    <n v="6.2"/>
    <s v="Access Requests"/>
    <s v="File Share"/>
    <x v="0"/>
    <n v="240"/>
    <x v="1"/>
    <s v="Walk-in"/>
    <s v="Tier 2"/>
    <s v="TECH-1"/>
    <s v="Mid-level"/>
    <x v="0"/>
    <s v="Yes"/>
    <n v="3"/>
    <s v="No"/>
    <n v="6"/>
    <n v="3.7"/>
    <n v="33.1"/>
    <s v="Yes"/>
    <s v="Good"/>
    <s v="Yes"/>
    <s v="Finance"/>
    <s v="Friday"/>
    <s v="Afternoon"/>
  </r>
  <r>
    <x v="1452"/>
    <s v="2024-10-20 20:21:34"/>
    <x v="2"/>
    <s v="2024-10-28 20:03:34"/>
    <n v="192.7"/>
    <n v="8"/>
    <s v="Email/Calendar"/>
    <s v="Cannot Send/Receive"/>
    <x v="0"/>
    <n v="240"/>
    <x v="1"/>
    <s v="Email"/>
    <s v="Tier 1"/>
    <s v="TECH-9"/>
    <s v="Mid-level"/>
    <x v="1"/>
    <s v="No"/>
    <n v="0"/>
    <s v="No"/>
    <n v="10"/>
    <n v="1"/>
    <n v="14.6"/>
    <s v="Yes"/>
    <s v="Fair"/>
    <s v="Yes"/>
    <s v="Executive"/>
    <s v="Monday"/>
    <s v="Morning"/>
  </r>
  <r>
    <x v="1453"/>
    <s v="2024-08-19 15:40:10"/>
    <x v="1"/>
    <s v="2024-08-28 12:52:10"/>
    <n v="213.2"/>
    <n v="8.9"/>
    <s v="Network Connectivity"/>
    <s v="Slow Network"/>
    <x v="0"/>
    <n v="240"/>
    <x v="1"/>
    <s v="Phone"/>
    <s v="Tier 2"/>
    <s v="TECH-25"/>
    <s v="Junior"/>
    <x v="0"/>
    <s v="Yes"/>
    <n v="1"/>
    <s v="No"/>
    <n v="9"/>
    <n v="0.9"/>
    <n v="30.4"/>
    <s v="Yes"/>
    <s v="Good"/>
    <s v="No"/>
    <s v="Finance"/>
    <s v="Thursday"/>
    <s v="Afternoon"/>
  </r>
  <r>
    <x v="1454"/>
    <s v="2024-09-21 10:10:27"/>
    <x v="9"/>
    <s v="2024-09-25 04:22:27"/>
    <n v="90.2"/>
    <n v="3.8"/>
    <s v="Application Errors"/>
    <s v="Crash"/>
    <x v="1"/>
    <n v="120"/>
    <x v="1"/>
    <s v="Phone"/>
    <s v="Tier 1"/>
    <s v="TECH-13"/>
    <s v="Senior"/>
    <x v="0"/>
    <s v="No"/>
    <n v="1"/>
    <s v="No"/>
    <n v="10"/>
    <n v="1.1000000000000001"/>
    <n v="0"/>
    <s v="No"/>
    <s v="Good"/>
    <s v="Yes"/>
    <s v="Marketing"/>
    <s v="Friday"/>
    <s v="Morning"/>
  </r>
  <r>
    <x v="1455"/>
    <s v="2024-12-20 22:43:00"/>
    <x v="0"/>
    <s v="2024-12-24 22:55:00"/>
    <n v="96.2"/>
    <n v="4"/>
    <s v="Application Errors"/>
    <s v="Crash"/>
    <x v="1"/>
    <n v="120"/>
    <x v="1"/>
    <s v="Email"/>
    <s v="Tier 1"/>
    <s v="TECH-1"/>
    <s v="Senior"/>
    <x v="0"/>
    <s v="No"/>
    <n v="1"/>
    <s v="No"/>
    <n v="7"/>
    <n v="2.4"/>
    <n v="10.8"/>
    <s v="Yes"/>
    <s v="Poor"/>
    <s v="Yes"/>
    <s v="Operations"/>
    <s v="Tuesday"/>
    <s v="Morning"/>
  </r>
  <r>
    <x v="1456"/>
    <s v="2024-10-21 09:33:02"/>
    <x v="2"/>
    <s v="2024-11-01 18:51:02"/>
    <n v="274.3"/>
    <n v="11.4"/>
    <s v="Email/Calendar"/>
    <s v="Mailbox Full"/>
    <x v="0"/>
    <n v="240"/>
    <x v="0"/>
    <s v="Email"/>
    <s v="Tier 1"/>
    <s v="TECH-23"/>
    <s v="Junior"/>
    <x v="0"/>
    <s v="No"/>
    <n v="1"/>
    <s v="No"/>
    <n v="5"/>
    <n v="2.2000000000000002"/>
    <n v="30.9"/>
    <s v="No"/>
    <s v="Fair"/>
    <s v="Yes"/>
    <s v="Sales"/>
    <s v="Friday"/>
    <s v="Afternoon"/>
  </r>
  <r>
    <x v="1457"/>
    <s v="2024-06-01 03:15:33"/>
    <x v="10"/>
    <s v="2024-06-07 19:33:33"/>
    <n v="160.30000000000001"/>
    <n v="6.7"/>
    <s v="Software Installation"/>
    <s v="Adobe Suite"/>
    <x v="0"/>
    <n v="240"/>
    <x v="1"/>
    <s v="Portal"/>
    <s v="Tier 1"/>
    <s v="TECH-8"/>
    <s v="Junior"/>
    <x v="1"/>
    <s v="No"/>
    <n v="0"/>
    <s v="No"/>
    <n v="8"/>
    <n v="2.9"/>
    <n v="7.4"/>
    <s v="No"/>
    <s v="Fair"/>
    <s v="Yes"/>
    <s v="Operations"/>
    <s v="Monday"/>
    <s v="Afternoon"/>
  </r>
  <r>
    <x v="1458"/>
    <s v="2024-07-22 10:39:41"/>
    <x v="4"/>
    <s v="2024-08-01 14:45:41"/>
    <n v="244.1"/>
    <n v="10.199999999999999"/>
    <s v="Email/Calendar"/>
    <s v="Distribution List"/>
    <x v="2"/>
    <n v="360"/>
    <x v="1"/>
    <s v="Phone"/>
    <s v="Tier 1"/>
    <s v="TECH-21"/>
    <s v="Senior"/>
    <x v="0"/>
    <s v="No"/>
    <n v="1"/>
    <s v="No"/>
    <n v="9"/>
    <n v="2.8"/>
    <n v="18.5"/>
    <s v="No"/>
    <s v="Fair"/>
    <s v="Yes"/>
    <s v="Sales"/>
    <s v="Tuesday"/>
    <s v="Morning"/>
  </r>
  <r>
    <x v="1459"/>
    <s v="2024-08-16 10:23:57"/>
    <x v="1"/>
    <s v="2024-08-22 21:59:57"/>
    <n v="155.6"/>
    <n v="6.5"/>
    <s v="Access Requests"/>
    <s v="Application Access"/>
    <x v="1"/>
    <n v="120"/>
    <x v="0"/>
    <s v="Portal"/>
    <s v="Tier 1"/>
    <s v="TECH-15"/>
    <s v="Mid-level"/>
    <x v="1"/>
    <s v="No"/>
    <n v="0"/>
    <s v="No"/>
    <n v="6"/>
    <n v="4.4000000000000004"/>
    <n v="0"/>
    <s v="Yes"/>
    <s v="Fair"/>
    <s v="Yes"/>
    <s v="Operations"/>
    <s v="Friday"/>
    <s v="Morning"/>
  </r>
  <r>
    <x v="1460"/>
    <s v="2024-10-15 23:28:51"/>
    <x v="2"/>
    <s v="2024-10-24 06:04:51"/>
    <n v="198.6"/>
    <n v="8.3000000000000007"/>
    <s v="Access Requests"/>
    <s v="VPN Access"/>
    <x v="0"/>
    <n v="240"/>
    <x v="1"/>
    <s v="Email"/>
    <s v="Tier 1"/>
    <s v="TECH-23"/>
    <s v="Mid-level"/>
    <x v="0"/>
    <s v="No"/>
    <n v="1"/>
    <s v="No"/>
    <n v="8"/>
    <n v="2.7"/>
    <n v="30.4"/>
    <s v="Yes"/>
    <s v="Excellent"/>
    <s v="No"/>
    <s v="Executive"/>
    <s v="Monday"/>
    <s v="Morning"/>
  </r>
  <r>
    <x v="1461"/>
    <s v="2024-02-11 00:38:08"/>
    <x v="6"/>
    <s v="2024-02-14 08:02:08"/>
    <n v="55.4"/>
    <n v="2.2999999999999998"/>
    <s v="Email/Calendar"/>
    <s v="Distribution List"/>
    <x v="3"/>
    <n v="48"/>
    <x v="0"/>
    <s v="Phone"/>
    <s v="Tier 1"/>
    <s v="TECH-18"/>
    <s v="Mid-level"/>
    <x v="1"/>
    <s v="No"/>
    <n v="0"/>
    <s v="No"/>
    <n v="5"/>
    <n v="5.3"/>
    <n v="30.6"/>
    <s v="Yes"/>
    <s v="Poor"/>
    <s v="Yes"/>
    <s v="HR"/>
    <s v="Wednesday"/>
    <s v="Afternoon"/>
  </r>
  <r>
    <x v="1462"/>
    <s v="2024-03-07 10:38:20"/>
    <x v="5"/>
    <s v="2024-03-20 01:20:20"/>
    <n v="326.7"/>
    <n v="13.6"/>
    <s v="Other"/>
    <s v="Training Request"/>
    <x v="2"/>
    <n v="360"/>
    <x v="1"/>
    <s v="Email"/>
    <s v="Tier 1"/>
    <s v="TECH-18"/>
    <s v="Junior"/>
    <x v="1"/>
    <s v="No"/>
    <n v="0"/>
    <s v="No"/>
    <n v="10"/>
    <n v="4.8"/>
    <n v="27.9"/>
    <s v="Yes"/>
    <s v="Excellent"/>
    <s v="Yes"/>
    <s v="Executive"/>
    <s v="Friday"/>
    <s v="Afternoon"/>
  </r>
  <r>
    <x v="1463"/>
    <s v="2024-08-29 20:54:58"/>
    <x v="1"/>
    <s v="2024-09-08 01:24:58"/>
    <n v="244.5"/>
    <n v="10.199999999999999"/>
    <s v="Access Requests"/>
    <s v="Application Access"/>
    <x v="2"/>
    <n v="360"/>
    <x v="1"/>
    <s v="Phone"/>
    <s v="Tier 1"/>
    <s v="TECH-19"/>
    <s v="Mid-level"/>
    <x v="1"/>
    <s v="No"/>
    <n v="0"/>
    <s v="No"/>
    <n v="10"/>
    <n v="4.4000000000000004"/>
    <n v="12.4"/>
    <s v="Yes"/>
    <s v="Good"/>
    <s v="No"/>
    <s v="Executive"/>
    <s v="Wednesday"/>
    <s v="Evening"/>
  </r>
  <r>
    <x v="1464"/>
    <s v="2024-03-02 00:17:39"/>
    <x v="5"/>
    <s v="2024-03-06 13:59:39"/>
    <n v="85.7"/>
    <n v="3.6"/>
    <s v="Network Connectivity"/>
    <s v="Ethernet"/>
    <x v="1"/>
    <n v="120"/>
    <x v="1"/>
    <s v="Phone"/>
    <s v="Tier 1"/>
    <s v="TECH-6"/>
    <s v="Senior"/>
    <x v="0"/>
    <s v="No"/>
    <n v="1"/>
    <s v="Yes"/>
    <n v="8"/>
    <n v="2.5"/>
    <n v="14.6"/>
    <s v="Yes"/>
    <s v="Good"/>
    <s v="Yes"/>
    <s v="Marketing"/>
    <s v="Monday"/>
    <s v="Morning"/>
  </r>
  <r>
    <x v="1465"/>
    <s v="2024-01-08 16:35:49"/>
    <x v="3"/>
    <s v="2024-01-16 10:53:49"/>
    <n v="186.3"/>
    <n v="7.8"/>
    <s v="Software Installation"/>
    <s v="VPN Client"/>
    <x v="0"/>
    <n v="240"/>
    <x v="1"/>
    <s v="Phone"/>
    <s v="Tier 2"/>
    <s v="TECH-21"/>
    <s v="Junior"/>
    <x v="0"/>
    <s v="Yes"/>
    <n v="4"/>
    <s v="No"/>
    <n v="6"/>
    <n v="2.5"/>
    <n v="17.600000000000001"/>
    <s v="Yes"/>
    <s v="Good"/>
    <s v="Yes"/>
    <s v="Executive"/>
    <s v="Thursday"/>
    <s v="Afternoon"/>
  </r>
  <r>
    <x v="1466"/>
    <s v="2024-08-24 13:59:18"/>
    <x v="1"/>
    <s v="2024-09-01 21:41:18"/>
    <n v="199.7"/>
    <n v="8.3000000000000007"/>
    <s v="Email/Calendar"/>
    <s v="Mailbox Full"/>
    <x v="0"/>
    <n v="240"/>
    <x v="1"/>
    <s v="Phone"/>
    <s v="Tier 1"/>
    <s v="TECH-1"/>
    <s v="Junior"/>
    <x v="0"/>
    <s v="No"/>
    <n v="1"/>
    <s v="No"/>
    <n v="6"/>
    <n v="4.9000000000000004"/>
    <n v="0"/>
    <s v="No"/>
    <s v="Excellent"/>
    <s v="Yes"/>
    <s v="Executive"/>
    <s v="Monday"/>
    <s v="Morning"/>
  </r>
  <r>
    <x v="1467"/>
    <s v="2024-06-18 02:34:26"/>
    <x v="10"/>
    <s v="2024-06-30 07:52:26"/>
    <n v="269.3"/>
    <n v="11.2"/>
    <s v="Email/Calendar"/>
    <s v="Calendar Sync"/>
    <x v="0"/>
    <n v="240"/>
    <x v="0"/>
    <s v="Portal"/>
    <s v="Tier 1"/>
    <s v="TECH-25"/>
    <s v="Mid-level"/>
    <x v="0"/>
    <s v="No"/>
    <n v="1"/>
    <s v="No"/>
    <n v="6"/>
    <n v="2.5"/>
    <n v="26.5"/>
    <s v="Yes"/>
    <s v="Good"/>
    <s v="No"/>
    <s v="IT"/>
    <s v="Thursday"/>
    <s v="Evening"/>
  </r>
  <r>
    <x v="1468"/>
    <s v="2024-10-02 05:53:53"/>
    <x v="2"/>
    <s v="2024-10-14 01:11:53"/>
    <n v="307.3"/>
    <n v="12.8"/>
    <s v="Other"/>
    <s v="Documentation"/>
    <x v="2"/>
    <n v="360"/>
    <x v="1"/>
    <s v="Walk-in"/>
    <s v="Tier 1"/>
    <s v="TECH-4"/>
    <s v="Junior"/>
    <x v="1"/>
    <s v="No"/>
    <n v="0"/>
    <s v="No"/>
    <n v="9"/>
    <n v="0.3"/>
    <n v="25.1"/>
    <s v="No"/>
    <s v="Poor"/>
    <s v="Yes"/>
    <s v="IT"/>
    <s v="Wednesday"/>
    <s v="Afternoon"/>
  </r>
  <r>
    <x v="1469"/>
    <s v="2024-10-09 20:24:21"/>
    <x v="2"/>
    <s v="2024-10-18 02:36:21"/>
    <n v="222.2"/>
    <n v="9.3000000000000007"/>
    <s v="Hardware Issues"/>
    <s v="Keyboard/Mouse"/>
    <x v="0"/>
    <n v="240"/>
    <x v="1"/>
    <s v="Phone"/>
    <s v="Tier 2"/>
    <s v="TECH-4"/>
    <s v="Junior"/>
    <x v="0"/>
    <s v="Yes"/>
    <n v="2"/>
    <s v="No"/>
    <n v="10"/>
    <n v="2.2999999999999998"/>
    <n v="11.4"/>
    <s v="No"/>
    <s v="Good"/>
    <s v="No"/>
    <s v="Operations"/>
    <s v="Friday"/>
    <s v="Morning"/>
  </r>
  <r>
    <x v="1470"/>
    <s v="2024-09-28 21:50:14"/>
    <x v="9"/>
    <s v="2024-10-10 05:56:14"/>
    <n v="272.10000000000002"/>
    <n v="11.3"/>
    <s v="Software Installation"/>
    <s v="Adobe Suite"/>
    <x v="2"/>
    <n v="360"/>
    <x v="1"/>
    <s v="Email"/>
    <s v="Tier 2"/>
    <s v="TECH-25"/>
    <s v="Senior"/>
    <x v="0"/>
    <s v="Yes"/>
    <n v="4"/>
    <s v="No"/>
    <n v="9"/>
    <n v="5.4"/>
    <n v="29"/>
    <s v="No"/>
    <s v="Fair"/>
    <s v="Yes"/>
    <s v="Sales"/>
    <s v="Thursday"/>
    <s v="Morning"/>
  </r>
  <r>
    <x v="1471"/>
    <s v="2024-05-13 20:37:42"/>
    <x v="8"/>
    <s v="2024-06-02 01:01:42"/>
    <n v="484.4"/>
    <n v="20.2"/>
    <s v="Password Reset"/>
    <s v="Email Password"/>
    <x v="0"/>
    <n v="240"/>
    <x v="0"/>
    <s v="Chat"/>
    <s v="Tier 1"/>
    <s v="TECH-18"/>
    <s v="Senior"/>
    <x v="0"/>
    <s v="No"/>
    <n v="1"/>
    <s v="Yes"/>
    <n v="6"/>
    <n v="2.2999999999999998"/>
    <n v="31.5"/>
    <s v="Yes"/>
    <s v="Excellent"/>
    <s v="Yes"/>
    <s v="Sales"/>
    <s v="Monday"/>
    <s v="Afternoon"/>
  </r>
  <r>
    <x v="1472"/>
    <s v="2024-03-27 15:22:45"/>
    <x v="5"/>
    <s v="2024-04-10 17:10:45"/>
    <n v="336.8"/>
    <n v="14"/>
    <s v="Software Installation"/>
    <s v="MS Office"/>
    <x v="0"/>
    <n v="240"/>
    <x v="0"/>
    <s v="Email"/>
    <s v="Tier 1"/>
    <s v="TECH-15"/>
    <s v="Junior"/>
    <x v="0"/>
    <s v="No"/>
    <n v="1"/>
    <s v="Yes"/>
    <n v="4"/>
    <n v="2.1"/>
    <n v="13.9"/>
    <s v="Yes"/>
    <s v="Poor"/>
    <s v="Yes"/>
    <s v="Marketing"/>
    <s v="Wednesday"/>
    <s v="Afternoon"/>
  </r>
  <r>
    <x v="1473"/>
    <s v="2024-02-13 21:26:35"/>
    <x v="6"/>
    <s v="2024-02-19 01:56:35"/>
    <n v="148.5"/>
    <n v="6.2"/>
    <s v="Email/Calendar"/>
    <s v="Calendar Sync"/>
    <x v="0"/>
    <n v="240"/>
    <x v="1"/>
    <s v="Phone"/>
    <s v="Tier 1"/>
    <s v="TECH-15"/>
    <s v="Junior"/>
    <x v="0"/>
    <s v="No"/>
    <n v="1"/>
    <s v="No"/>
    <n v="9"/>
    <n v="0.6"/>
    <n v="12.1"/>
    <s v="Yes"/>
    <s v="Fair"/>
    <s v="Yes"/>
    <s v="HR"/>
    <s v="Wednesday"/>
    <s v="Afternoon"/>
  </r>
  <r>
    <x v="1474"/>
    <s v="2024-02-13 04:07:20"/>
    <x v="6"/>
    <s v="2024-02-27 21:49:20"/>
    <n v="353.7"/>
    <n v="14.7"/>
    <s v="Other"/>
    <s v="Miscellaneous"/>
    <x v="0"/>
    <n v="240"/>
    <x v="0"/>
    <s v="Phone"/>
    <s v="Tier 1"/>
    <s v="TECH-17"/>
    <s v="Junior"/>
    <x v="0"/>
    <s v="No"/>
    <n v="1"/>
    <s v="No"/>
    <n v="5"/>
    <n v="3.5"/>
    <n v="0"/>
    <s v="Yes"/>
    <s v="Poor"/>
    <s v="No"/>
    <s v="Executive"/>
    <s v="Friday"/>
    <s v="Morning"/>
  </r>
  <r>
    <x v="1475"/>
    <s v="2024-08-31 13:02:32"/>
    <x v="1"/>
    <s v="2024-09-17 02:08:32"/>
    <n v="421.1"/>
    <n v="17.5"/>
    <s v="Password Reset"/>
    <s v="Windows Password"/>
    <x v="2"/>
    <n v="360"/>
    <x v="0"/>
    <s v="Portal"/>
    <s v="Tier 1"/>
    <s v="TECH-6"/>
    <s v="Senior"/>
    <x v="1"/>
    <s v="No"/>
    <n v="0"/>
    <s v="No"/>
    <n v="5"/>
    <n v="3.8"/>
    <n v="19.8"/>
    <s v="No"/>
    <s v="Poor"/>
    <s v="Yes"/>
    <s v="Marketing"/>
    <s v="Friday"/>
    <s v="Afternoon"/>
  </r>
  <r>
    <x v="1476"/>
    <s v="2024-08-24 06:55:36"/>
    <x v="1"/>
    <s v="2024-08-27 00:55:36"/>
    <n v="90"/>
    <n v="3.8"/>
    <s v="Email/Calendar"/>
    <s v="Cannot Send/Receive"/>
    <x v="1"/>
    <n v="120"/>
    <x v="1"/>
    <s v="Chat"/>
    <s v="Tier 1"/>
    <s v="TECH-13"/>
    <s v="Senior"/>
    <x v="0"/>
    <s v="No"/>
    <n v="1"/>
    <s v="Yes"/>
    <n v="9"/>
    <n v="0.1"/>
    <n v="34.4"/>
    <s v="No"/>
    <s v="Fair"/>
    <s v="No"/>
    <s v="Operations"/>
    <s v="Tuesday"/>
    <s v="Morning"/>
  </r>
  <r>
    <x v="1477"/>
    <s v="2024-04-20 06:31:20"/>
    <x v="11"/>
    <s v="2024-04-21 23:01:20"/>
    <n v="40.5"/>
    <n v="1.7"/>
    <s v="Application Errors"/>
    <s v="Performance"/>
    <x v="3"/>
    <n v="48"/>
    <x v="1"/>
    <s v="Portal"/>
    <s v="Tier 2"/>
    <s v="TECH-10"/>
    <s v="Mid-level"/>
    <x v="0"/>
    <s v="Yes"/>
    <n v="1"/>
    <s v="No"/>
    <n v="6"/>
    <n v="2.2999999999999998"/>
    <n v="12.9"/>
    <s v="Yes"/>
    <s v="Good"/>
    <s v="Yes"/>
    <s v="Marketing"/>
    <s v="Thursday"/>
    <s v="Afternoon"/>
  </r>
  <r>
    <x v="1478"/>
    <s v="2024-01-02 03:00:48"/>
    <x v="3"/>
    <s v="2024-01-09 17:36:48"/>
    <n v="182.6"/>
    <n v="7.6"/>
    <s v="Software Installation"/>
    <s v="MS Office"/>
    <x v="0"/>
    <n v="240"/>
    <x v="1"/>
    <s v="Phone"/>
    <s v="Tier 1"/>
    <s v="TECH-9"/>
    <s v="Senior"/>
    <x v="0"/>
    <s v="No"/>
    <n v="1"/>
    <s v="No"/>
    <n v="7"/>
    <n v="3.3"/>
    <n v="43.5"/>
    <s v="No"/>
    <s v="Fair"/>
    <s v="Yes"/>
    <s v="Legal"/>
    <s v="Tuesday"/>
    <s v="Afternoon"/>
  </r>
  <r>
    <x v="1479"/>
    <s v="2024-03-07 01:49:59"/>
    <x v="5"/>
    <s v="2024-03-09 11:07:59"/>
    <n v="33.299999999999997"/>
    <n v="1.4"/>
    <s v="Access Requests"/>
    <s v="File Share"/>
    <x v="3"/>
    <n v="48"/>
    <x v="1"/>
    <s v="Walk-in"/>
    <s v="Tier 1"/>
    <s v="TECH-16"/>
    <s v="Junior"/>
    <x v="1"/>
    <s v="No"/>
    <n v="0"/>
    <s v="Yes"/>
    <n v="7"/>
    <n v="3.3"/>
    <n v="26.3"/>
    <s v="Yes"/>
    <s v="Fair"/>
    <s v="Yes"/>
    <s v="Executive"/>
    <s v="Friday"/>
    <s v="Afternoon"/>
  </r>
  <r>
    <x v="1480"/>
    <s v="2024-05-28 08:38:36"/>
    <x v="8"/>
    <s v="2024-06-10 06:26:36"/>
    <n v="309.8"/>
    <n v="12.9"/>
    <s v="Software Installation"/>
    <s v="MS Office"/>
    <x v="2"/>
    <n v="360"/>
    <x v="1"/>
    <s v="Portal"/>
    <s v="Tier 1"/>
    <s v="TECH-25"/>
    <s v="Mid-level"/>
    <x v="0"/>
    <s v="No"/>
    <n v="1"/>
    <s v="No"/>
    <n v="9"/>
    <n v="0.5"/>
    <n v="12.1"/>
    <s v="Yes"/>
    <s v="Good"/>
    <s v="Yes"/>
    <s v="Executive"/>
    <s v="Monday"/>
    <s v="Afternoon"/>
  </r>
  <r>
    <x v="1481"/>
    <s v="2024-03-26 01:33:09"/>
    <x v="5"/>
    <s v="2024-04-05 02:45:09"/>
    <n v="240.2"/>
    <n v="10"/>
    <s v="Password Reset"/>
    <s v="Application Password"/>
    <x v="2"/>
    <n v="360"/>
    <x v="1"/>
    <s v="Walk-in"/>
    <s v="Tier 1"/>
    <s v="TECH-13"/>
    <s v="Junior"/>
    <x v="1"/>
    <s v="No"/>
    <n v="0"/>
    <s v="No"/>
    <n v="10"/>
    <n v="4.8"/>
    <n v="42"/>
    <s v="Yes"/>
    <s v="Good"/>
    <s v="No"/>
    <s v="Marketing"/>
    <s v="Tuesday"/>
    <s v="Morning"/>
  </r>
  <r>
    <x v="1482"/>
    <s v="2024-08-31 06:23:03"/>
    <x v="1"/>
    <s v="2024-09-11 20:29:03"/>
    <n v="278.10000000000002"/>
    <n v="11.6"/>
    <s v="Application Errors"/>
    <s v="Features Not Working"/>
    <x v="0"/>
    <n v="240"/>
    <x v="0"/>
    <s v="Phone"/>
    <s v="Tier 1"/>
    <s v="TECH-15"/>
    <s v="Mid-level"/>
    <x v="0"/>
    <s v="No"/>
    <n v="1"/>
    <s v="No"/>
    <n v="7"/>
    <n v="0.3"/>
    <n v="12.2"/>
    <s v="No"/>
    <s v="Poor"/>
    <s v="Yes"/>
    <s v="Marketing"/>
    <s v="Thursday"/>
    <s v="Evening"/>
  </r>
  <r>
    <x v="1483"/>
    <s v="2024-07-19 00:15:09"/>
    <x v="4"/>
    <s v="2024-07-23 11:09:09"/>
    <n v="82.9"/>
    <n v="3.5"/>
    <s v="Hardware Issues"/>
    <s v="Laptop"/>
    <x v="1"/>
    <n v="120"/>
    <x v="1"/>
    <s v="Portal"/>
    <s v="Tier 1"/>
    <s v="TECH-9"/>
    <s v="Senior"/>
    <x v="0"/>
    <s v="No"/>
    <n v="1"/>
    <s v="No"/>
    <n v="7"/>
    <n v="4"/>
    <n v="0"/>
    <s v="Yes"/>
    <s v="Poor"/>
    <s v="Yes"/>
    <s v="Sales"/>
    <s v="Tuesday"/>
    <s v="Afternoon"/>
  </r>
  <r>
    <x v="1484"/>
    <s v="2024-03-18 20:32:36"/>
    <x v="5"/>
    <s v="2024-03-23 05:02:36"/>
    <n v="104.5"/>
    <n v="4.4000000000000004"/>
    <s v="Email/Calendar"/>
    <s v="Mailbox Full"/>
    <x v="1"/>
    <n v="120"/>
    <x v="1"/>
    <s v="Phone"/>
    <s v="Tier 2"/>
    <s v="TECH-22"/>
    <s v="Junior"/>
    <x v="0"/>
    <s v="Yes"/>
    <n v="2"/>
    <s v="No"/>
    <n v="8"/>
    <n v="1.4"/>
    <n v="32.9"/>
    <s v="Yes"/>
    <s v="Fair"/>
    <s v="Yes"/>
    <s v="IT"/>
    <s v="Tuesday"/>
    <s v="Morning"/>
  </r>
  <r>
    <x v="1485"/>
    <s v="2024-01-10 09:49:49"/>
    <x v="3"/>
    <s v="2024-01-21 05:37:49"/>
    <n v="259.8"/>
    <n v="10.8"/>
    <s v="Hardware Issues"/>
    <s v="Keyboard/Mouse"/>
    <x v="2"/>
    <n v="360"/>
    <x v="1"/>
    <s v="Email"/>
    <s v="Tier 1"/>
    <s v="TECH-9"/>
    <s v="Senior"/>
    <x v="0"/>
    <s v="No"/>
    <n v="1"/>
    <s v="No"/>
    <n v="7"/>
    <n v="2.7"/>
    <n v="10"/>
    <s v="Yes"/>
    <s v="Fair"/>
    <s v="Yes"/>
    <s v="Legal"/>
    <s v="Wednesday"/>
    <s v="Afternoon"/>
  </r>
  <r>
    <x v="1486"/>
    <s v="2024-01-01 06:27:20"/>
    <x v="3"/>
    <s v="2024-01-05 16:21:20"/>
    <n v="105.9"/>
    <n v="4.4000000000000004"/>
    <s v="Network Connectivity"/>
    <s v="Ethernet"/>
    <x v="1"/>
    <n v="120"/>
    <x v="1"/>
    <s v="Walk-in"/>
    <s v="Tier 1"/>
    <s v="TECH-6"/>
    <s v="Mid-level"/>
    <x v="0"/>
    <s v="No"/>
    <n v="1"/>
    <s v="No"/>
    <n v="8"/>
    <n v="3.4"/>
    <n v="15"/>
    <s v="Yes"/>
    <s v="Good"/>
    <s v="Yes"/>
    <s v="Marketing"/>
    <s v="Monday"/>
    <s v="Morning"/>
  </r>
  <r>
    <x v="1487"/>
    <s v="2024-10-02 22:57:29"/>
    <x v="2"/>
    <s v="2024-10-16 07:09:29"/>
    <n v="320.2"/>
    <n v="13.3"/>
    <s v="Software Installation"/>
    <s v="Drivers"/>
    <x v="2"/>
    <n v="360"/>
    <x v="1"/>
    <s v="Phone"/>
    <s v="Tier 2"/>
    <s v="TECH-5"/>
    <s v="Senior"/>
    <x v="0"/>
    <s v="Yes"/>
    <n v="2"/>
    <s v="Yes"/>
    <n v="9"/>
    <n v="0.5"/>
    <n v="24.7"/>
    <s v="Yes"/>
    <s v="Good"/>
    <s v="Yes"/>
    <s v="IT"/>
    <s v="Tuesday"/>
    <s v="Afternoon"/>
  </r>
  <r>
    <x v="1488"/>
    <s v="2024-12-09 11:23:55"/>
    <x v="0"/>
    <s v="2024-12-22 15:47:55"/>
    <n v="316.39999999999998"/>
    <n v="13.2"/>
    <s v="Email/Calendar"/>
    <s v="Mailbox Full"/>
    <x v="0"/>
    <n v="240"/>
    <x v="0"/>
    <s v="Email"/>
    <s v="Tier 1"/>
    <s v="TECH-19"/>
    <s v="Senior"/>
    <x v="1"/>
    <s v="No"/>
    <n v="0"/>
    <s v="No"/>
    <n v="7"/>
    <n v="1.4"/>
    <n v="27.8"/>
    <s v="No"/>
    <s v="Fair"/>
    <s v="Yes"/>
    <s v="Finance"/>
    <s v="Thursday"/>
    <s v="Evening"/>
  </r>
  <r>
    <x v="1489"/>
    <s v="2024-06-12 10:18:03"/>
    <x v="10"/>
    <s v="2024-06-21 18:30:03"/>
    <n v="224.2"/>
    <n v="9.3000000000000007"/>
    <s v="Software Installation"/>
    <s v="Business Apps"/>
    <x v="0"/>
    <n v="240"/>
    <x v="1"/>
    <s v="Phone"/>
    <s v="Tier 1"/>
    <s v="TECH-14"/>
    <s v="Junior"/>
    <x v="0"/>
    <s v="No"/>
    <n v="1"/>
    <s v="Yes"/>
    <n v="10"/>
    <n v="2.2000000000000002"/>
    <n v="16.7"/>
    <s v="Yes"/>
    <s v="Fair"/>
    <s v="Yes"/>
    <s v="Finance"/>
    <s v="Friday"/>
    <s v="Morning"/>
  </r>
  <r>
    <x v="1490"/>
    <s v="2024-04-14 03:29:49"/>
    <x v="11"/>
    <s v="2024-04-21 21:05:49"/>
    <n v="185.6"/>
    <n v="7.7"/>
    <s v="Application Errors"/>
    <s v="Crash"/>
    <x v="0"/>
    <n v="240"/>
    <x v="1"/>
    <s v="Portal"/>
    <s v="Tier 2"/>
    <s v="TECH-23"/>
    <s v="Junior"/>
    <x v="0"/>
    <s v="Yes"/>
    <n v="4"/>
    <s v="Yes"/>
    <n v="10"/>
    <n v="1.1000000000000001"/>
    <n v="17.600000000000001"/>
    <s v="No"/>
    <s v="Fair"/>
    <s v="No"/>
    <s v="Executive"/>
    <s v="Thursday"/>
    <s v="Afternoon"/>
  </r>
  <r>
    <x v="1491"/>
    <s v="2024-04-28 13:40:04"/>
    <x v="11"/>
    <s v="2024-05-08 08:16:04"/>
    <n v="234.6"/>
    <n v="9.8000000000000007"/>
    <s v="Password Reset"/>
    <s v="Windows Password"/>
    <x v="2"/>
    <n v="360"/>
    <x v="1"/>
    <s v="Phone"/>
    <s v="Tier 1"/>
    <s v="TECH-7"/>
    <s v="Mid-level"/>
    <x v="1"/>
    <s v="No"/>
    <n v="0"/>
    <s v="No"/>
    <n v="10"/>
    <n v="2.2999999999999998"/>
    <n v="17.3"/>
    <s v="Yes"/>
    <s v="Fair"/>
    <s v="Yes"/>
    <s v="Marketing"/>
    <s v="Wednesday"/>
    <s v="Morning"/>
  </r>
  <r>
    <x v="1492"/>
    <s v="2024-07-23 04:50:32"/>
    <x v="4"/>
    <s v="2024-08-05 12:32:32"/>
    <n v="319.7"/>
    <n v="13.3"/>
    <s v="Access Requests"/>
    <s v="Admin Rights"/>
    <x v="2"/>
    <n v="360"/>
    <x v="1"/>
    <s v="Email"/>
    <s v="Tier 1"/>
    <s v="TECH-8"/>
    <s v="Junior"/>
    <x v="0"/>
    <s v="No"/>
    <n v="1"/>
    <s v="No"/>
    <n v="7"/>
    <n v="2.1"/>
    <n v="16.3"/>
    <s v="Yes"/>
    <s v="Poor"/>
    <s v="No"/>
    <s v="Finance"/>
    <s v="Thursday"/>
    <s v="Morning"/>
  </r>
  <r>
    <x v="1493"/>
    <s v="2024-02-15 21:04:01"/>
    <x v="6"/>
    <s v="2024-02-18 01:10:01"/>
    <n v="76.099999999999994"/>
    <n v="3.2"/>
    <s v="Software Installation"/>
    <s v="Business Apps"/>
    <x v="1"/>
    <n v="120"/>
    <x v="1"/>
    <s v="Email"/>
    <s v="Tier 1"/>
    <s v="TECH-20"/>
    <s v="Senior"/>
    <x v="0"/>
    <s v="No"/>
    <n v="1"/>
    <s v="Yes"/>
    <n v="10"/>
    <n v="3.5"/>
    <n v="2.7"/>
    <s v="Yes"/>
    <s v="Good"/>
    <s v="No"/>
    <s v="Sales"/>
    <s v="Tuesday"/>
    <s v="Afternoon"/>
  </r>
  <r>
    <x v="1494"/>
    <s v="2024-10-16 12:48:46"/>
    <x v="2"/>
    <s v="2024-10-19 13:12:46"/>
    <n v="72.400000000000006"/>
    <n v="3"/>
    <s v="Hardware Issues"/>
    <s v="Keyboard/Mouse"/>
    <x v="1"/>
    <n v="120"/>
    <x v="1"/>
    <s v="Phone"/>
    <s v="Tier 2"/>
    <s v="TECH-17"/>
    <s v="Mid-level"/>
    <x v="0"/>
    <s v="Yes"/>
    <n v="4"/>
    <s v="No"/>
    <n v="5"/>
    <n v="1.7"/>
    <n v="2.8"/>
    <s v="Yes"/>
    <s v="Poor"/>
    <s v="Yes"/>
    <s v="Marketing"/>
    <s v="Friday"/>
    <s v="Evening"/>
  </r>
  <r>
    <x v="1495"/>
    <s v="2024-08-03 07:31:05"/>
    <x v="1"/>
    <s v="2024-08-07 05:49:05"/>
    <n v="94.3"/>
    <n v="3.9"/>
    <s v="Application Errors"/>
    <s v="Crash"/>
    <x v="1"/>
    <n v="120"/>
    <x v="1"/>
    <s v="Phone"/>
    <s v="Tier 1"/>
    <s v="TECH-1"/>
    <s v="Mid-level"/>
    <x v="0"/>
    <s v="No"/>
    <n v="1"/>
    <s v="No"/>
    <n v="7"/>
    <n v="2.4"/>
    <n v="8.3000000000000007"/>
    <s v="Yes"/>
    <s v="Poor"/>
    <s v="Yes"/>
    <s v="Operations"/>
    <s v="Thursday"/>
    <s v="Afternoon"/>
  </r>
  <r>
    <x v="1496"/>
    <s v="2024-05-10 13:16:46"/>
    <x v="8"/>
    <s v="2024-05-16 02:58:46"/>
    <n v="157.69999999999999"/>
    <n v="6.6"/>
    <s v="Software Installation"/>
    <s v="MS Office"/>
    <x v="0"/>
    <n v="240"/>
    <x v="1"/>
    <s v="Phone"/>
    <s v="Tier 2"/>
    <s v="TECH-24"/>
    <s v="Junior"/>
    <x v="0"/>
    <s v="Yes"/>
    <n v="3"/>
    <s v="No"/>
    <n v="10"/>
    <n v="1.8"/>
    <n v="19.600000000000001"/>
    <s v="Yes"/>
    <s v="Poor"/>
    <s v="No"/>
    <s v="Sales"/>
    <s v="Thursday"/>
    <s v="Evening"/>
  </r>
  <r>
    <x v="1497"/>
    <s v="2024-02-11 20:25:10"/>
    <x v="6"/>
    <s v="2024-02-20 02:31:10"/>
    <n v="198.1"/>
    <n v="8.3000000000000007"/>
    <s v="Software Installation"/>
    <s v="Drivers"/>
    <x v="0"/>
    <n v="240"/>
    <x v="1"/>
    <s v="Phone"/>
    <s v="Tier 1"/>
    <s v="TECH-12"/>
    <s v="Mid-level"/>
    <x v="0"/>
    <s v="No"/>
    <n v="1"/>
    <s v="No"/>
    <n v="7"/>
    <n v="1.8"/>
    <n v="23.2"/>
    <s v="Yes"/>
    <s v="Poor"/>
    <s v="Yes"/>
    <s v="IT"/>
    <s v="Wednesday"/>
    <s v="Afternoon"/>
  </r>
  <r>
    <x v="1498"/>
    <s v="2024-03-17 08:04:16"/>
    <x v="5"/>
    <s v="2024-03-25 20:16:16"/>
    <n v="204.2"/>
    <n v="8.5"/>
    <s v="Network Connectivity"/>
    <s v="Slow Network"/>
    <x v="0"/>
    <n v="240"/>
    <x v="1"/>
    <s v="Email"/>
    <s v="Tier 1"/>
    <s v="TECH-21"/>
    <s v="Senior"/>
    <x v="1"/>
    <s v="No"/>
    <n v="0"/>
    <s v="No"/>
    <n v="9"/>
    <n v="3.3"/>
    <n v="13.7"/>
    <s v="No"/>
    <s v="Fair"/>
    <s v="Yes"/>
    <s v="IT"/>
    <s v="Friday"/>
    <s v="Morning"/>
  </r>
  <r>
    <x v="1499"/>
    <s v="2024-02-20 18:54:57"/>
    <x v="6"/>
    <s v="2024-02-26 01:36:57"/>
    <n v="150.69999999999999"/>
    <n v="6.3"/>
    <s v="Access Requests"/>
    <s v="Admin Rights"/>
    <x v="0"/>
    <n v="240"/>
    <x v="1"/>
    <s v="Portal"/>
    <s v="Tier 1"/>
    <s v="TECH-7"/>
    <s v="Senior"/>
    <x v="1"/>
    <s v="No"/>
    <n v="0"/>
    <s v="No"/>
    <n v="10"/>
    <n v="6.4"/>
    <n v="46.8"/>
    <s v="Yes"/>
    <s v="Excellent"/>
    <s v="Yes"/>
    <s v="Executive"/>
    <s v="Wednesday"/>
    <s v="Afternoon"/>
  </r>
  <r>
    <x v="1500"/>
    <s v="2024-01-01 13:03:56"/>
    <x v="3"/>
    <s v="2024-01-12 00:39:56"/>
    <n v="275.60000000000002"/>
    <n v="11.5"/>
    <s v="Software Installation"/>
    <s v="VPN Client"/>
    <x v="0"/>
    <n v="240"/>
    <x v="0"/>
    <s v="Email"/>
    <s v="Tier 2"/>
    <s v="TECH-14"/>
    <s v="Mid-level"/>
    <x v="0"/>
    <s v="Yes"/>
    <n v="2"/>
    <s v="No"/>
    <n v="6"/>
    <n v="1.8"/>
    <n v="38"/>
    <s v="Yes"/>
    <s v="Poor"/>
    <s v="Yes"/>
    <s v="Executive"/>
    <s v="Wednesday"/>
    <s v="Morning"/>
  </r>
  <r>
    <x v="1501"/>
    <s v="2024-10-25 19:28:30"/>
    <x v="2"/>
    <s v="2024-11-05 05:04:30"/>
    <n v="250.6"/>
    <n v="10.4"/>
    <s v="Other"/>
    <s v="Miscellaneous"/>
    <x v="2"/>
    <n v="360"/>
    <x v="1"/>
    <s v="Phone"/>
    <s v="Tier 2"/>
    <s v="TECH-2"/>
    <s v="Mid-level"/>
    <x v="0"/>
    <s v="Yes"/>
    <n v="2"/>
    <s v="Yes"/>
    <n v="9"/>
    <n v="0.8"/>
    <n v="2.4"/>
    <s v="No"/>
    <s v="Fair"/>
    <s v="Yes"/>
    <s v="Operations"/>
    <s v="Tuesday"/>
    <s v="Afternoon"/>
  </r>
  <r>
    <x v="1502"/>
    <s v="2024-10-15 09:53:40"/>
    <x v="2"/>
    <s v="2024-10-19 09:47:40"/>
    <n v="95.9"/>
    <n v="4"/>
    <s v="Application Errors"/>
    <s v="Performance"/>
    <x v="1"/>
    <n v="120"/>
    <x v="1"/>
    <s v="Email"/>
    <s v="Tier 1"/>
    <s v="TECH-8"/>
    <s v="Senior"/>
    <x v="1"/>
    <s v="No"/>
    <n v="0"/>
    <s v="No"/>
    <n v="10"/>
    <n v="1.4"/>
    <n v="38.5"/>
    <s v="No"/>
    <s v="Poor"/>
    <s v="Yes"/>
    <s v="Finance"/>
    <s v="Wednesday"/>
    <s v="Evening"/>
  </r>
  <r>
    <x v="1503"/>
    <s v="2024-03-14 07:15:35"/>
    <x v="5"/>
    <s v="2024-03-16 08:03:35"/>
    <n v="48.8"/>
    <n v="2"/>
    <s v="Application Errors"/>
    <s v="Features Not Working"/>
    <x v="3"/>
    <n v="48"/>
    <x v="0"/>
    <s v="Phone"/>
    <s v="Tier 2"/>
    <s v="TECH-4"/>
    <s v="Mid-level"/>
    <x v="0"/>
    <s v="Yes"/>
    <n v="2"/>
    <s v="No"/>
    <n v="3"/>
    <n v="3.4"/>
    <n v="24.8"/>
    <s v="No"/>
    <s v="Poor"/>
    <s v="No"/>
    <s v="Operations"/>
    <s v="Thursday"/>
    <s v="Afternoon"/>
  </r>
  <r>
    <x v="1504"/>
    <s v="2024-12-17 20:11:28"/>
    <x v="0"/>
    <s v="2024-12-21 11:35:28"/>
    <n v="87.4"/>
    <n v="3.6"/>
    <s v="Network Connectivity"/>
    <s v="Slow Network"/>
    <x v="1"/>
    <n v="120"/>
    <x v="1"/>
    <s v="Phone"/>
    <s v="Tier 2"/>
    <s v="TECH-2"/>
    <s v="Mid-level"/>
    <x v="0"/>
    <s v="Yes"/>
    <n v="4"/>
    <s v="No"/>
    <n v="8"/>
    <n v="1.1000000000000001"/>
    <n v="24.7"/>
    <s v="Yes"/>
    <s v="Good"/>
    <s v="Yes"/>
    <s v="Finance"/>
    <s v="Wednesday"/>
    <s v="Afternoon"/>
  </r>
  <r>
    <x v="1505"/>
    <s v="2024-09-28 00:37:50"/>
    <x v="9"/>
    <s v="2024-10-02 03:19:50"/>
    <n v="74.7"/>
    <n v="3.1"/>
    <s v="Application Errors"/>
    <s v="Crash"/>
    <x v="1"/>
    <n v="120"/>
    <x v="1"/>
    <s v="Walk-in"/>
    <s v="Tier 1"/>
    <s v="TECH-4"/>
    <s v="Junior"/>
    <x v="1"/>
    <s v="No"/>
    <n v="0"/>
    <s v="No"/>
    <n v="10"/>
    <n v="2.8"/>
    <n v="16.899999999999999"/>
    <s v="No"/>
    <s v="Excellent"/>
    <s v="No"/>
    <s v="Marketing"/>
    <s v="Monday"/>
    <s v="Evening"/>
  </r>
  <r>
    <x v="1506"/>
    <s v="2024-03-03 00:27:19"/>
    <x v="5"/>
    <s v="2024-03-08 12:03:19"/>
    <n v="107.6"/>
    <n v="4.5"/>
    <s v="Email/Calendar"/>
    <s v="Cannot Send/Receive"/>
    <x v="1"/>
    <n v="120"/>
    <x v="1"/>
    <s v="Phone"/>
    <s v="Tier 1"/>
    <s v="TECH-5"/>
    <s v="Junior"/>
    <x v="1"/>
    <s v="No"/>
    <n v="0"/>
    <s v="Yes"/>
    <n v="10"/>
    <n v="0.9"/>
    <n v="15.6"/>
    <s v="Yes"/>
    <s v="Fair"/>
    <s v="Yes"/>
    <s v="Marketing"/>
    <s v="Wednesday"/>
    <s v="Afternoon"/>
  </r>
  <r>
    <x v="1507"/>
    <s v="2024-10-03 08:07:13"/>
    <x v="2"/>
    <s v="2024-10-10 18:07:13"/>
    <n v="178"/>
    <n v="7.4"/>
    <s v="Email/Calendar"/>
    <s v="Calendar Sync"/>
    <x v="0"/>
    <n v="240"/>
    <x v="1"/>
    <s v="Chat"/>
    <s v="Tier 1"/>
    <s v="TECH-16"/>
    <s v="Mid-level"/>
    <x v="0"/>
    <s v="No"/>
    <n v="1"/>
    <s v="No"/>
    <n v="10"/>
    <n v="0.7"/>
    <n v="44.1"/>
    <s v="Yes"/>
    <s v="Poor"/>
    <s v="Yes"/>
    <s v="Operations"/>
    <s v="Wednesday"/>
    <s v="Morning"/>
  </r>
  <r>
    <x v="1508"/>
    <s v="2024-08-14 03:21:59"/>
    <x v="1"/>
    <s v="2024-08-20 07:09:59"/>
    <n v="147.80000000000001"/>
    <n v="6.2"/>
    <s v="Hardware Issues"/>
    <s v="Desktop"/>
    <x v="1"/>
    <n v="120"/>
    <x v="0"/>
    <s v="Phone"/>
    <s v="Tier 2"/>
    <s v="TECH-2"/>
    <s v="Senior"/>
    <x v="0"/>
    <s v="Yes"/>
    <n v="1"/>
    <s v="No"/>
    <n v="8"/>
    <n v="1.5"/>
    <n v="5.3"/>
    <s v="No"/>
    <s v="Good"/>
    <s v="Yes"/>
    <s v="Legal"/>
    <s v="Friday"/>
    <s v="Afternoon"/>
  </r>
  <r>
    <x v="1509"/>
    <s v="2024-06-17 23:36:54"/>
    <x v="10"/>
    <s v="2024-06-29 13:12:54"/>
    <n v="277.60000000000002"/>
    <n v="11.6"/>
    <s v="Software Installation"/>
    <s v="Drivers"/>
    <x v="0"/>
    <n v="240"/>
    <x v="0"/>
    <s v="Portal"/>
    <s v="Tier 1"/>
    <s v="TECH-8"/>
    <s v="Senior"/>
    <x v="0"/>
    <s v="No"/>
    <n v="1"/>
    <s v="No"/>
    <n v="6"/>
    <n v="3.4"/>
    <n v="35.1"/>
    <s v="No"/>
    <s v="Poor"/>
    <s v="Yes"/>
    <s v="Executive"/>
    <s v="Tuesday"/>
    <s v="Afternoon"/>
  </r>
  <r>
    <x v="1510"/>
    <s v="2024-05-25 04:49:54"/>
    <x v="8"/>
    <s v="2024-05-29 15:13:54"/>
    <n v="106.4"/>
    <n v="4.4000000000000004"/>
    <s v="Application Errors"/>
    <s v="Login Issues"/>
    <x v="1"/>
    <n v="120"/>
    <x v="1"/>
    <s v="Email"/>
    <s v="Tier 1"/>
    <s v="TECH-19"/>
    <s v="Junior"/>
    <x v="0"/>
    <s v="No"/>
    <n v="1"/>
    <s v="No"/>
    <n v="8"/>
    <n v="2"/>
    <n v="23.8"/>
    <s v="Yes"/>
    <s v="Poor"/>
    <s v="Yes"/>
    <s v="HR"/>
    <s v="Tuesday"/>
    <s v="Morning"/>
  </r>
  <r>
    <x v="1511"/>
    <s v="2024-08-20 21:35:36"/>
    <x v="1"/>
    <s v="2024-09-03 11:11:36"/>
    <n v="325.60000000000002"/>
    <n v="13.6"/>
    <s v="Password Reset"/>
    <s v="Windows Password"/>
    <x v="2"/>
    <n v="360"/>
    <x v="1"/>
    <s v="Phone"/>
    <s v="Tier 1"/>
    <s v="TECH-7"/>
    <s v="Junior"/>
    <x v="1"/>
    <s v="No"/>
    <n v="0"/>
    <s v="No"/>
    <n v="10"/>
    <n v="0.1"/>
    <n v="10.9"/>
    <s v="Yes"/>
    <s v="Fair"/>
    <s v="Yes"/>
    <s v="Finance"/>
    <s v="Monday"/>
    <s v="Afternoon"/>
  </r>
  <r>
    <x v="1512"/>
    <s v="2024-04-27 23:31:26"/>
    <x v="11"/>
    <s v="2024-05-16 04:01:26"/>
    <n v="436.5"/>
    <n v="18.2"/>
    <s v="Other"/>
    <s v="Documentation"/>
    <x v="2"/>
    <n v="360"/>
    <x v="0"/>
    <s v="Phone"/>
    <s v="Tier 1"/>
    <s v="TECH-23"/>
    <s v="Senior"/>
    <x v="0"/>
    <s v="No"/>
    <n v="1"/>
    <s v="No"/>
    <n v="4"/>
    <n v="2.7"/>
    <n v="1.5"/>
    <s v="No"/>
    <s v="Fair"/>
    <s v="No"/>
    <s v="Executive"/>
    <s v="Thursday"/>
    <s v="Evening"/>
  </r>
  <r>
    <x v="1513"/>
    <s v="2024-02-11 07:59:58"/>
    <x v="6"/>
    <s v="2024-03-07 04:59:58"/>
    <n v="597"/>
    <n v="24.9"/>
    <s v="Software Installation"/>
    <s v="Drivers"/>
    <x v="0"/>
    <n v="240"/>
    <x v="0"/>
    <s v="Phone"/>
    <s v="Tier 1"/>
    <s v="TECH-6"/>
    <s v="Senior"/>
    <x v="1"/>
    <s v="No"/>
    <n v="0"/>
    <s v="No"/>
    <n v="8"/>
    <n v="4.2"/>
    <n v="15.1"/>
    <s v="Yes"/>
    <s v="Good"/>
    <s v="No"/>
    <s v="Finance"/>
    <s v="Thursday"/>
    <s v="Afternoon"/>
  </r>
  <r>
    <x v="1514"/>
    <s v="2024-08-29 06:54:37"/>
    <x v="1"/>
    <s v="2024-09-02 17:06:37"/>
    <n v="106.2"/>
    <n v="4.4000000000000004"/>
    <s v="Other"/>
    <s v="Miscellaneous"/>
    <x v="1"/>
    <n v="120"/>
    <x v="1"/>
    <s v="Walk-in"/>
    <s v="Tier 2"/>
    <s v="TECH-18"/>
    <s v="Junior"/>
    <x v="0"/>
    <s v="Yes"/>
    <n v="4"/>
    <s v="No"/>
    <n v="9"/>
    <n v="2"/>
    <n v="0"/>
    <s v="No"/>
    <s v="Excellent"/>
    <s v="Yes"/>
    <s v="Executive"/>
    <s v="Friday"/>
    <s v="Morning"/>
  </r>
  <r>
    <x v="1515"/>
    <s v="2024-01-23 18:01:16"/>
    <x v="3"/>
    <s v="2024-02-04 17:55:16"/>
    <n v="287.89999999999998"/>
    <n v="12"/>
    <s v="Password Reset"/>
    <s v="Windows Password"/>
    <x v="2"/>
    <n v="360"/>
    <x v="1"/>
    <s v="Phone"/>
    <s v="Tier 1"/>
    <s v="TECH-25"/>
    <s v="Mid-level"/>
    <x v="0"/>
    <s v="No"/>
    <n v="1"/>
    <s v="No"/>
    <n v="7"/>
    <n v="3.9"/>
    <n v="18.2"/>
    <s v="Yes"/>
    <s v="Fair"/>
    <s v="No"/>
    <s v="Sales"/>
    <s v="Tuesday"/>
    <s v="Morning"/>
  </r>
  <r>
    <x v="1516"/>
    <s v="2024-11-11 09:27:09"/>
    <x v="7"/>
    <s v="2024-11-29 05:33:09"/>
    <n v="428.1"/>
    <n v="17.8"/>
    <s v="Access Requests"/>
    <s v="Admin Rights"/>
    <x v="2"/>
    <n v="360"/>
    <x v="0"/>
    <s v="Portal"/>
    <s v="Tier 1"/>
    <s v="TECH-2"/>
    <s v="Mid-level"/>
    <x v="1"/>
    <s v="No"/>
    <n v="0"/>
    <s v="No"/>
    <n v="10"/>
    <n v="1.6"/>
    <n v="27.1"/>
    <s v="No"/>
    <s v="Good"/>
    <s v="No"/>
    <s v="Executive"/>
    <s v="Wednesday"/>
    <s v="Afternoon"/>
  </r>
  <r>
    <x v="1517"/>
    <s v="2024-08-06 02:30:44"/>
    <x v="1"/>
    <s v="2024-08-12 00:48:44"/>
    <n v="142.30000000000001"/>
    <n v="5.9"/>
    <s v="Hardware Issues"/>
    <s v="Docking Station"/>
    <x v="1"/>
    <n v="120"/>
    <x v="0"/>
    <s v="Phone"/>
    <s v="Tier 1"/>
    <s v="TECH-1"/>
    <s v="Mid-level"/>
    <x v="0"/>
    <s v="No"/>
    <n v="1"/>
    <s v="No"/>
    <n v="5"/>
    <n v="1.3"/>
    <n v="25.1"/>
    <s v="Yes"/>
    <s v="Good"/>
    <s v="No"/>
    <s v="Marketing"/>
    <s v="Monday"/>
    <s v="Morning"/>
  </r>
  <r>
    <x v="1518"/>
    <s v="2024-05-03 04:13:40"/>
    <x v="8"/>
    <s v="2024-05-11 06:19:40"/>
    <n v="194.1"/>
    <n v="8.1"/>
    <s v="Hardware Issues"/>
    <s v="Desktop"/>
    <x v="0"/>
    <n v="240"/>
    <x v="1"/>
    <s v="Portal"/>
    <s v="Tier 2"/>
    <s v="TECH-9"/>
    <s v="Junior"/>
    <x v="0"/>
    <s v="Yes"/>
    <n v="3"/>
    <s v="No"/>
    <n v="7"/>
    <n v="1.7"/>
    <n v="5.6"/>
    <s v="Yes"/>
    <s v="Poor"/>
    <s v="Yes"/>
    <s v="Executive"/>
    <s v="Thursday"/>
    <s v="Evening"/>
  </r>
  <r>
    <x v="1519"/>
    <s v="2024-06-15 19:50:09"/>
    <x v="10"/>
    <s v="2024-06-25 22:14:09"/>
    <n v="242.4"/>
    <n v="10.1"/>
    <s v="Password Reset"/>
    <s v="Email Password"/>
    <x v="2"/>
    <n v="360"/>
    <x v="1"/>
    <s v="Phone"/>
    <s v="Tier 1"/>
    <s v="TECH-14"/>
    <s v="Mid-level"/>
    <x v="0"/>
    <s v="No"/>
    <n v="1"/>
    <s v="No"/>
    <n v="6"/>
    <n v="1.8"/>
    <n v="33.1"/>
    <s v="Yes"/>
    <s v="Good"/>
    <s v="Yes"/>
    <s v="Operations"/>
    <s v="Wednesday"/>
    <s v="Morning"/>
  </r>
  <r>
    <x v="1520"/>
    <s v="2024-05-12 07:45:33"/>
    <x v="8"/>
    <s v="2024-05-29 12:09:33"/>
    <n v="412.4"/>
    <n v="17.2"/>
    <s v="Password Reset"/>
    <s v="Email Password"/>
    <x v="2"/>
    <n v="360"/>
    <x v="0"/>
    <s v="Walk-in"/>
    <s v="Tier 1"/>
    <s v="TECH-25"/>
    <s v="Mid-level"/>
    <x v="0"/>
    <s v="No"/>
    <n v="1"/>
    <s v="No"/>
    <n v="8"/>
    <n v="2.2000000000000002"/>
    <n v="16.8"/>
    <s v="Yes"/>
    <s v="Fair"/>
    <s v="No"/>
    <s v="Marketing"/>
    <s v="Monday"/>
    <s v="Morning"/>
  </r>
  <r>
    <x v="1521"/>
    <s v="2024-07-16 15:42:31"/>
    <x v="4"/>
    <s v="2024-07-25 18:18:31"/>
    <n v="218.6"/>
    <n v="9.1"/>
    <s v="Software Installation"/>
    <s v="VPN Client"/>
    <x v="0"/>
    <n v="240"/>
    <x v="1"/>
    <s v="Phone"/>
    <s v="Tier 1"/>
    <s v="TECH-5"/>
    <s v="Mid-level"/>
    <x v="1"/>
    <s v="No"/>
    <n v="0"/>
    <s v="No"/>
    <n v="10"/>
    <n v="5.5"/>
    <n v="34.299999999999997"/>
    <s v="Yes"/>
    <s v="Fair"/>
    <s v="Yes"/>
    <s v="IT"/>
    <s v="Friday"/>
    <s v="Morning"/>
  </r>
  <r>
    <x v="1522"/>
    <s v="2024-04-09 10:09:49"/>
    <x v="11"/>
    <s v="2024-04-18 21:51:49"/>
    <n v="227.7"/>
    <n v="9.5"/>
    <s v="Email/Calendar"/>
    <s v="Calendar Sync"/>
    <x v="0"/>
    <n v="240"/>
    <x v="1"/>
    <s v="Phone"/>
    <s v="Tier 1"/>
    <s v="TECH-11"/>
    <s v="Junior"/>
    <x v="0"/>
    <s v="No"/>
    <n v="1"/>
    <s v="Yes"/>
    <n v="10"/>
    <n v="0.1"/>
    <n v="0"/>
    <s v="Yes"/>
    <s v="Fair"/>
    <s v="No"/>
    <s v="Marketing"/>
    <s v="Wednesday"/>
    <s v="Afternoon"/>
  </r>
  <r>
    <x v="1523"/>
    <s v="2024-05-21 10:28:37"/>
    <x v="8"/>
    <s v="2024-05-31 07:04:37"/>
    <n v="236.6"/>
    <n v="9.9"/>
    <s v="Network Connectivity"/>
    <s v="WiFi Issues"/>
    <x v="1"/>
    <n v="120"/>
    <x v="0"/>
    <s v="Phone"/>
    <s v="Tier 2"/>
    <s v="TECH-24"/>
    <s v="Mid-level"/>
    <x v="0"/>
    <s v="Yes"/>
    <n v="4"/>
    <s v="No"/>
    <n v="6"/>
    <n v="1"/>
    <n v="23.4"/>
    <s v="Yes"/>
    <s v="Fair"/>
    <s v="No"/>
    <s v="HR"/>
    <s v="Wednesday"/>
    <s v="Morning"/>
  </r>
  <r>
    <x v="1524"/>
    <s v="2024-03-01 07:32:25"/>
    <x v="5"/>
    <s v="2024-03-17 17:32:25"/>
    <n v="394"/>
    <n v="16.399999999999999"/>
    <s v="Application Errors"/>
    <s v="Crash"/>
    <x v="0"/>
    <n v="240"/>
    <x v="0"/>
    <s v="Email"/>
    <s v="Tier 1"/>
    <s v="TECH-25"/>
    <s v="Mid-level"/>
    <x v="0"/>
    <s v="No"/>
    <n v="1"/>
    <s v="No"/>
    <n v="5"/>
    <n v="2.1"/>
    <n v="35.6"/>
    <s v="Yes"/>
    <s v="Good"/>
    <s v="Yes"/>
    <s v="Operations"/>
    <s v="Friday"/>
    <s v="Evening"/>
  </r>
  <r>
    <x v="1525"/>
    <s v="2024-12-30 01:24:03"/>
    <x v="0"/>
    <s v="2025-01-01 08:36:03"/>
    <n v="31.2"/>
    <n v="1.3"/>
    <s v="Hardware Issues"/>
    <s v="Docking Station"/>
    <x v="3"/>
    <n v="48"/>
    <x v="1"/>
    <s v="Phone"/>
    <s v="Tier 2"/>
    <s v="TECH-22"/>
    <s v="Senior"/>
    <x v="0"/>
    <s v="Yes"/>
    <n v="2"/>
    <s v="Yes"/>
    <n v="7"/>
    <n v="2.4"/>
    <n v="4.9000000000000004"/>
    <s v="Yes"/>
    <s v="Excellent"/>
    <s v="Yes"/>
    <s v="IT"/>
    <s v="Thursday"/>
    <s v="Morning"/>
  </r>
  <r>
    <x v="1526"/>
    <s v="2024-07-09 17:47:24"/>
    <x v="4"/>
    <s v="2024-07-19 20:29:24"/>
    <n v="242.7"/>
    <n v="10.1"/>
    <s v="Password Reset"/>
    <s v="Windows Password"/>
    <x v="2"/>
    <n v="360"/>
    <x v="1"/>
    <s v="Portal"/>
    <s v="Tier 1"/>
    <s v="TECH-22"/>
    <s v="Junior"/>
    <x v="0"/>
    <s v="No"/>
    <n v="1"/>
    <s v="No"/>
    <n v="4"/>
    <n v="1.8"/>
    <n v="44.6"/>
    <s v="Yes"/>
    <s v="Good"/>
    <s v="Yes"/>
    <s v="HR"/>
    <s v="Monday"/>
    <s v="Evening"/>
  </r>
  <r>
    <x v="1527"/>
    <s v="2024-06-21 17:10:07"/>
    <x v="10"/>
    <s v="2024-07-01 14:16:07"/>
    <n v="237.1"/>
    <n v="9.9"/>
    <s v="Password Reset"/>
    <s v="Application Password"/>
    <x v="2"/>
    <n v="360"/>
    <x v="1"/>
    <s v="Chat"/>
    <s v="Tier 1"/>
    <s v="TECH-7"/>
    <s v="Senior"/>
    <x v="1"/>
    <s v="No"/>
    <n v="0"/>
    <s v="No"/>
    <n v="9"/>
    <n v="2.1"/>
    <n v="25.3"/>
    <s v="Yes"/>
    <s v="Fair"/>
    <s v="Yes"/>
    <s v="Executive"/>
    <s v="Wednesday"/>
    <s v="Afternoon"/>
  </r>
  <r>
    <x v="1528"/>
    <s v="2024-01-15 22:08:07"/>
    <x v="3"/>
    <s v="2024-01-24 22:44:07"/>
    <n v="216.6"/>
    <n v="9"/>
    <s v="Software Installation"/>
    <s v="Drivers"/>
    <x v="2"/>
    <n v="360"/>
    <x v="1"/>
    <s v="Chat"/>
    <s v="Tier 2"/>
    <s v="TECH-13"/>
    <s v="Mid-level"/>
    <x v="0"/>
    <s v="Yes"/>
    <n v="3"/>
    <s v="No"/>
    <n v="8"/>
    <n v="1.5"/>
    <n v="26.8"/>
    <s v="Yes"/>
    <s v="Fair"/>
    <s v="Yes"/>
    <s v="HR"/>
    <s v="Wednesday"/>
    <s v="Morning"/>
  </r>
  <r>
    <x v="1529"/>
    <s v="2024-06-25 04:10:23"/>
    <x v="10"/>
    <s v="2024-07-01 12:34:23"/>
    <n v="152.4"/>
    <n v="6.4"/>
    <s v="Software Installation"/>
    <s v="Drivers"/>
    <x v="0"/>
    <n v="240"/>
    <x v="1"/>
    <s v="Portal"/>
    <s v="Tier 1"/>
    <s v="TECH-21"/>
    <s v="Mid-level"/>
    <x v="0"/>
    <s v="No"/>
    <n v="1"/>
    <s v="No"/>
    <n v="6"/>
    <n v="1.2"/>
    <n v="0"/>
    <s v="Yes"/>
    <s v="Poor"/>
    <s v="Yes"/>
    <s v="Executive"/>
    <s v="Wednesday"/>
    <s v="Afternoon"/>
  </r>
  <r>
    <x v="1530"/>
    <s v="2024-12-30 08:30:59"/>
    <x v="0"/>
    <s v="2025-01-08 09:06:59"/>
    <n v="216.6"/>
    <n v="9"/>
    <s v="Password Reset"/>
    <s v="Account Unlock"/>
    <x v="2"/>
    <n v="360"/>
    <x v="1"/>
    <s v="Phone"/>
    <s v="Tier 1"/>
    <s v="TECH-21"/>
    <s v="Mid-level"/>
    <x v="1"/>
    <s v="No"/>
    <n v="0"/>
    <s v="No"/>
    <n v="10"/>
    <n v="3.1"/>
    <n v="23.2"/>
    <s v="No"/>
    <s v="Good"/>
    <s v="Yes"/>
    <s v="Marketing"/>
    <s v="Tuesday"/>
    <s v="Morning"/>
  </r>
  <r>
    <x v="1531"/>
    <s v="2024-09-13 13:45:20"/>
    <x v="9"/>
    <s v="2024-10-04 22:45:20"/>
    <n v="513"/>
    <n v="21.4"/>
    <s v="Password Reset"/>
    <s v="Account Unlock"/>
    <x v="2"/>
    <n v="360"/>
    <x v="0"/>
    <s v="Phone"/>
    <s v="Tier 1"/>
    <s v="TECH-8"/>
    <s v="Mid-level"/>
    <x v="1"/>
    <s v="No"/>
    <n v="0"/>
    <s v="No"/>
    <n v="9"/>
    <n v="2.2999999999999998"/>
    <n v="11.3"/>
    <s v="No"/>
    <s v="Excellent"/>
    <s v="Yes"/>
    <s v="Legal"/>
    <s v="Friday"/>
    <s v="Morning"/>
  </r>
  <r>
    <x v="1532"/>
    <s v="2024-09-03 20:25:15"/>
    <x v="9"/>
    <s v="2024-09-15 13:07:15"/>
    <n v="280.7"/>
    <n v="11.7"/>
    <s v="Application Errors"/>
    <s v="Crash"/>
    <x v="0"/>
    <n v="240"/>
    <x v="0"/>
    <s v="Email"/>
    <s v="Tier 1"/>
    <s v="TECH-25"/>
    <s v="Junior"/>
    <x v="0"/>
    <s v="No"/>
    <n v="1"/>
    <s v="Yes"/>
    <n v="5"/>
    <n v="3.1"/>
    <n v="24.5"/>
    <s v="Yes"/>
    <s v="Poor"/>
    <s v="No"/>
    <s v="Legal"/>
    <s v="Thursday"/>
    <s v="Afternoon"/>
  </r>
  <r>
    <x v="1533"/>
    <s v="2024-11-09 00:29:39"/>
    <x v="7"/>
    <s v="2024-11-22 07:41:39"/>
    <n v="295.2"/>
    <n v="12.3"/>
    <s v="Password Reset"/>
    <s v="Windows Password"/>
    <x v="2"/>
    <n v="360"/>
    <x v="1"/>
    <s v="Walk-in"/>
    <s v="Tier 1"/>
    <s v="TECH-24"/>
    <s v="Junior"/>
    <x v="1"/>
    <s v="No"/>
    <n v="0"/>
    <s v="No"/>
    <n v="9"/>
    <n v="0.8"/>
    <n v="8.5"/>
    <s v="Yes"/>
    <s v="Poor"/>
    <s v="Yes"/>
    <s v="Marketing"/>
    <s v="Wednesday"/>
    <s v="Morning"/>
  </r>
  <r>
    <x v="1534"/>
    <s v="2024-11-22 18:46:36"/>
    <x v="7"/>
    <s v="2024-11-26 08:16:36"/>
    <n v="85.5"/>
    <n v="3.6"/>
    <s v="Hardware Issues"/>
    <s v="Laptop"/>
    <x v="1"/>
    <n v="120"/>
    <x v="1"/>
    <s v="Portal"/>
    <s v="Tier 2"/>
    <s v="TECH-3"/>
    <s v="Senior"/>
    <x v="0"/>
    <s v="Yes"/>
    <n v="4"/>
    <s v="Yes"/>
    <n v="9"/>
    <n v="3.4"/>
    <n v="15.4"/>
    <s v="No"/>
    <s v="Good"/>
    <s v="Yes"/>
    <s v="Operations"/>
    <s v="Monday"/>
    <s v="Evening"/>
  </r>
  <r>
    <x v="1535"/>
    <s v="2024-09-12 09:59:56"/>
    <x v="9"/>
    <s v="2024-09-25 19:59:56"/>
    <n v="322"/>
    <n v="13.4"/>
    <s v="Email/Calendar"/>
    <s v="Calendar Sync"/>
    <x v="1"/>
    <n v="120"/>
    <x v="0"/>
    <s v="Portal"/>
    <s v="Tier 1"/>
    <s v="TECH-22"/>
    <s v="Junior"/>
    <x v="1"/>
    <s v="No"/>
    <n v="0"/>
    <s v="No"/>
    <n v="7"/>
    <n v="2"/>
    <n v="15.3"/>
    <s v="Yes"/>
    <s v="Fair"/>
    <s v="Yes"/>
    <s v="Executive"/>
    <s v="Wednesday"/>
    <s v="Morning"/>
  </r>
  <r>
    <x v="1536"/>
    <s v="2024-09-27 01:04:13"/>
    <x v="9"/>
    <s v="2024-10-01 14:22:13"/>
    <n v="85.3"/>
    <n v="3.6"/>
    <s v="Application Errors"/>
    <s v="Features Not Working"/>
    <x v="1"/>
    <n v="120"/>
    <x v="1"/>
    <s v="Chat"/>
    <s v="Tier 1"/>
    <s v="TECH-5"/>
    <s v="Mid-level"/>
    <x v="0"/>
    <s v="No"/>
    <n v="1"/>
    <s v="No"/>
    <n v="8"/>
    <n v="3.3"/>
    <n v="13"/>
    <s v="Yes"/>
    <s v="Good"/>
    <s v="No"/>
    <s v="Marketing"/>
    <s v="Tuesday"/>
    <s v="Morning"/>
  </r>
  <r>
    <x v="1537"/>
    <s v="2024-11-07 05:15:34"/>
    <x v="7"/>
    <s v="2024-11-14 04:03:34"/>
    <n v="166.8"/>
    <n v="7"/>
    <s v="Application Errors"/>
    <s v="Crash"/>
    <x v="1"/>
    <n v="120"/>
    <x v="0"/>
    <s v="Email"/>
    <s v="Tier 1"/>
    <s v="TECH-10"/>
    <s v="Senior"/>
    <x v="0"/>
    <s v="No"/>
    <n v="1"/>
    <s v="Yes"/>
    <n v="7"/>
    <n v="4.5"/>
    <n v="18.899999999999999"/>
    <s v="Yes"/>
    <s v="Fair"/>
    <s v="No"/>
    <s v="Finance"/>
    <s v="Friday"/>
    <s v="Afternoon"/>
  </r>
  <r>
    <x v="1538"/>
    <s v="2024-10-08 08:28:25"/>
    <x v="2"/>
    <s v="2024-10-14 18:28:25"/>
    <n v="154"/>
    <n v="6.4"/>
    <s v="Email/Calendar"/>
    <s v="Cannot Send/Receive"/>
    <x v="0"/>
    <n v="240"/>
    <x v="1"/>
    <s v="Portal"/>
    <s v="Tier 1"/>
    <s v="TECH-23"/>
    <s v="Junior"/>
    <x v="1"/>
    <s v="No"/>
    <n v="0"/>
    <s v="No"/>
    <n v="10"/>
    <n v="3.5"/>
    <n v="25.2"/>
    <s v="Yes"/>
    <s v="Poor"/>
    <s v="Yes"/>
    <s v="Sales"/>
    <s v="Thursday"/>
    <s v="Afternoon"/>
  </r>
  <r>
    <x v="1539"/>
    <s v="2024-04-03 17:15:28"/>
    <x v="11"/>
    <s v="2024-04-21 05:39:28"/>
    <n v="420.4"/>
    <n v="17.5"/>
    <s v="Password Reset"/>
    <s v="Application Password"/>
    <x v="2"/>
    <n v="360"/>
    <x v="0"/>
    <s v="Phone"/>
    <s v="Tier 1"/>
    <s v="TECH-19"/>
    <s v="Mid-level"/>
    <x v="1"/>
    <s v="No"/>
    <n v="0"/>
    <s v="No"/>
    <n v="6"/>
    <n v="1.1000000000000001"/>
    <n v="23.4"/>
    <s v="No"/>
    <s v="Fair"/>
    <s v="Yes"/>
    <s v="IT"/>
    <s v="Thursday"/>
    <s v="Evening"/>
  </r>
  <r>
    <x v="1540"/>
    <s v="2024-02-01 20:17:48"/>
    <x v="6"/>
    <s v="2024-02-09 05:35:48"/>
    <n v="177.3"/>
    <n v="7.4"/>
    <s v="Email/Calendar"/>
    <s v="Cannot Send/Receive"/>
    <x v="0"/>
    <n v="240"/>
    <x v="1"/>
    <s v="Phone"/>
    <s v="Tier 2"/>
    <s v="TECH-3"/>
    <s v="Mid-level"/>
    <x v="0"/>
    <s v="Yes"/>
    <n v="3"/>
    <s v="Yes"/>
    <n v="8"/>
    <n v="2.2999999999999998"/>
    <n v="8.6999999999999993"/>
    <s v="Yes"/>
    <s v="Excellent"/>
    <s v="Yes"/>
    <s v="Legal"/>
    <s v="Friday"/>
    <s v="Evening"/>
  </r>
  <r>
    <x v="1541"/>
    <s v="2024-04-17 17:33:14"/>
    <x v="11"/>
    <s v="2024-04-25 07:03:14"/>
    <n v="181.5"/>
    <n v="7.6"/>
    <s v="Application Errors"/>
    <s v="Features Not Working"/>
    <x v="0"/>
    <n v="240"/>
    <x v="1"/>
    <s v="Portal"/>
    <s v="Tier 1"/>
    <s v="TECH-11"/>
    <s v="Mid-level"/>
    <x v="0"/>
    <s v="No"/>
    <n v="1"/>
    <s v="No"/>
    <n v="8"/>
    <n v="5"/>
    <n v="35.200000000000003"/>
    <s v="Yes"/>
    <s v="Poor"/>
    <s v="Yes"/>
    <s v="Finance"/>
    <s v="Friday"/>
    <s v="Afternoon"/>
  </r>
  <r>
    <x v="1542"/>
    <s v="2024-04-09 17:43:24"/>
    <x v="11"/>
    <s v="2024-04-12 21:43:24"/>
    <n v="76"/>
    <n v="3.2"/>
    <s v="Hardware Issues"/>
    <s v="Monitor"/>
    <x v="1"/>
    <n v="120"/>
    <x v="1"/>
    <s v="Email"/>
    <s v="Tier 1"/>
    <s v="TECH-9"/>
    <s v="Mid-level"/>
    <x v="0"/>
    <s v="No"/>
    <n v="1"/>
    <s v="No"/>
    <n v="9"/>
    <n v="0.9"/>
    <n v="17.2"/>
    <s v="Yes"/>
    <s v="Poor"/>
    <s v="Yes"/>
    <s v="IT"/>
    <s v="Tuesday"/>
    <s v="Morning"/>
  </r>
  <r>
    <x v="1543"/>
    <s v="2024-06-06 12:51:37"/>
    <x v="10"/>
    <s v="2024-06-13 02:27:37"/>
    <n v="181.6"/>
    <n v="7.6"/>
    <s v="Email/Calendar"/>
    <s v="Mailbox Full"/>
    <x v="0"/>
    <n v="240"/>
    <x v="1"/>
    <s v="Phone"/>
    <s v="Tier 1"/>
    <s v="TECH-11"/>
    <s v="Junior"/>
    <x v="0"/>
    <s v="No"/>
    <n v="1"/>
    <s v="Yes"/>
    <n v="8"/>
    <n v="1.4"/>
    <n v="0"/>
    <s v="No"/>
    <s v="Excellent"/>
    <s v="Yes"/>
    <s v="Executive"/>
    <s v="Monday"/>
    <s v="Afternoon"/>
  </r>
  <r>
    <x v="1544"/>
    <s v="2024-09-04 15:21:31"/>
    <x v="9"/>
    <s v="2024-09-13 02:45:31"/>
    <n v="227.4"/>
    <n v="9.5"/>
    <s v="Access Requests"/>
    <s v="Application Access"/>
    <x v="0"/>
    <n v="240"/>
    <x v="1"/>
    <s v="Phone"/>
    <s v="Tier 1"/>
    <s v="TECH-15"/>
    <s v="Junior"/>
    <x v="0"/>
    <s v="No"/>
    <n v="1"/>
    <s v="No"/>
    <n v="9"/>
    <n v="4.8"/>
    <n v="23.5"/>
    <s v="Yes"/>
    <s v="Poor"/>
    <s v="Yes"/>
    <s v="HR"/>
    <s v="Tuesday"/>
    <s v="Evening"/>
  </r>
  <r>
    <x v="1545"/>
    <s v="2024-09-06 20:03:04"/>
    <x v="9"/>
    <s v="2024-09-18 03:57:04"/>
    <n v="271.89999999999998"/>
    <n v="11.3"/>
    <s v="Password Reset"/>
    <s v="Email Password"/>
    <x v="2"/>
    <n v="360"/>
    <x v="1"/>
    <s v="Phone"/>
    <s v="Tier 1"/>
    <s v="TECH-17"/>
    <s v="Senior"/>
    <x v="1"/>
    <s v="No"/>
    <n v="0"/>
    <s v="No"/>
    <n v="10"/>
    <n v="0.1"/>
    <n v="24.7"/>
    <s v="Yes"/>
    <s v="Excellent"/>
    <s v="Yes"/>
    <s v="Finance"/>
    <s v="Tuesday"/>
    <s v="Morning"/>
  </r>
  <r>
    <x v="1546"/>
    <s v="2024-01-21 05:33:55"/>
    <x v="3"/>
    <s v="2024-01-22 23:51:55"/>
    <n v="42.3"/>
    <n v="1.8"/>
    <s v="Network Connectivity"/>
    <s v="Ethernet"/>
    <x v="3"/>
    <n v="48"/>
    <x v="1"/>
    <s v="Phone"/>
    <s v="Tier 1"/>
    <s v="TECH-11"/>
    <s v="Mid-level"/>
    <x v="0"/>
    <s v="No"/>
    <n v="1"/>
    <s v="No"/>
    <n v="9"/>
    <n v="2.4"/>
    <n v="34.6"/>
    <s v="No"/>
    <s v="Fair"/>
    <s v="Yes"/>
    <s v="HR"/>
    <s v="Wednesday"/>
    <s v="Afternoon"/>
  </r>
  <r>
    <x v="1547"/>
    <s v="2024-06-01 20:42:27"/>
    <x v="10"/>
    <s v="2024-06-13 22:06:27"/>
    <n v="289.39999999999998"/>
    <n v="12.1"/>
    <s v="Other"/>
    <s v="Training Request"/>
    <x v="2"/>
    <n v="360"/>
    <x v="1"/>
    <s v="Portal"/>
    <s v="Tier 1"/>
    <s v="TECH-24"/>
    <s v="Mid-level"/>
    <x v="0"/>
    <s v="No"/>
    <n v="1"/>
    <s v="No"/>
    <n v="8"/>
    <n v="1.3"/>
    <n v="3"/>
    <s v="No"/>
    <s v="Poor"/>
    <s v="Yes"/>
    <s v="Sales"/>
    <s v="Monday"/>
    <s v="Evening"/>
  </r>
  <r>
    <x v="1548"/>
    <s v="2024-01-09 15:51:00"/>
    <x v="3"/>
    <s v="2024-01-22 23:15:00"/>
    <n v="319.39999999999998"/>
    <n v="13.3"/>
    <s v="Password Reset"/>
    <s v="Email Password"/>
    <x v="2"/>
    <n v="360"/>
    <x v="1"/>
    <s v="Email"/>
    <s v="Tier 1"/>
    <s v="TECH-6"/>
    <s v="Mid-level"/>
    <x v="1"/>
    <s v="No"/>
    <n v="0"/>
    <s v="No"/>
    <n v="9"/>
    <n v="2.9"/>
    <n v="9.5"/>
    <s v="Yes"/>
    <s v="Fair"/>
    <s v="Yes"/>
    <s v="Sales"/>
    <s v="Tuesday"/>
    <s v="Afternoon"/>
  </r>
  <r>
    <x v="1549"/>
    <s v="2024-03-12 02:02:05"/>
    <x v="5"/>
    <s v="2024-04-03 13:08:05"/>
    <n v="538.1"/>
    <n v="22.4"/>
    <s v="Email/Calendar"/>
    <s v="Cannot Send/Receive"/>
    <x v="2"/>
    <n v="360"/>
    <x v="0"/>
    <s v="Walk-in"/>
    <s v="Tier 2"/>
    <s v="TECH-16"/>
    <s v="Mid-level"/>
    <x v="0"/>
    <s v="Yes"/>
    <n v="2"/>
    <s v="No"/>
    <n v="6"/>
    <n v="0.8"/>
    <n v="22"/>
    <s v="Yes"/>
    <s v="Poor"/>
    <s v="Yes"/>
    <s v="Finance"/>
    <s v="Wednesday"/>
    <s v="Afternoon"/>
  </r>
  <r>
    <x v="1550"/>
    <s v="2024-10-27 14:12:03"/>
    <x v="2"/>
    <s v="2024-11-08 13:42:03"/>
    <n v="287.5"/>
    <n v="12"/>
    <s v="Application Errors"/>
    <s v="Crash"/>
    <x v="0"/>
    <n v="240"/>
    <x v="0"/>
    <s v="Phone"/>
    <s v="Tier 2"/>
    <s v="TECH-1"/>
    <s v="Mid-level"/>
    <x v="0"/>
    <s v="Yes"/>
    <n v="1"/>
    <s v="No"/>
    <n v="5"/>
    <n v="1.7"/>
    <n v="31.3"/>
    <s v="Yes"/>
    <s v="Good"/>
    <s v="No"/>
    <s v="Legal"/>
    <s v="Wednesday"/>
    <s v="Morning"/>
  </r>
  <r>
    <x v="1551"/>
    <s v="2024-06-16 08:30:19"/>
    <x v="10"/>
    <s v="2024-07-02 21:54:19"/>
    <n v="397.4"/>
    <n v="16.600000000000001"/>
    <s v="Password Reset"/>
    <s v="Account Unlock"/>
    <x v="2"/>
    <n v="360"/>
    <x v="0"/>
    <s v="Walk-in"/>
    <s v="Tier 1"/>
    <s v="TECH-16"/>
    <s v="Mid-level"/>
    <x v="1"/>
    <s v="No"/>
    <n v="0"/>
    <s v="No"/>
    <n v="5"/>
    <n v="6.3"/>
    <n v="10.4"/>
    <s v="Yes"/>
    <s v="Poor"/>
    <s v="Yes"/>
    <s v="Legal"/>
    <s v="Thursday"/>
    <s v="Morning"/>
  </r>
  <r>
    <x v="1552"/>
    <s v="2024-06-05 04:21:01"/>
    <x v="10"/>
    <s v="2024-06-08 13:39:01"/>
    <n v="81.3"/>
    <n v="3.4"/>
    <s v="Hardware Issues"/>
    <s v="Docking Station"/>
    <x v="1"/>
    <n v="120"/>
    <x v="1"/>
    <s v="Phone"/>
    <s v="Tier 1"/>
    <s v="TECH-11"/>
    <s v="Mid-level"/>
    <x v="0"/>
    <s v="No"/>
    <n v="1"/>
    <s v="No"/>
    <n v="10"/>
    <n v="0.1"/>
    <n v="5.6"/>
    <s v="Yes"/>
    <s v="Fair"/>
    <s v="Yes"/>
    <s v="IT"/>
    <s v="Thursday"/>
    <s v="Morning"/>
  </r>
  <r>
    <x v="1553"/>
    <s v="2024-01-31 13:09:23"/>
    <x v="3"/>
    <s v="2024-02-07 07:51:23"/>
    <n v="162.69999999999999"/>
    <n v="6.8"/>
    <s v="Application Errors"/>
    <s v="Login Issues"/>
    <x v="1"/>
    <n v="120"/>
    <x v="0"/>
    <s v="Phone"/>
    <s v="Tier 2"/>
    <s v="TECH-22"/>
    <s v="Mid-level"/>
    <x v="0"/>
    <s v="Yes"/>
    <n v="1"/>
    <s v="No"/>
    <n v="6"/>
    <n v="1.7"/>
    <n v="10.199999999999999"/>
    <s v="No"/>
    <s v="Fair"/>
    <s v="Yes"/>
    <s v="Operations"/>
    <s v="Wednesday"/>
    <s v="Afternoon"/>
  </r>
  <r>
    <x v="1554"/>
    <s v="2024-01-18 09:23:30"/>
    <x v="3"/>
    <s v="2024-01-26 18:11:30"/>
    <n v="200.8"/>
    <n v="8.4"/>
    <s v="Access Requests"/>
    <s v="Application Access"/>
    <x v="0"/>
    <n v="240"/>
    <x v="1"/>
    <s v="Email"/>
    <s v="Tier 1"/>
    <s v="TECH-22"/>
    <s v="Mid-level"/>
    <x v="0"/>
    <s v="No"/>
    <n v="1"/>
    <s v="No"/>
    <n v="8"/>
    <n v="3"/>
    <n v="9"/>
    <s v="Yes"/>
    <s v="Good"/>
    <s v="Yes"/>
    <s v="Legal"/>
    <s v="Wednesday"/>
    <s v="Morning"/>
  </r>
  <r>
    <x v="1555"/>
    <s v="2024-12-18 18:10:15"/>
    <x v="0"/>
    <s v="2024-12-25 19:28:15"/>
    <n v="169.3"/>
    <n v="7.1"/>
    <s v="Network Connectivity"/>
    <s v="Slow Network"/>
    <x v="1"/>
    <n v="120"/>
    <x v="0"/>
    <s v="Chat"/>
    <s v="Tier 2"/>
    <s v="TECH-13"/>
    <s v="Senior"/>
    <x v="0"/>
    <s v="Yes"/>
    <n v="3"/>
    <s v="No"/>
    <n v="8"/>
    <n v="1.5"/>
    <n v="17"/>
    <s v="No"/>
    <s v="Poor"/>
    <s v="No"/>
    <s v="Sales"/>
    <s v="Wednesday"/>
    <s v="Morning"/>
  </r>
  <r>
    <x v="1556"/>
    <s v="2024-09-08 20:27:31"/>
    <x v="9"/>
    <s v="2024-10-15 18:03:31"/>
    <n v="885.6"/>
    <n v="36.9"/>
    <s v="Application Errors"/>
    <s v="Login Issues"/>
    <x v="2"/>
    <n v="360"/>
    <x v="0"/>
    <s v="Phone"/>
    <s v="Tier 1"/>
    <s v="TECH-5"/>
    <s v="Junior"/>
    <x v="1"/>
    <s v="No"/>
    <n v="0"/>
    <s v="Yes"/>
    <n v="6"/>
    <n v="2.9"/>
    <n v="30.2"/>
    <s v="Yes"/>
    <s v="Good"/>
    <s v="Yes"/>
    <s v="IT"/>
    <s v="Monday"/>
    <s v="Morning"/>
  </r>
  <r>
    <x v="1557"/>
    <s v="2024-05-26 17:29:09"/>
    <x v="8"/>
    <s v="2024-05-29 02:23:09"/>
    <n v="80.900000000000006"/>
    <n v="3.4"/>
    <s v="Application Errors"/>
    <s v="Features Not Working"/>
    <x v="1"/>
    <n v="120"/>
    <x v="1"/>
    <s v="Chat"/>
    <s v="Tier 1"/>
    <s v="TECH-24"/>
    <s v="Junior"/>
    <x v="0"/>
    <s v="No"/>
    <n v="1"/>
    <s v="No"/>
    <n v="8"/>
    <n v="4"/>
    <n v="17"/>
    <s v="No"/>
    <s v="Good"/>
    <s v="Yes"/>
    <s v="Operations"/>
    <s v="Friday"/>
    <s v="Morning"/>
  </r>
  <r>
    <x v="1558"/>
    <s v="2024-11-22 10:23:27"/>
    <x v="7"/>
    <s v="2024-11-28 11:29:27"/>
    <n v="145.1"/>
    <n v="6"/>
    <s v="Network Connectivity"/>
    <s v="Slow Network"/>
    <x v="1"/>
    <n v="120"/>
    <x v="0"/>
    <s v="Walk-in"/>
    <s v="Tier 1"/>
    <s v="TECH-21"/>
    <s v="Mid-level"/>
    <x v="0"/>
    <s v="No"/>
    <n v="1"/>
    <s v="No"/>
    <n v="4"/>
    <n v="7.9"/>
    <n v="10.3"/>
    <s v="Yes"/>
    <s v="Poor"/>
    <s v="Yes"/>
    <s v="IT"/>
    <s v="Thursday"/>
    <s v="Afternoon"/>
  </r>
  <r>
    <x v="1559"/>
    <s v="2024-11-12 21:00:57"/>
    <x v="7"/>
    <s v="2024-11-19 04:06:57"/>
    <n v="151.1"/>
    <n v="6.3"/>
    <s v="Access Requests"/>
    <s v="File Share"/>
    <x v="0"/>
    <n v="240"/>
    <x v="1"/>
    <s v="Phone"/>
    <s v="Tier 1"/>
    <s v="TECH-3"/>
    <s v="Senior"/>
    <x v="0"/>
    <s v="No"/>
    <n v="1"/>
    <s v="No"/>
    <n v="10"/>
    <n v="1.8"/>
    <n v="8.5"/>
    <s v="Yes"/>
    <s v="Fair"/>
    <s v="Yes"/>
    <s v="Executive"/>
    <s v="Wednesday"/>
    <s v="Afternoon"/>
  </r>
  <r>
    <x v="1560"/>
    <s v="2024-09-23 13:39:36"/>
    <x v="9"/>
    <s v="2024-09-26 21:21:36"/>
    <n v="79.7"/>
    <n v="3.3"/>
    <s v="Access Requests"/>
    <s v="VPN Access"/>
    <x v="1"/>
    <n v="120"/>
    <x v="1"/>
    <s v="Portal"/>
    <s v="Tier 1"/>
    <s v="TECH-12"/>
    <s v="Senior"/>
    <x v="0"/>
    <s v="No"/>
    <n v="1"/>
    <s v="Yes"/>
    <n v="9"/>
    <n v="3"/>
    <n v="0"/>
    <s v="Yes"/>
    <s v="Excellent"/>
    <s v="No"/>
    <s v="Sales"/>
    <s v="Tuesday"/>
    <s v="Afternoon"/>
  </r>
  <r>
    <x v="1561"/>
    <s v="2024-07-09 18:12:44"/>
    <x v="4"/>
    <s v="2024-07-21 07:24:44"/>
    <n v="277.2"/>
    <n v="11.5"/>
    <s v="Access Requests"/>
    <s v="File Share"/>
    <x v="0"/>
    <n v="240"/>
    <x v="0"/>
    <s v="Phone"/>
    <s v="Tier 1"/>
    <s v="TECH-2"/>
    <s v="Mid-level"/>
    <x v="1"/>
    <s v="No"/>
    <n v="0"/>
    <s v="No"/>
    <n v="3"/>
    <n v="0.8"/>
    <n v="16.600000000000001"/>
    <s v="No"/>
    <s v="Poor"/>
    <s v="Yes"/>
    <s v="HR"/>
    <s v="Wednesday"/>
    <s v="Morning"/>
  </r>
  <r>
    <x v="1562"/>
    <s v="2024-03-18 21:03:23"/>
    <x v="5"/>
    <s v="2024-04-02 08:03:23"/>
    <n v="346"/>
    <n v="14.4"/>
    <s v="Access Requests"/>
    <s v="Admin Rights"/>
    <x v="0"/>
    <n v="240"/>
    <x v="0"/>
    <s v="Phone"/>
    <s v="Tier 1"/>
    <s v="TECH-17"/>
    <s v="Senior"/>
    <x v="0"/>
    <s v="No"/>
    <n v="1"/>
    <s v="Yes"/>
    <n v="7"/>
    <n v="6.8"/>
    <n v="11.6"/>
    <s v="Yes"/>
    <s v="Poor"/>
    <s v="Yes"/>
    <s v="Operations"/>
    <s v="Thursday"/>
    <s v="Afternoon"/>
  </r>
  <r>
    <x v="1563"/>
    <s v="2024-07-23 12:44:39"/>
    <x v="4"/>
    <s v="2024-08-01 23:08:39"/>
    <n v="226.4"/>
    <n v="9.4"/>
    <s v="Other"/>
    <s v="Miscellaneous"/>
    <x v="2"/>
    <n v="360"/>
    <x v="1"/>
    <s v="Walk-in"/>
    <s v="Tier 1"/>
    <s v="TECH-8"/>
    <s v="Mid-level"/>
    <x v="1"/>
    <s v="No"/>
    <n v="0"/>
    <s v="No"/>
    <n v="10"/>
    <n v="0.9"/>
    <n v="24.5"/>
    <s v="No"/>
    <s v="Good"/>
    <s v="No"/>
    <s v="Marketing"/>
    <s v="Tuesday"/>
    <s v="Morning"/>
  </r>
  <r>
    <x v="1564"/>
    <s v="2024-03-20 17:53:13"/>
    <x v="5"/>
    <s v="2024-03-29 00:35:13"/>
    <n v="222.7"/>
    <n v="9.3000000000000007"/>
    <s v="Email/Calendar"/>
    <s v="Distribution List"/>
    <x v="0"/>
    <n v="240"/>
    <x v="1"/>
    <s v="Email"/>
    <s v="Tier 1"/>
    <s v="TECH-21"/>
    <s v="Mid-level"/>
    <x v="0"/>
    <s v="No"/>
    <n v="1"/>
    <s v="No"/>
    <n v="6"/>
    <n v="4.4000000000000004"/>
    <n v="3.4"/>
    <s v="No"/>
    <s v="Fair"/>
    <s v="Yes"/>
    <s v="Marketing"/>
    <s v="Friday"/>
    <s v="Morning"/>
  </r>
  <r>
    <x v="1565"/>
    <s v="2024-12-22 04:24:03"/>
    <x v="0"/>
    <s v="2024-12-23 14:48:03"/>
    <n v="34.4"/>
    <n v="1.4"/>
    <s v="Email/Calendar"/>
    <s v="Mailbox Full"/>
    <x v="3"/>
    <n v="48"/>
    <x v="1"/>
    <s v="Chat"/>
    <s v="Tier 1"/>
    <s v="TECH-9"/>
    <s v="Senior"/>
    <x v="0"/>
    <s v="No"/>
    <n v="1"/>
    <s v="No"/>
    <n v="8"/>
    <n v="1.4"/>
    <n v="36.4"/>
    <s v="No"/>
    <s v="Fair"/>
    <s v="No"/>
    <s v="Executive"/>
    <s v="Monday"/>
    <s v="Morning"/>
  </r>
  <r>
    <x v="1566"/>
    <s v="2024-10-20 10:45:21"/>
    <x v="2"/>
    <s v="2024-10-29 03:51:21"/>
    <n v="210.1"/>
    <n v="8.8000000000000007"/>
    <s v="Software Installation"/>
    <s v="Adobe Suite"/>
    <x v="0"/>
    <n v="240"/>
    <x v="1"/>
    <s v="Email"/>
    <s v="Tier 1"/>
    <s v="TECH-17"/>
    <s v="Junior"/>
    <x v="0"/>
    <s v="No"/>
    <n v="1"/>
    <s v="No"/>
    <n v="8"/>
    <n v="1"/>
    <n v="12.6"/>
    <s v="No"/>
    <s v="Excellent"/>
    <s v="No"/>
    <s v="Sales"/>
    <s v="Monday"/>
    <s v="Morning"/>
  </r>
  <r>
    <x v="1567"/>
    <s v="2024-09-09 03:54:50"/>
    <x v="9"/>
    <s v="2024-09-17 03:12:50"/>
    <n v="191.3"/>
    <n v="8"/>
    <s v="Software Installation"/>
    <s v="Adobe Suite"/>
    <x v="0"/>
    <n v="240"/>
    <x v="1"/>
    <s v="Portal"/>
    <s v="Tier 1"/>
    <s v="TECH-22"/>
    <s v="Senior"/>
    <x v="0"/>
    <s v="No"/>
    <n v="1"/>
    <s v="Yes"/>
    <n v="8"/>
    <n v="1.1000000000000001"/>
    <n v="8.6999999999999993"/>
    <s v="Yes"/>
    <s v="Fair"/>
    <s v="No"/>
    <s v="Marketing"/>
    <s v="Thursday"/>
    <s v="Afternoon"/>
  </r>
  <r>
    <x v="1568"/>
    <s v="2024-04-27 15:18:47"/>
    <x v="11"/>
    <s v="2024-05-23 15:12:47"/>
    <n v="623.9"/>
    <n v="26"/>
    <s v="Hardware Issues"/>
    <s v="Keyboard/Mouse"/>
    <x v="0"/>
    <n v="240"/>
    <x v="0"/>
    <s v="Phone"/>
    <s v="Tier 2"/>
    <s v="TECH-24"/>
    <s v="Mid-level"/>
    <x v="0"/>
    <s v="Yes"/>
    <n v="2"/>
    <s v="No"/>
    <n v="6"/>
    <n v="0.1"/>
    <n v="23.7"/>
    <s v="Yes"/>
    <s v="Fair"/>
    <s v="Yes"/>
    <s v="Finance"/>
    <s v="Wednesday"/>
    <s v="Afternoon"/>
  </r>
  <r>
    <x v="1569"/>
    <s v="2024-02-16 04:41:19"/>
    <x v="6"/>
    <s v="2024-02-25 00:11:19"/>
    <n v="235.5"/>
    <n v="9.8000000000000007"/>
    <s v="Other"/>
    <s v="Miscellaneous"/>
    <x v="2"/>
    <n v="360"/>
    <x v="1"/>
    <s v="Phone"/>
    <s v="Tier 1"/>
    <s v="TECH-20"/>
    <s v="Mid-level"/>
    <x v="0"/>
    <s v="No"/>
    <n v="1"/>
    <s v="No"/>
    <n v="8"/>
    <n v="2.6"/>
    <n v="5.9"/>
    <s v="Yes"/>
    <s v="Fair"/>
    <s v="Yes"/>
    <s v="IT"/>
    <s v="Monday"/>
    <s v="Morning"/>
  </r>
  <r>
    <x v="1570"/>
    <s v="2024-12-05 08:58:41"/>
    <x v="0"/>
    <s v="2024-12-17 21:28:41"/>
    <n v="300.5"/>
    <n v="12.5"/>
    <s v="Network Connectivity"/>
    <s v="WiFi Issues"/>
    <x v="0"/>
    <n v="240"/>
    <x v="0"/>
    <s v="Phone"/>
    <s v="Tier 2"/>
    <s v="TECH-9"/>
    <s v="Mid-level"/>
    <x v="0"/>
    <s v="Yes"/>
    <n v="3"/>
    <s v="No"/>
    <n v="7"/>
    <n v="1.4"/>
    <n v="10.3"/>
    <s v="Yes"/>
    <s v="Good"/>
    <s v="No"/>
    <s v="HR"/>
    <s v="Wednesday"/>
    <s v="Morning"/>
  </r>
  <r>
    <x v="1571"/>
    <s v="2024-09-17 05:34:35"/>
    <x v="9"/>
    <s v="2024-10-01 03:16:35"/>
    <n v="333.7"/>
    <n v="13.9"/>
    <s v="Other"/>
    <s v="Documentation"/>
    <x v="2"/>
    <n v="360"/>
    <x v="1"/>
    <s v="Phone"/>
    <s v="Tier 1"/>
    <s v="TECH-5"/>
    <s v="Junior"/>
    <x v="1"/>
    <s v="No"/>
    <n v="0"/>
    <s v="No"/>
    <n v="10"/>
    <n v="2.9"/>
    <n v="14.9"/>
    <s v="Yes"/>
    <s v="Poor"/>
    <s v="No"/>
    <s v="Operations"/>
    <s v="Wednesday"/>
    <s v="Evening"/>
  </r>
  <r>
    <x v="1572"/>
    <s v="2024-10-01 01:00:35"/>
    <x v="2"/>
    <s v="2024-10-10 12:36:35"/>
    <n v="203.6"/>
    <n v="8.5"/>
    <s v="Software Installation"/>
    <s v="Business Apps"/>
    <x v="0"/>
    <n v="240"/>
    <x v="1"/>
    <s v="Portal"/>
    <s v="Tier 2"/>
    <s v="TECH-21"/>
    <s v="Mid-level"/>
    <x v="0"/>
    <s v="Yes"/>
    <n v="1"/>
    <s v="No"/>
    <n v="7"/>
    <n v="3.6"/>
    <n v="0"/>
    <s v="Yes"/>
    <s v="Fair"/>
    <s v="Yes"/>
    <s v="Executive"/>
    <s v="Tuesday"/>
    <s v="Morning"/>
  </r>
  <r>
    <x v="1573"/>
    <s v="2024-05-20 12:46:37"/>
    <x v="8"/>
    <s v="2024-05-24 13:16:37"/>
    <n v="96.5"/>
    <n v="4"/>
    <s v="Hardware Issues"/>
    <s v="Keyboard/Mouse"/>
    <x v="1"/>
    <n v="120"/>
    <x v="1"/>
    <s v="Email"/>
    <s v="Tier 2"/>
    <s v="TECH-8"/>
    <s v="Mid-level"/>
    <x v="0"/>
    <s v="Yes"/>
    <n v="4"/>
    <s v="No"/>
    <n v="8"/>
    <n v="3.4"/>
    <n v="13.5"/>
    <s v="Yes"/>
    <s v="Poor"/>
    <s v="No"/>
    <s v="Legal"/>
    <s v="Thursday"/>
    <s v="Morning"/>
  </r>
  <r>
    <x v="1574"/>
    <s v="2024-04-13 01:16:54"/>
    <x v="11"/>
    <s v="2024-05-24 20:10:54"/>
    <n v="978.9"/>
    <n v="40.799999999999997"/>
    <s v="Password Reset"/>
    <s v="Application Password"/>
    <x v="2"/>
    <n v="360"/>
    <x v="0"/>
    <s v="Phone"/>
    <s v="Tier 1"/>
    <s v="TECH-16"/>
    <s v="Mid-level"/>
    <x v="0"/>
    <s v="No"/>
    <n v="1"/>
    <s v="No"/>
    <n v="8"/>
    <n v="0.1"/>
    <n v="15.1"/>
    <s v="Yes"/>
    <s v="Good"/>
    <s v="No"/>
    <s v="Sales"/>
    <s v="Tuesday"/>
    <s v="Morning"/>
  </r>
  <r>
    <x v="1575"/>
    <s v="2024-03-18 01:56:50"/>
    <x v="5"/>
    <s v="2024-03-27 16:26:50"/>
    <n v="206.5"/>
    <n v="8.6"/>
    <s v="Application Errors"/>
    <s v="Crash"/>
    <x v="0"/>
    <n v="240"/>
    <x v="1"/>
    <s v="Portal"/>
    <s v="Tier 1"/>
    <s v="TECH-18"/>
    <s v="Mid-level"/>
    <x v="0"/>
    <s v="No"/>
    <n v="1"/>
    <s v="No"/>
    <n v="9"/>
    <n v="2.8"/>
    <n v="25.5"/>
    <s v="Yes"/>
    <s v="Good"/>
    <s v="No"/>
    <s v="Finance"/>
    <s v="Wednesday"/>
    <s v="Evening"/>
  </r>
  <r>
    <x v="1576"/>
    <s v="2024-12-13 07:57:49"/>
    <x v="0"/>
    <s v="2024-12-21 16:51:49"/>
    <n v="200.9"/>
    <n v="8.4"/>
    <s v="Email/Calendar"/>
    <s v="Cannot Send/Receive"/>
    <x v="0"/>
    <n v="240"/>
    <x v="1"/>
    <s v="Chat"/>
    <s v="Tier 1"/>
    <s v="TECH-24"/>
    <s v="Mid-level"/>
    <x v="1"/>
    <s v="No"/>
    <n v="0"/>
    <s v="No"/>
    <n v="10"/>
    <n v="3.4"/>
    <n v="1.2"/>
    <s v="No"/>
    <s v="Excellent"/>
    <s v="No"/>
    <s v="HR"/>
    <s v="Friday"/>
    <s v="Morning"/>
  </r>
  <r>
    <x v="1577"/>
    <s v="2024-11-21 16:42:37"/>
    <x v="7"/>
    <s v="2024-11-29 23:06:37"/>
    <n v="198.4"/>
    <n v="8.3000000000000007"/>
    <s v="Access Requests"/>
    <s v="File Share"/>
    <x v="0"/>
    <n v="240"/>
    <x v="1"/>
    <s v="Email"/>
    <s v="Tier 2"/>
    <s v="TECH-20"/>
    <s v="Mid-level"/>
    <x v="0"/>
    <s v="Yes"/>
    <n v="4"/>
    <s v="Yes"/>
    <n v="8"/>
    <n v="2.9"/>
    <n v="17.100000000000001"/>
    <s v="No"/>
    <s v="Good"/>
    <s v="Yes"/>
    <s v="HR"/>
    <s v="Monday"/>
    <s v="Morning"/>
  </r>
  <r>
    <x v="1578"/>
    <s v="2024-10-05 07:45:34"/>
    <x v="2"/>
    <s v="2024-10-12 03:45:34"/>
    <n v="164"/>
    <n v="6.8"/>
    <s v="Hardware Issues"/>
    <s v="Monitor"/>
    <x v="0"/>
    <n v="240"/>
    <x v="1"/>
    <s v="Email"/>
    <s v="Tier 1"/>
    <s v="TECH-15"/>
    <s v="Senior"/>
    <x v="0"/>
    <s v="No"/>
    <n v="1"/>
    <s v="Yes"/>
    <n v="10"/>
    <n v="0.1"/>
    <n v="21.3"/>
    <s v="Yes"/>
    <s v="Fair"/>
    <s v="Yes"/>
    <s v="Sales"/>
    <s v="Friday"/>
    <s v="Afternoon"/>
  </r>
  <r>
    <x v="1579"/>
    <s v="2024-04-27 14:56:18"/>
    <x v="11"/>
    <s v="2024-05-10 05:02:18"/>
    <n v="302.10000000000002"/>
    <n v="12.6"/>
    <s v="Application Errors"/>
    <s v="Performance"/>
    <x v="2"/>
    <n v="360"/>
    <x v="1"/>
    <s v="Phone"/>
    <s v="Tier 2"/>
    <s v="TECH-11"/>
    <s v="Mid-level"/>
    <x v="0"/>
    <s v="Yes"/>
    <n v="1"/>
    <s v="No"/>
    <n v="6"/>
    <n v="2.7"/>
    <n v="1"/>
    <s v="Yes"/>
    <s v="Fair"/>
    <s v="No"/>
    <s v="IT"/>
    <s v="Wednesday"/>
    <s v="Morning"/>
  </r>
  <r>
    <x v="1580"/>
    <s v="2024-04-26 08:44:00"/>
    <x v="11"/>
    <s v="2024-04-30 01:14:00"/>
    <n v="112.5"/>
    <n v="4.7"/>
    <s v="Application Errors"/>
    <s v="Performance"/>
    <x v="1"/>
    <n v="120"/>
    <x v="1"/>
    <s v="Email"/>
    <s v="Tier 2"/>
    <s v="TECH-3"/>
    <s v="Junior"/>
    <x v="0"/>
    <s v="Yes"/>
    <n v="4"/>
    <s v="Yes"/>
    <n v="9"/>
    <n v="3.5"/>
    <n v="18.2"/>
    <s v="No"/>
    <s v="Good"/>
    <s v="No"/>
    <s v="HR"/>
    <s v="Wednesday"/>
    <s v="Afternoon"/>
  </r>
  <r>
    <x v="1581"/>
    <s v="2024-12-13 03:15:37"/>
    <x v="0"/>
    <s v="2024-12-26 05:45:37"/>
    <n v="314.5"/>
    <n v="13.1"/>
    <s v="Password Reset"/>
    <s v="Application Password"/>
    <x v="2"/>
    <n v="360"/>
    <x v="1"/>
    <s v="Email"/>
    <s v="Tier 1"/>
    <s v="TECH-18"/>
    <s v="Junior"/>
    <x v="0"/>
    <s v="No"/>
    <n v="1"/>
    <s v="No"/>
    <n v="7"/>
    <n v="4.7"/>
    <n v="27.4"/>
    <s v="Yes"/>
    <s v="Excellent"/>
    <s v="No"/>
    <s v="Executive"/>
    <s v="Tuesday"/>
    <s v="Morning"/>
  </r>
  <r>
    <x v="1582"/>
    <s v="2024-09-17 00:19:35"/>
    <x v="9"/>
    <s v="2024-09-27 02:37:35"/>
    <n v="242.3"/>
    <n v="10.1"/>
    <s v="Password Reset"/>
    <s v="Account Unlock"/>
    <x v="2"/>
    <n v="360"/>
    <x v="1"/>
    <s v="Email"/>
    <s v="Tier 1"/>
    <s v="TECH-2"/>
    <s v="Junior"/>
    <x v="1"/>
    <s v="No"/>
    <n v="0"/>
    <s v="No"/>
    <n v="9"/>
    <n v="2.7"/>
    <n v="32.299999999999997"/>
    <s v="Yes"/>
    <s v="Good"/>
    <s v="No"/>
    <s v="IT"/>
    <s v="Thursday"/>
    <s v="Evening"/>
  </r>
  <r>
    <x v="1583"/>
    <s v="2024-04-03 17:13:43"/>
    <x v="11"/>
    <s v="2024-04-11 12:07:43"/>
    <n v="186.9"/>
    <n v="7.8"/>
    <s v="Access Requests"/>
    <s v="VPN Access"/>
    <x v="0"/>
    <n v="240"/>
    <x v="1"/>
    <s v="Portal"/>
    <s v="Tier 1"/>
    <s v="TECH-1"/>
    <s v="Junior"/>
    <x v="1"/>
    <s v="No"/>
    <n v="0"/>
    <s v="No"/>
    <n v="9"/>
    <n v="2.4"/>
    <n v="5.3"/>
    <s v="Yes"/>
    <s v="Fair"/>
    <s v="No"/>
    <s v="Legal"/>
    <s v="Monday"/>
    <s v="Morning"/>
  </r>
  <r>
    <x v="1584"/>
    <s v="2024-06-06 15:05:02"/>
    <x v="10"/>
    <s v="2024-06-14 03:53:02"/>
    <n v="180.8"/>
    <n v="7.5"/>
    <s v="Software Installation"/>
    <s v="Adobe Suite"/>
    <x v="0"/>
    <n v="240"/>
    <x v="1"/>
    <s v="Phone"/>
    <s v="Tier 2"/>
    <s v="TECH-25"/>
    <s v="Senior"/>
    <x v="0"/>
    <s v="Yes"/>
    <n v="1"/>
    <s v="No"/>
    <n v="9"/>
    <n v="4.5"/>
    <n v="1.4"/>
    <s v="Yes"/>
    <s v="Poor"/>
    <s v="Yes"/>
    <s v="Marketing"/>
    <s v="Tuesday"/>
    <s v="Morning"/>
  </r>
  <r>
    <x v="1585"/>
    <s v="2024-09-25 19:49:42"/>
    <x v="9"/>
    <s v="2024-09-29 07:19:42"/>
    <n v="83.5"/>
    <n v="3.5"/>
    <s v="Hardware Issues"/>
    <s v="Keyboard/Mouse"/>
    <x v="1"/>
    <n v="120"/>
    <x v="1"/>
    <s v="Phone"/>
    <s v="Tier 1"/>
    <s v="TECH-2"/>
    <s v="Senior"/>
    <x v="0"/>
    <s v="No"/>
    <n v="1"/>
    <s v="No"/>
    <n v="6"/>
    <n v="4"/>
    <n v="14.1"/>
    <s v="Yes"/>
    <s v="Fair"/>
    <s v="Yes"/>
    <s v="Legal"/>
    <s v="Friday"/>
    <s v="Afternoon"/>
  </r>
  <r>
    <x v="1586"/>
    <s v="2024-03-19 11:23:01"/>
    <x v="5"/>
    <s v="2024-03-21 13:35:01"/>
    <n v="50.2"/>
    <n v="2.1"/>
    <s v="Application Errors"/>
    <s v="Features Not Working"/>
    <x v="3"/>
    <n v="48"/>
    <x v="0"/>
    <s v="Portal"/>
    <s v="Tier 2"/>
    <s v="TECH-2"/>
    <s v="Mid-level"/>
    <x v="0"/>
    <s v="Yes"/>
    <n v="4"/>
    <s v="No"/>
    <n v="1"/>
    <n v="1.8"/>
    <n v="10.6"/>
    <s v="Yes"/>
    <s v="Good"/>
    <s v="Yes"/>
    <s v="Executive"/>
    <s v="Monday"/>
    <s v="Morning"/>
  </r>
  <r>
    <x v="1587"/>
    <s v="2024-01-06 14:32:59"/>
    <x v="3"/>
    <s v="2024-01-10 09:38:59"/>
    <n v="91.1"/>
    <n v="3.8"/>
    <s v="Network Connectivity"/>
    <s v="Slow Network"/>
    <x v="1"/>
    <n v="120"/>
    <x v="1"/>
    <s v="Phone"/>
    <s v="Tier 1"/>
    <s v="TECH-15"/>
    <s v="Mid-level"/>
    <x v="0"/>
    <s v="No"/>
    <n v="1"/>
    <s v="No"/>
    <n v="8"/>
    <n v="1.7"/>
    <n v="22.9"/>
    <s v="No"/>
    <s v="Good"/>
    <s v="No"/>
    <s v="HR"/>
    <s v="Tuesday"/>
    <s v="Morning"/>
  </r>
  <r>
    <x v="1588"/>
    <s v="2024-08-20 13:26:11"/>
    <x v="1"/>
    <s v="2024-08-29 16:08:11"/>
    <n v="218.7"/>
    <n v="9.1"/>
    <s v="Access Requests"/>
    <s v="File Share"/>
    <x v="0"/>
    <n v="240"/>
    <x v="1"/>
    <s v="Portal"/>
    <s v="Tier 1"/>
    <s v="TECH-17"/>
    <s v="Mid-level"/>
    <x v="0"/>
    <s v="No"/>
    <n v="1"/>
    <s v="No"/>
    <n v="9"/>
    <n v="4.8"/>
    <n v="2.2999999999999998"/>
    <s v="No"/>
    <s v="Good"/>
    <s v="Yes"/>
    <s v="Sales"/>
    <s v="Thursday"/>
    <s v="Evening"/>
  </r>
  <r>
    <x v="1589"/>
    <s v="2024-08-03 01:55:26"/>
    <x v="1"/>
    <s v="2024-08-10 13:49:26"/>
    <n v="155.9"/>
    <n v="6.5"/>
    <s v="Application Errors"/>
    <s v="Login Issues"/>
    <x v="0"/>
    <n v="240"/>
    <x v="1"/>
    <s v="Portal"/>
    <s v="Tier 1"/>
    <s v="TECH-8"/>
    <s v="Senior"/>
    <x v="0"/>
    <s v="No"/>
    <n v="1"/>
    <s v="Yes"/>
    <n v="9"/>
    <n v="1.3"/>
    <n v="31.5"/>
    <s v="No"/>
    <s v="Fair"/>
    <s v="No"/>
    <s v="Sales"/>
    <s v="Thursday"/>
    <s v="Morning"/>
  </r>
  <r>
    <x v="1590"/>
    <s v="2024-06-09 09:08:08"/>
    <x v="10"/>
    <s v="2024-06-22 07:20:08"/>
    <n v="310.2"/>
    <n v="12.9"/>
    <s v="Application Errors"/>
    <s v="Performance"/>
    <x v="2"/>
    <n v="360"/>
    <x v="1"/>
    <s v="Portal"/>
    <s v="Tier 2"/>
    <s v="TECH-11"/>
    <s v="Senior"/>
    <x v="0"/>
    <s v="Yes"/>
    <n v="2"/>
    <s v="No"/>
    <n v="7"/>
    <n v="3.5"/>
    <n v="9.5"/>
    <s v="No"/>
    <s v="Excellent"/>
    <s v="Yes"/>
    <s v="Finance"/>
    <s v="Thursday"/>
    <s v="Afternoon"/>
  </r>
  <r>
    <x v="1591"/>
    <s v="2024-01-06 04:27:46"/>
    <x v="3"/>
    <s v="2024-01-09 12:03:46"/>
    <n v="79.599999999999994"/>
    <n v="3.3"/>
    <s v="Network Connectivity"/>
    <s v="Ethernet"/>
    <x v="1"/>
    <n v="120"/>
    <x v="1"/>
    <s v="Portal"/>
    <s v="Tier 2"/>
    <s v="TECH-7"/>
    <s v="Mid-level"/>
    <x v="0"/>
    <s v="Yes"/>
    <n v="2"/>
    <s v="No"/>
    <n v="7"/>
    <n v="2.2000000000000002"/>
    <n v="0.2"/>
    <s v="Yes"/>
    <s v="Excellent"/>
    <s v="Yes"/>
    <s v="Finance"/>
    <s v="Thursday"/>
    <s v="Afternoon"/>
  </r>
  <r>
    <x v="1592"/>
    <s v="2024-04-21 12:35:15"/>
    <x v="11"/>
    <s v="2024-05-02 15:35:15"/>
    <n v="267"/>
    <n v="11.1"/>
    <s v="Other"/>
    <s v="Training Request"/>
    <x v="2"/>
    <n v="360"/>
    <x v="1"/>
    <s v="Phone"/>
    <s v="Tier 1"/>
    <s v="TECH-18"/>
    <s v="Senior"/>
    <x v="1"/>
    <s v="No"/>
    <n v="0"/>
    <s v="No"/>
    <n v="10"/>
    <n v="1.1000000000000001"/>
    <n v="35.799999999999997"/>
    <s v="No"/>
    <s v="Good"/>
    <s v="Yes"/>
    <s v="Executive"/>
    <s v="Wednesday"/>
    <s v="Afternoon"/>
  </r>
  <r>
    <x v="1593"/>
    <s v="2024-10-22 02:25:26"/>
    <x v="2"/>
    <s v="2024-11-02 22:07:26"/>
    <n v="260.7"/>
    <n v="10.9"/>
    <s v="Password Reset"/>
    <s v="Account Unlock"/>
    <x v="2"/>
    <n v="360"/>
    <x v="1"/>
    <s v="Walk-in"/>
    <s v="Tier 1"/>
    <s v="TECH-20"/>
    <s v="Senior"/>
    <x v="1"/>
    <s v="No"/>
    <n v="0"/>
    <s v="No"/>
    <n v="9"/>
    <n v="2.6"/>
    <n v="46.6"/>
    <s v="Yes"/>
    <s v="Poor"/>
    <s v="Yes"/>
    <s v="HR"/>
    <s v="Wednesday"/>
    <s v="Afternoon"/>
  </r>
  <r>
    <x v="1594"/>
    <s v="2024-01-27 20:22:36"/>
    <x v="3"/>
    <s v="2024-02-03 21:10:36"/>
    <n v="168.8"/>
    <n v="7"/>
    <s v="Hardware Issues"/>
    <s v="Docking Station"/>
    <x v="0"/>
    <n v="240"/>
    <x v="1"/>
    <s v="Portal"/>
    <s v="Tier 1"/>
    <s v="TECH-10"/>
    <s v="Junior"/>
    <x v="0"/>
    <s v="No"/>
    <n v="1"/>
    <s v="No"/>
    <n v="8"/>
    <n v="4.0999999999999996"/>
    <n v="0"/>
    <s v="No"/>
    <s v="Poor"/>
    <s v="No"/>
    <s v="HR"/>
    <s v="Tuesday"/>
    <s v="Evening"/>
  </r>
  <r>
    <x v="1595"/>
    <s v="2024-08-01 02:35:43"/>
    <x v="1"/>
    <s v="2024-08-05 18:59:43"/>
    <n v="88.4"/>
    <n v="3.7"/>
    <s v="Application Errors"/>
    <s v="Features Not Working"/>
    <x v="1"/>
    <n v="120"/>
    <x v="1"/>
    <s v="Email"/>
    <s v="Tier 1"/>
    <s v="TECH-6"/>
    <s v="Junior"/>
    <x v="1"/>
    <s v="No"/>
    <n v="0"/>
    <s v="No"/>
    <n v="10"/>
    <n v="3.3"/>
    <n v="12.2"/>
    <s v="Yes"/>
    <s v="Fair"/>
    <s v="Yes"/>
    <s v="HR"/>
    <s v="Friday"/>
    <s v="Afternoon"/>
  </r>
  <r>
    <x v="1596"/>
    <s v="2024-04-20 05:05:48"/>
    <x v="11"/>
    <s v="2024-04-27 08:05:48"/>
    <n v="171"/>
    <n v="7.1"/>
    <s v="Access Requests"/>
    <s v="VPN Access"/>
    <x v="0"/>
    <n v="240"/>
    <x v="1"/>
    <s v="Email"/>
    <s v="Tier 1"/>
    <s v="TECH-21"/>
    <s v="Mid-level"/>
    <x v="0"/>
    <s v="No"/>
    <n v="1"/>
    <s v="No"/>
    <n v="10"/>
    <n v="4.7"/>
    <n v="4.5999999999999996"/>
    <s v="Yes"/>
    <s v="Poor"/>
    <s v="Yes"/>
    <s v="Finance"/>
    <s v="Tuesday"/>
    <s v="Afternoon"/>
  </r>
  <r>
    <x v="1597"/>
    <s v="2024-07-11 14:14:24"/>
    <x v="4"/>
    <s v="2024-07-20 07:32:24"/>
    <n v="209.3"/>
    <n v="8.6999999999999993"/>
    <s v="Application Errors"/>
    <s v="Features Not Working"/>
    <x v="0"/>
    <n v="240"/>
    <x v="1"/>
    <s v="Phone"/>
    <s v="Tier 1"/>
    <s v="TECH-22"/>
    <s v="Senior"/>
    <x v="1"/>
    <s v="No"/>
    <n v="0"/>
    <s v="No"/>
    <n v="9"/>
    <n v="2.9"/>
    <n v="14.8"/>
    <s v="Yes"/>
    <s v="Fair"/>
    <s v="Yes"/>
    <s v="Executive"/>
    <s v="Tuesday"/>
    <s v="Afternoon"/>
  </r>
  <r>
    <x v="1598"/>
    <s v="2024-10-25 20:51:22"/>
    <x v="2"/>
    <s v="2024-11-04 00:51:22"/>
    <n v="245"/>
    <n v="10.199999999999999"/>
    <s v="Password Reset"/>
    <s v="Application Password"/>
    <x v="2"/>
    <n v="360"/>
    <x v="1"/>
    <s v="Email"/>
    <s v="Tier 1"/>
    <s v="TECH-19"/>
    <s v="Junior"/>
    <x v="1"/>
    <s v="No"/>
    <n v="0"/>
    <s v="No"/>
    <n v="9"/>
    <n v="3.4"/>
    <n v="0.4"/>
    <s v="Yes"/>
    <s v="Fair"/>
    <s v="Yes"/>
    <s v="Marketing"/>
    <s v="Thursday"/>
    <s v="Afternoon"/>
  </r>
  <r>
    <x v="1599"/>
    <s v="2024-09-20 06:15:34"/>
    <x v="9"/>
    <s v="2024-10-01 12:57:34"/>
    <n v="270.7"/>
    <n v="11.3"/>
    <s v="Other"/>
    <s v="Miscellaneous"/>
    <x v="2"/>
    <n v="360"/>
    <x v="1"/>
    <s v="Phone"/>
    <s v="Tier 1"/>
    <s v="TECH-9"/>
    <s v="Junior"/>
    <x v="0"/>
    <s v="No"/>
    <n v="1"/>
    <s v="No"/>
    <n v="7"/>
    <n v="2.1"/>
    <n v="31.7"/>
    <s v="Yes"/>
    <s v="Good"/>
    <s v="Yes"/>
    <s v="Sales"/>
    <s v="Monday"/>
    <s v="Morning"/>
  </r>
  <r>
    <x v="1600"/>
    <s v="2024-03-29 13:43:25"/>
    <x v="5"/>
    <s v="2024-04-04 20:13:25"/>
    <n v="149.5"/>
    <n v="6.2"/>
    <s v="Hardware Issues"/>
    <s v="Keyboard/Mouse"/>
    <x v="0"/>
    <n v="240"/>
    <x v="1"/>
    <s v="Phone"/>
    <s v="Tier 1"/>
    <s v="TECH-19"/>
    <s v="Mid-level"/>
    <x v="1"/>
    <s v="No"/>
    <n v="0"/>
    <s v="No"/>
    <n v="8"/>
    <n v="3.5"/>
    <n v="24.4"/>
    <s v="Yes"/>
    <s v="Excellent"/>
    <s v="Yes"/>
    <s v="Sales"/>
    <s v="Tuesday"/>
    <s v="Evening"/>
  </r>
  <r>
    <x v="1601"/>
    <s v="2024-10-30 00:54:30"/>
    <x v="2"/>
    <s v="2024-11-04 13:06:30"/>
    <n v="108.2"/>
    <n v="4.5"/>
    <s v="Other"/>
    <s v="General Inquiry"/>
    <x v="1"/>
    <n v="120"/>
    <x v="1"/>
    <s v="Phone"/>
    <s v="Tier 2"/>
    <s v="TECH-10"/>
    <s v="Junior"/>
    <x v="0"/>
    <s v="Yes"/>
    <n v="3"/>
    <s v="No"/>
    <n v="7"/>
    <n v="3.9"/>
    <n v="16.7"/>
    <s v="No"/>
    <s v="Fair"/>
    <s v="No"/>
    <s v="Marketing"/>
    <s v="Friday"/>
    <s v="Afternoon"/>
  </r>
  <r>
    <x v="1602"/>
    <s v="2024-02-17 10:12:05"/>
    <x v="6"/>
    <s v="2024-02-25 07:18:05"/>
    <n v="189.1"/>
    <n v="7.9"/>
    <s v="Email/Calendar"/>
    <s v="Calendar Sync"/>
    <x v="0"/>
    <n v="240"/>
    <x v="1"/>
    <s v="Phone"/>
    <s v="Tier 2"/>
    <s v="TECH-1"/>
    <s v="Junior"/>
    <x v="0"/>
    <s v="Yes"/>
    <n v="3"/>
    <s v="No"/>
    <n v="7"/>
    <n v="4.4000000000000004"/>
    <n v="23.4"/>
    <s v="No"/>
    <s v="Good"/>
    <s v="Yes"/>
    <s v="Finance"/>
    <s v="Wednesday"/>
    <s v="Morning"/>
  </r>
  <r>
    <x v="1603"/>
    <s v="2024-09-15 14:27:42"/>
    <x v="9"/>
    <s v="2024-09-22 23:27:42"/>
    <n v="177"/>
    <n v="7.4"/>
    <s v="Password Reset"/>
    <s v="Windows Password"/>
    <x v="0"/>
    <n v="240"/>
    <x v="1"/>
    <s v="Phone"/>
    <s v="Tier 1"/>
    <s v="TECH-18"/>
    <s v="Mid-level"/>
    <x v="1"/>
    <s v="No"/>
    <n v="0"/>
    <s v="No"/>
    <n v="10"/>
    <n v="1.9"/>
    <n v="0"/>
    <s v="No"/>
    <s v="Fair"/>
    <s v="No"/>
    <s v="Executive"/>
    <s v="Wednesday"/>
    <s v="Morning"/>
  </r>
  <r>
    <x v="1604"/>
    <s v="2024-08-08 21:44:28"/>
    <x v="1"/>
    <s v="2024-08-15 13:38:28"/>
    <n v="159.9"/>
    <n v="6.7"/>
    <s v="Software Installation"/>
    <s v="VPN Client"/>
    <x v="0"/>
    <n v="240"/>
    <x v="1"/>
    <s v="Phone"/>
    <s v="Tier 2"/>
    <s v="TECH-3"/>
    <s v="Junior"/>
    <x v="0"/>
    <s v="Yes"/>
    <n v="2"/>
    <s v="No"/>
    <n v="5"/>
    <n v="1.5"/>
    <n v="27.3"/>
    <s v="Yes"/>
    <s v="Fair"/>
    <s v="Yes"/>
    <s v="Marketing"/>
    <s v="Wednesday"/>
    <s v="Evening"/>
  </r>
  <r>
    <x v="1605"/>
    <s v="2024-11-13 15:34:31"/>
    <x v="7"/>
    <s v="2024-11-19 00:22:31"/>
    <n v="152.80000000000001"/>
    <n v="6.4"/>
    <s v="Email/Calendar"/>
    <s v="Cannot Send/Receive"/>
    <x v="0"/>
    <n v="240"/>
    <x v="1"/>
    <s v="Phone"/>
    <s v="Tier 1"/>
    <s v="TECH-7"/>
    <s v="Mid-level"/>
    <x v="1"/>
    <s v="No"/>
    <n v="0"/>
    <s v="No"/>
    <n v="10"/>
    <n v="6"/>
    <n v="0"/>
    <s v="Yes"/>
    <s v="Good"/>
    <s v="Yes"/>
    <s v="Operations"/>
    <s v="Tuesday"/>
    <s v="Afternoon"/>
  </r>
  <r>
    <x v="1606"/>
    <s v="2024-04-01 00:07:35"/>
    <x v="11"/>
    <s v="2024-04-06 09:43:35"/>
    <n v="105.6"/>
    <n v="4.4000000000000004"/>
    <s v="Hardware Issues"/>
    <s v="Monitor"/>
    <x v="1"/>
    <n v="120"/>
    <x v="1"/>
    <s v="Phone"/>
    <s v="Tier 2"/>
    <s v="TECH-25"/>
    <s v="Mid-level"/>
    <x v="0"/>
    <s v="Yes"/>
    <n v="3"/>
    <s v="No"/>
    <n v="10"/>
    <n v="0.2"/>
    <n v="10.199999999999999"/>
    <s v="No"/>
    <s v="Fair"/>
    <s v="Yes"/>
    <s v="IT"/>
    <s v="Monday"/>
    <s v="Morning"/>
  </r>
  <r>
    <x v="1607"/>
    <s v="2024-08-27 20:27:05"/>
    <x v="1"/>
    <s v="2024-09-08 23:51:05"/>
    <n v="291.39999999999998"/>
    <n v="12.1"/>
    <s v="Email/Calendar"/>
    <s v="Calendar Sync"/>
    <x v="0"/>
    <n v="240"/>
    <x v="0"/>
    <s v="Walk-in"/>
    <s v="Tier 1"/>
    <s v="TECH-17"/>
    <s v="Mid-level"/>
    <x v="0"/>
    <s v="No"/>
    <n v="1"/>
    <s v="No"/>
    <n v="4"/>
    <n v="3.1"/>
    <n v="10.6"/>
    <s v="No"/>
    <s v="Fair"/>
    <s v="Yes"/>
    <s v="Executive"/>
    <s v="Thursday"/>
    <s v="Afternoon"/>
  </r>
  <r>
    <x v="1608"/>
    <s v="2024-08-05 04:33:37"/>
    <x v="1"/>
    <s v="2024-08-18 02:39:37"/>
    <n v="334.1"/>
    <n v="13.9"/>
    <s v="Password Reset"/>
    <s v="Windows Password"/>
    <x v="2"/>
    <n v="360"/>
    <x v="1"/>
    <s v="Phone"/>
    <s v="Tier 1"/>
    <s v="TECH-10"/>
    <s v="Mid-level"/>
    <x v="0"/>
    <s v="No"/>
    <n v="1"/>
    <s v="Yes"/>
    <n v="9"/>
    <n v="5.8"/>
    <n v="19.8"/>
    <s v="Yes"/>
    <s v="Poor"/>
    <s v="No"/>
    <s v="Sales"/>
    <s v="Thursday"/>
    <s v="Afternoon"/>
  </r>
  <r>
    <x v="1609"/>
    <s v="2024-12-11 12:35:53"/>
    <x v="0"/>
    <s v="2024-12-16 03:47:53"/>
    <n v="111.2"/>
    <n v="4.5999999999999996"/>
    <s v="Software Installation"/>
    <s v="VPN Client"/>
    <x v="1"/>
    <n v="120"/>
    <x v="1"/>
    <s v="Portal"/>
    <s v="Tier 2"/>
    <s v="TECH-22"/>
    <s v="Mid-level"/>
    <x v="0"/>
    <s v="Yes"/>
    <n v="2"/>
    <s v="Yes"/>
    <n v="8"/>
    <n v="2.7"/>
    <n v="5.9"/>
    <s v="No"/>
    <s v="Excellent"/>
    <s v="No"/>
    <s v="Operations"/>
    <s v="Monday"/>
    <s v="Evening"/>
  </r>
  <r>
    <x v="1610"/>
    <s v="2024-04-05 09:42:08"/>
    <x v="11"/>
    <s v="2024-04-10 03:30:08"/>
    <n v="113.8"/>
    <n v="4.7"/>
    <s v="Hardware Issues"/>
    <s v="Printer"/>
    <x v="1"/>
    <n v="120"/>
    <x v="1"/>
    <s v="Portal"/>
    <s v="Tier 2"/>
    <s v="TECH-15"/>
    <s v="Junior"/>
    <x v="0"/>
    <s v="Yes"/>
    <n v="2"/>
    <s v="No"/>
    <n v="10"/>
    <n v="3.2"/>
    <n v="17.3"/>
    <s v="Yes"/>
    <s v="Good"/>
    <s v="Yes"/>
    <s v="Executive"/>
    <s v="Thursday"/>
    <s v="Morning"/>
  </r>
  <r>
    <x v="1611"/>
    <s v="2024-07-17 18:39:21"/>
    <x v="4"/>
    <s v="2024-07-28 14:33:21"/>
    <n v="259.89999999999998"/>
    <n v="10.8"/>
    <s v="Other"/>
    <s v="General Inquiry"/>
    <x v="2"/>
    <n v="360"/>
    <x v="1"/>
    <s v="Phone"/>
    <s v="Tier 2"/>
    <s v="TECH-6"/>
    <s v="Senior"/>
    <x v="0"/>
    <s v="Yes"/>
    <n v="2"/>
    <s v="No"/>
    <n v="10"/>
    <n v="0.5"/>
    <n v="17.2"/>
    <s v="Yes"/>
    <s v="Excellent"/>
    <s v="Yes"/>
    <s v="Legal"/>
    <s v="Wednesday"/>
    <s v="Afternoon"/>
  </r>
  <r>
    <x v="1612"/>
    <s v="2024-10-24 02:04:51"/>
    <x v="2"/>
    <s v="2024-11-06 12:16:51"/>
    <n v="299.2"/>
    <n v="12.5"/>
    <s v="Password Reset"/>
    <s v="Application Password"/>
    <x v="2"/>
    <n v="360"/>
    <x v="1"/>
    <s v="Email"/>
    <s v="Tier 1"/>
    <s v="TECH-11"/>
    <s v="Senior"/>
    <x v="1"/>
    <s v="No"/>
    <n v="0"/>
    <s v="No"/>
    <n v="10"/>
    <n v="3.2"/>
    <n v="45"/>
    <s v="No"/>
    <s v="Good"/>
    <s v="Yes"/>
    <s v="Legal"/>
    <s v="Monday"/>
    <s v="Afternoon"/>
  </r>
  <r>
    <x v="1613"/>
    <s v="2024-05-05 14:26:22"/>
    <x v="8"/>
    <s v="2024-05-13 19:56:22"/>
    <n v="197.5"/>
    <n v="8.1999999999999993"/>
    <s v="Hardware Issues"/>
    <s v="Laptop"/>
    <x v="0"/>
    <n v="240"/>
    <x v="1"/>
    <s v="Portal"/>
    <s v="Tier 2"/>
    <s v="TECH-10"/>
    <s v="Mid-level"/>
    <x v="0"/>
    <s v="Yes"/>
    <n v="1"/>
    <s v="No"/>
    <n v="8"/>
    <n v="2.7"/>
    <n v="11.7"/>
    <s v="Yes"/>
    <s v="Good"/>
    <s v="No"/>
    <s v="Finance"/>
    <s v="Monday"/>
    <s v="Afternoon"/>
  </r>
  <r>
    <x v="1614"/>
    <s v="2024-10-24 15:48:39"/>
    <x v="2"/>
    <s v="2024-11-12 15:42:39"/>
    <n v="456.9"/>
    <n v="19"/>
    <s v="Password Reset"/>
    <s v="Email Password"/>
    <x v="2"/>
    <n v="360"/>
    <x v="0"/>
    <s v="Portal"/>
    <s v="Tier 1"/>
    <s v="TECH-10"/>
    <s v="Junior"/>
    <x v="1"/>
    <s v="No"/>
    <n v="0"/>
    <s v="No"/>
    <n v="7"/>
    <n v="2.9"/>
    <n v="26.7"/>
    <s v="Yes"/>
    <s v="Fair"/>
    <s v="Yes"/>
    <s v="Finance"/>
    <s v="Wednesday"/>
    <s v="Morning"/>
  </r>
  <r>
    <x v="1615"/>
    <s v="2024-08-02 17:19:12"/>
    <x v="1"/>
    <s v="2024-08-16 18:07:12"/>
    <n v="336.8"/>
    <n v="14"/>
    <s v="Password Reset"/>
    <s v="Windows Password"/>
    <x v="2"/>
    <n v="360"/>
    <x v="1"/>
    <s v="Phone"/>
    <s v="Tier 1"/>
    <s v="TECH-5"/>
    <s v="Mid-level"/>
    <x v="0"/>
    <s v="No"/>
    <n v="1"/>
    <s v="No"/>
    <n v="10"/>
    <n v="1.6"/>
    <n v="20.9"/>
    <s v="No"/>
    <s v="Fair"/>
    <s v="Yes"/>
    <s v="Sales"/>
    <s v="Monday"/>
    <s v="Evening"/>
  </r>
  <r>
    <x v="1616"/>
    <s v="2024-04-16 11:13:38"/>
    <x v="11"/>
    <s v="2024-04-23 09:55:38"/>
    <n v="166.7"/>
    <n v="6.9"/>
    <s v="Network Connectivity"/>
    <s v="Slow Network"/>
    <x v="0"/>
    <n v="240"/>
    <x v="1"/>
    <s v="Walk-in"/>
    <s v="Tier 1"/>
    <s v="TECH-5"/>
    <s v="Junior"/>
    <x v="0"/>
    <s v="No"/>
    <n v="1"/>
    <s v="No"/>
    <n v="9"/>
    <n v="1.5"/>
    <n v="13.1"/>
    <s v="Yes"/>
    <s v="Excellent"/>
    <s v="Yes"/>
    <s v="Finance"/>
    <s v="Tuesday"/>
    <s v="Afternoon"/>
  </r>
  <r>
    <x v="1617"/>
    <s v="2024-09-20 02:48:01"/>
    <x v="9"/>
    <s v="2024-10-02 11:24:01"/>
    <n v="272.60000000000002"/>
    <n v="11.4"/>
    <s v="Email/Calendar"/>
    <s v="Cannot Send/Receive"/>
    <x v="2"/>
    <n v="360"/>
    <x v="1"/>
    <s v="Phone"/>
    <s v="Tier 1"/>
    <s v="TECH-15"/>
    <s v="Senior"/>
    <x v="0"/>
    <s v="No"/>
    <n v="1"/>
    <s v="No"/>
    <n v="10"/>
    <n v="2.2999999999999998"/>
    <n v="20.9"/>
    <s v="Yes"/>
    <s v="Good"/>
    <s v="Yes"/>
    <s v="Marketing"/>
    <s v="Thursday"/>
    <s v="Morning"/>
  </r>
  <r>
    <x v="1618"/>
    <s v="2024-09-19 03:47:24"/>
    <x v="9"/>
    <s v="2024-09-22 17:05:24"/>
    <n v="85.3"/>
    <n v="3.6"/>
    <s v="Application Errors"/>
    <s v="Crash"/>
    <x v="1"/>
    <n v="120"/>
    <x v="1"/>
    <s v="Chat"/>
    <s v="Tier 1"/>
    <s v="TECH-19"/>
    <s v="Mid-level"/>
    <x v="0"/>
    <s v="No"/>
    <n v="1"/>
    <s v="No"/>
    <n v="8"/>
    <n v="2.7"/>
    <n v="21.7"/>
    <s v="Yes"/>
    <s v="Good"/>
    <s v="No"/>
    <s v="IT"/>
    <s v="Thursday"/>
    <s v="Afternoon"/>
  </r>
  <r>
    <x v="1619"/>
    <s v="2024-01-19 23:45:15"/>
    <x v="3"/>
    <s v="2024-01-28 01:27:15"/>
    <n v="217.7"/>
    <n v="9.1"/>
    <s v="Email/Calendar"/>
    <s v="Distribution List"/>
    <x v="0"/>
    <n v="240"/>
    <x v="1"/>
    <s v="Phone"/>
    <s v="Tier 1"/>
    <s v="TECH-11"/>
    <s v="Mid-level"/>
    <x v="1"/>
    <s v="No"/>
    <n v="0"/>
    <s v="Yes"/>
    <n v="10"/>
    <n v="4.3"/>
    <n v="26"/>
    <s v="Yes"/>
    <s v="Fair"/>
    <s v="Yes"/>
    <s v="Marketing"/>
    <s v="Friday"/>
    <s v="Afternoon"/>
  </r>
  <r>
    <x v="1620"/>
    <s v="2024-09-14 17:59:56"/>
    <x v="9"/>
    <s v="2024-10-02 13:47:56"/>
    <n v="427.8"/>
    <n v="17.8"/>
    <s v="Software Installation"/>
    <s v="Business Apps"/>
    <x v="0"/>
    <n v="240"/>
    <x v="0"/>
    <s v="Portal"/>
    <s v="Tier 2"/>
    <s v="TECH-3"/>
    <s v="Mid-level"/>
    <x v="0"/>
    <s v="Yes"/>
    <n v="4"/>
    <s v="No"/>
    <n v="7"/>
    <n v="1.8"/>
    <n v="36.700000000000003"/>
    <s v="Yes"/>
    <s v="Fair"/>
    <s v="No"/>
    <s v="Marketing"/>
    <s v="Wednesday"/>
    <s v="Evening"/>
  </r>
  <r>
    <x v="1621"/>
    <s v="2024-09-14 21:07:06"/>
    <x v="9"/>
    <s v="2024-09-23 21:43:06"/>
    <n v="216.6"/>
    <n v="9"/>
    <s v="Software Installation"/>
    <s v="VPN Client"/>
    <x v="2"/>
    <n v="360"/>
    <x v="1"/>
    <s v="Portal"/>
    <s v="Tier 2"/>
    <s v="TECH-12"/>
    <s v="Senior"/>
    <x v="0"/>
    <s v="Yes"/>
    <n v="2"/>
    <s v="No"/>
    <n v="8"/>
    <n v="4.5"/>
    <n v="14.6"/>
    <s v="Yes"/>
    <s v="Good"/>
    <s v="Yes"/>
    <s v="Marketing"/>
    <s v="Monday"/>
    <s v="Morning"/>
  </r>
  <r>
    <x v="1622"/>
    <s v="2024-03-01 09:40:00"/>
    <x v="5"/>
    <s v="2024-03-08 19:34:00"/>
    <n v="177.9"/>
    <n v="7.4"/>
    <s v="Other"/>
    <s v="Documentation"/>
    <x v="0"/>
    <n v="240"/>
    <x v="1"/>
    <s v="Email"/>
    <s v="Tier 1"/>
    <s v="TECH-22"/>
    <s v="Junior"/>
    <x v="1"/>
    <s v="No"/>
    <n v="0"/>
    <s v="No"/>
    <n v="9"/>
    <n v="1.2"/>
    <n v="43.5"/>
    <s v="Yes"/>
    <s v="Fair"/>
    <s v="Yes"/>
    <s v="HR"/>
    <s v="Tuesday"/>
    <s v="Afternoon"/>
  </r>
  <r>
    <x v="1623"/>
    <s v="2024-11-08 14:31:50"/>
    <x v="7"/>
    <s v="2024-11-17 01:43:50"/>
    <n v="227.2"/>
    <n v="9.5"/>
    <s v="Password Reset"/>
    <s v="Email Password"/>
    <x v="2"/>
    <n v="360"/>
    <x v="1"/>
    <s v="Portal"/>
    <s v="Tier 1"/>
    <s v="TECH-17"/>
    <s v="Mid-level"/>
    <x v="1"/>
    <s v="No"/>
    <n v="0"/>
    <s v="No"/>
    <n v="10"/>
    <n v="2.2999999999999998"/>
    <n v="11"/>
    <s v="Yes"/>
    <s v="Fair"/>
    <s v="Yes"/>
    <s v="HR"/>
    <s v="Tuesday"/>
    <s v="Afternoon"/>
  </r>
  <r>
    <x v="1624"/>
    <s v="2024-02-04 17:36:28"/>
    <x v="6"/>
    <s v="2024-02-13 01:36:28"/>
    <n v="224"/>
    <n v="9.3000000000000007"/>
    <s v="Software Installation"/>
    <s v="MS Office"/>
    <x v="0"/>
    <n v="240"/>
    <x v="1"/>
    <s v="Phone"/>
    <s v="Tier 1"/>
    <s v="TECH-21"/>
    <s v="Mid-level"/>
    <x v="1"/>
    <s v="No"/>
    <n v="0"/>
    <s v="No"/>
    <n v="9"/>
    <n v="0.1"/>
    <n v="16.899999999999999"/>
    <s v="Yes"/>
    <s v="Poor"/>
    <s v="Yes"/>
    <s v="HR"/>
    <s v="Thursday"/>
    <s v="Morning"/>
  </r>
  <r>
    <x v="1625"/>
    <s v="2024-06-12 19:17:35"/>
    <x v="10"/>
    <s v="2024-06-23 06:17:35"/>
    <n v="251"/>
    <n v="10.5"/>
    <s v="Hardware Issues"/>
    <s v="Monitor"/>
    <x v="1"/>
    <n v="120"/>
    <x v="0"/>
    <s v="Phone"/>
    <s v="Tier 1"/>
    <s v="TECH-3"/>
    <s v="Senior"/>
    <x v="0"/>
    <s v="No"/>
    <n v="1"/>
    <s v="No"/>
    <n v="5"/>
    <n v="5.4"/>
    <n v="8.3000000000000007"/>
    <s v="Yes"/>
    <s v="Poor"/>
    <s v="No"/>
    <s v="Marketing"/>
    <s v="Thursday"/>
    <s v="Afternoon"/>
  </r>
  <r>
    <x v="1626"/>
    <s v="2024-10-22 23:18:44"/>
    <x v="2"/>
    <s v="2024-11-10 02:36:44"/>
    <n v="436.3"/>
    <n v="18.2"/>
    <s v="Application Errors"/>
    <s v="Crash"/>
    <x v="0"/>
    <n v="240"/>
    <x v="0"/>
    <s v="Phone"/>
    <s v="Tier 2"/>
    <s v="TECH-21"/>
    <s v="Mid-level"/>
    <x v="0"/>
    <s v="Yes"/>
    <n v="3"/>
    <s v="No"/>
    <n v="3"/>
    <n v="0.1"/>
    <n v="5.9"/>
    <s v="No"/>
    <s v="Fair"/>
    <s v="No"/>
    <s v="Sales"/>
    <s v="Monday"/>
    <s v="Morning"/>
  </r>
  <r>
    <x v="1627"/>
    <s v="2024-03-08 19:35:28"/>
    <x v="5"/>
    <s v="2024-03-20 15:11:28"/>
    <n v="283.60000000000002"/>
    <n v="11.8"/>
    <s v="Other"/>
    <s v="Training Request"/>
    <x v="2"/>
    <n v="360"/>
    <x v="1"/>
    <s v="Email"/>
    <s v="Tier 1"/>
    <s v="TECH-6"/>
    <s v="Mid-level"/>
    <x v="0"/>
    <s v="No"/>
    <n v="1"/>
    <s v="No"/>
    <n v="10"/>
    <n v="0.1"/>
    <n v="39.9"/>
    <s v="No"/>
    <s v="Good"/>
    <s v="Yes"/>
    <s v="HR"/>
    <s v="Tuesday"/>
    <s v="Afternoon"/>
  </r>
  <r>
    <x v="1628"/>
    <s v="2024-04-24 15:31:47"/>
    <x v="11"/>
    <s v="2024-05-06 18:49:47"/>
    <n v="291.3"/>
    <n v="12.1"/>
    <s v="Other"/>
    <s v="Training Request"/>
    <x v="2"/>
    <n v="360"/>
    <x v="1"/>
    <s v="Email"/>
    <s v="Tier 2"/>
    <s v="TECH-7"/>
    <s v="Mid-level"/>
    <x v="0"/>
    <s v="Yes"/>
    <n v="2"/>
    <s v="No"/>
    <n v="8"/>
    <n v="1.3"/>
    <n v="9.6"/>
    <s v="Yes"/>
    <s v="Fair"/>
    <s v="No"/>
    <s v="Executive"/>
    <s v="Monday"/>
    <s v="Morning"/>
  </r>
  <r>
    <x v="1629"/>
    <s v="2024-11-11 14:28:54"/>
    <x v="7"/>
    <s v="2024-11-26 17:16:54"/>
    <n v="362.8"/>
    <n v="15.1"/>
    <s v="Other"/>
    <s v="Miscellaneous"/>
    <x v="2"/>
    <n v="360"/>
    <x v="0"/>
    <s v="Phone"/>
    <s v="Tier 1"/>
    <s v="TECH-21"/>
    <s v="Junior"/>
    <x v="0"/>
    <s v="No"/>
    <n v="1"/>
    <s v="No"/>
    <n v="4"/>
    <n v="0.9"/>
    <n v="0"/>
    <s v="Yes"/>
    <s v="Fair"/>
    <s v="Yes"/>
    <s v="IT"/>
    <s v="Wednesday"/>
    <s v="Morning"/>
  </r>
  <r>
    <x v="1630"/>
    <s v="2024-02-23 07:04:34"/>
    <x v="6"/>
    <s v="2024-03-01 05:22:34"/>
    <n v="166.3"/>
    <n v="6.9"/>
    <s v="Software Installation"/>
    <s v="Business Apps"/>
    <x v="0"/>
    <n v="240"/>
    <x v="1"/>
    <s v="Email"/>
    <s v="Tier 1"/>
    <s v="TECH-5"/>
    <s v="Mid-level"/>
    <x v="0"/>
    <s v="No"/>
    <n v="1"/>
    <s v="No"/>
    <n v="8"/>
    <n v="4.5"/>
    <n v="18.5"/>
    <s v="Yes"/>
    <s v="Good"/>
    <s v="Yes"/>
    <s v="Finance"/>
    <s v="Monday"/>
    <s v="Afternoon"/>
  </r>
  <r>
    <x v="1631"/>
    <s v="2024-08-06 17:45:19"/>
    <x v="1"/>
    <s v="2024-09-05 05:03:19"/>
    <n v="707.3"/>
    <n v="29.5"/>
    <s v="Password Reset"/>
    <s v="Windows Password"/>
    <x v="2"/>
    <n v="360"/>
    <x v="0"/>
    <s v="Email"/>
    <s v="Tier 1"/>
    <s v="TECH-15"/>
    <s v="Mid-level"/>
    <x v="1"/>
    <s v="No"/>
    <n v="0"/>
    <s v="No"/>
    <n v="8"/>
    <n v="0.1"/>
    <n v="4"/>
    <s v="Yes"/>
    <s v="Fair"/>
    <s v="Yes"/>
    <s v="HR"/>
    <s v="Wednesday"/>
    <s v="Evening"/>
  </r>
  <r>
    <x v="1632"/>
    <s v="2024-07-03 23:21:05"/>
    <x v="4"/>
    <s v="2024-07-12 20:33:05"/>
    <n v="213.2"/>
    <n v="8.9"/>
    <s v="Software Installation"/>
    <s v="Business Apps"/>
    <x v="0"/>
    <n v="240"/>
    <x v="1"/>
    <s v="Portal"/>
    <s v="Tier 1"/>
    <s v="TECH-22"/>
    <s v="Junior"/>
    <x v="1"/>
    <s v="No"/>
    <n v="0"/>
    <s v="No"/>
    <n v="10"/>
    <n v="5.0999999999999996"/>
    <n v="18.3"/>
    <s v="Yes"/>
    <s v="Fair"/>
    <s v="Yes"/>
    <s v="IT"/>
    <s v="Tuesday"/>
    <s v="Evening"/>
  </r>
  <r>
    <x v="1633"/>
    <s v="2024-04-18 13:46:03"/>
    <x v="11"/>
    <s v="2024-04-23 07:34:03"/>
    <n v="113.8"/>
    <n v="4.7"/>
    <s v="Email/Calendar"/>
    <s v="Cannot Send/Receive"/>
    <x v="1"/>
    <n v="120"/>
    <x v="1"/>
    <s v="Email"/>
    <s v="Tier 1"/>
    <s v="TECH-19"/>
    <s v="Mid-level"/>
    <x v="0"/>
    <s v="No"/>
    <n v="1"/>
    <s v="No"/>
    <n v="8"/>
    <n v="2.6"/>
    <n v="10.7"/>
    <s v="Yes"/>
    <s v="Good"/>
    <s v="No"/>
    <s v="Executive"/>
    <s v="Friday"/>
    <s v="Morning"/>
  </r>
  <r>
    <x v="1634"/>
    <s v="2024-04-11 22:24:08"/>
    <x v="11"/>
    <s v="2024-04-19 14:18:08"/>
    <n v="183.9"/>
    <n v="7.7"/>
    <s v="Other"/>
    <s v="Training Request"/>
    <x v="0"/>
    <n v="240"/>
    <x v="1"/>
    <s v="Phone"/>
    <s v="Tier 1"/>
    <s v="TECH-21"/>
    <s v="Junior"/>
    <x v="1"/>
    <s v="No"/>
    <n v="0"/>
    <s v="No"/>
    <n v="9"/>
    <n v="5.8"/>
    <n v="0"/>
    <s v="No"/>
    <s v="Poor"/>
    <s v="Yes"/>
    <s v="Legal"/>
    <s v="Monday"/>
    <s v="Morning"/>
  </r>
  <r>
    <x v="1635"/>
    <s v="2024-11-06 13:17:57"/>
    <x v="7"/>
    <s v="2024-11-12 17:59:57"/>
    <n v="148.69999999999999"/>
    <n v="6.2"/>
    <s v="Network Connectivity"/>
    <s v="Ethernet"/>
    <x v="1"/>
    <n v="120"/>
    <x v="0"/>
    <s v="Chat"/>
    <s v="Tier 1"/>
    <s v="TECH-23"/>
    <s v="Junior"/>
    <x v="0"/>
    <s v="No"/>
    <n v="1"/>
    <s v="Yes"/>
    <n v="5"/>
    <n v="3.1"/>
    <n v="20.8"/>
    <s v="Yes"/>
    <s v="Good"/>
    <s v="Yes"/>
    <s v="HR"/>
    <s v="Friday"/>
    <s v="Afternoon"/>
  </r>
  <r>
    <x v="1636"/>
    <s v="2024-02-06 09:11:08"/>
    <x v="6"/>
    <s v="2024-02-23 00:05:08"/>
    <n v="422.9"/>
    <n v="17.600000000000001"/>
    <s v="Access Requests"/>
    <s v="File Share"/>
    <x v="2"/>
    <n v="360"/>
    <x v="0"/>
    <s v="Phone"/>
    <s v="Tier 1"/>
    <s v="TECH-14"/>
    <s v="Mid-level"/>
    <x v="0"/>
    <s v="No"/>
    <n v="1"/>
    <s v="No"/>
    <n v="4"/>
    <n v="3.1"/>
    <n v="0"/>
    <s v="No"/>
    <s v="Poor"/>
    <s v="Yes"/>
    <s v="Marketing"/>
    <s v="Thursday"/>
    <s v="Evening"/>
  </r>
  <r>
    <x v="1637"/>
    <s v="2024-09-24 02:35:49"/>
    <x v="9"/>
    <s v="2024-10-30 11:17:49"/>
    <n v="849.7"/>
    <n v="35.4"/>
    <s v="Access Requests"/>
    <s v="File Share"/>
    <x v="2"/>
    <n v="360"/>
    <x v="0"/>
    <s v="Phone"/>
    <s v="Tier 1"/>
    <s v="TECH-5"/>
    <s v="Mid-level"/>
    <x v="0"/>
    <s v="No"/>
    <n v="1"/>
    <s v="No"/>
    <n v="5"/>
    <n v="3"/>
    <n v="23.5"/>
    <s v="Yes"/>
    <s v="Poor"/>
    <s v="Yes"/>
    <s v="HR"/>
    <s v="Monday"/>
    <s v="Evening"/>
  </r>
  <r>
    <x v="1638"/>
    <s v="2024-03-16 08:48:54"/>
    <x v="5"/>
    <s v="2024-03-23 19:36:54"/>
    <n v="178.8"/>
    <n v="7.5"/>
    <s v="Network Connectivity"/>
    <s v="VPN Connection"/>
    <x v="0"/>
    <n v="240"/>
    <x v="1"/>
    <s v="Phone"/>
    <s v="Tier 1"/>
    <s v="TECH-8"/>
    <s v="Junior"/>
    <x v="0"/>
    <s v="No"/>
    <n v="1"/>
    <s v="No"/>
    <n v="8"/>
    <n v="4.2"/>
    <n v="7.1"/>
    <s v="No"/>
    <s v="Good"/>
    <s v="Yes"/>
    <s v="Finance"/>
    <s v="Tuesday"/>
    <s v="Morning"/>
  </r>
  <r>
    <x v="1639"/>
    <s v="2024-08-12 20:29:05"/>
    <x v="1"/>
    <s v="2024-08-22 11:05:05"/>
    <n v="230.6"/>
    <n v="9.6"/>
    <s v="Password Reset"/>
    <s v="Application Password"/>
    <x v="2"/>
    <n v="360"/>
    <x v="1"/>
    <s v="Portal"/>
    <s v="Tier 1"/>
    <s v="TECH-23"/>
    <s v="Junior"/>
    <x v="1"/>
    <s v="No"/>
    <n v="0"/>
    <s v="No"/>
    <n v="8"/>
    <n v="4.5"/>
    <n v="0.9"/>
    <s v="Yes"/>
    <s v="Poor"/>
    <s v="No"/>
    <s v="IT"/>
    <s v="Thursday"/>
    <s v="Morning"/>
  </r>
  <r>
    <x v="1640"/>
    <s v="2024-11-19 08:12:52"/>
    <x v="7"/>
    <s v="2024-11-26 18:48:52"/>
    <n v="178.6"/>
    <n v="7.4"/>
    <s v="Email/Calendar"/>
    <s v="Distribution List"/>
    <x v="0"/>
    <n v="240"/>
    <x v="1"/>
    <s v="Email"/>
    <s v="Tier 2"/>
    <s v="TECH-18"/>
    <s v="Mid-level"/>
    <x v="0"/>
    <s v="Yes"/>
    <n v="2"/>
    <s v="No"/>
    <n v="9"/>
    <n v="2.5"/>
    <n v="0"/>
    <s v="Yes"/>
    <s v="Fair"/>
    <s v="No"/>
    <s v="Sales"/>
    <s v="Monday"/>
    <s v="Evening"/>
  </r>
  <r>
    <x v="1641"/>
    <s v="2024-06-19 17:37:31"/>
    <x v="10"/>
    <s v="2024-06-29 03:43:31"/>
    <n v="226.1"/>
    <n v="9.4"/>
    <s v="Password Reset"/>
    <s v="Email Password"/>
    <x v="2"/>
    <n v="360"/>
    <x v="1"/>
    <s v="Email"/>
    <s v="Tier 1"/>
    <s v="TECH-3"/>
    <s v="Mid-level"/>
    <x v="1"/>
    <s v="No"/>
    <n v="0"/>
    <s v="No"/>
    <n v="7"/>
    <n v="0.1"/>
    <n v="32"/>
    <s v="Yes"/>
    <s v="Poor"/>
    <s v="Yes"/>
    <s v="Operations"/>
    <s v="Friday"/>
    <s v="Morning"/>
  </r>
  <r>
    <x v="1642"/>
    <s v="2024-12-24 19:03:40"/>
    <x v="0"/>
    <s v="2025-01-05 14:21:40"/>
    <n v="283.3"/>
    <n v="11.8"/>
    <s v="Password Reset"/>
    <s v="Windows Password"/>
    <x v="2"/>
    <n v="360"/>
    <x v="1"/>
    <s v="Phone"/>
    <s v="Tier 1"/>
    <s v="TECH-1"/>
    <s v="Mid-level"/>
    <x v="0"/>
    <s v="No"/>
    <n v="1"/>
    <s v="No"/>
    <n v="6"/>
    <n v="1.3"/>
    <n v="0"/>
    <s v="No"/>
    <s v="Good"/>
    <s v="Yes"/>
    <s v="HR"/>
    <s v="Friday"/>
    <s v="Afternoon"/>
  </r>
  <r>
    <x v="1643"/>
    <s v="2024-10-25 07:32:44"/>
    <x v="2"/>
    <s v="2024-11-02 09:32:44"/>
    <n v="195"/>
    <n v="8.1"/>
    <s v="Software Installation"/>
    <s v="Business Apps"/>
    <x v="0"/>
    <n v="240"/>
    <x v="1"/>
    <s v="Email"/>
    <s v="Tier 2"/>
    <s v="TECH-13"/>
    <s v="Senior"/>
    <x v="0"/>
    <s v="Yes"/>
    <n v="4"/>
    <s v="No"/>
    <n v="5"/>
    <n v="4.0999999999999996"/>
    <n v="34.299999999999997"/>
    <s v="No"/>
    <s v="Fair"/>
    <s v="Yes"/>
    <s v="Executive"/>
    <s v="Friday"/>
    <s v="Morning"/>
  </r>
  <r>
    <x v="1644"/>
    <s v="2024-06-28 23:48:36"/>
    <x v="10"/>
    <s v="2024-08-05 23:06:36"/>
    <n v="911.3"/>
    <n v="38"/>
    <s v="Password Reset"/>
    <s v="Account Unlock"/>
    <x v="2"/>
    <n v="360"/>
    <x v="0"/>
    <s v="Portal"/>
    <s v="Tier 1"/>
    <s v="TECH-14"/>
    <s v="Mid-level"/>
    <x v="1"/>
    <s v="No"/>
    <n v="0"/>
    <s v="No"/>
    <n v="5"/>
    <n v="1.2"/>
    <n v="4.7"/>
    <s v="No"/>
    <s v="Fair"/>
    <s v="Yes"/>
    <s v="Sales"/>
    <s v="Monday"/>
    <s v="Morning"/>
  </r>
  <r>
    <x v="1645"/>
    <s v="2024-04-16 07:46:54"/>
    <x v="11"/>
    <s v="2024-04-24 15:40:54"/>
    <n v="199.9"/>
    <n v="8.3000000000000007"/>
    <s v="Password Reset"/>
    <s v="Email Password"/>
    <x v="0"/>
    <n v="240"/>
    <x v="1"/>
    <s v="Phone"/>
    <s v="Tier 1"/>
    <s v="TECH-24"/>
    <s v="Mid-level"/>
    <x v="1"/>
    <s v="No"/>
    <n v="0"/>
    <s v="Yes"/>
    <n v="10"/>
    <n v="3.9"/>
    <n v="40.9"/>
    <s v="Yes"/>
    <s v="Fair"/>
    <s v="Yes"/>
    <s v="Sales"/>
    <s v="Monday"/>
    <s v="Evening"/>
  </r>
  <r>
    <x v="1646"/>
    <s v="2024-07-09 16:40:28"/>
    <x v="4"/>
    <s v="2024-07-11 03:10:28"/>
    <n v="34.5"/>
    <n v="1.4"/>
    <s v="Other"/>
    <s v="Miscellaneous"/>
    <x v="3"/>
    <n v="48"/>
    <x v="1"/>
    <s v="Email"/>
    <s v="Tier 1"/>
    <s v="TECH-4"/>
    <s v="Mid-level"/>
    <x v="1"/>
    <s v="No"/>
    <n v="0"/>
    <s v="No"/>
    <n v="10"/>
    <n v="0.7"/>
    <n v="19.899999999999999"/>
    <s v="No"/>
    <s v="Fair"/>
    <s v="No"/>
    <s v="Finance"/>
    <s v="Monday"/>
    <s v="Morning"/>
  </r>
  <r>
    <x v="1647"/>
    <s v="2024-01-04 18:27:34"/>
    <x v="3"/>
    <s v="2024-01-10 20:57:34"/>
    <n v="146.5"/>
    <n v="6.1"/>
    <s v="Software Installation"/>
    <s v="Drivers"/>
    <x v="0"/>
    <n v="240"/>
    <x v="1"/>
    <s v="Email"/>
    <s v="Tier 1"/>
    <s v="TECH-22"/>
    <s v="Junior"/>
    <x v="0"/>
    <s v="No"/>
    <n v="1"/>
    <s v="No"/>
    <n v="8"/>
    <n v="2"/>
    <n v="41.5"/>
    <s v="Yes"/>
    <s v="Good"/>
    <s v="Yes"/>
    <s v="Legal"/>
    <s v="Tuesday"/>
    <s v="Afternoon"/>
  </r>
  <r>
    <x v="1648"/>
    <s v="2024-03-12 14:38:14"/>
    <x v="5"/>
    <s v="2024-03-19 17:20:14"/>
    <n v="170.7"/>
    <n v="7.1"/>
    <s v="Software Installation"/>
    <s v="Adobe Suite"/>
    <x v="0"/>
    <n v="240"/>
    <x v="1"/>
    <s v="Walk-in"/>
    <s v="Tier 2"/>
    <s v="TECH-24"/>
    <s v="Senior"/>
    <x v="0"/>
    <s v="Yes"/>
    <n v="4"/>
    <s v="No"/>
    <n v="10"/>
    <n v="0.1"/>
    <n v="5.4"/>
    <s v="Yes"/>
    <s v="Poor"/>
    <s v="Yes"/>
    <s v="Legal"/>
    <s v="Monday"/>
    <s v="Morning"/>
  </r>
  <r>
    <x v="1649"/>
    <s v="2024-03-04 00:33:39"/>
    <x v="5"/>
    <s v="2024-03-11 12:51:39"/>
    <n v="156.30000000000001"/>
    <n v="6.5"/>
    <s v="Software Installation"/>
    <s v="VPN Client"/>
    <x v="0"/>
    <n v="240"/>
    <x v="1"/>
    <s v="Email"/>
    <s v="Tier 1"/>
    <s v="TECH-24"/>
    <s v="Junior"/>
    <x v="0"/>
    <s v="No"/>
    <n v="1"/>
    <s v="No"/>
    <n v="10"/>
    <n v="1.8"/>
    <n v="6.6"/>
    <s v="No"/>
    <s v="Excellent"/>
    <s v="Yes"/>
    <s v="IT"/>
    <s v="Tuesday"/>
    <s v="Morning"/>
  </r>
  <r>
    <x v="1650"/>
    <s v="2024-06-24 15:30:01"/>
    <x v="10"/>
    <s v="2024-07-02 11:36:01"/>
    <n v="188.1"/>
    <n v="7.8"/>
    <s v="Other"/>
    <s v="Documentation"/>
    <x v="0"/>
    <n v="240"/>
    <x v="1"/>
    <s v="Email"/>
    <s v="Tier 1"/>
    <s v="TECH-5"/>
    <s v="Junior"/>
    <x v="0"/>
    <s v="No"/>
    <n v="1"/>
    <s v="No"/>
    <n v="8"/>
    <n v="2.6"/>
    <n v="29.9"/>
    <s v="Yes"/>
    <s v="Good"/>
    <s v="No"/>
    <s v="Marketing"/>
    <s v="Monday"/>
    <s v="Afternoon"/>
  </r>
  <r>
    <x v="1651"/>
    <s v="2024-07-15 10:07:47"/>
    <x v="4"/>
    <s v="2024-07-26 14:13:47"/>
    <n v="268.10000000000002"/>
    <n v="11.2"/>
    <s v="Hardware Issues"/>
    <s v="Docking Station"/>
    <x v="1"/>
    <n v="120"/>
    <x v="0"/>
    <s v="Phone"/>
    <s v="Tier 2"/>
    <s v="TECH-22"/>
    <s v="Mid-level"/>
    <x v="0"/>
    <s v="Yes"/>
    <n v="4"/>
    <s v="Yes"/>
    <n v="4"/>
    <n v="3.1"/>
    <n v="20.399999999999999"/>
    <s v="No"/>
    <s v="Good"/>
    <s v="Yes"/>
    <s v="Legal"/>
    <s v="Wednesday"/>
    <s v="Morning"/>
  </r>
  <r>
    <x v="1652"/>
    <s v="2024-07-15 03:11:26"/>
    <x v="4"/>
    <s v="2024-07-21 04:59:26"/>
    <n v="145.80000000000001"/>
    <n v="6.1"/>
    <s v="Application Errors"/>
    <s v="Crash"/>
    <x v="1"/>
    <n v="120"/>
    <x v="0"/>
    <s v="Email"/>
    <s v="Tier 2"/>
    <s v="TECH-11"/>
    <s v="Mid-level"/>
    <x v="0"/>
    <s v="Yes"/>
    <n v="1"/>
    <s v="No"/>
    <n v="9"/>
    <n v="2.8"/>
    <n v="0"/>
    <s v="No"/>
    <s v="Good"/>
    <s v="No"/>
    <s v="Finance"/>
    <s v="Friday"/>
    <s v="Morning"/>
  </r>
  <r>
    <x v="1653"/>
    <s v="2024-11-23 02:31:58"/>
    <x v="7"/>
    <s v="2024-12-02 00:55:58"/>
    <n v="238.4"/>
    <n v="9.9"/>
    <s v="Password Reset"/>
    <s v="Account Unlock"/>
    <x v="2"/>
    <n v="360"/>
    <x v="1"/>
    <s v="Email"/>
    <s v="Tier 1"/>
    <s v="TECH-20"/>
    <s v="Senior"/>
    <x v="1"/>
    <s v="No"/>
    <n v="0"/>
    <s v="Yes"/>
    <n v="8"/>
    <n v="0.1"/>
    <n v="0"/>
    <s v="No"/>
    <s v="Fair"/>
    <s v="Yes"/>
    <s v="Legal"/>
    <s v="Friday"/>
    <s v="Afternoon"/>
  </r>
  <r>
    <x v="1654"/>
    <s v="2024-07-07 18:06:39"/>
    <x v="4"/>
    <s v="2024-07-13 03:06:39"/>
    <n v="129"/>
    <n v="5.4"/>
    <s v="Access Requests"/>
    <s v="File Share"/>
    <x v="1"/>
    <n v="120"/>
    <x v="0"/>
    <s v="Walk-in"/>
    <s v="Tier 1"/>
    <s v="TECH-4"/>
    <s v="Junior"/>
    <x v="1"/>
    <s v="No"/>
    <n v="0"/>
    <s v="No"/>
    <n v="6"/>
    <n v="3.6"/>
    <n v="24.4"/>
    <s v="No"/>
    <s v="Fair"/>
    <s v="Yes"/>
    <s v="Executive"/>
    <s v="Tuesday"/>
    <s v="Evening"/>
  </r>
  <r>
    <x v="1655"/>
    <s v="2024-12-18 09:55:36"/>
    <x v="0"/>
    <s v="2024-12-19 17:19:36"/>
    <n v="31.4"/>
    <n v="1.3"/>
    <s v="Email/Calendar"/>
    <s v="Calendar Sync"/>
    <x v="3"/>
    <n v="48"/>
    <x v="1"/>
    <s v="Phone"/>
    <s v="Tier 1"/>
    <s v="TECH-1"/>
    <s v="Mid-level"/>
    <x v="1"/>
    <s v="No"/>
    <n v="0"/>
    <s v="No"/>
    <n v="9"/>
    <n v="3.5"/>
    <n v="13.5"/>
    <s v="No"/>
    <s v="Fair"/>
    <s v="Yes"/>
    <s v="Marketing"/>
    <s v="Tuesday"/>
    <s v="Morning"/>
  </r>
  <r>
    <x v="1656"/>
    <s v="2024-09-02 20:47:43"/>
    <x v="9"/>
    <s v="2024-09-16 07:23:43"/>
    <n v="322.60000000000002"/>
    <n v="13.4"/>
    <s v="Password Reset"/>
    <s v="Application Password"/>
    <x v="2"/>
    <n v="360"/>
    <x v="1"/>
    <s v="Phone"/>
    <s v="Tier 1"/>
    <s v="TECH-10"/>
    <s v="Mid-level"/>
    <x v="1"/>
    <s v="No"/>
    <n v="0"/>
    <s v="No"/>
    <n v="10"/>
    <n v="2.2999999999999998"/>
    <n v="0"/>
    <s v="Yes"/>
    <s v="Poor"/>
    <s v="No"/>
    <s v="HR"/>
    <s v="Monday"/>
    <s v="Morning"/>
  </r>
  <r>
    <x v="1657"/>
    <s v="2024-11-22 06:04:59"/>
    <x v="7"/>
    <s v="2024-11-25 00:40:59"/>
    <n v="90.6"/>
    <n v="3.8"/>
    <s v="Application Errors"/>
    <s v="Login Issues"/>
    <x v="1"/>
    <n v="120"/>
    <x v="1"/>
    <s v="Email"/>
    <s v="Tier 2"/>
    <s v="TECH-7"/>
    <s v="Senior"/>
    <x v="0"/>
    <s v="Yes"/>
    <n v="2"/>
    <s v="Yes"/>
    <n v="10"/>
    <n v="3.9"/>
    <n v="23.3"/>
    <s v="Yes"/>
    <s v="Poor"/>
    <s v="No"/>
    <s v="Finance"/>
    <s v="Monday"/>
    <s v="Morning"/>
  </r>
  <r>
    <x v="1658"/>
    <s v="2024-12-07 20:33:52"/>
    <x v="0"/>
    <s v="2024-12-10 01:03:52"/>
    <n v="76.5"/>
    <n v="3.2"/>
    <s v="Application Errors"/>
    <s v="Features Not Working"/>
    <x v="1"/>
    <n v="120"/>
    <x v="1"/>
    <s v="Phone"/>
    <s v="Tier 2"/>
    <s v="TECH-25"/>
    <s v="Mid-level"/>
    <x v="0"/>
    <s v="Yes"/>
    <n v="4"/>
    <s v="No"/>
    <n v="7"/>
    <n v="4.7"/>
    <n v="38.9"/>
    <s v="Yes"/>
    <s v="Fair"/>
    <s v="No"/>
    <s v="IT"/>
    <s v="Monday"/>
    <s v="Evening"/>
  </r>
  <r>
    <x v="1659"/>
    <s v="2024-09-05 15:46:53"/>
    <x v="9"/>
    <s v="2024-09-14 06:34:53"/>
    <n v="206.8"/>
    <n v="8.6"/>
    <s v="Access Requests"/>
    <s v="File Share"/>
    <x v="0"/>
    <n v="240"/>
    <x v="1"/>
    <s v="Phone"/>
    <s v="Tier 2"/>
    <s v="TECH-18"/>
    <s v="Mid-level"/>
    <x v="0"/>
    <s v="Yes"/>
    <n v="3"/>
    <s v="No"/>
    <n v="7"/>
    <n v="2.7"/>
    <n v="21"/>
    <s v="Yes"/>
    <s v="Poor"/>
    <s v="No"/>
    <s v="Executive"/>
    <s v="Thursday"/>
    <s v="Evening"/>
  </r>
  <r>
    <x v="1660"/>
    <s v="2024-09-23 20:59:25"/>
    <x v="9"/>
    <s v="2024-09-28 06:17:25"/>
    <n v="105.3"/>
    <n v="4.4000000000000004"/>
    <s v="Email/Calendar"/>
    <s v="Calendar Sync"/>
    <x v="1"/>
    <n v="120"/>
    <x v="1"/>
    <s v="Email"/>
    <s v="Tier 1"/>
    <s v="TECH-1"/>
    <s v="Mid-level"/>
    <x v="1"/>
    <s v="No"/>
    <n v="0"/>
    <s v="No"/>
    <n v="7"/>
    <n v="1.6"/>
    <n v="40.9"/>
    <s v="No"/>
    <s v="Good"/>
    <s v="No"/>
    <s v="Marketing"/>
    <s v="Friday"/>
    <s v="Afternoon"/>
  </r>
  <r>
    <x v="1661"/>
    <s v="2024-02-26 20:27:47"/>
    <x v="6"/>
    <s v="2024-03-05 04:09:47"/>
    <n v="175.7"/>
    <n v="7.3"/>
    <s v="Software Installation"/>
    <s v="Drivers"/>
    <x v="0"/>
    <n v="240"/>
    <x v="1"/>
    <s v="Email"/>
    <s v="Tier 2"/>
    <s v="TECH-19"/>
    <s v="Mid-level"/>
    <x v="0"/>
    <s v="Yes"/>
    <n v="1"/>
    <s v="Yes"/>
    <n v="7"/>
    <n v="2.5"/>
    <n v="15.3"/>
    <s v="Yes"/>
    <s v="Excellent"/>
    <s v="No"/>
    <s v="Sales"/>
    <s v="Thursday"/>
    <s v="Morning"/>
  </r>
  <r>
    <x v="1662"/>
    <s v="2024-01-03 09:16:04"/>
    <x v="3"/>
    <s v="2024-01-16 18:04:04"/>
    <n v="320.8"/>
    <n v="13.4"/>
    <s v="Other"/>
    <s v="Documentation"/>
    <x v="2"/>
    <n v="360"/>
    <x v="1"/>
    <s v="Phone"/>
    <s v="Tier 1"/>
    <s v="TECH-3"/>
    <s v="Junior"/>
    <x v="0"/>
    <s v="No"/>
    <n v="1"/>
    <s v="No"/>
    <n v="10"/>
    <n v="0.3"/>
    <n v="23.2"/>
    <s v="Yes"/>
    <s v="Poor"/>
    <s v="Yes"/>
    <s v="Legal"/>
    <s v="Friday"/>
    <s v="Morning"/>
  </r>
  <r>
    <x v="1663"/>
    <s v="2024-03-02 16:21:06"/>
    <x v="5"/>
    <s v="2024-03-13 06:27:06"/>
    <n v="254.1"/>
    <n v="10.6"/>
    <s v="Other"/>
    <s v="General Inquiry"/>
    <x v="0"/>
    <n v="240"/>
    <x v="0"/>
    <s v="Phone"/>
    <s v="Tier 2"/>
    <s v="TECH-11"/>
    <s v="Junior"/>
    <x v="0"/>
    <s v="Yes"/>
    <n v="3"/>
    <s v="Yes"/>
    <n v="4"/>
    <n v="1.1000000000000001"/>
    <n v="19"/>
    <s v="No"/>
    <s v="Poor"/>
    <s v="No"/>
    <s v="Operations"/>
    <s v="Wednesday"/>
    <s v="Morning"/>
  </r>
  <r>
    <x v="1664"/>
    <s v="2024-07-27 09:49:17"/>
    <x v="4"/>
    <s v="2024-08-09 01:43:17"/>
    <n v="327.9"/>
    <n v="13.7"/>
    <s v="Password Reset"/>
    <s v="Windows Password"/>
    <x v="2"/>
    <n v="360"/>
    <x v="1"/>
    <s v="Walk-in"/>
    <s v="Tier 1"/>
    <s v="TECH-24"/>
    <s v="Senior"/>
    <x v="1"/>
    <s v="No"/>
    <n v="0"/>
    <s v="No"/>
    <n v="8"/>
    <n v="0.1"/>
    <n v="25.8"/>
    <s v="Yes"/>
    <s v="Fair"/>
    <s v="No"/>
    <s v="Finance"/>
    <s v="Thursday"/>
    <s v="Afternoon"/>
  </r>
  <r>
    <x v="1665"/>
    <s v="2024-02-28 11:04:07"/>
    <x v="6"/>
    <s v="2024-03-21 21:40:07"/>
    <n v="538.6"/>
    <n v="22.4"/>
    <s v="Software Installation"/>
    <s v="Adobe Suite"/>
    <x v="0"/>
    <n v="240"/>
    <x v="0"/>
    <s v="Phone"/>
    <s v="Tier 1"/>
    <s v="TECH-21"/>
    <s v="Senior"/>
    <x v="1"/>
    <s v="No"/>
    <n v="0"/>
    <s v="No"/>
    <n v="8"/>
    <n v="5.7"/>
    <n v="19.600000000000001"/>
    <s v="No"/>
    <s v="Poor"/>
    <s v="No"/>
    <s v="IT"/>
    <s v="Monday"/>
    <s v="Afternoon"/>
  </r>
  <r>
    <x v="1666"/>
    <s v="2024-12-22 15:28:33"/>
    <x v="0"/>
    <s v="2024-12-27 03:52:33"/>
    <n v="108.4"/>
    <n v="4.5"/>
    <s v="Hardware Issues"/>
    <s v="Desktop"/>
    <x v="1"/>
    <n v="120"/>
    <x v="1"/>
    <s v="Email"/>
    <s v="Tier 2"/>
    <s v="TECH-9"/>
    <s v="Senior"/>
    <x v="0"/>
    <s v="Yes"/>
    <n v="4"/>
    <s v="No"/>
    <n v="9"/>
    <n v="0.1"/>
    <n v="6.4"/>
    <s v="Yes"/>
    <s v="Poor"/>
    <s v="Yes"/>
    <s v="HR"/>
    <s v="Monday"/>
    <s v="Morning"/>
  </r>
  <r>
    <x v="1667"/>
    <s v="2024-08-09 11:53:11"/>
    <x v="1"/>
    <s v="2024-08-17 02:23:11"/>
    <n v="206.5"/>
    <n v="8.6"/>
    <s v="Software Installation"/>
    <s v="Business Apps"/>
    <x v="0"/>
    <n v="240"/>
    <x v="1"/>
    <s v="Portal"/>
    <s v="Tier 1"/>
    <s v="TECH-13"/>
    <s v="Junior"/>
    <x v="0"/>
    <s v="No"/>
    <n v="1"/>
    <s v="No"/>
    <n v="10"/>
    <n v="1.8"/>
    <n v="4.5999999999999996"/>
    <s v="No"/>
    <s v="Fair"/>
    <s v="No"/>
    <s v="Operations"/>
    <s v="Monday"/>
    <s v="Morning"/>
  </r>
  <r>
    <x v="1668"/>
    <s v="2024-12-04 22:03:00"/>
    <x v="0"/>
    <s v="2025-01-17 14:15:00"/>
    <n v="1048.2"/>
    <n v="43.7"/>
    <s v="Password Reset"/>
    <s v="Windows Password"/>
    <x v="2"/>
    <n v="360"/>
    <x v="0"/>
    <s v="Portal"/>
    <s v="Tier 2"/>
    <s v="TECH-16"/>
    <s v="Junior"/>
    <x v="0"/>
    <s v="Yes"/>
    <n v="1"/>
    <s v="No"/>
    <n v="7"/>
    <n v="4.2"/>
    <n v="8.6"/>
    <s v="Yes"/>
    <s v="Fair"/>
    <s v="Yes"/>
    <s v="Legal"/>
    <s v="Thursday"/>
    <s v="Afternoon"/>
  </r>
  <r>
    <x v="1669"/>
    <s v="2024-07-30 14:52:38"/>
    <x v="4"/>
    <s v="2024-08-06 03:58:38"/>
    <n v="157.1"/>
    <n v="6.5"/>
    <s v="Other"/>
    <s v="General Inquiry"/>
    <x v="0"/>
    <n v="240"/>
    <x v="1"/>
    <s v="Email"/>
    <s v="Tier 1"/>
    <s v="TECH-7"/>
    <s v="Mid-level"/>
    <x v="1"/>
    <s v="No"/>
    <n v="0"/>
    <s v="No"/>
    <n v="9"/>
    <n v="5.2"/>
    <n v="16.899999999999999"/>
    <s v="No"/>
    <s v="Poor"/>
    <s v="Yes"/>
    <s v="Operations"/>
    <s v="Tuesday"/>
    <s v="Morning"/>
  </r>
  <r>
    <x v="1670"/>
    <s v="2024-10-12 18:02:35"/>
    <x v="2"/>
    <s v="2024-10-15 22:50:35"/>
    <n v="76.8"/>
    <n v="3.2"/>
    <s v="Application Errors"/>
    <s v="Performance"/>
    <x v="1"/>
    <n v="120"/>
    <x v="1"/>
    <s v="Email"/>
    <s v="Tier 1"/>
    <s v="TECH-14"/>
    <s v="Mid-level"/>
    <x v="1"/>
    <s v="No"/>
    <n v="0"/>
    <s v="No"/>
    <n v="9"/>
    <n v="5.3"/>
    <n v="20.6"/>
    <s v="No"/>
    <s v="Fair"/>
    <s v="Yes"/>
    <s v="Marketing"/>
    <s v="Monday"/>
    <s v="Afternoon"/>
  </r>
  <r>
    <x v="1671"/>
    <s v="2024-03-03 19:12:45"/>
    <x v="5"/>
    <s v="2024-03-10 14:54:45"/>
    <n v="163.69999999999999"/>
    <n v="6.8"/>
    <s v="Software Installation"/>
    <s v="MS Office"/>
    <x v="0"/>
    <n v="240"/>
    <x v="1"/>
    <s v="Portal"/>
    <s v="Tier 1"/>
    <s v="TECH-3"/>
    <s v="Senior"/>
    <x v="1"/>
    <s v="No"/>
    <n v="0"/>
    <s v="No"/>
    <n v="9"/>
    <n v="1.8"/>
    <n v="32"/>
    <s v="Yes"/>
    <s v="Poor"/>
    <s v="Yes"/>
    <s v="IT"/>
    <s v="Thursday"/>
    <s v="Afternoon"/>
  </r>
  <r>
    <x v="1672"/>
    <s v="2024-06-08 07:55:57"/>
    <x v="10"/>
    <s v="2024-06-21 16:49:57"/>
    <n v="320.89999999999998"/>
    <n v="13.4"/>
    <s v="Software Installation"/>
    <s v="Drivers"/>
    <x v="0"/>
    <n v="240"/>
    <x v="0"/>
    <s v="Phone"/>
    <s v="Tier 1"/>
    <s v="TECH-10"/>
    <s v="Junior"/>
    <x v="0"/>
    <s v="No"/>
    <n v="1"/>
    <s v="No"/>
    <n v="4"/>
    <n v="2"/>
    <n v="18.899999999999999"/>
    <s v="No"/>
    <s v="Fair"/>
    <s v="No"/>
    <s v="Sales"/>
    <s v="Thursday"/>
    <s v="Evening"/>
  </r>
  <r>
    <x v="1673"/>
    <s v="2024-03-31 02:04:47"/>
    <x v="5"/>
    <s v="2024-04-03 20:40:47"/>
    <n v="89.6"/>
    <n v="3.7"/>
    <s v="Application Errors"/>
    <s v="Features Not Working"/>
    <x v="1"/>
    <n v="120"/>
    <x v="1"/>
    <s v="Portal"/>
    <s v="Tier 2"/>
    <s v="TECH-4"/>
    <s v="Senior"/>
    <x v="0"/>
    <s v="Yes"/>
    <n v="1"/>
    <s v="No"/>
    <n v="8"/>
    <n v="0.6"/>
    <n v="15.2"/>
    <s v="Yes"/>
    <s v="Good"/>
    <s v="Yes"/>
    <s v="Operations"/>
    <s v="Tuesday"/>
    <s v="Afternoon"/>
  </r>
  <r>
    <x v="1674"/>
    <s v="2024-09-12 19:39:40"/>
    <x v="9"/>
    <s v="2024-09-26 06:45:40"/>
    <n v="323.10000000000002"/>
    <n v="13.5"/>
    <s v="Software Installation"/>
    <s v="MS Office"/>
    <x v="2"/>
    <n v="360"/>
    <x v="1"/>
    <s v="Phone"/>
    <s v="Tier 1"/>
    <s v="TECH-4"/>
    <s v="Mid-level"/>
    <x v="0"/>
    <s v="No"/>
    <n v="1"/>
    <s v="No"/>
    <n v="10"/>
    <n v="1.8"/>
    <n v="9.1"/>
    <s v="Yes"/>
    <s v="Fair"/>
    <s v="No"/>
    <s v="Legal"/>
    <s v="Thursday"/>
    <s v="Evening"/>
  </r>
  <r>
    <x v="1675"/>
    <s v="2024-06-06 00:20:04"/>
    <x v="10"/>
    <s v="2024-06-30 00:02:04"/>
    <n v="575.70000000000005"/>
    <n v="24"/>
    <s v="Email/Calendar"/>
    <s v="Distribution List"/>
    <x v="2"/>
    <n v="360"/>
    <x v="0"/>
    <s v="Portal"/>
    <s v="Tier 2"/>
    <s v="TECH-19"/>
    <s v="Junior"/>
    <x v="0"/>
    <s v="Yes"/>
    <n v="1"/>
    <s v="No"/>
    <n v="6"/>
    <n v="2"/>
    <n v="0"/>
    <s v="Yes"/>
    <s v="Poor"/>
    <s v="Yes"/>
    <s v="Operations"/>
    <s v="Monday"/>
    <s v="Morning"/>
  </r>
  <r>
    <x v="1676"/>
    <s v="2024-02-09 07:02:04"/>
    <x v="6"/>
    <s v="2024-02-16 06:50:04"/>
    <n v="167.8"/>
    <n v="7"/>
    <s v="Email/Calendar"/>
    <s v="Mailbox Full"/>
    <x v="0"/>
    <n v="240"/>
    <x v="1"/>
    <s v="Portal"/>
    <s v="Tier 1"/>
    <s v="TECH-17"/>
    <s v="Senior"/>
    <x v="1"/>
    <s v="No"/>
    <n v="0"/>
    <s v="Yes"/>
    <n v="10"/>
    <n v="2.6"/>
    <n v="32"/>
    <s v="No"/>
    <s v="Good"/>
    <s v="Yes"/>
    <s v="Executive"/>
    <s v="Thursday"/>
    <s v="Morning"/>
  </r>
  <r>
    <x v="1677"/>
    <s v="2024-09-28 06:44:25"/>
    <x v="9"/>
    <s v="2024-10-08 13:02:25"/>
    <n v="246.3"/>
    <n v="10.3"/>
    <s v="Password Reset"/>
    <s v="Application Password"/>
    <x v="2"/>
    <n v="360"/>
    <x v="1"/>
    <s v="Phone"/>
    <s v="Tier 1"/>
    <s v="TECH-11"/>
    <s v="Mid-level"/>
    <x v="1"/>
    <s v="No"/>
    <n v="0"/>
    <s v="No"/>
    <n v="10"/>
    <n v="2.1"/>
    <n v="1"/>
    <s v="No"/>
    <s v="Poor"/>
    <s v="No"/>
    <s v="Marketing"/>
    <s v="Monday"/>
    <s v="Afternoon"/>
  </r>
  <r>
    <x v="1678"/>
    <s v="2024-12-09 14:49:56"/>
    <x v="0"/>
    <s v="2024-12-13 02:55:56"/>
    <n v="84.1"/>
    <n v="3.5"/>
    <s v="Network Connectivity"/>
    <s v="WiFi Issues"/>
    <x v="1"/>
    <n v="120"/>
    <x v="1"/>
    <s v="Walk-in"/>
    <s v="Tier 1"/>
    <s v="TECH-24"/>
    <s v="Junior"/>
    <x v="1"/>
    <s v="No"/>
    <n v="0"/>
    <s v="No"/>
    <n v="10"/>
    <n v="2.7"/>
    <n v="14.9"/>
    <s v="Yes"/>
    <s v="Excellent"/>
    <s v="Yes"/>
    <s v="Operations"/>
    <s v="Friday"/>
    <s v="Morning"/>
  </r>
  <r>
    <x v="1679"/>
    <s v="2024-04-30 05:38:36"/>
    <x v="11"/>
    <s v="2024-05-12 22:56:36"/>
    <n v="305.3"/>
    <n v="12.7"/>
    <s v="Other"/>
    <s v="Miscellaneous"/>
    <x v="2"/>
    <n v="360"/>
    <x v="1"/>
    <s v="Phone"/>
    <s v="Tier 1"/>
    <s v="TECH-2"/>
    <s v="Junior"/>
    <x v="0"/>
    <s v="No"/>
    <n v="1"/>
    <s v="No"/>
    <n v="8"/>
    <n v="2.5"/>
    <n v="3.4"/>
    <s v="No"/>
    <s v="Poor"/>
    <s v="Yes"/>
    <s v="Sales"/>
    <s v="Thursday"/>
    <s v="Afternoon"/>
  </r>
  <r>
    <x v="1680"/>
    <s v="2024-10-07 07:43:04"/>
    <x v="2"/>
    <s v="2024-10-16 09:37:04"/>
    <n v="217.9"/>
    <n v="9.1"/>
    <s v="Access Requests"/>
    <s v="Application Access"/>
    <x v="0"/>
    <n v="240"/>
    <x v="1"/>
    <s v="Email"/>
    <s v="Tier 1"/>
    <s v="TECH-1"/>
    <s v="Junior"/>
    <x v="0"/>
    <s v="No"/>
    <n v="1"/>
    <s v="No"/>
    <n v="6"/>
    <n v="4"/>
    <n v="15.1"/>
    <s v="Yes"/>
    <s v="Fair"/>
    <s v="Yes"/>
    <s v="HR"/>
    <s v="Thursday"/>
    <s v="Afternoon"/>
  </r>
  <r>
    <x v="1681"/>
    <s v="2024-12-29 16:37:04"/>
    <x v="0"/>
    <s v="2025-01-02 16:19:04"/>
    <n v="95.7"/>
    <n v="4"/>
    <s v="Hardware Issues"/>
    <s v="Laptop"/>
    <x v="1"/>
    <n v="120"/>
    <x v="1"/>
    <s v="Walk-in"/>
    <s v="Tier 1"/>
    <s v="TECH-13"/>
    <s v="Senior"/>
    <x v="0"/>
    <s v="No"/>
    <n v="1"/>
    <s v="No"/>
    <n v="8"/>
    <n v="0.4"/>
    <n v="22.7"/>
    <s v="Yes"/>
    <s v="Good"/>
    <s v="Yes"/>
    <s v="Operations"/>
    <s v="Friday"/>
    <s v="Afternoon"/>
  </r>
  <r>
    <x v="1682"/>
    <s v="2024-05-11 00:04:38"/>
    <x v="8"/>
    <s v="2024-05-15 13:46:38"/>
    <n v="85.7"/>
    <n v="3.6"/>
    <s v="Network Connectivity"/>
    <s v="Ethernet"/>
    <x v="1"/>
    <n v="120"/>
    <x v="1"/>
    <s v="Portal"/>
    <s v="Tier 1"/>
    <s v="TECH-23"/>
    <s v="Mid-level"/>
    <x v="0"/>
    <s v="No"/>
    <n v="1"/>
    <s v="No"/>
    <n v="8"/>
    <n v="0.1"/>
    <n v="48.3"/>
    <s v="No"/>
    <s v="Good"/>
    <s v="Yes"/>
    <s v="Finance"/>
    <s v="Tuesday"/>
    <s v="Afternoon"/>
  </r>
  <r>
    <x v="1683"/>
    <s v="2024-06-23 04:28:39"/>
    <x v="10"/>
    <s v="2024-06-27 12:58:39"/>
    <n v="104.5"/>
    <n v="4.4000000000000004"/>
    <s v="Hardware Issues"/>
    <s v="Laptop"/>
    <x v="1"/>
    <n v="120"/>
    <x v="1"/>
    <s v="Phone"/>
    <s v="Tier 2"/>
    <s v="TECH-22"/>
    <s v="Senior"/>
    <x v="0"/>
    <s v="Yes"/>
    <n v="4"/>
    <s v="No"/>
    <n v="7"/>
    <n v="6.2"/>
    <n v="24.2"/>
    <s v="No"/>
    <s v="Fair"/>
    <s v="Yes"/>
    <s v="HR"/>
    <s v="Tuesday"/>
    <s v="Afternoon"/>
  </r>
  <r>
    <x v="1684"/>
    <s v="2024-02-27 11:03:32"/>
    <x v="6"/>
    <s v="2024-03-04 05:03:32"/>
    <n v="138"/>
    <n v="5.8"/>
    <s v="Other"/>
    <s v="Training Request"/>
    <x v="1"/>
    <n v="120"/>
    <x v="0"/>
    <s v="Phone"/>
    <s v="Tier 1"/>
    <s v="TECH-10"/>
    <s v="Mid-level"/>
    <x v="0"/>
    <s v="No"/>
    <n v="1"/>
    <s v="No"/>
    <n v="6"/>
    <n v="2"/>
    <n v="20.2"/>
    <s v="Yes"/>
    <s v="Poor"/>
    <s v="No"/>
    <s v="HR"/>
    <s v="Wednesday"/>
    <s v="Morning"/>
  </r>
  <r>
    <x v="1685"/>
    <s v="2024-04-20 19:44:07"/>
    <x v="11"/>
    <s v="2024-04-25 23:50:07"/>
    <n v="124.1"/>
    <n v="5.2"/>
    <s v="Application Errors"/>
    <s v="Login Issues"/>
    <x v="1"/>
    <n v="120"/>
    <x v="0"/>
    <s v="Phone"/>
    <s v="Tier 2"/>
    <s v="TECH-21"/>
    <s v="Mid-level"/>
    <x v="0"/>
    <s v="Yes"/>
    <n v="4"/>
    <s v="No"/>
    <n v="4"/>
    <n v="2.2000000000000002"/>
    <n v="6.1"/>
    <s v="No"/>
    <s v="Poor"/>
    <s v="Yes"/>
    <s v="Marketing"/>
    <s v="Wednesday"/>
    <s v="Morning"/>
  </r>
  <r>
    <x v="1686"/>
    <s v="2024-07-02 18:19:34"/>
    <x v="4"/>
    <s v="2024-07-06 12:37:34"/>
    <n v="90.3"/>
    <n v="3.8"/>
    <s v="Network Connectivity"/>
    <s v="WiFi Issues"/>
    <x v="1"/>
    <n v="120"/>
    <x v="1"/>
    <s v="Phone"/>
    <s v="Tier 2"/>
    <s v="TECH-14"/>
    <s v="Mid-level"/>
    <x v="0"/>
    <s v="Yes"/>
    <n v="2"/>
    <s v="No"/>
    <n v="10"/>
    <n v="4.0999999999999996"/>
    <n v="24"/>
    <s v="Yes"/>
    <s v="Good"/>
    <s v="No"/>
    <s v="Marketing"/>
    <s v="Tuesday"/>
    <s v="Afternoon"/>
  </r>
  <r>
    <x v="1687"/>
    <s v="2024-05-01 07:28:32"/>
    <x v="8"/>
    <s v="2024-05-10 17:04:32"/>
    <n v="225.6"/>
    <n v="9.4"/>
    <s v="Software Installation"/>
    <s v="Business Apps"/>
    <x v="2"/>
    <n v="360"/>
    <x v="1"/>
    <s v="Phone"/>
    <s v="Tier 1"/>
    <s v="TECH-20"/>
    <s v="Senior"/>
    <x v="0"/>
    <s v="No"/>
    <n v="1"/>
    <s v="No"/>
    <n v="9"/>
    <n v="0.8"/>
    <n v="35.5"/>
    <s v="No"/>
    <s v="Poor"/>
    <s v="Yes"/>
    <s v="Legal"/>
    <s v="Tuesday"/>
    <s v="Afternoon"/>
  </r>
  <r>
    <x v="1688"/>
    <s v="2024-02-22 09:59:27"/>
    <x v="6"/>
    <s v="2024-03-05 07:23:27"/>
    <n v="285.39999999999998"/>
    <n v="11.9"/>
    <s v="Password Reset"/>
    <s v="Application Password"/>
    <x v="2"/>
    <n v="360"/>
    <x v="1"/>
    <s v="Phone"/>
    <s v="Tier 1"/>
    <s v="TECH-7"/>
    <s v="Mid-level"/>
    <x v="0"/>
    <s v="No"/>
    <n v="1"/>
    <s v="No"/>
    <n v="8"/>
    <n v="5.4"/>
    <n v="23.8"/>
    <s v="No"/>
    <s v="Fair"/>
    <s v="Yes"/>
    <s v="IT"/>
    <s v="Friday"/>
    <s v="Morning"/>
  </r>
  <r>
    <x v="1689"/>
    <s v="2024-10-17 11:22:06"/>
    <x v="2"/>
    <s v="2024-10-28 15:40:06"/>
    <n v="269.3"/>
    <n v="11.2"/>
    <s v="Password Reset"/>
    <s v="Windows Password"/>
    <x v="2"/>
    <n v="360"/>
    <x v="1"/>
    <s v="Phone"/>
    <s v="Tier 1"/>
    <s v="TECH-21"/>
    <s v="Senior"/>
    <x v="0"/>
    <s v="No"/>
    <n v="1"/>
    <s v="No"/>
    <n v="10"/>
    <n v="2.1"/>
    <n v="8.6999999999999993"/>
    <s v="Yes"/>
    <s v="Poor"/>
    <s v="No"/>
    <s v="Operations"/>
    <s v="Wednesday"/>
    <s v="Morning"/>
  </r>
  <r>
    <x v="1690"/>
    <s v="2024-01-05 17:12:37"/>
    <x v="3"/>
    <s v="2024-01-12 18:30:37"/>
    <n v="169.3"/>
    <n v="7.1"/>
    <s v="Access Requests"/>
    <s v="Admin Rights"/>
    <x v="0"/>
    <n v="240"/>
    <x v="1"/>
    <s v="Walk-in"/>
    <s v="Tier 1"/>
    <s v="TECH-11"/>
    <s v="Mid-level"/>
    <x v="0"/>
    <s v="No"/>
    <n v="1"/>
    <s v="No"/>
    <n v="7"/>
    <n v="3.8"/>
    <n v="0"/>
    <s v="No"/>
    <s v="Fair"/>
    <s v="No"/>
    <s v="Marketing"/>
    <s v="Friday"/>
    <s v="Evening"/>
  </r>
  <r>
    <x v="1691"/>
    <s v="2024-07-19 14:21:12"/>
    <x v="4"/>
    <s v="2024-07-22 17:03:12"/>
    <n v="74.7"/>
    <n v="3.1"/>
    <s v="Hardware Issues"/>
    <s v="Printer"/>
    <x v="1"/>
    <n v="120"/>
    <x v="1"/>
    <s v="Phone"/>
    <s v="Tier 2"/>
    <s v="TECH-13"/>
    <s v="Mid-level"/>
    <x v="0"/>
    <s v="Yes"/>
    <n v="3"/>
    <s v="Yes"/>
    <n v="8"/>
    <n v="1.7"/>
    <n v="31"/>
    <s v="No"/>
    <s v="Fair"/>
    <s v="Yes"/>
    <s v="Finance"/>
    <s v="Tuesday"/>
    <s v="Evening"/>
  </r>
  <r>
    <x v="1692"/>
    <s v="2024-07-23 07:03:21"/>
    <x v="4"/>
    <s v="2024-07-26 23:21:21"/>
    <n v="88.3"/>
    <n v="3.7"/>
    <s v="Application Errors"/>
    <s v="Performance"/>
    <x v="1"/>
    <n v="120"/>
    <x v="1"/>
    <s v="Phone"/>
    <s v="Tier 2"/>
    <s v="TECH-22"/>
    <s v="Mid-level"/>
    <x v="0"/>
    <s v="Yes"/>
    <n v="1"/>
    <s v="No"/>
    <n v="7"/>
    <n v="2.2000000000000002"/>
    <n v="22.7"/>
    <s v="Yes"/>
    <s v="Poor"/>
    <s v="Yes"/>
    <s v="Legal"/>
    <s v="Friday"/>
    <s v="Afternoon"/>
  </r>
  <r>
    <x v="1693"/>
    <s v="2024-05-05 16:46:49"/>
    <x v="8"/>
    <s v="2024-05-07 14:04:49"/>
    <n v="45.3"/>
    <n v="1.9"/>
    <s v="Network Connectivity"/>
    <s v="VPN Connection"/>
    <x v="3"/>
    <n v="48"/>
    <x v="1"/>
    <s v="Phone"/>
    <s v="Tier 1"/>
    <s v="TECH-5"/>
    <s v="Mid-level"/>
    <x v="0"/>
    <s v="No"/>
    <n v="1"/>
    <s v="No"/>
    <n v="7"/>
    <n v="0.5"/>
    <n v="15.8"/>
    <s v="Yes"/>
    <s v="Good"/>
    <s v="Yes"/>
    <s v="Finance"/>
    <s v="Friday"/>
    <s v="Morning"/>
  </r>
  <r>
    <x v="1694"/>
    <s v="2024-11-09 14:03:01"/>
    <x v="7"/>
    <s v="2024-11-14 00:21:01"/>
    <n v="130.30000000000001"/>
    <n v="5.4"/>
    <s v="Application Errors"/>
    <s v="Performance"/>
    <x v="1"/>
    <n v="120"/>
    <x v="0"/>
    <s v="Phone"/>
    <s v="Tier 2"/>
    <s v="TECH-9"/>
    <s v="Mid-level"/>
    <x v="0"/>
    <s v="Yes"/>
    <n v="3"/>
    <s v="No"/>
    <n v="7"/>
    <n v="5.2"/>
    <n v="10.8"/>
    <s v="Yes"/>
    <s v="Good"/>
    <s v="No"/>
    <s v="Marketing"/>
    <s v="Wednesday"/>
    <s v="Morning"/>
  </r>
  <r>
    <x v="1695"/>
    <s v="2024-03-30 02:07:32"/>
    <x v="5"/>
    <s v="2024-04-01 07:01:32"/>
    <n v="51.9"/>
    <n v="2.2000000000000002"/>
    <s v="Hardware Issues"/>
    <s v="Printer"/>
    <x v="3"/>
    <n v="48"/>
    <x v="0"/>
    <s v="Portal"/>
    <s v="Tier 1"/>
    <s v="TECH-12"/>
    <s v="Senior"/>
    <x v="1"/>
    <s v="No"/>
    <n v="0"/>
    <s v="Yes"/>
    <n v="5"/>
    <n v="4.2"/>
    <n v="47.1"/>
    <s v="No"/>
    <s v="Fair"/>
    <s v="Yes"/>
    <s v="IT"/>
    <s v="Thursday"/>
    <s v="Evening"/>
  </r>
  <r>
    <x v="1696"/>
    <s v="2024-09-05 00:03:11"/>
    <x v="9"/>
    <s v="2024-09-10 05:57:11"/>
    <n v="101.9"/>
    <n v="4.2"/>
    <s v="Hardware Issues"/>
    <s v="Laptop"/>
    <x v="1"/>
    <n v="120"/>
    <x v="1"/>
    <s v="Email"/>
    <s v="Tier 1"/>
    <s v="TECH-16"/>
    <s v="Senior"/>
    <x v="0"/>
    <s v="No"/>
    <n v="1"/>
    <s v="Yes"/>
    <n v="10"/>
    <n v="2.2000000000000002"/>
    <n v="0"/>
    <s v="Yes"/>
    <s v="Good"/>
    <s v="No"/>
    <s v="Executive"/>
    <s v="Tuesday"/>
    <s v="Afternoon"/>
  </r>
  <r>
    <x v="1697"/>
    <s v="2024-04-17 14:35:25"/>
    <x v="11"/>
    <s v="2024-04-24 09:17:25"/>
    <n v="162.69999999999999"/>
    <n v="6.8"/>
    <s v="Software Installation"/>
    <s v="Business Apps"/>
    <x v="0"/>
    <n v="240"/>
    <x v="1"/>
    <s v="Phone"/>
    <s v="Tier 2"/>
    <s v="TECH-1"/>
    <s v="Senior"/>
    <x v="0"/>
    <s v="Yes"/>
    <n v="4"/>
    <s v="No"/>
    <n v="6"/>
    <n v="0.1"/>
    <n v="18.2"/>
    <s v="No"/>
    <s v="Excellent"/>
    <s v="No"/>
    <s v="Legal"/>
    <s v="Wednesday"/>
    <s v="Evening"/>
  </r>
  <r>
    <x v="1698"/>
    <s v="2024-10-10 01:21:22"/>
    <x v="2"/>
    <s v="2024-10-23 04:39:22"/>
    <n v="291.3"/>
    <n v="12.1"/>
    <s v="Email/Calendar"/>
    <s v="Mailbox Full"/>
    <x v="2"/>
    <n v="360"/>
    <x v="1"/>
    <s v="Walk-in"/>
    <s v="Tier 1"/>
    <s v="TECH-23"/>
    <s v="Junior"/>
    <x v="1"/>
    <s v="No"/>
    <n v="0"/>
    <s v="No"/>
    <n v="10"/>
    <n v="6.6"/>
    <n v="18"/>
    <s v="Yes"/>
    <s v="Poor"/>
    <s v="Yes"/>
    <s v="Marketing"/>
    <s v="Wednesday"/>
    <s v="Evening"/>
  </r>
  <r>
    <x v="1699"/>
    <s v="2024-01-05 04:59:25"/>
    <x v="3"/>
    <s v="2024-01-11 11:11:25"/>
    <n v="150.19999999999999"/>
    <n v="6.3"/>
    <s v="Network Connectivity"/>
    <s v="Ethernet"/>
    <x v="0"/>
    <n v="240"/>
    <x v="1"/>
    <s v="Phone"/>
    <s v="Tier 2"/>
    <s v="TECH-9"/>
    <s v="Mid-level"/>
    <x v="0"/>
    <s v="Yes"/>
    <n v="4"/>
    <s v="No"/>
    <n v="6"/>
    <n v="0.7"/>
    <n v="0"/>
    <s v="Yes"/>
    <s v="Good"/>
    <s v="Yes"/>
    <s v="Marketing"/>
    <s v="Friday"/>
    <s v="Afternoon"/>
  </r>
  <r>
    <x v="1700"/>
    <s v="2024-09-08 13:05:46"/>
    <x v="9"/>
    <s v="2024-10-06 21:47:46"/>
    <n v="680.7"/>
    <n v="28.4"/>
    <s v="Access Requests"/>
    <s v="File Share"/>
    <x v="0"/>
    <n v="240"/>
    <x v="0"/>
    <s v="Email"/>
    <s v="Tier 1"/>
    <s v="TECH-3"/>
    <s v="Mid-level"/>
    <x v="1"/>
    <s v="No"/>
    <n v="0"/>
    <s v="No"/>
    <n v="9"/>
    <n v="0.7"/>
    <n v="23.6"/>
    <s v="Yes"/>
    <s v="Poor"/>
    <s v="Yes"/>
    <s v="IT"/>
    <s v="Friday"/>
    <s v="Morning"/>
  </r>
  <r>
    <x v="1701"/>
    <s v="2024-02-02 19:38:39"/>
    <x v="6"/>
    <s v="2024-02-07 13:20:39"/>
    <n v="113.7"/>
    <n v="4.7"/>
    <s v="Hardware Issues"/>
    <s v="Printer"/>
    <x v="1"/>
    <n v="120"/>
    <x v="1"/>
    <s v="Walk-in"/>
    <s v="Tier 2"/>
    <s v="TECH-8"/>
    <s v="Mid-level"/>
    <x v="0"/>
    <s v="Yes"/>
    <n v="4"/>
    <s v="No"/>
    <n v="8"/>
    <n v="2.2999999999999998"/>
    <n v="27.6"/>
    <s v="Yes"/>
    <s v="Good"/>
    <s v="No"/>
    <s v="Executive"/>
    <s v="Monday"/>
    <s v="Morning"/>
  </r>
  <r>
    <x v="1702"/>
    <s v="2024-03-07 17:23:10"/>
    <x v="5"/>
    <s v="2024-03-11 21:17:10"/>
    <n v="99.9"/>
    <n v="4.2"/>
    <s v="Application Errors"/>
    <s v="Crash"/>
    <x v="1"/>
    <n v="120"/>
    <x v="1"/>
    <s v="Email"/>
    <s v="Tier 2"/>
    <s v="TECH-3"/>
    <s v="Senior"/>
    <x v="0"/>
    <s v="Yes"/>
    <n v="1"/>
    <s v="No"/>
    <n v="9"/>
    <n v="3.6"/>
    <n v="0"/>
    <s v="No"/>
    <s v="Good"/>
    <s v="Yes"/>
    <s v="Executive"/>
    <s v="Thursday"/>
    <s v="Evening"/>
  </r>
  <r>
    <x v="1703"/>
    <s v="2024-04-10 21:22:13"/>
    <x v="11"/>
    <s v="2024-05-01 14:04:13"/>
    <n v="496.7"/>
    <n v="20.7"/>
    <s v="Password Reset"/>
    <s v="Email Password"/>
    <x v="2"/>
    <n v="360"/>
    <x v="0"/>
    <s v="Email"/>
    <s v="Tier 1"/>
    <s v="TECH-17"/>
    <s v="Mid-level"/>
    <x v="0"/>
    <s v="No"/>
    <n v="1"/>
    <s v="No"/>
    <n v="3"/>
    <n v="6.1"/>
    <n v="25.6"/>
    <s v="Yes"/>
    <s v="Good"/>
    <s v="Yes"/>
    <s v="Finance"/>
    <s v="Thursday"/>
    <s v="Morning"/>
  </r>
  <r>
    <x v="1704"/>
    <s v="2024-06-11 00:51:46"/>
    <x v="10"/>
    <s v="2024-06-19 02:57:46"/>
    <n v="194.1"/>
    <n v="8.1"/>
    <s v="Hardware Issues"/>
    <s v="Desktop"/>
    <x v="0"/>
    <n v="240"/>
    <x v="1"/>
    <s v="Portal"/>
    <s v="Tier 1"/>
    <s v="TECH-25"/>
    <s v="Mid-level"/>
    <x v="0"/>
    <s v="No"/>
    <n v="1"/>
    <s v="No"/>
    <n v="9"/>
    <n v="2.8"/>
    <n v="16.2"/>
    <s v="Yes"/>
    <s v="Fair"/>
    <s v="Yes"/>
    <s v="Marketing"/>
    <s v="Friday"/>
    <s v="Morning"/>
  </r>
  <r>
    <x v="1705"/>
    <s v="2024-12-12 05:36:17"/>
    <x v="0"/>
    <s v="2024-12-15 08:12:17"/>
    <n v="74.599999999999994"/>
    <n v="3.1"/>
    <s v="Network Connectivity"/>
    <s v="WiFi Issues"/>
    <x v="1"/>
    <n v="120"/>
    <x v="1"/>
    <s v="Email"/>
    <s v="Tier 1"/>
    <s v="TECH-8"/>
    <s v="Senior"/>
    <x v="1"/>
    <s v="No"/>
    <n v="0"/>
    <s v="No"/>
    <n v="8"/>
    <n v="3.5"/>
    <n v="11.8"/>
    <s v="No"/>
    <s v="Fair"/>
    <s v="No"/>
    <s v="Finance"/>
    <s v="Wednesday"/>
    <s v="Morning"/>
  </r>
  <r>
    <x v="1706"/>
    <s v="2024-05-04 15:47:26"/>
    <x v="8"/>
    <s v="2024-05-12 22:23:26"/>
    <n v="198.6"/>
    <n v="8.3000000000000007"/>
    <s v="Software Installation"/>
    <s v="Business Apps"/>
    <x v="0"/>
    <n v="240"/>
    <x v="1"/>
    <s v="Walk-in"/>
    <s v="Tier 1"/>
    <s v="TECH-16"/>
    <s v="Mid-level"/>
    <x v="0"/>
    <s v="No"/>
    <n v="1"/>
    <s v="No"/>
    <n v="9"/>
    <n v="0.1"/>
    <n v="5"/>
    <s v="Yes"/>
    <s v="Fair"/>
    <s v="Yes"/>
    <s v="IT"/>
    <s v="Thursday"/>
    <s v="Morning"/>
  </r>
  <r>
    <x v="1707"/>
    <s v="2024-02-20 23:24:26"/>
    <x v="6"/>
    <s v="2024-03-05 21:42:26"/>
    <n v="334.3"/>
    <n v="13.9"/>
    <s v="Access Requests"/>
    <s v="VPN Access"/>
    <x v="1"/>
    <n v="120"/>
    <x v="0"/>
    <s v="Portal"/>
    <s v="Tier 1"/>
    <s v="TECH-16"/>
    <s v="Mid-level"/>
    <x v="1"/>
    <s v="No"/>
    <n v="0"/>
    <s v="No"/>
    <n v="9"/>
    <n v="3.1"/>
    <n v="27.2"/>
    <s v="Yes"/>
    <s v="Fair"/>
    <s v="No"/>
    <s v="IT"/>
    <s v="Wednesday"/>
    <s v="Afternoon"/>
  </r>
  <r>
    <x v="1708"/>
    <s v="2024-12-10 17:32:41"/>
    <x v="0"/>
    <s v="2024-12-22 08:32:41"/>
    <n v="279"/>
    <n v="11.6"/>
    <s v="Software Installation"/>
    <s v="Drivers"/>
    <x v="2"/>
    <n v="360"/>
    <x v="1"/>
    <s v="Email"/>
    <s v="Tier 1"/>
    <s v="TECH-21"/>
    <s v="Junior"/>
    <x v="0"/>
    <s v="No"/>
    <n v="1"/>
    <s v="No"/>
    <n v="7"/>
    <n v="2"/>
    <n v="26.3"/>
    <s v="No"/>
    <s v="Fair"/>
    <s v="Yes"/>
    <s v="Sales"/>
    <s v="Thursday"/>
    <s v="Afternoon"/>
  </r>
  <r>
    <x v="1709"/>
    <s v="2024-07-04 10:27:16"/>
    <x v="4"/>
    <s v="2024-07-23 15:39:16"/>
    <n v="461.2"/>
    <n v="19.2"/>
    <s v="Password Reset"/>
    <s v="Email Password"/>
    <x v="2"/>
    <n v="360"/>
    <x v="0"/>
    <s v="Portal"/>
    <s v="Tier 1"/>
    <s v="TECH-3"/>
    <s v="Mid-level"/>
    <x v="0"/>
    <s v="No"/>
    <n v="1"/>
    <s v="Yes"/>
    <n v="7"/>
    <n v="3.4"/>
    <n v="25.6"/>
    <s v="Yes"/>
    <s v="Fair"/>
    <s v="Yes"/>
    <s v="Legal"/>
    <s v="Tuesday"/>
    <s v="Morning"/>
  </r>
  <r>
    <x v="1710"/>
    <s v="2024-06-22 00:34:27"/>
    <x v="10"/>
    <s v="2024-07-01 13:16:27"/>
    <n v="204.7"/>
    <n v="8.5"/>
    <s v="Software Installation"/>
    <s v="VPN Client"/>
    <x v="0"/>
    <n v="240"/>
    <x v="1"/>
    <s v="Phone"/>
    <s v="Tier 1"/>
    <s v="TECH-22"/>
    <s v="Mid-level"/>
    <x v="0"/>
    <s v="No"/>
    <n v="1"/>
    <s v="No"/>
    <n v="10"/>
    <n v="1.4"/>
    <n v="17.7"/>
    <s v="Yes"/>
    <s v="Fair"/>
    <s v="Yes"/>
    <s v="HR"/>
    <s v="Friday"/>
    <s v="Afternoon"/>
  </r>
  <r>
    <x v="1711"/>
    <s v="2024-01-24 20:20:50"/>
    <x v="3"/>
    <s v="2024-02-07 02:02:50"/>
    <n v="317.7"/>
    <n v="13.2"/>
    <s v="Other"/>
    <s v="General Inquiry"/>
    <x v="2"/>
    <n v="360"/>
    <x v="1"/>
    <s v="Phone"/>
    <s v="Tier 1"/>
    <s v="TECH-22"/>
    <s v="Senior"/>
    <x v="1"/>
    <s v="No"/>
    <n v="0"/>
    <s v="No"/>
    <n v="8"/>
    <n v="1.5"/>
    <n v="11"/>
    <s v="Yes"/>
    <s v="Good"/>
    <s v="No"/>
    <s v="Operations"/>
    <s v="Friday"/>
    <s v="Evening"/>
  </r>
  <r>
    <x v="1712"/>
    <s v="2024-05-11 17:29:14"/>
    <x v="8"/>
    <s v="2024-05-24 18:47:14"/>
    <n v="313.3"/>
    <n v="13.1"/>
    <s v="Other"/>
    <s v="Training Request"/>
    <x v="0"/>
    <n v="240"/>
    <x v="0"/>
    <s v="Phone"/>
    <s v="Tier 1"/>
    <s v="TECH-8"/>
    <s v="Senior"/>
    <x v="1"/>
    <s v="No"/>
    <n v="0"/>
    <s v="No"/>
    <n v="5"/>
    <n v="2"/>
    <n v="16.8"/>
    <s v="Yes"/>
    <s v="Good"/>
    <s v="Yes"/>
    <s v="Operations"/>
    <s v="Wednesday"/>
    <s v="Morning"/>
  </r>
  <r>
    <x v="1713"/>
    <s v="2024-05-21 05:35:29"/>
    <x v="8"/>
    <s v="2024-05-25 03:59:29"/>
    <n v="94.4"/>
    <n v="3.9"/>
    <s v="Network Connectivity"/>
    <s v="Ethernet"/>
    <x v="1"/>
    <n v="120"/>
    <x v="1"/>
    <s v="Portal"/>
    <s v="Tier 1"/>
    <s v="TECH-4"/>
    <s v="Senior"/>
    <x v="1"/>
    <s v="No"/>
    <n v="0"/>
    <s v="No"/>
    <n v="8"/>
    <n v="2.4"/>
    <n v="24.6"/>
    <s v="Yes"/>
    <s v="Fair"/>
    <s v="Yes"/>
    <s v="Finance"/>
    <s v="Thursday"/>
    <s v="Evening"/>
  </r>
  <r>
    <x v="1714"/>
    <s v="2024-05-31 04:06:31"/>
    <x v="8"/>
    <s v="2024-06-03 21:00:31"/>
    <n v="88.9"/>
    <n v="3.7"/>
    <s v="Email/Calendar"/>
    <s v="Mailbox Full"/>
    <x v="1"/>
    <n v="120"/>
    <x v="1"/>
    <s v="Portal"/>
    <s v="Tier 1"/>
    <s v="TECH-15"/>
    <s v="Mid-level"/>
    <x v="0"/>
    <s v="No"/>
    <n v="1"/>
    <s v="Yes"/>
    <n v="7"/>
    <n v="3.5"/>
    <n v="21.2"/>
    <s v="Yes"/>
    <s v="Fair"/>
    <s v="No"/>
    <s v="HR"/>
    <s v="Wednesday"/>
    <s v="Morning"/>
  </r>
  <r>
    <x v="1715"/>
    <s v="2024-08-28 21:30:19"/>
    <x v="1"/>
    <s v="2024-09-19 18:36:19"/>
    <n v="525.1"/>
    <n v="21.9"/>
    <s v="Access Requests"/>
    <s v="File Share"/>
    <x v="2"/>
    <n v="360"/>
    <x v="0"/>
    <s v="Phone"/>
    <s v="Tier 1"/>
    <s v="TECH-6"/>
    <s v="Mid-level"/>
    <x v="0"/>
    <s v="No"/>
    <n v="1"/>
    <s v="No"/>
    <n v="3"/>
    <n v="2"/>
    <n v="26.6"/>
    <s v="No"/>
    <s v="Excellent"/>
    <s v="No"/>
    <s v="Executive"/>
    <s v="Thursday"/>
    <s v="Morning"/>
  </r>
  <r>
    <x v="1716"/>
    <s v="2024-07-05 21:41:44"/>
    <x v="4"/>
    <s v="2024-07-08 23:53:44"/>
    <n v="74.2"/>
    <n v="3.1"/>
    <s v="Application Errors"/>
    <s v="Performance"/>
    <x v="1"/>
    <n v="120"/>
    <x v="1"/>
    <s v="Phone"/>
    <s v="Tier 1"/>
    <s v="TECH-1"/>
    <s v="Mid-level"/>
    <x v="0"/>
    <s v="No"/>
    <n v="1"/>
    <s v="Yes"/>
    <n v="9"/>
    <n v="4.5999999999999996"/>
    <n v="35.200000000000003"/>
    <s v="Yes"/>
    <s v="Fair"/>
    <s v="No"/>
    <s v="IT"/>
    <s v="Tuesday"/>
    <s v="Afternoon"/>
  </r>
  <r>
    <x v="1717"/>
    <s v="2024-10-08 21:29:46"/>
    <x v="2"/>
    <s v="2024-10-17 06:41:46"/>
    <n v="201.2"/>
    <n v="8.4"/>
    <s v="Software Installation"/>
    <s v="Adobe Suite"/>
    <x v="0"/>
    <n v="240"/>
    <x v="1"/>
    <s v="Portal"/>
    <s v="Tier 2"/>
    <s v="TECH-7"/>
    <s v="Mid-level"/>
    <x v="0"/>
    <s v="Yes"/>
    <n v="4"/>
    <s v="No"/>
    <n v="6"/>
    <n v="2.8"/>
    <n v="0"/>
    <s v="No"/>
    <s v="Fair"/>
    <s v="No"/>
    <s v="Legal"/>
    <s v="Monday"/>
    <s v="Morning"/>
  </r>
  <r>
    <x v="1718"/>
    <s v="2024-06-13 03:10:36"/>
    <x v="10"/>
    <s v="2024-06-27 22:52:36"/>
    <n v="355.7"/>
    <n v="14.8"/>
    <s v="Password Reset"/>
    <s v="Account Unlock"/>
    <x v="0"/>
    <n v="240"/>
    <x v="0"/>
    <s v="Email"/>
    <s v="Tier 1"/>
    <s v="TECH-11"/>
    <s v="Senior"/>
    <x v="0"/>
    <s v="No"/>
    <n v="1"/>
    <s v="No"/>
    <n v="5"/>
    <n v="3.2"/>
    <n v="27"/>
    <s v="Yes"/>
    <s v="Poor"/>
    <s v="No"/>
    <s v="Finance"/>
    <s v="Tuesday"/>
    <s v="Evening"/>
  </r>
  <r>
    <x v="1719"/>
    <s v="2024-02-05 02:16:12"/>
    <x v="6"/>
    <s v="2024-02-14 12:52:12"/>
    <n v="226.6"/>
    <n v="9.4"/>
    <s v="Access Requests"/>
    <s v="Application Access"/>
    <x v="0"/>
    <n v="240"/>
    <x v="1"/>
    <s v="Phone"/>
    <s v="Tier 1"/>
    <s v="TECH-18"/>
    <s v="Mid-level"/>
    <x v="0"/>
    <s v="No"/>
    <n v="1"/>
    <s v="Yes"/>
    <n v="10"/>
    <n v="0.5"/>
    <n v="15.8"/>
    <s v="Yes"/>
    <s v="Poor"/>
    <s v="Yes"/>
    <s v="HR"/>
    <s v="Tuesday"/>
    <s v="Morning"/>
  </r>
  <r>
    <x v="1720"/>
    <s v="2024-10-03 05:17:28"/>
    <x v="2"/>
    <s v="2024-10-16 00:05:28"/>
    <n v="330.8"/>
    <n v="13.8"/>
    <s v="Application Errors"/>
    <s v="Features Not Working"/>
    <x v="2"/>
    <n v="360"/>
    <x v="1"/>
    <s v="Email"/>
    <s v="Tier 1"/>
    <s v="TECH-13"/>
    <s v="Mid-level"/>
    <x v="1"/>
    <s v="No"/>
    <n v="0"/>
    <s v="No"/>
    <n v="10"/>
    <n v="0.3"/>
    <n v="31.7"/>
    <s v="No"/>
    <s v="Poor"/>
    <s v="No"/>
    <s v="Legal"/>
    <s v="Wednesday"/>
    <s v="Morning"/>
  </r>
  <r>
    <x v="1721"/>
    <s v="2024-03-15 09:20:40"/>
    <x v="5"/>
    <s v="2024-03-24 18:02:40"/>
    <n v="224.7"/>
    <n v="9.4"/>
    <s v="Password Reset"/>
    <s v="Email Password"/>
    <x v="2"/>
    <n v="360"/>
    <x v="1"/>
    <s v="Email"/>
    <s v="Tier 1"/>
    <s v="TECH-1"/>
    <s v="Junior"/>
    <x v="1"/>
    <s v="No"/>
    <n v="0"/>
    <s v="Yes"/>
    <n v="8"/>
    <n v="3.8"/>
    <n v="20.100000000000001"/>
    <s v="No"/>
    <s v="Good"/>
    <s v="Yes"/>
    <s v="Finance"/>
    <s v="Tuesday"/>
    <s v="Afternoon"/>
  </r>
  <r>
    <x v="1722"/>
    <s v="2024-07-25 11:16:33"/>
    <x v="4"/>
    <s v="2024-07-29 05:46:33"/>
    <n v="90.5"/>
    <n v="3.8"/>
    <s v="Network Connectivity"/>
    <s v="VPN Connection"/>
    <x v="1"/>
    <n v="120"/>
    <x v="1"/>
    <s v="Email"/>
    <s v="Tier 1"/>
    <s v="TECH-1"/>
    <s v="Mid-level"/>
    <x v="1"/>
    <s v="No"/>
    <n v="0"/>
    <s v="No"/>
    <n v="8"/>
    <n v="0.1"/>
    <n v="0.9"/>
    <s v="Yes"/>
    <s v="Fair"/>
    <s v="Yes"/>
    <s v="Marketing"/>
    <s v="Tuesday"/>
    <s v="Morning"/>
  </r>
  <r>
    <x v="1723"/>
    <s v="2024-04-12 21:47:28"/>
    <x v="11"/>
    <s v="2024-04-21 04:17:28"/>
    <n v="198.5"/>
    <n v="8.3000000000000007"/>
    <s v="Password Reset"/>
    <s v="Account Unlock"/>
    <x v="0"/>
    <n v="240"/>
    <x v="1"/>
    <s v="Portal"/>
    <s v="Tier 1"/>
    <s v="TECH-6"/>
    <s v="Junior"/>
    <x v="1"/>
    <s v="No"/>
    <n v="0"/>
    <s v="No"/>
    <n v="9"/>
    <n v="2.2999999999999998"/>
    <n v="28.6"/>
    <s v="No"/>
    <s v="Fair"/>
    <s v="Yes"/>
    <s v="Executive"/>
    <s v="Monday"/>
    <s v="Morning"/>
  </r>
  <r>
    <x v="1724"/>
    <s v="2024-11-20 20:46:39"/>
    <x v="7"/>
    <s v="2024-12-26 04:28:39"/>
    <n v="847.7"/>
    <n v="35.299999999999997"/>
    <s v="Password Reset"/>
    <s v="Application Password"/>
    <x v="2"/>
    <n v="360"/>
    <x v="0"/>
    <s v="Phone"/>
    <s v="Tier 1"/>
    <s v="TECH-22"/>
    <s v="Mid-level"/>
    <x v="1"/>
    <s v="No"/>
    <n v="0"/>
    <s v="Yes"/>
    <n v="7"/>
    <n v="3.1"/>
    <n v="41.6"/>
    <s v="Yes"/>
    <s v="Good"/>
    <s v="No"/>
    <s v="IT"/>
    <s v="Friday"/>
    <s v="Afternoon"/>
  </r>
  <r>
    <x v="1725"/>
    <s v="2024-02-15 18:17:44"/>
    <x v="6"/>
    <s v="2024-02-23 01:11:44"/>
    <n v="198.9"/>
    <n v="8.3000000000000007"/>
    <s v="Hardware Issues"/>
    <s v="Printer"/>
    <x v="0"/>
    <n v="240"/>
    <x v="1"/>
    <s v="Portal"/>
    <s v="Tier 1"/>
    <s v="TECH-16"/>
    <s v="Senior"/>
    <x v="0"/>
    <s v="No"/>
    <n v="1"/>
    <s v="No"/>
    <n v="8"/>
    <n v="2.5"/>
    <n v="10.8"/>
    <s v="Yes"/>
    <s v="Excellent"/>
    <s v="Yes"/>
    <s v="Operations"/>
    <s v="Thursday"/>
    <s v="Morning"/>
  </r>
  <r>
    <x v="1726"/>
    <s v="2024-03-09 13:03:22"/>
    <x v="5"/>
    <s v="2024-03-11 08:27:22"/>
    <n v="43.4"/>
    <n v="1.8"/>
    <s v="Application Errors"/>
    <s v="Crash"/>
    <x v="3"/>
    <n v="48"/>
    <x v="1"/>
    <s v="Phone"/>
    <s v="Tier 1"/>
    <s v="TECH-10"/>
    <s v="Mid-level"/>
    <x v="0"/>
    <s v="No"/>
    <n v="1"/>
    <s v="Yes"/>
    <n v="8"/>
    <n v="1.6"/>
    <n v="14.5"/>
    <s v="No"/>
    <s v="Fair"/>
    <s v="No"/>
    <s v="Sales"/>
    <s v="Tuesday"/>
    <s v="Morning"/>
  </r>
  <r>
    <x v="1727"/>
    <s v="2024-08-09 21:37:59"/>
    <x v="1"/>
    <s v="2024-08-23 06:01:59"/>
    <n v="320.39999999999998"/>
    <n v="13.4"/>
    <s v="Software Installation"/>
    <s v="VPN Client"/>
    <x v="2"/>
    <n v="360"/>
    <x v="1"/>
    <s v="Walk-in"/>
    <s v="Tier 1"/>
    <s v="TECH-18"/>
    <s v="Mid-level"/>
    <x v="0"/>
    <s v="No"/>
    <n v="1"/>
    <s v="No"/>
    <n v="7"/>
    <n v="3.3"/>
    <n v="6.8"/>
    <s v="No"/>
    <s v="Fair"/>
    <s v="Yes"/>
    <s v="Legal"/>
    <s v="Wednesday"/>
    <s v="Morning"/>
  </r>
  <r>
    <x v="1728"/>
    <s v="2024-07-29 01:44:54"/>
    <x v="4"/>
    <s v="2024-08-10 23:50:54"/>
    <n v="286.10000000000002"/>
    <n v="11.9"/>
    <s v="Other"/>
    <s v="Training Request"/>
    <x v="2"/>
    <n v="360"/>
    <x v="1"/>
    <s v="Email"/>
    <s v="Tier 1"/>
    <s v="TECH-9"/>
    <s v="Senior"/>
    <x v="0"/>
    <s v="No"/>
    <n v="1"/>
    <s v="Yes"/>
    <n v="8"/>
    <n v="2.7"/>
    <n v="0"/>
    <s v="Yes"/>
    <s v="Poor"/>
    <s v="No"/>
    <s v="IT"/>
    <s v="Tuesday"/>
    <s v="Afternoon"/>
  </r>
  <r>
    <x v="1729"/>
    <s v="2024-02-23 05:11:08"/>
    <x v="6"/>
    <s v="2024-03-05 20:29:08"/>
    <n v="279.3"/>
    <n v="11.6"/>
    <s v="Password Reset"/>
    <s v="Account Unlock"/>
    <x v="2"/>
    <n v="360"/>
    <x v="1"/>
    <s v="Email"/>
    <s v="Tier 1"/>
    <s v="TECH-16"/>
    <s v="Senior"/>
    <x v="1"/>
    <s v="No"/>
    <n v="0"/>
    <s v="No"/>
    <n v="10"/>
    <n v="0.1"/>
    <n v="16.100000000000001"/>
    <s v="Yes"/>
    <s v="Poor"/>
    <s v="Yes"/>
    <s v="HR"/>
    <s v="Monday"/>
    <s v="Evening"/>
  </r>
  <r>
    <x v="1730"/>
    <s v="2024-12-17 07:54:13"/>
    <x v="0"/>
    <s v="2024-12-27 03:12:13"/>
    <n v="235.3"/>
    <n v="9.8000000000000007"/>
    <s v="Password Reset"/>
    <s v="Email Password"/>
    <x v="2"/>
    <n v="360"/>
    <x v="1"/>
    <s v="Email"/>
    <s v="Tier 1"/>
    <s v="TECH-25"/>
    <s v="Senior"/>
    <x v="1"/>
    <s v="No"/>
    <n v="0"/>
    <s v="No"/>
    <n v="8"/>
    <n v="2.8"/>
    <n v="30.8"/>
    <s v="No"/>
    <s v="Poor"/>
    <s v="Yes"/>
    <s v="IT"/>
    <s v="Monday"/>
    <s v="Evening"/>
  </r>
  <r>
    <x v="1731"/>
    <s v="2024-04-23 02:19:22"/>
    <x v="11"/>
    <s v="2024-04-27 15:13:22"/>
    <n v="84.9"/>
    <n v="3.5"/>
    <s v="Network Connectivity"/>
    <s v="Ethernet"/>
    <x v="1"/>
    <n v="120"/>
    <x v="1"/>
    <s v="Email"/>
    <s v="Tier 1"/>
    <s v="TECH-24"/>
    <s v="Senior"/>
    <x v="0"/>
    <s v="No"/>
    <n v="1"/>
    <s v="No"/>
    <n v="10"/>
    <n v="3.7"/>
    <n v="20.3"/>
    <s v="Yes"/>
    <s v="Fair"/>
    <s v="No"/>
    <s v="Operations"/>
    <s v="Tuesday"/>
    <s v="Afternoon"/>
  </r>
  <r>
    <x v="1732"/>
    <s v="2024-08-21 06:03:47"/>
    <x v="1"/>
    <s v="2024-08-27 11:51:47"/>
    <n v="149.80000000000001"/>
    <n v="6.2"/>
    <s v="Access Requests"/>
    <s v="File Share"/>
    <x v="0"/>
    <n v="240"/>
    <x v="1"/>
    <s v="Phone"/>
    <s v="Tier 1"/>
    <s v="TECH-18"/>
    <s v="Mid-level"/>
    <x v="0"/>
    <s v="No"/>
    <n v="1"/>
    <s v="No"/>
    <n v="9"/>
    <n v="3.7"/>
    <n v="10.1"/>
    <s v="Yes"/>
    <s v="Poor"/>
    <s v="Yes"/>
    <s v="Operations"/>
    <s v="Monday"/>
    <s v="Morning"/>
  </r>
  <r>
    <x v="1733"/>
    <s v="2024-03-24 13:26:17"/>
    <x v="5"/>
    <s v="2024-03-28 17:50:17"/>
    <n v="100.4"/>
    <n v="4.2"/>
    <s v="Hardware Issues"/>
    <s v="Monitor"/>
    <x v="1"/>
    <n v="120"/>
    <x v="1"/>
    <s v="Email"/>
    <s v="Tier 2"/>
    <s v="TECH-13"/>
    <s v="Junior"/>
    <x v="0"/>
    <s v="Yes"/>
    <n v="3"/>
    <s v="No"/>
    <n v="8"/>
    <n v="4.9000000000000004"/>
    <n v="15.1"/>
    <s v="No"/>
    <s v="Good"/>
    <s v="Yes"/>
    <s v="Operations"/>
    <s v="Tuesday"/>
    <s v="Evening"/>
  </r>
  <r>
    <x v="1734"/>
    <s v="2024-10-17 13:37:10"/>
    <x v="2"/>
    <s v="2024-10-31 22:19:10"/>
    <n v="345.7"/>
    <n v="14.4"/>
    <s v="Network Connectivity"/>
    <s v="VPN Connection"/>
    <x v="1"/>
    <n v="120"/>
    <x v="0"/>
    <s v="Email"/>
    <s v="Tier 1"/>
    <s v="TECH-14"/>
    <s v="Junior"/>
    <x v="0"/>
    <s v="No"/>
    <n v="1"/>
    <s v="Yes"/>
    <n v="5"/>
    <n v="4.4000000000000004"/>
    <n v="23"/>
    <s v="Yes"/>
    <s v="Good"/>
    <s v="No"/>
    <s v="Executive"/>
    <s v="Thursday"/>
    <s v="Morning"/>
  </r>
  <r>
    <x v="1735"/>
    <s v="2024-04-13 02:39:59"/>
    <x v="11"/>
    <s v="2024-04-21 05:09:59"/>
    <n v="170.5"/>
    <n v="7.1"/>
    <s v="Other"/>
    <s v="Miscellaneous"/>
    <x v="0"/>
    <n v="240"/>
    <x v="1"/>
    <s v="Phone"/>
    <s v="Tier 1"/>
    <s v="TECH-15"/>
    <s v="Junior"/>
    <x v="0"/>
    <s v="No"/>
    <n v="1"/>
    <s v="No"/>
    <n v="10"/>
    <n v="3.2"/>
    <n v="19.8"/>
    <s v="No"/>
    <s v="Fair"/>
    <s v="Yes"/>
    <s v="IT"/>
    <s v="Wednesday"/>
    <s v="Evening"/>
  </r>
  <r>
    <x v="1736"/>
    <s v="2024-08-20 01:47:18"/>
    <x v="1"/>
    <s v="2024-09-10 13:53:18"/>
    <n v="492.1"/>
    <n v="20.5"/>
    <s v="Password Reset"/>
    <s v="Email Password"/>
    <x v="2"/>
    <n v="360"/>
    <x v="0"/>
    <s v="Email"/>
    <s v="Tier 1"/>
    <s v="TECH-23"/>
    <s v="Mid-level"/>
    <x v="1"/>
    <s v="No"/>
    <n v="0"/>
    <s v="Yes"/>
    <n v="8"/>
    <n v="2.7"/>
    <n v="5.8"/>
    <s v="No"/>
    <s v="Poor"/>
    <s v="Yes"/>
    <s v="HR"/>
    <s v="Thursday"/>
    <s v="Afternoon"/>
  </r>
  <r>
    <x v="1737"/>
    <s v="2024-11-20 23:20:49"/>
    <x v="7"/>
    <s v="2024-12-02 14:08:49"/>
    <n v="278.8"/>
    <n v="11.6"/>
    <s v="Software Installation"/>
    <s v="VPN Client"/>
    <x v="0"/>
    <n v="240"/>
    <x v="0"/>
    <s v="Phone"/>
    <s v="Tier 1"/>
    <s v="TECH-23"/>
    <s v="Junior"/>
    <x v="0"/>
    <s v="No"/>
    <n v="1"/>
    <s v="Yes"/>
    <n v="4"/>
    <n v="3.4"/>
    <n v="29.3"/>
    <s v="No"/>
    <s v="Good"/>
    <s v="Yes"/>
    <s v="IT"/>
    <s v="Tuesday"/>
    <s v="Morning"/>
  </r>
  <r>
    <x v="1738"/>
    <s v="2024-12-12 02:26:37"/>
    <x v="0"/>
    <s v="2024-12-24 18:38:37"/>
    <n v="304.2"/>
    <n v="12.7"/>
    <s v="Access Requests"/>
    <s v="Application Access"/>
    <x v="0"/>
    <n v="240"/>
    <x v="0"/>
    <s v="Email"/>
    <s v="Tier 2"/>
    <s v="TECH-10"/>
    <s v="Senior"/>
    <x v="0"/>
    <s v="Yes"/>
    <n v="1"/>
    <s v="No"/>
    <n v="6"/>
    <n v="0.5"/>
    <n v="8.5"/>
    <s v="Yes"/>
    <s v="Fair"/>
    <s v="Yes"/>
    <s v="Operations"/>
    <s v="Monday"/>
    <s v="Morning"/>
  </r>
  <r>
    <x v="1739"/>
    <s v="2024-10-20 09:55:38"/>
    <x v="2"/>
    <s v="2024-10-23 11:31:38"/>
    <n v="73.599999999999994"/>
    <n v="3.1"/>
    <s v="Hardware Issues"/>
    <s v="Laptop"/>
    <x v="1"/>
    <n v="120"/>
    <x v="1"/>
    <s v="Email"/>
    <s v="Tier 1"/>
    <s v="TECH-3"/>
    <s v="Junior"/>
    <x v="0"/>
    <s v="No"/>
    <n v="1"/>
    <s v="No"/>
    <n v="6"/>
    <n v="4.0999999999999996"/>
    <n v="8.9"/>
    <s v="Yes"/>
    <s v="Good"/>
    <s v="Yes"/>
    <s v="HR"/>
    <s v="Friday"/>
    <s v="Morning"/>
  </r>
  <r>
    <x v="1740"/>
    <s v="2024-03-30 13:28:23"/>
    <x v="5"/>
    <s v="2024-04-06 12:40:23"/>
    <n v="166.2"/>
    <n v="6.9"/>
    <s v="Access Requests"/>
    <s v="Admin Rights"/>
    <x v="0"/>
    <n v="240"/>
    <x v="1"/>
    <s v="Email"/>
    <s v="Tier 1"/>
    <s v="TECH-7"/>
    <s v="Junior"/>
    <x v="0"/>
    <s v="No"/>
    <n v="1"/>
    <s v="No"/>
    <n v="9"/>
    <n v="3"/>
    <n v="29.7"/>
    <s v="Yes"/>
    <s v="Fair"/>
    <s v="No"/>
    <s v="Marketing"/>
    <s v="Wednesday"/>
    <s v="Afternoon"/>
  </r>
  <r>
    <x v="1741"/>
    <s v="2024-07-21 07:20:15"/>
    <x v="4"/>
    <s v="2024-07-28 17:14:15"/>
    <n v="177.9"/>
    <n v="7.4"/>
    <s v="Software Installation"/>
    <s v="Business Apps"/>
    <x v="0"/>
    <n v="240"/>
    <x v="1"/>
    <s v="Portal"/>
    <s v="Tier 1"/>
    <s v="TECH-23"/>
    <s v="Junior"/>
    <x v="1"/>
    <s v="No"/>
    <n v="0"/>
    <s v="Yes"/>
    <n v="9"/>
    <n v="1.6"/>
    <n v="7.2"/>
    <s v="Yes"/>
    <s v="Good"/>
    <s v="No"/>
    <s v="IT"/>
    <s v="Friday"/>
    <s v="Morning"/>
  </r>
  <r>
    <x v="1742"/>
    <s v="2024-05-19 11:11:56"/>
    <x v="8"/>
    <s v="2024-06-08 07:59:56"/>
    <n v="476.8"/>
    <n v="19.899999999999999"/>
    <s v="Password Reset"/>
    <s v="Application Password"/>
    <x v="2"/>
    <n v="360"/>
    <x v="0"/>
    <s v="Portal"/>
    <s v="Tier 1"/>
    <s v="TECH-13"/>
    <s v="Senior"/>
    <x v="1"/>
    <s v="No"/>
    <n v="0"/>
    <s v="No"/>
    <n v="8"/>
    <n v="0.1"/>
    <n v="41.3"/>
    <s v="Yes"/>
    <s v="Fair"/>
    <s v="No"/>
    <s v="IT"/>
    <s v="Monday"/>
    <s v="Afternoon"/>
  </r>
  <r>
    <x v="1743"/>
    <s v="2024-02-19 14:50:14"/>
    <x v="6"/>
    <s v="2024-02-22 22:50:14"/>
    <n v="80"/>
    <n v="3.3"/>
    <s v="Application Errors"/>
    <s v="Crash"/>
    <x v="1"/>
    <n v="120"/>
    <x v="1"/>
    <s v="Portal"/>
    <s v="Tier 2"/>
    <s v="TECH-16"/>
    <s v="Junior"/>
    <x v="0"/>
    <s v="Yes"/>
    <n v="3"/>
    <s v="No"/>
    <n v="8"/>
    <n v="1.7"/>
    <n v="24.8"/>
    <s v="No"/>
    <s v="Fair"/>
    <s v="No"/>
    <s v="Operations"/>
    <s v="Tuesday"/>
    <s v="Morning"/>
  </r>
  <r>
    <x v="1744"/>
    <s v="2024-12-05 06:09:59"/>
    <x v="0"/>
    <s v="2024-12-18 15:57:59"/>
    <n v="321.8"/>
    <n v="13.4"/>
    <s v="Password Reset"/>
    <s v="Account Unlock"/>
    <x v="2"/>
    <n v="360"/>
    <x v="1"/>
    <s v="Phone"/>
    <s v="Tier 1"/>
    <s v="TECH-2"/>
    <s v="Senior"/>
    <x v="0"/>
    <s v="No"/>
    <n v="1"/>
    <s v="No"/>
    <n v="9"/>
    <n v="2"/>
    <n v="5.6"/>
    <s v="Yes"/>
    <s v="Good"/>
    <s v="Yes"/>
    <s v="Operations"/>
    <s v="Tuesday"/>
    <s v="Afternoon"/>
  </r>
  <r>
    <x v="1745"/>
    <s v="2024-01-17 14:35:30"/>
    <x v="3"/>
    <s v="2024-01-25 23:47:30"/>
    <n v="201.2"/>
    <n v="8.4"/>
    <s v="Software Installation"/>
    <s v="Business Apps"/>
    <x v="0"/>
    <n v="240"/>
    <x v="1"/>
    <s v="Phone"/>
    <s v="Tier 2"/>
    <s v="TECH-8"/>
    <s v="Junior"/>
    <x v="0"/>
    <s v="Yes"/>
    <n v="1"/>
    <s v="No"/>
    <n v="8"/>
    <n v="4.4000000000000004"/>
    <n v="38.4"/>
    <s v="Yes"/>
    <s v="Poor"/>
    <s v="Yes"/>
    <s v="HR"/>
    <s v="Wednesday"/>
    <s v="Morning"/>
  </r>
  <r>
    <x v="1746"/>
    <s v="2024-03-28 12:18:26"/>
    <x v="5"/>
    <s v="2024-04-07 05:42:26"/>
    <n v="232.4"/>
    <n v="9.6999999999999993"/>
    <s v="Application Errors"/>
    <s v="Features Not Working"/>
    <x v="2"/>
    <n v="360"/>
    <x v="1"/>
    <s v="Walk-in"/>
    <s v="Tier 1"/>
    <s v="TECH-3"/>
    <s v="Mid-level"/>
    <x v="1"/>
    <s v="No"/>
    <n v="0"/>
    <s v="No"/>
    <n v="8"/>
    <n v="1.5"/>
    <n v="26.8"/>
    <s v="Yes"/>
    <s v="Fair"/>
    <s v="No"/>
    <s v="Sales"/>
    <s v="Tuesday"/>
    <s v="Evening"/>
  </r>
  <r>
    <x v="1747"/>
    <s v="2024-09-02 06:27:01"/>
    <x v="9"/>
    <s v="2024-09-08 11:27:01"/>
    <n v="149"/>
    <n v="6.2"/>
    <s v="Software Installation"/>
    <s v="VPN Client"/>
    <x v="0"/>
    <n v="240"/>
    <x v="1"/>
    <s v="Portal"/>
    <s v="Tier 2"/>
    <s v="TECH-14"/>
    <s v="Senior"/>
    <x v="0"/>
    <s v="Yes"/>
    <n v="3"/>
    <s v="No"/>
    <n v="7"/>
    <n v="2.6"/>
    <n v="42"/>
    <s v="No"/>
    <s v="Excellent"/>
    <s v="Yes"/>
    <s v="Finance"/>
    <s v="Wednesday"/>
    <s v="Morning"/>
  </r>
  <r>
    <x v="1748"/>
    <s v="2024-04-25 14:47:29"/>
    <x v="11"/>
    <s v="2024-04-29 14:53:29"/>
    <n v="96.1"/>
    <n v="4"/>
    <s v="Application Errors"/>
    <s v="Features Not Working"/>
    <x v="1"/>
    <n v="120"/>
    <x v="1"/>
    <s v="Phone"/>
    <s v="Tier 2"/>
    <s v="TECH-14"/>
    <s v="Senior"/>
    <x v="0"/>
    <s v="Yes"/>
    <n v="1"/>
    <s v="No"/>
    <n v="8"/>
    <n v="5.3"/>
    <n v="35.700000000000003"/>
    <s v="No"/>
    <s v="Fair"/>
    <s v="No"/>
    <s v="Sales"/>
    <s v="Tuesday"/>
    <s v="Evening"/>
  </r>
  <r>
    <x v="1749"/>
    <s v="2024-03-11 20:21:14"/>
    <x v="5"/>
    <s v="2024-03-18 07:57:14"/>
    <n v="155.6"/>
    <n v="6.5"/>
    <s v="Access Requests"/>
    <s v="File Share"/>
    <x v="0"/>
    <n v="240"/>
    <x v="1"/>
    <s v="Portal"/>
    <s v="Tier 1"/>
    <s v="TECH-13"/>
    <s v="Senior"/>
    <x v="1"/>
    <s v="No"/>
    <n v="0"/>
    <s v="No"/>
    <n v="10"/>
    <n v="4.3"/>
    <n v="1.4"/>
    <s v="Yes"/>
    <s v="Good"/>
    <s v="No"/>
    <s v="Marketing"/>
    <s v="Thursday"/>
    <s v="Afternoon"/>
  </r>
  <r>
    <x v="1750"/>
    <s v="2024-06-16 04:08:22"/>
    <x v="10"/>
    <s v="2024-06-24 16:38:22"/>
    <n v="204.5"/>
    <n v="8.5"/>
    <s v="Password Reset"/>
    <s v="Account Unlock"/>
    <x v="0"/>
    <n v="240"/>
    <x v="1"/>
    <s v="Phone"/>
    <s v="Tier 1"/>
    <s v="TECH-23"/>
    <s v="Junior"/>
    <x v="1"/>
    <s v="No"/>
    <n v="0"/>
    <s v="No"/>
    <n v="10"/>
    <n v="2.9"/>
    <n v="0"/>
    <s v="Yes"/>
    <s v="Excellent"/>
    <s v="Yes"/>
    <s v="Sales"/>
    <s v="Thursday"/>
    <s v="Afternoon"/>
  </r>
  <r>
    <x v="1751"/>
    <s v="2024-11-09 09:39:42"/>
    <x v="7"/>
    <s v="2024-11-10 17:57:42"/>
    <n v="32.299999999999997"/>
    <n v="1.3"/>
    <s v="Network Connectivity"/>
    <s v="WiFi Issues"/>
    <x v="3"/>
    <n v="48"/>
    <x v="1"/>
    <s v="Phone"/>
    <s v="Tier 1"/>
    <s v="TECH-2"/>
    <s v="Mid-level"/>
    <x v="0"/>
    <s v="No"/>
    <n v="1"/>
    <s v="No"/>
    <n v="8"/>
    <n v="1.6"/>
    <n v="8.1999999999999993"/>
    <s v="Yes"/>
    <s v="Excellent"/>
    <s v="No"/>
    <s v="Executive"/>
    <s v="Wednesday"/>
    <s v="Afternoon"/>
  </r>
  <r>
    <x v="1752"/>
    <s v="2024-11-15 12:46:08"/>
    <x v="7"/>
    <s v="2024-11-27 05:22:08"/>
    <n v="280.60000000000002"/>
    <n v="11.7"/>
    <s v="Other"/>
    <s v="Miscellaneous"/>
    <x v="2"/>
    <n v="360"/>
    <x v="1"/>
    <s v="Walk-in"/>
    <s v="Tier 2"/>
    <s v="TECH-24"/>
    <s v="Mid-level"/>
    <x v="0"/>
    <s v="Yes"/>
    <n v="4"/>
    <s v="No"/>
    <n v="9"/>
    <n v="2.1"/>
    <n v="15.8"/>
    <s v="Yes"/>
    <s v="Good"/>
    <s v="No"/>
    <s v="IT"/>
    <s v="Friday"/>
    <s v="Afternoon"/>
  </r>
  <r>
    <x v="1753"/>
    <s v="2024-04-10 01:25:24"/>
    <x v="11"/>
    <s v="2024-04-18 23:19:24"/>
    <n v="189.9"/>
    <n v="7.9"/>
    <s v="Hardware Issues"/>
    <s v="Desktop"/>
    <x v="0"/>
    <n v="240"/>
    <x v="1"/>
    <s v="Email"/>
    <s v="Tier 2"/>
    <s v="TECH-7"/>
    <s v="Mid-level"/>
    <x v="0"/>
    <s v="Yes"/>
    <n v="2"/>
    <s v="No"/>
    <n v="9"/>
    <n v="4.5"/>
    <n v="20"/>
    <s v="Yes"/>
    <s v="Excellent"/>
    <s v="Yes"/>
    <s v="Operations"/>
    <s v="Friday"/>
    <s v="Morning"/>
  </r>
  <r>
    <x v="1754"/>
    <s v="2024-01-18 13:01:34"/>
    <x v="3"/>
    <s v="2024-01-26 05:25:34"/>
    <n v="184.4"/>
    <n v="7.7"/>
    <s v="Network Connectivity"/>
    <s v="Ethernet"/>
    <x v="0"/>
    <n v="240"/>
    <x v="1"/>
    <s v="Portal"/>
    <s v="Tier 1"/>
    <s v="TECH-5"/>
    <s v="Senior"/>
    <x v="0"/>
    <s v="No"/>
    <n v="1"/>
    <s v="No"/>
    <n v="9"/>
    <n v="4"/>
    <n v="6"/>
    <s v="No"/>
    <s v="Good"/>
    <s v="No"/>
    <s v="Legal"/>
    <s v="Friday"/>
    <s v="Morning"/>
  </r>
  <r>
    <x v="1755"/>
    <s v="2024-07-07 22:38:55"/>
    <x v="4"/>
    <s v="2024-07-12 00:50:55"/>
    <n v="122.2"/>
    <n v="5.0999999999999996"/>
    <s v="Access Requests"/>
    <s v="VPN Access"/>
    <x v="1"/>
    <n v="120"/>
    <x v="0"/>
    <s v="Phone"/>
    <s v="Tier 1"/>
    <s v="TECH-20"/>
    <s v="Junior"/>
    <x v="1"/>
    <s v="No"/>
    <n v="0"/>
    <s v="No"/>
    <n v="7"/>
    <n v="1.5"/>
    <n v="8.6999999999999993"/>
    <s v="Yes"/>
    <s v="Poor"/>
    <s v="No"/>
    <s v="HR"/>
    <s v="Friday"/>
    <s v="Afternoon"/>
  </r>
  <r>
    <x v="1756"/>
    <s v="2024-04-07 17:37:17"/>
    <x v="11"/>
    <s v="2024-04-16 01:19:17"/>
    <n v="223.7"/>
    <n v="9.3000000000000007"/>
    <s v="Software Installation"/>
    <s v="VPN Client"/>
    <x v="0"/>
    <n v="240"/>
    <x v="1"/>
    <s v="Email"/>
    <s v="Tier 2"/>
    <s v="TECH-1"/>
    <s v="Mid-level"/>
    <x v="0"/>
    <s v="Yes"/>
    <n v="4"/>
    <s v="No"/>
    <n v="8"/>
    <n v="4.0999999999999996"/>
    <n v="19.2"/>
    <s v="No"/>
    <s v="Poor"/>
    <s v="Yes"/>
    <s v="Finance"/>
    <s v="Wednesday"/>
    <s v="Morning"/>
  </r>
  <r>
    <x v="1757"/>
    <s v="2024-06-28 16:55:39"/>
    <x v="10"/>
    <s v="2024-07-02 07:55:39"/>
    <n v="87"/>
    <n v="3.6"/>
    <s v="Application Errors"/>
    <s v="Features Not Working"/>
    <x v="1"/>
    <n v="120"/>
    <x v="1"/>
    <s v="Phone"/>
    <s v="Tier 2"/>
    <s v="TECH-17"/>
    <s v="Senior"/>
    <x v="0"/>
    <s v="Yes"/>
    <n v="4"/>
    <s v="No"/>
    <n v="8"/>
    <n v="0.1"/>
    <n v="29.2"/>
    <s v="No"/>
    <s v="Good"/>
    <s v="Yes"/>
    <s v="Sales"/>
    <s v="Thursday"/>
    <s v="Evening"/>
  </r>
  <r>
    <x v="1758"/>
    <s v="2024-12-18 01:24:49"/>
    <x v="0"/>
    <s v="2024-12-25 00:12:49"/>
    <n v="166.8"/>
    <n v="7"/>
    <s v="Access Requests"/>
    <s v="Admin Rights"/>
    <x v="0"/>
    <n v="240"/>
    <x v="1"/>
    <s v="Email"/>
    <s v="Tier 1"/>
    <s v="TECH-1"/>
    <s v="Junior"/>
    <x v="1"/>
    <s v="No"/>
    <n v="0"/>
    <s v="No"/>
    <n v="10"/>
    <n v="3.7"/>
    <n v="15.1"/>
    <s v="Yes"/>
    <s v="Poor"/>
    <s v="Yes"/>
    <s v="IT"/>
    <s v="Monday"/>
    <s v="Afternoon"/>
  </r>
  <r>
    <x v="1759"/>
    <s v="2024-11-20 00:27:04"/>
    <x v="7"/>
    <s v="2024-11-29 05:03:04"/>
    <n v="196.6"/>
    <n v="8.1999999999999993"/>
    <s v="Software Installation"/>
    <s v="Drivers"/>
    <x v="0"/>
    <n v="240"/>
    <x v="1"/>
    <s v="Email"/>
    <s v="Tier 2"/>
    <s v="TECH-19"/>
    <s v="Mid-level"/>
    <x v="0"/>
    <s v="Yes"/>
    <n v="1"/>
    <s v="No"/>
    <n v="8"/>
    <n v="3.9"/>
    <n v="30.2"/>
    <s v="Yes"/>
    <s v="Good"/>
    <s v="Yes"/>
    <s v="Legal"/>
    <s v="Tuesday"/>
    <s v="Morning"/>
  </r>
  <r>
    <x v="1760"/>
    <s v="2024-04-23 13:52:15"/>
    <x v="11"/>
    <s v="2024-04-24 20:52:15"/>
    <n v="31"/>
    <n v="1.3"/>
    <s v="Hardware Issues"/>
    <s v="Keyboard/Mouse"/>
    <x v="3"/>
    <n v="48"/>
    <x v="1"/>
    <s v="Phone"/>
    <s v="Tier 2"/>
    <s v="TECH-22"/>
    <s v="Senior"/>
    <x v="0"/>
    <s v="Yes"/>
    <n v="2"/>
    <s v="No"/>
    <n v="7"/>
    <n v="3.2"/>
    <n v="25.1"/>
    <s v="Yes"/>
    <s v="Fair"/>
    <s v="Yes"/>
    <s v="Operations"/>
    <s v="Wednesday"/>
    <s v="Morning"/>
  </r>
  <r>
    <x v="1761"/>
    <s v="2024-07-30 03:35:38"/>
    <x v="4"/>
    <s v="2024-08-05 21:17:38"/>
    <n v="161.69999999999999"/>
    <n v="6.7"/>
    <s v="Application Errors"/>
    <s v="Crash"/>
    <x v="0"/>
    <n v="240"/>
    <x v="1"/>
    <s v="Email"/>
    <s v="Tier 1"/>
    <s v="TECH-10"/>
    <s v="Junior"/>
    <x v="0"/>
    <s v="No"/>
    <n v="1"/>
    <s v="No"/>
    <n v="9"/>
    <n v="4.3"/>
    <n v="10.5"/>
    <s v="No"/>
    <s v="Fair"/>
    <s v="No"/>
    <s v="Legal"/>
    <s v="Wednesday"/>
    <s v="Morning"/>
  </r>
  <r>
    <x v="1762"/>
    <s v="2024-05-16 07:58:16"/>
    <x v="8"/>
    <s v="2024-05-28 07:22:16"/>
    <n v="287.39999999999998"/>
    <n v="12"/>
    <s v="Password Reset"/>
    <s v="Account Unlock"/>
    <x v="2"/>
    <n v="360"/>
    <x v="1"/>
    <s v="Portal"/>
    <s v="Tier 1"/>
    <s v="TECH-4"/>
    <s v="Junior"/>
    <x v="1"/>
    <s v="No"/>
    <n v="0"/>
    <s v="No"/>
    <n v="10"/>
    <n v="3.5"/>
    <n v="21.8"/>
    <s v="Yes"/>
    <s v="Fair"/>
    <s v="No"/>
    <s v="Executive"/>
    <s v="Friday"/>
    <s v="Morning"/>
  </r>
  <r>
    <x v="1763"/>
    <s v="2024-07-23 22:21:32"/>
    <x v="4"/>
    <s v="2024-07-27 09:09:32"/>
    <n v="82.8"/>
    <n v="3.5"/>
    <s v="Application Errors"/>
    <s v="Crash"/>
    <x v="1"/>
    <n v="120"/>
    <x v="1"/>
    <s v="Portal"/>
    <s v="Tier 1"/>
    <s v="TECH-13"/>
    <s v="Junior"/>
    <x v="0"/>
    <s v="No"/>
    <n v="1"/>
    <s v="No"/>
    <n v="8"/>
    <n v="0.1"/>
    <n v="0"/>
    <s v="Yes"/>
    <s v="Good"/>
    <s v="Yes"/>
    <s v="Finance"/>
    <s v="Monday"/>
    <s v="Morning"/>
  </r>
  <r>
    <x v="1764"/>
    <s v="2024-11-28 16:25:14"/>
    <x v="7"/>
    <s v="2024-12-02 01:43:14"/>
    <n v="105.3"/>
    <n v="4.4000000000000004"/>
    <s v="Email/Calendar"/>
    <s v="Distribution List"/>
    <x v="1"/>
    <n v="120"/>
    <x v="1"/>
    <s v="Email"/>
    <s v="Tier 1"/>
    <s v="TECH-8"/>
    <s v="Junior"/>
    <x v="1"/>
    <s v="No"/>
    <n v="0"/>
    <s v="No"/>
    <n v="8"/>
    <n v="3.6"/>
    <n v="0"/>
    <s v="Yes"/>
    <s v="Poor"/>
    <s v="No"/>
    <s v="Marketing"/>
    <s v="Thursday"/>
    <s v="Morning"/>
  </r>
  <r>
    <x v="1765"/>
    <s v="2024-04-25 14:19:18"/>
    <x v="11"/>
    <s v="2024-05-02 06:19:18"/>
    <n v="160"/>
    <n v="6.7"/>
    <s v="Software Installation"/>
    <s v="Adobe Suite"/>
    <x v="0"/>
    <n v="240"/>
    <x v="1"/>
    <s v="Chat"/>
    <s v="Tier 2"/>
    <s v="TECH-9"/>
    <s v="Mid-level"/>
    <x v="0"/>
    <s v="Yes"/>
    <n v="4"/>
    <s v="No"/>
    <n v="8"/>
    <n v="3.9"/>
    <n v="18.2"/>
    <s v="No"/>
    <s v="Poor"/>
    <s v="Yes"/>
    <s v="IT"/>
    <s v="Friday"/>
    <s v="Afternoon"/>
  </r>
  <r>
    <x v="1766"/>
    <s v="2024-03-06 23:23:47"/>
    <x v="5"/>
    <s v="2024-03-14 00:23:47"/>
    <n v="193"/>
    <n v="8"/>
    <s v="Software Installation"/>
    <s v="Drivers"/>
    <x v="0"/>
    <n v="240"/>
    <x v="1"/>
    <s v="Email"/>
    <s v="Tier 1"/>
    <s v="TECH-16"/>
    <s v="Mid-level"/>
    <x v="0"/>
    <s v="No"/>
    <n v="1"/>
    <s v="No"/>
    <n v="7"/>
    <n v="2.1"/>
    <n v="21.3"/>
    <s v="Yes"/>
    <s v="Good"/>
    <s v="Yes"/>
    <s v="Finance"/>
    <s v="Monday"/>
    <s v="Evening"/>
  </r>
  <r>
    <x v="1767"/>
    <s v="2024-08-17 17:24:16"/>
    <x v="1"/>
    <s v="2024-08-23 22:12:16"/>
    <n v="148.80000000000001"/>
    <n v="6.2"/>
    <s v="Application Errors"/>
    <s v="Features Not Working"/>
    <x v="1"/>
    <n v="120"/>
    <x v="0"/>
    <s v="Portal"/>
    <s v="Tier 1"/>
    <s v="TECH-23"/>
    <s v="Junior"/>
    <x v="0"/>
    <s v="No"/>
    <n v="1"/>
    <s v="No"/>
    <n v="4"/>
    <n v="3.3"/>
    <n v="15.2"/>
    <s v="No"/>
    <s v="Excellent"/>
    <s v="No"/>
    <s v="HR"/>
    <s v="Monday"/>
    <s v="Afternoon"/>
  </r>
  <r>
    <x v="1768"/>
    <s v="2024-07-21 02:27:40"/>
    <x v="4"/>
    <s v="2024-08-11 20:27:40"/>
    <n v="498"/>
    <n v="20.8"/>
    <s v="Password Reset"/>
    <s v="Account Unlock"/>
    <x v="2"/>
    <n v="360"/>
    <x v="0"/>
    <s v="Phone"/>
    <s v="Tier 1"/>
    <s v="TECH-19"/>
    <s v="Senior"/>
    <x v="1"/>
    <s v="No"/>
    <n v="0"/>
    <s v="No"/>
    <n v="8"/>
    <n v="2.9"/>
    <n v="6.5"/>
    <s v="Yes"/>
    <s v="Poor"/>
    <s v="Yes"/>
    <s v="Finance"/>
    <s v="Tuesday"/>
    <s v="Afternoon"/>
  </r>
  <r>
    <x v="1769"/>
    <s v="2024-06-27 23:05:15"/>
    <x v="10"/>
    <s v="2024-07-07 09:41:15"/>
    <n v="226.6"/>
    <n v="9.4"/>
    <s v="Access Requests"/>
    <s v="VPN Access"/>
    <x v="0"/>
    <n v="240"/>
    <x v="1"/>
    <s v="Phone"/>
    <s v="Tier 1"/>
    <s v="TECH-24"/>
    <s v="Senior"/>
    <x v="0"/>
    <s v="No"/>
    <n v="1"/>
    <s v="No"/>
    <n v="10"/>
    <n v="3.5"/>
    <n v="25.9"/>
    <s v="Yes"/>
    <s v="Good"/>
    <s v="Yes"/>
    <s v="Sales"/>
    <s v="Friday"/>
    <s v="Evening"/>
  </r>
  <r>
    <x v="1770"/>
    <s v="2024-02-01 18:40:55"/>
    <x v="6"/>
    <s v="2024-02-09 18:40:55"/>
    <n v="192"/>
    <n v="8"/>
    <s v="Application Errors"/>
    <s v="Performance"/>
    <x v="1"/>
    <n v="120"/>
    <x v="0"/>
    <s v="Walk-in"/>
    <s v="Tier 1"/>
    <s v="TECH-8"/>
    <s v="Senior"/>
    <x v="0"/>
    <s v="No"/>
    <n v="1"/>
    <s v="No"/>
    <n v="7"/>
    <n v="2.8"/>
    <n v="24.5"/>
    <s v="Yes"/>
    <s v="Fair"/>
    <s v="Yes"/>
    <s v="Finance"/>
    <s v="Monday"/>
    <s v="Morning"/>
  </r>
  <r>
    <x v="1771"/>
    <s v="2024-02-29 05:32:35"/>
    <x v="6"/>
    <s v="2024-03-07 18:56:35"/>
    <n v="181.4"/>
    <n v="7.6"/>
    <s v="Email/Calendar"/>
    <s v="Distribution List"/>
    <x v="0"/>
    <n v="240"/>
    <x v="1"/>
    <s v="Phone"/>
    <s v="Tier 1"/>
    <s v="TECH-11"/>
    <s v="Mid-level"/>
    <x v="0"/>
    <s v="No"/>
    <n v="1"/>
    <s v="No"/>
    <n v="7"/>
    <n v="0.1"/>
    <n v="32.9"/>
    <s v="No"/>
    <s v="Poor"/>
    <s v="Yes"/>
    <s v="Sales"/>
    <s v="Tuesday"/>
    <s v="Afternoon"/>
  </r>
  <r>
    <x v="1772"/>
    <s v="2024-04-15 07:02:49"/>
    <x v="11"/>
    <s v="2024-04-27 07:56:49"/>
    <n v="288.89999999999998"/>
    <n v="12"/>
    <s v="Email/Calendar"/>
    <s v="Cannot Send/Receive"/>
    <x v="0"/>
    <n v="240"/>
    <x v="0"/>
    <s v="Email"/>
    <s v="Tier 1"/>
    <s v="TECH-1"/>
    <s v="Mid-level"/>
    <x v="1"/>
    <s v="No"/>
    <n v="0"/>
    <s v="Yes"/>
    <n v="8"/>
    <n v="1.7"/>
    <n v="26.2"/>
    <s v="Yes"/>
    <s v="Fair"/>
    <s v="No"/>
    <s v="Marketing"/>
    <s v="Thursday"/>
    <s v="Morning"/>
  </r>
  <r>
    <x v="1773"/>
    <s v="2024-02-24 22:35:37"/>
    <x v="6"/>
    <s v="2024-03-09 15:11:37"/>
    <n v="328.6"/>
    <n v="13.7"/>
    <s v="Password Reset"/>
    <s v="Email Password"/>
    <x v="2"/>
    <n v="360"/>
    <x v="1"/>
    <s v="Email"/>
    <s v="Tier 1"/>
    <s v="TECH-5"/>
    <s v="Mid-level"/>
    <x v="1"/>
    <s v="No"/>
    <n v="0"/>
    <s v="Yes"/>
    <n v="10"/>
    <n v="3"/>
    <n v="15"/>
    <s v="Yes"/>
    <s v="Poor"/>
    <s v="Yes"/>
    <s v="Marketing"/>
    <s v="Monday"/>
    <s v="Afternoon"/>
  </r>
  <r>
    <x v="1774"/>
    <s v="2024-01-29 12:17:00"/>
    <x v="3"/>
    <s v="2024-02-06 18:29:00"/>
    <n v="198.2"/>
    <n v="8.3000000000000007"/>
    <s v="Password Reset"/>
    <s v="Account Unlock"/>
    <x v="0"/>
    <n v="240"/>
    <x v="1"/>
    <s v="Portal"/>
    <s v="Tier 1"/>
    <s v="TECH-16"/>
    <s v="Junior"/>
    <x v="1"/>
    <s v="No"/>
    <n v="0"/>
    <s v="Yes"/>
    <n v="9"/>
    <n v="0.9"/>
    <n v="15.2"/>
    <s v="Yes"/>
    <s v="Poor"/>
    <s v="No"/>
    <s v="Operations"/>
    <s v="Thursday"/>
    <s v="Afternoon"/>
  </r>
  <r>
    <x v="1775"/>
    <s v="2024-12-25 23:35:52"/>
    <x v="0"/>
    <s v="2025-01-08 17:05:52"/>
    <n v="329.5"/>
    <n v="13.7"/>
    <s v="Email/Calendar"/>
    <s v="Cannot Send/Receive"/>
    <x v="2"/>
    <n v="360"/>
    <x v="1"/>
    <s v="Walk-in"/>
    <s v="Tier 2"/>
    <s v="TECH-16"/>
    <s v="Junior"/>
    <x v="0"/>
    <s v="Yes"/>
    <n v="4"/>
    <s v="Yes"/>
    <n v="7"/>
    <n v="1.2"/>
    <n v="14.7"/>
    <s v="Yes"/>
    <s v="Fair"/>
    <s v="Yes"/>
    <s v="Executive"/>
    <s v="Wednesday"/>
    <s v="Afternoon"/>
  </r>
  <r>
    <x v="1776"/>
    <s v="2024-06-02 18:59:14"/>
    <x v="10"/>
    <s v="2024-06-07 07:29:14"/>
    <n v="108.5"/>
    <n v="4.5"/>
    <s v="Application Errors"/>
    <s v="Performance"/>
    <x v="3"/>
    <n v="48"/>
    <x v="0"/>
    <s v="Phone"/>
    <s v="Tier 2"/>
    <s v="TECH-12"/>
    <s v="Mid-level"/>
    <x v="0"/>
    <s v="Yes"/>
    <n v="3"/>
    <s v="No"/>
    <n v="5"/>
    <n v="3.2"/>
    <n v="11"/>
    <s v="Yes"/>
    <s v="Good"/>
    <s v="Yes"/>
    <s v="IT"/>
    <s v="Wednesday"/>
    <s v="Afternoon"/>
  </r>
  <r>
    <x v="1777"/>
    <s v="2024-01-24 02:56:17"/>
    <x v="3"/>
    <s v="2024-01-28 09:14:17"/>
    <n v="102.3"/>
    <n v="4.3"/>
    <s v="Application Errors"/>
    <s v="Performance"/>
    <x v="1"/>
    <n v="120"/>
    <x v="1"/>
    <s v="Portal"/>
    <s v="Tier 1"/>
    <s v="TECH-20"/>
    <s v="Mid-level"/>
    <x v="0"/>
    <s v="No"/>
    <n v="1"/>
    <s v="No"/>
    <n v="7"/>
    <n v="4.3"/>
    <n v="27.4"/>
    <s v="Yes"/>
    <s v="Good"/>
    <s v="No"/>
    <s v="Executive"/>
    <s v="Tuesday"/>
    <s v="Afternoon"/>
  </r>
  <r>
    <x v="1778"/>
    <s v="2024-08-11 23:47:31"/>
    <x v="1"/>
    <s v="2024-08-29 03:17:31"/>
    <n v="411.5"/>
    <n v="17.100000000000001"/>
    <s v="Password Reset"/>
    <s v="Windows Password"/>
    <x v="2"/>
    <n v="360"/>
    <x v="0"/>
    <s v="Phone"/>
    <s v="Tier 1"/>
    <s v="TECH-18"/>
    <s v="Mid-level"/>
    <x v="0"/>
    <s v="No"/>
    <n v="1"/>
    <s v="No"/>
    <n v="6"/>
    <n v="2.5"/>
    <n v="32.5"/>
    <s v="Yes"/>
    <s v="Poor"/>
    <s v="No"/>
    <s v="IT"/>
    <s v="Monday"/>
    <s v="Afternoon"/>
  </r>
  <r>
    <x v="1779"/>
    <s v="2024-03-09 01:22:33"/>
    <x v="5"/>
    <s v="2024-03-16 09:40:33"/>
    <n v="152.30000000000001"/>
    <n v="6.3"/>
    <s v="Network Connectivity"/>
    <s v="Slow Network"/>
    <x v="0"/>
    <n v="240"/>
    <x v="1"/>
    <s v="Phone"/>
    <s v="Tier 2"/>
    <s v="TECH-15"/>
    <s v="Mid-level"/>
    <x v="0"/>
    <s v="Yes"/>
    <n v="1"/>
    <s v="No"/>
    <n v="5"/>
    <n v="3"/>
    <n v="7.5"/>
    <s v="Yes"/>
    <s v="Good"/>
    <s v="No"/>
    <s v="Operations"/>
    <s v="Tuesday"/>
    <s v="Afternoon"/>
  </r>
  <r>
    <x v="1780"/>
    <s v="2024-01-23 23:39:16"/>
    <x v="3"/>
    <s v="2024-02-05 16:15:16"/>
    <n v="304.60000000000002"/>
    <n v="12.7"/>
    <s v="Access Requests"/>
    <s v="File Share"/>
    <x v="2"/>
    <n v="360"/>
    <x v="1"/>
    <s v="Email"/>
    <s v="Tier 1"/>
    <s v="TECH-4"/>
    <s v="Mid-level"/>
    <x v="0"/>
    <s v="No"/>
    <n v="1"/>
    <s v="No"/>
    <n v="7"/>
    <n v="1.9"/>
    <n v="13.5"/>
    <s v="Yes"/>
    <s v="Poor"/>
    <s v="Yes"/>
    <s v="Sales"/>
    <s v="Friday"/>
    <s v="Morning"/>
  </r>
  <r>
    <x v="1781"/>
    <s v="2024-01-26 08:15:19"/>
    <x v="3"/>
    <s v="2024-02-04 13:15:19"/>
    <n v="221"/>
    <n v="9.1999999999999993"/>
    <s v="Access Requests"/>
    <s v="VPN Access"/>
    <x v="0"/>
    <n v="240"/>
    <x v="1"/>
    <s v="Phone"/>
    <s v="Tier 1"/>
    <s v="TECH-7"/>
    <s v="Mid-level"/>
    <x v="1"/>
    <s v="No"/>
    <n v="0"/>
    <s v="Yes"/>
    <n v="9"/>
    <n v="1"/>
    <n v="10.8"/>
    <s v="Yes"/>
    <s v="Fair"/>
    <s v="Yes"/>
    <s v="Executive"/>
    <s v="Thursday"/>
    <s v="Morning"/>
  </r>
  <r>
    <x v="1782"/>
    <s v="2024-01-13 11:26:46"/>
    <x v="3"/>
    <s v="2024-01-27 15:38:46"/>
    <n v="340.2"/>
    <n v="14.2"/>
    <s v="Password Reset"/>
    <s v="Account Unlock"/>
    <x v="2"/>
    <n v="360"/>
    <x v="1"/>
    <s v="Phone"/>
    <s v="Tier 1"/>
    <s v="TECH-24"/>
    <s v="Mid-level"/>
    <x v="1"/>
    <s v="No"/>
    <n v="0"/>
    <s v="No"/>
    <n v="10"/>
    <n v="2.1"/>
    <n v="34.4"/>
    <s v="No"/>
    <s v="Excellent"/>
    <s v="No"/>
    <s v="Executive"/>
    <s v="Tuesday"/>
    <s v="Morning"/>
  </r>
  <r>
    <x v="1783"/>
    <s v="2024-02-10 04:51:53"/>
    <x v="6"/>
    <s v="2024-02-22 19:39:53"/>
    <n v="302.8"/>
    <n v="12.6"/>
    <s v="Other"/>
    <s v="Training Request"/>
    <x v="2"/>
    <n v="360"/>
    <x v="1"/>
    <s v="Phone"/>
    <s v="Tier 1"/>
    <s v="TECH-25"/>
    <s v="Senior"/>
    <x v="1"/>
    <s v="No"/>
    <n v="0"/>
    <s v="Yes"/>
    <n v="10"/>
    <n v="2.2000000000000002"/>
    <n v="38.799999999999997"/>
    <s v="Yes"/>
    <s v="Good"/>
    <s v="No"/>
    <s v="IT"/>
    <s v="Tuesday"/>
    <s v="Afternoon"/>
  </r>
  <r>
    <x v="1784"/>
    <s v="2024-03-31 22:08:49"/>
    <x v="5"/>
    <s v="2024-04-07 23:44:49"/>
    <n v="169.6"/>
    <n v="7.1"/>
    <s v="Other"/>
    <s v="General Inquiry"/>
    <x v="1"/>
    <n v="120"/>
    <x v="0"/>
    <s v="Phone"/>
    <s v="Tier 2"/>
    <s v="TECH-13"/>
    <s v="Mid-level"/>
    <x v="0"/>
    <s v="Yes"/>
    <n v="2"/>
    <s v="No"/>
    <n v="5"/>
    <n v="2.9"/>
    <n v="1.9"/>
    <s v="Yes"/>
    <s v="Poor"/>
    <s v="Yes"/>
    <s v="Finance"/>
    <s v="Wednesday"/>
    <s v="Afternoon"/>
  </r>
  <r>
    <x v="1785"/>
    <s v="2024-10-19 10:12:31"/>
    <x v="2"/>
    <s v="2024-10-27 06:30:31"/>
    <n v="189.3"/>
    <n v="7.9"/>
    <s v="Email/Calendar"/>
    <s v="Distribution List"/>
    <x v="0"/>
    <n v="240"/>
    <x v="1"/>
    <s v="Portal"/>
    <s v="Tier 1"/>
    <s v="TECH-13"/>
    <s v="Junior"/>
    <x v="0"/>
    <s v="No"/>
    <n v="1"/>
    <s v="Yes"/>
    <n v="9"/>
    <n v="1.2"/>
    <n v="11.4"/>
    <s v="Yes"/>
    <s v="Good"/>
    <s v="No"/>
    <s v="IT"/>
    <s v="Friday"/>
    <s v="Morning"/>
  </r>
  <r>
    <x v="1786"/>
    <s v="2024-06-09 17:48:47"/>
    <x v="10"/>
    <s v="2024-06-13 05:06:47"/>
    <n v="83.3"/>
    <n v="3.5"/>
    <s v="Email/Calendar"/>
    <s v="Mailbox Full"/>
    <x v="1"/>
    <n v="120"/>
    <x v="1"/>
    <s v="Walk-in"/>
    <s v="Tier 2"/>
    <s v="TECH-18"/>
    <s v="Mid-level"/>
    <x v="0"/>
    <s v="Yes"/>
    <n v="1"/>
    <s v="Yes"/>
    <n v="7"/>
    <n v="1.2"/>
    <n v="24.5"/>
    <s v="No"/>
    <s v="Good"/>
    <s v="Yes"/>
    <s v="Legal"/>
    <s v="Thursday"/>
    <s v="Morning"/>
  </r>
  <r>
    <x v="1787"/>
    <s v="2024-09-21 08:27:29"/>
    <x v="9"/>
    <s v="2024-09-28 06:45:29"/>
    <n v="166.3"/>
    <n v="6.9"/>
    <s v="Software Installation"/>
    <s v="VPN Client"/>
    <x v="1"/>
    <n v="120"/>
    <x v="0"/>
    <s v="Phone"/>
    <s v="Tier 2"/>
    <s v="TECH-21"/>
    <s v="Senior"/>
    <x v="0"/>
    <s v="Yes"/>
    <n v="1"/>
    <s v="Yes"/>
    <n v="7"/>
    <n v="2.8"/>
    <n v="22.5"/>
    <s v="Yes"/>
    <s v="Poor"/>
    <s v="Yes"/>
    <s v="Operations"/>
    <s v="Friday"/>
    <s v="Afternoon"/>
  </r>
  <r>
    <x v="1788"/>
    <s v="2024-11-08 22:05:53"/>
    <x v="7"/>
    <s v="2024-11-15 08:41:53"/>
    <n v="154.6"/>
    <n v="6.4"/>
    <s v="Network Connectivity"/>
    <s v="Ethernet"/>
    <x v="0"/>
    <n v="240"/>
    <x v="1"/>
    <s v="Portal"/>
    <s v="Tier 2"/>
    <s v="TECH-10"/>
    <s v="Mid-level"/>
    <x v="0"/>
    <s v="Yes"/>
    <n v="2"/>
    <s v="No"/>
    <n v="10"/>
    <n v="2.2000000000000002"/>
    <n v="18.2"/>
    <s v="No"/>
    <s v="Good"/>
    <s v="No"/>
    <s v="Legal"/>
    <s v="Friday"/>
    <s v="Morning"/>
  </r>
  <r>
    <x v="1789"/>
    <s v="2024-06-10 08:13:02"/>
    <x v="10"/>
    <s v="2024-06-20 10:31:02"/>
    <n v="242.3"/>
    <n v="10.1"/>
    <s v="Password Reset"/>
    <s v="Application Password"/>
    <x v="2"/>
    <n v="360"/>
    <x v="1"/>
    <s v="Phone"/>
    <s v="Tier 1"/>
    <s v="TECH-25"/>
    <s v="Mid-level"/>
    <x v="1"/>
    <s v="No"/>
    <n v="0"/>
    <s v="No"/>
    <n v="10"/>
    <n v="2.5"/>
    <n v="1.9"/>
    <s v="Yes"/>
    <s v="Fair"/>
    <s v="No"/>
    <s v="Executive"/>
    <s v="Friday"/>
    <s v="Morning"/>
  </r>
  <r>
    <x v="1790"/>
    <s v="2024-08-03 05:28:20"/>
    <x v="1"/>
    <s v="2024-08-09 00:16:20"/>
    <n v="162.80000000000001"/>
    <n v="6.8"/>
    <s v="Access Requests"/>
    <s v="Admin Rights"/>
    <x v="0"/>
    <n v="240"/>
    <x v="1"/>
    <s v="Email"/>
    <s v="Tier 1"/>
    <s v="TECH-14"/>
    <s v="Junior"/>
    <x v="1"/>
    <s v="No"/>
    <n v="0"/>
    <s v="No"/>
    <n v="9"/>
    <n v="3.1"/>
    <n v="8.1"/>
    <s v="Yes"/>
    <s v="Excellent"/>
    <s v="Yes"/>
    <s v="Sales"/>
    <s v="Wednesday"/>
    <s v="Morning"/>
  </r>
  <r>
    <x v="1791"/>
    <s v="2024-04-24 16:38:41"/>
    <x v="11"/>
    <s v="2024-05-06 13:44:41"/>
    <n v="285.10000000000002"/>
    <n v="11.9"/>
    <s v="Other"/>
    <s v="Miscellaneous"/>
    <x v="2"/>
    <n v="360"/>
    <x v="1"/>
    <s v="Portal"/>
    <s v="Tier 1"/>
    <s v="TECH-16"/>
    <s v="Junior"/>
    <x v="0"/>
    <s v="No"/>
    <n v="1"/>
    <s v="Yes"/>
    <n v="8"/>
    <n v="5.4"/>
    <n v="46.5"/>
    <s v="Yes"/>
    <s v="Good"/>
    <s v="No"/>
    <s v="Sales"/>
    <s v="Thursday"/>
    <s v="Afternoon"/>
  </r>
  <r>
    <x v="1792"/>
    <s v="2024-02-08 17:22:40"/>
    <x v="6"/>
    <s v="2024-02-11 21:28:40"/>
    <n v="76.099999999999994"/>
    <n v="3.2"/>
    <s v="Hardware Issues"/>
    <s v="Printer"/>
    <x v="1"/>
    <n v="120"/>
    <x v="1"/>
    <s v="Email"/>
    <s v="Tier 2"/>
    <s v="TECH-6"/>
    <s v="Senior"/>
    <x v="0"/>
    <s v="Yes"/>
    <n v="2"/>
    <s v="No"/>
    <n v="8"/>
    <n v="3"/>
    <n v="4.0999999999999996"/>
    <s v="Yes"/>
    <s v="Fair"/>
    <s v="Yes"/>
    <s v="Finance"/>
    <s v="Thursday"/>
    <s v="Afternoon"/>
  </r>
  <r>
    <x v="1793"/>
    <s v="2024-07-04 19:04:30"/>
    <x v="4"/>
    <s v="2024-07-23 21:04:30"/>
    <n v="458"/>
    <n v="19.100000000000001"/>
    <s v="Other"/>
    <s v="Training Request"/>
    <x v="2"/>
    <n v="360"/>
    <x v="0"/>
    <s v="Chat"/>
    <s v="Tier 2"/>
    <s v="TECH-17"/>
    <s v="Mid-level"/>
    <x v="0"/>
    <s v="Yes"/>
    <n v="1"/>
    <s v="No"/>
    <n v="5"/>
    <n v="3.2"/>
    <n v="23.4"/>
    <s v="No"/>
    <s v="Poor"/>
    <s v="Yes"/>
    <s v="Executive"/>
    <s v="Monday"/>
    <s v="Morning"/>
  </r>
  <r>
    <x v="1794"/>
    <s v="2024-09-04 21:03:50"/>
    <x v="9"/>
    <s v="2024-09-07 20:39:50"/>
    <n v="71.599999999999994"/>
    <n v="3"/>
    <s v="Other"/>
    <s v="Training Request"/>
    <x v="3"/>
    <n v="48"/>
    <x v="0"/>
    <s v="Walk-in"/>
    <s v="Tier 2"/>
    <s v="TECH-2"/>
    <s v="Senior"/>
    <x v="0"/>
    <s v="Yes"/>
    <n v="2"/>
    <s v="No"/>
    <n v="1"/>
    <n v="4.3"/>
    <n v="7.9"/>
    <s v="Yes"/>
    <s v="Fair"/>
    <s v="Yes"/>
    <s v="Operations"/>
    <s v="Wednesday"/>
    <s v="Afternoon"/>
  </r>
  <r>
    <x v="1795"/>
    <s v="2024-06-13 07:05:00"/>
    <x v="10"/>
    <s v="2024-06-14 23:35:00"/>
    <n v="40.5"/>
    <n v="1.7"/>
    <s v="Hardware Issues"/>
    <s v="Laptop"/>
    <x v="3"/>
    <n v="48"/>
    <x v="1"/>
    <s v="Email"/>
    <s v="Tier 2"/>
    <s v="TECH-4"/>
    <s v="Junior"/>
    <x v="0"/>
    <s v="Yes"/>
    <n v="1"/>
    <s v="No"/>
    <n v="8"/>
    <n v="3.6"/>
    <n v="10.8"/>
    <s v="No"/>
    <s v="Excellent"/>
    <s v="No"/>
    <s v="Marketing"/>
    <s v="Friday"/>
    <s v="Morning"/>
  </r>
  <r>
    <x v="1796"/>
    <s v="2024-03-07 01:14:57"/>
    <x v="5"/>
    <s v="2024-03-20 13:02:57"/>
    <n v="299.8"/>
    <n v="12.5"/>
    <s v="Network Connectivity"/>
    <s v="Ethernet"/>
    <x v="0"/>
    <n v="240"/>
    <x v="0"/>
    <s v="Chat"/>
    <s v="Tier 2"/>
    <s v="TECH-17"/>
    <s v="Mid-level"/>
    <x v="0"/>
    <s v="Yes"/>
    <n v="2"/>
    <s v="No"/>
    <n v="4"/>
    <n v="0.1"/>
    <n v="0"/>
    <s v="No"/>
    <s v="Poor"/>
    <s v="No"/>
    <s v="Executive"/>
    <s v="Wednesday"/>
    <s v="Morning"/>
  </r>
  <r>
    <x v="1797"/>
    <s v="2024-01-19 21:42:58"/>
    <x v="3"/>
    <s v="2024-01-26 20:18:58"/>
    <n v="166.6"/>
    <n v="6.9"/>
    <s v="Password Reset"/>
    <s v="Email Password"/>
    <x v="1"/>
    <n v="120"/>
    <x v="0"/>
    <s v="Portal"/>
    <s v="Tier 1"/>
    <s v="TECH-18"/>
    <s v="Senior"/>
    <x v="0"/>
    <s v="No"/>
    <n v="1"/>
    <s v="No"/>
    <n v="5"/>
    <n v="2.2000000000000002"/>
    <n v="37.799999999999997"/>
    <s v="Yes"/>
    <s v="Poor"/>
    <s v="Yes"/>
    <s v="Marketing"/>
    <s v="Wednesday"/>
    <s v="Morning"/>
  </r>
  <r>
    <x v="1798"/>
    <s v="2024-03-22 12:31:18"/>
    <x v="5"/>
    <s v="2024-03-30 07:07:18"/>
    <n v="186.6"/>
    <n v="7.8"/>
    <s v="Software Installation"/>
    <s v="Adobe Suite"/>
    <x v="0"/>
    <n v="240"/>
    <x v="1"/>
    <s v="Phone"/>
    <s v="Tier 2"/>
    <s v="TECH-25"/>
    <s v="Mid-level"/>
    <x v="0"/>
    <s v="Yes"/>
    <n v="2"/>
    <s v="Yes"/>
    <n v="9"/>
    <n v="1.9"/>
    <n v="5.3"/>
    <s v="Yes"/>
    <s v="Fair"/>
    <s v="No"/>
    <s v="Finance"/>
    <s v="Tuesday"/>
    <s v="Afternoon"/>
  </r>
  <r>
    <x v="1799"/>
    <s v="2024-09-25 20:01:34"/>
    <x v="9"/>
    <s v="2024-10-05 21:13:34"/>
    <n v="241.2"/>
    <n v="10"/>
    <s v="Network Connectivity"/>
    <s v="VPN Connection"/>
    <x v="0"/>
    <n v="240"/>
    <x v="0"/>
    <s v="Phone"/>
    <s v="Tier 1"/>
    <s v="TECH-5"/>
    <s v="Junior"/>
    <x v="1"/>
    <s v="No"/>
    <n v="0"/>
    <s v="No"/>
    <n v="6"/>
    <n v="0.1"/>
    <n v="14.7"/>
    <s v="Yes"/>
    <s v="Poor"/>
    <s v="Yes"/>
    <s v="Legal"/>
    <s v="Friday"/>
    <s v="Morning"/>
  </r>
  <r>
    <x v="1800"/>
    <s v="2024-04-11 10:10:49"/>
    <x v="11"/>
    <s v="2024-04-22 14:22:49"/>
    <n v="268.2"/>
    <n v="11.2"/>
    <s v="Password Reset"/>
    <s v="Application Password"/>
    <x v="2"/>
    <n v="360"/>
    <x v="1"/>
    <s v="Walk-in"/>
    <s v="Tier 1"/>
    <s v="TECH-17"/>
    <s v="Mid-level"/>
    <x v="1"/>
    <s v="No"/>
    <n v="0"/>
    <s v="No"/>
    <n v="7"/>
    <n v="4"/>
    <n v="11.1"/>
    <s v="Yes"/>
    <s v="Excellent"/>
    <s v="Yes"/>
    <s v="Sales"/>
    <s v="Monday"/>
    <s v="Morning"/>
  </r>
  <r>
    <x v="1801"/>
    <s v="2024-11-26 08:47:57"/>
    <x v="7"/>
    <s v="2024-12-03 19:41:57"/>
    <n v="178.9"/>
    <n v="7.5"/>
    <s v="Software Installation"/>
    <s v="Drivers"/>
    <x v="0"/>
    <n v="240"/>
    <x v="1"/>
    <s v="Phone"/>
    <s v="Tier 1"/>
    <s v="TECH-15"/>
    <s v="Mid-level"/>
    <x v="0"/>
    <s v="No"/>
    <n v="1"/>
    <s v="No"/>
    <n v="9"/>
    <n v="3.3"/>
    <n v="12.9"/>
    <s v="Yes"/>
    <s v="Good"/>
    <s v="No"/>
    <s v="Finance"/>
    <s v="Friday"/>
    <s v="Morning"/>
  </r>
  <r>
    <x v="1802"/>
    <s v="2024-06-05 19:14:10"/>
    <x v="10"/>
    <s v="2024-06-17 20:02:10"/>
    <n v="288.8"/>
    <n v="12"/>
    <s v="Access Requests"/>
    <s v="Application Access"/>
    <x v="0"/>
    <n v="240"/>
    <x v="0"/>
    <s v="Portal"/>
    <s v="Tier 1"/>
    <s v="TECH-16"/>
    <s v="Mid-level"/>
    <x v="0"/>
    <s v="No"/>
    <n v="1"/>
    <s v="Yes"/>
    <n v="5"/>
    <n v="0.1"/>
    <n v="32.200000000000003"/>
    <s v="No"/>
    <s v="Good"/>
    <s v="Yes"/>
    <s v="Finance"/>
    <s v="Wednesday"/>
    <s v="Morning"/>
  </r>
  <r>
    <x v="1803"/>
    <s v="2024-10-14 12:13:11"/>
    <x v="2"/>
    <s v="2024-10-27 18:49:11"/>
    <n v="319.60000000000002"/>
    <n v="13.3"/>
    <s v="Hardware Issues"/>
    <s v="Laptop"/>
    <x v="0"/>
    <n v="240"/>
    <x v="0"/>
    <s v="Phone"/>
    <s v="Tier 1"/>
    <s v="TECH-13"/>
    <s v="Mid-level"/>
    <x v="0"/>
    <s v="No"/>
    <n v="1"/>
    <s v="No"/>
    <n v="7"/>
    <n v="0.6"/>
    <n v="14"/>
    <s v="Yes"/>
    <s v="Good"/>
    <s v="Yes"/>
    <s v="Finance"/>
    <s v="Thursday"/>
    <s v="Morning"/>
  </r>
  <r>
    <x v="1804"/>
    <s v="2024-09-02 01:33:09"/>
    <x v="9"/>
    <s v="2024-09-16 19:27:09"/>
    <n v="329.9"/>
    <n v="13.7"/>
    <s v="Other"/>
    <s v="Miscellaneous"/>
    <x v="2"/>
    <n v="360"/>
    <x v="1"/>
    <s v="Phone"/>
    <s v="Tier 2"/>
    <s v="TECH-10"/>
    <s v="Mid-level"/>
    <x v="0"/>
    <s v="Yes"/>
    <n v="4"/>
    <s v="Yes"/>
    <n v="7"/>
    <n v="5.5"/>
    <n v="8.8000000000000007"/>
    <s v="No"/>
    <s v="Poor"/>
    <s v="No"/>
    <s v="Sales"/>
    <s v="Friday"/>
    <s v="Afternoon"/>
  </r>
  <r>
    <x v="1805"/>
    <s v="2024-05-24 03:13:07"/>
    <x v="8"/>
    <s v="2024-06-02 11:19:07"/>
    <n v="224.1"/>
    <n v="9.3000000000000007"/>
    <s v="Password Reset"/>
    <s v="Application Password"/>
    <x v="0"/>
    <n v="240"/>
    <x v="1"/>
    <s v="Email"/>
    <s v="Tier 1"/>
    <s v="TECH-22"/>
    <s v="Mid-level"/>
    <x v="0"/>
    <s v="No"/>
    <n v="1"/>
    <s v="No"/>
    <n v="10"/>
    <n v="1.4"/>
    <n v="1.4"/>
    <s v="No"/>
    <s v="Poor"/>
    <s v="Yes"/>
    <s v="Marketing"/>
    <s v="Tuesday"/>
    <s v="Afternoon"/>
  </r>
  <r>
    <x v="1806"/>
    <s v="2024-02-28 21:09:44"/>
    <x v="6"/>
    <s v="2024-03-03 08:15:44"/>
    <n v="83.1"/>
    <n v="3.5"/>
    <s v="Hardware Issues"/>
    <s v="Laptop"/>
    <x v="1"/>
    <n v="120"/>
    <x v="1"/>
    <s v="Phone"/>
    <s v="Tier 2"/>
    <s v="TECH-12"/>
    <s v="Mid-level"/>
    <x v="0"/>
    <s v="Yes"/>
    <n v="1"/>
    <s v="No"/>
    <n v="8"/>
    <n v="0.3"/>
    <n v="20.7"/>
    <s v="Yes"/>
    <s v="Fair"/>
    <s v="No"/>
    <s v="Executive"/>
    <s v="Thursday"/>
    <s v="Morning"/>
  </r>
  <r>
    <x v="1807"/>
    <s v="2024-04-24 17:09:38"/>
    <x v="11"/>
    <s v="2024-05-06 14:51:38"/>
    <n v="285.7"/>
    <n v="11.9"/>
    <s v="Application Errors"/>
    <s v="Performance"/>
    <x v="0"/>
    <n v="240"/>
    <x v="0"/>
    <s v="Email"/>
    <s v="Tier 1"/>
    <s v="TECH-16"/>
    <s v="Mid-level"/>
    <x v="0"/>
    <s v="No"/>
    <n v="1"/>
    <s v="No"/>
    <n v="8"/>
    <n v="3.1"/>
    <n v="9.4"/>
    <s v="Yes"/>
    <s v="Good"/>
    <s v="Yes"/>
    <s v="Operations"/>
    <s v="Wednesday"/>
    <s v="Afternoon"/>
  </r>
  <r>
    <x v="1808"/>
    <s v="2024-11-01 11:08:18"/>
    <x v="7"/>
    <s v="2024-11-10 13:50:18"/>
    <n v="218.7"/>
    <n v="9.1"/>
    <s v="Software Installation"/>
    <s v="VPN Client"/>
    <x v="0"/>
    <n v="240"/>
    <x v="1"/>
    <s v="Walk-in"/>
    <s v="Tier 1"/>
    <s v="TECH-12"/>
    <s v="Mid-level"/>
    <x v="0"/>
    <s v="No"/>
    <n v="1"/>
    <s v="Yes"/>
    <n v="10"/>
    <n v="2.2999999999999998"/>
    <n v="25.6"/>
    <s v="Yes"/>
    <s v="Poor"/>
    <s v="No"/>
    <s v="Finance"/>
    <s v="Monday"/>
    <s v="Afternoon"/>
  </r>
  <r>
    <x v="1809"/>
    <s v="2024-06-30 12:22:54"/>
    <x v="10"/>
    <s v="2024-07-04 16:58:54"/>
    <n v="100.6"/>
    <n v="4.2"/>
    <s v="Application Errors"/>
    <s v="Performance"/>
    <x v="1"/>
    <n v="120"/>
    <x v="1"/>
    <s v="Phone"/>
    <s v="Tier 1"/>
    <s v="TECH-4"/>
    <s v="Junior"/>
    <x v="1"/>
    <s v="No"/>
    <n v="0"/>
    <s v="No"/>
    <n v="10"/>
    <n v="1.5"/>
    <n v="14.3"/>
    <s v="No"/>
    <s v="Good"/>
    <s v="Yes"/>
    <s v="Finance"/>
    <s v="Thursday"/>
    <s v="Afternoon"/>
  </r>
  <r>
    <x v="1810"/>
    <s v="2024-04-17 08:16:34"/>
    <x v="11"/>
    <s v="2024-05-11 23:10:34"/>
    <n v="590.9"/>
    <n v="24.6"/>
    <s v="Access Requests"/>
    <s v="Admin Rights"/>
    <x v="2"/>
    <n v="360"/>
    <x v="0"/>
    <s v="Email"/>
    <s v="Tier 1"/>
    <s v="TECH-22"/>
    <s v="Mid-level"/>
    <x v="0"/>
    <s v="No"/>
    <n v="1"/>
    <s v="Yes"/>
    <n v="6"/>
    <n v="2.4"/>
    <n v="7.6"/>
    <s v="Yes"/>
    <s v="Poor"/>
    <s v="Yes"/>
    <s v="HR"/>
    <s v="Monday"/>
    <s v="Evening"/>
  </r>
  <r>
    <x v="1811"/>
    <s v="2024-02-02 09:43:33"/>
    <x v="6"/>
    <s v="2024-02-07 10:07:33"/>
    <n v="120.4"/>
    <n v="5"/>
    <s v="Application Errors"/>
    <s v="Performance"/>
    <x v="1"/>
    <n v="120"/>
    <x v="0"/>
    <s v="Portal"/>
    <s v="Tier 1"/>
    <s v="TECH-3"/>
    <s v="Senior"/>
    <x v="0"/>
    <s v="No"/>
    <n v="1"/>
    <s v="No"/>
    <n v="5"/>
    <n v="3.5"/>
    <n v="30.9"/>
    <s v="Yes"/>
    <s v="Poor"/>
    <s v="Yes"/>
    <s v="IT"/>
    <s v="Monday"/>
    <s v="Afternoon"/>
  </r>
  <r>
    <x v="1812"/>
    <s v="2024-01-22 21:22:44"/>
    <x v="3"/>
    <s v="2024-02-07 12:10:44"/>
    <n v="374.8"/>
    <n v="15.6"/>
    <s v="Email/Calendar"/>
    <s v="Cannot Send/Receive"/>
    <x v="2"/>
    <n v="360"/>
    <x v="0"/>
    <s v="Portal"/>
    <s v="Tier 1"/>
    <s v="TECH-13"/>
    <s v="Mid-level"/>
    <x v="1"/>
    <s v="No"/>
    <n v="0"/>
    <s v="No"/>
    <n v="6"/>
    <n v="2.7"/>
    <n v="27.6"/>
    <s v="Yes"/>
    <s v="Fair"/>
    <s v="Yes"/>
    <s v="Finance"/>
    <s v="Thursday"/>
    <s v="Morning"/>
  </r>
  <r>
    <x v="1813"/>
    <s v="2024-03-03 09:27:40"/>
    <x v="5"/>
    <s v="2024-03-06 01:27:40"/>
    <n v="88"/>
    <n v="3.7"/>
    <s v="Hardware Issues"/>
    <s v="Desktop"/>
    <x v="1"/>
    <n v="120"/>
    <x v="1"/>
    <s v="Walk-in"/>
    <s v="Tier 2"/>
    <s v="TECH-3"/>
    <s v="Senior"/>
    <x v="0"/>
    <s v="Yes"/>
    <n v="1"/>
    <s v="Yes"/>
    <n v="9"/>
    <n v="0.6"/>
    <n v="24.2"/>
    <s v="No"/>
    <s v="Excellent"/>
    <s v="Yes"/>
    <s v="Finance"/>
    <s v="Monday"/>
    <s v="Afternoon"/>
  </r>
  <r>
    <x v="1814"/>
    <s v="2024-01-15 15:12:20"/>
    <x v="3"/>
    <s v="2024-01-23 18:24:20"/>
    <n v="195.2"/>
    <n v="8.1"/>
    <s v="Software Installation"/>
    <s v="Drivers"/>
    <x v="0"/>
    <n v="240"/>
    <x v="1"/>
    <s v="Phone"/>
    <s v="Tier 1"/>
    <s v="TECH-15"/>
    <s v="Mid-level"/>
    <x v="1"/>
    <s v="No"/>
    <n v="0"/>
    <s v="No"/>
    <n v="9"/>
    <n v="0.1"/>
    <n v="7"/>
    <s v="No"/>
    <s v="Good"/>
    <s v="No"/>
    <s v="Finance"/>
    <s v="Wednesday"/>
    <s v="Morning"/>
  </r>
  <r>
    <x v="1815"/>
    <s v="2024-05-31 03:07:12"/>
    <x v="8"/>
    <s v="2024-06-09 05:07:12"/>
    <n v="218"/>
    <n v="9.1"/>
    <s v="Access Requests"/>
    <s v="Application Access"/>
    <x v="0"/>
    <n v="240"/>
    <x v="1"/>
    <s v="Email"/>
    <s v="Tier 1"/>
    <s v="TECH-7"/>
    <s v="Junior"/>
    <x v="1"/>
    <s v="No"/>
    <n v="0"/>
    <s v="Yes"/>
    <n v="10"/>
    <n v="0.2"/>
    <n v="4.5"/>
    <s v="Yes"/>
    <s v="Poor"/>
    <s v="No"/>
    <s v="Finance"/>
    <s v="Wednesday"/>
    <s v="Afternoon"/>
  </r>
  <r>
    <x v="1816"/>
    <s v="2024-01-16 19:35:26"/>
    <x v="3"/>
    <s v="2024-01-25 12:53:26"/>
    <n v="209.3"/>
    <n v="8.6999999999999993"/>
    <s v="Email/Calendar"/>
    <s v="Calendar Sync"/>
    <x v="0"/>
    <n v="240"/>
    <x v="1"/>
    <s v="Portal"/>
    <s v="Tier 1"/>
    <s v="TECH-22"/>
    <s v="Mid-level"/>
    <x v="0"/>
    <s v="No"/>
    <n v="1"/>
    <s v="No"/>
    <n v="7"/>
    <n v="3"/>
    <n v="12.4"/>
    <s v="Yes"/>
    <s v="Poor"/>
    <s v="Yes"/>
    <s v="IT"/>
    <s v="Friday"/>
    <s v="Afternoon"/>
  </r>
  <r>
    <x v="1817"/>
    <s v="2024-02-04 02:12:42"/>
    <x v="6"/>
    <s v="2024-02-13 13:42:42"/>
    <n v="227.5"/>
    <n v="9.5"/>
    <s v="Access Requests"/>
    <s v="Admin Rights"/>
    <x v="0"/>
    <n v="240"/>
    <x v="1"/>
    <s v="Phone"/>
    <s v="Tier 1"/>
    <s v="TECH-9"/>
    <s v="Senior"/>
    <x v="1"/>
    <s v="No"/>
    <n v="0"/>
    <s v="No"/>
    <n v="10"/>
    <n v="3.4"/>
    <n v="18.3"/>
    <s v="No"/>
    <s v="Good"/>
    <s v="No"/>
    <s v="Sales"/>
    <s v="Monday"/>
    <s v="Evening"/>
  </r>
  <r>
    <x v="1818"/>
    <s v="2024-09-10 12:47:09"/>
    <x v="9"/>
    <s v="2024-09-13 02:53:09"/>
    <n v="86.1"/>
    <n v="3.6"/>
    <s v="Software Installation"/>
    <s v="Drivers"/>
    <x v="1"/>
    <n v="120"/>
    <x v="1"/>
    <s v="Portal"/>
    <s v="Tier 2"/>
    <s v="TECH-23"/>
    <s v="Senior"/>
    <x v="0"/>
    <s v="Yes"/>
    <n v="4"/>
    <s v="No"/>
    <n v="5"/>
    <n v="0.1"/>
    <n v="16.3"/>
    <s v="Yes"/>
    <s v="Fair"/>
    <s v="No"/>
    <s v="Executive"/>
    <s v="Wednesday"/>
    <s v="Evening"/>
  </r>
  <r>
    <x v="1819"/>
    <s v="2024-09-01 13:36:23"/>
    <x v="9"/>
    <s v="2024-09-15 12:30:23"/>
    <n v="334.9"/>
    <n v="14"/>
    <s v="Application Errors"/>
    <s v="Crash"/>
    <x v="0"/>
    <n v="240"/>
    <x v="0"/>
    <s v="Portal"/>
    <s v="Tier 2"/>
    <s v="TECH-7"/>
    <s v="Junior"/>
    <x v="0"/>
    <s v="Yes"/>
    <n v="2"/>
    <s v="Yes"/>
    <n v="4"/>
    <n v="4"/>
    <n v="29.6"/>
    <s v="Yes"/>
    <s v="Poor"/>
    <s v="No"/>
    <s v="Marketing"/>
    <s v="Thursday"/>
    <s v="Morning"/>
  </r>
  <r>
    <x v="1820"/>
    <s v="2024-09-01 05:00:11"/>
    <x v="9"/>
    <s v="2024-09-05 18:00:11"/>
    <n v="109"/>
    <n v="4.5"/>
    <s v="Hardware Issues"/>
    <s v="Desktop"/>
    <x v="1"/>
    <n v="120"/>
    <x v="1"/>
    <s v="Chat"/>
    <s v="Tier 1"/>
    <s v="TECH-20"/>
    <s v="Senior"/>
    <x v="0"/>
    <s v="No"/>
    <n v="1"/>
    <s v="No"/>
    <n v="7"/>
    <n v="0.1"/>
    <n v="11"/>
    <s v="No"/>
    <s v="Poor"/>
    <s v="No"/>
    <s v="Marketing"/>
    <s v="Friday"/>
    <s v="Afternoon"/>
  </r>
  <r>
    <x v="1821"/>
    <s v="2024-10-17 05:42:17"/>
    <x v="2"/>
    <s v="2024-10-21 20:18:17"/>
    <n v="110.6"/>
    <n v="4.5999999999999996"/>
    <s v="Application Errors"/>
    <s v="Performance"/>
    <x v="1"/>
    <n v="120"/>
    <x v="1"/>
    <s v="Phone"/>
    <s v="Tier 1"/>
    <s v="TECH-22"/>
    <s v="Mid-level"/>
    <x v="1"/>
    <s v="No"/>
    <n v="0"/>
    <s v="No"/>
    <n v="6"/>
    <n v="3.9"/>
    <n v="19.399999999999999"/>
    <s v="Yes"/>
    <s v="Fair"/>
    <s v="No"/>
    <s v="IT"/>
    <s v="Tuesday"/>
    <s v="Afternoon"/>
  </r>
  <r>
    <x v="1822"/>
    <s v="2024-10-24 00:11:41"/>
    <x v="2"/>
    <s v="2024-11-01 19:59:41"/>
    <n v="188.8"/>
    <n v="7.9"/>
    <s v="Network Connectivity"/>
    <s v="Slow Network"/>
    <x v="1"/>
    <n v="120"/>
    <x v="0"/>
    <s v="Email"/>
    <s v="Tier 1"/>
    <s v="TECH-2"/>
    <s v="Mid-level"/>
    <x v="0"/>
    <s v="No"/>
    <n v="1"/>
    <s v="No"/>
    <n v="5"/>
    <n v="2"/>
    <n v="17.100000000000001"/>
    <s v="No"/>
    <s v="Good"/>
    <s v="Yes"/>
    <s v="Marketing"/>
    <s v="Wednesday"/>
    <s v="Morning"/>
  </r>
  <r>
    <x v="1823"/>
    <s v="2024-09-04 11:21:24"/>
    <x v="9"/>
    <s v="2024-09-11 06:45:24"/>
    <n v="163.4"/>
    <n v="6.8"/>
    <s v="Hardware Issues"/>
    <s v="Desktop"/>
    <x v="0"/>
    <n v="240"/>
    <x v="1"/>
    <s v="Phone"/>
    <s v="Tier 2"/>
    <s v="TECH-4"/>
    <s v="Senior"/>
    <x v="0"/>
    <s v="Yes"/>
    <n v="4"/>
    <s v="No"/>
    <n v="9"/>
    <n v="3"/>
    <n v="40.299999999999997"/>
    <s v="Yes"/>
    <s v="Fair"/>
    <s v="No"/>
    <s v="IT"/>
    <s v="Friday"/>
    <s v="Afternoon"/>
  </r>
  <r>
    <x v="1824"/>
    <s v="2024-05-07 12:32:39"/>
    <x v="8"/>
    <s v="2024-05-18 13:50:39"/>
    <n v="265.3"/>
    <n v="11.1"/>
    <s v="Software Installation"/>
    <s v="MS Office"/>
    <x v="0"/>
    <n v="240"/>
    <x v="0"/>
    <s v="Email"/>
    <s v="Tier 1"/>
    <s v="TECH-16"/>
    <s v="Junior"/>
    <x v="0"/>
    <s v="No"/>
    <n v="1"/>
    <s v="No"/>
    <n v="6"/>
    <n v="0.5"/>
    <n v="17.3"/>
    <s v="No"/>
    <s v="Poor"/>
    <s v="Yes"/>
    <s v="HR"/>
    <s v="Thursday"/>
    <s v="Evening"/>
  </r>
  <r>
    <x v="1825"/>
    <s v="2024-12-12 05:25:00"/>
    <x v="0"/>
    <s v="2024-12-26 12:13:00"/>
    <n v="342.8"/>
    <n v="14.3"/>
    <s v="Software Installation"/>
    <s v="VPN Client"/>
    <x v="0"/>
    <n v="240"/>
    <x v="0"/>
    <s v="Phone"/>
    <s v="Tier 1"/>
    <s v="TECH-18"/>
    <s v="Senior"/>
    <x v="0"/>
    <s v="No"/>
    <n v="1"/>
    <s v="Yes"/>
    <n v="6"/>
    <n v="4.5"/>
    <n v="4.7"/>
    <s v="Yes"/>
    <s v="Poor"/>
    <s v="Yes"/>
    <s v="Executive"/>
    <s v="Tuesday"/>
    <s v="Evening"/>
  </r>
  <r>
    <x v="1826"/>
    <s v="2024-05-16 05:50:04"/>
    <x v="8"/>
    <s v="2024-06-01 07:14:04"/>
    <n v="385.4"/>
    <n v="16.100000000000001"/>
    <s v="Password Reset"/>
    <s v="Email Password"/>
    <x v="2"/>
    <n v="360"/>
    <x v="0"/>
    <s v="Email"/>
    <s v="Tier 1"/>
    <s v="TECH-20"/>
    <s v="Mid-level"/>
    <x v="0"/>
    <s v="No"/>
    <n v="1"/>
    <s v="No"/>
    <n v="6"/>
    <n v="3.4"/>
    <n v="10.3"/>
    <s v="Yes"/>
    <s v="Good"/>
    <s v="Yes"/>
    <s v="IT"/>
    <s v="Wednesday"/>
    <s v="Afternoon"/>
  </r>
  <r>
    <x v="1827"/>
    <s v="2024-09-17 21:19:48"/>
    <x v="9"/>
    <s v="2024-10-02 12:13:48"/>
    <n v="350.9"/>
    <n v="14.6"/>
    <s v="Access Requests"/>
    <s v="Admin Rights"/>
    <x v="0"/>
    <n v="240"/>
    <x v="0"/>
    <s v="Walk-in"/>
    <s v="Tier 1"/>
    <s v="TECH-11"/>
    <s v="Senior"/>
    <x v="0"/>
    <s v="No"/>
    <n v="1"/>
    <s v="No"/>
    <n v="7"/>
    <n v="2.4"/>
    <n v="24.3"/>
    <s v="No"/>
    <s v="Poor"/>
    <s v="No"/>
    <s v="IT"/>
    <s v="Wednesday"/>
    <s v="Morning"/>
  </r>
  <r>
    <x v="1828"/>
    <s v="2024-06-16 04:23:09"/>
    <x v="10"/>
    <s v="2024-06-20 08:47:09"/>
    <n v="100.4"/>
    <n v="4.2"/>
    <s v="Email/Calendar"/>
    <s v="Calendar Sync"/>
    <x v="1"/>
    <n v="120"/>
    <x v="1"/>
    <s v="Email"/>
    <s v="Tier 1"/>
    <s v="TECH-7"/>
    <s v="Mid-level"/>
    <x v="0"/>
    <s v="No"/>
    <n v="1"/>
    <s v="No"/>
    <n v="10"/>
    <n v="3.5"/>
    <n v="25.5"/>
    <s v="No"/>
    <s v="Fair"/>
    <s v="No"/>
    <s v="HR"/>
    <s v="Monday"/>
    <s v="Evening"/>
  </r>
  <r>
    <x v="1829"/>
    <s v="2024-07-07 16:18:58"/>
    <x v="4"/>
    <s v="2024-07-15 02:18:58"/>
    <n v="202"/>
    <n v="8.4"/>
    <s v="Software Installation"/>
    <s v="Drivers"/>
    <x v="0"/>
    <n v="240"/>
    <x v="1"/>
    <s v="Portal"/>
    <s v="Tier 2"/>
    <s v="TECH-23"/>
    <s v="Senior"/>
    <x v="0"/>
    <s v="Yes"/>
    <n v="2"/>
    <s v="No"/>
    <n v="7"/>
    <n v="1.5"/>
    <n v="6.9"/>
    <s v="Yes"/>
    <s v="Excellent"/>
    <s v="No"/>
    <s v="Operations"/>
    <s v="Wednesday"/>
    <s v="Evening"/>
  </r>
  <r>
    <x v="1830"/>
    <s v="2024-07-15 18:46:44"/>
    <x v="4"/>
    <s v="2024-07-22 11:46:44"/>
    <n v="161"/>
    <n v="6.7"/>
    <s v="Access Requests"/>
    <s v="Application Access"/>
    <x v="0"/>
    <n v="240"/>
    <x v="1"/>
    <s v="Chat"/>
    <s v="Tier 1"/>
    <s v="TECH-1"/>
    <s v="Senior"/>
    <x v="0"/>
    <s v="No"/>
    <n v="1"/>
    <s v="Yes"/>
    <n v="5"/>
    <n v="2.4"/>
    <n v="37.1"/>
    <s v="Yes"/>
    <s v="Fair"/>
    <s v="Yes"/>
    <s v="Executive"/>
    <s v="Friday"/>
    <s v="Evening"/>
  </r>
  <r>
    <x v="1831"/>
    <s v="2024-07-23 07:24:09"/>
    <x v="4"/>
    <s v="2024-07-24 21:48:09"/>
    <n v="38.4"/>
    <n v="1.6"/>
    <s v="Password Reset"/>
    <s v="Account Unlock"/>
    <x v="3"/>
    <n v="48"/>
    <x v="1"/>
    <s v="Phone"/>
    <s v="Tier 1"/>
    <s v="TECH-3"/>
    <s v="Senior"/>
    <x v="1"/>
    <s v="No"/>
    <n v="0"/>
    <s v="No"/>
    <n v="9"/>
    <n v="0.1"/>
    <n v="0"/>
    <s v="No"/>
    <s v="Fair"/>
    <s v="Yes"/>
    <s v="HR"/>
    <s v="Friday"/>
    <s v="Morning"/>
  </r>
  <r>
    <x v="1832"/>
    <s v="2024-08-05 18:19:18"/>
    <x v="1"/>
    <s v="2024-08-19 22:31:18"/>
    <n v="340.2"/>
    <n v="14.2"/>
    <s v="Password Reset"/>
    <s v="Application Password"/>
    <x v="2"/>
    <n v="360"/>
    <x v="1"/>
    <s v="Walk-in"/>
    <s v="Tier 1"/>
    <s v="TECH-14"/>
    <s v="Mid-level"/>
    <x v="1"/>
    <s v="No"/>
    <n v="0"/>
    <s v="No"/>
    <n v="8"/>
    <n v="0.1"/>
    <n v="5.8"/>
    <s v="No"/>
    <s v="Excellent"/>
    <s v="No"/>
    <s v="HR"/>
    <s v="Wednesday"/>
    <s v="Afternoon"/>
  </r>
  <r>
    <x v="1833"/>
    <s v="2024-04-22 03:06:13"/>
    <x v="11"/>
    <s v="2024-04-30 22:12:13"/>
    <n v="211.1"/>
    <n v="8.8000000000000007"/>
    <s v="Email/Calendar"/>
    <s v="Cannot Send/Receive"/>
    <x v="0"/>
    <n v="240"/>
    <x v="1"/>
    <s v="Email"/>
    <s v="Tier 1"/>
    <s v="TECH-16"/>
    <s v="Mid-level"/>
    <x v="0"/>
    <s v="No"/>
    <n v="1"/>
    <s v="No"/>
    <n v="8"/>
    <n v="0.1"/>
    <n v="13.1"/>
    <s v="Yes"/>
    <s v="Poor"/>
    <s v="Yes"/>
    <s v="Marketing"/>
    <s v="Tuesday"/>
    <s v="Morning"/>
  </r>
  <r>
    <x v="1834"/>
    <s v="2024-09-25 13:49:03"/>
    <x v="9"/>
    <s v="2024-10-03 23:25:03"/>
    <n v="201.6"/>
    <n v="8.4"/>
    <s v="Access Requests"/>
    <s v="Application Access"/>
    <x v="0"/>
    <n v="240"/>
    <x v="1"/>
    <s v="Walk-in"/>
    <s v="Tier 1"/>
    <s v="TECH-5"/>
    <s v="Senior"/>
    <x v="1"/>
    <s v="No"/>
    <n v="0"/>
    <s v="No"/>
    <n v="10"/>
    <n v="2.4"/>
    <n v="19.8"/>
    <s v="Yes"/>
    <s v="Good"/>
    <s v="No"/>
    <s v="HR"/>
    <s v="Thursday"/>
    <s v="Afternoon"/>
  </r>
  <r>
    <x v="1835"/>
    <s v="2024-03-14 16:04:21"/>
    <x v="5"/>
    <s v="2024-03-27 04:34:21"/>
    <n v="300.5"/>
    <n v="12.5"/>
    <s v="Other"/>
    <s v="Training Request"/>
    <x v="2"/>
    <n v="360"/>
    <x v="1"/>
    <s v="Phone"/>
    <s v="Tier 1"/>
    <s v="TECH-15"/>
    <s v="Junior"/>
    <x v="0"/>
    <s v="No"/>
    <n v="1"/>
    <s v="No"/>
    <n v="7"/>
    <n v="3.4"/>
    <n v="11.6"/>
    <s v="Yes"/>
    <s v="Good"/>
    <s v="Yes"/>
    <s v="IT"/>
    <s v="Monday"/>
    <s v="Morning"/>
  </r>
  <r>
    <x v="1836"/>
    <s v="2024-05-04 09:46:31"/>
    <x v="8"/>
    <s v="2024-05-07 21:52:31"/>
    <n v="84.1"/>
    <n v="3.5"/>
    <s v="Software Installation"/>
    <s v="MS Office"/>
    <x v="1"/>
    <n v="120"/>
    <x v="1"/>
    <s v="Email"/>
    <s v="Tier 1"/>
    <s v="TECH-23"/>
    <s v="Junior"/>
    <x v="1"/>
    <s v="No"/>
    <n v="0"/>
    <s v="No"/>
    <n v="9"/>
    <n v="1.5"/>
    <n v="13.8"/>
    <s v="Yes"/>
    <s v="Poor"/>
    <s v="No"/>
    <s v="Operations"/>
    <s v="Thursday"/>
    <s v="Morning"/>
  </r>
  <r>
    <x v="1837"/>
    <s v="2024-05-07 11:54:13"/>
    <x v="8"/>
    <s v="2024-05-20 17:54:13"/>
    <n v="318"/>
    <n v="13.3"/>
    <s v="Password Reset"/>
    <s v="Email Password"/>
    <x v="2"/>
    <n v="360"/>
    <x v="1"/>
    <s v="Email"/>
    <s v="Tier 1"/>
    <s v="TECH-5"/>
    <s v="Mid-level"/>
    <x v="1"/>
    <s v="No"/>
    <n v="0"/>
    <s v="No"/>
    <n v="10"/>
    <n v="1.8"/>
    <n v="23.3"/>
    <s v="Yes"/>
    <s v="Good"/>
    <s v="Yes"/>
    <s v="Finance"/>
    <s v="Friday"/>
    <s v="Morning"/>
  </r>
  <r>
    <x v="1838"/>
    <s v="2024-06-07 20:16:31"/>
    <x v="10"/>
    <s v="2024-06-12 11:28:31"/>
    <n v="111.2"/>
    <n v="4.5999999999999996"/>
    <s v="Email/Calendar"/>
    <s v="Calendar Sync"/>
    <x v="1"/>
    <n v="120"/>
    <x v="1"/>
    <s v="Email"/>
    <s v="Tier 1"/>
    <s v="TECH-2"/>
    <s v="Mid-level"/>
    <x v="0"/>
    <s v="No"/>
    <n v="1"/>
    <s v="Yes"/>
    <n v="5"/>
    <n v="1.7"/>
    <n v="25.3"/>
    <s v="No"/>
    <s v="Fair"/>
    <s v="No"/>
    <s v="Legal"/>
    <s v="Wednesday"/>
    <s v="Morning"/>
  </r>
  <r>
    <x v="1839"/>
    <s v="2024-07-08 06:20:17"/>
    <x v="4"/>
    <s v="2024-07-14 13:20:17"/>
    <n v="151"/>
    <n v="6.3"/>
    <s v="Access Requests"/>
    <s v="File Share"/>
    <x v="0"/>
    <n v="240"/>
    <x v="1"/>
    <s v="Email"/>
    <s v="Tier 1"/>
    <s v="TECH-21"/>
    <s v="Senior"/>
    <x v="0"/>
    <s v="No"/>
    <n v="1"/>
    <s v="No"/>
    <n v="10"/>
    <n v="0.8"/>
    <n v="48.4"/>
    <s v="Yes"/>
    <s v="Fair"/>
    <s v="No"/>
    <s v="HR"/>
    <s v="Friday"/>
    <s v="Evening"/>
  </r>
  <r>
    <x v="1840"/>
    <s v="2024-08-01 16:48:59"/>
    <x v="1"/>
    <s v="2024-08-13 15:06:59"/>
    <n v="286.3"/>
    <n v="11.9"/>
    <s v="Software Installation"/>
    <s v="MS Office"/>
    <x v="2"/>
    <n v="360"/>
    <x v="1"/>
    <s v="Walk-in"/>
    <s v="Tier 2"/>
    <s v="TECH-8"/>
    <s v="Mid-level"/>
    <x v="0"/>
    <s v="Yes"/>
    <n v="4"/>
    <s v="No"/>
    <n v="8"/>
    <n v="6.1"/>
    <n v="14.5"/>
    <s v="No"/>
    <s v="Fair"/>
    <s v="No"/>
    <s v="Executive"/>
    <s v="Monday"/>
    <s v="Afternoon"/>
  </r>
  <r>
    <x v="1841"/>
    <s v="2024-05-25 23:14:05"/>
    <x v="8"/>
    <s v="2024-05-29 11:14:05"/>
    <n v="84"/>
    <n v="3.5"/>
    <s v="Application Errors"/>
    <s v="Features Not Working"/>
    <x v="1"/>
    <n v="120"/>
    <x v="1"/>
    <s v="Phone"/>
    <s v="Tier 2"/>
    <s v="TECH-13"/>
    <s v="Junior"/>
    <x v="0"/>
    <s v="Yes"/>
    <n v="2"/>
    <s v="No"/>
    <n v="7"/>
    <n v="3.5"/>
    <n v="7.2"/>
    <s v="Yes"/>
    <s v="Excellent"/>
    <s v="No"/>
    <s v="Sales"/>
    <s v="Thursday"/>
    <s v="Morning"/>
  </r>
  <r>
    <x v="1842"/>
    <s v="2024-04-16 00:43:13"/>
    <x v="11"/>
    <s v="2024-04-21 11:31:13"/>
    <n v="106.8"/>
    <n v="4.5"/>
    <s v="Network Connectivity"/>
    <s v="Ethernet"/>
    <x v="1"/>
    <n v="120"/>
    <x v="1"/>
    <s v="Portal"/>
    <s v="Tier 1"/>
    <s v="TECH-5"/>
    <s v="Senior"/>
    <x v="0"/>
    <s v="No"/>
    <n v="1"/>
    <s v="No"/>
    <n v="9"/>
    <n v="5"/>
    <n v="29.2"/>
    <s v="Yes"/>
    <s v="Poor"/>
    <s v="No"/>
    <s v="IT"/>
    <s v="Thursday"/>
    <s v="Afternoon"/>
  </r>
  <r>
    <x v="1843"/>
    <s v="2024-03-11 03:24:07"/>
    <x v="5"/>
    <s v="2024-03-23 06:06:07"/>
    <n v="290.7"/>
    <n v="12.1"/>
    <s v="Password Reset"/>
    <s v="Windows Password"/>
    <x v="2"/>
    <n v="360"/>
    <x v="1"/>
    <s v="Walk-in"/>
    <s v="Tier 1"/>
    <s v="TECH-16"/>
    <s v="Mid-level"/>
    <x v="1"/>
    <s v="No"/>
    <n v="0"/>
    <s v="Yes"/>
    <n v="10"/>
    <n v="1.9"/>
    <n v="45.1"/>
    <s v="Yes"/>
    <s v="Poor"/>
    <s v="No"/>
    <s v="Legal"/>
    <s v="Monday"/>
    <s v="Afternoon"/>
  </r>
  <r>
    <x v="1844"/>
    <s v="2024-09-06 04:35:18"/>
    <x v="9"/>
    <s v="2024-09-14 09:17:18"/>
    <n v="196.7"/>
    <n v="8.1999999999999993"/>
    <s v="Software Installation"/>
    <s v="Adobe Suite"/>
    <x v="0"/>
    <n v="240"/>
    <x v="1"/>
    <s v="Email"/>
    <s v="Tier 1"/>
    <s v="TECH-24"/>
    <s v="Junior"/>
    <x v="0"/>
    <s v="No"/>
    <n v="1"/>
    <s v="No"/>
    <n v="8"/>
    <n v="2.2999999999999998"/>
    <n v="25.7"/>
    <s v="No"/>
    <s v="Poor"/>
    <s v="Yes"/>
    <s v="Legal"/>
    <s v="Thursday"/>
    <s v="Morning"/>
  </r>
  <r>
    <x v="1845"/>
    <s v="2024-01-27 09:32:35"/>
    <x v="3"/>
    <s v="2024-02-06 14:26:35"/>
    <n v="244.9"/>
    <n v="10.199999999999999"/>
    <s v="Password Reset"/>
    <s v="Application Password"/>
    <x v="2"/>
    <n v="360"/>
    <x v="1"/>
    <s v="Phone"/>
    <s v="Tier 1"/>
    <s v="TECH-7"/>
    <s v="Senior"/>
    <x v="1"/>
    <s v="No"/>
    <n v="0"/>
    <s v="No"/>
    <n v="10"/>
    <n v="3.8"/>
    <n v="14.5"/>
    <s v="Yes"/>
    <s v="Poor"/>
    <s v="No"/>
    <s v="Finance"/>
    <s v="Tuesday"/>
    <s v="Afternoon"/>
  </r>
  <r>
    <x v="1846"/>
    <s v="2024-11-02 19:09:01"/>
    <x v="7"/>
    <s v="2024-11-14 13:15:01"/>
    <n v="282.10000000000002"/>
    <n v="11.8"/>
    <s v="Password Reset"/>
    <s v="Application Password"/>
    <x v="2"/>
    <n v="360"/>
    <x v="1"/>
    <s v="Phone"/>
    <s v="Tier 1"/>
    <s v="TECH-17"/>
    <s v="Junior"/>
    <x v="1"/>
    <s v="No"/>
    <n v="0"/>
    <s v="No"/>
    <n v="10"/>
    <n v="2.5"/>
    <n v="33.700000000000003"/>
    <s v="No"/>
    <s v="Excellent"/>
    <s v="Yes"/>
    <s v="Executive"/>
    <s v="Tuesday"/>
    <s v="Afternoon"/>
  </r>
  <r>
    <x v="1847"/>
    <s v="2024-10-15 13:31:45"/>
    <x v="2"/>
    <s v="2024-10-29 14:07:45"/>
    <n v="337.6"/>
    <n v="14.1"/>
    <s v="Password Reset"/>
    <s v="Email Password"/>
    <x v="2"/>
    <n v="360"/>
    <x v="1"/>
    <s v="Chat"/>
    <s v="Tier 1"/>
    <s v="TECH-12"/>
    <s v="Senior"/>
    <x v="0"/>
    <s v="No"/>
    <n v="1"/>
    <s v="No"/>
    <n v="8"/>
    <n v="3.8"/>
    <n v="13.6"/>
    <s v="Yes"/>
    <s v="Poor"/>
    <s v="Yes"/>
    <s v="Finance"/>
    <s v="Friday"/>
    <s v="Evening"/>
  </r>
  <r>
    <x v="1848"/>
    <s v="2024-01-12 12:22:22"/>
    <x v="3"/>
    <s v="2024-01-19 02:16:22"/>
    <n v="157.9"/>
    <n v="6.6"/>
    <s v="Software Installation"/>
    <s v="Adobe Suite"/>
    <x v="1"/>
    <n v="120"/>
    <x v="0"/>
    <s v="Portal"/>
    <s v="Tier 2"/>
    <s v="TECH-25"/>
    <s v="Junior"/>
    <x v="0"/>
    <s v="Yes"/>
    <n v="2"/>
    <s v="No"/>
    <n v="6"/>
    <n v="0.8"/>
    <n v="29.4"/>
    <s v="Yes"/>
    <s v="Good"/>
    <s v="Yes"/>
    <s v="Finance"/>
    <s v="Monday"/>
    <s v="Afternoon"/>
  </r>
  <r>
    <x v="1849"/>
    <s v="2024-09-02 22:46:31"/>
    <x v="9"/>
    <s v="2024-09-09 04:22:31"/>
    <n v="149.6"/>
    <n v="6.2"/>
    <s v="Network Connectivity"/>
    <s v="VPN Connection"/>
    <x v="1"/>
    <n v="120"/>
    <x v="0"/>
    <s v="Email"/>
    <s v="Tier 1"/>
    <s v="TECH-13"/>
    <s v="Senior"/>
    <x v="0"/>
    <s v="No"/>
    <n v="1"/>
    <s v="No"/>
    <n v="5"/>
    <n v="1.9"/>
    <n v="12.8"/>
    <s v="No"/>
    <s v="Fair"/>
    <s v="No"/>
    <s v="Legal"/>
    <s v="Thursday"/>
    <s v="Afternoon"/>
  </r>
  <r>
    <x v="1850"/>
    <s v="2024-11-05 17:44:10"/>
    <x v="7"/>
    <s v="2024-11-12 15:56:10"/>
    <n v="166.2"/>
    <n v="6.9"/>
    <s v="Access Requests"/>
    <s v="Admin Rights"/>
    <x v="0"/>
    <n v="240"/>
    <x v="1"/>
    <s v="Email"/>
    <s v="Tier 1"/>
    <s v="TECH-2"/>
    <s v="Junior"/>
    <x v="1"/>
    <s v="No"/>
    <n v="0"/>
    <s v="No"/>
    <n v="10"/>
    <n v="2.7"/>
    <n v="42.1"/>
    <s v="Yes"/>
    <s v="Fair"/>
    <s v="Yes"/>
    <s v="Operations"/>
    <s v="Monday"/>
    <s v="Morning"/>
  </r>
  <r>
    <x v="1851"/>
    <s v="2024-06-11 04:18:05"/>
    <x v="10"/>
    <s v="2024-06-23 17:18:05"/>
    <n v="301"/>
    <n v="12.5"/>
    <s v="Network Connectivity"/>
    <s v="WiFi Issues"/>
    <x v="2"/>
    <n v="360"/>
    <x v="1"/>
    <s v="Phone"/>
    <s v="Tier 2"/>
    <s v="TECH-1"/>
    <s v="Mid-level"/>
    <x v="0"/>
    <s v="Yes"/>
    <n v="2"/>
    <s v="No"/>
    <n v="8"/>
    <n v="0.8"/>
    <n v="16.2"/>
    <s v="Yes"/>
    <s v="Excellent"/>
    <s v="Yes"/>
    <s v="Operations"/>
    <s v="Thursday"/>
    <s v="Morning"/>
  </r>
  <r>
    <x v="1852"/>
    <s v="2024-11-03 00:37:08"/>
    <x v="7"/>
    <s v="2024-11-10 06:43:08"/>
    <n v="150.1"/>
    <n v="6.3"/>
    <s v="Software Installation"/>
    <s v="VPN Client"/>
    <x v="1"/>
    <n v="120"/>
    <x v="0"/>
    <s v="Walk-in"/>
    <s v="Tier 2"/>
    <s v="TECH-16"/>
    <s v="Mid-level"/>
    <x v="0"/>
    <s v="Yes"/>
    <n v="3"/>
    <s v="No"/>
    <n v="5"/>
    <n v="4.5999999999999996"/>
    <n v="31"/>
    <s v="No"/>
    <s v="Poor"/>
    <s v="Yes"/>
    <s v="Marketing"/>
    <s v="Monday"/>
    <s v="Morning"/>
  </r>
  <r>
    <x v="1853"/>
    <s v="2024-09-18 00:11:21"/>
    <x v="9"/>
    <s v="2024-10-05 13:41:21"/>
    <n v="397.5"/>
    <n v="16.600000000000001"/>
    <s v="Password Reset"/>
    <s v="Windows Password"/>
    <x v="2"/>
    <n v="360"/>
    <x v="0"/>
    <s v="Phone"/>
    <s v="Tier 1"/>
    <s v="TECH-14"/>
    <s v="Junior"/>
    <x v="1"/>
    <s v="No"/>
    <n v="0"/>
    <s v="Yes"/>
    <n v="6"/>
    <n v="1.5"/>
    <n v="10.3"/>
    <s v="No"/>
    <s v="Good"/>
    <s v="Yes"/>
    <s v="Finance"/>
    <s v="Monday"/>
    <s v="Afternoon"/>
  </r>
  <r>
    <x v="1854"/>
    <s v="2024-02-28 15:31:03"/>
    <x v="6"/>
    <s v="2024-03-03 21:07:03"/>
    <n v="101.6"/>
    <n v="4.2"/>
    <s v="Network Connectivity"/>
    <s v="Ethernet"/>
    <x v="1"/>
    <n v="120"/>
    <x v="1"/>
    <s v="Walk-in"/>
    <s v="Tier 1"/>
    <s v="TECH-5"/>
    <s v="Mid-level"/>
    <x v="0"/>
    <s v="No"/>
    <n v="1"/>
    <s v="No"/>
    <n v="9"/>
    <n v="6"/>
    <n v="38.9"/>
    <s v="Yes"/>
    <s v="Good"/>
    <s v="Yes"/>
    <s v="Legal"/>
    <s v="Monday"/>
    <s v="Afternoon"/>
  </r>
  <r>
    <x v="1855"/>
    <s v="2024-01-26 13:29:05"/>
    <x v="3"/>
    <s v="2024-02-08 08:17:05"/>
    <n v="306.8"/>
    <n v="12.8"/>
    <s v="Application Errors"/>
    <s v="Crash"/>
    <x v="0"/>
    <n v="240"/>
    <x v="0"/>
    <s v="Phone"/>
    <s v="Tier 1"/>
    <s v="TECH-23"/>
    <s v="Senior"/>
    <x v="1"/>
    <s v="No"/>
    <n v="0"/>
    <s v="Yes"/>
    <n v="8"/>
    <n v="2.2000000000000002"/>
    <n v="0"/>
    <s v="No"/>
    <s v="Poor"/>
    <s v="Yes"/>
    <s v="Legal"/>
    <s v="Tuesday"/>
    <s v="Morning"/>
  </r>
  <r>
    <x v="1856"/>
    <s v="2024-05-16 19:20:29"/>
    <x v="8"/>
    <s v="2024-05-25 22:56:29"/>
    <n v="219.6"/>
    <n v="9.1999999999999993"/>
    <s v="Password Reset"/>
    <s v="Email Password"/>
    <x v="2"/>
    <n v="360"/>
    <x v="1"/>
    <s v="Email"/>
    <s v="Tier 1"/>
    <s v="TECH-25"/>
    <s v="Junior"/>
    <x v="1"/>
    <s v="No"/>
    <n v="0"/>
    <s v="Yes"/>
    <n v="9"/>
    <n v="3.8"/>
    <n v="6.2"/>
    <s v="Yes"/>
    <s v="Fair"/>
    <s v="No"/>
    <s v="Operations"/>
    <s v="Tuesday"/>
    <s v="Evening"/>
  </r>
  <r>
    <x v="1857"/>
    <s v="2024-12-16 00:35:39"/>
    <x v="0"/>
    <s v="2024-12-18 14:17:39"/>
    <n v="37.700000000000003"/>
    <n v="1.6"/>
    <s v="Hardware Issues"/>
    <s v="Desktop"/>
    <x v="3"/>
    <n v="48"/>
    <x v="1"/>
    <s v="Portal"/>
    <s v="Tier 1"/>
    <s v="TECH-5"/>
    <s v="Senior"/>
    <x v="0"/>
    <s v="No"/>
    <n v="1"/>
    <s v="No"/>
    <n v="10"/>
    <n v="3.3"/>
    <n v="3.9"/>
    <s v="No"/>
    <s v="Excellent"/>
    <s v="No"/>
    <s v="HR"/>
    <s v="Tuesday"/>
    <s v="Afternoon"/>
  </r>
  <r>
    <x v="1858"/>
    <s v="2024-03-22 07:52:27"/>
    <x v="5"/>
    <s v="2024-03-28 08:10:27"/>
    <n v="144.30000000000001"/>
    <n v="6"/>
    <s v="Software Installation"/>
    <s v="VPN Client"/>
    <x v="1"/>
    <n v="120"/>
    <x v="0"/>
    <s v="Portal"/>
    <s v="Tier 1"/>
    <s v="TECH-6"/>
    <s v="Junior"/>
    <x v="1"/>
    <s v="No"/>
    <n v="0"/>
    <s v="No"/>
    <n v="7"/>
    <n v="3.8"/>
    <n v="17.100000000000001"/>
    <s v="Yes"/>
    <s v="Poor"/>
    <s v="Yes"/>
    <s v="Marketing"/>
    <s v="Friday"/>
    <s v="Morning"/>
  </r>
  <r>
    <x v="1859"/>
    <s v="2024-02-29 10:12:50"/>
    <x v="6"/>
    <s v="2024-03-14 05:12:50"/>
    <n v="331"/>
    <n v="13.8"/>
    <s v="Other"/>
    <s v="General Inquiry"/>
    <x v="2"/>
    <n v="360"/>
    <x v="1"/>
    <s v="Phone"/>
    <s v="Tier 1"/>
    <s v="TECH-6"/>
    <s v="Mid-level"/>
    <x v="0"/>
    <s v="No"/>
    <n v="1"/>
    <s v="No"/>
    <n v="6"/>
    <n v="3"/>
    <n v="9"/>
    <s v="Yes"/>
    <s v="Poor"/>
    <s v="No"/>
    <s v="Executive"/>
    <s v="Wednesday"/>
    <s v="Morning"/>
  </r>
  <r>
    <x v="1860"/>
    <s v="2024-12-04 06:59:33"/>
    <x v="0"/>
    <s v="2024-12-11 21:47:33"/>
    <n v="182.8"/>
    <n v="7.6"/>
    <s v="Access Requests"/>
    <s v="Admin Rights"/>
    <x v="0"/>
    <n v="240"/>
    <x v="1"/>
    <s v="Email"/>
    <s v="Tier 1"/>
    <s v="TECH-24"/>
    <s v="Senior"/>
    <x v="0"/>
    <s v="No"/>
    <n v="1"/>
    <s v="No"/>
    <n v="8"/>
    <n v="2.9"/>
    <n v="0"/>
    <s v="No"/>
    <s v="Fair"/>
    <s v="Yes"/>
    <s v="Sales"/>
    <s v="Thursday"/>
    <s v="Evening"/>
  </r>
  <r>
    <x v="1861"/>
    <s v="2024-10-19 15:05:46"/>
    <x v="2"/>
    <s v="2024-10-23 05:53:46"/>
    <n v="86.8"/>
    <n v="3.6"/>
    <s v="Hardware Issues"/>
    <s v="Laptop"/>
    <x v="1"/>
    <n v="120"/>
    <x v="1"/>
    <s v="Portal"/>
    <s v="Tier 2"/>
    <s v="TECH-13"/>
    <s v="Mid-level"/>
    <x v="0"/>
    <s v="Yes"/>
    <n v="1"/>
    <s v="No"/>
    <n v="9"/>
    <n v="1.8"/>
    <n v="13.4"/>
    <s v="Yes"/>
    <s v="Good"/>
    <s v="Yes"/>
    <s v="IT"/>
    <s v="Tuesday"/>
    <s v="Morning"/>
  </r>
  <r>
    <x v="1862"/>
    <s v="2024-12-20 14:51:17"/>
    <x v="0"/>
    <s v="2024-12-31 19:09:17"/>
    <n v="268.3"/>
    <n v="11.2"/>
    <s v="Password Reset"/>
    <s v="Application Password"/>
    <x v="2"/>
    <n v="360"/>
    <x v="1"/>
    <s v="Email"/>
    <s v="Tier 1"/>
    <s v="TECH-18"/>
    <s v="Senior"/>
    <x v="1"/>
    <s v="No"/>
    <n v="0"/>
    <s v="No"/>
    <n v="7"/>
    <n v="4.5999999999999996"/>
    <n v="12"/>
    <s v="No"/>
    <s v="Excellent"/>
    <s v="No"/>
    <s v="Finance"/>
    <s v="Friday"/>
    <s v="Afternoon"/>
  </r>
  <r>
    <x v="1863"/>
    <s v="2024-09-07 04:30:58"/>
    <x v="9"/>
    <s v="2024-09-17 10:30:58"/>
    <n v="246"/>
    <n v="10.3"/>
    <s v="Password Reset"/>
    <s v="Account Unlock"/>
    <x v="2"/>
    <n v="360"/>
    <x v="1"/>
    <s v="Email"/>
    <s v="Tier 1"/>
    <s v="TECH-18"/>
    <s v="Mid-level"/>
    <x v="1"/>
    <s v="No"/>
    <n v="0"/>
    <s v="No"/>
    <n v="10"/>
    <n v="5.4"/>
    <n v="0"/>
    <s v="Yes"/>
    <s v="Poor"/>
    <s v="Yes"/>
    <s v="Marketing"/>
    <s v="Thursday"/>
    <s v="Morning"/>
  </r>
  <r>
    <x v="1864"/>
    <s v="2024-10-17 23:54:54"/>
    <x v="2"/>
    <s v="2024-10-19 09:54:54"/>
    <n v="34"/>
    <n v="1.4"/>
    <s v="Access Requests"/>
    <s v="File Share"/>
    <x v="3"/>
    <n v="48"/>
    <x v="1"/>
    <s v="Phone"/>
    <s v="Tier 1"/>
    <s v="TECH-11"/>
    <s v="Junior"/>
    <x v="1"/>
    <s v="No"/>
    <n v="0"/>
    <s v="No"/>
    <n v="10"/>
    <n v="1.7"/>
    <n v="22.1"/>
    <s v="No"/>
    <s v="Poor"/>
    <s v="No"/>
    <s v="Legal"/>
    <s v="Tuesday"/>
    <s v="Afternoon"/>
  </r>
  <r>
    <x v="1865"/>
    <s v="2024-08-28 17:35:10"/>
    <x v="1"/>
    <s v="2024-09-02 22:05:10"/>
    <n v="124.5"/>
    <n v="5.2"/>
    <s v="Hardware Issues"/>
    <s v="Keyboard/Mouse"/>
    <x v="1"/>
    <n v="120"/>
    <x v="0"/>
    <s v="Chat"/>
    <s v="Tier 1"/>
    <s v="TECH-6"/>
    <s v="Mid-level"/>
    <x v="1"/>
    <s v="No"/>
    <n v="0"/>
    <s v="No"/>
    <n v="10"/>
    <n v="2.2000000000000002"/>
    <n v="20.100000000000001"/>
    <s v="No"/>
    <s v="Good"/>
    <s v="Yes"/>
    <s v="Sales"/>
    <s v="Thursday"/>
    <s v="Evening"/>
  </r>
  <r>
    <x v="1866"/>
    <s v="2024-06-29 03:13:24"/>
    <x v="10"/>
    <s v="2024-07-03 10:31:24"/>
    <n v="103.3"/>
    <n v="4.3"/>
    <s v="Hardware Issues"/>
    <s v="Laptop"/>
    <x v="1"/>
    <n v="120"/>
    <x v="1"/>
    <s v="Phone"/>
    <s v="Tier 2"/>
    <s v="TECH-24"/>
    <s v="Senior"/>
    <x v="0"/>
    <s v="Yes"/>
    <n v="4"/>
    <s v="No"/>
    <n v="7"/>
    <n v="3.4"/>
    <n v="39.200000000000003"/>
    <s v="Yes"/>
    <s v="Excellent"/>
    <s v="Yes"/>
    <s v="Finance"/>
    <s v="Wednesday"/>
    <s v="Morning"/>
  </r>
  <r>
    <x v="1867"/>
    <s v="2024-06-23 16:41:49"/>
    <x v="10"/>
    <s v="2024-07-12 17:47:49"/>
    <n v="457.1"/>
    <n v="19"/>
    <s v="Password Reset"/>
    <s v="Application Password"/>
    <x v="2"/>
    <n v="360"/>
    <x v="0"/>
    <s v="Walk-in"/>
    <s v="Tier 1"/>
    <s v="TECH-20"/>
    <s v="Mid-level"/>
    <x v="1"/>
    <s v="No"/>
    <n v="0"/>
    <s v="No"/>
    <n v="5"/>
    <n v="0.5"/>
    <n v="8.6999999999999993"/>
    <s v="Yes"/>
    <s v="Fair"/>
    <s v="No"/>
    <s v="Marketing"/>
    <s v="Thursday"/>
    <s v="Evening"/>
  </r>
  <r>
    <x v="1868"/>
    <s v="2024-01-29 04:09:08"/>
    <x v="3"/>
    <s v="2024-02-02 14:03:08"/>
    <n v="105.9"/>
    <n v="4.4000000000000004"/>
    <s v="Hardware Issues"/>
    <s v="Laptop"/>
    <x v="1"/>
    <n v="120"/>
    <x v="1"/>
    <s v="Portal"/>
    <s v="Tier 2"/>
    <s v="TECH-13"/>
    <s v="Senior"/>
    <x v="0"/>
    <s v="Yes"/>
    <n v="1"/>
    <s v="No"/>
    <n v="9"/>
    <n v="3.6"/>
    <n v="5.7"/>
    <s v="Yes"/>
    <s v="Good"/>
    <s v="No"/>
    <s v="HR"/>
    <s v="Wednesday"/>
    <s v="Afternoon"/>
  </r>
  <r>
    <x v="1869"/>
    <s v="2024-09-21 23:23:05"/>
    <x v="9"/>
    <s v="2024-09-25 23:35:05"/>
    <n v="96.2"/>
    <n v="4"/>
    <s v="Hardware Issues"/>
    <s v="Laptop"/>
    <x v="1"/>
    <n v="120"/>
    <x v="1"/>
    <s v="Phone"/>
    <s v="Tier 1"/>
    <s v="TECH-14"/>
    <s v="Mid-level"/>
    <x v="0"/>
    <s v="No"/>
    <n v="1"/>
    <s v="No"/>
    <n v="6"/>
    <n v="2.6"/>
    <n v="47.9"/>
    <s v="Yes"/>
    <s v="Poor"/>
    <s v="No"/>
    <s v="Sales"/>
    <s v="Friday"/>
    <s v="Afternoon"/>
  </r>
  <r>
    <x v="1870"/>
    <s v="2024-09-01 04:16:54"/>
    <x v="9"/>
    <s v="2024-09-06 16:10:54"/>
    <n v="131.9"/>
    <n v="5.5"/>
    <s v="Other"/>
    <s v="Documentation"/>
    <x v="3"/>
    <n v="48"/>
    <x v="0"/>
    <s v="Email"/>
    <s v="Tier 1"/>
    <s v="TECH-7"/>
    <s v="Junior"/>
    <x v="0"/>
    <s v="No"/>
    <n v="1"/>
    <s v="No"/>
    <n v="3"/>
    <n v="1.8"/>
    <n v="19.399999999999999"/>
    <s v="No"/>
    <s v="Fair"/>
    <s v="Yes"/>
    <s v="Executive"/>
    <s v="Monday"/>
    <s v="Evening"/>
  </r>
  <r>
    <x v="1871"/>
    <s v="2024-02-15 12:57:45"/>
    <x v="6"/>
    <s v="2024-02-21 17:45:45"/>
    <n v="148.80000000000001"/>
    <n v="6.2"/>
    <s v="Hardware Issues"/>
    <s v="Laptop"/>
    <x v="1"/>
    <n v="120"/>
    <x v="0"/>
    <s v="Email"/>
    <s v="Tier 2"/>
    <s v="TECH-10"/>
    <s v="Mid-level"/>
    <x v="0"/>
    <s v="Yes"/>
    <n v="2"/>
    <s v="No"/>
    <n v="6"/>
    <n v="1.9"/>
    <n v="18.2"/>
    <s v="No"/>
    <s v="Poor"/>
    <s v="No"/>
    <s v="HR"/>
    <s v="Friday"/>
    <s v="Morning"/>
  </r>
  <r>
    <x v="1872"/>
    <s v="2024-06-25 04:07:54"/>
    <x v="10"/>
    <s v="2024-06-28 15:49:54"/>
    <n v="83.7"/>
    <n v="3.5"/>
    <s v="Email/Calendar"/>
    <s v="Mailbox Full"/>
    <x v="1"/>
    <n v="120"/>
    <x v="1"/>
    <s v="Phone"/>
    <s v="Tier 1"/>
    <s v="TECH-10"/>
    <s v="Mid-level"/>
    <x v="0"/>
    <s v="No"/>
    <n v="1"/>
    <s v="No"/>
    <n v="10"/>
    <n v="0.1"/>
    <n v="2.9"/>
    <s v="Yes"/>
    <s v="Good"/>
    <s v="No"/>
    <s v="Executive"/>
    <s v="Thursday"/>
    <s v="Afternoon"/>
  </r>
  <r>
    <x v="1873"/>
    <s v="2024-01-31 15:38:11"/>
    <x v="3"/>
    <s v="2024-02-02 06:08:11"/>
    <n v="38.5"/>
    <n v="1.6"/>
    <s v="Hardware Issues"/>
    <s v="Docking Station"/>
    <x v="3"/>
    <n v="48"/>
    <x v="1"/>
    <s v="Phone"/>
    <s v="Tier 1"/>
    <s v="TECH-4"/>
    <s v="Senior"/>
    <x v="0"/>
    <s v="No"/>
    <n v="1"/>
    <s v="Yes"/>
    <n v="9"/>
    <n v="0.1"/>
    <n v="5.5"/>
    <s v="Yes"/>
    <s v="Excellent"/>
    <s v="No"/>
    <s v="HR"/>
    <s v="Tuesday"/>
    <s v="Evening"/>
  </r>
  <r>
    <x v="1874"/>
    <s v="2024-05-28 11:30:42"/>
    <x v="8"/>
    <s v="2024-06-04 05:06:42"/>
    <n v="161.6"/>
    <n v="6.7"/>
    <s v="Application Errors"/>
    <s v="Crash"/>
    <x v="0"/>
    <n v="240"/>
    <x v="1"/>
    <s v="Phone"/>
    <s v="Tier 2"/>
    <s v="TECH-10"/>
    <s v="Mid-level"/>
    <x v="0"/>
    <s v="Yes"/>
    <n v="4"/>
    <s v="No"/>
    <n v="8"/>
    <n v="2"/>
    <n v="0"/>
    <s v="Yes"/>
    <s v="Fair"/>
    <s v="No"/>
    <s v="Marketing"/>
    <s v="Thursday"/>
    <s v="Afternoon"/>
  </r>
  <r>
    <x v="1875"/>
    <s v="2024-10-21 08:33:01"/>
    <x v="2"/>
    <s v="2024-10-30 08:03:01"/>
    <n v="216.5"/>
    <n v="9"/>
    <s v="Password Reset"/>
    <s v="Application Password"/>
    <x v="2"/>
    <n v="360"/>
    <x v="1"/>
    <s v="Portal"/>
    <s v="Tier 1"/>
    <s v="TECH-24"/>
    <s v="Mid-level"/>
    <x v="0"/>
    <s v="No"/>
    <n v="1"/>
    <s v="No"/>
    <n v="5"/>
    <n v="0.4"/>
    <n v="0"/>
    <s v="Yes"/>
    <s v="Excellent"/>
    <s v="No"/>
    <s v="Finance"/>
    <s v="Wednesday"/>
    <s v="Morning"/>
  </r>
  <r>
    <x v="1876"/>
    <s v="2024-10-22 16:04:08"/>
    <x v="2"/>
    <s v="2024-11-01 02:28:08"/>
    <n v="227.4"/>
    <n v="9.5"/>
    <s v="Password Reset"/>
    <s v="Account Unlock"/>
    <x v="2"/>
    <n v="360"/>
    <x v="1"/>
    <s v="Email"/>
    <s v="Tier 1"/>
    <s v="TECH-3"/>
    <s v="Senior"/>
    <x v="1"/>
    <s v="No"/>
    <n v="0"/>
    <s v="Yes"/>
    <n v="10"/>
    <n v="1.6"/>
    <n v="21.6"/>
    <s v="Yes"/>
    <s v="Poor"/>
    <s v="No"/>
    <s v="Executive"/>
    <s v="Wednesday"/>
    <s v="Morning"/>
  </r>
  <r>
    <x v="1877"/>
    <s v="2024-04-13 19:51:08"/>
    <x v="11"/>
    <s v="2024-04-18 09:15:08"/>
    <n v="109.4"/>
    <n v="4.5999999999999996"/>
    <s v="Access Requests"/>
    <s v="Application Access"/>
    <x v="1"/>
    <n v="120"/>
    <x v="1"/>
    <s v="Phone"/>
    <s v="Tier 1"/>
    <s v="TECH-16"/>
    <s v="Mid-level"/>
    <x v="0"/>
    <s v="No"/>
    <n v="1"/>
    <s v="Yes"/>
    <n v="9"/>
    <n v="1.2"/>
    <n v="2.1"/>
    <s v="Yes"/>
    <s v="Excellent"/>
    <s v="Yes"/>
    <s v="IT"/>
    <s v="Friday"/>
    <s v="Afternoon"/>
  </r>
  <r>
    <x v="1878"/>
    <s v="2024-05-25 23:50:10"/>
    <x v="8"/>
    <s v="2024-06-03 13:20:10"/>
    <n v="205.5"/>
    <n v="8.6"/>
    <s v="Software Installation"/>
    <s v="VPN Client"/>
    <x v="0"/>
    <n v="240"/>
    <x v="1"/>
    <s v="Chat"/>
    <s v="Tier 1"/>
    <s v="TECH-23"/>
    <s v="Mid-level"/>
    <x v="0"/>
    <s v="No"/>
    <n v="1"/>
    <s v="No"/>
    <n v="7"/>
    <n v="2.1"/>
    <n v="15.1"/>
    <s v="Yes"/>
    <s v="Good"/>
    <s v="Yes"/>
    <s v="Legal"/>
    <s v="Monday"/>
    <s v="Afternoon"/>
  </r>
  <r>
    <x v="1879"/>
    <s v="2024-08-15 01:56:29"/>
    <x v="1"/>
    <s v="2024-08-29 07:32:29"/>
    <n v="317.60000000000002"/>
    <n v="13.2"/>
    <s v="Network Connectivity"/>
    <s v="WiFi Issues"/>
    <x v="1"/>
    <n v="120"/>
    <x v="0"/>
    <s v="Email"/>
    <s v="Tier 2"/>
    <s v="TECH-24"/>
    <s v="Mid-level"/>
    <x v="0"/>
    <s v="Yes"/>
    <n v="1"/>
    <s v="No"/>
    <n v="6"/>
    <n v="5.8"/>
    <n v="13.8"/>
    <s v="Yes"/>
    <s v="Excellent"/>
    <s v="No"/>
    <s v="HR"/>
    <s v="Thursday"/>
    <s v="Morning"/>
  </r>
  <r>
    <x v="1880"/>
    <s v="2024-08-20 03:06:00"/>
    <x v="1"/>
    <s v="2024-08-24 12:06:00"/>
    <n v="105"/>
    <n v="4.4000000000000004"/>
    <s v="Application Errors"/>
    <s v="Login Issues"/>
    <x v="1"/>
    <n v="120"/>
    <x v="1"/>
    <s v="Portal"/>
    <s v="Tier 1"/>
    <s v="TECH-19"/>
    <s v="Senior"/>
    <x v="1"/>
    <s v="No"/>
    <n v="0"/>
    <s v="No"/>
    <n v="10"/>
    <n v="3.4"/>
    <n v="17.5"/>
    <s v="No"/>
    <s v="Fair"/>
    <s v="Yes"/>
    <s v="Marketing"/>
    <s v="Monday"/>
    <s v="Morning"/>
  </r>
  <r>
    <x v="1881"/>
    <s v="2024-11-03 17:35:32"/>
    <x v="7"/>
    <s v="2024-11-18 13:53:32"/>
    <n v="356.3"/>
    <n v="14.8"/>
    <s v="Software Installation"/>
    <s v="VPN Client"/>
    <x v="0"/>
    <n v="240"/>
    <x v="0"/>
    <s v="Phone"/>
    <s v="Tier 2"/>
    <s v="TECH-20"/>
    <s v="Junior"/>
    <x v="0"/>
    <s v="Yes"/>
    <n v="4"/>
    <s v="No"/>
    <n v="5"/>
    <n v="2.4"/>
    <n v="0"/>
    <s v="No"/>
    <s v="Fair"/>
    <s v="Yes"/>
    <s v="Executive"/>
    <s v="Thursday"/>
    <s v="Afternoon"/>
  </r>
  <r>
    <x v="1882"/>
    <s v="2024-05-18 00:28:42"/>
    <x v="8"/>
    <s v="2024-06-13 21:04:42"/>
    <n v="620.6"/>
    <n v="25.9"/>
    <s v="Access Requests"/>
    <s v="Application Access"/>
    <x v="0"/>
    <n v="240"/>
    <x v="0"/>
    <s v="Phone"/>
    <s v="Tier 1"/>
    <s v="TECH-24"/>
    <s v="Junior"/>
    <x v="1"/>
    <s v="No"/>
    <n v="0"/>
    <s v="No"/>
    <n v="6"/>
    <n v="4.9000000000000004"/>
    <n v="22"/>
    <s v="No"/>
    <s v="Good"/>
    <s v="No"/>
    <s v="Legal"/>
    <s v="Tuesday"/>
    <s v="Afternoon"/>
  </r>
  <r>
    <x v="1883"/>
    <s v="2024-08-28 16:49:23"/>
    <x v="1"/>
    <s v="2024-09-05 09:49:23"/>
    <n v="185"/>
    <n v="7.7"/>
    <s v="Hardware Issues"/>
    <s v="Keyboard/Mouse"/>
    <x v="0"/>
    <n v="240"/>
    <x v="1"/>
    <s v="Email"/>
    <s v="Tier 1"/>
    <s v="TECH-4"/>
    <s v="Mid-level"/>
    <x v="0"/>
    <s v="No"/>
    <n v="1"/>
    <s v="No"/>
    <n v="6"/>
    <n v="2.1"/>
    <n v="7.8"/>
    <s v="Yes"/>
    <s v="Good"/>
    <s v="Yes"/>
    <s v="Operations"/>
    <s v="Friday"/>
    <s v="Morning"/>
  </r>
  <r>
    <x v="1884"/>
    <s v="2024-10-20 01:08:51"/>
    <x v="2"/>
    <s v="2024-10-28 06:32:51"/>
    <n v="174.4"/>
    <n v="7.3"/>
    <s v="Software Installation"/>
    <s v="Drivers"/>
    <x v="0"/>
    <n v="240"/>
    <x v="1"/>
    <s v="Walk-in"/>
    <s v="Tier 2"/>
    <s v="TECH-2"/>
    <s v="Junior"/>
    <x v="0"/>
    <s v="Yes"/>
    <n v="2"/>
    <s v="No"/>
    <n v="9"/>
    <n v="0.1"/>
    <n v="26.6"/>
    <s v="No"/>
    <s v="Poor"/>
    <s v="Yes"/>
    <s v="Finance"/>
    <s v="Thursday"/>
    <s v="Evening"/>
  </r>
  <r>
    <x v="1885"/>
    <s v="2024-11-23 06:41:04"/>
    <x v="7"/>
    <s v="2024-12-02 06:41:04"/>
    <n v="216"/>
    <n v="9"/>
    <s v="Application Errors"/>
    <s v="Performance"/>
    <x v="0"/>
    <n v="240"/>
    <x v="1"/>
    <s v="Portal"/>
    <s v="Tier 2"/>
    <s v="TECH-6"/>
    <s v="Mid-level"/>
    <x v="0"/>
    <s v="Yes"/>
    <n v="4"/>
    <s v="No"/>
    <n v="9"/>
    <n v="3.2"/>
    <n v="14.7"/>
    <s v="Yes"/>
    <s v="Fair"/>
    <s v="No"/>
    <s v="Executive"/>
    <s v="Tuesday"/>
    <s v="Morning"/>
  </r>
  <r>
    <x v="1886"/>
    <s v="2024-01-06 02:56:02"/>
    <x v="3"/>
    <s v="2024-01-19 23:02:02"/>
    <n v="332.1"/>
    <n v="13.8"/>
    <s v="Password Reset"/>
    <s v="Application Password"/>
    <x v="2"/>
    <n v="360"/>
    <x v="1"/>
    <s v="Email"/>
    <s v="Tier 1"/>
    <s v="TECH-12"/>
    <s v="Mid-level"/>
    <x v="1"/>
    <s v="No"/>
    <n v="0"/>
    <s v="No"/>
    <n v="9"/>
    <n v="4.0999999999999996"/>
    <n v="0"/>
    <s v="Yes"/>
    <s v="Poor"/>
    <s v="No"/>
    <s v="Operations"/>
    <s v="Monday"/>
    <s v="Afternoon"/>
  </r>
  <r>
    <x v="1887"/>
    <s v="2024-08-27 17:06:16"/>
    <x v="1"/>
    <s v="2024-09-04 16:30:16"/>
    <n v="191.4"/>
    <n v="8"/>
    <s v="Software Installation"/>
    <s v="Adobe Suite"/>
    <x v="0"/>
    <n v="240"/>
    <x v="1"/>
    <s v="Phone"/>
    <s v="Tier 1"/>
    <s v="TECH-9"/>
    <s v="Junior"/>
    <x v="1"/>
    <s v="No"/>
    <n v="0"/>
    <s v="No"/>
    <n v="10"/>
    <n v="3.6"/>
    <n v="37.5"/>
    <s v="Yes"/>
    <s v="Poor"/>
    <s v="Yes"/>
    <s v="Operations"/>
    <s v="Monday"/>
    <s v="Afternoon"/>
  </r>
  <r>
    <x v="1888"/>
    <s v="2024-02-27 19:50:47"/>
    <x v="6"/>
    <s v="2024-03-05 09:14:47"/>
    <n v="157.4"/>
    <n v="6.6"/>
    <s v="Software Installation"/>
    <s v="Business Apps"/>
    <x v="0"/>
    <n v="240"/>
    <x v="1"/>
    <s v="Phone"/>
    <s v="Tier 1"/>
    <s v="TECH-15"/>
    <s v="Junior"/>
    <x v="0"/>
    <s v="No"/>
    <n v="1"/>
    <s v="No"/>
    <n v="8"/>
    <n v="2.9"/>
    <n v="14.1"/>
    <s v="No"/>
    <s v="Excellent"/>
    <s v="No"/>
    <s v="Sales"/>
    <s v="Thursday"/>
    <s v="Afternoon"/>
  </r>
  <r>
    <x v="1889"/>
    <s v="2024-12-07 20:37:34"/>
    <x v="0"/>
    <s v="2024-12-14 21:07:34"/>
    <n v="168.5"/>
    <n v="7"/>
    <s v="Application Errors"/>
    <s v="Crash"/>
    <x v="1"/>
    <n v="120"/>
    <x v="0"/>
    <s v="Email"/>
    <s v="Tier 2"/>
    <s v="TECH-3"/>
    <s v="Junior"/>
    <x v="0"/>
    <s v="Yes"/>
    <n v="4"/>
    <s v="No"/>
    <n v="4"/>
    <n v="1.6"/>
    <n v="15.8"/>
    <s v="Yes"/>
    <s v="Good"/>
    <s v="No"/>
    <s v="Legal"/>
    <s v="Thursday"/>
    <s v="Afternoon"/>
  </r>
  <r>
    <x v="1890"/>
    <s v="2024-01-14 18:08:12"/>
    <x v="3"/>
    <s v="2024-01-25 18:38:12"/>
    <n v="264.5"/>
    <n v="11"/>
    <s v="Email/Calendar"/>
    <s v="Distribution List"/>
    <x v="2"/>
    <n v="360"/>
    <x v="1"/>
    <s v="Phone"/>
    <s v="Tier 2"/>
    <s v="TECH-19"/>
    <s v="Mid-level"/>
    <x v="0"/>
    <s v="Yes"/>
    <n v="3"/>
    <s v="No"/>
    <n v="9"/>
    <n v="2.2999999999999998"/>
    <n v="21.2"/>
    <s v="Yes"/>
    <s v="Fair"/>
    <s v="Yes"/>
    <s v="Finance"/>
    <s v="Thursday"/>
    <s v="Morning"/>
  </r>
  <r>
    <x v="1891"/>
    <s v="2024-11-17 07:22:32"/>
    <x v="7"/>
    <s v="2024-12-02 13:52:32"/>
    <n v="366.5"/>
    <n v="15.3"/>
    <s v="Password Reset"/>
    <s v="Application Password"/>
    <x v="2"/>
    <n v="360"/>
    <x v="0"/>
    <s v="Email"/>
    <s v="Tier 1"/>
    <s v="TECH-17"/>
    <s v="Mid-level"/>
    <x v="1"/>
    <s v="No"/>
    <n v="0"/>
    <s v="Yes"/>
    <n v="8"/>
    <n v="3.7"/>
    <n v="5.2"/>
    <s v="Yes"/>
    <s v="Excellent"/>
    <s v="Yes"/>
    <s v="Marketing"/>
    <s v="Wednesday"/>
    <s v="Afternoon"/>
  </r>
  <r>
    <x v="1892"/>
    <s v="2024-01-14 23:25:03"/>
    <x v="3"/>
    <s v="2024-01-24 08:13:03"/>
    <n v="224.8"/>
    <n v="9.4"/>
    <s v="Access Requests"/>
    <s v="Admin Rights"/>
    <x v="0"/>
    <n v="240"/>
    <x v="1"/>
    <s v="Walk-in"/>
    <s v="Tier 1"/>
    <s v="TECH-22"/>
    <s v="Mid-level"/>
    <x v="1"/>
    <s v="No"/>
    <n v="0"/>
    <s v="No"/>
    <n v="10"/>
    <n v="2"/>
    <n v="29.9"/>
    <s v="No"/>
    <s v="Excellent"/>
    <s v="No"/>
    <s v="Legal"/>
    <s v="Friday"/>
    <s v="Evening"/>
  </r>
  <r>
    <x v="1893"/>
    <s v="2024-01-17 10:48:19"/>
    <x v="3"/>
    <s v="2024-01-22 00:54:19"/>
    <n v="134.1"/>
    <n v="5.6"/>
    <s v="Application Errors"/>
    <s v="Login Issues"/>
    <x v="1"/>
    <n v="120"/>
    <x v="0"/>
    <s v="Phone"/>
    <s v="Tier 2"/>
    <s v="TECH-12"/>
    <s v="Junior"/>
    <x v="0"/>
    <s v="Yes"/>
    <n v="2"/>
    <s v="No"/>
    <n v="8"/>
    <n v="3.7"/>
    <n v="40.200000000000003"/>
    <s v="Yes"/>
    <s v="Fair"/>
    <s v="Yes"/>
    <s v="Legal"/>
    <s v="Monday"/>
    <s v="Afternoon"/>
  </r>
  <r>
    <x v="1894"/>
    <s v="2024-01-03 11:36:05"/>
    <x v="3"/>
    <s v="2024-01-10 16:00:05"/>
    <n v="172.4"/>
    <n v="7.2"/>
    <s v="Software Installation"/>
    <s v="VPN Client"/>
    <x v="0"/>
    <n v="240"/>
    <x v="1"/>
    <s v="Email"/>
    <s v="Tier 1"/>
    <s v="TECH-3"/>
    <s v="Mid-level"/>
    <x v="0"/>
    <s v="No"/>
    <n v="1"/>
    <s v="Yes"/>
    <n v="7"/>
    <n v="1.9"/>
    <n v="39.1"/>
    <s v="No"/>
    <s v="Poor"/>
    <s v="No"/>
    <s v="Operations"/>
    <s v="Friday"/>
    <s v="Afternoon"/>
  </r>
  <r>
    <x v="1895"/>
    <s v="2024-06-15 01:10:12"/>
    <x v="10"/>
    <s v="2024-06-26 07:22:12"/>
    <n v="246.2"/>
    <n v="10.3"/>
    <s v="Access Requests"/>
    <s v="Application Access"/>
    <x v="2"/>
    <n v="360"/>
    <x v="1"/>
    <s v="Email"/>
    <s v="Tier 1"/>
    <s v="TECH-18"/>
    <s v="Junior"/>
    <x v="0"/>
    <s v="No"/>
    <n v="1"/>
    <s v="No"/>
    <n v="7"/>
    <n v="2.5"/>
    <n v="1.7"/>
    <s v="No"/>
    <s v="Fair"/>
    <s v="Yes"/>
    <s v="IT"/>
    <s v="Monday"/>
    <s v="Morning"/>
  </r>
  <r>
    <x v="1896"/>
    <s v="2024-05-29 09:28:28"/>
    <x v="8"/>
    <s v="2024-06-10 16:52:28"/>
    <n v="295.39999999999998"/>
    <n v="12.3"/>
    <s v="Other"/>
    <s v="General Inquiry"/>
    <x v="0"/>
    <n v="240"/>
    <x v="0"/>
    <s v="Phone"/>
    <s v="Tier 2"/>
    <s v="TECH-9"/>
    <s v="Senior"/>
    <x v="0"/>
    <s v="Yes"/>
    <n v="4"/>
    <s v="No"/>
    <n v="6"/>
    <n v="3"/>
    <n v="18.8"/>
    <s v="No"/>
    <s v="Good"/>
    <s v="Yes"/>
    <s v="IT"/>
    <s v="Monday"/>
    <s v="Morning"/>
  </r>
  <r>
    <x v="1897"/>
    <s v="2024-06-13 02:42:01"/>
    <x v="10"/>
    <s v="2024-06-18 12:42:01"/>
    <n v="106"/>
    <n v="4.4000000000000004"/>
    <s v="Hardware Issues"/>
    <s v="Keyboard/Mouse"/>
    <x v="1"/>
    <n v="120"/>
    <x v="1"/>
    <s v="Chat"/>
    <s v="Tier 1"/>
    <s v="TECH-13"/>
    <s v="Mid-level"/>
    <x v="0"/>
    <s v="No"/>
    <n v="1"/>
    <s v="No"/>
    <n v="10"/>
    <n v="1.8"/>
    <n v="14.1"/>
    <s v="No"/>
    <s v="Good"/>
    <s v="No"/>
    <s v="Operations"/>
    <s v="Thursday"/>
    <s v="Evening"/>
  </r>
  <r>
    <x v="1898"/>
    <s v="2024-09-20 15:14:52"/>
    <x v="9"/>
    <s v="2024-09-30 14:38:52"/>
    <n v="239.4"/>
    <n v="10"/>
    <s v="Application Errors"/>
    <s v="Login Issues"/>
    <x v="2"/>
    <n v="360"/>
    <x v="1"/>
    <s v="Phone"/>
    <s v="Tier 1"/>
    <s v="TECH-14"/>
    <s v="Senior"/>
    <x v="0"/>
    <s v="No"/>
    <n v="1"/>
    <s v="Yes"/>
    <n v="8"/>
    <n v="4.5999999999999996"/>
    <n v="24"/>
    <s v="Yes"/>
    <s v="Fair"/>
    <s v="Yes"/>
    <s v="IT"/>
    <s v="Wednesday"/>
    <s v="Afternoon"/>
  </r>
  <r>
    <x v="1899"/>
    <s v="2024-04-09 15:05:29"/>
    <x v="11"/>
    <s v="2024-04-23 13:41:29"/>
    <n v="334.6"/>
    <n v="13.9"/>
    <s v="Application Errors"/>
    <s v="Features Not Working"/>
    <x v="2"/>
    <n v="360"/>
    <x v="1"/>
    <s v="Portal"/>
    <s v="Tier 2"/>
    <s v="TECH-25"/>
    <s v="Mid-level"/>
    <x v="0"/>
    <s v="Yes"/>
    <n v="4"/>
    <s v="No"/>
    <n v="9"/>
    <n v="2.2000000000000002"/>
    <n v="23.4"/>
    <s v="Yes"/>
    <s v="Good"/>
    <s v="Yes"/>
    <s v="IT"/>
    <s v="Monday"/>
    <s v="Evening"/>
  </r>
  <r>
    <x v="1900"/>
    <s v="2024-05-25 20:43:48"/>
    <x v="8"/>
    <s v="2024-06-19 18:43:48"/>
    <n v="598"/>
    <n v="24.9"/>
    <s v="Access Requests"/>
    <s v="Application Access"/>
    <x v="0"/>
    <n v="240"/>
    <x v="0"/>
    <s v="Portal"/>
    <s v="Tier 1"/>
    <s v="TECH-2"/>
    <s v="Senior"/>
    <x v="1"/>
    <s v="No"/>
    <n v="0"/>
    <s v="Yes"/>
    <n v="8"/>
    <n v="1.8"/>
    <n v="16.8"/>
    <s v="Yes"/>
    <s v="Excellent"/>
    <s v="Yes"/>
    <s v="Finance"/>
    <s v="Monday"/>
    <s v="Afternoon"/>
  </r>
  <r>
    <x v="1901"/>
    <s v="2024-01-17 15:42:33"/>
    <x v="3"/>
    <s v="2024-01-26 10:54:33"/>
    <n v="211.2"/>
    <n v="8.8000000000000007"/>
    <s v="Access Requests"/>
    <s v="Application Access"/>
    <x v="0"/>
    <n v="240"/>
    <x v="1"/>
    <s v="Portal"/>
    <s v="Tier 1"/>
    <s v="TECH-16"/>
    <s v="Junior"/>
    <x v="1"/>
    <s v="No"/>
    <n v="0"/>
    <s v="No"/>
    <n v="10"/>
    <n v="0.1"/>
    <n v="10.9"/>
    <s v="No"/>
    <s v="Fair"/>
    <s v="No"/>
    <s v="HR"/>
    <s v="Wednesday"/>
    <s v="Afternoon"/>
  </r>
  <r>
    <x v="1902"/>
    <s v="2024-10-20 22:54:26"/>
    <x v="2"/>
    <s v="2024-10-28 21:24:26"/>
    <n v="191.5"/>
    <n v="8"/>
    <s v="Other"/>
    <s v="General Inquiry"/>
    <x v="0"/>
    <n v="240"/>
    <x v="1"/>
    <s v="Phone"/>
    <s v="Tier 2"/>
    <s v="TECH-6"/>
    <s v="Senior"/>
    <x v="0"/>
    <s v="Yes"/>
    <n v="4"/>
    <s v="No"/>
    <n v="7"/>
    <n v="1.5"/>
    <n v="0"/>
    <s v="No"/>
    <s v="Poor"/>
    <s v="No"/>
    <s v="Legal"/>
    <s v="Friday"/>
    <s v="Afternoon"/>
  </r>
  <r>
    <x v="1903"/>
    <s v="2024-03-21 13:49:38"/>
    <x v="5"/>
    <s v="2024-04-03 22:13:38"/>
    <n v="319.39999999999998"/>
    <n v="13.3"/>
    <s v="Password Reset"/>
    <s v="Windows Password"/>
    <x v="2"/>
    <n v="360"/>
    <x v="1"/>
    <s v="Chat"/>
    <s v="Tier 1"/>
    <s v="TECH-6"/>
    <s v="Mid-level"/>
    <x v="1"/>
    <s v="No"/>
    <n v="0"/>
    <s v="No"/>
    <n v="8"/>
    <n v="1.4"/>
    <n v="18.8"/>
    <s v="Yes"/>
    <s v="Good"/>
    <s v="Yes"/>
    <s v="Sales"/>
    <s v="Monday"/>
    <s v="Afternoon"/>
  </r>
  <r>
    <x v="1904"/>
    <s v="2024-08-01 03:06:15"/>
    <x v="1"/>
    <s v="2024-08-15 18:30:15"/>
    <n v="351.4"/>
    <n v="14.6"/>
    <s v="Application Errors"/>
    <s v="Login Issues"/>
    <x v="0"/>
    <n v="240"/>
    <x v="0"/>
    <s v="Chat"/>
    <s v="Tier 1"/>
    <s v="TECH-10"/>
    <s v="Senior"/>
    <x v="0"/>
    <s v="No"/>
    <n v="1"/>
    <s v="No"/>
    <n v="4"/>
    <n v="6"/>
    <n v="35.6"/>
    <s v="No"/>
    <s v="Good"/>
    <s v="Yes"/>
    <s v="Finance"/>
    <s v="Tuesday"/>
    <s v="Morning"/>
  </r>
  <r>
    <x v="1905"/>
    <s v="2024-09-15 04:11:23"/>
    <x v="9"/>
    <s v="2024-09-19 11:47:23"/>
    <n v="103.6"/>
    <n v="4.3"/>
    <s v="Network Connectivity"/>
    <s v="Ethernet"/>
    <x v="1"/>
    <n v="120"/>
    <x v="1"/>
    <s v="Portal"/>
    <s v="Tier 2"/>
    <s v="TECH-18"/>
    <s v="Junior"/>
    <x v="0"/>
    <s v="Yes"/>
    <n v="1"/>
    <s v="Yes"/>
    <n v="9"/>
    <n v="4.7"/>
    <n v="27.1"/>
    <s v="Yes"/>
    <s v="Poor"/>
    <s v="Yes"/>
    <s v="HR"/>
    <s v="Thursday"/>
    <s v="Afternoon"/>
  </r>
  <r>
    <x v="1906"/>
    <s v="2024-01-13 17:34:12"/>
    <x v="3"/>
    <s v="2024-01-16 18:34:12"/>
    <n v="73"/>
    <n v="3"/>
    <s v="Application Errors"/>
    <s v="Performance"/>
    <x v="3"/>
    <n v="48"/>
    <x v="0"/>
    <s v="Email"/>
    <s v="Tier 1"/>
    <s v="TECH-14"/>
    <s v="Junior"/>
    <x v="0"/>
    <s v="No"/>
    <n v="1"/>
    <s v="No"/>
    <n v="3"/>
    <n v="4.2"/>
    <n v="18.399999999999999"/>
    <s v="Yes"/>
    <s v="Good"/>
    <s v="Yes"/>
    <s v="IT"/>
    <s v="Monday"/>
    <s v="Afternoon"/>
  </r>
  <r>
    <x v="1907"/>
    <s v="2024-12-25 13:11:01"/>
    <x v="0"/>
    <s v="2025-01-06 23:17:01"/>
    <n v="298.10000000000002"/>
    <n v="12.4"/>
    <s v="Network Connectivity"/>
    <s v="Slow Network"/>
    <x v="1"/>
    <n v="120"/>
    <x v="0"/>
    <s v="Email"/>
    <s v="Tier 1"/>
    <s v="TECH-22"/>
    <s v="Junior"/>
    <x v="1"/>
    <s v="No"/>
    <n v="0"/>
    <s v="Yes"/>
    <n v="7"/>
    <n v="0.1"/>
    <n v="28"/>
    <s v="Yes"/>
    <s v="Fair"/>
    <s v="Yes"/>
    <s v="Sales"/>
    <s v="Thursday"/>
    <s v="Afternoon"/>
  </r>
  <r>
    <x v="1908"/>
    <s v="2024-07-10 10:46:09"/>
    <x v="4"/>
    <s v="2024-07-22 01:58:09"/>
    <n v="303.2"/>
    <n v="12.6"/>
    <s v="Password Reset"/>
    <s v="Email Password"/>
    <x v="2"/>
    <n v="360"/>
    <x v="1"/>
    <s v="Email"/>
    <s v="Tier 1"/>
    <s v="TECH-25"/>
    <s v="Mid-level"/>
    <x v="0"/>
    <s v="No"/>
    <n v="1"/>
    <s v="No"/>
    <n v="7"/>
    <n v="1"/>
    <n v="26"/>
    <s v="Yes"/>
    <s v="Good"/>
    <s v="No"/>
    <s v="Legal"/>
    <s v="Thursday"/>
    <s v="Morning"/>
  </r>
  <r>
    <x v="1909"/>
    <s v="2024-02-22 21:01:21"/>
    <x v="6"/>
    <s v="2024-03-19 18:55:21"/>
    <n v="621.9"/>
    <n v="25.9"/>
    <s v="Software Installation"/>
    <s v="Business Apps"/>
    <x v="0"/>
    <n v="240"/>
    <x v="0"/>
    <s v="Chat"/>
    <s v="Tier 1"/>
    <s v="TECH-25"/>
    <s v="Mid-level"/>
    <x v="0"/>
    <s v="No"/>
    <n v="1"/>
    <s v="No"/>
    <n v="4"/>
    <n v="0.1"/>
    <n v="16.5"/>
    <s v="Yes"/>
    <s v="Fair"/>
    <s v="No"/>
    <s v="Legal"/>
    <s v="Friday"/>
    <s v="Afternoon"/>
  </r>
  <r>
    <x v="1910"/>
    <s v="2024-05-20 07:27:12"/>
    <x v="8"/>
    <s v="2024-06-11 13:09:12"/>
    <n v="533.70000000000005"/>
    <n v="22.2"/>
    <s v="Network Connectivity"/>
    <s v="WiFi Issues"/>
    <x v="0"/>
    <n v="240"/>
    <x v="0"/>
    <s v="Walk-in"/>
    <s v="Tier 1"/>
    <s v="TECH-1"/>
    <s v="Senior"/>
    <x v="1"/>
    <s v="No"/>
    <n v="0"/>
    <s v="No"/>
    <n v="7"/>
    <n v="0.1"/>
    <n v="0"/>
    <s v="Yes"/>
    <s v="Poor"/>
    <s v="Yes"/>
    <s v="Executive"/>
    <s v="Thursday"/>
    <s v="Morning"/>
  </r>
  <r>
    <x v="1911"/>
    <s v="2024-07-26 10:33:15"/>
    <x v="4"/>
    <s v="2024-08-17 16:15:15"/>
    <n v="533.70000000000005"/>
    <n v="22.2"/>
    <s v="Password Reset"/>
    <s v="Account Unlock"/>
    <x v="2"/>
    <n v="360"/>
    <x v="0"/>
    <s v="Chat"/>
    <s v="Tier 1"/>
    <s v="TECH-10"/>
    <s v="Junior"/>
    <x v="0"/>
    <s v="No"/>
    <n v="1"/>
    <s v="No"/>
    <n v="6"/>
    <n v="0.9"/>
    <n v="14.1"/>
    <s v="Yes"/>
    <s v="Good"/>
    <s v="Yes"/>
    <s v="Sales"/>
    <s v="Thursday"/>
    <s v="Morning"/>
  </r>
  <r>
    <x v="1912"/>
    <s v="2024-06-07 22:54:44"/>
    <x v="10"/>
    <s v="2024-06-13 23:42:44"/>
    <n v="144.80000000000001"/>
    <n v="6"/>
    <s v="Software Installation"/>
    <s v="Business Apps"/>
    <x v="0"/>
    <n v="240"/>
    <x v="1"/>
    <s v="Chat"/>
    <s v="Tier 1"/>
    <s v="TECH-1"/>
    <s v="Mid-level"/>
    <x v="0"/>
    <s v="No"/>
    <n v="1"/>
    <s v="No"/>
    <n v="10"/>
    <n v="4.7"/>
    <n v="25.6"/>
    <s v="No"/>
    <s v="Fair"/>
    <s v="Yes"/>
    <s v="Finance"/>
    <s v="Wednesday"/>
    <s v="Evening"/>
  </r>
  <r>
    <x v="1913"/>
    <s v="2024-10-18 13:11:27"/>
    <x v="2"/>
    <s v="2024-10-29 20:35:27"/>
    <n v="272.39999999999998"/>
    <n v="11.4"/>
    <s v="Password Reset"/>
    <s v="Account Unlock"/>
    <x v="2"/>
    <n v="360"/>
    <x v="1"/>
    <s v="Portal"/>
    <s v="Tier 1"/>
    <s v="TECH-20"/>
    <s v="Junior"/>
    <x v="1"/>
    <s v="No"/>
    <n v="0"/>
    <s v="No"/>
    <n v="7"/>
    <n v="2.8"/>
    <n v="1"/>
    <s v="Yes"/>
    <s v="Good"/>
    <s v="No"/>
    <s v="Legal"/>
    <s v="Tuesday"/>
    <s v="Afternoon"/>
  </r>
  <r>
    <x v="1914"/>
    <s v="2024-11-27 03:42:26"/>
    <x v="7"/>
    <s v="2024-12-06 11:30:26"/>
    <n v="223.8"/>
    <n v="9.3000000000000007"/>
    <s v="Password Reset"/>
    <s v="Windows Password"/>
    <x v="2"/>
    <n v="360"/>
    <x v="1"/>
    <s v="Portal"/>
    <s v="Tier 1"/>
    <s v="TECH-12"/>
    <s v="Junior"/>
    <x v="1"/>
    <s v="No"/>
    <n v="0"/>
    <s v="No"/>
    <n v="8"/>
    <n v="1.9"/>
    <n v="27.1"/>
    <s v="Yes"/>
    <s v="Fair"/>
    <s v="No"/>
    <s v="HR"/>
    <s v="Tuesday"/>
    <s v="Morning"/>
  </r>
  <r>
    <x v="1915"/>
    <s v="2024-08-18 16:34:47"/>
    <x v="1"/>
    <s v="2024-08-26 02:58:47"/>
    <n v="202.4"/>
    <n v="8.4"/>
    <s v="Software Installation"/>
    <s v="Business Apps"/>
    <x v="1"/>
    <n v="120"/>
    <x v="0"/>
    <s v="Phone"/>
    <s v="Tier 2"/>
    <s v="TECH-2"/>
    <s v="Mid-level"/>
    <x v="0"/>
    <s v="Yes"/>
    <n v="1"/>
    <s v="No"/>
    <n v="6"/>
    <n v="0.1"/>
    <n v="43"/>
    <s v="Yes"/>
    <s v="Excellent"/>
    <s v="Yes"/>
    <s v="IT"/>
    <s v="Monday"/>
    <s v="Morning"/>
  </r>
  <r>
    <x v="1916"/>
    <s v="2024-08-27 14:45:58"/>
    <x v="1"/>
    <s v="2024-08-31 23:15:58"/>
    <n v="104.5"/>
    <n v="4.4000000000000004"/>
    <s v="Application Errors"/>
    <s v="Login Issues"/>
    <x v="1"/>
    <n v="120"/>
    <x v="1"/>
    <s v="Walk-in"/>
    <s v="Tier 1"/>
    <s v="TECH-13"/>
    <s v="Junior"/>
    <x v="0"/>
    <s v="No"/>
    <n v="1"/>
    <s v="No"/>
    <n v="9"/>
    <n v="2"/>
    <n v="27.7"/>
    <s v="Yes"/>
    <s v="Fair"/>
    <s v="No"/>
    <s v="IT"/>
    <s v="Friday"/>
    <s v="Morning"/>
  </r>
  <r>
    <x v="1917"/>
    <s v="2024-10-04 12:51:29"/>
    <x v="2"/>
    <s v="2024-10-12 01:45:29"/>
    <n v="204.9"/>
    <n v="8.5"/>
    <s v="Password Reset"/>
    <s v="Email Password"/>
    <x v="0"/>
    <n v="240"/>
    <x v="1"/>
    <s v="Portal"/>
    <s v="Tier 1"/>
    <s v="TECH-14"/>
    <s v="Mid-level"/>
    <x v="1"/>
    <s v="No"/>
    <n v="0"/>
    <s v="No"/>
    <n v="10"/>
    <n v="0.5"/>
    <n v="15.2"/>
    <s v="Yes"/>
    <s v="Good"/>
    <s v="No"/>
    <s v="Executive"/>
    <s v="Thursday"/>
    <s v="Afternoon"/>
  </r>
  <r>
    <x v="1918"/>
    <s v="2024-05-19 16:24:43"/>
    <x v="8"/>
    <s v="2024-05-23 01:12:43"/>
    <n v="104.8"/>
    <n v="4.4000000000000004"/>
    <s v="Application Errors"/>
    <s v="Crash"/>
    <x v="1"/>
    <n v="120"/>
    <x v="1"/>
    <s v="Phone"/>
    <s v="Tier 1"/>
    <s v="TECH-11"/>
    <s v="Junior"/>
    <x v="1"/>
    <s v="No"/>
    <n v="0"/>
    <s v="No"/>
    <n v="10"/>
    <n v="1.5"/>
    <n v="29.8"/>
    <s v="Yes"/>
    <s v="Excellent"/>
    <s v="Yes"/>
    <s v="Marketing"/>
    <s v="Thursday"/>
    <s v="Afternoon"/>
  </r>
  <r>
    <x v="1919"/>
    <s v="2024-03-01 03:17:10"/>
    <x v="5"/>
    <s v="2024-03-18 04:29:10"/>
    <n v="409.2"/>
    <n v="17.100000000000001"/>
    <s v="Other"/>
    <s v="General Inquiry"/>
    <x v="2"/>
    <n v="360"/>
    <x v="0"/>
    <s v="Portal"/>
    <s v="Tier 1"/>
    <s v="TECH-1"/>
    <s v="Mid-level"/>
    <x v="1"/>
    <s v="No"/>
    <n v="0"/>
    <s v="No"/>
    <n v="8"/>
    <n v="4.2"/>
    <n v="11.2"/>
    <s v="Yes"/>
    <s v="Good"/>
    <s v="Yes"/>
    <s v="Finance"/>
    <s v="Tuesday"/>
    <s v="Morning"/>
  </r>
  <r>
    <x v="1920"/>
    <s v="2024-08-21 10:17:42"/>
    <x v="1"/>
    <s v="2024-08-29 17:53:42"/>
    <n v="199.6"/>
    <n v="8.3000000000000007"/>
    <s v="Password Reset"/>
    <s v="Windows Password"/>
    <x v="0"/>
    <n v="240"/>
    <x v="1"/>
    <s v="Phone"/>
    <s v="Tier 1"/>
    <s v="TECH-2"/>
    <s v="Mid-level"/>
    <x v="1"/>
    <s v="No"/>
    <n v="0"/>
    <s v="No"/>
    <n v="10"/>
    <n v="0.7"/>
    <n v="23.4"/>
    <s v="Yes"/>
    <s v="Excellent"/>
    <s v="Yes"/>
    <s v="Sales"/>
    <s v="Friday"/>
    <s v="Morning"/>
  </r>
  <r>
    <x v="1921"/>
    <s v="2024-09-26 00:37:41"/>
    <x v="9"/>
    <s v="2024-10-08 18:49:41"/>
    <n v="282.2"/>
    <n v="11.8"/>
    <s v="Hardware Issues"/>
    <s v="Keyboard/Mouse"/>
    <x v="2"/>
    <n v="360"/>
    <x v="1"/>
    <s v="Phone"/>
    <s v="Tier 2"/>
    <s v="TECH-18"/>
    <s v="Senior"/>
    <x v="0"/>
    <s v="Yes"/>
    <n v="4"/>
    <s v="No"/>
    <n v="6"/>
    <n v="1.2"/>
    <n v="7.6"/>
    <s v="Yes"/>
    <s v="Excellent"/>
    <s v="Yes"/>
    <s v="IT"/>
    <s v="Thursday"/>
    <s v="Afternoon"/>
  </r>
  <r>
    <x v="1922"/>
    <s v="2024-04-25 14:53:07"/>
    <x v="11"/>
    <s v="2024-05-03 19:11:07"/>
    <n v="196.3"/>
    <n v="8.1999999999999993"/>
    <s v="Application Errors"/>
    <s v="Features Not Working"/>
    <x v="0"/>
    <n v="240"/>
    <x v="1"/>
    <s v="Portal"/>
    <s v="Tier 1"/>
    <s v="TECH-3"/>
    <s v="Junior"/>
    <x v="0"/>
    <s v="No"/>
    <n v="1"/>
    <s v="No"/>
    <n v="8"/>
    <n v="2"/>
    <n v="12.5"/>
    <s v="Yes"/>
    <s v="Fair"/>
    <s v="Yes"/>
    <s v="Marketing"/>
    <s v="Friday"/>
    <s v="Morning"/>
  </r>
  <r>
    <x v="1923"/>
    <s v="2024-07-17 11:16:08"/>
    <x v="4"/>
    <s v="2024-07-25 20:58:08"/>
    <n v="201.7"/>
    <n v="8.4"/>
    <s v="Access Requests"/>
    <s v="VPN Access"/>
    <x v="0"/>
    <n v="240"/>
    <x v="1"/>
    <s v="Phone"/>
    <s v="Tier 2"/>
    <s v="TECH-22"/>
    <s v="Junior"/>
    <x v="0"/>
    <s v="Yes"/>
    <n v="2"/>
    <s v="No"/>
    <n v="9"/>
    <n v="1.1000000000000001"/>
    <n v="0"/>
    <s v="Yes"/>
    <s v="Fair"/>
    <s v="Yes"/>
    <s v="Marketing"/>
    <s v="Thursday"/>
    <s v="Morning"/>
  </r>
  <r>
    <x v="1924"/>
    <s v="2024-12-24 18:44:30"/>
    <x v="0"/>
    <s v="2025-01-02 07:14:30"/>
    <n v="204.5"/>
    <n v="8.5"/>
    <s v="Access Requests"/>
    <s v="Application Access"/>
    <x v="0"/>
    <n v="240"/>
    <x v="1"/>
    <s v="Email"/>
    <s v="Tier 1"/>
    <s v="TECH-16"/>
    <s v="Junior"/>
    <x v="0"/>
    <s v="No"/>
    <n v="1"/>
    <s v="Yes"/>
    <n v="10"/>
    <n v="3"/>
    <n v="12.2"/>
    <s v="No"/>
    <s v="Fair"/>
    <s v="Yes"/>
    <s v="Sales"/>
    <s v="Friday"/>
    <s v="Afternoon"/>
  </r>
  <r>
    <x v="1925"/>
    <s v="2024-08-27 01:12:09"/>
    <x v="1"/>
    <s v="2024-09-06 03:36:09"/>
    <n v="218.4"/>
    <n v="9.1"/>
    <s v="Password Reset"/>
    <s v="Application Password"/>
    <x v="2"/>
    <n v="360"/>
    <x v="1"/>
    <s v="Phone"/>
    <s v="Tier 1"/>
    <s v="TECH-8"/>
    <s v="Mid-level"/>
    <x v="0"/>
    <s v="No"/>
    <n v="1"/>
    <s v="No"/>
    <n v="5"/>
    <n v="0.4"/>
    <n v="49.5"/>
    <s v="Yes"/>
    <s v="Poor"/>
    <s v="Yes"/>
    <s v="Marketing"/>
    <s v="Friday"/>
    <s v="Morning"/>
  </r>
  <r>
    <x v="1926"/>
    <s v="2024-10-04 12:38:13"/>
    <x v="2"/>
    <s v="2024-10-11 05:32:13"/>
    <n v="160.9"/>
    <n v="6.7"/>
    <s v="Software Installation"/>
    <s v="VPN Client"/>
    <x v="0"/>
    <n v="240"/>
    <x v="1"/>
    <s v="Chat"/>
    <s v="Tier 1"/>
    <s v="TECH-22"/>
    <s v="Senior"/>
    <x v="0"/>
    <s v="No"/>
    <n v="1"/>
    <s v="No"/>
    <n v="10"/>
    <n v="3.1"/>
    <n v="20.399999999999999"/>
    <s v="Yes"/>
    <s v="Poor"/>
    <s v="Yes"/>
    <s v="IT"/>
    <s v="Tuesday"/>
    <s v="Morning"/>
  </r>
  <r>
    <x v="1927"/>
    <s v="2024-10-15 08:33:43"/>
    <x v="2"/>
    <s v="2024-10-28 01:27:43"/>
    <n v="329.9"/>
    <n v="13.7"/>
    <s v="Access Requests"/>
    <s v="Application Access"/>
    <x v="2"/>
    <n v="360"/>
    <x v="1"/>
    <s v="Phone"/>
    <s v="Tier 1"/>
    <s v="TECH-25"/>
    <s v="Mid-level"/>
    <x v="0"/>
    <s v="No"/>
    <n v="1"/>
    <s v="No"/>
    <n v="8"/>
    <n v="0.3"/>
    <n v="15.3"/>
    <s v="Yes"/>
    <s v="Poor"/>
    <s v="Yes"/>
    <s v="HR"/>
    <s v="Friday"/>
    <s v="Morning"/>
  </r>
  <r>
    <x v="1928"/>
    <s v="2024-05-09 01:27:53"/>
    <x v="8"/>
    <s v="2024-06-07 18:51:53"/>
    <n v="689.4"/>
    <n v="28.7"/>
    <s v="Network Connectivity"/>
    <s v="WiFi Issues"/>
    <x v="0"/>
    <n v="240"/>
    <x v="0"/>
    <s v="Portal"/>
    <s v="Tier 1"/>
    <s v="TECH-12"/>
    <s v="Mid-level"/>
    <x v="1"/>
    <s v="No"/>
    <n v="0"/>
    <s v="No"/>
    <n v="9"/>
    <n v="6"/>
    <n v="0"/>
    <s v="Yes"/>
    <s v="Poor"/>
    <s v="Yes"/>
    <s v="Sales"/>
    <s v="Tuesday"/>
    <s v="Afternoon"/>
  </r>
  <r>
    <x v="1929"/>
    <s v="2024-06-20 23:13:57"/>
    <x v="10"/>
    <s v="2024-06-26 23:49:57"/>
    <n v="144.6"/>
    <n v="6"/>
    <s v="Hardware Issues"/>
    <s v="Keyboard/Mouse"/>
    <x v="0"/>
    <n v="240"/>
    <x v="1"/>
    <s v="Portal"/>
    <s v="Tier 2"/>
    <s v="TECH-17"/>
    <s v="Mid-level"/>
    <x v="0"/>
    <s v="Yes"/>
    <n v="3"/>
    <s v="Yes"/>
    <n v="9"/>
    <n v="2"/>
    <n v="10.199999999999999"/>
    <s v="No"/>
    <s v="Excellent"/>
    <s v="No"/>
    <s v="Marketing"/>
    <s v="Monday"/>
    <s v="Morning"/>
  </r>
  <r>
    <x v="1930"/>
    <s v="2024-08-12 06:39:32"/>
    <x v="1"/>
    <s v="2024-08-24 11:09:32"/>
    <n v="292.5"/>
    <n v="12.2"/>
    <s v="Password Reset"/>
    <s v="Application Password"/>
    <x v="2"/>
    <n v="360"/>
    <x v="1"/>
    <s v="Email"/>
    <s v="Tier 1"/>
    <s v="TECH-17"/>
    <s v="Senior"/>
    <x v="1"/>
    <s v="No"/>
    <n v="0"/>
    <s v="No"/>
    <n v="10"/>
    <n v="0.5"/>
    <n v="26.6"/>
    <s v="Yes"/>
    <s v="Poor"/>
    <s v="No"/>
    <s v="Marketing"/>
    <s v="Tuesday"/>
    <s v="Morning"/>
  </r>
  <r>
    <x v="1931"/>
    <s v="2024-12-19 03:15:28"/>
    <x v="0"/>
    <s v="2024-12-20 17:51:28"/>
    <n v="38.6"/>
    <n v="1.6"/>
    <s v="Hardware Issues"/>
    <s v="Keyboard/Mouse"/>
    <x v="3"/>
    <n v="48"/>
    <x v="1"/>
    <s v="Chat"/>
    <s v="Tier 1"/>
    <s v="TECH-12"/>
    <s v="Senior"/>
    <x v="1"/>
    <s v="No"/>
    <n v="0"/>
    <s v="No"/>
    <n v="10"/>
    <n v="3.3"/>
    <n v="1.8"/>
    <s v="No"/>
    <s v="Fair"/>
    <s v="Yes"/>
    <s v="IT"/>
    <s v="Wednesday"/>
    <s v="Afternoon"/>
  </r>
  <r>
    <x v="1932"/>
    <s v="2024-04-20 02:30:33"/>
    <x v="11"/>
    <s v="2024-05-03 23:24:33"/>
    <n v="308.89999999999998"/>
    <n v="12.9"/>
    <s v="Hardware Issues"/>
    <s v="Keyboard/Mouse"/>
    <x v="0"/>
    <n v="240"/>
    <x v="0"/>
    <s v="Phone"/>
    <s v="Tier 1"/>
    <s v="TECH-3"/>
    <s v="Senior"/>
    <x v="0"/>
    <s v="No"/>
    <n v="1"/>
    <s v="No"/>
    <n v="6"/>
    <n v="0.1"/>
    <n v="18.5"/>
    <s v="Yes"/>
    <s v="Poor"/>
    <s v="Yes"/>
    <s v="IT"/>
    <s v="Thursday"/>
    <s v="Morning"/>
  </r>
  <r>
    <x v="1933"/>
    <s v="2024-05-13 13:28:15"/>
    <x v="8"/>
    <s v="2024-05-22 18:16:15"/>
    <n v="220.8"/>
    <n v="9.1999999999999993"/>
    <s v="Network Connectivity"/>
    <s v="WiFi Issues"/>
    <x v="0"/>
    <n v="240"/>
    <x v="1"/>
    <s v="Phone"/>
    <s v="Tier 1"/>
    <s v="TECH-15"/>
    <s v="Senior"/>
    <x v="0"/>
    <s v="No"/>
    <n v="1"/>
    <s v="No"/>
    <n v="8"/>
    <n v="1"/>
    <n v="23.8"/>
    <s v="No"/>
    <s v="Poor"/>
    <s v="No"/>
    <s v="Executive"/>
    <s v="Friday"/>
    <s v="Afternoon"/>
  </r>
  <r>
    <x v="1934"/>
    <s v="2024-06-16 10:53:36"/>
    <x v="10"/>
    <s v="2024-06-23 11:29:36"/>
    <n v="168.6"/>
    <n v="7"/>
    <s v="Application Errors"/>
    <s v="Login Issues"/>
    <x v="0"/>
    <n v="240"/>
    <x v="1"/>
    <s v="Portal"/>
    <s v="Tier 2"/>
    <s v="TECH-15"/>
    <s v="Senior"/>
    <x v="0"/>
    <s v="Yes"/>
    <n v="3"/>
    <s v="No"/>
    <n v="10"/>
    <n v="1.4"/>
    <n v="18.7"/>
    <s v="Yes"/>
    <s v="Good"/>
    <s v="Yes"/>
    <s v="Legal"/>
    <s v="Wednesday"/>
    <s v="Evening"/>
  </r>
  <r>
    <x v="1935"/>
    <s v="2024-11-02 10:30:51"/>
    <x v="7"/>
    <s v="2024-11-05 12:24:51"/>
    <n v="73.900000000000006"/>
    <n v="3.1"/>
    <s v="Hardware Issues"/>
    <s v="Docking Station"/>
    <x v="1"/>
    <n v="120"/>
    <x v="1"/>
    <s v="Email"/>
    <s v="Tier 2"/>
    <s v="TECH-24"/>
    <s v="Mid-level"/>
    <x v="0"/>
    <s v="Yes"/>
    <n v="3"/>
    <s v="No"/>
    <n v="8"/>
    <n v="3.5"/>
    <n v="17.100000000000001"/>
    <s v="No"/>
    <s v="Fair"/>
    <s v="Yes"/>
    <s v="Finance"/>
    <s v="Tuesday"/>
    <s v="Morning"/>
  </r>
  <r>
    <x v="1936"/>
    <s v="2024-06-03 10:48:16"/>
    <x v="10"/>
    <s v="2024-06-20 01:00:16"/>
    <n v="422.2"/>
    <n v="17.600000000000001"/>
    <s v="Access Requests"/>
    <s v="Application Access"/>
    <x v="2"/>
    <n v="360"/>
    <x v="0"/>
    <s v="Walk-in"/>
    <s v="Tier 1"/>
    <s v="TECH-2"/>
    <s v="Mid-level"/>
    <x v="0"/>
    <s v="No"/>
    <n v="1"/>
    <s v="No"/>
    <n v="6"/>
    <n v="1.4"/>
    <n v="16.5"/>
    <s v="Yes"/>
    <s v="Good"/>
    <s v="No"/>
    <s v="IT"/>
    <s v="Monday"/>
    <s v="Afternoon"/>
  </r>
  <r>
    <x v="1937"/>
    <s v="2024-06-08 23:57:34"/>
    <x v="10"/>
    <s v="2024-06-16 03:21:34"/>
    <n v="171.4"/>
    <n v="7.1"/>
    <s v="Password Reset"/>
    <s v="Application Password"/>
    <x v="0"/>
    <n v="240"/>
    <x v="1"/>
    <s v="Phone"/>
    <s v="Tier 1"/>
    <s v="TECH-2"/>
    <s v="Mid-level"/>
    <x v="0"/>
    <s v="No"/>
    <n v="1"/>
    <s v="Yes"/>
    <n v="10"/>
    <n v="0.6"/>
    <n v="10.5"/>
    <s v="Yes"/>
    <s v="Good"/>
    <s v="Yes"/>
    <s v="HR"/>
    <s v="Friday"/>
    <s v="Morning"/>
  </r>
  <r>
    <x v="1938"/>
    <s v="2024-08-14 20:40:08"/>
    <x v="1"/>
    <s v="2024-08-23 03:04:08"/>
    <n v="198.4"/>
    <n v="8.3000000000000007"/>
    <s v="Password Reset"/>
    <s v="Windows Password"/>
    <x v="0"/>
    <n v="240"/>
    <x v="1"/>
    <s v="Portal"/>
    <s v="Tier 1"/>
    <s v="TECH-20"/>
    <s v="Senior"/>
    <x v="1"/>
    <s v="No"/>
    <n v="0"/>
    <s v="No"/>
    <n v="7"/>
    <n v="0.1"/>
    <n v="13.8"/>
    <s v="No"/>
    <s v="Fair"/>
    <s v="Yes"/>
    <s v="Finance"/>
    <s v="Wednesday"/>
    <s v="Afternoon"/>
  </r>
  <r>
    <x v="1939"/>
    <s v="2024-08-19 20:20:12"/>
    <x v="1"/>
    <s v="2024-08-31 00:20:12"/>
    <n v="292"/>
    <n v="12.2"/>
    <s v="Password Reset"/>
    <s v="Account Unlock"/>
    <x v="2"/>
    <n v="360"/>
    <x v="1"/>
    <s v="Portal"/>
    <s v="Tier 1"/>
    <s v="TECH-11"/>
    <s v="Senior"/>
    <x v="1"/>
    <s v="No"/>
    <n v="0"/>
    <s v="No"/>
    <n v="9"/>
    <n v="2.8"/>
    <n v="23.5"/>
    <s v="Yes"/>
    <s v="Good"/>
    <s v="Yes"/>
    <s v="Operations"/>
    <s v="Wednesday"/>
    <s v="Evening"/>
  </r>
  <r>
    <x v="1940"/>
    <s v="2024-08-30 12:35:12"/>
    <x v="1"/>
    <s v="2024-09-12 18:17:12"/>
    <n v="317.7"/>
    <n v="13.2"/>
    <s v="Password Reset"/>
    <s v="Windows Password"/>
    <x v="2"/>
    <n v="360"/>
    <x v="1"/>
    <s v="Email"/>
    <s v="Tier 1"/>
    <s v="TECH-21"/>
    <s v="Junior"/>
    <x v="1"/>
    <s v="No"/>
    <n v="0"/>
    <s v="No"/>
    <n v="9"/>
    <n v="0.1"/>
    <n v="26"/>
    <s v="Yes"/>
    <s v="Fair"/>
    <s v="Yes"/>
    <s v="Marketing"/>
    <s v="Tuesday"/>
    <s v="Afternoon"/>
  </r>
  <r>
    <x v="1941"/>
    <s v="2024-05-09 13:02:55"/>
    <x v="8"/>
    <s v="2024-05-22 15:08:55"/>
    <n v="314.10000000000002"/>
    <n v="13.1"/>
    <s v="Password Reset"/>
    <s v="Windows Password"/>
    <x v="2"/>
    <n v="360"/>
    <x v="1"/>
    <s v="Email"/>
    <s v="Tier 1"/>
    <s v="TECH-2"/>
    <s v="Senior"/>
    <x v="1"/>
    <s v="No"/>
    <n v="0"/>
    <s v="No"/>
    <n v="10"/>
    <n v="0.7"/>
    <n v="21.1"/>
    <s v="Yes"/>
    <s v="Fair"/>
    <s v="No"/>
    <s v="Legal"/>
    <s v="Tuesday"/>
    <s v="Afternoon"/>
  </r>
  <r>
    <x v="1942"/>
    <s v="2024-05-02 14:33:41"/>
    <x v="8"/>
    <s v="2024-05-24 22:39:41"/>
    <n v="536.1"/>
    <n v="22.3"/>
    <s v="Password Reset"/>
    <s v="Account Unlock"/>
    <x v="0"/>
    <n v="240"/>
    <x v="0"/>
    <s v="Portal"/>
    <s v="Tier 1"/>
    <s v="TECH-6"/>
    <s v="Mid-level"/>
    <x v="1"/>
    <s v="No"/>
    <n v="0"/>
    <s v="No"/>
    <n v="5"/>
    <n v="0.1"/>
    <n v="33.4"/>
    <s v="No"/>
    <s v="Fair"/>
    <s v="Yes"/>
    <s v="Executive"/>
    <s v="Thursday"/>
    <s v="Morning"/>
  </r>
  <r>
    <x v="1943"/>
    <s v="2024-06-13 01:53:21"/>
    <x v="10"/>
    <s v="2024-06-18 09:11:21"/>
    <n v="103.3"/>
    <n v="4.3"/>
    <s v="Software Installation"/>
    <s v="MS Office"/>
    <x v="1"/>
    <n v="120"/>
    <x v="1"/>
    <s v="Phone"/>
    <s v="Tier 1"/>
    <s v="TECH-17"/>
    <s v="Junior"/>
    <x v="0"/>
    <s v="No"/>
    <n v="1"/>
    <s v="No"/>
    <n v="8"/>
    <n v="0.5"/>
    <n v="7.2"/>
    <s v="Yes"/>
    <s v="Fair"/>
    <s v="Yes"/>
    <s v="Sales"/>
    <s v="Friday"/>
    <s v="Morning"/>
  </r>
  <r>
    <x v="1944"/>
    <s v="2024-03-27 11:44:18"/>
    <x v="5"/>
    <s v="2024-04-05 19:50:18"/>
    <n v="223.1"/>
    <n v="9.3000000000000007"/>
    <s v="Application Errors"/>
    <s v="Features Not Working"/>
    <x v="2"/>
    <n v="360"/>
    <x v="1"/>
    <s v="Chat"/>
    <s v="Tier 2"/>
    <s v="TECH-20"/>
    <s v="Junior"/>
    <x v="0"/>
    <s v="Yes"/>
    <n v="2"/>
    <s v="No"/>
    <n v="9"/>
    <n v="4.0999999999999996"/>
    <n v="16.8"/>
    <s v="Yes"/>
    <s v="Good"/>
    <s v="No"/>
    <s v="Finance"/>
    <s v="Monday"/>
    <s v="Morning"/>
  </r>
  <r>
    <x v="1945"/>
    <s v="2024-10-14 06:17:30"/>
    <x v="2"/>
    <s v="2024-10-23 15:23:30"/>
    <n v="225.1"/>
    <n v="9.4"/>
    <s v="Access Requests"/>
    <s v="Admin Rights"/>
    <x v="0"/>
    <n v="240"/>
    <x v="1"/>
    <s v="Email"/>
    <s v="Tier 1"/>
    <s v="TECH-16"/>
    <s v="Senior"/>
    <x v="0"/>
    <s v="No"/>
    <n v="1"/>
    <s v="Yes"/>
    <n v="9"/>
    <n v="4.7"/>
    <n v="23.4"/>
    <s v="No"/>
    <s v="Fair"/>
    <s v="Yes"/>
    <s v="Sales"/>
    <s v="Friday"/>
    <s v="Morning"/>
  </r>
  <r>
    <x v="1946"/>
    <s v="2024-05-04 19:17:38"/>
    <x v="8"/>
    <s v="2024-05-13 06:53:38"/>
    <n v="203.6"/>
    <n v="8.5"/>
    <s v="Access Requests"/>
    <s v="VPN Access"/>
    <x v="0"/>
    <n v="240"/>
    <x v="1"/>
    <s v="Phone"/>
    <s v="Tier 1"/>
    <s v="TECH-22"/>
    <s v="Senior"/>
    <x v="1"/>
    <s v="No"/>
    <n v="0"/>
    <s v="No"/>
    <n v="10"/>
    <n v="0.9"/>
    <n v="29.8"/>
    <s v="Yes"/>
    <s v="Fair"/>
    <s v="Yes"/>
    <s v="Executive"/>
    <s v="Monday"/>
    <s v="Afternoon"/>
  </r>
  <r>
    <x v="1947"/>
    <s v="2024-09-13 04:47:52"/>
    <x v="9"/>
    <s v="2024-09-20 07:23:52"/>
    <n v="170.6"/>
    <n v="7.1"/>
    <s v="Access Requests"/>
    <s v="VPN Access"/>
    <x v="0"/>
    <n v="240"/>
    <x v="1"/>
    <s v="Email"/>
    <s v="Tier 1"/>
    <s v="TECH-14"/>
    <s v="Mid-level"/>
    <x v="0"/>
    <s v="No"/>
    <n v="1"/>
    <s v="No"/>
    <n v="8"/>
    <n v="2.2999999999999998"/>
    <n v="33.5"/>
    <s v="Yes"/>
    <s v="Poor"/>
    <s v="Yes"/>
    <s v="Sales"/>
    <s v="Wednesday"/>
    <s v="Morning"/>
  </r>
  <r>
    <x v="1948"/>
    <s v="2024-09-28 14:47:20"/>
    <x v="9"/>
    <s v="2024-10-03 03:35:20"/>
    <n v="108.8"/>
    <n v="4.5"/>
    <s v="Hardware Issues"/>
    <s v="Laptop"/>
    <x v="1"/>
    <n v="120"/>
    <x v="1"/>
    <s v="Phone"/>
    <s v="Tier 2"/>
    <s v="TECH-16"/>
    <s v="Senior"/>
    <x v="0"/>
    <s v="Yes"/>
    <n v="4"/>
    <s v="No"/>
    <n v="9"/>
    <n v="3.7"/>
    <n v="32.1"/>
    <s v="Yes"/>
    <s v="Poor"/>
    <s v="Yes"/>
    <s v="Marketing"/>
    <s v="Tuesday"/>
    <s v="Morning"/>
  </r>
  <r>
    <x v="1949"/>
    <s v="2024-09-02 06:22:14"/>
    <x v="9"/>
    <s v="2024-09-06 08:10:14"/>
    <n v="97.8"/>
    <n v="4.0999999999999996"/>
    <s v="Hardware Issues"/>
    <s v="Desktop"/>
    <x v="1"/>
    <n v="120"/>
    <x v="1"/>
    <s v="Phone"/>
    <s v="Tier 2"/>
    <s v="TECH-6"/>
    <s v="Mid-level"/>
    <x v="0"/>
    <s v="Yes"/>
    <n v="4"/>
    <s v="Yes"/>
    <n v="7"/>
    <n v="3.1"/>
    <n v="34.1"/>
    <s v="Yes"/>
    <s v="Excellent"/>
    <s v="No"/>
    <s v="Finance"/>
    <s v="Friday"/>
    <s v="Afternoon"/>
  </r>
  <r>
    <x v="1950"/>
    <s v="2024-02-14 09:09:47"/>
    <x v="6"/>
    <s v="2024-02-26 03:09:47"/>
    <n v="282"/>
    <n v="11.8"/>
    <s v="Software Installation"/>
    <s v="VPN Client"/>
    <x v="2"/>
    <n v="360"/>
    <x v="1"/>
    <s v="Phone"/>
    <s v="Tier 2"/>
    <s v="TECH-7"/>
    <s v="Junior"/>
    <x v="0"/>
    <s v="Yes"/>
    <n v="2"/>
    <s v="No"/>
    <n v="7"/>
    <n v="2"/>
    <n v="22"/>
    <s v="Yes"/>
    <s v="Fair"/>
    <s v="Yes"/>
    <s v="Marketing"/>
    <s v="Tuesday"/>
    <s v="Morning"/>
  </r>
  <r>
    <x v="1951"/>
    <s v="2024-11-12 11:45:46"/>
    <x v="7"/>
    <s v="2024-11-24 10:21:46"/>
    <n v="286.60000000000002"/>
    <n v="11.9"/>
    <s v="Other"/>
    <s v="General Inquiry"/>
    <x v="2"/>
    <n v="360"/>
    <x v="1"/>
    <s v="Phone"/>
    <s v="Tier 1"/>
    <s v="TECH-11"/>
    <s v="Junior"/>
    <x v="1"/>
    <s v="No"/>
    <n v="0"/>
    <s v="No"/>
    <n v="10"/>
    <n v="0.1"/>
    <n v="33.299999999999997"/>
    <s v="Yes"/>
    <s v="Excellent"/>
    <s v="Yes"/>
    <s v="Legal"/>
    <s v="Friday"/>
    <s v="Morning"/>
  </r>
  <r>
    <x v="1952"/>
    <s v="2024-07-01 11:05:21"/>
    <x v="4"/>
    <s v="2024-08-08 17:11:21"/>
    <n v="918.1"/>
    <n v="38.299999999999997"/>
    <s v="Password Reset"/>
    <s v="Account Unlock"/>
    <x v="2"/>
    <n v="360"/>
    <x v="0"/>
    <s v="Email"/>
    <s v="Tier 1"/>
    <s v="TECH-20"/>
    <s v="Senior"/>
    <x v="1"/>
    <s v="No"/>
    <n v="0"/>
    <s v="No"/>
    <n v="7"/>
    <n v="0.1"/>
    <n v="2.1"/>
    <s v="No"/>
    <s v="Good"/>
    <s v="Yes"/>
    <s v="Finance"/>
    <s v="Monday"/>
    <s v="Afternoon"/>
  </r>
  <r>
    <x v="1953"/>
    <s v="2024-11-06 08:15:11"/>
    <x v="7"/>
    <s v="2024-11-17 04:51:11"/>
    <n v="260.60000000000002"/>
    <n v="10.9"/>
    <s v="Other"/>
    <s v="Training Request"/>
    <x v="0"/>
    <n v="240"/>
    <x v="0"/>
    <s v="Portal"/>
    <s v="Tier 1"/>
    <s v="TECH-5"/>
    <s v="Mid-level"/>
    <x v="0"/>
    <s v="No"/>
    <n v="1"/>
    <s v="No"/>
    <n v="5"/>
    <n v="2.2999999999999998"/>
    <n v="4.4000000000000004"/>
    <s v="Yes"/>
    <s v="Fair"/>
    <s v="Yes"/>
    <s v="HR"/>
    <s v="Friday"/>
    <s v="Afternoon"/>
  </r>
  <r>
    <x v="1954"/>
    <s v="2024-06-25 06:37:45"/>
    <x v="10"/>
    <s v="2024-06-28 16:13:45"/>
    <n v="81.599999999999994"/>
    <n v="3.4"/>
    <s v="Application Errors"/>
    <s v="Login Issues"/>
    <x v="1"/>
    <n v="120"/>
    <x v="1"/>
    <s v="Phone"/>
    <s v="Tier 1"/>
    <s v="TECH-5"/>
    <s v="Junior"/>
    <x v="1"/>
    <s v="No"/>
    <n v="0"/>
    <s v="No"/>
    <n v="9"/>
    <n v="3.2"/>
    <n v="33.6"/>
    <s v="No"/>
    <s v="Poor"/>
    <s v="Yes"/>
    <s v="Sales"/>
    <s v="Friday"/>
    <s v="Afternoon"/>
  </r>
  <r>
    <x v="1955"/>
    <s v="2024-04-07 03:20:45"/>
    <x v="11"/>
    <s v="2024-04-16 14:32:45"/>
    <n v="227.2"/>
    <n v="9.5"/>
    <s v="Access Requests"/>
    <s v="Admin Rights"/>
    <x v="0"/>
    <n v="240"/>
    <x v="1"/>
    <s v="Chat"/>
    <s v="Tier 1"/>
    <s v="TECH-7"/>
    <s v="Mid-level"/>
    <x v="0"/>
    <s v="No"/>
    <n v="1"/>
    <s v="Yes"/>
    <n v="9"/>
    <n v="1"/>
    <n v="27.3"/>
    <s v="No"/>
    <s v="Good"/>
    <s v="No"/>
    <s v="Sales"/>
    <s v="Wednesday"/>
    <s v="Afternoon"/>
  </r>
  <r>
    <x v="1956"/>
    <s v="2024-08-19 23:06:24"/>
    <x v="1"/>
    <s v="2024-08-30 06:18:24"/>
    <n v="247.2"/>
    <n v="10.3"/>
    <s v="Password Reset"/>
    <s v="Windows Password"/>
    <x v="2"/>
    <n v="360"/>
    <x v="1"/>
    <s v="Portal"/>
    <s v="Tier 1"/>
    <s v="TECH-17"/>
    <s v="Mid-level"/>
    <x v="1"/>
    <s v="No"/>
    <n v="0"/>
    <s v="No"/>
    <n v="10"/>
    <n v="2.5"/>
    <n v="38.5"/>
    <s v="Yes"/>
    <s v="Poor"/>
    <s v="Yes"/>
    <s v="Executive"/>
    <s v="Tuesday"/>
    <s v="Morning"/>
  </r>
  <r>
    <x v="1957"/>
    <s v="2024-09-21 11:05:45"/>
    <x v="9"/>
    <s v="2024-10-08 15:05:45"/>
    <n v="412"/>
    <n v="17.2"/>
    <s v="Email/Calendar"/>
    <s v="Cannot Send/Receive"/>
    <x v="0"/>
    <n v="240"/>
    <x v="0"/>
    <s v="Portal"/>
    <s v="Tier 1"/>
    <s v="TECH-11"/>
    <s v="Senior"/>
    <x v="0"/>
    <s v="No"/>
    <n v="1"/>
    <s v="Yes"/>
    <n v="8"/>
    <n v="4"/>
    <n v="22.6"/>
    <s v="No"/>
    <s v="Excellent"/>
    <s v="No"/>
    <s v="Sales"/>
    <s v="Thursday"/>
    <s v="Evening"/>
  </r>
  <r>
    <x v="1958"/>
    <s v="2024-08-18 06:16:07"/>
    <x v="1"/>
    <s v="2024-08-29 07:22:07"/>
    <n v="265.10000000000002"/>
    <n v="11"/>
    <s v="Software Installation"/>
    <s v="Business Apps"/>
    <x v="0"/>
    <n v="240"/>
    <x v="0"/>
    <s v="Email"/>
    <s v="Tier 1"/>
    <s v="TECH-17"/>
    <s v="Mid-level"/>
    <x v="0"/>
    <s v="No"/>
    <n v="1"/>
    <s v="No"/>
    <n v="4"/>
    <n v="0.9"/>
    <n v="43.8"/>
    <s v="Yes"/>
    <s v="Excellent"/>
    <s v="Yes"/>
    <s v="Legal"/>
    <s v="Wednesday"/>
    <s v="Morning"/>
  </r>
  <r>
    <x v="1959"/>
    <s v="2024-12-01 03:50:19"/>
    <x v="0"/>
    <s v="2024-12-05 11:02:19"/>
    <n v="103.2"/>
    <n v="4.3"/>
    <s v="Hardware Issues"/>
    <s v="Docking Station"/>
    <x v="1"/>
    <n v="120"/>
    <x v="1"/>
    <s v="Email"/>
    <s v="Tier 2"/>
    <s v="TECH-11"/>
    <s v="Junior"/>
    <x v="0"/>
    <s v="Yes"/>
    <n v="1"/>
    <s v="No"/>
    <n v="8"/>
    <n v="0.4"/>
    <n v="24.2"/>
    <s v="Yes"/>
    <s v="Fair"/>
    <s v="Yes"/>
    <s v="HR"/>
    <s v="Monday"/>
    <s v="Afternoon"/>
  </r>
  <r>
    <x v="1960"/>
    <s v="2024-04-13 06:40:30"/>
    <x v="11"/>
    <s v="2024-04-22 03:40:30"/>
    <n v="213"/>
    <n v="8.9"/>
    <s v="Application Errors"/>
    <s v="Performance"/>
    <x v="0"/>
    <n v="240"/>
    <x v="1"/>
    <s v="Phone"/>
    <s v="Tier 2"/>
    <s v="TECH-14"/>
    <s v="Mid-level"/>
    <x v="0"/>
    <s v="Yes"/>
    <n v="2"/>
    <s v="No"/>
    <n v="9"/>
    <n v="0.1"/>
    <n v="35.700000000000003"/>
    <s v="Yes"/>
    <s v="Poor"/>
    <s v="Yes"/>
    <s v="Operations"/>
    <s v="Tuesday"/>
    <s v="Evening"/>
  </r>
  <r>
    <x v="1961"/>
    <s v="2024-12-14 18:47:50"/>
    <x v="0"/>
    <s v="2024-12-21 00:29:50"/>
    <n v="173.7"/>
    <n v="7.2"/>
    <s v="Hardware Issues"/>
    <s v="Laptop"/>
    <x v="0"/>
    <n v="240"/>
    <x v="1"/>
    <s v="Portal"/>
    <s v="Tier 1"/>
    <s v="TECH-18"/>
    <s v="Mid-level"/>
    <x v="0"/>
    <s v="No"/>
    <n v="1"/>
    <s v="No"/>
    <n v="7"/>
    <n v="2.4"/>
    <n v="15.8"/>
    <s v="No"/>
    <s v="Poor"/>
    <s v="No"/>
    <s v="HR"/>
    <s v="Wednesday"/>
    <s v="Evening"/>
  </r>
  <r>
    <x v="1962"/>
    <s v="2024-05-27 14:23:55"/>
    <x v="8"/>
    <s v="2024-06-05 00:59:55"/>
    <n v="226.6"/>
    <n v="9.4"/>
    <s v="Password Reset"/>
    <s v="Account Unlock"/>
    <x v="2"/>
    <n v="360"/>
    <x v="1"/>
    <s v="Walk-in"/>
    <s v="Tier 1"/>
    <s v="TECH-22"/>
    <s v="Junior"/>
    <x v="1"/>
    <s v="No"/>
    <n v="0"/>
    <s v="No"/>
    <n v="10"/>
    <n v="1.8"/>
    <n v="0"/>
    <s v="No"/>
    <s v="Good"/>
    <s v="No"/>
    <s v="HR"/>
    <s v="Tuesday"/>
    <s v="Morning"/>
  </r>
  <r>
    <x v="1963"/>
    <s v="2024-09-04 09:13:43"/>
    <x v="9"/>
    <s v="2024-09-16 05:13:43"/>
    <n v="284"/>
    <n v="11.8"/>
    <s v="Password Reset"/>
    <s v="Application Password"/>
    <x v="2"/>
    <n v="360"/>
    <x v="1"/>
    <s v="Portal"/>
    <s v="Tier 1"/>
    <s v="TECH-6"/>
    <s v="Senior"/>
    <x v="1"/>
    <s v="No"/>
    <n v="0"/>
    <s v="No"/>
    <n v="9"/>
    <n v="1.4"/>
    <n v="20.2"/>
    <s v="No"/>
    <s v="Fair"/>
    <s v="No"/>
    <s v="IT"/>
    <s v="Thursday"/>
    <s v="Morning"/>
  </r>
  <r>
    <x v="1964"/>
    <s v="2024-05-28 04:58:11"/>
    <x v="8"/>
    <s v="2024-05-30 13:16:11"/>
    <n v="56.3"/>
    <n v="2.2999999999999998"/>
    <s v="Hardware Issues"/>
    <s v="Desktop"/>
    <x v="3"/>
    <n v="48"/>
    <x v="0"/>
    <s v="Email"/>
    <s v="Tier 2"/>
    <s v="TECH-8"/>
    <s v="Mid-level"/>
    <x v="0"/>
    <s v="Yes"/>
    <n v="4"/>
    <s v="No"/>
    <n v="6"/>
    <n v="1.3"/>
    <n v="28.9"/>
    <s v="Yes"/>
    <s v="Fair"/>
    <s v="No"/>
    <s v="Sales"/>
    <s v="Thursday"/>
    <s v="Afternoon"/>
  </r>
  <r>
    <x v="1965"/>
    <s v="2024-11-19 03:07:19"/>
    <x v="7"/>
    <s v="2024-11-22 04:01:19"/>
    <n v="72.900000000000006"/>
    <n v="3"/>
    <s v="Network Connectivity"/>
    <s v="Slow Network"/>
    <x v="3"/>
    <n v="48"/>
    <x v="0"/>
    <s v="Walk-in"/>
    <s v="Tier 1"/>
    <s v="TECH-5"/>
    <s v="Mid-level"/>
    <x v="1"/>
    <s v="No"/>
    <n v="0"/>
    <s v="No"/>
    <n v="3"/>
    <n v="1.4"/>
    <n v="25.3"/>
    <s v="No"/>
    <s v="Poor"/>
    <s v="No"/>
    <s v="Finance"/>
    <s v="Thursday"/>
    <s v="Evening"/>
  </r>
  <r>
    <x v="1966"/>
    <s v="2024-08-28 15:50:14"/>
    <x v="1"/>
    <s v="2024-09-01 21:32:14"/>
    <n v="101.7"/>
    <n v="4.2"/>
    <s v="Password Reset"/>
    <s v="Application Password"/>
    <x v="1"/>
    <n v="120"/>
    <x v="1"/>
    <s v="Email"/>
    <s v="Tier 1"/>
    <s v="TECH-8"/>
    <s v="Junior"/>
    <x v="1"/>
    <s v="No"/>
    <n v="0"/>
    <s v="No"/>
    <n v="8"/>
    <n v="0.6"/>
    <n v="19.3"/>
    <s v="No"/>
    <s v="Good"/>
    <s v="No"/>
    <s v="HR"/>
    <s v="Thursday"/>
    <s v="Afternoon"/>
  </r>
  <r>
    <x v="1967"/>
    <s v="2024-03-30 16:35:32"/>
    <x v="5"/>
    <s v="2024-04-08 02:35:32"/>
    <n v="225"/>
    <n v="9.4"/>
    <s v="Password Reset"/>
    <s v="Email Password"/>
    <x v="2"/>
    <n v="360"/>
    <x v="1"/>
    <s v="Portal"/>
    <s v="Tier 1"/>
    <s v="TECH-1"/>
    <s v="Mid-level"/>
    <x v="0"/>
    <s v="No"/>
    <n v="1"/>
    <s v="No"/>
    <n v="6"/>
    <n v="3.5"/>
    <n v="26.1"/>
    <s v="Yes"/>
    <s v="Good"/>
    <s v="Yes"/>
    <s v="Operations"/>
    <s v="Tuesday"/>
    <s v="Afternoon"/>
  </r>
  <r>
    <x v="1968"/>
    <s v="2024-01-14 20:45:07"/>
    <x v="3"/>
    <s v="2024-01-17 15:15:07"/>
    <n v="66.5"/>
    <n v="2.8"/>
    <s v="Software Installation"/>
    <s v="VPN Client"/>
    <x v="3"/>
    <n v="48"/>
    <x v="0"/>
    <s v="Phone"/>
    <s v="Tier 1"/>
    <s v="TECH-19"/>
    <s v="Mid-level"/>
    <x v="1"/>
    <s v="No"/>
    <n v="0"/>
    <s v="No"/>
    <n v="5"/>
    <n v="3.7"/>
    <n v="0"/>
    <s v="Yes"/>
    <s v="Fair"/>
    <s v="No"/>
    <s v="Legal"/>
    <s v="Thursday"/>
    <s v="Afternoon"/>
  </r>
  <r>
    <x v="1969"/>
    <s v="2024-03-12 06:37:49"/>
    <x v="5"/>
    <s v="2024-03-16 12:25:49"/>
    <n v="101.8"/>
    <n v="4.2"/>
    <s v="Network Connectivity"/>
    <s v="VPN Connection"/>
    <x v="1"/>
    <n v="120"/>
    <x v="1"/>
    <s v="Phone"/>
    <s v="Tier 1"/>
    <s v="TECH-22"/>
    <s v="Mid-level"/>
    <x v="0"/>
    <s v="No"/>
    <n v="1"/>
    <s v="Yes"/>
    <n v="10"/>
    <n v="0.1"/>
    <n v="32.6"/>
    <s v="No"/>
    <s v="Good"/>
    <s v="Yes"/>
    <s v="Marketing"/>
    <s v="Tuesday"/>
    <s v="Evening"/>
  </r>
  <r>
    <x v="1970"/>
    <s v="2024-03-25 00:53:38"/>
    <x v="5"/>
    <s v="2024-03-29 16:41:38"/>
    <n v="87.8"/>
    <n v="3.7"/>
    <s v="Hardware Issues"/>
    <s v="Printer"/>
    <x v="1"/>
    <n v="120"/>
    <x v="1"/>
    <s v="Portal"/>
    <s v="Tier 1"/>
    <s v="TECH-12"/>
    <s v="Junior"/>
    <x v="0"/>
    <s v="No"/>
    <n v="1"/>
    <s v="No"/>
    <n v="6"/>
    <n v="4"/>
    <n v="0"/>
    <s v="No"/>
    <s v="Fair"/>
    <s v="Yes"/>
    <s v="Finance"/>
    <s v="Wednesday"/>
    <s v="Morning"/>
  </r>
  <r>
    <x v="1971"/>
    <s v="2024-09-28 12:39:47"/>
    <x v="9"/>
    <s v="2024-10-05 22:03:47"/>
    <n v="177.4"/>
    <n v="7.4"/>
    <s v="Access Requests"/>
    <s v="VPN Access"/>
    <x v="0"/>
    <n v="240"/>
    <x v="1"/>
    <s v="Email"/>
    <s v="Tier 1"/>
    <s v="TECH-19"/>
    <s v="Senior"/>
    <x v="1"/>
    <s v="No"/>
    <n v="0"/>
    <s v="Yes"/>
    <n v="8"/>
    <n v="3.3"/>
    <n v="23.8"/>
    <s v="No"/>
    <s v="Fair"/>
    <s v="Yes"/>
    <s v="IT"/>
    <s v="Friday"/>
    <s v="Afternoon"/>
  </r>
  <r>
    <x v="1972"/>
    <s v="2024-01-24 04:00:24"/>
    <x v="3"/>
    <s v="2024-02-01 21:30:24"/>
    <n v="209.5"/>
    <n v="8.6999999999999993"/>
    <s v="Software Installation"/>
    <s v="VPN Client"/>
    <x v="0"/>
    <n v="240"/>
    <x v="1"/>
    <s v="Phone"/>
    <s v="Tier 1"/>
    <s v="TECH-2"/>
    <s v="Mid-level"/>
    <x v="0"/>
    <s v="No"/>
    <n v="1"/>
    <s v="No"/>
    <n v="8"/>
    <n v="1"/>
    <n v="5.2"/>
    <s v="No"/>
    <s v="Poor"/>
    <s v="Yes"/>
    <s v="HR"/>
    <s v="Friday"/>
    <s v="Morning"/>
  </r>
  <r>
    <x v="1973"/>
    <s v="2024-06-10 08:37:10"/>
    <x v="10"/>
    <s v="2024-06-24 07:01:10"/>
    <n v="334.4"/>
    <n v="13.9"/>
    <s v="Password Reset"/>
    <s v="Account Unlock"/>
    <x v="2"/>
    <n v="360"/>
    <x v="1"/>
    <s v="Phone"/>
    <s v="Tier 1"/>
    <s v="TECH-23"/>
    <s v="Junior"/>
    <x v="1"/>
    <s v="No"/>
    <n v="0"/>
    <s v="No"/>
    <n v="7"/>
    <n v="2.2000000000000002"/>
    <n v="8.1"/>
    <s v="No"/>
    <s v="Fair"/>
    <s v="Yes"/>
    <s v="Executive"/>
    <s v="Wednesday"/>
    <s v="Morning"/>
  </r>
  <r>
    <x v="1974"/>
    <s v="2024-04-05 04:36:30"/>
    <x v="11"/>
    <s v="2024-04-21 13:30:30"/>
    <n v="392.9"/>
    <n v="16.399999999999999"/>
    <s v="Email/Calendar"/>
    <s v="Mailbox Full"/>
    <x v="2"/>
    <n v="360"/>
    <x v="0"/>
    <s v="Walk-in"/>
    <s v="Tier 1"/>
    <s v="TECH-10"/>
    <s v="Junior"/>
    <x v="1"/>
    <s v="No"/>
    <n v="0"/>
    <s v="No"/>
    <n v="7"/>
    <n v="1.6"/>
    <n v="25.7"/>
    <s v="Yes"/>
    <s v="Good"/>
    <s v="Yes"/>
    <s v="HR"/>
    <s v="Thursday"/>
    <s v="Afternoon"/>
  </r>
  <r>
    <x v="1975"/>
    <s v="2024-07-14 17:05:16"/>
    <x v="4"/>
    <s v="2024-07-22 01:23:16"/>
    <n v="200.3"/>
    <n v="8.3000000000000007"/>
    <s v="Application Errors"/>
    <s v="Performance"/>
    <x v="0"/>
    <n v="240"/>
    <x v="1"/>
    <s v="Phone"/>
    <s v="Tier 2"/>
    <s v="TECH-20"/>
    <s v="Mid-level"/>
    <x v="0"/>
    <s v="Yes"/>
    <n v="1"/>
    <s v="No"/>
    <n v="5"/>
    <n v="2.2000000000000002"/>
    <n v="0.1"/>
    <s v="Yes"/>
    <s v="Good"/>
    <s v="Yes"/>
    <s v="HR"/>
    <s v="Tuesday"/>
    <s v="Afternoon"/>
  </r>
  <r>
    <x v="1976"/>
    <s v="2024-06-19 18:36:41"/>
    <x v="10"/>
    <s v="2024-06-21 08:24:41"/>
    <n v="37.799999999999997"/>
    <n v="1.6"/>
    <s v="Hardware Issues"/>
    <s v="Monitor"/>
    <x v="3"/>
    <n v="48"/>
    <x v="1"/>
    <s v="Phone"/>
    <s v="Tier 2"/>
    <s v="TECH-13"/>
    <s v="Senior"/>
    <x v="0"/>
    <s v="Yes"/>
    <n v="1"/>
    <s v="No"/>
    <n v="9"/>
    <n v="0.9"/>
    <n v="26.3"/>
    <s v="No"/>
    <s v="Poor"/>
    <s v="No"/>
    <s v="Legal"/>
    <s v="Monday"/>
    <s v="Morning"/>
  </r>
  <r>
    <x v="1977"/>
    <s v="2024-08-02 06:46:35"/>
    <x v="1"/>
    <s v="2024-08-12 01:28:35"/>
    <n v="258.7"/>
    <n v="10.8"/>
    <s v="Hardware Issues"/>
    <s v="Keyboard/Mouse"/>
    <x v="2"/>
    <n v="360"/>
    <x v="1"/>
    <s v="Email"/>
    <s v="Tier 2"/>
    <s v="TECH-21"/>
    <s v="Junior"/>
    <x v="0"/>
    <s v="Yes"/>
    <n v="4"/>
    <s v="Yes"/>
    <n v="8"/>
    <n v="2.4"/>
    <n v="32.1"/>
    <s v="Yes"/>
    <s v="Fair"/>
    <s v="Yes"/>
    <s v="Operations"/>
    <s v="Monday"/>
    <s v="Evening"/>
  </r>
  <r>
    <x v="1978"/>
    <s v="2024-07-25 21:31:09"/>
    <x v="4"/>
    <s v="2024-08-01 20:43:09"/>
    <n v="167.2"/>
    <n v="7"/>
    <s v="Application Errors"/>
    <s v="Login Issues"/>
    <x v="0"/>
    <n v="240"/>
    <x v="1"/>
    <s v="Walk-in"/>
    <s v="Tier 1"/>
    <s v="TECH-4"/>
    <s v="Senior"/>
    <x v="0"/>
    <s v="No"/>
    <n v="1"/>
    <s v="Yes"/>
    <n v="5"/>
    <n v="5.3"/>
    <n v="14"/>
    <s v="Yes"/>
    <s v="Fair"/>
    <s v="Yes"/>
    <s v="Marketing"/>
    <s v="Tuesday"/>
    <s v="Afternoon"/>
  </r>
  <r>
    <x v="1979"/>
    <s v="2024-04-13 04:44:56"/>
    <x v="11"/>
    <s v="2024-04-16 20:20:56"/>
    <n v="87.6"/>
    <n v="3.7"/>
    <s v="Access Requests"/>
    <s v="VPN Access"/>
    <x v="1"/>
    <n v="120"/>
    <x v="1"/>
    <s v="Phone"/>
    <s v="Tier 1"/>
    <s v="TECH-10"/>
    <s v="Junior"/>
    <x v="0"/>
    <s v="No"/>
    <n v="1"/>
    <s v="Yes"/>
    <n v="10"/>
    <n v="2.2999999999999998"/>
    <n v="13.2"/>
    <s v="Yes"/>
    <s v="Poor"/>
    <s v="Yes"/>
    <s v="HR"/>
    <s v="Monday"/>
    <s v="Morning"/>
  </r>
  <r>
    <x v="1980"/>
    <s v="2024-02-22 02:04:02"/>
    <x v="6"/>
    <s v="2024-03-01 20:40:02"/>
    <n v="210.6"/>
    <n v="8.8000000000000007"/>
    <s v="Access Requests"/>
    <s v="VPN Access"/>
    <x v="0"/>
    <n v="240"/>
    <x v="1"/>
    <s v="Phone"/>
    <s v="Tier 1"/>
    <s v="TECH-24"/>
    <s v="Junior"/>
    <x v="0"/>
    <s v="No"/>
    <n v="1"/>
    <s v="No"/>
    <n v="9"/>
    <n v="4.5"/>
    <n v="19.100000000000001"/>
    <s v="Yes"/>
    <s v="Good"/>
    <s v="Yes"/>
    <s v="Finance"/>
    <s v="Friday"/>
    <s v="Morning"/>
  </r>
  <r>
    <x v="1981"/>
    <s v="2024-08-06 19:03:33"/>
    <x v="1"/>
    <s v="2024-08-14 11:27:33"/>
    <n v="184.4"/>
    <n v="7.7"/>
    <s v="Hardware Issues"/>
    <s v="Printer"/>
    <x v="0"/>
    <n v="240"/>
    <x v="1"/>
    <s v="Email"/>
    <s v="Tier 1"/>
    <s v="TECH-11"/>
    <s v="Junior"/>
    <x v="1"/>
    <s v="No"/>
    <n v="0"/>
    <s v="Yes"/>
    <n v="9"/>
    <n v="3.8"/>
    <n v="3.3"/>
    <s v="Yes"/>
    <s v="Fair"/>
    <s v="Yes"/>
    <s v="Operations"/>
    <s v="Tuesday"/>
    <s v="Afternoon"/>
  </r>
  <r>
    <x v="1982"/>
    <s v="2024-11-17 22:28:44"/>
    <x v="7"/>
    <s v="2024-11-29 13:04:44"/>
    <n v="278.60000000000002"/>
    <n v="11.6"/>
    <s v="Password Reset"/>
    <s v="Application Password"/>
    <x v="2"/>
    <n v="360"/>
    <x v="1"/>
    <s v="Chat"/>
    <s v="Tier 1"/>
    <s v="TECH-9"/>
    <s v="Junior"/>
    <x v="1"/>
    <s v="No"/>
    <n v="0"/>
    <s v="No"/>
    <n v="6"/>
    <n v="4.2"/>
    <n v="16.2"/>
    <s v="Yes"/>
    <s v="Fair"/>
    <s v="Yes"/>
    <s v="Finance"/>
    <s v="Tuesday"/>
    <s v="Afternoon"/>
  </r>
  <r>
    <x v="1983"/>
    <s v="2024-07-16 17:46:24"/>
    <x v="4"/>
    <s v="2024-07-19 04:34:24"/>
    <n v="58.8"/>
    <n v="2.4"/>
    <s v="Network Connectivity"/>
    <s v="Ethernet"/>
    <x v="3"/>
    <n v="48"/>
    <x v="0"/>
    <s v="Phone"/>
    <s v="Tier 1"/>
    <s v="TECH-12"/>
    <s v="Senior"/>
    <x v="0"/>
    <s v="No"/>
    <n v="1"/>
    <s v="No"/>
    <n v="5"/>
    <n v="4.5999999999999996"/>
    <n v="23.8"/>
    <s v="No"/>
    <s v="Fair"/>
    <s v="No"/>
    <s v="Finance"/>
    <s v="Friday"/>
    <s v="Morning"/>
  </r>
  <r>
    <x v="1984"/>
    <s v="2024-09-05 11:28:45"/>
    <x v="9"/>
    <s v="2024-09-14 20:46:45"/>
    <n v="225.3"/>
    <n v="9.4"/>
    <s v="Password Reset"/>
    <s v="Account Unlock"/>
    <x v="2"/>
    <n v="360"/>
    <x v="1"/>
    <s v="Phone"/>
    <s v="Tier 1"/>
    <s v="TECH-25"/>
    <s v="Mid-level"/>
    <x v="1"/>
    <s v="No"/>
    <n v="0"/>
    <s v="No"/>
    <n v="10"/>
    <n v="0.1"/>
    <n v="20.8"/>
    <s v="Yes"/>
    <s v="Fair"/>
    <s v="Yes"/>
    <s v="Finance"/>
    <s v="Monday"/>
    <s v="Morning"/>
  </r>
  <r>
    <x v="1985"/>
    <s v="2024-11-02 11:28:50"/>
    <x v="7"/>
    <s v="2024-11-09 01:52:50"/>
    <n v="182.4"/>
    <n v="7.6"/>
    <s v="Software Installation"/>
    <s v="Adobe Suite"/>
    <x v="0"/>
    <n v="240"/>
    <x v="1"/>
    <s v="Chat"/>
    <s v="Tier 1"/>
    <s v="TECH-19"/>
    <s v="Mid-level"/>
    <x v="0"/>
    <s v="No"/>
    <n v="1"/>
    <s v="No"/>
    <n v="6"/>
    <n v="3.1"/>
    <n v="38.700000000000003"/>
    <s v="Yes"/>
    <s v="Poor"/>
    <s v="No"/>
    <s v="Marketing"/>
    <s v="Thursday"/>
    <s v="Afternoon"/>
  </r>
  <r>
    <x v="1986"/>
    <s v="2024-12-02 23:41:14"/>
    <x v="0"/>
    <s v="2024-12-10 11:23:14"/>
    <n v="179.7"/>
    <n v="7.5"/>
    <s v="Email/Calendar"/>
    <s v="Calendar Sync"/>
    <x v="0"/>
    <n v="240"/>
    <x v="1"/>
    <s v="Chat"/>
    <s v="Tier 1"/>
    <s v="TECH-11"/>
    <s v="Mid-level"/>
    <x v="0"/>
    <s v="No"/>
    <n v="1"/>
    <s v="No"/>
    <n v="8"/>
    <n v="1"/>
    <n v="33.9"/>
    <s v="Yes"/>
    <s v="Poor"/>
    <s v="No"/>
    <s v="Finance"/>
    <s v="Monday"/>
    <s v="Morning"/>
  </r>
  <r>
    <x v="1987"/>
    <s v="2024-07-22 14:01:58"/>
    <x v="4"/>
    <s v="2024-07-25 21:07:58"/>
    <n v="79.099999999999994"/>
    <n v="3.3"/>
    <s v="Access Requests"/>
    <s v="Application Access"/>
    <x v="1"/>
    <n v="120"/>
    <x v="1"/>
    <s v="Portal"/>
    <s v="Tier 1"/>
    <s v="TECH-21"/>
    <s v="Mid-level"/>
    <x v="0"/>
    <s v="No"/>
    <n v="1"/>
    <s v="No"/>
    <n v="8"/>
    <n v="2.6"/>
    <n v="23.2"/>
    <s v="No"/>
    <s v="Good"/>
    <s v="Yes"/>
    <s v="IT"/>
    <s v="Tuesday"/>
    <s v="Afternoon"/>
  </r>
  <r>
    <x v="1988"/>
    <s v="2024-10-07 10:51:49"/>
    <x v="2"/>
    <s v="2024-10-22 09:27:49"/>
    <n v="358.6"/>
    <n v="14.9"/>
    <s v="Software Installation"/>
    <s v="MS Office"/>
    <x v="0"/>
    <n v="240"/>
    <x v="0"/>
    <s v="Phone"/>
    <s v="Tier 1"/>
    <s v="TECH-5"/>
    <s v="Mid-level"/>
    <x v="0"/>
    <s v="No"/>
    <n v="1"/>
    <s v="Yes"/>
    <n v="6"/>
    <n v="5.3"/>
    <n v="29.9"/>
    <s v="Yes"/>
    <s v="Poor"/>
    <s v="Yes"/>
    <s v="HR"/>
    <s v="Wednesday"/>
    <s v="Evening"/>
  </r>
  <r>
    <x v="1989"/>
    <s v="2024-03-20 10:08:23"/>
    <x v="5"/>
    <s v="2024-04-10 04:56:23"/>
    <n v="497.8"/>
    <n v="20.7"/>
    <s v="Software Installation"/>
    <s v="MS Office"/>
    <x v="2"/>
    <n v="360"/>
    <x v="0"/>
    <s v="Email"/>
    <s v="Tier 1"/>
    <s v="TECH-6"/>
    <s v="Mid-level"/>
    <x v="0"/>
    <s v="No"/>
    <n v="1"/>
    <s v="No"/>
    <n v="6"/>
    <n v="1.7"/>
    <n v="13.1"/>
    <s v="No"/>
    <s v="Excellent"/>
    <s v="Yes"/>
    <s v="Marketing"/>
    <s v="Tuesday"/>
    <s v="Afternoon"/>
  </r>
  <r>
    <x v="1990"/>
    <s v="2024-10-26 11:32:58"/>
    <x v="2"/>
    <s v="2024-11-02 05:20:58"/>
    <n v="162.80000000000001"/>
    <n v="6.8"/>
    <s v="Software Installation"/>
    <s v="Adobe Suite"/>
    <x v="0"/>
    <n v="240"/>
    <x v="1"/>
    <s v="Email"/>
    <s v="Tier 1"/>
    <s v="TECH-20"/>
    <s v="Mid-level"/>
    <x v="0"/>
    <s v="No"/>
    <n v="1"/>
    <s v="No"/>
    <n v="8"/>
    <n v="1.6"/>
    <n v="18.600000000000001"/>
    <s v="Yes"/>
    <s v="Fair"/>
    <s v="No"/>
    <s v="Operations"/>
    <s v="Wednesday"/>
    <s v="Morning"/>
  </r>
  <r>
    <x v="1991"/>
    <s v="2024-03-07 02:20:17"/>
    <x v="5"/>
    <s v="2024-03-28 21:14:17"/>
    <n v="522.9"/>
    <n v="21.8"/>
    <s v="Other"/>
    <s v="Documentation"/>
    <x v="2"/>
    <n v="360"/>
    <x v="0"/>
    <s v="Portal"/>
    <s v="Tier 2"/>
    <s v="TECH-22"/>
    <s v="Junior"/>
    <x v="0"/>
    <s v="Yes"/>
    <n v="2"/>
    <s v="No"/>
    <n v="8"/>
    <n v="3.6"/>
    <n v="7.7"/>
    <s v="Yes"/>
    <s v="Fair"/>
    <s v="No"/>
    <s v="Finance"/>
    <s v="Friday"/>
    <s v="Morning"/>
  </r>
  <r>
    <x v="1992"/>
    <s v="2024-06-15 21:26:26"/>
    <x v="10"/>
    <s v="2024-06-29 12:50:26"/>
    <n v="327.39999999999998"/>
    <n v="13.6"/>
    <s v="Software Installation"/>
    <s v="Business Apps"/>
    <x v="2"/>
    <n v="360"/>
    <x v="1"/>
    <s v="Portal"/>
    <s v="Tier 1"/>
    <s v="TECH-24"/>
    <s v="Mid-level"/>
    <x v="0"/>
    <s v="No"/>
    <n v="1"/>
    <s v="No"/>
    <n v="7"/>
    <n v="2.5"/>
    <n v="29.4"/>
    <s v="Yes"/>
    <s v="Fair"/>
    <s v="No"/>
    <s v="Marketing"/>
    <s v="Wednesday"/>
    <s v="Afternoon"/>
  </r>
  <r>
    <x v="1993"/>
    <s v="2024-07-19 03:14:35"/>
    <x v="4"/>
    <s v="2024-07-26 12:50:35"/>
    <n v="177.6"/>
    <n v="7.4"/>
    <s v="Access Requests"/>
    <s v="File Share"/>
    <x v="0"/>
    <n v="240"/>
    <x v="1"/>
    <s v="Phone"/>
    <s v="Tier 1"/>
    <s v="TECH-22"/>
    <s v="Junior"/>
    <x v="0"/>
    <s v="No"/>
    <n v="1"/>
    <s v="No"/>
    <n v="7"/>
    <n v="5.6"/>
    <n v="24.9"/>
    <s v="Yes"/>
    <s v="Good"/>
    <s v="Yes"/>
    <s v="Operations"/>
    <s v="Tuesday"/>
    <s v="Morning"/>
  </r>
  <r>
    <x v="1994"/>
    <s v="2024-11-26 04:06:21"/>
    <x v="7"/>
    <s v="2024-12-15 17:36:21"/>
    <n v="469.5"/>
    <n v="19.600000000000001"/>
    <s v="Password Reset"/>
    <s v="Email Password"/>
    <x v="2"/>
    <n v="360"/>
    <x v="0"/>
    <s v="Email"/>
    <s v="Tier 1"/>
    <s v="TECH-2"/>
    <s v="Junior"/>
    <x v="1"/>
    <s v="No"/>
    <n v="0"/>
    <s v="No"/>
    <n v="6"/>
    <n v="4.4000000000000004"/>
    <n v="4.4000000000000004"/>
    <s v="No"/>
    <s v="Good"/>
    <s v="No"/>
    <s v="Executive"/>
    <s v="Wednesday"/>
    <s v="Afternoon"/>
  </r>
  <r>
    <x v="1995"/>
    <s v="2024-02-18 00:51:11"/>
    <x v="6"/>
    <s v="2024-02-23 18:21:11"/>
    <n v="113.5"/>
    <n v="4.7"/>
    <s v="Access Requests"/>
    <s v="Admin Rights"/>
    <x v="1"/>
    <n v="120"/>
    <x v="1"/>
    <s v="Portal"/>
    <s v="Tier 1"/>
    <s v="TECH-16"/>
    <s v="Mid-level"/>
    <x v="1"/>
    <s v="No"/>
    <n v="0"/>
    <s v="No"/>
    <n v="10"/>
    <n v="3.3"/>
    <n v="32"/>
    <s v="Yes"/>
    <s v="Poor"/>
    <s v="Yes"/>
    <s v="Sales"/>
    <s v="Monday"/>
    <s v="Afternoon"/>
  </r>
  <r>
    <x v="1996"/>
    <s v="2024-01-19 21:25:28"/>
    <x v="3"/>
    <s v="2024-02-03 02:13:28"/>
    <n v="340.8"/>
    <n v="14.2"/>
    <s v="Software Installation"/>
    <s v="VPN Client"/>
    <x v="2"/>
    <n v="360"/>
    <x v="1"/>
    <s v="Portal"/>
    <s v="Tier 2"/>
    <s v="TECH-17"/>
    <s v="Senior"/>
    <x v="0"/>
    <s v="Yes"/>
    <n v="4"/>
    <s v="No"/>
    <n v="9"/>
    <n v="3.9"/>
    <n v="24.8"/>
    <s v="No"/>
    <s v="Fair"/>
    <s v="Yes"/>
    <s v="Finance"/>
    <s v="Thursday"/>
    <s v="Afternoon"/>
  </r>
  <r>
    <x v="1997"/>
    <s v="2024-09-19 21:10:47"/>
    <x v="9"/>
    <s v="2024-09-26 16:22:47"/>
    <n v="163.19999999999999"/>
    <n v="6.8"/>
    <s v="Hardware Issues"/>
    <s v="Laptop"/>
    <x v="0"/>
    <n v="240"/>
    <x v="1"/>
    <s v="Email"/>
    <s v="Tier 1"/>
    <s v="TECH-3"/>
    <s v="Junior"/>
    <x v="0"/>
    <s v="No"/>
    <n v="1"/>
    <s v="No"/>
    <n v="9"/>
    <n v="1.8"/>
    <n v="24"/>
    <s v="Yes"/>
    <s v="Poor"/>
    <s v="Yes"/>
    <s v="Marketing"/>
    <s v="Tuesday"/>
    <s v="Afternoon"/>
  </r>
  <r>
    <x v="1998"/>
    <s v="2024-02-16 02:25:30"/>
    <x v="6"/>
    <s v="2024-02-20 07:07:30"/>
    <n v="100.7"/>
    <n v="4.2"/>
    <s v="Network Connectivity"/>
    <s v="WiFi Issues"/>
    <x v="1"/>
    <n v="120"/>
    <x v="1"/>
    <s v="Portal"/>
    <s v="Tier 2"/>
    <s v="TECH-2"/>
    <s v="Mid-level"/>
    <x v="0"/>
    <s v="Yes"/>
    <n v="1"/>
    <s v="No"/>
    <n v="5"/>
    <n v="3.7"/>
    <n v="29.7"/>
    <s v="Yes"/>
    <s v="Fair"/>
    <s v="No"/>
    <s v="Operations"/>
    <s v="Thursday"/>
    <s v="Afternoon"/>
  </r>
  <r>
    <x v="1999"/>
    <s v="2024-03-22 11:18:43"/>
    <x v="5"/>
    <s v="2024-03-23 20:24:43"/>
    <n v="33.1"/>
    <n v="1.4"/>
    <s v="Network Connectivity"/>
    <s v="VPN Connection"/>
    <x v="3"/>
    <n v="48"/>
    <x v="1"/>
    <s v="Email"/>
    <s v="Tier 2"/>
    <s v="TECH-9"/>
    <s v="Senior"/>
    <x v="0"/>
    <s v="Yes"/>
    <n v="4"/>
    <s v="No"/>
    <n v="8"/>
    <n v="4.5"/>
    <n v="6.5"/>
    <s v="Yes"/>
    <s v="Fair"/>
    <s v="No"/>
    <s v="Marketing"/>
    <s v="Thursday"/>
    <s v="Afternoon"/>
  </r>
  <r>
    <x v="2000"/>
    <s v="2024-07-04 08:24:16"/>
    <x v="4"/>
    <s v="2024-07-13 07:06:16"/>
    <n v="214.7"/>
    <n v="8.9"/>
    <s v="Application Errors"/>
    <s v="Performance"/>
    <x v="0"/>
    <n v="240"/>
    <x v="1"/>
    <s v="Phone"/>
    <s v="Tier 1"/>
    <s v="TECH-23"/>
    <s v="Mid-level"/>
    <x v="0"/>
    <s v="No"/>
    <n v="1"/>
    <s v="No"/>
    <n v="7"/>
    <n v="1.1000000000000001"/>
    <n v="14"/>
    <s v="Yes"/>
    <s v="Excellent"/>
    <s v="No"/>
    <s v="Operations"/>
    <s v="Friday"/>
    <s v="Afternoon"/>
  </r>
  <r>
    <x v="2001"/>
    <s v="2024-10-17 16:48:05"/>
    <x v="2"/>
    <s v="2024-10-27 18:24:05"/>
    <n v="242.6"/>
    <n v="10.1"/>
    <s v="Password Reset"/>
    <s v="Email Password"/>
    <x v="2"/>
    <n v="360"/>
    <x v="1"/>
    <s v="Portal"/>
    <s v="Tier 1"/>
    <s v="TECH-25"/>
    <s v="Mid-level"/>
    <x v="1"/>
    <s v="No"/>
    <n v="0"/>
    <s v="No"/>
    <n v="9"/>
    <n v="2.6"/>
    <n v="17.600000000000001"/>
    <s v="Yes"/>
    <s v="Fair"/>
    <s v="Yes"/>
    <s v="Sales"/>
    <s v="Friday"/>
    <s v="Afternoon"/>
  </r>
  <r>
    <x v="2002"/>
    <s v="2024-05-23 14:48:58"/>
    <x v="8"/>
    <s v="2024-06-16 19:12:58"/>
    <n v="580.4"/>
    <n v="24.2"/>
    <s v="Other"/>
    <s v="Training Request"/>
    <x v="0"/>
    <n v="240"/>
    <x v="0"/>
    <s v="Email"/>
    <s v="Tier 1"/>
    <s v="TECH-12"/>
    <s v="Junior"/>
    <x v="0"/>
    <s v="No"/>
    <n v="1"/>
    <s v="No"/>
    <n v="6"/>
    <n v="1.9"/>
    <n v="16.600000000000001"/>
    <s v="Yes"/>
    <s v="Fair"/>
    <s v="No"/>
    <s v="Sales"/>
    <s v="Friday"/>
    <s v="Morning"/>
  </r>
  <r>
    <x v="2003"/>
    <s v="2024-01-15 02:06:27"/>
    <x v="3"/>
    <s v="2024-01-24 03:12:27"/>
    <n v="217.1"/>
    <n v="9"/>
    <s v="Software Installation"/>
    <s v="MS Office"/>
    <x v="0"/>
    <n v="240"/>
    <x v="1"/>
    <s v="Email"/>
    <s v="Tier 1"/>
    <s v="TECH-15"/>
    <s v="Junior"/>
    <x v="0"/>
    <s v="No"/>
    <n v="1"/>
    <s v="No"/>
    <n v="8"/>
    <n v="0.6"/>
    <n v="12.6"/>
    <s v="Yes"/>
    <s v="Fair"/>
    <s v="Yes"/>
    <s v="HR"/>
    <s v="Wednesday"/>
    <s v="Afternoon"/>
  </r>
  <r>
    <x v="2004"/>
    <s v="2024-02-12 19:55:03"/>
    <x v="6"/>
    <s v="2024-02-21 05:49:03"/>
    <n v="201.9"/>
    <n v="8.4"/>
    <s v="Email/Calendar"/>
    <s v="Cannot Send/Receive"/>
    <x v="0"/>
    <n v="240"/>
    <x v="1"/>
    <s v="Phone"/>
    <s v="Tier 1"/>
    <s v="TECH-6"/>
    <s v="Mid-level"/>
    <x v="1"/>
    <s v="No"/>
    <n v="0"/>
    <s v="No"/>
    <n v="9"/>
    <n v="2.4"/>
    <n v="21.2"/>
    <s v="No"/>
    <s v="Good"/>
    <s v="No"/>
    <s v="Finance"/>
    <s v="Wednesday"/>
    <s v="Morning"/>
  </r>
  <r>
    <x v="2005"/>
    <s v="2024-08-12 08:37:33"/>
    <x v="1"/>
    <s v="2024-08-15 16:37:33"/>
    <n v="80"/>
    <n v="3.3"/>
    <s v="Network Connectivity"/>
    <s v="Ethernet"/>
    <x v="1"/>
    <n v="120"/>
    <x v="1"/>
    <s v="Email"/>
    <s v="Tier 1"/>
    <s v="TECH-4"/>
    <s v="Senior"/>
    <x v="0"/>
    <s v="No"/>
    <n v="1"/>
    <s v="No"/>
    <n v="8"/>
    <n v="6.3"/>
    <n v="28.9"/>
    <s v="Yes"/>
    <s v="Good"/>
    <s v="Yes"/>
    <s v="IT"/>
    <s v="Thursday"/>
    <s v="Afternoon"/>
  </r>
  <r>
    <x v="2006"/>
    <s v="2024-05-26 13:35:40"/>
    <x v="8"/>
    <s v="2024-06-03 08:05:40"/>
    <n v="186.5"/>
    <n v="7.8"/>
    <s v="Email/Calendar"/>
    <s v="Calendar Sync"/>
    <x v="0"/>
    <n v="240"/>
    <x v="1"/>
    <s v="Walk-in"/>
    <s v="Tier 2"/>
    <s v="TECH-1"/>
    <s v="Mid-level"/>
    <x v="0"/>
    <s v="Yes"/>
    <n v="1"/>
    <s v="Yes"/>
    <n v="7"/>
    <n v="2.8"/>
    <n v="11.7"/>
    <s v="Yes"/>
    <s v="Good"/>
    <s v="No"/>
    <s v="Legal"/>
    <s v="Wednesday"/>
    <s v="Afternoon"/>
  </r>
  <r>
    <x v="2007"/>
    <s v="2024-07-05 00:47:29"/>
    <x v="4"/>
    <s v="2024-07-10 05:35:29"/>
    <n v="100.8"/>
    <n v="4.2"/>
    <s v="Application Errors"/>
    <s v="Performance"/>
    <x v="1"/>
    <n v="120"/>
    <x v="1"/>
    <s v="Phone"/>
    <s v="Tier 2"/>
    <s v="TECH-9"/>
    <s v="Mid-level"/>
    <x v="0"/>
    <s v="Yes"/>
    <n v="2"/>
    <s v="No"/>
    <n v="7"/>
    <n v="3.1"/>
    <n v="20.7"/>
    <s v="No"/>
    <s v="Fair"/>
    <s v="Yes"/>
    <s v="HR"/>
    <s v="Tuesday"/>
    <s v="Morning"/>
  </r>
  <r>
    <x v="2008"/>
    <s v="2024-12-10 20:25:31"/>
    <x v="0"/>
    <s v="2025-01-22 23:31:31"/>
    <n v="1035.0999999999999"/>
    <n v="43.1"/>
    <s v="Password Reset"/>
    <s v="Application Password"/>
    <x v="2"/>
    <n v="360"/>
    <x v="0"/>
    <s v="Portal"/>
    <s v="Tier 1"/>
    <s v="TECH-4"/>
    <s v="Mid-level"/>
    <x v="0"/>
    <s v="No"/>
    <n v="1"/>
    <s v="No"/>
    <n v="5"/>
    <n v="1.3"/>
    <n v="9.9"/>
    <s v="Yes"/>
    <s v="Good"/>
    <s v="No"/>
    <s v="IT"/>
    <s v="Wednesday"/>
    <s v="Afternoon"/>
  </r>
  <r>
    <x v="2009"/>
    <s v="2024-08-01 12:08:57"/>
    <x v="1"/>
    <s v="2024-08-13 06:20:57"/>
    <n v="282.2"/>
    <n v="11.8"/>
    <s v="Other"/>
    <s v="Training Request"/>
    <x v="2"/>
    <n v="360"/>
    <x v="1"/>
    <s v="Walk-in"/>
    <s v="Tier 2"/>
    <s v="TECH-20"/>
    <s v="Mid-level"/>
    <x v="0"/>
    <s v="Yes"/>
    <n v="4"/>
    <s v="No"/>
    <n v="7"/>
    <n v="1.9"/>
    <n v="25.2"/>
    <s v="No"/>
    <s v="Fair"/>
    <s v="No"/>
    <s v="Executive"/>
    <s v="Tuesday"/>
    <s v="Morning"/>
  </r>
  <r>
    <x v="2010"/>
    <s v="2024-08-29 20:26:55"/>
    <x v="1"/>
    <s v="2024-09-07 07:56:55"/>
    <n v="203.5"/>
    <n v="8.5"/>
    <s v="Access Requests"/>
    <s v="VPN Access"/>
    <x v="0"/>
    <n v="240"/>
    <x v="1"/>
    <s v="Email"/>
    <s v="Tier 1"/>
    <s v="TECH-7"/>
    <s v="Senior"/>
    <x v="1"/>
    <s v="No"/>
    <n v="0"/>
    <s v="No"/>
    <n v="9"/>
    <n v="4.5999999999999996"/>
    <n v="33.5"/>
    <s v="No"/>
    <s v="Excellent"/>
    <s v="Yes"/>
    <s v="Legal"/>
    <s v="Wednesday"/>
    <s v="Afternoon"/>
  </r>
  <r>
    <x v="2011"/>
    <s v="2024-10-23 00:38:49"/>
    <x v="2"/>
    <s v="2024-11-02 06:38:49"/>
    <n v="223"/>
    <n v="9.3000000000000007"/>
    <s v="Access Requests"/>
    <s v="Admin Rights"/>
    <x v="0"/>
    <n v="240"/>
    <x v="1"/>
    <s v="Phone"/>
    <s v="Tier 1"/>
    <s v="TECH-9"/>
    <s v="Mid-level"/>
    <x v="0"/>
    <s v="No"/>
    <n v="1"/>
    <s v="No"/>
    <n v="10"/>
    <n v="2.2999999999999998"/>
    <n v="31.9"/>
    <s v="Yes"/>
    <s v="Poor"/>
    <s v="Yes"/>
    <s v="Executive"/>
    <s v="Monday"/>
    <s v="Morning"/>
  </r>
  <r>
    <x v="2012"/>
    <s v="2024-11-19 23:25:28"/>
    <x v="7"/>
    <s v="2024-11-23 16:43:28"/>
    <n v="89.3"/>
    <n v="3.7"/>
    <s v="Hardware Issues"/>
    <s v="Keyboard/Mouse"/>
    <x v="1"/>
    <n v="120"/>
    <x v="1"/>
    <s v="Portal"/>
    <s v="Tier 1"/>
    <s v="TECH-18"/>
    <s v="Senior"/>
    <x v="0"/>
    <s v="No"/>
    <n v="1"/>
    <s v="Yes"/>
    <n v="9"/>
    <n v="7.8"/>
    <n v="22.5"/>
    <s v="Yes"/>
    <s v="Good"/>
    <s v="Yes"/>
    <s v="IT"/>
    <s v="Monday"/>
    <s v="Morning"/>
  </r>
  <r>
    <x v="2013"/>
    <s v="2024-12-11 12:34:34"/>
    <x v="0"/>
    <s v="2024-12-23 06:58:34"/>
    <n v="282.39999999999998"/>
    <n v="11.8"/>
    <s v="Password Reset"/>
    <s v="Application Password"/>
    <x v="2"/>
    <n v="360"/>
    <x v="1"/>
    <s v="Phone"/>
    <s v="Tier 1"/>
    <s v="TECH-14"/>
    <s v="Senior"/>
    <x v="1"/>
    <s v="No"/>
    <n v="0"/>
    <s v="Yes"/>
    <n v="10"/>
    <n v="4.9000000000000004"/>
    <n v="10.8"/>
    <s v="Yes"/>
    <s v="Poor"/>
    <s v="Yes"/>
    <s v="Operations"/>
    <s v="Tuesday"/>
    <s v="Afternoon"/>
  </r>
  <r>
    <x v="2014"/>
    <s v="2024-12-02 02:58:35"/>
    <x v="0"/>
    <s v="2024-12-14 17:34:35"/>
    <n v="302.60000000000002"/>
    <n v="12.6"/>
    <s v="Network Connectivity"/>
    <s v="WiFi Issues"/>
    <x v="0"/>
    <n v="240"/>
    <x v="0"/>
    <s v="Phone"/>
    <s v="Tier 1"/>
    <s v="TECH-2"/>
    <s v="Mid-level"/>
    <x v="0"/>
    <s v="No"/>
    <n v="1"/>
    <s v="No"/>
    <n v="4"/>
    <n v="0.7"/>
    <n v="11"/>
    <s v="Yes"/>
    <s v="Good"/>
    <s v="Yes"/>
    <s v="Finance"/>
    <s v="Wednesday"/>
    <s v="Afternoon"/>
  </r>
  <r>
    <x v="2015"/>
    <s v="2024-01-09 10:23:53"/>
    <x v="3"/>
    <s v="2024-01-20 22:41:53"/>
    <n v="276.3"/>
    <n v="11.5"/>
    <s v="Password Reset"/>
    <s v="Application Password"/>
    <x v="2"/>
    <n v="360"/>
    <x v="1"/>
    <s v="Email"/>
    <s v="Tier 1"/>
    <s v="TECH-7"/>
    <s v="Senior"/>
    <x v="1"/>
    <s v="No"/>
    <n v="0"/>
    <s v="No"/>
    <n v="10"/>
    <n v="1.4"/>
    <n v="11.6"/>
    <s v="Yes"/>
    <s v="Excellent"/>
    <s v="Yes"/>
    <s v="HR"/>
    <s v="Tuesday"/>
    <s v="Morning"/>
  </r>
  <r>
    <x v="2016"/>
    <s v="2024-08-21 22:16:07"/>
    <x v="1"/>
    <s v="2024-08-30 12:28:07"/>
    <n v="206.2"/>
    <n v="8.6"/>
    <s v="Software Installation"/>
    <s v="MS Office"/>
    <x v="0"/>
    <n v="240"/>
    <x v="1"/>
    <s v="Email"/>
    <s v="Tier 2"/>
    <s v="TECH-10"/>
    <s v="Mid-level"/>
    <x v="0"/>
    <s v="Yes"/>
    <n v="3"/>
    <s v="No"/>
    <n v="9"/>
    <n v="0.1"/>
    <n v="12.7"/>
    <s v="Yes"/>
    <s v="Fair"/>
    <s v="No"/>
    <s v="HR"/>
    <s v="Tuesday"/>
    <s v="Afternoon"/>
  </r>
  <r>
    <x v="2017"/>
    <s v="2024-02-20 07:12:58"/>
    <x v="6"/>
    <s v="2024-03-02 21:36:58"/>
    <n v="278.39999999999998"/>
    <n v="11.6"/>
    <s v="Password Reset"/>
    <s v="Email Password"/>
    <x v="2"/>
    <n v="360"/>
    <x v="1"/>
    <s v="Phone"/>
    <s v="Tier 1"/>
    <s v="TECH-11"/>
    <s v="Mid-level"/>
    <x v="1"/>
    <s v="No"/>
    <n v="0"/>
    <s v="No"/>
    <n v="9"/>
    <n v="4.5999999999999996"/>
    <n v="4.5"/>
    <s v="No"/>
    <s v="Good"/>
    <s v="Yes"/>
    <s v="Executive"/>
    <s v="Tuesday"/>
    <s v="Afternoon"/>
  </r>
  <r>
    <x v="2018"/>
    <s v="2024-05-05 01:00:50"/>
    <x v="8"/>
    <s v="2024-05-07 11:18:50"/>
    <n v="34.299999999999997"/>
    <n v="1.4"/>
    <s v="Password Reset"/>
    <s v="Application Password"/>
    <x v="3"/>
    <n v="48"/>
    <x v="1"/>
    <s v="Email"/>
    <s v="Tier 1"/>
    <s v="TECH-13"/>
    <s v="Mid-level"/>
    <x v="1"/>
    <s v="No"/>
    <n v="0"/>
    <s v="No"/>
    <n v="9"/>
    <n v="2.5"/>
    <n v="10"/>
    <s v="Yes"/>
    <s v="Good"/>
    <s v="Yes"/>
    <s v="HR"/>
    <s v="Thursday"/>
    <s v="Afternoon"/>
  </r>
  <r>
    <x v="2019"/>
    <s v="2024-01-19 01:09:01"/>
    <x v="3"/>
    <s v="2024-01-24 18:09:01"/>
    <n v="113"/>
    <n v="4.7"/>
    <s v="Hardware Issues"/>
    <s v="Desktop"/>
    <x v="1"/>
    <n v="120"/>
    <x v="1"/>
    <s v="Email"/>
    <s v="Tier 1"/>
    <s v="TECH-21"/>
    <s v="Mid-level"/>
    <x v="0"/>
    <s v="No"/>
    <n v="1"/>
    <s v="No"/>
    <n v="8"/>
    <n v="0.3"/>
    <n v="34.1"/>
    <s v="Yes"/>
    <s v="Fair"/>
    <s v="No"/>
    <s v="Marketing"/>
    <s v="Wednesday"/>
    <s v="Morning"/>
  </r>
  <r>
    <x v="2020"/>
    <s v="2024-12-20 05:02:56"/>
    <x v="0"/>
    <s v="2024-12-31 20:14:56"/>
    <n v="279.2"/>
    <n v="11.6"/>
    <s v="Access Requests"/>
    <s v="Admin Rights"/>
    <x v="0"/>
    <n v="240"/>
    <x v="0"/>
    <s v="Portal"/>
    <s v="Tier 1"/>
    <s v="TECH-2"/>
    <s v="Senior"/>
    <x v="0"/>
    <s v="No"/>
    <n v="1"/>
    <s v="No"/>
    <n v="5"/>
    <n v="0.5"/>
    <n v="20.7"/>
    <s v="Yes"/>
    <s v="Good"/>
    <s v="Yes"/>
    <s v="IT"/>
    <s v="Thursday"/>
    <s v="Afternoon"/>
  </r>
  <r>
    <x v="2021"/>
    <s v="2024-06-07 01:00:43"/>
    <x v="10"/>
    <s v="2024-06-16 12:48:43"/>
    <n v="203.8"/>
    <n v="8.5"/>
    <s v="Software Installation"/>
    <s v="Business Apps"/>
    <x v="0"/>
    <n v="240"/>
    <x v="1"/>
    <s v="Portal"/>
    <s v="Tier 2"/>
    <s v="TECH-17"/>
    <s v="Mid-level"/>
    <x v="0"/>
    <s v="Yes"/>
    <n v="1"/>
    <s v="No"/>
    <n v="9"/>
    <n v="1.4"/>
    <n v="21.5"/>
    <s v="No"/>
    <s v="Poor"/>
    <s v="Yes"/>
    <s v="HR"/>
    <s v="Monday"/>
    <s v="Morning"/>
  </r>
  <r>
    <x v="2022"/>
    <s v="2024-07-16 06:07:08"/>
    <x v="4"/>
    <s v="2024-07-29 04:49:08"/>
    <n v="310.7"/>
    <n v="12.9"/>
    <s v="Application Errors"/>
    <s v="Login Issues"/>
    <x v="0"/>
    <n v="240"/>
    <x v="0"/>
    <s v="Phone"/>
    <s v="Tier 1"/>
    <s v="TECH-14"/>
    <s v="Senior"/>
    <x v="0"/>
    <s v="No"/>
    <n v="1"/>
    <s v="Yes"/>
    <n v="4"/>
    <n v="4"/>
    <n v="6.4"/>
    <s v="No"/>
    <s v="Poor"/>
    <s v="Yes"/>
    <s v="Finance"/>
    <s v="Thursday"/>
    <s v="Evening"/>
  </r>
  <r>
    <x v="2023"/>
    <s v="2024-06-11 03:57:59"/>
    <x v="10"/>
    <s v="2024-06-27 21:15:59"/>
    <n v="401.3"/>
    <n v="16.7"/>
    <s v="Password Reset"/>
    <s v="Application Password"/>
    <x v="2"/>
    <n v="360"/>
    <x v="0"/>
    <s v="Email"/>
    <s v="Tier 1"/>
    <s v="TECH-25"/>
    <s v="Senior"/>
    <x v="0"/>
    <s v="No"/>
    <n v="1"/>
    <s v="Yes"/>
    <n v="3"/>
    <n v="0.5"/>
    <n v="7.9"/>
    <s v="No"/>
    <s v="Excellent"/>
    <s v="No"/>
    <s v="Operations"/>
    <s v="Thursday"/>
    <s v="Morning"/>
  </r>
  <r>
    <x v="2024"/>
    <s v="2024-05-03 06:34:24"/>
    <x v="8"/>
    <s v="2024-05-07 22:52:24"/>
    <n v="112.3"/>
    <n v="4.7"/>
    <s v="Hardware Issues"/>
    <s v="Desktop"/>
    <x v="1"/>
    <n v="120"/>
    <x v="1"/>
    <s v="Email"/>
    <s v="Tier 1"/>
    <s v="TECH-17"/>
    <s v="Senior"/>
    <x v="0"/>
    <s v="No"/>
    <n v="1"/>
    <s v="No"/>
    <n v="9"/>
    <n v="3.6"/>
    <n v="15.9"/>
    <s v="No"/>
    <s v="Excellent"/>
    <s v="Yes"/>
    <s v="Marketing"/>
    <s v="Monday"/>
    <s v="Morning"/>
  </r>
  <r>
    <x v="2025"/>
    <s v="2024-10-30 01:43:08"/>
    <x v="2"/>
    <s v="2024-11-01 17:37:08"/>
    <n v="39.9"/>
    <n v="1.7"/>
    <s v="Application Errors"/>
    <s v="Login Issues"/>
    <x v="3"/>
    <n v="48"/>
    <x v="1"/>
    <s v="Email"/>
    <s v="Tier 1"/>
    <s v="TECH-19"/>
    <s v="Junior"/>
    <x v="1"/>
    <s v="No"/>
    <n v="0"/>
    <s v="No"/>
    <n v="9"/>
    <n v="5.6"/>
    <n v="26.1"/>
    <s v="Yes"/>
    <s v="Poor"/>
    <s v="Yes"/>
    <s v="Finance"/>
    <s v="Thursday"/>
    <s v="Morning"/>
  </r>
  <r>
    <x v="2026"/>
    <s v="2024-07-17 03:32:23"/>
    <x v="4"/>
    <s v="2024-07-26 14:38:23"/>
    <n v="227.1"/>
    <n v="9.5"/>
    <s v="Password Reset"/>
    <s v="Account Unlock"/>
    <x v="0"/>
    <n v="240"/>
    <x v="1"/>
    <s v="Phone"/>
    <s v="Tier 1"/>
    <s v="TECH-14"/>
    <s v="Junior"/>
    <x v="1"/>
    <s v="No"/>
    <n v="0"/>
    <s v="No"/>
    <n v="9"/>
    <n v="2.2000000000000002"/>
    <n v="18.899999999999999"/>
    <s v="No"/>
    <s v="Good"/>
    <s v="No"/>
    <s v="Sales"/>
    <s v="Monday"/>
    <s v="Morning"/>
  </r>
  <r>
    <x v="2027"/>
    <s v="2024-06-26 01:42:11"/>
    <x v="10"/>
    <s v="2024-07-07 08:30:11"/>
    <n v="246.8"/>
    <n v="10.3"/>
    <s v="Access Requests"/>
    <s v="Application Access"/>
    <x v="2"/>
    <n v="360"/>
    <x v="1"/>
    <s v="Phone"/>
    <s v="Tier 1"/>
    <s v="TECH-19"/>
    <s v="Junior"/>
    <x v="1"/>
    <s v="No"/>
    <n v="0"/>
    <s v="No"/>
    <n v="8"/>
    <n v="2"/>
    <n v="7.7"/>
    <s v="Yes"/>
    <s v="Good"/>
    <s v="Yes"/>
    <s v="Finance"/>
    <s v="Friday"/>
    <s v="Morning"/>
  </r>
  <r>
    <x v="2028"/>
    <s v="2024-12-16 13:25:28"/>
    <x v="0"/>
    <s v="2024-12-30 07:25:28"/>
    <n v="330"/>
    <n v="13.8"/>
    <s v="Access Requests"/>
    <s v="File Share"/>
    <x v="0"/>
    <n v="240"/>
    <x v="0"/>
    <s v="Phone"/>
    <s v="Tier 1"/>
    <s v="TECH-16"/>
    <s v="Junior"/>
    <x v="1"/>
    <s v="No"/>
    <n v="0"/>
    <s v="No"/>
    <n v="6"/>
    <n v="2.8"/>
    <n v="22.9"/>
    <s v="No"/>
    <s v="Fair"/>
    <s v="Yes"/>
    <s v="Operations"/>
    <s v="Wednesday"/>
    <s v="Morning"/>
  </r>
  <r>
    <x v="2029"/>
    <s v="2024-12-11 18:35:42"/>
    <x v="0"/>
    <s v="2024-12-21 15:11:42"/>
    <n v="236.6"/>
    <n v="9.9"/>
    <s v="Password Reset"/>
    <s v="Windows Password"/>
    <x v="2"/>
    <n v="360"/>
    <x v="1"/>
    <s v="Email"/>
    <s v="Tier 1"/>
    <s v="TECH-22"/>
    <s v="Junior"/>
    <x v="1"/>
    <s v="No"/>
    <n v="0"/>
    <s v="No"/>
    <n v="8"/>
    <n v="2.7"/>
    <n v="24.2"/>
    <s v="Yes"/>
    <s v="Good"/>
    <s v="No"/>
    <s v="Marketing"/>
    <s v="Thursday"/>
    <s v="Morning"/>
  </r>
  <r>
    <x v="2030"/>
    <s v="2024-09-04 15:25:28"/>
    <x v="9"/>
    <s v="2024-09-20 05:25:28"/>
    <n v="374"/>
    <n v="15.6"/>
    <s v="Password Reset"/>
    <s v="Email Password"/>
    <x v="2"/>
    <n v="360"/>
    <x v="0"/>
    <s v="Portal"/>
    <s v="Tier 1"/>
    <s v="TECH-17"/>
    <s v="Mid-level"/>
    <x v="0"/>
    <s v="No"/>
    <n v="1"/>
    <s v="No"/>
    <n v="5"/>
    <n v="4.8"/>
    <n v="2.5"/>
    <s v="No"/>
    <s v="Good"/>
    <s v="No"/>
    <s v="HR"/>
    <s v="Monday"/>
    <s v="Morning"/>
  </r>
  <r>
    <x v="2031"/>
    <s v="2024-12-13 22:29:30"/>
    <x v="0"/>
    <s v="2024-12-26 23:05:30"/>
    <n v="312.60000000000002"/>
    <n v="13"/>
    <s v="Other"/>
    <s v="General Inquiry"/>
    <x v="2"/>
    <n v="360"/>
    <x v="1"/>
    <s v="Phone"/>
    <s v="Tier 1"/>
    <s v="TECH-24"/>
    <s v="Junior"/>
    <x v="0"/>
    <s v="No"/>
    <n v="1"/>
    <s v="No"/>
    <n v="9"/>
    <n v="2.6"/>
    <n v="10"/>
    <s v="Yes"/>
    <s v="Good"/>
    <s v="Yes"/>
    <s v="Marketing"/>
    <s v="Monday"/>
    <s v="Morning"/>
  </r>
  <r>
    <x v="2032"/>
    <s v="2024-07-03 14:49:55"/>
    <x v="4"/>
    <s v="2024-07-14 12:19:55"/>
    <n v="261.5"/>
    <n v="10.9"/>
    <s v="Password Reset"/>
    <s v="Email Password"/>
    <x v="0"/>
    <n v="240"/>
    <x v="0"/>
    <s v="Phone"/>
    <s v="Tier 1"/>
    <s v="TECH-7"/>
    <s v="Mid-level"/>
    <x v="0"/>
    <s v="No"/>
    <n v="1"/>
    <s v="No"/>
    <n v="7"/>
    <n v="1.9"/>
    <n v="24.3"/>
    <s v="No"/>
    <s v="Fair"/>
    <s v="No"/>
    <s v="HR"/>
    <s v="Monday"/>
    <s v="Evening"/>
  </r>
  <r>
    <x v="2033"/>
    <s v="2024-05-23 06:19:52"/>
    <x v="8"/>
    <s v="2024-05-30 05:07:52"/>
    <n v="166.8"/>
    <n v="7"/>
    <s v="Application Errors"/>
    <s v="Features Not Working"/>
    <x v="0"/>
    <n v="240"/>
    <x v="1"/>
    <s v="Phone"/>
    <s v="Tier 2"/>
    <s v="TECH-8"/>
    <s v="Junior"/>
    <x v="0"/>
    <s v="Yes"/>
    <n v="3"/>
    <s v="No"/>
    <n v="9"/>
    <n v="1.2"/>
    <n v="31.6"/>
    <s v="No"/>
    <s v="Good"/>
    <s v="No"/>
    <s v="Legal"/>
    <s v="Wednesday"/>
    <s v="Morning"/>
  </r>
  <r>
    <x v="2034"/>
    <s v="2024-09-03 03:06:03"/>
    <x v="9"/>
    <s v="2024-09-10 07:06:03"/>
    <n v="172"/>
    <n v="7.2"/>
    <s v="Network Connectivity"/>
    <s v="Slow Network"/>
    <x v="0"/>
    <n v="240"/>
    <x v="1"/>
    <s v="Phone"/>
    <s v="Tier 1"/>
    <s v="TECH-14"/>
    <s v="Senior"/>
    <x v="0"/>
    <s v="No"/>
    <n v="1"/>
    <s v="No"/>
    <n v="7"/>
    <n v="3.2"/>
    <n v="9.3000000000000007"/>
    <s v="No"/>
    <s v="Fair"/>
    <s v="No"/>
    <s v="Sales"/>
    <s v="Monday"/>
    <s v="Morning"/>
  </r>
  <r>
    <x v="2035"/>
    <s v="2024-10-05 15:05:55"/>
    <x v="2"/>
    <s v="2024-10-19 09:05:55"/>
    <n v="330"/>
    <n v="13.8"/>
    <s v="Password Reset"/>
    <s v="Windows Password"/>
    <x v="2"/>
    <n v="360"/>
    <x v="1"/>
    <s v="Email"/>
    <s v="Tier 1"/>
    <s v="TECH-21"/>
    <s v="Mid-level"/>
    <x v="1"/>
    <s v="No"/>
    <n v="0"/>
    <s v="No"/>
    <n v="10"/>
    <n v="1.6"/>
    <n v="0"/>
    <s v="Yes"/>
    <s v="Poor"/>
    <s v="Yes"/>
    <s v="IT"/>
    <s v="Monday"/>
    <s v="Morning"/>
  </r>
  <r>
    <x v="2036"/>
    <s v="2024-10-15 15:56:54"/>
    <x v="2"/>
    <s v="2024-10-18 16:44:54"/>
    <n v="72.8"/>
    <n v="3"/>
    <s v="Hardware Issues"/>
    <s v="Docking Station"/>
    <x v="1"/>
    <n v="120"/>
    <x v="1"/>
    <s v="Phone"/>
    <s v="Tier 2"/>
    <s v="TECH-15"/>
    <s v="Junior"/>
    <x v="0"/>
    <s v="Yes"/>
    <n v="1"/>
    <s v="No"/>
    <n v="10"/>
    <n v="7.1"/>
    <n v="4.8"/>
    <s v="No"/>
    <s v="Good"/>
    <s v="No"/>
    <s v="Operations"/>
    <s v="Tuesday"/>
    <s v="Morning"/>
  </r>
  <r>
    <x v="2037"/>
    <s v="2024-11-17 21:04:30"/>
    <x v="7"/>
    <s v="2024-11-29 10:22:30"/>
    <n v="277.3"/>
    <n v="11.6"/>
    <s v="Password Reset"/>
    <s v="Application Password"/>
    <x v="2"/>
    <n v="360"/>
    <x v="1"/>
    <s v="Portal"/>
    <s v="Tier 1"/>
    <s v="TECH-25"/>
    <s v="Junior"/>
    <x v="1"/>
    <s v="No"/>
    <n v="0"/>
    <s v="No"/>
    <n v="10"/>
    <n v="1.3"/>
    <n v="44.4"/>
    <s v="No"/>
    <s v="Good"/>
    <s v="Yes"/>
    <s v="Finance"/>
    <s v="Monday"/>
    <s v="Afternoon"/>
  </r>
  <r>
    <x v="2038"/>
    <s v="2024-05-19 08:25:18"/>
    <x v="8"/>
    <s v="2024-05-27 19:31:18"/>
    <n v="203.1"/>
    <n v="8.5"/>
    <s v="Email/Calendar"/>
    <s v="Calendar Sync"/>
    <x v="0"/>
    <n v="240"/>
    <x v="1"/>
    <s v="Phone"/>
    <s v="Tier 1"/>
    <s v="TECH-9"/>
    <s v="Senior"/>
    <x v="0"/>
    <s v="No"/>
    <n v="1"/>
    <s v="No"/>
    <n v="7"/>
    <n v="4.7"/>
    <n v="18.600000000000001"/>
    <s v="Yes"/>
    <s v="Good"/>
    <s v="Yes"/>
    <s v="HR"/>
    <s v="Tuesday"/>
    <s v="Afternoon"/>
  </r>
  <r>
    <x v="2039"/>
    <s v="2024-08-10 11:27:24"/>
    <x v="1"/>
    <s v="2024-08-20 02:45:24"/>
    <n v="255.3"/>
    <n v="10.6"/>
    <s v="Password Reset"/>
    <s v="Account Unlock"/>
    <x v="2"/>
    <n v="360"/>
    <x v="1"/>
    <s v="Phone"/>
    <s v="Tier 1"/>
    <s v="TECH-22"/>
    <s v="Senior"/>
    <x v="1"/>
    <s v="No"/>
    <n v="0"/>
    <s v="No"/>
    <n v="9"/>
    <n v="2.4"/>
    <n v="14.3"/>
    <s v="Yes"/>
    <s v="Fair"/>
    <s v="Yes"/>
    <s v="Sales"/>
    <s v="Monday"/>
    <s v="Afternoon"/>
  </r>
  <r>
    <x v="2040"/>
    <s v="2024-05-06 18:40:06"/>
    <x v="8"/>
    <s v="2024-05-14 17:16:06"/>
    <n v="190.6"/>
    <n v="7.9"/>
    <s v="Email/Calendar"/>
    <s v="Distribution List"/>
    <x v="0"/>
    <n v="240"/>
    <x v="1"/>
    <s v="Walk-in"/>
    <s v="Tier 1"/>
    <s v="TECH-25"/>
    <s v="Mid-level"/>
    <x v="0"/>
    <s v="No"/>
    <n v="1"/>
    <s v="No"/>
    <n v="8"/>
    <n v="0.1"/>
    <n v="49.5"/>
    <s v="Yes"/>
    <s v="Good"/>
    <s v="No"/>
    <s v="IT"/>
    <s v="Tuesday"/>
    <s v="Afternoon"/>
  </r>
  <r>
    <x v="2041"/>
    <s v="2024-01-09 08:21:08"/>
    <x v="3"/>
    <s v="2024-01-19 03:15:08"/>
    <n v="234.9"/>
    <n v="9.8000000000000007"/>
    <s v="Other"/>
    <s v="Documentation"/>
    <x v="2"/>
    <n v="360"/>
    <x v="1"/>
    <s v="Portal"/>
    <s v="Tier 1"/>
    <s v="TECH-17"/>
    <s v="Junior"/>
    <x v="0"/>
    <s v="No"/>
    <n v="1"/>
    <s v="Yes"/>
    <n v="9"/>
    <n v="4.0999999999999996"/>
    <n v="27.6"/>
    <s v="No"/>
    <s v="Fair"/>
    <s v="No"/>
    <s v="Sales"/>
    <s v="Tuesday"/>
    <s v="Morning"/>
  </r>
  <r>
    <x v="2042"/>
    <s v="2024-02-19 20:25:30"/>
    <x v="6"/>
    <s v="2024-02-24 05:31:30"/>
    <n v="105.1"/>
    <n v="4.4000000000000004"/>
    <s v="Network Connectivity"/>
    <s v="WiFi Issues"/>
    <x v="1"/>
    <n v="120"/>
    <x v="1"/>
    <s v="Phone"/>
    <s v="Tier 1"/>
    <s v="TECH-1"/>
    <s v="Senior"/>
    <x v="0"/>
    <s v="No"/>
    <n v="1"/>
    <s v="Yes"/>
    <n v="9"/>
    <n v="4.0999999999999996"/>
    <n v="22.7"/>
    <s v="Yes"/>
    <s v="Good"/>
    <s v="Yes"/>
    <s v="IT"/>
    <s v="Friday"/>
    <s v="Afternoon"/>
  </r>
  <r>
    <x v="2043"/>
    <s v="2024-03-29 18:58:50"/>
    <x v="5"/>
    <s v="2024-04-12 17:52:50"/>
    <n v="333.9"/>
    <n v="13.9"/>
    <s v="Application Errors"/>
    <s v="Login Issues"/>
    <x v="2"/>
    <n v="360"/>
    <x v="1"/>
    <s v="Chat"/>
    <s v="Tier 2"/>
    <s v="TECH-21"/>
    <s v="Senior"/>
    <x v="0"/>
    <s v="Yes"/>
    <n v="2"/>
    <s v="No"/>
    <n v="9"/>
    <n v="1.9"/>
    <n v="5.4"/>
    <s v="Yes"/>
    <s v="Good"/>
    <s v="No"/>
    <s v="Executive"/>
    <s v="Thursday"/>
    <s v="Morning"/>
  </r>
  <r>
    <x v="2044"/>
    <s v="2024-07-27 00:51:02"/>
    <x v="4"/>
    <s v="2024-08-01 07:03:02"/>
    <n v="102.2"/>
    <n v="4.3"/>
    <s v="Application Errors"/>
    <s v="Crash"/>
    <x v="1"/>
    <n v="120"/>
    <x v="1"/>
    <s v="Email"/>
    <s v="Tier 2"/>
    <s v="TECH-9"/>
    <s v="Senior"/>
    <x v="0"/>
    <s v="Yes"/>
    <n v="4"/>
    <s v="No"/>
    <n v="10"/>
    <n v="4.4000000000000004"/>
    <n v="20.9"/>
    <s v="Yes"/>
    <s v="Fair"/>
    <s v="Yes"/>
    <s v="Executive"/>
    <s v="Monday"/>
    <s v="Morning"/>
  </r>
  <r>
    <x v="2045"/>
    <s v="2024-05-14 03:48:42"/>
    <x v="8"/>
    <s v="2024-05-24 20:30:42"/>
    <n v="256.7"/>
    <n v="10.7"/>
    <s v="Network Connectivity"/>
    <s v="Ethernet"/>
    <x v="1"/>
    <n v="120"/>
    <x v="0"/>
    <s v="Email"/>
    <s v="Tier 1"/>
    <s v="TECH-1"/>
    <s v="Junior"/>
    <x v="0"/>
    <s v="No"/>
    <n v="1"/>
    <s v="No"/>
    <n v="9"/>
    <n v="1"/>
    <n v="11.5"/>
    <s v="Yes"/>
    <s v="Fair"/>
    <s v="Yes"/>
    <s v="IT"/>
    <s v="Tuesday"/>
    <s v="Afternoon"/>
  </r>
  <r>
    <x v="2046"/>
    <s v="2024-08-14 10:30:05"/>
    <x v="1"/>
    <s v="2024-08-21 14:30:05"/>
    <n v="172"/>
    <n v="7.2"/>
    <s v="Email/Calendar"/>
    <s v="Distribution List"/>
    <x v="0"/>
    <n v="240"/>
    <x v="1"/>
    <s v="Phone"/>
    <s v="Tier 1"/>
    <s v="TECH-1"/>
    <s v="Mid-level"/>
    <x v="1"/>
    <s v="No"/>
    <n v="0"/>
    <s v="No"/>
    <n v="10"/>
    <n v="1"/>
    <n v="23.1"/>
    <s v="No"/>
    <s v="Fair"/>
    <s v="No"/>
    <s v="HR"/>
    <s v="Thursday"/>
    <s v="Evening"/>
  </r>
  <r>
    <x v="2047"/>
    <s v="2024-03-19 09:24:47"/>
    <x v="5"/>
    <s v="2024-04-14 17:54:47"/>
    <n v="631.5"/>
    <n v="26.3"/>
    <s v="Software Installation"/>
    <s v="Drivers"/>
    <x v="0"/>
    <n v="240"/>
    <x v="0"/>
    <s v="Phone"/>
    <s v="Tier 1"/>
    <s v="TECH-3"/>
    <s v="Mid-level"/>
    <x v="0"/>
    <s v="No"/>
    <n v="1"/>
    <s v="No"/>
    <n v="5"/>
    <n v="3.4"/>
    <n v="27.5"/>
    <s v="Yes"/>
    <s v="Fair"/>
    <s v="Yes"/>
    <s v="Executive"/>
    <s v="Thursday"/>
    <s v="Morning"/>
  </r>
  <r>
    <x v="2048"/>
    <s v="2024-07-11 02:05:09"/>
    <x v="4"/>
    <s v="2024-07-22 22:53:09"/>
    <n v="260.8"/>
    <n v="10.9"/>
    <s v="Password Reset"/>
    <s v="Account Unlock"/>
    <x v="2"/>
    <n v="360"/>
    <x v="1"/>
    <s v="Email"/>
    <s v="Tier 1"/>
    <s v="TECH-6"/>
    <s v="Junior"/>
    <x v="0"/>
    <s v="No"/>
    <n v="1"/>
    <s v="No"/>
    <n v="8"/>
    <n v="3"/>
    <n v="2.9"/>
    <s v="Yes"/>
    <s v="Fair"/>
    <s v="Yes"/>
    <s v="Finance"/>
    <s v="Thursday"/>
    <s v="Afternoon"/>
  </r>
  <r>
    <x v="2049"/>
    <s v="2024-02-10 09:38:06"/>
    <x v="6"/>
    <s v="2024-02-15 15:44:06"/>
    <n v="126.1"/>
    <n v="5.3"/>
    <s v="Network Connectivity"/>
    <s v="Ethernet"/>
    <x v="1"/>
    <n v="120"/>
    <x v="0"/>
    <s v="Portal"/>
    <s v="Tier 1"/>
    <s v="TECH-12"/>
    <s v="Mid-level"/>
    <x v="0"/>
    <s v="No"/>
    <n v="1"/>
    <s v="Yes"/>
    <n v="5"/>
    <n v="3.5"/>
    <n v="36.799999999999997"/>
    <s v="No"/>
    <s v="Fair"/>
    <s v="No"/>
    <s v="Sales"/>
    <s v="Thursday"/>
    <s v="Morning"/>
  </r>
  <r>
    <x v="2050"/>
    <s v="2024-06-18 21:22:19"/>
    <x v="10"/>
    <s v="2024-06-26 01:46:19"/>
    <n v="196.4"/>
    <n v="8.1999999999999993"/>
    <s v="Hardware Issues"/>
    <s v="Monitor"/>
    <x v="0"/>
    <n v="240"/>
    <x v="1"/>
    <s v="Walk-in"/>
    <s v="Tier 1"/>
    <s v="TECH-22"/>
    <s v="Junior"/>
    <x v="0"/>
    <s v="No"/>
    <n v="1"/>
    <s v="Yes"/>
    <n v="7"/>
    <n v="5.2"/>
    <n v="8.1999999999999993"/>
    <s v="No"/>
    <s v="Poor"/>
    <s v="Yes"/>
    <s v="Sales"/>
    <s v="Monday"/>
    <s v="Afternoon"/>
  </r>
  <r>
    <x v="2051"/>
    <s v="2024-03-06 09:11:04"/>
    <x v="5"/>
    <s v="2024-03-14 06:47:04"/>
    <n v="189.6"/>
    <n v="7.9"/>
    <s v="Application Errors"/>
    <s v="Performance"/>
    <x v="0"/>
    <n v="240"/>
    <x v="1"/>
    <s v="Portal"/>
    <s v="Tier 1"/>
    <s v="TECH-12"/>
    <s v="Mid-level"/>
    <x v="1"/>
    <s v="No"/>
    <n v="0"/>
    <s v="No"/>
    <n v="10"/>
    <n v="2.7"/>
    <n v="11.4"/>
    <s v="Yes"/>
    <s v="Good"/>
    <s v="Yes"/>
    <s v="Marketing"/>
    <s v="Monday"/>
    <s v="Evening"/>
  </r>
  <r>
    <x v="2052"/>
    <s v="2024-10-03 05:44:47"/>
    <x v="2"/>
    <s v="2024-10-22 15:14:47"/>
    <n v="465.5"/>
    <n v="19.399999999999999"/>
    <s v="Password Reset"/>
    <s v="Application Password"/>
    <x v="2"/>
    <n v="360"/>
    <x v="0"/>
    <s v="Email"/>
    <s v="Tier 1"/>
    <s v="TECH-16"/>
    <s v="Mid-level"/>
    <x v="1"/>
    <s v="No"/>
    <n v="0"/>
    <s v="No"/>
    <n v="8"/>
    <n v="3.7"/>
    <n v="22.3"/>
    <s v="No"/>
    <s v="Fair"/>
    <s v="No"/>
    <s v="Marketing"/>
    <s v="Friday"/>
    <s v="Evening"/>
  </r>
  <r>
    <x v="2053"/>
    <s v="2024-02-16 17:25:20"/>
    <x v="6"/>
    <s v="2024-02-22 07:49:20"/>
    <n v="134.4"/>
    <n v="5.6"/>
    <s v="Email/Calendar"/>
    <s v="Mailbox Full"/>
    <x v="1"/>
    <n v="120"/>
    <x v="0"/>
    <s v="Email"/>
    <s v="Tier 1"/>
    <s v="TECH-22"/>
    <s v="Senior"/>
    <x v="0"/>
    <s v="No"/>
    <n v="1"/>
    <s v="No"/>
    <n v="5"/>
    <n v="4.3"/>
    <n v="19.3"/>
    <s v="No"/>
    <s v="Good"/>
    <s v="Yes"/>
    <s v="Operations"/>
    <s v="Friday"/>
    <s v="Afternoon"/>
  </r>
  <r>
    <x v="2054"/>
    <s v="2024-01-17 22:39:47"/>
    <x v="3"/>
    <s v="2024-01-29 20:51:47"/>
    <n v="286.2"/>
    <n v="11.9"/>
    <s v="Password Reset"/>
    <s v="Application Password"/>
    <x v="2"/>
    <n v="360"/>
    <x v="1"/>
    <s v="Phone"/>
    <s v="Tier 1"/>
    <s v="TECH-12"/>
    <s v="Junior"/>
    <x v="1"/>
    <s v="No"/>
    <n v="0"/>
    <s v="No"/>
    <n v="10"/>
    <n v="3.4"/>
    <n v="0"/>
    <s v="Yes"/>
    <s v="Fair"/>
    <s v="No"/>
    <s v="Finance"/>
    <s v="Monday"/>
    <s v="Afternoon"/>
  </r>
  <r>
    <x v="2055"/>
    <s v="2024-05-27 13:04:50"/>
    <x v="8"/>
    <s v="2024-06-18 16:04:50"/>
    <n v="531"/>
    <n v="22.1"/>
    <s v="Password Reset"/>
    <s v="Account Unlock"/>
    <x v="0"/>
    <n v="240"/>
    <x v="0"/>
    <s v="Email"/>
    <s v="Tier 1"/>
    <s v="TECH-24"/>
    <s v="Junior"/>
    <x v="0"/>
    <s v="No"/>
    <n v="1"/>
    <s v="No"/>
    <n v="7"/>
    <n v="0.1"/>
    <n v="0"/>
    <s v="No"/>
    <s v="Excellent"/>
    <s v="Yes"/>
    <s v="Sales"/>
    <s v="Tuesday"/>
    <s v="Morning"/>
  </r>
  <r>
    <x v="2056"/>
    <s v="2024-06-30 21:04:20"/>
    <x v="10"/>
    <s v="2024-07-09 10:40:20"/>
    <n v="205.6"/>
    <n v="8.6"/>
    <s v="Application Errors"/>
    <s v="Features Not Working"/>
    <x v="0"/>
    <n v="240"/>
    <x v="1"/>
    <s v="Email"/>
    <s v="Tier 1"/>
    <s v="TECH-11"/>
    <s v="Senior"/>
    <x v="0"/>
    <s v="No"/>
    <n v="1"/>
    <s v="No"/>
    <n v="9"/>
    <n v="2.2000000000000002"/>
    <n v="11.3"/>
    <s v="Yes"/>
    <s v="Fair"/>
    <s v="Yes"/>
    <s v="Executive"/>
    <s v="Monday"/>
    <s v="Afternoon"/>
  </r>
  <r>
    <x v="2057"/>
    <s v="2024-09-23 05:03:50"/>
    <x v="9"/>
    <s v="2024-09-27 17:09:50"/>
    <n v="108.1"/>
    <n v="4.5"/>
    <s v="Network Connectivity"/>
    <s v="VPN Connection"/>
    <x v="1"/>
    <n v="120"/>
    <x v="1"/>
    <s v="Portal"/>
    <s v="Tier 1"/>
    <s v="TECH-18"/>
    <s v="Junior"/>
    <x v="0"/>
    <s v="No"/>
    <n v="1"/>
    <s v="Yes"/>
    <n v="8"/>
    <n v="0.1"/>
    <n v="25.7"/>
    <s v="Yes"/>
    <s v="Good"/>
    <s v="No"/>
    <s v="Marketing"/>
    <s v="Monday"/>
    <s v="Afternoon"/>
  </r>
  <r>
    <x v="2058"/>
    <s v="2024-06-06 10:58:31"/>
    <x v="10"/>
    <s v="2024-06-10 00:10:31"/>
    <n v="109.2"/>
    <n v="4.5999999999999996"/>
    <s v="Application Errors"/>
    <s v="Features Not Working"/>
    <x v="1"/>
    <n v="120"/>
    <x v="1"/>
    <s v="Phone"/>
    <s v="Tier 1"/>
    <s v="TECH-11"/>
    <s v="Mid-level"/>
    <x v="0"/>
    <s v="No"/>
    <n v="1"/>
    <s v="No"/>
    <n v="8"/>
    <n v="3.5"/>
    <n v="0"/>
    <s v="No"/>
    <s v="Fair"/>
    <s v="No"/>
    <s v="Executive"/>
    <s v="Monday"/>
    <s v="Afternoon"/>
  </r>
  <r>
    <x v="2059"/>
    <s v="2024-12-14 07:05:11"/>
    <x v="0"/>
    <s v="2024-12-17 08:11:11"/>
    <n v="73.099999999999994"/>
    <n v="3"/>
    <s v="Access Requests"/>
    <s v="Application Access"/>
    <x v="1"/>
    <n v="120"/>
    <x v="1"/>
    <s v="Email"/>
    <s v="Tier 1"/>
    <s v="TECH-3"/>
    <s v="Senior"/>
    <x v="1"/>
    <s v="No"/>
    <n v="0"/>
    <s v="Yes"/>
    <n v="10"/>
    <n v="2.2999999999999998"/>
    <n v="25.6"/>
    <s v="No"/>
    <s v="Good"/>
    <s v="Yes"/>
    <s v="HR"/>
    <s v="Wednesday"/>
    <s v="Afternoon"/>
  </r>
  <r>
    <x v="2060"/>
    <s v="2024-03-31 19:50:33"/>
    <x v="5"/>
    <s v="2024-04-07 02:26:33"/>
    <n v="174.6"/>
    <n v="7.3"/>
    <s v="Network Connectivity"/>
    <s v="Slow Network"/>
    <x v="1"/>
    <n v="120"/>
    <x v="0"/>
    <s v="Email"/>
    <s v="Tier 1"/>
    <s v="TECH-19"/>
    <s v="Senior"/>
    <x v="1"/>
    <s v="No"/>
    <n v="0"/>
    <s v="No"/>
    <n v="5"/>
    <n v="5.4"/>
    <n v="29.3"/>
    <s v="Yes"/>
    <s v="Good"/>
    <s v="Yes"/>
    <s v="IT"/>
    <s v="Friday"/>
    <s v="Afternoon"/>
  </r>
  <r>
    <x v="2061"/>
    <s v="2024-02-15 02:09:07"/>
    <x v="6"/>
    <s v="2024-02-21 08:21:07"/>
    <n v="150.19999999999999"/>
    <n v="6.3"/>
    <s v="Software Installation"/>
    <s v="Drivers"/>
    <x v="0"/>
    <n v="240"/>
    <x v="1"/>
    <s v="Phone"/>
    <s v="Tier 1"/>
    <s v="TECH-5"/>
    <s v="Junior"/>
    <x v="1"/>
    <s v="No"/>
    <n v="0"/>
    <s v="No"/>
    <n v="10"/>
    <n v="4.2"/>
    <n v="31.9"/>
    <s v="Yes"/>
    <s v="Fair"/>
    <s v="No"/>
    <s v="Executive"/>
    <s v="Monday"/>
    <s v="Morning"/>
  </r>
  <r>
    <x v="2062"/>
    <s v="2024-08-21 09:00:26"/>
    <x v="1"/>
    <s v="2024-08-30 13:24:26"/>
    <n v="220.4"/>
    <n v="9.1999999999999993"/>
    <s v="Application Errors"/>
    <s v="Login Issues"/>
    <x v="2"/>
    <n v="360"/>
    <x v="1"/>
    <s v="Phone"/>
    <s v="Tier 2"/>
    <s v="TECH-3"/>
    <s v="Senior"/>
    <x v="0"/>
    <s v="Yes"/>
    <n v="3"/>
    <s v="No"/>
    <n v="7"/>
    <n v="5.0999999999999996"/>
    <n v="18.5"/>
    <s v="Yes"/>
    <s v="Good"/>
    <s v="Yes"/>
    <s v="HR"/>
    <s v="Friday"/>
    <s v="Morning"/>
  </r>
  <r>
    <x v="2063"/>
    <s v="2024-07-09 03:19:23"/>
    <x v="4"/>
    <s v="2024-07-28 02:37:23"/>
    <n v="479.3"/>
    <n v="20"/>
    <s v="Other"/>
    <s v="Training Request"/>
    <x v="0"/>
    <n v="240"/>
    <x v="0"/>
    <s v="Email"/>
    <s v="Tier 1"/>
    <s v="TECH-21"/>
    <s v="Junior"/>
    <x v="1"/>
    <s v="No"/>
    <n v="0"/>
    <s v="No"/>
    <n v="7"/>
    <n v="4.7"/>
    <n v="29.6"/>
    <s v="Yes"/>
    <s v="Good"/>
    <s v="No"/>
    <s v="Executive"/>
    <s v="Friday"/>
    <s v="Morning"/>
  </r>
  <r>
    <x v="2064"/>
    <s v="2024-11-27 10:59:33"/>
    <x v="7"/>
    <s v="2024-12-03 12:05:33"/>
    <n v="145.1"/>
    <n v="6"/>
    <s v="Access Requests"/>
    <s v="VPN Access"/>
    <x v="0"/>
    <n v="240"/>
    <x v="1"/>
    <s v="Portal"/>
    <s v="Tier 1"/>
    <s v="TECH-9"/>
    <s v="Junior"/>
    <x v="1"/>
    <s v="No"/>
    <n v="0"/>
    <s v="No"/>
    <n v="7"/>
    <n v="0.1"/>
    <n v="0"/>
    <s v="Yes"/>
    <s v="Good"/>
    <s v="No"/>
    <s v="Legal"/>
    <s v="Friday"/>
    <s v="Morning"/>
  </r>
  <r>
    <x v="2065"/>
    <s v="2024-02-28 05:11:33"/>
    <x v="6"/>
    <s v="2024-03-03 18:17:33"/>
    <n v="109.1"/>
    <n v="4.5"/>
    <s v="Application Errors"/>
    <s v="Crash"/>
    <x v="1"/>
    <n v="120"/>
    <x v="1"/>
    <s v="Email"/>
    <s v="Tier 1"/>
    <s v="TECH-4"/>
    <s v="Junior"/>
    <x v="0"/>
    <s v="No"/>
    <n v="1"/>
    <s v="No"/>
    <n v="9"/>
    <n v="0.5"/>
    <n v="7.1"/>
    <s v="No"/>
    <s v="Fair"/>
    <s v="No"/>
    <s v="Operations"/>
    <s v="Friday"/>
    <s v="Afternoon"/>
  </r>
  <r>
    <x v="2066"/>
    <s v="2024-06-24 01:02:27"/>
    <x v="10"/>
    <s v="2024-07-08 12:20:27"/>
    <n v="323.3"/>
    <n v="13.5"/>
    <s v="Password Reset"/>
    <s v="Account Unlock"/>
    <x v="2"/>
    <n v="360"/>
    <x v="1"/>
    <s v="Chat"/>
    <s v="Tier 1"/>
    <s v="TECH-12"/>
    <s v="Mid-level"/>
    <x v="1"/>
    <s v="No"/>
    <n v="0"/>
    <s v="Yes"/>
    <n v="8"/>
    <n v="1.9"/>
    <n v="32.799999999999997"/>
    <s v="Yes"/>
    <s v="Poor"/>
    <s v="No"/>
    <s v="Finance"/>
    <s v="Wednesday"/>
    <s v="Morning"/>
  </r>
  <r>
    <x v="2067"/>
    <s v="2024-01-09 14:25:10"/>
    <x v="3"/>
    <s v="2024-01-17 19:31:10"/>
    <n v="197.1"/>
    <n v="8.1999999999999993"/>
    <s v="Software Installation"/>
    <s v="VPN Client"/>
    <x v="0"/>
    <n v="240"/>
    <x v="1"/>
    <s v="Portal"/>
    <s v="Tier 2"/>
    <s v="TECH-11"/>
    <s v="Senior"/>
    <x v="0"/>
    <s v="Yes"/>
    <n v="3"/>
    <s v="No"/>
    <n v="10"/>
    <n v="4.0999999999999996"/>
    <n v="24.8"/>
    <s v="Yes"/>
    <s v="Fair"/>
    <s v="Yes"/>
    <s v="IT"/>
    <s v="Thursday"/>
    <s v="Morning"/>
  </r>
  <r>
    <x v="2068"/>
    <s v="2024-06-24 01:36:19"/>
    <x v="10"/>
    <s v="2024-07-01 09:30:19"/>
    <n v="151.9"/>
    <n v="6.3"/>
    <s v="Network Connectivity"/>
    <s v="WiFi Issues"/>
    <x v="1"/>
    <n v="120"/>
    <x v="0"/>
    <s v="Phone"/>
    <s v="Tier 2"/>
    <s v="TECH-11"/>
    <s v="Junior"/>
    <x v="0"/>
    <s v="Yes"/>
    <n v="2"/>
    <s v="No"/>
    <n v="5"/>
    <n v="1.2"/>
    <n v="50.8"/>
    <s v="Yes"/>
    <s v="Fair"/>
    <s v="Yes"/>
    <s v="Legal"/>
    <s v="Wednesday"/>
    <s v="Morning"/>
  </r>
  <r>
    <x v="2069"/>
    <s v="2024-01-28 00:36:45"/>
    <x v="3"/>
    <s v="2024-02-10 13:36:45"/>
    <n v="301"/>
    <n v="12.5"/>
    <s v="Password Reset"/>
    <s v="Account Unlock"/>
    <x v="2"/>
    <n v="360"/>
    <x v="1"/>
    <s v="Portal"/>
    <s v="Tier 1"/>
    <s v="TECH-2"/>
    <s v="Junior"/>
    <x v="1"/>
    <s v="No"/>
    <n v="0"/>
    <s v="No"/>
    <n v="6"/>
    <n v="2.8"/>
    <n v="29.2"/>
    <s v="Yes"/>
    <s v="Poor"/>
    <s v="Yes"/>
    <s v="Executive"/>
    <s v="Wednesday"/>
    <s v="Morning"/>
  </r>
  <r>
    <x v="2070"/>
    <s v="2024-12-03 20:53:37"/>
    <x v="0"/>
    <s v="2024-12-08 12:53:37"/>
    <n v="112"/>
    <n v="4.7"/>
    <s v="Application Errors"/>
    <s v="Login Issues"/>
    <x v="1"/>
    <n v="120"/>
    <x v="1"/>
    <s v="Portal"/>
    <s v="Tier 1"/>
    <s v="TECH-19"/>
    <s v="Mid-level"/>
    <x v="0"/>
    <s v="No"/>
    <n v="1"/>
    <s v="Yes"/>
    <n v="9"/>
    <n v="1.4"/>
    <n v="32.299999999999997"/>
    <s v="Yes"/>
    <s v="Good"/>
    <s v="No"/>
    <s v="Finance"/>
    <s v="Tuesday"/>
    <s v="Morning"/>
  </r>
  <r>
    <x v="2071"/>
    <s v="2024-03-01 17:27:05"/>
    <x v="5"/>
    <s v="2024-03-12 10:51:05"/>
    <n v="257.39999999999998"/>
    <n v="10.7"/>
    <s v="Email/Calendar"/>
    <s v="Mailbox Full"/>
    <x v="1"/>
    <n v="120"/>
    <x v="0"/>
    <s v="Phone"/>
    <s v="Tier 1"/>
    <s v="TECH-3"/>
    <s v="Junior"/>
    <x v="1"/>
    <s v="No"/>
    <n v="0"/>
    <s v="No"/>
    <n v="6"/>
    <n v="1.2"/>
    <n v="23.8"/>
    <s v="Yes"/>
    <s v="Poor"/>
    <s v="No"/>
    <s v="HR"/>
    <s v="Tuesday"/>
    <s v="Afternoon"/>
  </r>
  <r>
    <x v="2072"/>
    <s v="2024-07-20 21:43:05"/>
    <x v="4"/>
    <s v="2024-08-29 01:55:05"/>
    <n v="964.2"/>
    <n v="40.200000000000003"/>
    <s v="Other"/>
    <s v="Documentation"/>
    <x v="2"/>
    <n v="360"/>
    <x v="0"/>
    <s v="Phone"/>
    <s v="Tier 1"/>
    <s v="TECH-18"/>
    <s v="Junior"/>
    <x v="0"/>
    <s v="No"/>
    <n v="1"/>
    <s v="No"/>
    <n v="3"/>
    <n v="0.2"/>
    <n v="11.6"/>
    <s v="No"/>
    <s v="Fair"/>
    <s v="Yes"/>
    <s v="Executive"/>
    <s v="Friday"/>
    <s v="Morning"/>
  </r>
  <r>
    <x v="2073"/>
    <s v="2024-07-09 19:19:37"/>
    <x v="4"/>
    <s v="2024-07-16 02:55:37"/>
    <n v="175.6"/>
    <n v="7.3"/>
    <s v="Password Reset"/>
    <s v="Application Password"/>
    <x v="0"/>
    <n v="240"/>
    <x v="1"/>
    <s v="Walk-in"/>
    <s v="Tier 2"/>
    <s v="TECH-19"/>
    <s v="Mid-level"/>
    <x v="0"/>
    <s v="Yes"/>
    <n v="3"/>
    <s v="No"/>
    <n v="8"/>
    <n v="1.8"/>
    <n v="30.2"/>
    <s v="Yes"/>
    <s v="Good"/>
    <s v="Yes"/>
    <s v="HR"/>
    <s v="Monday"/>
    <s v="Morning"/>
  </r>
  <r>
    <x v="2074"/>
    <s v="2024-10-19 15:35:13"/>
    <x v="2"/>
    <s v="2024-11-03 06:17:13"/>
    <n v="351.7"/>
    <n v="14.7"/>
    <s v="Email/Calendar"/>
    <s v="Mailbox Full"/>
    <x v="0"/>
    <n v="240"/>
    <x v="0"/>
    <s v="Phone"/>
    <s v="Tier 1"/>
    <s v="TECH-16"/>
    <s v="Junior"/>
    <x v="0"/>
    <s v="No"/>
    <n v="1"/>
    <s v="No"/>
    <n v="6"/>
    <n v="3.9"/>
    <n v="12.8"/>
    <s v="Yes"/>
    <s v="Poor"/>
    <s v="Yes"/>
    <s v="Executive"/>
    <s v="Monday"/>
    <s v="Morning"/>
  </r>
  <r>
    <x v="2075"/>
    <s v="2024-02-07 11:21:41"/>
    <x v="6"/>
    <s v="2024-02-11 00:27:41"/>
    <n v="109.1"/>
    <n v="4.5"/>
    <s v="Email/Calendar"/>
    <s v="Mailbox Full"/>
    <x v="1"/>
    <n v="120"/>
    <x v="1"/>
    <s v="Email"/>
    <s v="Tier 2"/>
    <s v="TECH-17"/>
    <s v="Senior"/>
    <x v="0"/>
    <s v="Yes"/>
    <n v="1"/>
    <s v="No"/>
    <n v="6"/>
    <n v="1.8"/>
    <n v="2.2000000000000002"/>
    <s v="Yes"/>
    <s v="Fair"/>
    <s v="Yes"/>
    <s v="Operations"/>
    <s v="Monday"/>
    <s v="Afternoon"/>
  </r>
  <r>
    <x v="2076"/>
    <s v="2024-04-25 15:36:05"/>
    <x v="11"/>
    <s v="2024-05-03 04:48:05"/>
    <n v="181.2"/>
    <n v="7.6"/>
    <s v="Hardware Issues"/>
    <s v="Printer"/>
    <x v="0"/>
    <n v="240"/>
    <x v="1"/>
    <s v="Phone"/>
    <s v="Tier 2"/>
    <s v="TECH-15"/>
    <s v="Junior"/>
    <x v="0"/>
    <s v="Yes"/>
    <n v="1"/>
    <s v="Yes"/>
    <n v="10"/>
    <n v="2.2999999999999998"/>
    <n v="13.8"/>
    <s v="Yes"/>
    <s v="Poor"/>
    <s v="Yes"/>
    <s v="Sales"/>
    <s v="Tuesday"/>
    <s v="Afternoon"/>
  </r>
  <r>
    <x v="2077"/>
    <s v="2024-07-26 14:32:36"/>
    <x v="4"/>
    <s v="2024-08-06 11:44:36"/>
    <n v="261.2"/>
    <n v="10.9"/>
    <s v="Network Connectivity"/>
    <s v="Ethernet"/>
    <x v="0"/>
    <n v="240"/>
    <x v="0"/>
    <s v="Chat"/>
    <s v="Tier 1"/>
    <s v="TECH-15"/>
    <s v="Senior"/>
    <x v="0"/>
    <s v="No"/>
    <n v="1"/>
    <s v="No"/>
    <n v="4"/>
    <n v="1.1000000000000001"/>
    <n v="0"/>
    <s v="No"/>
    <s v="Fair"/>
    <s v="No"/>
    <s v="Finance"/>
    <s v="Friday"/>
    <s v="Afternoon"/>
  </r>
  <r>
    <x v="2078"/>
    <s v="2024-07-18 04:06:44"/>
    <x v="4"/>
    <s v="2024-08-05 04:36:44"/>
    <n v="432.5"/>
    <n v="18"/>
    <s v="Other"/>
    <s v="Miscellaneous"/>
    <x v="0"/>
    <n v="240"/>
    <x v="0"/>
    <s v="Portal"/>
    <s v="Tier 1"/>
    <s v="TECH-15"/>
    <s v="Junior"/>
    <x v="0"/>
    <s v="No"/>
    <n v="1"/>
    <s v="No"/>
    <n v="3"/>
    <n v="0.1"/>
    <n v="6.1"/>
    <s v="Yes"/>
    <s v="Good"/>
    <s v="No"/>
    <s v="Sales"/>
    <s v="Thursday"/>
    <s v="Morning"/>
  </r>
  <r>
    <x v="2079"/>
    <s v="2024-08-06 06:36:32"/>
    <x v="1"/>
    <s v="2024-08-15 17:48:32"/>
    <n v="227.2"/>
    <n v="9.5"/>
    <s v="Password Reset"/>
    <s v="Email Password"/>
    <x v="0"/>
    <n v="240"/>
    <x v="1"/>
    <s v="Phone"/>
    <s v="Tier 1"/>
    <s v="TECH-4"/>
    <s v="Mid-level"/>
    <x v="0"/>
    <s v="No"/>
    <n v="1"/>
    <s v="No"/>
    <n v="9"/>
    <n v="2.2999999999999998"/>
    <n v="17.100000000000001"/>
    <s v="Yes"/>
    <s v="Good"/>
    <s v="Yes"/>
    <s v="Executive"/>
    <s v="Thursday"/>
    <s v="Evening"/>
  </r>
  <r>
    <x v="2080"/>
    <s v="2024-10-17 21:16:24"/>
    <x v="2"/>
    <s v="2024-10-26 06:28:24"/>
    <n v="201.2"/>
    <n v="8.4"/>
    <s v="Other"/>
    <s v="Documentation"/>
    <x v="0"/>
    <n v="240"/>
    <x v="1"/>
    <s v="Portal"/>
    <s v="Tier 1"/>
    <s v="TECH-22"/>
    <s v="Senior"/>
    <x v="0"/>
    <s v="No"/>
    <n v="1"/>
    <s v="Yes"/>
    <n v="10"/>
    <n v="2.9"/>
    <n v="22.3"/>
    <s v="Yes"/>
    <s v="Fair"/>
    <s v="No"/>
    <s v="Finance"/>
    <s v="Monday"/>
    <s v="Afternoon"/>
  </r>
  <r>
    <x v="2081"/>
    <s v="2024-05-25 13:45:07"/>
    <x v="8"/>
    <s v="2024-05-28 16:03:07"/>
    <n v="74.3"/>
    <n v="3.1"/>
    <s v="Hardware Issues"/>
    <s v="Printer"/>
    <x v="1"/>
    <n v="120"/>
    <x v="1"/>
    <s v="Email"/>
    <s v="Tier 1"/>
    <s v="TECH-7"/>
    <s v="Senior"/>
    <x v="0"/>
    <s v="No"/>
    <n v="1"/>
    <s v="Yes"/>
    <n v="8"/>
    <n v="6.1"/>
    <n v="13.5"/>
    <s v="Yes"/>
    <s v="Fair"/>
    <s v="No"/>
    <s v="Marketing"/>
    <s v="Monday"/>
    <s v="Morning"/>
  </r>
  <r>
    <x v="2082"/>
    <s v="2024-05-17 01:09:02"/>
    <x v="8"/>
    <s v="2024-05-31 23:51:02"/>
    <n v="334.7"/>
    <n v="13.9"/>
    <s v="Software Installation"/>
    <s v="Drivers"/>
    <x v="0"/>
    <n v="240"/>
    <x v="0"/>
    <s v="Email"/>
    <s v="Tier 2"/>
    <s v="TECH-11"/>
    <s v="Mid-level"/>
    <x v="0"/>
    <s v="Yes"/>
    <n v="2"/>
    <s v="Yes"/>
    <n v="6"/>
    <n v="2.2999999999999998"/>
    <n v="24.1"/>
    <s v="No"/>
    <s v="Good"/>
    <s v="Yes"/>
    <s v="Finance"/>
    <s v="Tuesday"/>
    <s v="Morning"/>
  </r>
  <r>
    <x v="2083"/>
    <s v="2024-10-17 18:55:49"/>
    <x v="2"/>
    <s v="2024-10-24 09:07:49"/>
    <n v="158.19999999999999"/>
    <n v="6.6"/>
    <s v="Access Requests"/>
    <s v="File Share"/>
    <x v="0"/>
    <n v="240"/>
    <x v="1"/>
    <s v="Phone"/>
    <s v="Tier 1"/>
    <s v="TECH-1"/>
    <s v="Junior"/>
    <x v="1"/>
    <s v="No"/>
    <n v="0"/>
    <s v="No"/>
    <n v="7"/>
    <n v="1.9"/>
    <n v="35.200000000000003"/>
    <s v="No"/>
    <s v="Fair"/>
    <s v="Yes"/>
    <s v="Marketing"/>
    <s v="Friday"/>
    <s v="Morning"/>
  </r>
  <r>
    <x v="2084"/>
    <s v="2024-11-27 11:56:28"/>
    <x v="7"/>
    <s v="2024-12-06 20:26:28"/>
    <n v="224.5"/>
    <n v="9.4"/>
    <s v="Network Connectivity"/>
    <s v="Ethernet"/>
    <x v="0"/>
    <n v="240"/>
    <x v="1"/>
    <s v="Phone"/>
    <s v="Tier 1"/>
    <s v="TECH-5"/>
    <s v="Mid-level"/>
    <x v="1"/>
    <s v="No"/>
    <n v="0"/>
    <s v="Yes"/>
    <n v="10"/>
    <n v="0.9"/>
    <n v="24"/>
    <s v="Yes"/>
    <s v="Fair"/>
    <s v="No"/>
    <s v="IT"/>
    <s v="Thursday"/>
    <s v="Afternoon"/>
  </r>
  <r>
    <x v="2085"/>
    <s v="2024-10-03 20:49:34"/>
    <x v="2"/>
    <s v="2024-10-14 05:01:34"/>
    <n v="248.2"/>
    <n v="10.3"/>
    <s v="Software Installation"/>
    <s v="Adobe Suite"/>
    <x v="0"/>
    <n v="240"/>
    <x v="0"/>
    <s v="Email"/>
    <s v="Tier 2"/>
    <s v="TECH-22"/>
    <s v="Mid-level"/>
    <x v="0"/>
    <s v="Yes"/>
    <n v="4"/>
    <s v="No"/>
    <n v="7"/>
    <n v="2.4"/>
    <n v="7.2"/>
    <s v="Yes"/>
    <s v="Good"/>
    <s v="Yes"/>
    <s v="Marketing"/>
    <s v="Monday"/>
    <s v="Afternoon"/>
  </r>
  <r>
    <x v="2086"/>
    <s v="2024-01-19 00:57:35"/>
    <x v="3"/>
    <s v="2024-01-29 20:33:35"/>
    <n v="235.6"/>
    <n v="9.8000000000000007"/>
    <s v="Password Reset"/>
    <s v="Application Password"/>
    <x v="2"/>
    <n v="360"/>
    <x v="1"/>
    <s v="Phone"/>
    <s v="Tier 1"/>
    <s v="TECH-22"/>
    <s v="Mid-level"/>
    <x v="1"/>
    <s v="No"/>
    <n v="0"/>
    <s v="No"/>
    <n v="10"/>
    <n v="3.7"/>
    <n v="4.7"/>
    <s v="Yes"/>
    <s v="Poor"/>
    <s v="No"/>
    <s v="HR"/>
    <s v="Friday"/>
    <s v="Afternoon"/>
  </r>
  <r>
    <x v="2087"/>
    <s v="2024-10-17 10:00:54"/>
    <x v="2"/>
    <s v="2024-10-28 01:18:54"/>
    <n v="280.3"/>
    <n v="11.7"/>
    <s v="Password Reset"/>
    <s v="Windows Password"/>
    <x v="2"/>
    <n v="360"/>
    <x v="1"/>
    <s v="Phone"/>
    <s v="Tier 1"/>
    <s v="TECH-4"/>
    <s v="Mid-level"/>
    <x v="1"/>
    <s v="No"/>
    <n v="0"/>
    <s v="No"/>
    <n v="10"/>
    <n v="1.6"/>
    <n v="48.3"/>
    <s v="Yes"/>
    <s v="Poor"/>
    <s v="Yes"/>
    <s v="Finance"/>
    <s v="Wednesday"/>
    <s v="Afternoon"/>
  </r>
  <r>
    <x v="2088"/>
    <s v="2024-04-24 21:48:16"/>
    <x v="11"/>
    <s v="2024-05-06 21:18:16"/>
    <n v="287.5"/>
    <n v="12"/>
    <s v="Software Installation"/>
    <s v="Business Apps"/>
    <x v="0"/>
    <n v="240"/>
    <x v="0"/>
    <s v="Phone"/>
    <s v="Tier 1"/>
    <s v="TECH-10"/>
    <s v="Junior"/>
    <x v="0"/>
    <s v="No"/>
    <n v="1"/>
    <s v="Yes"/>
    <n v="8"/>
    <n v="2"/>
    <n v="0"/>
    <s v="No"/>
    <s v="Fair"/>
    <s v="Yes"/>
    <s v="Sales"/>
    <s v="Thursday"/>
    <s v="Evening"/>
  </r>
  <r>
    <x v="2089"/>
    <s v="2024-07-26 23:07:28"/>
    <x v="4"/>
    <s v="2024-08-05 08:49:28"/>
    <n v="225.7"/>
    <n v="9.4"/>
    <s v="Access Requests"/>
    <s v="Application Access"/>
    <x v="0"/>
    <n v="240"/>
    <x v="1"/>
    <s v="Walk-in"/>
    <s v="Tier 1"/>
    <s v="TECH-13"/>
    <s v="Junior"/>
    <x v="1"/>
    <s v="No"/>
    <n v="0"/>
    <s v="No"/>
    <n v="10"/>
    <n v="3"/>
    <n v="10.199999999999999"/>
    <s v="No"/>
    <s v="Poor"/>
    <s v="No"/>
    <s v="Marketing"/>
    <s v="Monday"/>
    <s v="Morning"/>
  </r>
  <r>
    <x v="2090"/>
    <s v="2024-04-03 06:09:56"/>
    <x v="11"/>
    <s v="2024-04-06 21:45:56"/>
    <n v="87.6"/>
    <n v="3.7"/>
    <s v="Access Requests"/>
    <s v="VPN Access"/>
    <x v="1"/>
    <n v="120"/>
    <x v="1"/>
    <s v="Portal"/>
    <s v="Tier 1"/>
    <s v="TECH-7"/>
    <s v="Mid-level"/>
    <x v="0"/>
    <s v="No"/>
    <n v="1"/>
    <s v="No"/>
    <n v="9"/>
    <n v="1.5"/>
    <n v="20.9"/>
    <s v="Yes"/>
    <s v="Good"/>
    <s v="Yes"/>
    <s v="Sales"/>
    <s v="Monday"/>
    <s v="Afternoon"/>
  </r>
  <r>
    <x v="2091"/>
    <s v="2024-05-25 09:58:19"/>
    <x v="8"/>
    <s v="2024-06-03 15:28:19"/>
    <n v="221.5"/>
    <n v="9.1999999999999993"/>
    <s v="Access Requests"/>
    <s v="Admin Rights"/>
    <x v="0"/>
    <n v="240"/>
    <x v="1"/>
    <s v="Portal"/>
    <s v="Tier 1"/>
    <s v="TECH-4"/>
    <s v="Junior"/>
    <x v="1"/>
    <s v="No"/>
    <n v="0"/>
    <s v="No"/>
    <n v="10"/>
    <n v="1.8"/>
    <n v="0"/>
    <s v="Yes"/>
    <s v="Poor"/>
    <s v="Yes"/>
    <s v="Marketing"/>
    <s v="Friday"/>
    <s v="Afternoon"/>
  </r>
  <r>
    <x v="2092"/>
    <s v="2024-09-09 13:22:28"/>
    <x v="9"/>
    <s v="2024-09-22 19:40:28"/>
    <n v="318.3"/>
    <n v="13.3"/>
    <s v="Access Requests"/>
    <s v="Admin Rights"/>
    <x v="2"/>
    <n v="360"/>
    <x v="1"/>
    <s v="Phone"/>
    <s v="Tier 1"/>
    <s v="TECH-24"/>
    <s v="Junior"/>
    <x v="0"/>
    <s v="No"/>
    <n v="1"/>
    <s v="No"/>
    <n v="10"/>
    <n v="2.2999999999999998"/>
    <n v="0"/>
    <s v="No"/>
    <s v="Good"/>
    <s v="Yes"/>
    <s v="Operations"/>
    <s v="Monday"/>
    <s v="Morning"/>
  </r>
  <r>
    <x v="2093"/>
    <s v="2024-11-09 15:51:59"/>
    <x v="7"/>
    <s v="2024-11-16 15:57:59"/>
    <n v="168.1"/>
    <n v="7"/>
    <s v="Email/Calendar"/>
    <s v="Distribution List"/>
    <x v="0"/>
    <n v="240"/>
    <x v="1"/>
    <s v="Portal"/>
    <s v="Tier 1"/>
    <s v="TECH-12"/>
    <s v="Mid-level"/>
    <x v="0"/>
    <s v="No"/>
    <n v="1"/>
    <s v="No"/>
    <n v="9"/>
    <n v="3.5"/>
    <n v="7.3"/>
    <s v="Yes"/>
    <s v="Fair"/>
    <s v="Yes"/>
    <s v="Legal"/>
    <s v="Friday"/>
    <s v="Morning"/>
  </r>
  <r>
    <x v="2094"/>
    <s v="2024-08-05 09:02:05"/>
    <x v="1"/>
    <s v="2024-08-12 14:38:05"/>
    <n v="173.6"/>
    <n v="7.2"/>
    <s v="Email/Calendar"/>
    <s v="Cannot Send/Receive"/>
    <x v="0"/>
    <n v="240"/>
    <x v="1"/>
    <s v="Chat"/>
    <s v="Tier 1"/>
    <s v="TECH-9"/>
    <s v="Mid-level"/>
    <x v="0"/>
    <s v="No"/>
    <n v="1"/>
    <s v="No"/>
    <n v="8"/>
    <n v="3"/>
    <n v="0"/>
    <s v="Yes"/>
    <s v="Good"/>
    <s v="Yes"/>
    <s v="HR"/>
    <s v="Friday"/>
    <s v="Morning"/>
  </r>
  <r>
    <x v="2095"/>
    <s v="2024-04-19 17:30:20"/>
    <x v="11"/>
    <s v="2024-04-22 21:36:20"/>
    <n v="76.099999999999994"/>
    <n v="3.2"/>
    <s v="Application Errors"/>
    <s v="Login Issues"/>
    <x v="1"/>
    <n v="120"/>
    <x v="1"/>
    <s v="Phone"/>
    <s v="Tier 2"/>
    <s v="TECH-1"/>
    <s v="Senior"/>
    <x v="0"/>
    <s v="Yes"/>
    <n v="1"/>
    <s v="No"/>
    <n v="10"/>
    <n v="2"/>
    <n v="5.0999999999999996"/>
    <s v="No"/>
    <s v="Poor"/>
    <s v="No"/>
    <s v="Finance"/>
    <s v="Tuesday"/>
    <s v="Afternoon"/>
  </r>
  <r>
    <x v="2096"/>
    <s v="2024-08-02 08:56:19"/>
    <x v="1"/>
    <s v="2024-08-14 17:38:19"/>
    <n v="296.7"/>
    <n v="12.4"/>
    <s v="Password Reset"/>
    <s v="Account Unlock"/>
    <x v="0"/>
    <n v="240"/>
    <x v="0"/>
    <s v="Email"/>
    <s v="Tier 1"/>
    <s v="TECH-21"/>
    <s v="Senior"/>
    <x v="1"/>
    <s v="No"/>
    <n v="0"/>
    <s v="No"/>
    <n v="6"/>
    <n v="4.2"/>
    <n v="20.100000000000001"/>
    <s v="No"/>
    <s v="Poor"/>
    <s v="Yes"/>
    <s v="Finance"/>
    <s v="Monday"/>
    <s v="Afternoon"/>
  </r>
  <r>
    <x v="2097"/>
    <s v="2024-07-24 18:34:01"/>
    <x v="4"/>
    <s v="2024-07-30 04:04:01"/>
    <n v="129.5"/>
    <n v="5.4"/>
    <s v="Hardware Issues"/>
    <s v="Desktop"/>
    <x v="1"/>
    <n v="120"/>
    <x v="0"/>
    <s v="Phone"/>
    <s v="Tier 1"/>
    <s v="TECH-16"/>
    <s v="Mid-level"/>
    <x v="0"/>
    <s v="No"/>
    <n v="1"/>
    <s v="Yes"/>
    <n v="4"/>
    <n v="5.7"/>
    <n v="0"/>
    <s v="Yes"/>
    <s v="Fair"/>
    <s v="Yes"/>
    <s v="Marketing"/>
    <s v="Thursday"/>
    <s v="Afternoon"/>
  </r>
  <r>
    <x v="2098"/>
    <s v="2024-11-23 21:40:52"/>
    <x v="7"/>
    <s v="2024-11-27 16:16:52"/>
    <n v="90.6"/>
    <n v="3.8"/>
    <s v="Network Connectivity"/>
    <s v="WiFi Issues"/>
    <x v="1"/>
    <n v="120"/>
    <x v="1"/>
    <s v="Walk-in"/>
    <s v="Tier 1"/>
    <s v="TECH-4"/>
    <s v="Mid-level"/>
    <x v="1"/>
    <s v="No"/>
    <n v="0"/>
    <s v="No"/>
    <n v="10"/>
    <n v="4.0999999999999996"/>
    <n v="0"/>
    <s v="Yes"/>
    <s v="Fair"/>
    <s v="Yes"/>
    <s v="Executive"/>
    <s v="Friday"/>
    <s v="Evening"/>
  </r>
  <r>
    <x v="2099"/>
    <s v="2024-12-01 02:52:15"/>
    <x v="0"/>
    <s v="2024-12-12 05:28:15"/>
    <n v="266.60000000000002"/>
    <n v="11.1"/>
    <s v="Access Requests"/>
    <s v="Admin Rights"/>
    <x v="0"/>
    <n v="240"/>
    <x v="0"/>
    <s v="Phone"/>
    <s v="Tier 1"/>
    <s v="TECH-3"/>
    <s v="Mid-level"/>
    <x v="1"/>
    <s v="No"/>
    <n v="0"/>
    <s v="No"/>
    <n v="7"/>
    <n v="1.6"/>
    <n v="13.6"/>
    <s v="Yes"/>
    <s v="Excellent"/>
    <s v="No"/>
    <s v="IT"/>
    <s v="Monday"/>
    <s v="Afternoon"/>
  </r>
  <r>
    <x v="2100"/>
    <s v="2024-02-19 03:44:46"/>
    <x v="6"/>
    <s v="2024-02-22 00:08:46"/>
    <n v="92.4"/>
    <n v="3.9"/>
    <s v="Application Errors"/>
    <s v="Features Not Working"/>
    <x v="1"/>
    <n v="120"/>
    <x v="1"/>
    <s v="Chat"/>
    <s v="Tier 1"/>
    <s v="TECH-5"/>
    <s v="Junior"/>
    <x v="1"/>
    <s v="No"/>
    <n v="0"/>
    <s v="No"/>
    <n v="10"/>
    <n v="1.4"/>
    <n v="15.2"/>
    <s v="Yes"/>
    <s v="Fair"/>
    <s v="Yes"/>
    <s v="HR"/>
    <s v="Wednesday"/>
    <s v="Morning"/>
  </r>
  <r>
    <x v="2101"/>
    <s v="2024-04-20 01:47:34"/>
    <x v="11"/>
    <s v="2024-04-25 17:59:34"/>
    <n v="112.2"/>
    <n v="4.7"/>
    <s v="Network Connectivity"/>
    <s v="Ethernet"/>
    <x v="1"/>
    <n v="120"/>
    <x v="1"/>
    <s v="Email"/>
    <s v="Tier 1"/>
    <s v="TECH-19"/>
    <s v="Mid-level"/>
    <x v="0"/>
    <s v="No"/>
    <n v="1"/>
    <s v="No"/>
    <n v="8"/>
    <n v="2.6"/>
    <n v="16.3"/>
    <s v="Yes"/>
    <s v="Fair"/>
    <s v="Yes"/>
    <s v="Finance"/>
    <s v="Monday"/>
    <s v="Afternoon"/>
  </r>
  <r>
    <x v="2102"/>
    <s v="2024-04-11 15:00:42"/>
    <x v="11"/>
    <s v="2024-04-20 09:06:42"/>
    <n v="210.1"/>
    <n v="8.8000000000000007"/>
    <s v="Hardware Issues"/>
    <s v="Desktop"/>
    <x v="0"/>
    <n v="240"/>
    <x v="1"/>
    <s v="Portal"/>
    <s v="Tier 2"/>
    <s v="TECH-5"/>
    <s v="Junior"/>
    <x v="0"/>
    <s v="Yes"/>
    <n v="2"/>
    <s v="No"/>
    <n v="8"/>
    <n v="3.2"/>
    <n v="31.8"/>
    <s v="Yes"/>
    <s v="Poor"/>
    <s v="Yes"/>
    <s v="Operations"/>
    <s v="Friday"/>
    <s v="Morning"/>
  </r>
  <r>
    <x v="2103"/>
    <s v="2024-11-18 11:23:43"/>
    <x v="7"/>
    <s v="2024-11-26 00:35:43"/>
    <n v="205.2"/>
    <n v="8.5"/>
    <s v="Access Requests"/>
    <s v="Admin Rights"/>
    <x v="0"/>
    <n v="240"/>
    <x v="1"/>
    <s v="Portal"/>
    <s v="Tier 1"/>
    <s v="TECH-1"/>
    <s v="Senior"/>
    <x v="1"/>
    <s v="No"/>
    <n v="0"/>
    <s v="No"/>
    <n v="9"/>
    <n v="3"/>
    <n v="12.6"/>
    <s v="Yes"/>
    <s v="Fair"/>
    <s v="Yes"/>
    <s v="IT"/>
    <s v="Tuesday"/>
    <s v="Evening"/>
  </r>
  <r>
    <x v="2104"/>
    <s v="2024-05-25 19:10:36"/>
    <x v="8"/>
    <s v="2024-06-10 04:28:36"/>
    <n v="369.3"/>
    <n v="15.4"/>
    <s v="Other"/>
    <s v="Miscellaneous"/>
    <x v="2"/>
    <n v="360"/>
    <x v="0"/>
    <s v="Email"/>
    <s v="Tier 1"/>
    <s v="TECH-9"/>
    <s v="Senior"/>
    <x v="0"/>
    <s v="No"/>
    <n v="1"/>
    <s v="No"/>
    <n v="8"/>
    <n v="2.4"/>
    <n v="35"/>
    <s v="Yes"/>
    <s v="Poor"/>
    <s v="No"/>
    <s v="Operations"/>
    <s v="Thursday"/>
    <s v="Afternoon"/>
  </r>
  <r>
    <x v="2105"/>
    <s v="2024-09-12 10:39:46"/>
    <x v="9"/>
    <s v="2024-09-24 14:27:46"/>
    <n v="291.8"/>
    <n v="12.2"/>
    <s v="Password Reset"/>
    <s v="Account Unlock"/>
    <x v="2"/>
    <n v="360"/>
    <x v="1"/>
    <s v="Email"/>
    <s v="Tier 1"/>
    <s v="TECH-2"/>
    <s v="Mid-level"/>
    <x v="1"/>
    <s v="No"/>
    <n v="0"/>
    <s v="No"/>
    <n v="10"/>
    <n v="0.4"/>
    <n v="6.3"/>
    <s v="Yes"/>
    <s v="Fair"/>
    <s v="No"/>
    <s v="IT"/>
    <s v="Tuesday"/>
    <s v="Morning"/>
  </r>
  <r>
    <x v="2106"/>
    <s v="2024-12-18 21:30:25"/>
    <x v="0"/>
    <s v="2025-01-15 22:30:25"/>
    <n v="673"/>
    <n v="28"/>
    <s v="Software Installation"/>
    <s v="MS Office"/>
    <x v="0"/>
    <n v="240"/>
    <x v="0"/>
    <s v="Email"/>
    <s v="Tier 2"/>
    <s v="TECH-6"/>
    <s v="Mid-level"/>
    <x v="0"/>
    <s v="Yes"/>
    <n v="1"/>
    <s v="No"/>
    <n v="8"/>
    <n v="4.0999999999999996"/>
    <n v="41.3"/>
    <s v="No"/>
    <s v="Excellent"/>
    <s v="Yes"/>
    <s v="Sales"/>
    <s v="Friday"/>
    <s v="Morning"/>
  </r>
  <r>
    <x v="2107"/>
    <s v="2024-06-27 02:56:21"/>
    <x v="10"/>
    <s v="2024-07-06 18:38:21"/>
    <n v="207.7"/>
    <n v="8.6999999999999993"/>
    <s v="Software Installation"/>
    <s v="VPN Client"/>
    <x v="0"/>
    <n v="240"/>
    <x v="1"/>
    <s v="Email"/>
    <s v="Tier 1"/>
    <s v="TECH-20"/>
    <s v="Mid-level"/>
    <x v="0"/>
    <s v="No"/>
    <n v="1"/>
    <s v="No"/>
    <n v="9"/>
    <n v="2.9"/>
    <n v="24.7"/>
    <s v="No"/>
    <s v="Fair"/>
    <s v="Yes"/>
    <s v="Operations"/>
    <s v="Wednesday"/>
    <s v="Evening"/>
  </r>
  <r>
    <x v="2108"/>
    <s v="2024-12-03 22:17:41"/>
    <x v="0"/>
    <s v="2024-12-07 02:53:41"/>
    <n v="76.599999999999994"/>
    <n v="3.2"/>
    <s v="Application Errors"/>
    <s v="Crash"/>
    <x v="1"/>
    <n v="120"/>
    <x v="1"/>
    <s v="Portal"/>
    <s v="Tier 1"/>
    <s v="TECH-4"/>
    <s v="Mid-level"/>
    <x v="0"/>
    <s v="No"/>
    <n v="1"/>
    <s v="No"/>
    <n v="9"/>
    <n v="1.5"/>
    <n v="37.1"/>
    <s v="Yes"/>
    <s v="Fair"/>
    <s v="No"/>
    <s v="HR"/>
    <s v="Thursday"/>
    <s v="Morning"/>
  </r>
  <r>
    <x v="2109"/>
    <s v="2024-07-07 06:10:05"/>
    <x v="4"/>
    <s v="2024-07-15 10:52:05"/>
    <n v="196.7"/>
    <n v="8.1999999999999993"/>
    <s v="Hardware Issues"/>
    <s v="Keyboard/Mouse"/>
    <x v="0"/>
    <n v="240"/>
    <x v="1"/>
    <s v="Phone"/>
    <s v="Tier 1"/>
    <s v="TECH-23"/>
    <s v="Mid-level"/>
    <x v="0"/>
    <s v="No"/>
    <n v="1"/>
    <s v="No"/>
    <n v="8"/>
    <n v="2.8"/>
    <n v="16.5"/>
    <s v="Yes"/>
    <s v="Good"/>
    <s v="No"/>
    <s v="Executive"/>
    <s v="Monday"/>
    <s v="Evening"/>
  </r>
  <r>
    <x v="2110"/>
    <s v="2024-03-14 13:54:34"/>
    <x v="5"/>
    <s v="2024-03-25 20:12:34"/>
    <n v="270.3"/>
    <n v="11.3"/>
    <s v="Password Reset"/>
    <s v="Application Password"/>
    <x v="2"/>
    <n v="360"/>
    <x v="1"/>
    <s v="Walk-in"/>
    <s v="Tier 1"/>
    <s v="TECH-11"/>
    <s v="Mid-level"/>
    <x v="1"/>
    <s v="No"/>
    <n v="0"/>
    <s v="No"/>
    <n v="10"/>
    <n v="2.7"/>
    <n v="28"/>
    <s v="No"/>
    <s v="Good"/>
    <s v="No"/>
    <s v="Executive"/>
    <s v="Thursday"/>
    <s v="Morning"/>
  </r>
  <r>
    <x v="2111"/>
    <s v="2024-06-01 02:06:48"/>
    <x v="10"/>
    <s v="2024-06-10 16:54:48"/>
    <n v="206.8"/>
    <n v="8.6"/>
    <s v="Password Reset"/>
    <s v="Email Password"/>
    <x v="0"/>
    <n v="240"/>
    <x v="1"/>
    <s v="Walk-in"/>
    <s v="Tier 1"/>
    <s v="TECH-22"/>
    <s v="Mid-level"/>
    <x v="0"/>
    <s v="No"/>
    <n v="1"/>
    <s v="No"/>
    <n v="10"/>
    <n v="0.6"/>
    <n v="0"/>
    <s v="No"/>
    <s v="Fair"/>
    <s v="No"/>
    <s v="Legal"/>
    <s v="Tuesday"/>
    <s v="Afternoon"/>
  </r>
  <r>
    <x v="2112"/>
    <s v="2024-03-27 06:53:25"/>
    <x v="5"/>
    <s v="2024-04-05 10:17:25"/>
    <n v="218.4"/>
    <n v="9.1"/>
    <s v="Hardware Issues"/>
    <s v="Docking Station"/>
    <x v="0"/>
    <n v="240"/>
    <x v="1"/>
    <s v="Portal"/>
    <s v="Tier 1"/>
    <s v="TECH-4"/>
    <s v="Junior"/>
    <x v="0"/>
    <s v="No"/>
    <n v="1"/>
    <s v="No"/>
    <n v="7"/>
    <n v="5.3"/>
    <n v="15.1"/>
    <s v="No"/>
    <s v="Good"/>
    <s v="Yes"/>
    <s v="Executive"/>
    <s v="Tuesday"/>
    <s v="Afternoon"/>
  </r>
  <r>
    <x v="2113"/>
    <s v="2024-03-18 07:55:20"/>
    <x v="5"/>
    <s v="2024-03-27 12:19:20"/>
    <n v="220.4"/>
    <n v="9.1999999999999993"/>
    <s v="Other"/>
    <s v="Training Request"/>
    <x v="0"/>
    <n v="240"/>
    <x v="1"/>
    <s v="Phone"/>
    <s v="Tier 1"/>
    <s v="TECH-11"/>
    <s v="Mid-level"/>
    <x v="1"/>
    <s v="No"/>
    <n v="0"/>
    <s v="No"/>
    <n v="9"/>
    <n v="4.2"/>
    <n v="14.4"/>
    <s v="Yes"/>
    <s v="Excellent"/>
    <s v="Yes"/>
    <s v="Marketing"/>
    <s v="Wednesday"/>
    <s v="Morning"/>
  </r>
  <r>
    <x v="2114"/>
    <s v="2024-10-08 08:59:39"/>
    <x v="2"/>
    <s v="2024-10-28 22:59:39"/>
    <n v="495"/>
    <n v="20.6"/>
    <s v="Application Errors"/>
    <s v="Performance"/>
    <x v="0"/>
    <n v="240"/>
    <x v="0"/>
    <s v="Email"/>
    <s v="Tier 2"/>
    <s v="TECH-4"/>
    <s v="Mid-level"/>
    <x v="0"/>
    <s v="Yes"/>
    <n v="4"/>
    <s v="No"/>
    <n v="3"/>
    <n v="0.1"/>
    <n v="3.3"/>
    <s v="Yes"/>
    <s v="Fair"/>
    <s v="Yes"/>
    <s v="Executive"/>
    <s v="Monday"/>
    <s v="Afternoon"/>
  </r>
  <r>
    <x v="2115"/>
    <s v="2024-09-22 13:39:51"/>
    <x v="9"/>
    <s v="2024-09-24 14:15:51"/>
    <n v="48.6"/>
    <n v="2"/>
    <s v="Application Errors"/>
    <s v="Login Issues"/>
    <x v="3"/>
    <n v="48"/>
    <x v="0"/>
    <s v="Portal"/>
    <s v="Tier 2"/>
    <s v="TECH-24"/>
    <s v="Mid-level"/>
    <x v="0"/>
    <s v="Yes"/>
    <n v="3"/>
    <s v="No"/>
    <n v="3"/>
    <n v="2.5"/>
    <n v="17"/>
    <s v="Yes"/>
    <s v="Good"/>
    <s v="No"/>
    <s v="Operations"/>
    <s v="Tuesday"/>
    <s v="Afternoon"/>
  </r>
  <r>
    <x v="2116"/>
    <s v="2024-06-13 07:32:12"/>
    <x v="10"/>
    <s v="2024-06-26 00:44:12"/>
    <n v="329.2"/>
    <n v="13.7"/>
    <s v="Password Reset"/>
    <s v="Windows Password"/>
    <x v="2"/>
    <n v="360"/>
    <x v="1"/>
    <s v="Phone"/>
    <s v="Tier 1"/>
    <s v="TECH-10"/>
    <s v="Mid-level"/>
    <x v="1"/>
    <s v="No"/>
    <n v="0"/>
    <s v="No"/>
    <n v="9"/>
    <n v="0.8"/>
    <n v="42.4"/>
    <s v="Yes"/>
    <s v="Fair"/>
    <s v="No"/>
    <s v="Operations"/>
    <s v="Wednesday"/>
    <s v="Afternoon"/>
  </r>
  <r>
    <x v="2117"/>
    <s v="2024-12-03 19:26:54"/>
    <x v="0"/>
    <s v="2024-12-16 13:26:54"/>
    <n v="306"/>
    <n v="12.8"/>
    <s v="Password Reset"/>
    <s v="Email Password"/>
    <x v="2"/>
    <n v="360"/>
    <x v="1"/>
    <s v="Portal"/>
    <s v="Tier 1"/>
    <s v="TECH-9"/>
    <s v="Mid-level"/>
    <x v="0"/>
    <s v="No"/>
    <n v="1"/>
    <s v="No"/>
    <n v="8"/>
    <n v="0.7"/>
    <n v="18.899999999999999"/>
    <s v="Yes"/>
    <s v="Excellent"/>
    <s v="No"/>
    <s v="Operations"/>
    <s v="Monday"/>
    <s v="Afternoon"/>
  </r>
  <r>
    <x v="2118"/>
    <s v="2024-06-01 04:50:54"/>
    <x v="10"/>
    <s v="2024-06-07 06:20:54"/>
    <n v="145.5"/>
    <n v="6.1"/>
    <s v="Password Reset"/>
    <s v="Application Password"/>
    <x v="0"/>
    <n v="240"/>
    <x v="1"/>
    <s v="Portal"/>
    <s v="Tier 1"/>
    <s v="TECH-17"/>
    <s v="Mid-level"/>
    <x v="0"/>
    <s v="No"/>
    <n v="1"/>
    <s v="Yes"/>
    <n v="8"/>
    <n v="1.2"/>
    <n v="8.5"/>
    <s v="Yes"/>
    <s v="Excellent"/>
    <s v="No"/>
    <s v="Executive"/>
    <s v="Tuesday"/>
    <s v="Evening"/>
  </r>
  <r>
    <x v="2119"/>
    <s v="2024-03-06 11:09:41"/>
    <x v="5"/>
    <s v="2024-03-13 19:09:41"/>
    <n v="176"/>
    <n v="7.3"/>
    <s v="Access Requests"/>
    <s v="VPN Access"/>
    <x v="0"/>
    <n v="240"/>
    <x v="1"/>
    <s v="Walk-in"/>
    <s v="Tier 1"/>
    <s v="TECH-22"/>
    <s v="Junior"/>
    <x v="0"/>
    <s v="No"/>
    <n v="1"/>
    <s v="No"/>
    <n v="10"/>
    <n v="4.9000000000000004"/>
    <n v="4.2"/>
    <s v="No"/>
    <s v="Excellent"/>
    <s v="No"/>
    <s v="Executive"/>
    <s v="Monday"/>
    <s v="Evening"/>
  </r>
  <r>
    <x v="2120"/>
    <s v="2024-08-10 11:52:30"/>
    <x v="1"/>
    <s v="2024-08-20 14:16:30"/>
    <n v="242.4"/>
    <n v="10.1"/>
    <s v="Password Reset"/>
    <s v="Account Unlock"/>
    <x v="2"/>
    <n v="360"/>
    <x v="1"/>
    <s v="Phone"/>
    <s v="Tier 1"/>
    <s v="TECH-2"/>
    <s v="Mid-level"/>
    <x v="0"/>
    <s v="No"/>
    <n v="1"/>
    <s v="No"/>
    <n v="8"/>
    <n v="6.8"/>
    <n v="8.6999999999999993"/>
    <s v="Yes"/>
    <s v="Fair"/>
    <s v="No"/>
    <s v="Executive"/>
    <s v="Tuesday"/>
    <s v="Afternoon"/>
  </r>
  <r>
    <x v="2121"/>
    <s v="2024-10-04 09:16:27"/>
    <x v="2"/>
    <s v="2024-10-16 11:22:27"/>
    <n v="290.10000000000002"/>
    <n v="12.1"/>
    <s v="Hardware Issues"/>
    <s v="Laptop"/>
    <x v="2"/>
    <n v="360"/>
    <x v="1"/>
    <s v="Phone"/>
    <s v="Tier 1"/>
    <s v="TECH-2"/>
    <s v="Senior"/>
    <x v="0"/>
    <s v="No"/>
    <n v="1"/>
    <s v="No"/>
    <n v="9"/>
    <n v="2.6"/>
    <n v="31.3"/>
    <s v="No"/>
    <s v="Good"/>
    <s v="Yes"/>
    <s v="Legal"/>
    <s v="Tuesday"/>
    <s v="Afternoon"/>
  </r>
  <r>
    <x v="2122"/>
    <s v="2024-06-03 13:38:10"/>
    <x v="10"/>
    <s v="2024-06-07 14:20:10"/>
    <n v="96.7"/>
    <n v="4"/>
    <s v="Hardware Issues"/>
    <s v="Desktop"/>
    <x v="1"/>
    <n v="120"/>
    <x v="1"/>
    <s v="Email"/>
    <s v="Tier 1"/>
    <s v="TECH-2"/>
    <s v="Mid-level"/>
    <x v="0"/>
    <s v="No"/>
    <n v="1"/>
    <s v="No"/>
    <n v="9"/>
    <n v="5.2"/>
    <n v="0"/>
    <s v="No"/>
    <s v="Fair"/>
    <s v="Yes"/>
    <s v="Executive"/>
    <s v="Tuesday"/>
    <s v="Afternoon"/>
  </r>
  <r>
    <x v="2123"/>
    <s v="2024-09-18 20:20:31"/>
    <x v="9"/>
    <s v="2024-10-06 00:38:31"/>
    <n v="436.3"/>
    <n v="18.2"/>
    <s v="Password Reset"/>
    <s v="Windows Password"/>
    <x v="2"/>
    <n v="360"/>
    <x v="0"/>
    <s v="Email"/>
    <s v="Tier 1"/>
    <s v="TECH-4"/>
    <s v="Mid-level"/>
    <x v="1"/>
    <s v="No"/>
    <n v="0"/>
    <s v="Yes"/>
    <n v="8"/>
    <n v="0.6"/>
    <n v="28.2"/>
    <s v="Yes"/>
    <s v="Fair"/>
    <s v="Yes"/>
    <s v="Legal"/>
    <s v="Monday"/>
    <s v="Morning"/>
  </r>
  <r>
    <x v="2124"/>
    <s v="2024-11-04 19:05:46"/>
    <x v="7"/>
    <s v="2024-11-09 06:41:46"/>
    <n v="107.6"/>
    <n v="4.5"/>
    <s v="Password Reset"/>
    <s v="Account Unlock"/>
    <x v="1"/>
    <n v="120"/>
    <x v="1"/>
    <s v="Email"/>
    <s v="Tier 1"/>
    <s v="TECH-22"/>
    <s v="Mid-level"/>
    <x v="1"/>
    <s v="No"/>
    <n v="0"/>
    <s v="No"/>
    <n v="8"/>
    <n v="3.9"/>
    <n v="28.1"/>
    <s v="Yes"/>
    <s v="Fair"/>
    <s v="No"/>
    <s v="Marketing"/>
    <s v="Monday"/>
    <s v="Afternoon"/>
  </r>
  <r>
    <x v="2125"/>
    <s v="2024-10-28 06:08:34"/>
    <x v="2"/>
    <s v="2024-11-05 13:14:34"/>
    <n v="199.1"/>
    <n v="8.3000000000000007"/>
    <s v="Network Connectivity"/>
    <s v="Slow Network"/>
    <x v="1"/>
    <n v="120"/>
    <x v="0"/>
    <s v="Portal"/>
    <s v="Tier 1"/>
    <s v="TECH-25"/>
    <s v="Senior"/>
    <x v="0"/>
    <s v="No"/>
    <n v="1"/>
    <s v="No"/>
    <n v="4"/>
    <n v="1.9"/>
    <n v="19"/>
    <s v="Yes"/>
    <s v="Poor"/>
    <s v="No"/>
    <s v="Marketing"/>
    <s v="Wednesday"/>
    <s v="Morning"/>
  </r>
  <r>
    <x v="2126"/>
    <s v="2024-02-19 21:11:10"/>
    <x v="6"/>
    <s v="2024-02-23 22:17:10"/>
    <n v="97.1"/>
    <n v="4"/>
    <s v="Network Connectivity"/>
    <s v="VPN Connection"/>
    <x v="1"/>
    <n v="120"/>
    <x v="1"/>
    <s v="Email"/>
    <s v="Tier 2"/>
    <s v="TECH-14"/>
    <s v="Junior"/>
    <x v="0"/>
    <s v="Yes"/>
    <n v="1"/>
    <s v="No"/>
    <n v="7"/>
    <n v="0.9"/>
    <n v="0"/>
    <s v="No"/>
    <s v="Poor"/>
    <s v="Yes"/>
    <s v="HR"/>
    <s v="Tuesday"/>
    <s v="Morning"/>
  </r>
  <r>
    <x v="2127"/>
    <s v="2024-03-29 00:04:32"/>
    <x v="5"/>
    <s v="2024-04-03 06:04:32"/>
    <n v="101"/>
    <n v="4.2"/>
    <s v="Software Installation"/>
    <s v="VPN Client"/>
    <x v="1"/>
    <n v="120"/>
    <x v="1"/>
    <s v="Phone"/>
    <s v="Tier 2"/>
    <s v="TECH-2"/>
    <s v="Junior"/>
    <x v="0"/>
    <s v="Yes"/>
    <n v="1"/>
    <s v="No"/>
    <n v="6"/>
    <n v="0.1"/>
    <n v="26.9"/>
    <s v="No"/>
    <s v="Excellent"/>
    <s v="Yes"/>
    <s v="Sales"/>
    <s v="Monday"/>
    <s v="Morning"/>
  </r>
  <r>
    <x v="2128"/>
    <s v="2024-04-26 11:11:59"/>
    <x v="11"/>
    <s v="2024-05-10 10:05:59"/>
    <n v="334.9"/>
    <n v="14"/>
    <s v="Password Reset"/>
    <s v="Account Unlock"/>
    <x v="2"/>
    <n v="360"/>
    <x v="1"/>
    <s v="Portal"/>
    <s v="Tier 1"/>
    <s v="TECH-2"/>
    <s v="Mid-level"/>
    <x v="1"/>
    <s v="No"/>
    <n v="0"/>
    <s v="No"/>
    <n v="9"/>
    <n v="2.1"/>
    <n v="4.9000000000000004"/>
    <s v="Yes"/>
    <s v="Fair"/>
    <s v="Yes"/>
    <s v="Marketing"/>
    <s v="Tuesday"/>
    <s v="Morning"/>
  </r>
  <r>
    <x v="2129"/>
    <s v="2024-03-19 00:44:47"/>
    <x v="5"/>
    <s v="2024-04-02 20:14:47"/>
    <n v="330.5"/>
    <n v="13.8"/>
    <s v="Application Errors"/>
    <s v="Features Not Working"/>
    <x v="0"/>
    <n v="240"/>
    <x v="0"/>
    <s v="Email"/>
    <s v="Tier 1"/>
    <s v="TECH-11"/>
    <s v="Senior"/>
    <x v="0"/>
    <s v="No"/>
    <n v="1"/>
    <s v="No"/>
    <n v="8"/>
    <n v="4.0999999999999996"/>
    <n v="7.5"/>
    <s v="No"/>
    <s v="Poor"/>
    <s v="Yes"/>
    <s v="HR"/>
    <s v="Wednesday"/>
    <s v="Evening"/>
  </r>
  <r>
    <x v="2130"/>
    <s v="2024-05-27 00:12:04"/>
    <x v="8"/>
    <s v="2024-06-03 15:36:04"/>
    <n v="159.4"/>
    <n v="6.6"/>
    <s v="Other"/>
    <s v="General Inquiry"/>
    <x v="0"/>
    <n v="240"/>
    <x v="1"/>
    <s v="Email"/>
    <s v="Tier 1"/>
    <s v="TECH-17"/>
    <s v="Mid-level"/>
    <x v="1"/>
    <s v="No"/>
    <n v="0"/>
    <s v="No"/>
    <n v="10"/>
    <n v="1.6"/>
    <n v="0.2"/>
    <s v="No"/>
    <s v="Good"/>
    <s v="No"/>
    <s v="Marketing"/>
    <s v="Tuesday"/>
    <s v="Morning"/>
  </r>
  <r>
    <x v="2131"/>
    <s v="2024-06-27 19:54:23"/>
    <x v="10"/>
    <s v="2024-07-08 20:24:23"/>
    <n v="264.5"/>
    <n v="11"/>
    <s v="Other"/>
    <s v="Training Request"/>
    <x v="2"/>
    <n v="360"/>
    <x v="1"/>
    <s v="Portal"/>
    <s v="Tier 1"/>
    <s v="TECH-11"/>
    <s v="Mid-level"/>
    <x v="1"/>
    <s v="No"/>
    <n v="0"/>
    <s v="Yes"/>
    <n v="7"/>
    <n v="0.1"/>
    <n v="26.4"/>
    <s v="Yes"/>
    <s v="Fair"/>
    <s v="Yes"/>
    <s v="Sales"/>
    <s v="Monday"/>
    <s v="Morning"/>
  </r>
  <r>
    <x v="2132"/>
    <s v="2024-11-20 15:12:40"/>
    <x v="7"/>
    <s v="2024-11-29 08:30:40"/>
    <n v="209.3"/>
    <n v="8.6999999999999993"/>
    <s v="Access Requests"/>
    <s v="VPN Access"/>
    <x v="0"/>
    <n v="240"/>
    <x v="1"/>
    <s v="Portal"/>
    <s v="Tier 1"/>
    <s v="TECH-16"/>
    <s v="Mid-level"/>
    <x v="1"/>
    <s v="No"/>
    <n v="0"/>
    <s v="No"/>
    <n v="7"/>
    <n v="2.9"/>
    <n v="16.399999999999999"/>
    <s v="Yes"/>
    <s v="Fair"/>
    <s v="Yes"/>
    <s v="Marketing"/>
    <s v="Wednesday"/>
    <s v="Afternoon"/>
  </r>
  <r>
    <x v="2133"/>
    <s v="2024-07-09 03:00:11"/>
    <x v="4"/>
    <s v="2024-07-15 14:24:11"/>
    <n v="155.4"/>
    <n v="6.5"/>
    <s v="Email/Calendar"/>
    <s v="Cannot Send/Receive"/>
    <x v="1"/>
    <n v="120"/>
    <x v="0"/>
    <s v="Email"/>
    <s v="Tier 1"/>
    <s v="TECH-5"/>
    <s v="Mid-level"/>
    <x v="0"/>
    <s v="No"/>
    <n v="1"/>
    <s v="No"/>
    <n v="8"/>
    <n v="4"/>
    <n v="24.5"/>
    <s v="Yes"/>
    <s v="Poor"/>
    <s v="Yes"/>
    <s v="Sales"/>
    <s v="Tuesday"/>
    <s v="Morning"/>
  </r>
  <r>
    <x v="2134"/>
    <s v="2024-09-19 02:56:51"/>
    <x v="9"/>
    <s v="2024-09-21 20:20:51"/>
    <n v="41.4"/>
    <n v="1.7"/>
    <s v="Email/Calendar"/>
    <s v="Distribution List"/>
    <x v="3"/>
    <n v="48"/>
    <x v="1"/>
    <s v="Email"/>
    <s v="Tier 1"/>
    <s v="TECH-11"/>
    <s v="Junior"/>
    <x v="0"/>
    <s v="No"/>
    <n v="1"/>
    <s v="No"/>
    <n v="6"/>
    <n v="1"/>
    <n v="12"/>
    <s v="Yes"/>
    <s v="Good"/>
    <s v="No"/>
    <s v="Legal"/>
    <s v="Monday"/>
    <s v="Evening"/>
  </r>
  <r>
    <x v="2135"/>
    <s v="2024-07-02 08:31:18"/>
    <x v="4"/>
    <s v="2024-07-12 14:25:18"/>
    <n v="245.9"/>
    <n v="10.199999999999999"/>
    <s v="Software Installation"/>
    <s v="MS Office"/>
    <x v="0"/>
    <n v="240"/>
    <x v="0"/>
    <s v="Portal"/>
    <s v="Tier 1"/>
    <s v="TECH-2"/>
    <s v="Senior"/>
    <x v="0"/>
    <s v="No"/>
    <n v="1"/>
    <s v="No"/>
    <n v="6"/>
    <n v="2.1"/>
    <n v="26.2"/>
    <s v="No"/>
    <s v="Good"/>
    <s v="No"/>
    <s v="Finance"/>
    <s v="Wednesday"/>
    <s v="Morning"/>
  </r>
  <r>
    <x v="2136"/>
    <s v="2024-08-21 14:14:05"/>
    <x v="1"/>
    <s v="2024-09-04 13:32:05"/>
    <n v="335.3"/>
    <n v="14"/>
    <s v="Other"/>
    <s v="Miscellaneous"/>
    <x v="2"/>
    <n v="360"/>
    <x v="1"/>
    <s v="Email"/>
    <s v="Tier 1"/>
    <s v="TECH-22"/>
    <s v="Mid-level"/>
    <x v="0"/>
    <s v="No"/>
    <n v="1"/>
    <s v="Yes"/>
    <n v="7"/>
    <n v="2.6"/>
    <n v="15.1"/>
    <s v="No"/>
    <s v="Good"/>
    <s v="Yes"/>
    <s v="IT"/>
    <s v="Thursday"/>
    <s v="Morning"/>
  </r>
  <r>
    <x v="2137"/>
    <s v="2024-02-22 10:24:33"/>
    <x v="6"/>
    <s v="2024-02-26 04:00:33"/>
    <n v="89.6"/>
    <n v="3.7"/>
    <s v="Application Errors"/>
    <s v="Features Not Working"/>
    <x v="1"/>
    <n v="120"/>
    <x v="1"/>
    <s v="Phone"/>
    <s v="Tier 1"/>
    <s v="TECH-14"/>
    <s v="Senior"/>
    <x v="0"/>
    <s v="No"/>
    <n v="1"/>
    <s v="Yes"/>
    <n v="9"/>
    <n v="4.2"/>
    <n v="11.1"/>
    <s v="Yes"/>
    <s v="Good"/>
    <s v="No"/>
    <s v="Legal"/>
    <s v="Wednesday"/>
    <s v="Afternoon"/>
  </r>
  <r>
    <x v="2138"/>
    <s v="2024-04-14 13:27:52"/>
    <x v="11"/>
    <s v="2024-04-23 18:15:52"/>
    <n v="220.8"/>
    <n v="9.1999999999999993"/>
    <s v="Email/Calendar"/>
    <s v="Cannot Send/Receive"/>
    <x v="0"/>
    <n v="240"/>
    <x v="1"/>
    <s v="Email"/>
    <s v="Tier 2"/>
    <s v="TECH-18"/>
    <s v="Mid-level"/>
    <x v="0"/>
    <s v="Yes"/>
    <n v="1"/>
    <s v="No"/>
    <n v="8"/>
    <n v="4.5999999999999996"/>
    <n v="11.8"/>
    <s v="No"/>
    <s v="Good"/>
    <s v="No"/>
    <s v="IT"/>
    <s v="Tuesday"/>
    <s v="Afternoon"/>
  </r>
  <r>
    <x v="2139"/>
    <s v="2024-07-20 17:21:02"/>
    <x v="4"/>
    <s v="2024-08-03 17:03:02"/>
    <n v="335.7"/>
    <n v="14"/>
    <s v="Application Errors"/>
    <s v="Crash"/>
    <x v="2"/>
    <n v="360"/>
    <x v="1"/>
    <s v="Portal"/>
    <s v="Tier 2"/>
    <s v="TECH-17"/>
    <s v="Mid-level"/>
    <x v="0"/>
    <s v="Yes"/>
    <n v="3"/>
    <s v="Yes"/>
    <n v="6"/>
    <n v="2.6"/>
    <n v="30.8"/>
    <s v="Yes"/>
    <s v="Good"/>
    <s v="Yes"/>
    <s v="Legal"/>
    <s v="Monday"/>
    <s v="Afternoon"/>
  </r>
  <r>
    <x v="2140"/>
    <s v="2024-04-24 09:08:06"/>
    <x v="11"/>
    <s v="2024-05-05 10:02:06"/>
    <n v="264.89999999999998"/>
    <n v="11"/>
    <s v="Password Reset"/>
    <s v="Windows Password"/>
    <x v="2"/>
    <n v="360"/>
    <x v="1"/>
    <s v="Phone"/>
    <s v="Tier 1"/>
    <s v="TECH-10"/>
    <s v="Mid-level"/>
    <x v="1"/>
    <s v="No"/>
    <n v="0"/>
    <s v="No"/>
    <n v="10"/>
    <n v="3.6"/>
    <n v="17"/>
    <s v="No"/>
    <s v="Fair"/>
    <s v="Yes"/>
    <s v="HR"/>
    <s v="Monday"/>
    <s v="Morning"/>
  </r>
  <r>
    <x v="2141"/>
    <s v="2024-03-31 01:08:53"/>
    <x v="5"/>
    <s v="2024-04-08 19:14:53"/>
    <n v="186.1"/>
    <n v="7.8"/>
    <s v="Other"/>
    <s v="Training Request"/>
    <x v="0"/>
    <n v="240"/>
    <x v="1"/>
    <s v="Phone"/>
    <s v="Tier 1"/>
    <s v="TECH-12"/>
    <s v="Mid-level"/>
    <x v="0"/>
    <s v="No"/>
    <n v="1"/>
    <s v="No"/>
    <n v="9"/>
    <n v="6.3"/>
    <n v="10.8"/>
    <s v="Yes"/>
    <s v="Fair"/>
    <s v="No"/>
    <s v="HR"/>
    <s v="Friday"/>
    <s v="Morning"/>
  </r>
  <r>
    <x v="2142"/>
    <s v="2024-01-08 12:53:09"/>
    <x v="3"/>
    <s v="2024-01-21 11:47:09"/>
    <n v="310.89999999999998"/>
    <n v="13"/>
    <s v="Password Reset"/>
    <s v="Account Unlock"/>
    <x v="2"/>
    <n v="360"/>
    <x v="1"/>
    <s v="Phone"/>
    <s v="Tier 1"/>
    <s v="TECH-6"/>
    <s v="Mid-level"/>
    <x v="1"/>
    <s v="No"/>
    <n v="0"/>
    <s v="No"/>
    <n v="10"/>
    <n v="2.4"/>
    <n v="7.9"/>
    <s v="Yes"/>
    <s v="Good"/>
    <s v="Yes"/>
    <s v="HR"/>
    <s v="Friday"/>
    <s v="Afternoon"/>
  </r>
  <r>
    <x v="2143"/>
    <s v="2024-10-25 12:34:49"/>
    <x v="2"/>
    <s v="2024-10-29 01:58:49"/>
    <n v="110.4"/>
    <n v="4.5999999999999996"/>
    <s v="Hardware Issues"/>
    <s v="Desktop"/>
    <x v="1"/>
    <n v="120"/>
    <x v="1"/>
    <s v="Phone"/>
    <s v="Tier 1"/>
    <s v="TECH-13"/>
    <s v="Mid-level"/>
    <x v="0"/>
    <s v="No"/>
    <n v="1"/>
    <s v="No"/>
    <n v="10"/>
    <n v="0.6"/>
    <n v="43"/>
    <s v="No"/>
    <s v="Good"/>
    <s v="Yes"/>
    <s v="Sales"/>
    <s v="Thursday"/>
    <s v="Morning"/>
  </r>
  <r>
    <x v="2144"/>
    <s v="2024-11-24 08:23:15"/>
    <x v="7"/>
    <s v="2024-12-22 02:47:15"/>
    <n v="666.4"/>
    <n v="27.8"/>
    <s v="Password Reset"/>
    <s v="Account Unlock"/>
    <x v="0"/>
    <n v="240"/>
    <x v="0"/>
    <s v="Email"/>
    <s v="Tier 1"/>
    <s v="TECH-21"/>
    <s v="Mid-level"/>
    <x v="1"/>
    <s v="No"/>
    <n v="0"/>
    <s v="No"/>
    <n v="8"/>
    <n v="0.1"/>
    <n v="37.4"/>
    <s v="Yes"/>
    <s v="Excellent"/>
    <s v="No"/>
    <s v="Legal"/>
    <s v="Monday"/>
    <s v="Afternoon"/>
  </r>
  <r>
    <x v="2145"/>
    <s v="2024-10-04 10:50:43"/>
    <x v="2"/>
    <s v="2024-10-18 09:14:43"/>
    <n v="334.4"/>
    <n v="13.9"/>
    <s v="Access Requests"/>
    <s v="Admin Rights"/>
    <x v="0"/>
    <n v="240"/>
    <x v="0"/>
    <s v="Phone"/>
    <s v="Tier 1"/>
    <s v="TECH-11"/>
    <s v="Mid-level"/>
    <x v="1"/>
    <s v="No"/>
    <n v="0"/>
    <s v="No"/>
    <n v="6"/>
    <n v="4.5"/>
    <n v="33.799999999999997"/>
    <s v="No"/>
    <s v="Fair"/>
    <s v="No"/>
    <s v="Sales"/>
    <s v="Tuesday"/>
    <s v="Afternoon"/>
  </r>
  <r>
    <x v="2146"/>
    <s v="2024-11-09 22:57:51"/>
    <x v="7"/>
    <s v="2024-11-19 04:27:51"/>
    <n v="221.5"/>
    <n v="9.1999999999999993"/>
    <s v="Application Errors"/>
    <s v="Features Not Working"/>
    <x v="0"/>
    <n v="240"/>
    <x v="1"/>
    <s v="Email"/>
    <s v="Tier 1"/>
    <s v="TECH-8"/>
    <s v="Junior"/>
    <x v="1"/>
    <s v="No"/>
    <n v="0"/>
    <s v="No"/>
    <n v="10"/>
    <n v="2.8"/>
    <n v="26.4"/>
    <s v="No"/>
    <s v="Poor"/>
    <s v="No"/>
    <s v="HR"/>
    <s v="Wednesday"/>
    <s v="Afternoon"/>
  </r>
  <r>
    <x v="2147"/>
    <s v="2024-04-24 21:26:09"/>
    <x v="11"/>
    <s v="2024-05-02 20:32:09"/>
    <n v="191.1"/>
    <n v="8"/>
    <s v="Network Connectivity"/>
    <s v="Ethernet"/>
    <x v="0"/>
    <n v="240"/>
    <x v="1"/>
    <s v="Phone"/>
    <s v="Tier 1"/>
    <s v="TECH-22"/>
    <s v="Mid-level"/>
    <x v="0"/>
    <s v="No"/>
    <n v="1"/>
    <s v="No"/>
    <n v="7"/>
    <n v="0.6"/>
    <n v="18.399999999999999"/>
    <s v="Yes"/>
    <s v="Fair"/>
    <s v="No"/>
    <s v="HR"/>
    <s v="Thursday"/>
    <s v="Morning"/>
  </r>
  <r>
    <x v="2148"/>
    <s v="2024-04-25 06:50:14"/>
    <x v="11"/>
    <s v="2024-05-04 18:26:14"/>
    <n v="227.6"/>
    <n v="9.5"/>
    <s v="Password Reset"/>
    <s v="Account Unlock"/>
    <x v="0"/>
    <n v="240"/>
    <x v="1"/>
    <s v="Email"/>
    <s v="Tier 1"/>
    <s v="TECH-14"/>
    <s v="Senior"/>
    <x v="1"/>
    <s v="No"/>
    <n v="0"/>
    <s v="Yes"/>
    <n v="10"/>
    <n v="0.1"/>
    <n v="16.600000000000001"/>
    <s v="No"/>
    <s v="Excellent"/>
    <s v="Yes"/>
    <s v="Executive"/>
    <s v="Thursday"/>
    <s v="Afternoon"/>
  </r>
  <r>
    <x v="2149"/>
    <s v="2024-01-01 04:41:24"/>
    <x v="3"/>
    <s v="2024-01-09 21:53:24"/>
    <n v="209.2"/>
    <n v="8.6999999999999993"/>
    <s v="Application Errors"/>
    <s v="Performance"/>
    <x v="0"/>
    <n v="240"/>
    <x v="1"/>
    <s v="Email"/>
    <s v="Tier 1"/>
    <s v="TECH-17"/>
    <s v="Junior"/>
    <x v="0"/>
    <s v="No"/>
    <n v="1"/>
    <s v="No"/>
    <n v="6"/>
    <n v="3.2"/>
    <n v="18.899999999999999"/>
    <s v="No"/>
    <s v="Fair"/>
    <s v="No"/>
    <s v="Finance"/>
    <s v="Friday"/>
    <s v="Morning"/>
  </r>
  <r>
    <x v="2150"/>
    <s v="2024-02-02 00:07:53"/>
    <x v="6"/>
    <s v="2024-02-05 02:49:53"/>
    <n v="50.7"/>
    <n v="2.1"/>
    <s v="Hardware Issues"/>
    <s v="Laptop"/>
    <x v="3"/>
    <n v="48"/>
    <x v="0"/>
    <s v="Portal"/>
    <s v="Tier 1"/>
    <s v="TECH-2"/>
    <s v="Senior"/>
    <x v="0"/>
    <s v="No"/>
    <n v="1"/>
    <s v="No"/>
    <n v="1"/>
    <n v="4"/>
    <n v="18.7"/>
    <s v="Yes"/>
    <s v="Fair"/>
    <s v="Yes"/>
    <s v="IT"/>
    <s v="Friday"/>
    <s v="Evening"/>
  </r>
  <r>
    <x v="2151"/>
    <s v="2024-09-18 18:46:56"/>
    <x v="9"/>
    <s v="2024-10-01 14:52:56"/>
    <n v="308.10000000000002"/>
    <n v="12.8"/>
    <s v="Access Requests"/>
    <s v="File Share"/>
    <x v="2"/>
    <n v="360"/>
    <x v="1"/>
    <s v="Portal"/>
    <s v="Tier 1"/>
    <s v="TECH-3"/>
    <s v="Junior"/>
    <x v="0"/>
    <s v="No"/>
    <n v="1"/>
    <s v="No"/>
    <n v="10"/>
    <n v="1.7"/>
    <n v="26.4"/>
    <s v="No"/>
    <s v="Good"/>
    <s v="Yes"/>
    <s v="Finance"/>
    <s v="Tuesday"/>
    <s v="Afternoon"/>
  </r>
  <r>
    <x v="2152"/>
    <s v="2024-03-03 08:00:38"/>
    <x v="5"/>
    <s v="2024-03-14 04:06:38"/>
    <n v="260.10000000000002"/>
    <n v="10.8"/>
    <s v="Password Reset"/>
    <s v="Email Password"/>
    <x v="2"/>
    <n v="360"/>
    <x v="1"/>
    <s v="Email"/>
    <s v="Tier 1"/>
    <s v="TECH-25"/>
    <s v="Mid-level"/>
    <x v="1"/>
    <s v="No"/>
    <n v="0"/>
    <s v="Yes"/>
    <n v="8"/>
    <n v="3"/>
    <n v="35.6"/>
    <s v="No"/>
    <s v="Good"/>
    <s v="Yes"/>
    <s v="Operations"/>
    <s v="Friday"/>
    <s v="Morning"/>
  </r>
  <r>
    <x v="2153"/>
    <s v="2024-02-12 12:43:56"/>
    <x v="6"/>
    <s v="2024-02-19 12:37:56"/>
    <n v="167.9"/>
    <n v="7"/>
    <s v="Software Installation"/>
    <s v="Drivers"/>
    <x v="0"/>
    <n v="240"/>
    <x v="1"/>
    <s v="Phone"/>
    <s v="Tier 1"/>
    <s v="TECH-10"/>
    <s v="Mid-level"/>
    <x v="0"/>
    <s v="No"/>
    <n v="1"/>
    <s v="No"/>
    <n v="7"/>
    <n v="3.7"/>
    <n v="13.1"/>
    <s v="No"/>
    <s v="Poor"/>
    <s v="Yes"/>
    <s v="HR"/>
    <s v="Tuesday"/>
    <s v="Morning"/>
  </r>
  <r>
    <x v="2154"/>
    <s v="2024-01-22 22:04:28"/>
    <x v="3"/>
    <s v="2024-02-04 09:04:28"/>
    <n v="299"/>
    <n v="12.5"/>
    <s v="Network Connectivity"/>
    <s v="Ethernet"/>
    <x v="0"/>
    <n v="240"/>
    <x v="0"/>
    <s v="Phone"/>
    <s v="Tier 1"/>
    <s v="TECH-25"/>
    <s v="Junior"/>
    <x v="0"/>
    <s v="No"/>
    <n v="1"/>
    <s v="No"/>
    <n v="3"/>
    <n v="4.2"/>
    <n v="6.1"/>
    <s v="Yes"/>
    <s v="Fair"/>
    <s v="Yes"/>
    <s v="Operations"/>
    <s v="Tuesday"/>
    <s v="Morning"/>
  </r>
  <r>
    <x v="2155"/>
    <s v="2024-03-13 07:13:37"/>
    <x v="5"/>
    <s v="2024-03-17 12:13:37"/>
    <n v="101"/>
    <n v="4.2"/>
    <s v="Email/Calendar"/>
    <s v="Cannot Send/Receive"/>
    <x v="1"/>
    <n v="120"/>
    <x v="1"/>
    <s v="Email"/>
    <s v="Tier 1"/>
    <s v="TECH-22"/>
    <s v="Mid-level"/>
    <x v="1"/>
    <s v="No"/>
    <n v="0"/>
    <s v="No"/>
    <n v="10"/>
    <n v="5.2"/>
    <n v="10"/>
    <s v="Yes"/>
    <s v="Fair"/>
    <s v="Yes"/>
    <s v="Finance"/>
    <s v="Friday"/>
    <s v="Morning"/>
  </r>
  <r>
    <x v="2156"/>
    <s v="2024-05-15 07:06:50"/>
    <x v="8"/>
    <s v="2024-05-30 03:24:50"/>
    <n v="356.3"/>
    <n v="14.8"/>
    <s v="Other"/>
    <s v="General Inquiry"/>
    <x v="0"/>
    <n v="240"/>
    <x v="0"/>
    <s v="Email"/>
    <s v="Tier 1"/>
    <s v="TECH-17"/>
    <s v="Mid-level"/>
    <x v="0"/>
    <s v="No"/>
    <n v="1"/>
    <s v="No"/>
    <n v="7"/>
    <n v="4.3"/>
    <n v="1.5"/>
    <s v="Yes"/>
    <s v="Poor"/>
    <s v="Yes"/>
    <s v="Legal"/>
    <s v="Friday"/>
    <s v="Evening"/>
  </r>
  <r>
    <x v="2157"/>
    <s v="2024-02-20 20:08:44"/>
    <x v="6"/>
    <s v="2024-02-26 12:44:44"/>
    <n v="136.6"/>
    <n v="5.7"/>
    <s v="Hardware Issues"/>
    <s v="Docking Station"/>
    <x v="1"/>
    <n v="120"/>
    <x v="0"/>
    <s v="Email"/>
    <s v="Tier 1"/>
    <s v="TECH-6"/>
    <s v="Mid-level"/>
    <x v="0"/>
    <s v="No"/>
    <n v="1"/>
    <s v="No"/>
    <n v="5"/>
    <n v="1.2"/>
    <n v="15.7"/>
    <s v="No"/>
    <s v="Poor"/>
    <s v="Yes"/>
    <s v="Operations"/>
    <s v="Thursday"/>
    <s v="Morning"/>
  </r>
  <r>
    <x v="2158"/>
    <s v="2024-10-16 20:15:43"/>
    <x v="2"/>
    <s v="2024-10-20 18:51:43"/>
    <n v="94.6"/>
    <n v="3.9"/>
    <s v="Application Errors"/>
    <s v="Features Not Working"/>
    <x v="1"/>
    <n v="120"/>
    <x v="1"/>
    <s v="Phone"/>
    <s v="Tier 1"/>
    <s v="TECH-19"/>
    <s v="Junior"/>
    <x v="1"/>
    <s v="No"/>
    <n v="0"/>
    <s v="No"/>
    <n v="9"/>
    <n v="4.7"/>
    <n v="5.6"/>
    <s v="Yes"/>
    <s v="Good"/>
    <s v="Yes"/>
    <s v="Finance"/>
    <s v="Thursday"/>
    <s v="Morning"/>
  </r>
  <r>
    <x v="2159"/>
    <s v="2024-06-11 03:29:07"/>
    <x v="10"/>
    <s v="2024-07-11 03:59:07"/>
    <n v="720.5"/>
    <n v="30"/>
    <s v="Other"/>
    <s v="Training Request"/>
    <x v="2"/>
    <n v="360"/>
    <x v="0"/>
    <s v="Walk-in"/>
    <s v="Tier 2"/>
    <s v="TECH-6"/>
    <s v="Mid-level"/>
    <x v="0"/>
    <s v="Yes"/>
    <n v="3"/>
    <s v="No"/>
    <n v="7"/>
    <n v="0.2"/>
    <n v="19.100000000000001"/>
    <s v="No"/>
    <s v="Poor"/>
    <s v="No"/>
    <s v="Legal"/>
    <s v="Tuesday"/>
    <s v="Afternoon"/>
  </r>
  <r>
    <x v="2160"/>
    <s v="2024-03-17 19:03:56"/>
    <x v="5"/>
    <s v="2024-04-07 21:57:56"/>
    <n v="505.9"/>
    <n v="21.1"/>
    <s v="Email/Calendar"/>
    <s v="Cannot Send/Receive"/>
    <x v="2"/>
    <n v="360"/>
    <x v="0"/>
    <s v="Portal"/>
    <s v="Tier 1"/>
    <s v="TECH-2"/>
    <s v="Mid-level"/>
    <x v="0"/>
    <s v="No"/>
    <n v="1"/>
    <s v="No"/>
    <n v="5"/>
    <n v="4.4000000000000004"/>
    <n v="20.7"/>
    <s v="Yes"/>
    <s v="Poor"/>
    <s v="No"/>
    <s v="Legal"/>
    <s v="Friday"/>
    <s v="Morning"/>
  </r>
  <r>
    <x v="2161"/>
    <s v="2024-09-12 11:52:14"/>
    <x v="9"/>
    <s v="2024-09-24 08:10:14"/>
    <n v="284.3"/>
    <n v="11.8"/>
    <s v="Password Reset"/>
    <s v="Account Unlock"/>
    <x v="2"/>
    <n v="360"/>
    <x v="1"/>
    <s v="Phone"/>
    <s v="Tier 1"/>
    <s v="TECH-17"/>
    <s v="Mid-level"/>
    <x v="1"/>
    <s v="No"/>
    <n v="0"/>
    <s v="No"/>
    <n v="9"/>
    <n v="3.2"/>
    <n v="19.100000000000001"/>
    <s v="Yes"/>
    <s v="Fair"/>
    <s v="Yes"/>
    <s v="Finance"/>
    <s v="Monday"/>
    <s v="Morning"/>
  </r>
  <r>
    <x v="2162"/>
    <s v="2024-01-08 09:48:42"/>
    <x v="3"/>
    <s v="2024-01-19 01:48:42"/>
    <n v="280"/>
    <n v="11.7"/>
    <s v="Access Requests"/>
    <s v="VPN Access"/>
    <x v="0"/>
    <n v="240"/>
    <x v="0"/>
    <s v="Portal"/>
    <s v="Tier 1"/>
    <s v="TECH-20"/>
    <s v="Mid-level"/>
    <x v="0"/>
    <s v="No"/>
    <n v="1"/>
    <s v="No"/>
    <n v="9"/>
    <n v="2.4"/>
    <n v="21.1"/>
    <s v="No"/>
    <s v="Poor"/>
    <s v="No"/>
    <s v="IT"/>
    <s v="Tuesday"/>
    <s v="Morning"/>
  </r>
  <r>
    <x v="2163"/>
    <s v="2024-06-16 16:27:47"/>
    <x v="10"/>
    <s v="2024-06-20 18:33:47"/>
    <n v="98.1"/>
    <n v="4.0999999999999996"/>
    <s v="Access Requests"/>
    <s v="Admin Rights"/>
    <x v="1"/>
    <n v="120"/>
    <x v="1"/>
    <s v="Phone"/>
    <s v="Tier 1"/>
    <s v="TECH-16"/>
    <s v="Mid-level"/>
    <x v="1"/>
    <s v="No"/>
    <n v="0"/>
    <s v="No"/>
    <n v="10"/>
    <n v="3.1"/>
    <n v="39.4"/>
    <s v="Yes"/>
    <s v="Good"/>
    <s v="No"/>
    <s v="IT"/>
    <s v="Thursday"/>
    <s v="Afternoon"/>
  </r>
  <r>
    <x v="2164"/>
    <s v="2024-03-27 18:09:27"/>
    <x v="5"/>
    <s v="2024-04-05 00:15:27"/>
    <n v="221.1"/>
    <n v="9.1999999999999993"/>
    <s v="Email/Calendar"/>
    <s v="Cannot Send/Receive"/>
    <x v="0"/>
    <n v="240"/>
    <x v="1"/>
    <s v="Phone"/>
    <s v="Tier 1"/>
    <s v="TECH-8"/>
    <s v="Mid-level"/>
    <x v="0"/>
    <s v="No"/>
    <n v="1"/>
    <s v="No"/>
    <n v="8"/>
    <n v="5"/>
    <n v="0.1"/>
    <s v="No"/>
    <s v="Poor"/>
    <s v="Yes"/>
    <s v="Operations"/>
    <s v="Tuesday"/>
    <s v="Morning"/>
  </r>
  <r>
    <x v="2165"/>
    <s v="2024-06-07 05:12:22"/>
    <x v="10"/>
    <s v="2024-06-19 09:00:22"/>
    <n v="291.8"/>
    <n v="12.2"/>
    <s v="Password Reset"/>
    <s v="Windows Password"/>
    <x v="2"/>
    <n v="360"/>
    <x v="1"/>
    <s v="Portal"/>
    <s v="Tier 1"/>
    <s v="TECH-18"/>
    <s v="Senior"/>
    <x v="1"/>
    <s v="No"/>
    <n v="0"/>
    <s v="No"/>
    <n v="6"/>
    <n v="1.7"/>
    <n v="9.1"/>
    <s v="Yes"/>
    <s v="Good"/>
    <s v="Yes"/>
    <s v="Legal"/>
    <s v="Tuesday"/>
    <s v="Morning"/>
  </r>
  <r>
    <x v="2166"/>
    <s v="2024-07-09 16:40:35"/>
    <x v="4"/>
    <s v="2024-07-17 20:58:35"/>
    <n v="196.3"/>
    <n v="8.1999999999999993"/>
    <s v="Email/Calendar"/>
    <s v="Calendar Sync"/>
    <x v="1"/>
    <n v="120"/>
    <x v="0"/>
    <s v="Chat"/>
    <s v="Tier 2"/>
    <s v="TECH-10"/>
    <s v="Senior"/>
    <x v="0"/>
    <s v="Yes"/>
    <n v="1"/>
    <s v="No"/>
    <n v="7"/>
    <n v="1.1000000000000001"/>
    <n v="19.100000000000001"/>
    <s v="No"/>
    <s v="Fair"/>
    <s v="No"/>
    <s v="Marketing"/>
    <s v="Monday"/>
    <s v="Afternoon"/>
  </r>
  <r>
    <x v="2167"/>
    <s v="2024-08-29 12:37:50"/>
    <x v="1"/>
    <s v="2024-09-23 06:37:50"/>
    <n v="594"/>
    <n v="24.8"/>
    <s v="Password Reset"/>
    <s v="Application Password"/>
    <x v="0"/>
    <n v="240"/>
    <x v="0"/>
    <s v="Portal"/>
    <s v="Tier 1"/>
    <s v="TECH-15"/>
    <s v="Senior"/>
    <x v="0"/>
    <s v="No"/>
    <n v="1"/>
    <s v="No"/>
    <n v="6"/>
    <n v="1.1000000000000001"/>
    <n v="33.700000000000003"/>
    <s v="Yes"/>
    <s v="Fair"/>
    <s v="No"/>
    <s v="Legal"/>
    <s v="Tuesday"/>
    <s v="Afternoon"/>
  </r>
  <r>
    <x v="2168"/>
    <s v="2024-01-28 04:39:01"/>
    <x v="3"/>
    <s v="2024-02-10 07:03:01"/>
    <n v="314.39999999999998"/>
    <n v="13.1"/>
    <s v="Software Installation"/>
    <s v="MS Office"/>
    <x v="0"/>
    <n v="240"/>
    <x v="0"/>
    <s v="Phone"/>
    <s v="Tier 2"/>
    <s v="TECH-12"/>
    <s v="Senior"/>
    <x v="0"/>
    <s v="Yes"/>
    <n v="2"/>
    <s v="No"/>
    <n v="7"/>
    <n v="3.3"/>
    <n v="29.7"/>
    <s v="Yes"/>
    <s v="Good"/>
    <s v="Yes"/>
    <s v="Executive"/>
    <s v="Friday"/>
    <s v="Morning"/>
  </r>
  <r>
    <x v="2169"/>
    <s v="2024-07-28 20:25:02"/>
    <x v="4"/>
    <s v="2024-08-01 10:25:02"/>
    <n v="86"/>
    <n v="3.6"/>
    <s v="Other"/>
    <s v="Miscellaneous"/>
    <x v="1"/>
    <n v="120"/>
    <x v="1"/>
    <s v="Email"/>
    <s v="Tier 1"/>
    <s v="TECH-4"/>
    <s v="Junior"/>
    <x v="0"/>
    <s v="No"/>
    <n v="1"/>
    <s v="No"/>
    <n v="9"/>
    <n v="4"/>
    <n v="31.1"/>
    <s v="Yes"/>
    <s v="Fair"/>
    <s v="Yes"/>
    <s v="IT"/>
    <s v="Wednesday"/>
    <s v="Morning"/>
  </r>
  <r>
    <x v="2170"/>
    <s v="2024-11-12 02:03:36"/>
    <x v="7"/>
    <s v="2024-11-24 22:45:36"/>
    <n v="308.7"/>
    <n v="12.9"/>
    <s v="Email/Calendar"/>
    <s v="Calendar Sync"/>
    <x v="2"/>
    <n v="360"/>
    <x v="1"/>
    <s v="Walk-in"/>
    <s v="Tier 1"/>
    <s v="TECH-22"/>
    <s v="Junior"/>
    <x v="0"/>
    <s v="No"/>
    <n v="1"/>
    <s v="No"/>
    <n v="8"/>
    <n v="2.1"/>
    <n v="14.3"/>
    <s v="Yes"/>
    <s v="Fair"/>
    <s v="Yes"/>
    <s v="Legal"/>
    <s v="Friday"/>
    <s v="Morning"/>
  </r>
  <r>
    <x v="2171"/>
    <s v="2024-05-31 19:18:35"/>
    <x v="8"/>
    <s v="2024-06-14 03:48:35"/>
    <n v="320.5"/>
    <n v="13.4"/>
    <s v="Password Reset"/>
    <s v="Account Unlock"/>
    <x v="2"/>
    <n v="360"/>
    <x v="1"/>
    <s v="Email"/>
    <s v="Tier 1"/>
    <s v="TECH-25"/>
    <s v="Junior"/>
    <x v="1"/>
    <s v="No"/>
    <n v="0"/>
    <s v="No"/>
    <n v="10"/>
    <n v="4"/>
    <n v="13.3"/>
    <s v="Yes"/>
    <s v="Fair"/>
    <s v="Yes"/>
    <s v="HR"/>
    <s v="Monday"/>
    <s v="Morning"/>
  </r>
  <r>
    <x v="2172"/>
    <s v="2024-01-26 11:03:51"/>
    <x v="3"/>
    <s v="2024-02-09 00:57:51"/>
    <n v="349.9"/>
    <n v="14.6"/>
    <s v="Email/Calendar"/>
    <s v="Mailbox Full"/>
    <x v="1"/>
    <n v="120"/>
    <x v="0"/>
    <s v="Chat"/>
    <s v="Tier 1"/>
    <s v="TECH-11"/>
    <s v="Mid-level"/>
    <x v="0"/>
    <s v="No"/>
    <n v="1"/>
    <s v="No"/>
    <n v="4"/>
    <n v="1.3"/>
    <n v="19.7"/>
    <s v="No"/>
    <s v="Fair"/>
    <s v="Yes"/>
    <s v="Operations"/>
    <s v="Thursday"/>
    <s v="Afternoon"/>
  </r>
  <r>
    <x v="2173"/>
    <s v="2024-06-21 03:46:42"/>
    <x v="10"/>
    <s v="2024-07-20 10:16:42"/>
    <n v="702.5"/>
    <n v="29.3"/>
    <s v="Software Installation"/>
    <s v="VPN Client"/>
    <x v="0"/>
    <n v="240"/>
    <x v="0"/>
    <s v="Email"/>
    <s v="Tier 1"/>
    <s v="TECH-25"/>
    <s v="Mid-level"/>
    <x v="0"/>
    <s v="No"/>
    <n v="1"/>
    <s v="Yes"/>
    <n v="4"/>
    <n v="4.0999999999999996"/>
    <n v="18.8"/>
    <s v="No"/>
    <s v="Fair"/>
    <s v="No"/>
    <s v="IT"/>
    <s v="Wednesday"/>
    <s v="Evening"/>
  </r>
  <r>
    <x v="2174"/>
    <s v="2024-04-16 16:19:38"/>
    <x v="11"/>
    <s v="2024-04-21 03:25:38"/>
    <n v="107.1"/>
    <n v="4.5"/>
    <s v="Application Errors"/>
    <s v="Performance"/>
    <x v="1"/>
    <n v="120"/>
    <x v="1"/>
    <s v="Phone"/>
    <s v="Tier 2"/>
    <s v="TECH-12"/>
    <s v="Mid-level"/>
    <x v="0"/>
    <s v="Yes"/>
    <n v="2"/>
    <s v="No"/>
    <n v="10"/>
    <n v="4"/>
    <n v="11.2"/>
    <s v="Yes"/>
    <s v="Excellent"/>
    <s v="Yes"/>
    <s v="Executive"/>
    <s v="Friday"/>
    <s v="Morning"/>
  </r>
  <r>
    <x v="2175"/>
    <s v="2024-05-04 07:20:26"/>
    <x v="8"/>
    <s v="2024-05-19 05:08:26"/>
    <n v="357.8"/>
    <n v="14.9"/>
    <s v="Email/Calendar"/>
    <s v="Distribution List"/>
    <x v="0"/>
    <n v="240"/>
    <x v="0"/>
    <s v="Email"/>
    <s v="Tier 1"/>
    <s v="TECH-23"/>
    <s v="Senior"/>
    <x v="0"/>
    <s v="No"/>
    <n v="1"/>
    <s v="No"/>
    <n v="4"/>
    <n v="3.8"/>
    <n v="6.4"/>
    <s v="Yes"/>
    <s v="Good"/>
    <s v="Yes"/>
    <s v="Legal"/>
    <s v="Wednesday"/>
    <s v="Morning"/>
  </r>
  <r>
    <x v="2176"/>
    <s v="2024-10-24 20:24:26"/>
    <x v="2"/>
    <s v="2024-11-06 02:12:26"/>
    <n v="294.8"/>
    <n v="12.3"/>
    <s v="Other"/>
    <s v="Training Request"/>
    <x v="0"/>
    <n v="240"/>
    <x v="0"/>
    <s v="Phone"/>
    <s v="Tier 1"/>
    <s v="TECH-17"/>
    <s v="Senior"/>
    <x v="1"/>
    <s v="No"/>
    <n v="0"/>
    <s v="No"/>
    <n v="3"/>
    <n v="4.7"/>
    <n v="2.1"/>
    <s v="Yes"/>
    <s v="Poor"/>
    <s v="No"/>
    <s v="Finance"/>
    <s v="Tuesday"/>
    <s v="Morning"/>
  </r>
  <r>
    <x v="2177"/>
    <s v="2024-12-21 05:25:19"/>
    <x v="0"/>
    <s v="2024-12-29 11:01:19"/>
    <n v="197.6"/>
    <n v="8.1999999999999993"/>
    <s v="Network Connectivity"/>
    <s v="VPN Connection"/>
    <x v="1"/>
    <n v="120"/>
    <x v="0"/>
    <s v="Portal"/>
    <s v="Tier 1"/>
    <s v="TECH-17"/>
    <s v="Mid-level"/>
    <x v="0"/>
    <s v="No"/>
    <n v="1"/>
    <s v="Yes"/>
    <n v="4"/>
    <n v="0.7"/>
    <n v="2.5"/>
    <s v="Yes"/>
    <s v="Fair"/>
    <s v="Yes"/>
    <s v="Sales"/>
    <s v="Wednesday"/>
    <s v="Afternoon"/>
  </r>
  <r>
    <x v="2178"/>
    <s v="2024-03-02 04:05:28"/>
    <x v="5"/>
    <s v="2024-03-14 09:23:28"/>
    <n v="293.3"/>
    <n v="12.2"/>
    <s v="Access Requests"/>
    <s v="VPN Access"/>
    <x v="2"/>
    <n v="360"/>
    <x v="1"/>
    <s v="Portal"/>
    <s v="Tier 1"/>
    <s v="TECH-8"/>
    <s v="Mid-level"/>
    <x v="1"/>
    <s v="No"/>
    <n v="0"/>
    <s v="Yes"/>
    <n v="8"/>
    <n v="3.7"/>
    <n v="19.100000000000001"/>
    <s v="Yes"/>
    <s v="Good"/>
    <s v="Yes"/>
    <s v="HR"/>
    <s v="Monday"/>
    <s v="Afternoon"/>
  </r>
  <r>
    <x v="2179"/>
    <s v="2024-12-10 23:12:29"/>
    <x v="0"/>
    <s v="2024-12-14 23:24:29"/>
    <n v="96.2"/>
    <n v="4"/>
    <s v="Email/Calendar"/>
    <s v="Calendar Sync"/>
    <x v="1"/>
    <n v="120"/>
    <x v="1"/>
    <s v="Walk-in"/>
    <s v="Tier 1"/>
    <s v="TECH-21"/>
    <s v="Mid-level"/>
    <x v="0"/>
    <s v="No"/>
    <n v="1"/>
    <s v="No"/>
    <n v="7"/>
    <n v="0.1"/>
    <n v="19.899999999999999"/>
    <s v="Yes"/>
    <s v="Excellent"/>
    <s v="No"/>
    <s v="IT"/>
    <s v="Friday"/>
    <s v="Evening"/>
  </r>
  <r>
    <x v="2180"/>
    <s v="2024-02-06 03:07:20"/>
    <x v="6"/>
    <s v="2024-02-16 10:07:20"/>
    <n v="247"/>
    <n v="10.3"/>
    <s v="Other"/>
    <s v="General Inquiry"/>
    <x v="2"/>
    <n v="360"/>
    <x v="1"/>
    <s v="Walk-in"/>
    <s v="Tier 1"/>
    <s v="TECH-20"/>
    <s v="Junior"/>
    <x v="1"/>
    <s v="No"/>
    <n v="0"/>
    <s v="No"/>
    <n v="10"/>
    <n v="3.9"/>
    <n v="20.399999999999999"/>
    <s v="Yes"/>
    <s v="Fair"/>
    <s v="Yes"/>
    <s v="Finance"/>
    <s v="Friday"/>
    <s v="Afternoon"/>
  </r>
  <r>
    <x v="2181"/>
    <s v="2024-12-07 14:10:08"/>
    <x v="0"/>
    <s v="2024-12-13 12:04:08"/>
    <n v="141.9"/>
    <n v="5.9"/>
    <s v="Application Errors"/>
    <s v="Performance"/>
    <x v="1"/>
    <n v="120"/>
    <x v="0"/>
    <s v="Email"/>
    <s v="Tier 1"/>
    <s v="TECH-23"/>
    <s v="Senior"/>
    <x v="0"/>
    <s v="No"/>
    <n v="1"/>
    <s v="No"/>
    <n v="4"/>
    <n v="0.8"/>
    <n v="15.1"/>
    <s v="Yes"/>
    <s v="Poor"/>
    <s v="No"/>
    <s v="Finance"/>
    <s v="Tuesday"/>
    <s v="Evening"/>
  </r>
  <r>
    <x v="2182"/>
    <s v="2024-10-22 09:36:12"/>
    <x v="2"/>
    <s v="2024-10-31 18:00:12"/>
    <n v="225.4"/>
    <n v="9.4"/>
    <s v="Access Requests"/>
    <s v="VPN Access"/>
    <x v="0"/>
    <n v="240"/>
    <x v="1"/>
    <s v="Phone"/>
    <s v="Tier 1"/>
    <s v="TECH-18"/>
    <s v="Mid-level"/>
    <x v="1"/>
    <s v="No"/>
    <n v="0"/>
    <s v="No"/>
    <n v="10"/>
    <n v="4"/>
    <n v="6.3"/>
    <s v="Yes"/>
    <s v="Poor"/>
    <s v="Yes"/>
    <s v="Finance"/>
    <s v="Friday"/>
    <s v="Afternoon"/>
  </r>
  <r>
    <x v="2183"/>
    <s v="2024-12-11 00:08:05"/>
    <x v="0"/>
    <s v="2024-12-26 09:08:05"/>
    <n v="345"/>
    <n v="14.4"/>
    <s v="Email/Calendar"/>
    <s v="Mailbox Full"/>
    <x v="0"/>
    <n v="240"/>
    <x v="0"/>
    <s v="Chat"/>
    <s v="Tier 2"/>
    <s v="TECH-20"/>
    <s v="Senior"/>
    <x v="0"/>
    <s v="Yes"/>
    <n v="4"/>
    <s v="No"/>
    <n v="4"/>
    <n v="2.4"/>
    <n v="14.7"/>
    <s v="No"/>
    <s v="Good"/>
    <s v="Yes"/>
    <s v="Sales"/>
    <s v="Thursday"/>
    <s v="Afternoon"/>
  </r>
  <r>
    <x v="2184"/>
    <s v="2024-06-27 01:43:04"/>
    <x v="10"/>
    <s v="2024-07-09 04:25:04"/>
    <n v="266.7"/>
    <n v="11.1"/>
    <s v="Password Reset"/>
    <s v="Windows Password"/>
    <x v="2"/>
    <n v="360"/>
    <x v="1"/>
    <s v="Phone"/>
    <s v="Tier 1"/>
    <s v="TECH-10"/>
    <s v="Senior"/>
    <x v="0"/>
    <s v="No"/>
    <n v="1"/>
    <s v="Yes"/>
    <n v="8"/>
    <n v="1.2"/>
    <n v="25.3"/>
    <s v="Yes"/>
    <s v="Good"/>
    <s v="No"/>
    <s v="Marketing"/>
    <s v="Tuesday"/>
    <s v="Afternoon"/>
  </r>
  <r>
    <x v="2185"/>
    <s v="2024-09-23 10:35:11"/>
    <x v="9"/>
    <s v="2024-09-30 12:53:11"/>
    <n v="170.3"/>
    <n v="7.1"/>
    <s v="Access Requests"/>
    <s v="VPN Access"/>
    <x v="0"/>
    <n v="240"/>
    <x v="1"/>
    <s v="Phone"/>
    <s v="Tier 1"/>
    <s v="TECH-12"/>
    <s v="Senior"/>
    <x v="0"/>
    <s v="No"/>
    <n v="1"/>
    <s v="No"/>
    <n v="9"/>
    <n v="3.4"/>
    <n v="7.6"/>
    <s v="No"/>
    <s v="Good"/>
    <s v="Yes"/>
    <s v="Operations"/>
    <s v="Monday"/>
    <s v="Evening"/>
  </r>
  <r>
    <x v="2186"/>
    <s v="2024-04-14 01:39:28"/>
    <x v="11"/>
    <s v="2024-05-23 00:09:28"/>
    <n v="934.5"/>
    <n v="38.9"/>
    <s v="Software Installation"/>
    <s v="Adobe Suite"/>
    <x v="2"/>
    <n v="360"/>
    <x v="0"/>
    <s v="Portal"/>
    <s v="Tier 2"/>
    <s v="TECH-23"/>
    <s v="Mid-level"/>
    <x v="0"/>
    <s v="Yes"/>
    <n v="4"/>
    <s v="No"/>
    <n v="5"/>
    <n v="3.7"/>
    <n v="11.9"/>
    <s v="Yes"/>
    <s v="Good"/>
    <s v="Yes"/>
    <s v="IT"/>
    <s v="Wednesday"/>
    <s v="Afternoon"/>
  </r>
  <r>
    <x v="2187"/>
    <s v="2024-06-12 13:55:18"/>
    <x v="10"/>
    <s v="2024-06-15 15:01:18"/>
    <n v="73.099999999999994"/>
    <n v="3"/>
    <s v="Network Connectivity"/>
    <s v="VPN Connection"/>
    <x v="1"/>
    <n v="120"/>
    <x v="1"/>
    <s v="Phone"/>
    <s v="Tier 2"/>
    <s v="TECH-4"/>
    <s v="Senior"/>
    <x v="0"/>
    <s v="Yes"/>
    <n v="2"/>
    <s v="No"/>
    <n v="7"/>
    <n v="2.9"/>
    <n v="5.0999999999999996"/>
    <s v="Yes"/>
    <s v="Poor"/>
    <s v="Yes"/>
    <s v="Sales"/>
    <s v="Wednesday"/>
    <s v="Morning"/>
  </r>
  <r>
    <x v="2188"/>
    <s v="2024-07-07 09:48:00"/>
    <x v="4"/>
    <s v="2024-07-23 18:30:00"/>
    <n v="392.7"/>
    <n v="16.399999999999999"/>
    <s v="Password Reset"/>
    <s v="Application Password"/>
    <x v="2"/>
    <n v="360"/>
    <x v="0"/>
    <s v="Email"/>
    <s v="Tier 1"/>
    <s v="TECH-8"/>
    <s v="Mid-level"/>
    <x v="1"/>
    <s v="No"/>
    <n v="0"/>
    <s v="No"/>
    <n v="7"/>
    <n v="0.1"/>
    <n v="35.299999999999997"/>
    <s v="Yes"/>
    <s v="Good"/>
    <s v="Yes"/>
    <s v="Legal"/>
    <s v="Tuesday"/>
    <s v="Evening"/>
  </r>
  <r>
    <x v="2189"/>
    <s v="2024-07-18 02:15:52"/>
    <x v="4"/>
    <s v="2024-07-27 20:03:52"/>
    <n v="209.8"/>
    <n v="8.6999999999999993"/>
    <s v="Software Installation"/>
    <s v="Adobe Suite"/>
    <x v="0"/>
    <n v="240"/>
    <x v="1"/>
    <s v="Portal"/>
    <s v="Tier 1"/>
    <s v="TECH-13"/>
    <s v="Junior"/>
    <x v="1"/>
    <s v="No"/>
    <n v="0"/>
    <s v="No"/>
    <n v="10"/>
    <n v="3.3"/>
    <n v="17.399999999999999"/>
    <s v="Yes"/>
    <s v="Poor"/>
    <s v="Yes"/>
    <s v="HR"/>
    <s v="Monday"/>
    <s v="Morning"/>
  </r>
  <r>
    <x v="2190"/>
    <s v="2024-07-06 06:51:02"/>
    <x v="4"/>
    <s v="2024-07-16 17:21:02"/>
    <n v="250.5"/>
    <n v="10.4"/>
    <s v="Access Requests"/>
    <s v="Application Access"/>
    <x v="2"/>
    <n v="360"/>
    <x v="1"/>
    <s v="Email"/>
    <s v="Tier 1"/>
    <s v="TECH-2"/>
    <s v="Junior"/>
    <x v="1"/>
    <s v="No"/>
    <n v="0"/>
    <s v="No"/>
    <n v="9"/>
    <n v="2.9"/>
    <n v="23"/>
    <s v="Yes"/>
    <s v="Good"/>
    <s v="Yes"/>
    <s v="Sales"/>
    <s v="Thursday"/>
    <s v="Afternoon"/>
  </r>
  <r>
    <x v="2191"/>
    <s v="2024-11-24 08:27:04"/>
    <x v="7"/>
    <s v="2024-12-07 15:45:04"/>
    <n v="319.3"/>
    <n v="13.3"/>
    <s v="Password Reset"/>
    <s v="Account Unlock"/>
    <x v="1"/>
    <n v="120"/>
    <x v="0"/>
    <s v="Phone"/>
    <s v="Tier 1"/>
    <s v="TECH-22"/>
    <s v="Junior"/>
    <x v="1"/>
    <s v="No"/>
    <n v="0"/>
    <s v="No"/>
    <n v="7"/>
    <n v="2.5"/>
    <n v="12.4"/>
    <s v="Yes"/>
    <s v="Fair"/>
    <s v="Yes"/>
    <s v="Finance"/>
    <s v="Thursday"/>
    <s v="Evening"/>
  </r>
  <r>
    <x v="2192"/>
    <s v="2024-12-25 17:43:05"/>
    <x v="0"/>
    <s v="2025-01-08 13:13:05"/>
    <n v="331.5"/>
    <n v="13.8"/>
    <s v="Hardware Issues"/>
    <s v="Printer"/>
    <x v="1"/>
    <n v="120"/>
    <x v="0"/>
    <s v="Phone"/>
    <s v="Tier 1"/>
    <s v="TECH-11"/>
    <s v="Junior"/>
    <x v="0"/>
    <s v="No"/>
    <n v="1"/>
    <s v="No"/>
    <n v="4"/>
    <n v="1.1000000000000001"/>
    <n v="31.1"/>
    <s v="No"/>
    <s v="Good"/>
    <s v="Yes"/>
    <s v="Legal"/>
    <s v="Monday"/>
    <s v="Evening"/>
  </r>
  <r>
    <x v="2193"/>
    <s v="2024-04-18 10:22:46"/>
    <x v="11"/>
    <s v="2024-04-25 07:58:46"/>
    <n v="165.6"/>
    <n v="6.9"/>
    <s v="Email/Calendar"/>
    <s v="Cannot Send/Receive"/>
    <x v="0"/>
    <n v="240"/>
    <x v="1"/>
    <s v="Chat"/>
    <s v="Tier 1"/>
    <s v="TECH-9"/>
    <s v="Mid-level"/>
    <x v="0"/>
    <s v="No"/>
    <n v="1"/>
    <s v="No"/>
    <n v="10"/>
    <n v="6"/>
    <n v="17.8"/>
    <s v="Yes"/>
    <s v="Excellent"/>
    <s v="Yes"/>
    <s v="HR"/>
    <s v="Monday"/>
    <s v="Morning"/>
  </r>
  <r>
    <x v="2194"/>
    <s v="2024-01-30 07:50:21"/>
    <x v="3"/>
    <s v="2024-02-10 22:44:21"/>
    <n v="278.89999999999998"/>
    <n v="11.6"/>
    <s v="Password Reset"/>
    <s v="Account Unlock"/>
    <x v="2"/>
    <n v="360"/>
    <x v="1"/>
    <s v="Phone"/>
    <s v="Tier 1"/>
    <s v="TECH-15"/>
    <s v="Mid-level"/>
    <x v="1"/>
    <s v="No"/>
    <n v="0"/>
    <s v="No"/>
    <n v="9"/>
    <n v="4"/>
    <n v="27.9"/>
    <s v="No"/>
    <s v="Excellent"/>
    <s v="Yes"/>
    <s v="Executive"/>
    <s v="Monday"/>
    <s v="Evening"/>
  </r>
  <r>
    <x v="2195"/>
    <s v="2024-02-11 17:32:01"/>
    <x v="6"/>
    <s v="2024-03-04 22:44:01"/>
    <n v="533.20000000000005"/>
    <n v="22.2"/>
    <s v="Password Reset"/>
    <s v="Windows Password"/>
    <x v="2"/>
    <n v="360"/>
    <x v="0"/>
    <s v="Portal"/>
    <s v="Tier 1"/>
    <s v="TECH-1"/>
    <s v="Junior"/>
    <x v="1"/>
    <s v="No"/>
    <n v="0"/>
    <s v="No"/>
    <n v="10"/>
    <n v="7.1"/>
    <n v="19.5"/>
    <s v="Yes"/>
    <s v="Fair"/>
    <s v="Yes"/>
    <s v="Finance"/>
    <s v="Wednesday"/>
    <s v="Afternoon"/>
  </r>
  <r>
    <x v="2196"/>
    <s v="2024-03-29 22:34:41"/>
    <x v="5"/>
    <s v="2024-04-07 18:34:41"/>
    <n v="211"/>
    <n v="8.8000000000000007"/>
    <s v="Other"/>
    <s v="General Inquiry"/>
    <x v="0"/>
    <n v="240"/>
    <x v="1"/>
    <s v="Portal"/>
    <s v="Tier 1"/>
    <s v="TECH-10"/>
    <s v="Junior"/>
    <x v="1"/>
    <s v="No"/>
    <n v="0"/>
    <s v="No"/>
    <n v="9"/>
    <n v="4.3"/>
    <n v="53.6"/>
    <s v="Yes"/>
    <s v="Good"/>
    <s v="Yes"/>
    <s v="Finance"/>
    <s v="Wednesday"/>
    <s v="Evening"/>
  </r>
  <r>
    <x v="2197"/>
    <s v="2024-03-15 18:26:31"/>
    <x v="5"/>
    <s v="2024-04-04 11:14:31"/>
    <n v="471.8"/>
    <n v="19.7"/>
    <s v="Password Reset"/>
    <s v="Application Password"/>
    <x v="2"/>
    <n v="360"/>
    <x v="0"/>
    <s v="Email"/>
    <s v="Tier 1"/>
    <s v="TECH-25"/>
    <s v="Junior"/>
    <x v="0"/>
    <s v="No"/>
    <n v="1"/>
    <s v="No"/>
    <n v="6"/>
    <n v="0.1"/>
    <n v="21.4"/>
    <s v="No"/>
    <s v="Fair"/>
    <s v="No"/>
    <s v="Sales"/>
    <s v="Tuesday"/>
    <s v="Morning"/>
  </r>
  <r>
    <x v="2198"/>
    <s v="2024-04-01 12:15:07"/>
    <x v="11"/>
    <s v="2024-04-12 20:51:07"/>
    <n v="272.60000000000002"/>
    <n v="11.4"/>
    <s v="Other"/>
    <s v="Documentation"/>
    <x v="2"/>
    <n v="360"/>
    <x v="1"/>
    <s v="Email"/>
    <s v="Tier 2"/>
    <s v="TECH-19"/>
    <s v="Senior"/>
    <x v="0"/>
    <s v="Yes"/>
    <n v="1"/>
    <s v="No"/>
    <n v="8"/>
    <n v="3.9"/>
    <n v="26.3"/>
    <s v="No"/>
    <s v="Fair"/>
    <s v="No"/>
    <s v="Sales"/>
    <s v="Wednesday"/>
    <s v="Morning"/>
  </r>
  <r>
    <x v="2199"/>
    <s v="2024-11-06 20:34:27"/>
    <x v="7"/>
    <s v="2024-11-11 07:16:27"/>
    <n v="106.7"/>
    <n v="4.4000000000000004"/>
    <s v="Network Connectivity"/>
    <s v="VPN Connection"/>
    <x v="1"/>
    <n v="120"/>
    <x v="1"/>
    <s v="Phone"/>
    <s v="Tier 2"/>
    <s v="TECH-16"/>
    <s v="Senior"/>
    <x v="0"/>
    <s v="Yes"/>
    <n v="3"/>
    <s v="No"/>
    <n v="9"/>
    <n v="2.7"/>
    <n v="7.1"/>
    <s v="Yes"/>
    <s v="Poor"/>
    <s v="No"/>
    <s v="Finance"/>
    <s v="Thursday"/>
    <s v="Evening"/>
  </r>
  <r>
    <x v="2200"/>
    <s v="2024-06-10 16:24:29"/>
    <x v="10"/>
    <s v="2024-06-21 18:54:29"/>
    <n v="266.5"/>
    <n v="11.1"/>
    <s v="Other"/>
    <s v="General Inquiry"/>
    <x v="2"/>
    <n v="360"/>
    <x v="1"/>
    <s v="Email"/>
    <s v="Tier 1"/>
    <s v="TECH-13"/>
    <s v="Senior"/>
    <x v="0"/>
    <s v="No"/>
    <n v="1"/>
    <s v="No"/>
    <n v="7"/>
    <n v="3.1"/>
    <n v="28.8"/>
    <s v="Yes"/>
    <s v="Poor"/>
    <s v="Yes"/>
    <s v="Sales"/>
    <s v="Thursday"/>
    <s v="Afternoon"/>
  </r>
  <r>
    <x v="2201"/>
    <s v="2024-10-24 16:39:09"/>
    <x v="2"/>
    <s v="2024-10-29 02:33:09"/>
    <n v="106.9"/>
    <n v="4.5"/>
    <s v="Application Errors"/>
    <s v="Performance"/>
    <x v="1"/>
    <n v="120"/>
    <x v="1"/>
    <s v="Email"/>
    <s v="Tier 1"/>
    <s v="TECH-21"/>
    <s v="Junior"/>
    <x v="0"/>
    <s v="No"/>
    <n v="1"/>
    <s v="Yes"/>
    <n v="7"/>
    <n v="0.8"/>
    <n v="25.4"/>
    <s v="No"/>
    <s v="Poor"/>
    <s v="No"/>
    <s v="Executive"/>
    <s v="Tuesday"/>
    <s v="Morning"/>
  </r>
  <r>
    <x v="2202"/>
    <s v="2024-07-31 20:54:32"/>
    <x v="4"/>
    <s v="2024-08-10 05:36:32"/>
    <n v="224.7"/>
    <n v="9.4"/>
    <s v="Application Errors"/>
    <s v="Login Issues"/>
    <x v="0"/>
    <n v="240"/>
    <x v="1"/>
    <s v="Email"/>
    <s v="Tier 1"/>
    <s v="TECH-7"/>
    <s v="Mid-level"/>
    <x v="0"/>
    <s v="No"/>
    <n v="1"/>
    <s v="No"/>
    <n v="7"/>
    <n v="0.1"/>
    <n v="3.9"/>
    <s v="Yes"/>
    <s v="Fair"/>
    <s v="No"/>
    <s v="Executive"/>
    <s v="Monday"/>
    <s v="Afternoon"/>
  </r>
  <r>
    <x v="2203"/>
    <s v="2024-07-28 00:41:22"/>
    <x v="4"/>
    <s v="2024-08-04 17:53:22"/>
    <n v="161.19999999999999"/>
    <n v="6.7"/>
    <s v="Hardware Issues"/>
    <s v="Printer"/>
    <x v="1"/>
    <n v="120"/>
    <x v="0"/>
    <s v="Phone"/>
    <s v="Tier 2"/>
    <s v="TECH-3"/>
    <s v="Junior"/>
    <x v="0"/>
    <s v="Yes"/>
    <n v="2"/>
    <s v="No"/>
    <n v="7"/>
    <n v="0.1"/>
    <n v="19"/>
    <s v="Yes"/>
    <s v="Good"/>
    <s v="Yes"/>
    <s v="Sales"/>
    <s v="Friday"/>
    <s v="Evening"/>
  </r>
  <r>
    <x v="2204"/>
    <s v="2024-01-05 18:35:22"/>
    <x v="3"/>
    <s v="2024-01-09 13:47:22"/>
    <n v="91.2"/>
    <n v="3.8"/>
    <s v="Application Errors"/>
    <s v="Crash"/>
    <x v="1"/>
    <n v="120"/>
    <x v="1"/>
    <s v="Chat"/>
    <s v="Tier 1"/>
    <s v="TECH-24"/>
    <s v="Junior"/>
    <x v="0"/>
    <s v="No"/>
    <n v="1"/>
    <s v="Yes"/>
    <n v="7"/>
    <n v="2.4"/>
    <n v="25.2"/>
    <s v="No"/>
    <s v="Poor"/>
    <s v="Yes"/>
    <s v="Sales"/>
    <s v="Monday"/>
    <s v="Afternoon"/>
  </r>
  <r>
    <x v="2205"/>
    <s v="2024-11-11 07:30:14"/>
    <x v="7"/>
    <s v="2024-11-20 04:42:14"/>
    <n v="213.2"/>
    <n v="8.9"/>
    <s v="Application Errors"/>
    <s v="Performance"/>
    <x v="0"/>
    <n v="240"/>
    <x v="1"/>
    <s v="Email"/>
    <s v="Tier 2"/>
    <s v="TECH-25"/>
    <s v="Mid-level"/>
    <x v="0"/>
    <s v="Yes"/>
    <n v="3"/>
    <s v="No"/>
    <n v="10"/>
    <n v="0.1"/>
    <n v="10.7"/>
    <s v="Yes"/>
    <s v="Poor"/>
    <s v="Yes"/>
    <s v="Operations"/>
    <s v="Wednesday"/>
    <s v="Afternoon"/>
  </r>
  <r>
    <x v="2206"/>
    <s v="2024-05-16 17:41:37"/>
    <x v="8"/>
    <s v="2024-05-29 23:05:37"/>
    <n v="317.39999999999998"/>
    <n v="13.2"/>
    <s v="Software Installation"/>
    <s v="Business Apps"/>
    <x v="2"/>
    <n v="360"/>
    <x v="1"/>
    <s v="Portal"/>
    <s v="Tier 1"/>
    <s v="TECH-23"/>
    <s v="Mid-level"/>
    <x v="0"/>
    <s v="No"/>
    <n v="1"/>
    <s v="No"/>
    <n v="9"/>
    <n v="1.9"/>
    <n v="9.3000000000000007"/>
    <s v="Yes"/>
    <s v="Excellent"/>
    <s v="Yes"/>
    <s v="Finance"/>
    <s v="Wednesday"/>
    <s v="Afternoon"/>
  </r>
  <r>
    <x v="2207"/>
    <s v="2024-01-27 21:27:20"/>
    <x v="3"/>
    <s v="2024-02-01 13:09:20"/>
    <n v="111.7"/>
    <n v="4.7"/>
    <s v="Application Errors"/>
    <s v="Login Issues"/>
    <x v="1"/>
    <n v="120"/>
    <x v="1"/>
    <s v="Walk-in"/>
    <s v="Tier 1"/>
    <s v="TECH-1"/>
    <s v="Junior"/>
    <x v="0"/>
    <s v="No"/>
    <n v="1"/>
    <s v="No"/>
    <n v="7"/>
    <n v="0.1"/>
    <n v="45.7"/>
    <s v="No"/>
    <s v="Excellent"/>
    <s v="Yes"/>
    <s v="HR"/>
    <s v="Friday"/>
    <s v="Morning"/>
  </r>
  <r>
    <x v="2208"/>
    <s v="2024-05-20 01:33:35"/>
    <x v="8"/>
    <s v="2024-06-05 11:33:35"/>
    <n v="370"/>
    <n v="15.4"/>
    <s v="Network Connectivity"/>
    <s v="VPN Connection"/>
    <x v="2"/>
    <n v="360"/>
    <x v="0"/>
    <s v="Portal"/>
    <s v="Tier 1"/>
    <s v="TECH-2"/>
    <s v="Mid-level"/>
    <x v="0"/>
    <s v="No"/>
    <n v="1"/>
    <s v="Yes"/>
    <n v="8"/>
    <n v="1.8"/>
    <n v="20.9"/>
    <s v="Yes"/>
    <s v="Poor"/>
    <s v="No"/>
    <s v="Sales"/>
    <s v="Friday"/>
    <s v="Morning"/>
  </r>
  <r>
    <x v="2209"/>
    <s v="2024-04-14 17:25:18"/>
    <x v="11"/>
    <s v="2024-04-25 11:31:18"/>
    <n v="258.10000000000002"/>
    <n v="10.8"/>
    <s v="Password Reset"/>
    <s v="Windows Password"/>
    <x v="2"/>
    <n v="360"/>
    <x v="1"/>
    <s v="Email"/>
    <s v="Tier 1"/>
    <s v="TECH-3"/>
    <s v="Mid-level"/>
    <x v="0"/>
    <s v="No"/>
    <n v="1"/>
    <s v="No"/>
    <n v="8"/>
    <n v="3.3"/>
    <n v="20.7"/>
    <s v="Yes"/>
    <s v="Poor"/>
    <s v="Yes"/>
    <s v="Legal"/>
    <s v="Friday"/>
    <s v="Morning"/>
  </r>
  <r>
    <x v="2210"/>
    <s v="2024-09-18 15:05:19"/>
    <x v="9"/>
    <s v="2024-10-02 04:53:19"/>
    <n v="325.8"/>
    <n v="13.6"/>
    <s v="Password Reset"/>
    <s v="Windows Password"/>
    <x v="1"/>
    <n v="120"/>
    <x v="0"/>
    <s v="Walk-in"/>
    <s v="Tier 1"/>
    <s v="TECH-13"/>
    <s v="Mid-level"/>
    <x v="1"/>
    <s v="No"/>
    <n v="0"/>
    <s v="No"/>
    <n v="7"/>
    <n v="4.8"/>
    <n v="29.1"/>
    <s v="Yes"/>
    <s v="Fair"/>
    <s v="Yes"/>
    <s v="Marketing"/>
    <s v="Wednesday"/>
    <s v="Afternoon"/>
  </r>
  <r>
    <x v="2211"/>
    <s v="2024-11-29 17:34:43"/>
    <x v="7"/>
    <s v="2024-12-24 17:46:43"/>
    <n v="600.20000000000005"/>
    <n v="25"/>
    <s v="Application Errors"/>
    <s v="Features Not Working"/>
    <x v="0"/>
    <n v="240"/>
    <x v="0"/>
    <s v="Walk-in"/>
    <s v="Tier 2"/>
    <s v="TECH-25"/>
    <s v="Senior"/>
    <x v="0"/>
    <s v="Yes"/>
    <n v="3"/>
    <s v="No"/>
    <n v="7"/>
    <n v="2.9"/>
    <n v="24.1"/>
    <s v="Yes"/>
    <s v="Good"/>
    <s v="Yes"/>
    <s v="IT"/>
    <s v="Tuesday"/>
    <s v="Afternoon"/>
  </r>
  <r>
    <x v="2212"/>
    <s v="2024-10-30 19:15:11"/>
    <x v="2"/>
    <s v="2024-11-03 18:51:11"/>
    <n v="95.6"/>
    <n v="4"/>
    <s v="Hardware Issues"/>
    <s v="Keyboard/Mouse"/>
    <x v="1"/>
    <n v="120"/>
    <x v="1"/>
    <s v="Walk-in"/>
    <s v="Tier 1"/>
    <s v="TECH-21"/>
    <s v="Mid-level"/>
    <x v="0"/>
    <s v="No"/>
    <n v="1"/>
    <s v="No"/>
    <n v="7"/>
    <n v="1.1000000000000001"/>
    <n v="18.3"/>
    <s v="Yes"/>
    <s v="Excellent"/>
    <s v="Yes"/>
    <s v="Executive"/>
    <s v="Monday"/>
    <s v="Evening"/>
  </r>
  <r>
    <x v="2213"/>
    <s v="2024-07-24 22:27:25"/>
    <x v="4"/>
    <s v="2024-08-01 23:03:25"/>
    <n v="192.6"/>
    <n v="8"/>
    <s v="Software Installation"/>
    <s v="Adobe Suite"/>
    <x v="0"/>
    <n v="240"/>
    <x v="1"/>
    <s v="Phone"/>
    <s v="Tier 2"/>
    <s v="TECH-3"/>
    <s v="Mid-level"/>
    <x v="0"/>
    <s v="Yes"/>
    <n v="2"/>
    <s v="No"/>
    <n v="8"/>
    <n v="3.6"/>
    <n v="14.1"/>
    <s v="No"/>
    <s v="Excellent"/>
    <s v="Yes"/>
    <s v="Legal"/>
    <s v="Monday"/>
    <s v="Afternoon"/>
  </r>
  <r>
    <x v="2214"/>
    <s v="2024-12-19 00:12:20"/>
    <x v="0"/>
    <s v="2025-01-01 19:00:20"/>
    <n v="306.8"/>
    <n v="12.8"/>
    <s v="Password Reset"/>
    <s v="Windows Password"/>
    <x v="2"/>
    <n v="360"/>
    <x v="1"/>
    <s v="Phone"/>
    <s v="Tier 1"/>
    <s v="TECH-1"/>
    <s v="Senior"/>
    <x v="1"/>
    <s v="No"/>
    <n v="0"/>
    <s v="No"/>
    <n v="10"/>
    <n v="2.6"/>
    <n v="15.5"/>
    <s v="Yes"/>
    <s v="Poor"/>
    <s v="No"/>
    <s v="HR"/>
    <s v="Friday"/>
    <s v="Afternoon"/>
  </r>
  <r>
    <x v="2215"/>
    <s v="2024-03-05 15:00:20"/>
    <x v="5"/>
    <s v="2024-03-18 12:42:20"/>
    <n v="309.7"/>
    <n v="12.9"/>
    <s v="Password Reset"/>
    <s v="Account Unlock"/>
    <x v="2"/>
    <n v="360"/>
    <x v="1"/>
    <s v="Email"/>
    <s v="Tier 1"/>
    <s v="TECH-18"/>
    <s v="Senior"/>
    <x v="0"/>
    <s v="No"/>
    <n v="1"/>
    <s v="No"/>
    <n v="9"/>
    <n v="2.2000000000000002"/>
    <n v="11.1"/>
    <s v="Yes"/>
    <s v="Good"/>
    <s v="Yes"/>
    <s v="Sales"/>
    <s v="Monday"/>
    <s v="Morning"/>
  </r>
  <r>
    <x v="2216"/>
    <s v="2024-02-15 18:06:18"/>
    <x v="6"/>
    <s v="2024-03-08 00:54:18"/>
    <n v="534.79999999999995"/>
    <n v="22.3"/>
    <s v="Password Reset"/>
    <s v="Account Unlock"/>
    <x v="2"/>
    <n v="360"/>
    <x v="0"/>
    <s v="Email"/>
    <s v="Tier 1"/>
    <s v="TECH-9"/>
    <s v="Mid-level"/>
    <x v="1"/>
    <s v="No"/>
    <n v="0"/>
    <s v="No"/>
    <n v="7"/>
    <n v="2.7"/>
    <n v="7.1"/>
    <s v="Yes"/>
    <s v="Excellent"/>
    <s v="Yes"/>
    <s v="HR"/>
    <s v="Friday"/>
    <s v="Afternoon"/>
  </r>
  <r>
    <x v="2217"/>
    <s v="2024-09-21 06:41:47"/>
    <x v="9"/>
    <s v="2024-09-24 09:29:47"/>
    <n v="74.8"/>
    <n v="3.1"/>
    <s v="Application Errors"/>
    <s v="Crash"/>
    <x v="1"/>
    <n v="120"/>
    <x v="1"/>
    <s v="Walk-in"/>
    <s v="Tier 1"/>
    <s v="TECH-1"/>
    <s v="Mid-level"/>
    <x v="0"/>
    <s v="No"/>
    <n v="1"/>
    <s v="Yes"/>
    <n v="10"/>
    <n v="1.5"/>
    <n v="5.9"/>
    <s v="Yes"/>
    <s v="Fair"/>
    <s v="No"/>
    <s v="Executive"/>
    <s v="Wednesday"/>
    <s v="Morning"/>
  </r>
  <r>
    <x v="2218"/>
    <s v="2024-07-04 12:01:09"/>
    <x v="4"/>
    <s v="2024-07-14 02:49:09"/>
    <n v="254.8"/>
    <n v="10.6"/>
    <s v="Hardware Issues"/>
    <s v="Printer"/>
    <x v="1"/>
    <n v="120"/>
    <x v="0"/>
    <s v="Phone"/>
    <s v="Tier 1"/>
    <s v="TECH-22"/>
    <s v="Senior"/>
    <x v="1"/>
    <s v="No"/>
    <n v="0"/>
    <s v="No"/>
    <n v="7"/>
    <n v="2.7"/>
    <n v="11.6"/>
    <s v="Yes"/>
    <s v="Good"/>
    <s v="Yes"/>
    <s v="Finance"/>
    <s v="Thursday"/>
    <s v="Morning"/>
  </r>
  <r>
    <x v="2219"/>
    <s v="2024-10-31 06:02:14"/>
    <x v="2"/>
    <s v="2024-11-13 19:50:14"/>
    <n v="325.8"/>
    <n v="13.6"/>
    <s v="Password Reset"/>
    <s v="Application Password"/>
    <x v="2"/>
    <n v="360"/>
    <x v="1"/>
    <s v="Phone"/>
    <s v="Tier 1"/>
    <s v="TECH-15"/>
    <s v="Mid-level"/>
    <x v="0"/>
    <s v="No"/>
    <n v="1"/>
    <s v="No"/>
    <n v="8"/>
    <n v="3"/>
    <n v="11.2"/>
    <s v="Yes"/>
    <s v="Fair"/>
    <s v="Yes"/>
    <s v="IT"/>
    <s v="Thursday"/>
    <s v="Afternoon"/>
  </r>
  <r>
    <x v="2220"/>
    <s v="2024-08-12 09:26:58"/>
    <x v="1"/>
    <s v="2024-08-19 13:20:58"/>
    <n v="171.9"/>
    <n v="7.2"/>
    <s v="Software Installation"/>
    <s v="Drivers"/>
    <x v="0"/>
    <n v="240"/>
    <x v="1"/>
    <s v="Email"/>
    <s v="Tier 2"/>
    <s v="TECH-11"/>
    <s v="Mid-level"/>
    <x v="0"/>
    <s v="Yes"/>
    <n v="3"/>
    <s v="No"/>
    <n v="5"/>
    <n v="2.9"/>
    <n v="0.8"/>
    <s v="No"/>
    <s v="Fair"/>
    <s v="Yes"/>
    <s v="Sales"/>
    <s v="Monday"/>
    <s v="Morning"/>
  </r>
  <r>
    <x v="2221"/>
    <s v="2024-09-04 09:38:47"/>
    <x v="9"/>
    <s v="2024-09-13 03:56:47"/>
    <n v="210.3"/>
    <n v="8.8000000000000007"/>
    <s v="Software Installation"/>
    <s v="MS Office"/>
    <x v="0"/>
    <n v="240"/>
    <x v="1"/>
    <s v="Phone"/>
    <s v="Tier 2"/>
    <s v="TECH-18"/>
    <s v="Junior"/>
    <x v="0"/>
    <s v="Yes"/>
    <n v="2"/>
    <s v="No"/>
    <n v="7"/>
    <n v="4.9000000000000004"/>
    <n v="16.399999999999999"/>
    <s v="Yes"/>
    <s v="Fair"/>
    <s v="No"/>
    <s v="Marketing"/>
    <s v="Tuesday"/>
    <s v="Evening"/>
  </r>
  <r>
    <x v="2222"/>
    <s v="2024-04-28 08:40:08"/>
    <x v="11"/>
    <s v="2024-05-09 21:58:08"/>
    <n v="277.3"/>
    <n v="11.6"/>
    <s v="Hardware Issues"/>
    <s v="Docking Station"/>
    <x v="2"/>
    <n v="360"/>
    <x v="1"/>
    <s v="Chat"/>
    <s v="Tier 2"/>
    <s v="TECH-19"/>
    <s v="Senior"/>
    <x v="0"/>
    <s v="Yes"/>
    <n v="4"/>
    <s v="No"/>
    <n v="8"/>
    <n v="0.1"/>
    <n v="0"/>
    <s v="Yes"/>
    <s v="Good"/>
    <s v="No"/>
    <s v="Marketing"/>
    <s v="Monday"/>
    <s v="Afternoon"/>
  </r>
  <r>
    <x v="2223"/>
    <s v="2024-10-04 07:16:16"/>
    <x v="2"/>
    <s v="2024-10-06 16:28:16"/>
    <n v="57.2"/>
    <n v="2.4"/>
    <s v="Access Requests"/>
    <s v="File Share"/>
    <x v="3"/>
    <n v="48"/>
    <x v="0"/>
    <s v="Walk-in"/>
    <s v="Tier 1"/>
    <s v="TECH-5"/>
    <s v="Mid-level"/>
    <x v="0"/>
    <s v="No"/>
    <n v="1"/>
    <s v="No"/>
    <n v="3"/>
    <n v="2.9"/>
    <n v="27.9"/>
    <s v="Yes"/>
    <s v="Good"/>
    <s v="Yes"/>
    <s v="Operations"/>
    <s v="Monday"/>
    <s v="Morning"/>
  </r>
  <r>
    <x v="2224"/>
    <s v="2024-02-28 19:37:17"/>
    <x v="6"/>
    <s v="2024-03-11 23:19:17"/>
    <n v="291.7"/>
    <n v="12.2"/>
    <s v="Other"/>
    <s v="Miscellaneous"/>
    <x v="2"/>
    <n v="360"/>
    <x v="1"/>
    <s v="Portal"/>
    <s v="Tier 1"/>
    <s v="TECH-8"/>
    <s v="Mid-level"/>
    <x v="0"/>
    <s v="No"/>
    <n v="1"/>
    <s v="No"/>
    <n v="9"/>
    <n v="3.7"/>
    <n v="16.2"/>
    <s v="No"/>
    <s v="Fair"/>
    <s v="No"/>
    <s v="IT"/>
    <s v="Wednesday"/>
    <s v="Afternoon"/>
  </r>
  <r>
    <x v="2225"/>
    <s v="2024-10-01 08:27:41"/>
    <x v="2"/>
    <s v="2024-10-11 17:09:41"/>
    <n v="248.7"/>
    <n v="10.4"/>
    <s v="Access Requests"/>
    <s v="File Share"/>
    <x v="2"/>
    <n v="360"/>
    <x v="1"/>
    <s v="Phone"/>
    <s v="Tier 1"/>
    <s v="TECH-23"/>
    <s v="Mid-level"/>
    <x v="0"/>
    <s v="No"/>
    <n v="1"/>
    <s v="No"/>
    <n v="10"/>
    <n v="2.2000000000000002"/>
    <n v="28.7"/>
    <s v="Yes"/>
    <s v="Fair"/>
    <s v="No"/>
    <s v="HR"/>
    <s v="Friday"/>
    <s v="Morning"/>
  </r>
  <r>
    <x v="2226"/>
    <s v="2024-11-16 15:30:16"/>
    <x v="7"/>
    <s v="2024-12-03 07:06:16"/>
    <n v="399.6"/>
    <n v="16.7"/>
    <s v="Password Reset"/>
    <s v="Windows Password"/>
    <x v="2"/>
    <n v="360"/>
    <x v="0"/>
    <s v="Phone"/>
    <s v="Tier 1"/>
    <s v="TECH-14"/>
    <s v="Junior"/>
    <x v="1"/>
    <s v="No"/>
    <n v="0"/>
    <s v="No"/>
    <n v="8"/>
    <n v="0.1"/>
    <n v="22.6"/>
    <s v="Yes"/>
    <s v="Excellent"/>
    <s v="Yes"/>
    <s v="Marketing"/>
    <s v="Friday"/>
    <s v="Afternoon"/>
  </r>
  <r>
    <x v="2227"/>
    <s v="2024-07-08 17:59:37"/>
    <x v="4"/>
    <s v="2024-07-13 18:59:37"/>
    <n v="121"/>
    <n v="5"/>
    <s v="Email/Calendar"/>
    <s v="Calendar Sync"/>
    <x v="1"/>
    <n v="120"/>
    <x v="0"/>
    <s v="Email"/>
    <s v="Tier 1"/>
    <s v="TECH-22"/>
    <s v="Senior"/>
    <x v="0"/>
    <s v="No"/>
    <n v="1"/>
    <s v="Yes"/>
    <n v="7"/>
    <n v="2.2000000000000002"/>
    <n v="26.5"/>
    <s v="Yes"/>
    <s v="Good"/>
    <s v="Yes"/>
    <s v="Operations"/>
    <s v="Monday"/>
    <s v="Morning"/>
  </r>
  <r>
    <x v="2228"/>
    <s v="2024-04-11 00:12:48"/>
    <x v="11"/>
    <s v="2024-04-20 04:48:48"/>
    <n v="196.6"/>
    <n v="8.1999999999999993"/>
    <s v="Other"/>
    <s v="General Inquiry"/>
    <x v="0"/>
    <n v="240"/>
    <x v="1"/>
    <s v="Portal"/>
    <s v="Tier 1"/>
    <s v="TECH-24"/>
    <s v="Mid-level"/>
    <x v="0"/>
    <s v="No"/>
    <n v="1"/>
    <s v="Yes"/>
    <n v="7"/>
    <n v="3.4"/>
    <n v="16.600000000000001"/>
    <s v="Yes"/>
    <s v="Good"/>
    <s v="No"/>
    <s v="Executive"/>
    <s v="Thursday"/>
    <s v="Afternoon"/>
  </r>
  <r>
    <x v="2229"/>
    <s v="2024-04-07 05:24:16"/>
    <x v="11"/>
    <s v="2024-04-15 17:48:16"/>
    <n v="204.4"/>
    <n v="8.5"/>
    <s v="Access Requests"/>
    <s v="File Share"/>
    <x v="0"/>
    <n v="240"/>
    <x v="1"/>
    <s v="Phone"/>
    <s v="Tier 1"/>
    <s v="TECH-22"/>
    <s v="Senior"/>
    <x v="1"/>
    <s v="No"/>
    <n v="0"/>
    <s v="No"/>
    <n v="10"/>
    <n v="4.4000000000000004"/>
    <n v="27.7"/>
    <s v="Yes"/>
    <s v="Poor"/>
    <s v="No"/>
    <s v="Legal"/>
    <s v="Friday"/>
    <s v="Evening"/>
  </r>
  <r>
    <x v="2230"/>
    <s v="2024-11-25 06:56:08"/>
    <x v="7"/>
    <s v="2024-12-05 08:32:08"/>
    <n v="241.6"/>
    <n v="10.1"/>
    <s v="Password Reset"/>
    <s v="Email Password"/>
    <x v="2"/>
    <n v="360"/>
    <x v="1"/>
    <s v="Email"/>
    <s v="Tier 1"/>
    <s v="TECH-23"/>
    <s v="Senior"/>
    <x v="1"/>
    <s v="No"/>
    <n v="0"/>
    <s v="No"/>
    <n v="8"/>
    <n v="0.1"/>
    <n v="12.5"/>
    <s v="No"/>
    <s v="Fair"/>
    <s v="No"/>
    <s v="Legal"/>
    <s v="Thursday"/>
    <s v="Morning"/>
  </r>
  <r>
    <x v="2231"/>
    <s v="2024-07-24 15:22:04"/>
    <x v="4"/>
    <s v="2024-07-26 05:10:04"/>
    <n v="37.799999999999997"/>
    <n v="1.6"/>
    <s v="Email/Calendar"/>
    <s v="Calendar Sync"/>
    <x v="3"/>
    <n v="48"/>
    <x v="1"/>
    <s v="Phone"/>
    <s v="Tier 1"/>
    <s v="TECH-18"/>
    <s v="Mid-level"/>
    <x v="1"/>
    <s v="No"/>
    <n v="0"/>
    <s v="No"/>
    <n v="9"/>
    <n v="2.2999999999999998"/>
    <n v="5.5"/>
    <s v="Yes"/>
    <s v="Poor"/>
    <s v="No"/>
    <s v="HR"/>
    <s v="Thursday"/>
    <s v="Morning"/>
  </r>
  <r>
    <x v="2232"/>
    <s v="2024-08-31 22:56:52"/>
    <x v="1"/>
    <s v="2024-09-12 03:38:52"/>
    <n v="268.7"/>
    <n v="11.2"/>
    <s v="Password Reset"/>
    <s v="Account Unlock"/>
    <x v="2"/>
    <n v="360"/>
    <x v="1"/>
    <s v="Email"/>
    <s v="Tier 1"/>
    <s v="TECH-21"/>
    <s v="Mid-level"/>
    <x v="0"/>
    <s v="No"/>
    <n v="1"/>
    <s v="No"/>
    <n v="9"/>
    <n v="2.5"/>
    <n v="13.7"/>
    <s v="Yes"/>
    <s v="Excellent"/>
    <s v="Yes"/>
    <s v="IT"/>
    <s v="Tuesday"/>
    <s v="Morning"/>
  </r>
  <r>
    <x v="2233"/>
    <s v="2024-01-06 07:31:21"/>
    <x v="3"/>
    <s v="2024-01-18 18:49:21"/>
    <n v="299.3"/>
    <n v="12.5"/>
    <s v="Access Requests"/>
    <s v="Admin Rights"/>
    <x v="2"/>
    <n v="360"/>
    <x v="1"/>
    <s v="Email"/>
    <s v="Tier 1"/>
    <s v="TECH-24"/>
    <s v="Mid-level"/>
    <x v="0"/>
    <s v="No"/>
    <n v="1"/>
    <s v="No"/>
    <n v="8"/>
    <n v="4.2"/>
    <n v="6"/>
    <s v="Yes"/>
    <s v="Good"/>
    <s v="Yes"/>
    <s v="IT"/>
    <s v="Thursday"/>
    <s v="Morning"/>
  </r>
  <r>
    <x v="2234"/>
    <s v="2024-10-18 06:20:13"/>
    <x v="2"/>
    <s v="2024-10-21 16:44:13"/>
    <n v="82.4"/>
    <n v="3.4"/>
    <s v="Application Errors"/>
    <s v="Features Not Working"/>
    <x v="1"/>
    <n v="120"/>
    <x v="1"/>
    <s v="Phone"/>
    <s v="Tier 2"/>
    <s v="TECH-23"/>
    <s v="Mid-level"/>
    <x v="0"/>
    <s v="Yes"/>
    <n v="2"/>
    <s v="No"/>
    <n v="8"/>
    <n v="5.2"/>
    <n v="18.399999999999999"/>
    <s v="Yes"/>
    <s v="Good"/>
    <s v="Yes"/>
    <s v="Legal"/>
    <s v="Thursday"/>
    <s v="Evening"/>
  </r>
  <r>
    <x v="2235"/>
    <s v="2024-11-01 07:32:11"/>
    <x v="7"/>
    <s v="2024-11-09 08:14:11"/>
    <n v="192.7"/>
    <n v="8"/>
    <s v="Access Requests"/>
    <s v="Application Access"/>
    <x v="0"/>
    <n v="240"/>
    <x v="1"/>
    <s v="Portal"/>
    <s v="Tier 1"/>
    <s v="TECH-4"/>
    <s v="Junior"/>
    <x v="1"/>
    <s v="No"/>
    <n v="0"/>
    <s v="No"/>
    <n v="10"/>
    <n v="3.4"/>
    <n v="3.7"/>
    <s v="Yes"/>
    <s v="Fair"/>
    <s v="Yes"/>
    <s v="HR"/>
    <s v="Friday"/>
    <s v="Morning"/>
  </r>
  <r>
    <x v="2236"/>
    <s v="2024-10-21 19:20:33"/>
    <x v="2"/>
    <s v="2024-10-25 21:56:33"/>
    <n v="98.6"/>
    <n v="4.0999999999999996"/>
    <s v="Application Errors"/>
    <s v="Features Not Working"/>
    <x v="1"/>
    <n v="120"/>
    <x v="1"/>
    <s v="Phone"/>
    <s v="Tier 2"/>
    <s v="TECH-14"/>
    <s v="Mid-level"/>
    <x v="0"/>
    <s v="Yes"/>
    <n v="3"/>
    <s v="No"/>
    <n v="9"/>
    <n v="2"/>
    <n v="20.399999999999999"/>
    <s v="Yes"/>
    <s v="Good"/>
    <s v="No"/>
    <s v="HR"/>
    <s v="Tuesday"/>
    <s v="Afternoon"/>
  </r>
  <r>
    <x v="2237"/>
    <s v="2024-08-25 06:55:14"/>
    <x v="1"/>
    <s v="2024-08-31 14:07:14"/>
    <n v="151.19999999999999"/>
    <n v="6.3"/>
    <s v="Network Connectivity"/>
    <s v="WiFi Issues"/>
    <x v="0"/>
    <n v="240"/>
    <x v="1"/>
    <s v="Phone"/>
    <s v="Tier 1"/>
    <s v="TECH-11"/>
    <s v="Mid-level"/>
    <x v="0"/>
    <s v="No"/>
    <n v="1"/>
    <s v="Yes"/>
    <n v="8"/>
    <n v="0.1"/>
    <n v="12.2"/>
    <s v="Yes"/>
    <s v="Good"/>
    <s v="Yes"/>
    <s v="IT"/>
    <s v="Monday"/>
    <s v="Morning"/>
  </r>
  <r>
    <x v="2238"/>
    <s v="2024-09-10 10:49:09"/>
    <x v="9"/>
    <s v="2024-09-19 21:31:09"/>
    <n v="226.7"/>
    <n v="9.4"/>
    <s v="Application Errors"/>
    <s v="Crash"/>
    <x v="0"/>
    <n v="240"/>
    <x v="1"/>
    <s v="Phone"/>
    <s v="Tier 1"/>
    <s v="TECH-15"/>
    <s v="Senior"/>
    <x v="1"/>
    <s v="No"/>
    <n v="0"/>
    <s v="No"/>
    <n v="10"/>
    <n v="6.5"/>
    <n v="8.6"/>
    <s v="Yes"/>
    <s v="Fair"/>
    <s v="Yes"/>
    <s v="Legal"/>
    <s v="Wednesday"/>
    <s v="Evening"/>
  </r>
  <r>
    <x v="2239"/>
    <s v="2024-03-06 17:27:06"/>
    <x v="5"/>
    <s v="2024-03-12 23:33:06"/>
    <n v="150.1"/>
    <n v="6.3"/>
    <s v="Access Requests"/>
    <s v="Admin Rights"/>
    <x v="0"/>
    <n v="240"/>
    <x v="1"/>
    <s v="Email"/>
    <s v="Tier 1"/>
    <s v="TECH-7"/>
    <s v="Senior"/>
    <x v="0"/>
    <s v="No"/>
    <n v="1"/>
    <s v="No"/>
    <n v="8"/>
    <n v="1"/>
    <n v="5.2"/>
    <s v="Yes"/>
    <s v="Excellent"/>
    <s v="No"/>
    <s v="Marketing"/>
    <s v="Tuesday"/>
    <s v="Morning"/>
  </r>
  <r>
    <x v="2240"/>
    <s v="2024-12-18 07:07:06"/>
    <x v="0"/>
    <s v="2024-12-27 17:19:06"/>
    <n v="226.2"/>
    <n v="9.4"/>
    <s v="Other"/>
    <s v="Miscellaneous"/>
    <x v="0"/>
    <n v="240"/>
    <x v="1"/>
    <s v="Phone"/>
    <s v="Tier 1"/>
    <s v="TECH-15"/>
    <s v="Junior"/>
    <x v="0"/>
    <s v="No"/>
    <n v="1"/>
    <s v="No"/>
    <n v="9"/>
    <n v="1.9"/>
    <n v="18.8"/>
    <s v="No"/>
    <s v="Poor"/>
    <s v="No"/>
    <s v="HR"/>
    <s v="Thursday"/>
    <s v="Evening"/>
  </r>
  <r>
    <x v="2241"/>
    <s v="2024-12-03 08:31:54"/>
    <x v="0"/>
    <s v="2024-12-11 18:19:54"/>
    <n v="201.8"/>
    <n v="8.4"/>
    <s v="Network Connectivity"/>
    <s v="VPN Connection"/>
    <x v="0"/>
    <n v="240"/>
    <x v="1"/>
    <s v="Walk-in"/>
    <s v="Tier 2"/>
    <s v="TECH-6"/>
    <s v="Junior"/>
    <x v="0"/>
    <s v="Yes"/>
    <n v="2"/>
    <s v="No"/>
    <n v="6"/>
    <n v="6.8"/>
    <n v="0"/>
    <s v="Yes"/>
    <s v="Fair"/>
    <s v="No"/>
    <s v="Marketing"/>
    <s v="Monday"/>
    <s v="Afternoon"/>
  </r>
  <r>
    <x v="2242"/>
    <s v="2024-08-30 03:00:15"/>
    <x v="1"/>
    <s v="2024-08-31 10:30:15"/>
    <n v="31.5"/>
    <n v="1.3"/>
    <s v="Hardware Issues"/>
    <s v="Printer"/>
    <x v="3"/>
    <n v="48"/>
    <x v="1"/>
    <s v="Email"/>
    <s v="Tier 1"/>
    <s v="TECH-3"/>
    <s v="Junior"/>
    <x v="0"/>
    <s v="No"/>
    <n v="1"/>
    <s v="No"/>
    <n v="10"/>
    <n v="4.8"/>
    <n v="12.1"/>
    <s v="Yes"/>
    <s v="Poor"/>
    <s v="Yes"/>
    <s v="Legal"/>
    <s v="Thursday"/>
    <s v="Morning"/>
  </r>
  <r>
    <x v="2243"/>
    <s v="2024-06-09 06:21:32"/>
    <x v="10"/>
    <s v="2024-06-13 11:39:32"/>
    <n v="101.3"/>
    <n v="4.2"/>
    <s v="Hardware Issues"/>
    <s v="Keyboard/Mouse"/>
    <x v="1"/>
    <n v="120"/>
    <x v="1"/>
    <s v="Portal"/>
    <s v="Tier 2"/>
    <s v="TECH-8"/>
    <s v="Junior"/>
    <x v="0"/>
    <s v="Yes"/>
    <n v="4"/>
    <s v="No"/>
    <n v="10"/>
    <n v="2.7"/>
    <n v="20.399999999999999"/>
    <s v="Yes"/>
    <s v="Poor"/>
    <s v="Yes"/>
    <s v="Finance"/>
    <s v="Thursday"/>
    <s v="Morning"/>
  </r>
  <r>
    <x v="2244"/>
    <s v="2024-10-25 10:56:16"/>
    <x v="2"/>
    <s v="2024-10-31 01:38:16"/>
    <n v="159.69999999999999"/>
    <n v="6.7"/>
    <s v="Application Errors"/>
    <s v="Features Not Working"/>
    <x v="1"/>
    <n v="120"/>
    <x v="0"/>
    <s v="Portal"/>
    <s v="Tier 1"/>
    <s v="TECH-16"/>
    <s v="Mid-level"/>
    <x v="0"/>
    <s v="No"/>
    <n v="1"/>
    <s v="No"/>
    <n v="6"/>
    <n v="0.9"/>
    <n v="0"/>
    <s v="Yes"/>
    <s v="Good"/>
    <s v="Yes"/>
    <s v="Operations"/>
    <s v="Monday"/>
    <s v="Afternoon"/>
  </r>
  <r>
    <x v="2245"/>
    <s v="2024-12-22 04:55:57"/>
    <x v="0"/>
    <s v="2024-12-30 10:25:57"/>
    <n v="197.5"/>
    <n v="8.1999999999999993"/>
    <s v="Hardware Issues"/>
    <s v="Laptop"/>
    <x v="0"/>
    <n v="240"/>
    <x v="1"/>
    <s v="Phone"/>
    <s v="Tier 1"/>
    <s v="TECH-21"/>
    <s v="Junior"/>
    <x v="0"/>
    <s v="No"/>
    <n v="1"/>
    <s v="No"/>
    <n v="10"/>
    <n v="2.2999999999999998"/>
    <n v="31.3"/>
    <s v="Yes"/>
    <s v="Fair"/>
    <s v="Yes"/>
    <s v="IT"/>
    <s v="Wednesday"/>
    <s v="Afternoon"/>
  </r>
  <r>
    <x v="2246"/>
    <s v="2024-07-02 07:02:55"/>
    <x v="4"/>
    <s v="2024-07-10 18:14:55"/>
    <n v="203.2"/>
    <n v="8.5"/>
    <s v="Access Requests"/>
    <s v="VPN Access"/>
    <x v="0"/>
    <n v="240"/>
    <x v="1"/>
    <s v="Walk-in"/>
    <s v="Tier 1"/>
    <s v="TECH-21"/>
    <s v="Mid-level"/>
    <x v="1"/>
    <s v="No"/>
    <n v="0"/>
    <s v="No"/>
    <n v="9"/>
    <n v="5.2"/>
    <n v="34.6"/>
    <s v="Yes"/>
    <s v="Fair"/>
    <s v="Yes"/>
    <s v="Marketing"/>
    <s v="Friday"/>
    <s v="Evening"/>
  </r>
  <r>
    <x v="2247"/>
    <s v="2024-09-02 06:33:57"/>
    <x v="9"/>
    <s v="2024-09-10 11:39:57"/>
    <n v="197.1"/>
    <n v="8.1999999999999993"/>
    <s v="Software Installation"/>
    <s v="VPN Client"/>
    <x v="0"/>
    <n v="240"/>
    <x v="1"/>
    <s v="Portal"/>
    <s v="Tier 2"/>
    <s v="TECH-13"/>
    <s v="Mid-level"/>
    <x v="0"/>
    <s v="Yes"/>
    <n v="4"/>
    <s v="Yes"/>
    <n v="8"/>
    <n v="2.6"/>
    <n v="16.100000000000001"/>
    <s v="Yes"/>
    <s v="Poor"/>
    <s v="Yes"/>
    <s v="Legal"/>
    <s v="Tuesday"/>
    <s v="Afternoon"/>
  </r>
  <r>
    <x v="2248"/>
    <s v="2024-12-08 07:36:22"/>
    <x v="0"/>
    <s v="2024-12-19 07:48:22"/>
    <n v="264.2"/>
    <n v="11"/>
    <s v="Hardware Issues"/>
    <s v="Printer"/>
    <x v="1"/>
    <n v="120"/>
    <x v="0"/>
    <s v="Portal"/>
    <s v="Tier 2"/>
    <s v="TECH-10"/>
    <s v="Mid-level"/>
    <x v="0"/>
    <s v="Yes"/>
    <n v="3"/>
    <s v="No"/>
    <n v="4"/>
    <n v="1.9"/>
    <n v="18.8"/>
    <s v="No"/>
    <s v="Poor"/>
    <s v="Yes"/>
    <s v="Finance"/>
    <s v="Thursday"/>
    <s v="Morning"/>
  </r>
  <r>
    <x v="2249"/>
    <s v="2024-10-15 15:43:54"/>
    <x v="2"/>
    <s v="2024-11-09 16:01:54"/>
    <n v="601.29999999999995"/>
    <n v="25.1"/>
    <s v="Email/Calendar"/>
    <s v="Cannot Send/Receive"/>
    <x v="0"/>
    <n v="240"/>
    <x v="0"/>
    <s v="Portal"/>
    <s v="Tier 2"/>
    <s v="TECH-23"/>
    <s v="Mid-level"/>
    <x v="0"/>
    <s v="Yes"/>
    <n v="4"/>
    <s v="No"/>
    <n v="4"/>
    <n v="1.5"/>
    <n v="37.6"/>
    <s v="No"/>
    <s v="Good"/>
    <s v="Yes"/>
    <s v="IT"/>
    <s v="Friday"/>
    <s v="Evening"/>
  </r>
  <r>
    <x v="2250"/>
    <s v="2024-08-13 01:42:50"/>
    <x v="1"/>
    <s v="2024-08-26 23:18:50"/>
    <n v="309.60000000000002"/>
    <n v="12.9"/>
    <s v="Network Connectivity"/>
    <s v="Ethernet"/>
    <x v="1"/>
    <n v="120"/>
    <x v="0"/>
    <s v="Walk-in"/>
    <s v="Tier 2"/>
    <s v="TECH-20"/>
    <s v="Senior"/>
    <x v="0"/>
    <s v="Yes"/>
    <n v="3"/>
    <s v="No"/>
    <n v="5"/>
    <n v="2.8"/>
    <n v="24.4"/>
    <s v="Yes"/>
    <s v="Excellent"/>
    <s v="Yes"/>
    <s v="HR"/>
    <s v="Friday"/>
    <s v="Morning"/>
  </r>
  <r>
    <x v="2251"/>
    <s v="2024-08-20 01:28:41"/>
    <x v="1"/>
    <s v="2024-09-02 07:16:41"/>
    <n v="293.8"/>
    <n v="12.2"/>
    <s v="Password Reset"/>
    <s v="Account Unlock"/>
    <x v="2"/>
    <n v="360"/>
    <x v="1"/>
    <s v="Portal"/>
    <s v="Tier 1"/>
    <s v="TECH-5"/>
    <s v="Senior"/>
    <x v="1"/>
    <s v="No"/>
    <n v="0"/>
    <s v="No"/>
    <n v="9"/>
    <n v="3.4"/>
    <n v="38.299999999999997"/>
    <s v="Yes"/>
    <s v="Good"/>
    <s v="Yes"/>
    <s v="Legal"/>
    <s v="Monday"/>
    <s v="Morning"/>
  </r>
  <r>
    <x v="2252"/>
    <s v="2024-06-06 09:13:00"/>
    <x v="10"/>
    <s v="2024-06-15 11:01:00"/>
    <n v="217.8"/>
    <n v="9.1"/>
    <s v="Other"/>
    <s v="General Inquiry"/>
    <x v="2"/>
    <n v="360"/>
    <x v="1"/>
    <s v="Phone"/>
    <s v="Tier 1"/>
    <s v="TECH-12"/>
    <s v="Senior"/>
    <x v="0"/>
    <s v="No"/>
    <n v="1"/>
    <s v="No"/>
    <n v="7"/>
    <n v="5"/>
    <n v="19.8"/>
    <s v="No"/>
    <s v="Fair"/>
    <s v="No"/>
    <s v="Sales"/>
    <s v="Friday"/>
    <s v="Afternoon"/>
  </r>
  <r>
    <x v="2253"/>
    <s v="2024-03-10 17:16:16"/>
    <x v="5"/>
    <s v="2024-03-25 16:04:16"/>
    <n v="358.8"/>
    <n v="15"/>
    <s v="Password Reset"/>
    <s v="Windows Password"/>
    <x v="0"/>
    <n v="240"/>
    <x v="0"/>
    <s v="Phone"/>
    <s v="Tier 1"/>
    <s v="TECH-13"/>
    <s v="Junior"/>
    <x v="1"/>
    <s v="No"/>
    <n v="0"/>
    <s v="No"/>
    <n v="7"/>
    <n v="0.4"/>
    <n v="17.5"/>
    <s v="No"/>
    <s v="Fair"/>
    <s v="No"/>
    <s v="Marketing"/>
    <s v="Wednesday"/>
    <s v="Morning"/>
  </r>
  <r>
    <x v="2254"/>
    <s v="2024-03-11 23:34:15"/>
    <x v="5"/>
    <s v="2024-03-25 07:10:15"/>
    <n v="319.60000000000002"/>
    <n v="13.3"/>
    <s v="Access Requests"/>
    <s v="VPN Access"/>
    <x v="2"/>
    <n v="360"/>
    <x v="1"/>
    <s v="Email"/>
    <s v="Tier 1"/>
    <s v="TECH-2"/>
    <s v="Mid-level"/>
    <x v="1"/>
    <s v="No"/>
    <n v="0"/>
    <s v="No"/>
    <n v="9"/>
    <n v="2.9"/>
    <n v="28.2"/>
    <s v="Yes"/>
    <s v="Good"/>
    <s v="Yes"/>
    <s v="Sales"/>
    <s v="Monday"/>
    <s v="Afternoon"/>
  </r>
  <r>
    <x v="2255"/>
    <s v="2024-10-13 22:52:12"/>
    <x v="2"/>
    <s v="2024-10-25 03:16:12"/>
    <n v="268.39999999999998"/>
    <n v="11.2"/>
    <s v="Software Installation"/>
    <s v="MS Office"/>
    <x v="0"/>
    <n v="240"/>
    <x v="0"/>
    <s v="Chat"/>
    <s v="Tier 2"/>
    <s v="TECH-24"/>
    <s v="Mid-level"/>
    <x v="0"/>
    <s v="Yes"/>
    <n v="1"/>
    <s v="Yes"/>
    <n v="4"/>
    <n v="3.2"/>
    <n v="43.1"/>
    <s v="No"/>
    <s v="Good"/>
    <s v="Yes"/>
    <s v="Finance"/>
    <s v="Thursday"/>
    <s v="Afternoon"/>
  </r>
  <r>
    <x v="2256"/>
    <s v="2024-03-01 19:44:52"/>
    <x v="5"/>
    <s v="2024-03-05 13:44:52"/>
    <n v="90"/>
    <n v="3.8"/>
    <s v="Email/Calendar"/>
    <s v="Calendar Sync"/>
    <x v="1"/>
    <n v="120"/>
    <x v="1"/>
    <s v="Phone"/>
    <s v="Tier 2"/>
    <s v="TECH-9"/>
    <s v="Junior"/>
    <x v="0"/>
    <s v="Yes"/>
    <n v="2"/>
    <s v="No"/>
    <n v="10"/>
    <n v="1.9"/>
    <n v="3.6"/>
    <s v="No"/>
    <s v="Fair"/>
    <s v="Yes"/>
    <s v="IT"/>
    <s v="Friday"/>
    <s v="Afternoon"/>
  </r>
  <r>
    <x v="2257"/>
    <s v="2024-09-20 00:56:36"/>
    <x v="9"/>
    <s v="2024-10-01 15:20:36"/>
    <n v="254.4"/>
    <n v="10.6"/>
    <s v="Software Installation"/>
    <s v="VPN Client"/>
    <x v="2"/>
    <n v="360"/>
    <x v="1"/>
    <s v="Phone"/>
    <s v="Tier 2"/>
    <s v="TECH-4"/>
    <s v="Mid-level"/>
    <x v="0"/>
    <s v="Yes"/>
    <n v="3"/>
    <s v="No"/>
    <n v="10"/>
    <n v="3.4"/>
    <n v="13.4"/>
    <s v="Yes"/>
    <s v="Fair"/>
    <s v="Yes"/>
    <s v="Executive"/>
    <s v="Thursday"/>
    <s v="Afternoon"/>
  </r>
  <r>
    <x v="2258"/>
    <s v="2024-08-17 12:38:50"/>
    <x v="1"/>
    <s v="2024-08-26 03:14:50"/>
    <n v="206.6"/>
    <n v="8.6"/>
    <s v="Other"/>
    <s v="General Inquiry"/>
    <x v="0"/>
    <n v="240"/>
    <x v="1"/>
    <s v="Email"/>
    <s v="Tier 1"/>
    <s v="TECH-19"/>
    <s v="Mid-level"/>
    <x v="1"/>
    <s v="No"/>
    <n v="0"/>
    <s v="Yes"/>
    <n v="10"/>
    <n v="1.2"/>
    <n v="12.3"/>
    <s v="No"/>
    <s v="Good"/>
    <s v="Yes"/>
    <s v="Sales"/>
    <s v="Wednesday"/>
    <s v="Morning"/>
  </r>
  <r>
    <x v="2259"/>
    <s v="2024-12-05 18:51:48"/>
    <x v="0"/>
    <s v="2024-12-20 04:27:48"/>
    <n v="345.6"/>
    <n v="14.4"/>
    <s v="Application Errors"/>
    <s v="Features Not Working"/>
    <x v="0"/>
    <n v="240"/>
    <x v="0"/>
    <s v="Portal"/>
    <s v="Tier 2"/>
    <s v="TECH-23"/>
    <s v="Mid-level"/>
    <x v="0"/>
    <s v="Yes"/>
    <n v="1"/>
    <s v="Yes"/>
    <n v="4"/>
    <n v="3.5"/>
    <n v="11.9"/>
    <s v="Yes"/>
    <s v="Fair"/>
    <s v="Yes"/>
    <s v="Marketing"/>
    <s v="Monday"/>
    <s v="Afternoon"/>
  </r>
  <r>
    <x v="2260"/>
    <s v="2024-02-14 02:07:17"/>
    <x v="6"/>
    <s v="2024-03-01 01:49:17"/>
    <n v="407.7"/>
    <n v="17"/>
    <s v="Password Reset"/>
    <s v="Application Password"/>
    <x v="2"/>
    <n v="360"/>
    <x v="0"/>
    <s v="Portal"/>
    <s v="Tier 1"/>
    <s v="TECH-22"/>
    <s v="Junior"/>
    <x v="1"/>
    <s v="No"/>
    <n v="0"/>
    <s v="No"/>
    <n v="8"/>
    <n v="1.9"/>
    <n v="30.3"/>
    <s v="No"/>
    <s v="Fair"/>
    <s v="No"/>
    <s v="IT"/>
    <s v="Monday"/>
    <s v="Afternoon"/>
  </r>
  <r>
    <x v="2261"/>
    <s v="2024-09-03 01:21:05"/>
    <x v="9"/>
    <s v="2024-09-18 06:21:05"/>
    <n v="341"/>
    <n v="14.2"/>
    <s v="Password Reset"/>
    <s v="Email Password"/>
    <x v="2"/>
    <n v="360"/>
    <x v="1"/>
    <s v="Phone"/>
    <s v="Tier 1"/>
    <s v="TECH-20"/>
    <s v="Mid-level"/>
    <x v="1"/>
    <s v="No"/>
    <n v="0"/>
    <s v="No"/>
    <n v="10"/>
    <n v="1.3"/>
    <n v="10.199999999999999"/>
    <s v="Yes"/>
    <s v="Poor"/>
    <s v="Yes"/>
    <s v="Operations"/>
    <s v="Wednesday"/>
    <s v="Morning"/>
  </r>
  <r>
    <x v="2262"/>
    <s v="2024-10-05 09:16:12"/>
    <x v="2"/>
    <s v="2024-10-16 14:46:12"/>
    <n v="269.5"/>
    <n v="11.2"/>
    <s v="Application Errors"/>
    <s v="Features Not Working"/>
    <x v="2"/>
    <n v="360"/>
    <x v="1"/>
    <s v="Phone"/>
    <s v="Tier 2"/>
    <s v="TECH-18"/>
    <s v="Junior"/>
    <x v="0"/>
    <s v="Yes"/>
    <n v="3"/>
    <s v="No"/>
    <n v="7"/>
    <n v="1.6"/>
    <n v="0"/>
    <s v="No"/>
    <s v="Fair"/>
    <s v="Yes"/>
    <s v="Legal"/>
    <s v="Thursday"/>
    <s v="Afternoon"/>
  </r>
  <r>
    <x v="2263"/>
    <s v="2024-08-20 01:50:47"/>
    <x v="1"/>
    <s v="2024-09-03 02:44:47"/>
    <n v="336.9"/>
    <n v="14"/>
    <s v="Password Reset"/>
    <s v="Email Password"/>
    <x v="2"/>
    <n v="360"/>
    <x v="1"/>
    <s v="Chat"/>
    <s v="Tier 1"/>
    <s v="TECH-25"/>
    <s v="Mid-level"/>
    <x v="0"/>
    <s v="No"/>
    <n v="1"/>
    <s v="No"/>
    <n v="9"/>
    <n v="4.2"/>
    <n v="23.5"/>
    <s v="No"/>
    <s v="Good"/>
    <s v="Yes"/>
    <s v="Marketing"/>
    <s v="Tuesday"/>
    <s v="Afternoon"/>
  </r>
  <r>
    <x v="2264"/>
    <s v="2024-07-10 02:54:30"/>
    <x v="4"/>
    <s v="2024-07-20 08:06:30"/>
    <n v="221.2"/>
    <n v="9.1999999999999993"/>
    <s v="Other"/>
    <s v="Documentation"/>
    <x v="2"/>
    <n v="360"/>
    <x v="1"/>
    <s v="Phone"/>
    <s v="Tier 2"/>
    <s v="TECH-2"/>
    <s v="Junior"/>
    <x v="0"/>
    <s v="Yes"/>
    <n v="1"/>
    <s v="No"/>
    <n v="10"/>
    <n v="3.4"/>
    <n v="2.5"/>
    <s v="Yes"/>
    <s v="Poor"/>
    <s v="Yes"/>
    <s v="Sales"/>
    <s v="Tuesday"/>
    <s v="Afternoon"/>
  </r>
  <r>
    <x v="2265"/>
    <s v="2024-04-28 08:13:27"/>
    <x v="11"/>
    <s v="2024-05-05 12:43:27"/>
    <n v="172.5"/>
    <n v="7.2"/>
    <s v="Software Installation"/>
    <s v="MS Office"/>
    <x v="0"/>
    <n v="240"/>
    <x v="1"/>
    <s v="Phone"/>
    <s v="Tier 2"/>
    <s v="TECH-9"/>
    <s v="Mid-level"/>
    <x v="0"/>
    <s v="Yes"/>
    <n v="1"/>
    <s v="No"/>
    <n v="7"/>
    <n v="3"/>
    <n v="7.3"/>
    <s v="No"/>
    <s v="Fair"/>
    <s v="No"/>
    <s v="HR"/>
    <s v="Monday"/>
    <s v="Morning"/>
  </r>
  <r>
    <x v="2266"/>
    <s v="2024-08-08 16:39:44"/>
    <x v="1"/>
    <s v="2024-08-13 06:51:44"/>
    <n v="110.2"/>
    <n v="4.5999999999999996"/>
    <s v="Network Connectivity"/>
    <s v="Slow Network"/>
    <x v="1"/>
    <n v="120"/>
    <x v="1"/>
    <s v="Phone"/>
    <s v="Tier 2"/>
    <s v="TECH-4"/>
    <s v="Junior"/>
    <x v="0"/>
    <s v="Yes"/>
    <n v="2"/>
    <s v="No"/>
    <n v="8"/>
    <n v="4.0999999999999996"/>
    <n v="44.1"/>
    <s v="Yes"/>
    <s v="Fair"/>
    <s v="No"/>
    <s v="Legal"/>
    <s v="Thursday"/>
    <s v="Afternoon"/>
  </r>
  <r>
    <x v="2267"/>
    <s v="2024-04-24 22:54:13"/>
    <x v="11"/>
    <s v="2024-04-29 07:36:13"/>
    <n v="104.7"/>
    <n v="4.4000000000000004"/>
    <s v="Network Connectivity"/>
    <s v="WiFi Issues"/>
    <x v="1"/>
    <n v="120"/>
    <x v="1"/>
    <s v="Phone"/>
    <s v="Tier 1"/>
    <s v="TECH-24"/>
    <s v="Mid-level"/>
    <x v="0"/>
    <s v="No"/>
    <n v="1"/>
    <s v="No"/>
    <n v="10"/>
    <n v="0.3"/>
    <n v="0"/>
    <s v="Yes"/>
    <s v="Fair"/>
    <s v="Yes"/>
    <s v="HR"/>
    <s v="Friday"/>
    <s v="Morning"/>
  </r>
  <r>
    <x v="2268"/>
    <s v="2024-11-21 10:32:27"/>
    <x v="7"/>
    <s v="2024-11-25 01:08:27"/>
    <n v="110.6"/>
    <n v="4.5999999999999996"/>
    <s v="Access Requests"/>
    <s v="VPN Access"/>
    <x v="1"/>
    <n v="120"/>
    <x v="1"/>
    <s v="Phone"/>
    <s v="Tier 1"/>
    <s v="TECH-8"/>
    <s v="Mid-level"/>
    <x v="1"/>
    <s v="No"/>
    <n v="0"/>
    <s v="No"/>
    <n v="10"/>
    <n v="2.7"/>
    <n v="23.5"/>
    <s v="No"/>
    <s v="Good"/>
    <s v="No"/>
    <s v="Finance"/>
    <s v="Wednesday"/>
    <s v="Afternoon"/>
  </r>
  <r>
    <x v="2269"/>
    <s v="2024-04-18 08:22:34"/>
    <x v="11"/>
    <s v="2024-04-27 03:58:34"/>
    <n v="211.6"/>
    <n v="8.8000000000000007"/>
    <s v="Access Requests"/>
    <s v="Application Access"/>
    <x v="0"/>
    <n v="240"/>
    <x v="1"/>
    <s v="Portal"/>
    <s v="Tier 1"/>
    <s v="TECH-3"/>
    <s v="Senior"/>
    <x v="0"/>
    <s v="No"/>
    <n v="1"/>
    <s v="No"/>
    <n v="7"/>
    <n v="4.8"/>
    <n v="19.2"/>
    <s v="Yes"/>
    <s v="Excellent"/>
    <s v="No"/>
    <s v="Legal"/>
    <s v="Friday"/>
    <s v="Afternoon"/>
  </r>
  <r>
    <x v="2270"/>
    <s v="2024-09-05 10:34:33"/>
    <x v="9"/>
    <s v="2024-09-11 16:40:33"/>
    <n v="150.1"/>
    <n v="6.3"/>
    <s v="Hardware Issues"/>
    <s v="Laptop"/>
    <x v="1"/>
    <n v="120"/>
    <x v="0"/>
    <s v="Phone"/>
    <s v="Tier 2"/>
    <s v="TECH-2"/>
    <s v="Junior"/>
    <x v="0"/>
    <s v="Yes"/>
    <n v="3"/>
    <s v="No"/>
    <n v="5"/>
    <n v="2.2999999999999998"/>
    <n v="13.7"/>
    <s v="Yes"/>
    <s v="Poor"/>
    <s v="No"/>
    <s v="Executive"/>
    <s v="Tuesday"/>
    <s v="Morning"/>
  </r>
  <r>
    <x v="2271"/>
    <s v="2024-09-26 07:11:26"/>
    <x v="9"/>
    <s v="2024-10-07 12:59:26"/>
    <n v="269.8"/>
    <n v="11.2"/>
    <s v="Other"/>
    <s v="Documentation"/>
    <x v="2"/>
    <n v="360"/>
    <x v="1"/>
    <s v="Portal"/>
    <s v="Tier 1"/>
    <s v="TECH-8"/>
    <s v="Junior"/>
    <x v="1"/>
    <s v="No"/>
    <n v="0"/>
    <s v="No"/>
    <n v="10"/>
    <n v="3.3"/>
    <n v="21.5"/>
    <s v="No"/>
    <s v="Good"/>
    <s v="Yes"/>
    <s v="IT"/>
    <s v="Monday"/>
    <s v="Afternoon"/>
  </r>
  <r>
    <x v="2272"/>
    <s v="2024-03-23 19:40:13"/>
    <x v="5"/>
    <s v="2024-03-26 01:10:13"/>
    <n v="77.5"/>
    <n v="3.2"/>
    <s v="Hardware Issues"/>
    <s v="Desktop"/>
    <x v="1"/>
    <n v="120"/>
    <x v="1"/>
    <s v="Portal"/>
    <s v="Tier 2"/>
    <s v="TECH-17"/>
    <s v="Junior"/>
    <x v="0"/>
    <s v="Yes"/>
    <n v="3"/>
    <s v="No"/>
    <n v="9"/>
    <n v="4.8"/>
    <n v="37.6"/>
    <s v="Yes"/>
    <s v="Poor"/>
    <s v="Yes"/>
    <s v="HR"/>
    <s v="Thursday"/>
    <s v="Morning"/>
  </r>
  <r>
    <x v="2273"/>
    <s v="2024-07-12 19:55:34"/>
    <x v="4"/>
    <s v="2024-07-24 05:37:34"/>
    <n v="273.7"/>
    <n v="11.4"/>
    <s v="Other"/>
    <s v="Training Request"/>
    <x v="2"/>
    <n v="360"/>
    <x v="1"/>
    <s v="Walk-in"/>
    <s v="Tier 1"/>
    <s v="TECH-15"/>
    <s v="Mid-level"/>
    <x v="0"/>
    <s v="No"/>
    <n v="1"/>
    <s v="No"/>
    <n v="8"/>
    <n v="1.7"/>
    <n v="23.1"/>
    <s v="Yes"/>
    <s v="Fair"/>
    <s v="Yes"/>
    <s v="Legal"/>
    <s v="Monday"/>
    <s v="Morning"/>
  </r>
  <r>
    <x v="2274"/>
    <s v="2024-11-26 20:08:26"/>
    <x v="7"/>
    <s v="2024-11-30 00:38:26"/>
    <n v="100.5"/>
    <n v="4.2"/>
    <s v="Email/Calendar"/>
    <s v="Mailbox Full"/>
    <x v="1"/>
    <n v="120"/>
    <x v="1"/>
    <s v="Portal"/>
    <s v="Tier 1"/>
    <s v="TECH-17"/>
    <s v="Mid-level"/>
    <x v="1"/>
    <s v="No"/>
    <n v="0"/>
    <s v="No"/>
    <n v="8"/>
    <n v="0.4"/>
    <n v="21.1"/>
    <s v="No"/>
    <s v="Excellent"/>
    <s v="Yes"/>
    <s v="Sales"/>
    <s v="Thursday"/>
    <s v="Morning"/>
  </r>
  <r>
    <x v="2275"/>
    <s v="2024-02-10 05:13:32"/>
    <x v="6"/>
    <s v="2024-02-18 14:37:32"/>
    <n v="201.4"/>
    <n v="8.4"/>
    <s v="Password Reset"/>
    <s v="Email Password"/>
    <x v="0"/>
    <n v="240"/>
    <x v="1"/>
    <s v="Phone"/>
    <s v="Tier 1"/>
    <s v="TECH-25"/>
    <s v="Junior"/>
    <x v="0"/>
    <s v="No"/>
    <n v="1"/>
    <s v="Yes"/>
    <n v="8"/>
    <n v="3"/>
    <n v="31.6"/>
    <s v="Yes"/>
    <s v="Fair"/>
    <s v="No"/>
    <s v="Executive"/>
    <s v="Friday"/>
    <s v="Afternoon"/>
  </r>
  <r>
    <x v="2276"/>
    <s v="2024-11-03 16:14:05"/>
    <x v="7"/>
    <s v="2024-11-14 08:32:05"/>
    <n v="256.3"/>
    <n v="10.7"/>
    <s v="Password Reset"/>
    <s v="Application Password"/>
    <x v="2"/>
    <n v="360"/>
    <x v="1"/>
    <s v="Phone"/>
    <s v="Tier 1"/>
    <s v="TECH-18"/>
    <s v="Mid-level"/>
    <x v="0"/>
    <s v="No"/>
    <n v="1"/>
    <s v="No"/>
    <n v="9"/>
    <n v="3.4"/>
    <n v="20.7"/>
    <s v="Yes"/>
    <s v="Fair"/>
    <s v="Yes"/>
    <s v="Marketing"/>
    <s v="Thursday"/>
    <s v="Afternoon"/>
  </r>
  <r>
    <x v="2277"/>
    <s v="2024-03-27 09:29:56"/>
    <x v="5"/>
    <s v="2024-04-10 06:05:56"/>
    <n v="331.6"/>
    <n v="13.8"/>
    <s v="Access Requests"/>
    <s v="File Share"/>
    <x v="1"/>
    <n v="120"/>
    <x v="0"/>
    <s v="Walk-in"/>
    <s v="Tier 1"/>
    <s v="TECH-13"/>
    <s v="Mid-level"/>
    <x v="1"/>
    <s v="No"/>
    <n v="0"/>
    <s v="No"/>
    <n v="7"/>
    <n v="1.4"/>
    <n v="27.8"/>
    <s v="Yes"/>
    <s v="Poor"/>
    <s v="Yes"/>
    <s v="Legal"/>
    <s v="Tuesday"/>
    <s v="Morning"/>
  </r>
  <r>
    <x v="2278"/>
    <s v="2024-09-16 17:53:47"/>
    <x v="9"/>
    <s v="2024-09-24 14:29:47"/>
    <n v="188.6"/>
    <n v="7.9"/>
    <s v="Software Installation"/>
    <s v="Adobe Suite"/>
    <x v="0"/>
    <n v="240"/>
    <x v="1"/>
    <s v="Portal"/>
    <s v="Tier 1"/>
    <s v="TECH-1"/>
    <s v="Junior"/>
    <x v="0"/>
    <s v="No"/>
    <n v="1"/>
    <s v="No"/>
    <n v="7"/>
    <n v="2.9"/>
    <n v="22.5"/>
    <s v="Yes"/>
    <s v="Fair"/>
    <s v="Yes"/>
    <s v="HR"/>
    <s v="Tuesday"/>
    <s v="Morning"/>
  </r>
  <r>
    <x v="2279"/>
    <s v="2024-03-03 21:05:33"/>
    <x v="5"/>
    <s v="2024-03-14 21:59:33"/>
    <n v="264.89999999999998"/>
    <n v="11"/>
    <s v="Other"/>
    <s v="Training Request"/>
    <x v="2"/>
    <n v="360"/>
    <x v="1"/>
    <s v="Phone"/>
    <s v="Tier 2"/>
    <s v="TECH-14"/>
    <s v="Mid-level"/>
    <x v="0"/>
    <s v="Yes"/>
    <n v="2"/>
    <s v="No"/>
    <n v="9"/>
    <n v="4.8"/>
    <n v="11.9"/>
    <s v="No"/>
    <s v="Poor"/>
    <s v="Yes"/>
    <s v="Operations"/>
    <s v="Tuesday"/>
    <s v="Morning"/>
  </r>
  <r>
    <x v="2280"/>
    <s v="2024-04-20 22:16:54"/>
    <x v="11"/>
    <s v="2024-05-02 10:04:54"/>
    <n v="275.8"/>
    <n v="11.5"/>
    <s v="Hardware Issues"/>
    <s v="Desktop"/>
    <x v="2"/>
    <n v="360"/>
    <x v="1"/>
    <s v="Portal"/>
    <s v="Tier 2"/>
    <s v="TECH-14"/>
    <s v="Senior"/>
    <x v="0"/>
    <s v="Yes"/>
    <n v="4"/>
    <s v="No"/>
    <n v="9"/>
    <n v="3.2"/>
    <n v="0"/>
    <s v="Yes"/>
    <s v="Poor"/>
    <s v="Yes"/>
    <s v="Marketing"/>
    <s v="Wednesday"/>
    <s v="Morning"/>
  </r>
  <r>
    <x v="2281"/>
    <s v="2024-04-17 20:01:32"/>
    <x v="11"/>
    <s v="2024-04-24 18:37:32"/>
    <n v="166.6"/>
    <n v="6.9"/>
    <s v="Hardware Issues"/>
    <s v="Docking Station"/>
    <x v="0"/>
    <n v="240"/>
    <x v="1"/>
    <s v="Email"/>
    <s v="Tier 1"/>
    <s v="TECH-9"/>
    <s v="Junior"/>
    <x v="0"/>
    <s v="No"/>
    <n v="1"/>
    <s v="No"/>
    <n v="8"/>
    <n v="2"/>
    <n v="30.7"/>
    <s v="Yes"/>
    <s v="Excellent"/>
    <s v="Yes"/>
    <s v="Sales"/>
    <s v="Tuesday"/>
    <s v="Afternoon"/>
  </r>
  <r>
    <x v="2282"/>
    <s v="2024-01-05 01:28:22"/>
    <x v="3"/>
    <s v="2024-01-13 01:40:22"/>
    <n v="192.2"/>
    <n v="8"/>
    <s v="Other"/>
    <s v="Documentation"/>
    <x v="0"/>
    <n v="240"/>
    <x v="1"/>
    <s v="Phone"/>
    <s v="Tier 2"/>
    <s v="TECH-7"/>
    <s v="Senior"/>
    <x v="0"/>
    <s v="Yes"/>
    <n v="3"/>
    <s v="No"/>
    <n v="8"/>
    <n v="4.7"/>
    <n v="11.2"/>
    <s v="Yes"/>
    <s v="Good"/>
    <s v="Yes"/>
    <s v="Marketing"/>
    <s v="Monday"/>
    <s v="Morning"/>
  </r>
  <r>
    <x v="2283"/>
    <s v="2024-08-27 12:13:11"/>
    <x v="1"/>
    <s v="2024-09-02 20:43:11"/>
    <n v="152.5"/>
    <n v="6.4"/>
    <s v="Access Requests"/>
    <s v="VPN Access"/>
    <x v="0"/>
    <n v="240"/>
    <x v="1"/>
    <s v="Email"/>
    <s v="Tier 1"/>
    <s v="TECH-2"/>
    <s v="Junior"/>
    <x v="1"/>
    <s v="No"/>
    <n v="0"/>
    <s v="No"/>
    <n v="10"/>
    <n v="1.4"/>
    <n v="5.2"/>
    <s v="Yes"/>
    <s v="Poor"/>
    <s v="Yes"/>
    <s v="Marketing"/>
    <s v="Tuesday"/>
    <s v="Afternoon"/>
  </r>
  <r>
    <x v="2284"/>
    <s v="2024-06-10 00:09:58"/>
    <x v="10"/>
    <s v="2024-06-17 17:57:58"/>
    <n v="161.80000000000001"/>
    <n v="6.7"/>
    <s v="Password Reset"/>
    <s v="Account Unlock"/>
    <x v="0"/>
    <n v="240"/>
    <x v="1"/>
    <s v="Chat"/>
    <s v="Tier 1"/>
    <s v="TECH-15"/>
    <s v="Junior"/>
    <x v="1"/>
    <s v="No"/>
    <n v="0"/>
    <s v="No"/>
    <n v="10"/>
    <n v="3.7"/>
    <n v="0"/>
    <s v="Yes"/>
    <s v="Fair"/>
    <s v="Yes"/>
    <s v="HR"/>
    <s v="Wednesday"/>
    <s v="Afternoon"/>
  </r>
  <r>
    <x v="2285"/>
    <s v="2024-11-05 22:15:08"/>
    <x v="7"/>
    <s v="2024-11-09 20:09:08"/>
    <n v="93.9"/>
    <n v="3.9"/>
    <s v="Email/Calendar"/>
    <s v="Cannot Send/Receive"/>
    <x v="1"/>
    <n v="120"/>
    <x v="1"/>
    <s v="Email"/>
    <s v="Tier 1"/>
    <s v="TECH-19"/>
    <s v="Junior"/>
    <x v="0"/>
    <s v="No"/>
    <n v="1"/>
    <s v="Yes"/>
    <n v="7"/>
    <n v="0.1"/>
    <n v="23.4"/>
    <s v="Yes"/>
    <s v="Fair"/>
    <s v="No"/>
    <s v="HR"/>
    <s v="Monday"/>
    <s v="Afternoon"/>
  </r>
  <r>
    <x v="2286"/>
    <s v="2024-07-15 19:37:47"/>
    <x v="4"/>
    <s v="2024-07-19 09:25:47"/>
    <n v="85.8"/>
    <n v="3.6"/>
    <s v="Application Errors"/>
    <s v="Crash"/>
    <x v="1"/>
    <n v="120"/>
    <x v="1"/>
    <s v="Email"/>
    <s v="Tier 2"/>
    <s v="TECH-24"/>
    <s v="Mid-level"/>
    <x v="0"/>
    <s v="Yes"/>
    <n v="2"/>
    <s v="No"/>
    <n v="8"/>
    <n v="5.5"/>
    <n v="23.8"/>
    <s v="Yes"/>
    <s v="Fair"/>
    <s v="Yes"/>
    <s v="Legal"/>
    <s v="Thursday"/>
    <s v="Morning"/>
  </r>
  <r>
    <x v="2287"/>
    <s v="2024-01-28 04:44:40"/>
    <x v="3"/>
    <s v="2024-02-06 23:26:40"/>
    <n v="234.7"/>
    <n v="9.8000000000000007"/>
    <s v="Application Errors"/>
    <s v="Features Not Working"/>
    <x v="2"/>
    <n v="360"/>
    <x v="1"/>
    <s v="Portal"/>
    <s v="Tier 2"/>
    <s v="TECH-4"/>
    <s v="Mid-level"/>
    <x v="0"/>
    <s v="Yes"/>
    <n v="1"/>
    <s v="No"/>
    <n v="8"/>
    <n v="3.4"/>
    <n v="20.9"/>
    <s v="Yes"/>
    <s v="Fair"/>
    <s v="Yes"/>
    <s v="Legal"/>
    <s v="Thursday"/>
    <s v="Morning"/>
  </r>
  <r>
    <x v="2288"/>
    <s v="2024-01-11 22:18:41"/>
    <x v="3"/>
    <s v="2024-01-19 03:30:41"/>
    <n v="173.2"/>
    <n v="7.2"/>
    <s v="Application Errors"/>
    <s v="Login Issues"/>
    <x v="0"/>
    <n v="240"/>
    <x v="1"/>
    <s v="Walk-in"/>
    <s v="Tier 1"/>
    <s v="TECH-9"/>
    <s v="Junior"/>
    <x v="0"/>
    <s v="No"/>
    <n v="1"/>
    <s v="No"/>
    <n v="8"/>
    <n v="4.5999999999999996"/>
    <n v="25.3"/>
    <s v="Yes"/>
    <s v="Poor"/>
    <s v="No"/>
    <s v="IT"/>
    <s v="Wednesday"/>
    <s v="Morning"/>
  </r>
  <r>
    <x v="2289"/>
    <s v="2024-01-04 15:20:47"/>
    <x v="3"/>
    <s v="2024-01-06 07:50:47"/>
    <n v="40.5"/>
    <n v="1.7"/>
    <s v="Network Connectivity"/>
    <s v="WiFi Issues"/>
    <x v="3"/>
    <n v="48"/>
    <x v="1"/>
    <s v="Walk-in"/>
    <s v="Tier 1"/>
    <s v="TECH-18"/>
    <s v="Mid-level"/>
    <x v="1"/>
    <s v="No"/>
    <n v="0"/>
    <s v="No"/>
    <n v="10"/>
    <n v="0.1"/>
    <n v="13.5"/>
    <s v="No"/>
    <s v="Poor"/>
    <s v="Yes"/>
    <s v="Sales"/>
    <s v="Monday"/>
    <s v="Morning"/>
  </r>
  <r>
    <x v="2290"/>
    <s v="2024-02-11 13:11:19"/>
    <x v="6"/>
    <s v="2024-02-25 15:05:19"/>
    <n v="337.9"/>
    <n v="14.1"/>
    <s v="Email/Calendar"/>
    <s v="Cannot Send/Receive"/>
    <x v="1"/>
    <n v="120"/>
    <x v="0"/>
    <s v="Phone"/>
    <s v="Tier 1"/>
    <s v="TECH-17"/>
    <s v="Junior"/>
    <x v="0"/>
    <s v="No"/>
    <n v="1"/>
    <s v="No"/>
    <n v="7"/>
    <n v="6.2"/>
    <n v="29.4"/>
    <s v="Yes"/>
    <s v="Fair"/>
    <s v="Yes"/>
    <s v="Finance"/>
    <s v="Wednesday"/>
    <s v="Afternoon"/>
  </r>
  <r>
    <x v="2291"/>
    <s v="2024-06-01 10:49:16"/>
    <x v="10"/>
    <s v="2024-06-03 07:01:16"/>
    <n v="44.2"/>
    <n v="1.8"/>
    <s v="Hardware Issues"/>
    <s v="Desktop"/>
    <x v="3"/>
    <n v="48"/>
    <x v="1"/>
    <s v="Walk-in"/>
    <s v="Tier 2"/>
    <s v="TECH-10"/>
    <s v="Mid-level"/>
    <x v="0"/>
    <s v="Yes"/>
    <n v="1"/>
    <s v="Yes"/>
    <n v="8"/>
    <n v="0.1"/>
    <n v="6.7"/>
    <s v="Yes"/>
    <s v="Excellent"/>
    <s v="No"/>
    <s v="Executive"/>
    <s v="Tuesday"/>
    <s v="Afternoon"/>
  </r>
  <r>
    <x v="2292"/>
    <s v="2024-10-17 23:47:21"/>
    <x v="2"/>
    <s v="2024-10-21 00:41:21"/>
    <n v="96.9"/>
    <n v="4"/>
    <s v="Network Connectivity"/>
    <s v="WiFi Issues"/>
    <x v="1"/>
    <n v="120"/>
    <x v="1"/>
    <s v="Phone"/>
    <s v="Tier 2"/>
    <s v="TECH-13"/>
    <s v="Junior"/>
    <x v="0"/>
    <s v="Yes"/>
    <n v="2"/>
    <s v="Yes"/>
    <n v="7"/>
    <n v="2"/>
    <n v="19.5"/>
    <s v="No"/>
    <s v="Fair"/>
    <s v="No"/>
    <s v="Finance"/>
    <s v="Friday"/>
    <s v="Afternoon"/>
  </r>
  <r>
    <x v="2293"/>
    <s v="2024-10-11 00:05:32"/>
    <x v="2"/>
    <s v="2024-10-25 13:59:32"/>
    <n v="325.89999999999998"/>
    <n v="13.6"/>
    <s v="Software Installation"/>
    <s v="Business Apps"/>
    <x v="0"/>
    <n v="240"/>
    <x v="0"/>
    <s v="Phone"/>
    <s v="Tier 1"/>
    <s v="TECH-16"/>
    <s v="Mid-level"/>
    <x v="1"/>
    <s v="No"/>
    <n v="0"/>
    <s v="No"/>
    <n v="7"/>
    <n v="1.1000000000000001"/>
    <n v="9.9"/>
    <s v="Yes"/>
    <s v="Fair"/>
    <s v="Yes"/>
    <s v="Executive"/>
    <s v="Thursday"/>
    <s v="Morning"/>
  </r>
  <r>
    <x v="2294"/>
    <s v="2024-04-12 01:57:37"/>
    <x v="11"/>
    <s v="2024-04-17 08:21:37"/>
    <n v="102.4"/>
    <n v="4.3"/>
    <s v="Access Requests"/>
    <s v="VPN Access"/>
    <x v="1"/>
    <n v="120"/>
    <x v="1"/>
    <s v="Phone"/>
    <s v="Tier 1"/>
    <s v="TECH-21"/>
    <s v="Mid-level"/>
    <x v="1"/>
    <s v="No"/>
    <n v="0"/>
    <s v="No"/>
    <n v="10"/>
    <n v="1.7"/>
    <n v="24.7"/>
    <s v="No"/>
    <s v="Good"/>
    <s v="Yes"/>
    <s v="Sales"/>
    <s v="Wednesday"/>
    <s v="Afternoon"/>
  </r>
  <r>
    <x v="2295"/>
    <s v="2024-09-23 16:56:25"/>
    <x v="9"/>
    <s v="2024-09-28 05:14:25"/>
    <n v="108.3"/>
    <n v="4.5"/>
    <s v="Application Errors"/>
    <s v="Crash"/>
    <x v="1"/>
    <n v="120"/>
    <x v="1"/>
    <s v="Phone"/>
    <s v="Tier 1"/>
    <s v="TECH-23"/>
    <s v="Junior"/>
    <x v="1"/>
    <s v="No"/>
    <n v="0"/>
    <s v="No"/>
    <n v="8"/>
    <n v="0.4"/>
    <n v="36.200000000000003"/>
    <s v="No"/>
    <s v="Fair"/>
    <s v="Yes"/>
    <s v="Sales"/>
    <s v="Wednesday"/>
    <s v="Afternoon"/>
  </r>
  <r>
    <x v="2296"/>
    <s v="2024-03-22 19:17:54"/>
    <x v="5"/>
    <s v="2024-04-01 03:53:54"/>
    <n v="223.6"/>
    <n v="9.3000000000000007"/>
    <s v="Network Connectivity"/>
    <s v="VPN Connection"/>
    <x v="0"/>
    <n v="240"/>
    <x v="1"/>
    <s v="Phone"/>
    <s v="Tier 1"/>
    <s v="TECH-19"/>
    <s v="Mid-level"/>
    <x v="0"/>
    <s v="No"/>
    <n v="1"/>
    <s v="No"/>
    <n v="10"/>
    <n v="2.4"/>
    <n v="15.8"/>
    <s v="Yes"/>
    <s v="Poor"/>
    <s v="No"/>
    <s v="IT"/>
    <s v="Monday"/>
    <s v="Morning"/>
  </r>
  <r>
    <x v="2297"/>
    <s v="2024-04-06 22:37:33"/>
    <x v="11"/>
    <s v="2024-04-24 09:43:33"/>
    <n v="419.1"/>
    <n v="17.5"/>
    <s v="Access Requests"/>
    <s v="File Share"/>
    <x v="0"/>
    <n v="240"/>
    <x v="0"/>
    <s v="Portal"/>
    <s v="Tier 1"/>
    <s v="TECH-22"/>
    <s v="Mid-level"/>
    <x v="0"/>
    <s v="No"/>
    <n v="1"/>
    <s v="Yes"/>
    <n v="5"/>
    <n v="4.5999999999999996"/>
    <n v="28.3"/>
    <s v="Yes"/>
    <s v="Poor"/>
    <s v="Yes"/>
    <s v="Sales"/>
    <s v="Tuesday"/>
    <s v="Evening"/>
  </r>
  <r>
    <x v="2298"/>
    <s v="2024-11-17 15:58:15"/>
    <x v="7"/>
    <s v="2024-11-30 19:40:15"/>
    <n v="315.7"/>
    <n v="13.2"/>
    <s v="Application Errors"/>
    <s v="Features Not Working"/>
    <x v="1"/>
    <n v="120"/>
    <x v="0"/>
    <s v="Phone"/>
    <s v="Tier 2"/>
    <s v="TECH-13"/>
    <s v="Senior"/>
    <x v="0"/>
    <s v="Yes"/>
    <n v="2"/>
    <s v="No"/>
    <n v="5"/>
    <n v="2.2999999999999998"/>
    <n v="3.8"/>
    <s v="No"/>
    <s v="Poor"/>
    <s v="No"/>
    <s v="Finance"/>
    <s v="Wednesday"/>
    <s v="Morning"/>
  </r>
  <r>
    <x v="2299"/>
    <s v="2024-07-06 12:33:59"/>
    <x v="4"/>
    <s v="2024-07-28 11:09:59"/>
    <n v="526.6"/>
    <n v="21.9"/>
    <s v="Software Installation"/>
    <s v="Business Apps"/>
    <x v="0"/>
    <n v="240"/>
    <x v="0"/>
    <s v="Phone"/>
    <s v="Tier 2"/>
    <s v="TECH-25"/>
    <s v="Mid-level"/>
    <x v="0"/>
    <s v="Yes"/>
    <n v="1"/>
    <s v="No"/>
    <n v="6"/>
    <n v="0.1"/>
    <n v="30.4"/>
    <s v="Yes"/>
    <s v="Good"/>
    <s v="Yes"/>
    <s v="Executive"/>
    <s v="Wednesday"/>
    <s v="Morning"/>
  </r>
  <r>
    <x v="2300"/>
    <s v="2024-07-22 02:47:08"/>
    <x v="4"/>
    <s v="2024-08-09 13:47:08"/>
    <n v="419"/>
    <n v="17.5"/>
    <s v="Password Reset"/>
    <s v="Account Unlock"/>
    <x v="2"/>
    <n v="360"/>
    <x v="0"/>
    <s v="Portal"/>
    <s v="Tier 1"/>
    <s v="TECH-5"/>
    <s v="Senior"/>
    <x v="1"/>
    <s v="No"/>
    <n v="0"/>
    <s v="No"/>
    <n v="7"/>
    <n v="2.9"/>
    <n v="2.1"/>
    <s v="Yes"/>
    <s v="Good"/>
    <s v="No"/>
    <s v="HR"/>
    <s v="Tuesday"/>
    <s v="Morning"/>
  </r>
  <r>
    <x v="2301"/>
    <s v="2024-08-31 01:26:55"/>
    <x v="1"/>
    <s v="2024-09-09 05:08:55"/>
    <n v="195.7"/>
    <n v="8.1999999999999993"/>
    <s v="Other"/>
    <s v="Documentation"/>
    <x v="0"/>
    <n v="240"/>
    <x v="1"/>
    <s v="Email"/>
    <s v="Tier 1"/>
    <s v="TECH-4"/>
    <s v="Senior"/>
    <x v="1"/>
    <s v="No"/>
    <n v="0"/>
    <s v="No"/>
    <n v="9"/>
    <n v="3.7"/>
    <n v="11.2"/>
    <s v="Yes"/>
    <s v="Poor"/>
    <s v="Yes"/>
    <s v="Sales"/>
    <s v="Monday"/>
    <s v="Morning"/>
  </r>
  <r>
    <x v="2302"/>
    <s v="2024-04-19 13:48:04"/>
    <x v="11"/>
    <s v="2024-06-01 16:18:04"/>
    <n v="1034.5"/>
    <n v="43.1"/>
    <s v="Password Reset"/>
    <s v="Email Password"/>
    <x v="2"/>
    <n v="360"/>
    <x v="0"/>
    <s v="Portal"/>
    <s v="Tier 1"/>
    <s v="TECH-17"/>
    <s v="Junior"/>
    <x v="0"/>
    <s v="No"/>
    <n v="1"/>
    <s v="Yes"/>
    <n v="5"/>
    <n v="2.2000000000000002"/>
    <n v="19.8"/>
    <s v="Yes"/>
    <s v="Fair"/>
    <s v="Yes"/>
    <s v="HR"/>
    <s v="Wednesday"/>
    <s v="Morning"/>
  </r>
  <r>
    <x v="2303"/>
    <s v="2024-07-16 20:51:55"/>
    <x v="4"/>
    <s v="2024-07-18 15:51:55"/>
    <n v="43"/>
    <n v="1.8"/>
    <s v="Hardware Issues"/>
    <s v="Keyboard/Mouse"/>
    <x v="3"/>
    <n v="48"/>
    <x v="1"/>
    <s v="Email"/>
    <s v="Tier 2"/>
    <s v="TECH-19"/>
    <s v="Junior"/>
    <x v="0"/>
    <s v="Yes"/>
    <n v="2"/>
    <s v="No"/>
    <n v="8"/>
    <n v="2.1"/>
    <n v="14.8"/>
    <s v="Yes"/>
    <s v="Good"/>
    <s v="Yes"/>
    <s v="Marketing"/>
    <s v="Monday"/>
    <s v="Afternoon"/>
  </r>
  <r>
    <x v="2304"/>
    <s v="2024-04-04 11:17:16"/>
    <x v="11"/>
    <s v="2024-04-07 02:23:16"/>
    <n v="87.1"/>
    <n v="3.6"/>
    <s v="Network Connectivity"/>
    <s v="Slow Network"/>
    <x v="1"/>
    <n v="120"/>
    <x v="1"/>
    <s v="Email"/>
    <s v="Tier 2"/>
    <s v="TECH-20"/>
    <s v="Junior"/>
    <x v="0"/>
    <s v="Yes"/>
    <n v="1"/>
    <s v="No"/>
    <n v="7"/>
    <n v="8.1"/>
    <n v="26.3"/>
    <s v="No"/>
    <s v="Good"/>
    <s v="Yes"/>
    <s v="IT"/>
    <s v="Monday"/>
    <s v="Morning"/>
  </r>
  <r>
    <x v="2305"/>
    <s v="2024-11-23 03:07:18"/>
    <x v="7"/>
    <s v="2024-11-29 15:19:18"/>
    <n v="156.19999999999999"/>
    <n v="6.5"/>
    <s v="Other"/>
    <s v="Miscellaneous"/>
    <x v="0"/>
    <n v="240"/>
    <x v="1"/>
    <s v="Email"/>
    <s v="Tier 1"/>
    <s v="TECH-5"/>
    <s v="Junior"/>
    <x v="1"/>
    <s v="No"/>
    <n v="0"/>
    <s v="No"/>
    <n v="9"/>
    <n v="1.2"/>
    <n v="0.5"/>
    <s v="No"/>
    <s v="Excellent"/>
    <s v="Yes"/>
    <s v="Operations"/>
    <s v="Monday"/>
    <s v="Afternoon"/>
  </r>
  <r>
    <x v="2306"/>
    <s v="2024-11-20 07:08:02"/>
    <x v="7"/>
    <s v="2024-12-03 05:32:02"/>
    <n v="310.39999999999998"/>
    <n v="12.9"/>
    <s v="Network Connectivity"/>
    <s v="WiFi Issues"/>
    <x v="0"/>
    <n v="240"/>
    <x v="0"/>
    <s v="Email"/>
    <s v="Tier 2"/>
    <s v="TECH-16"/>
    <s v="Senior"/>
    <x v="0"/>
    <s v="Yes"/>
    <n v="2"/>
    <s v="No"/>
    <n v="6"/>
    <n v="2.7"/>
    <n v="12.9"/>
    <s v="No"/>
    <s v="Fair"/>
    <s v="Yes"/>
    <s v="Marketing"/>
    <s v="Friday"/>
    <s v="Morning"/>
  </r>
  <r>
    <x v="2307"/>
    <s v="2024-05-31 12:51:52"/>
    <x v="8"/>
    <s v="2024-06-08 04:27:52"/>
    <n v="183.6"/>
    <n v="7.7"/>
    <s v="Network Connectivity"/>
    <s v="Slow Network"/>
    <x v="0"/>
    <n v="240"/>
    <x v="1"/>
    <s v="Walk-in"/>
    <s v="Tier 2"/>
    <s v="TECH-6"/>
    <s v="Senior"/>
    <x v="0"/>
    <s v="Yes"/>
    <n v="3"/>
    <s v="Yes"/>
    <n v="9"/>
    <n v="4.2"/>
    <n v="18.5"/>
    <s v="Yes"/>
    <s v="Good"/>
    <s v="Yes"/>
    <s v="HR"/>
    <s v="Monday"/>
    <s v="Morning"/>
  </r>
  <r>
    <x v="2308"/>
    <s v="2024-03-11 00:19:44"/>
    <x v="5"/>
    <s v="2024-03-15 20:43:44"/>
    <n v="92.4"/>
    <n v="3.9"/>
    <s v="Application Errors"/>
    <s v="Performance"/>
    <x v="1"/>
    <n v="120"/>
    <x v="1"/>
    <s v="Email"/>
    <s v="Tier 1"/>
    <s v="TECH-5"/>
    <s v="Junior"/>
    <x v="1"/>
    <s v="No"/>
    <n v="0"/>
    <s v="No"/>
    <n v="10"/>
    <n v="0.5"/>
    <n v="11.9"/>
    <s v="No"/>
    <s v="Fair"/>
    <s v="Yes"/>
    <s v="Operations"/>
    <s v="Friday"/>
    <s v="Evening"/>
  </r>
  <r>
    <x v="2309"/>
    <s v="2024-08-04 05:42:25"/>
    <x v="1"/>
    <s v="2024-08-12 09:48:25"/>
    <n v="196.1"/>
    <n v="8.1999999999999993"/>
    <s v="Access Requests"/>
    <s v="Admin Rights"/>
    <x v="0"/>
    <n v="240"/>
    <x v="1"/>
    <s v="Email"/>
    <s v="Tier 1"/>
    <s v="TECH-20"/>
    <s v="Senior"/>
    <x v="0"/>
    <s v="No"/>
    <n v="1"/>
    <s v="No"/>
    <n v="9"/>
    <n v="1"/>
    <n v="10.7"/>
    <s v="Yes"/>
    <s v="Excellent"/>
    <s v="Yes"/>
    <s v="Sales"/>
    <s v="Monday"/>
    <s v="Morning"/>
  </r>
  <r>
    <x v="2310"/>
    <s v="2024-03-10 14:29:55"/>
    <x v="5"/>
    <s v="2024-03-20 23:47:55"/>
    <n v="249.3"/>
    <n v="10.4"/>
    <s v="Software Installation"/>
    <s v="Drivers"/>
    <x v="2"/>
    <n v="360"/>
    <x v="1"/>
    <s v="Email"/>
    <s v="Tier 2"/>
    <s v="TECH-3"/>
    <s v="Junior"/>
    <x v="0"/>
    <s v="Yes"/>
    <n v="4"/>
    <s v="Yes"/>
    <n v="6"/>
    <n v="1.3"/>
    <n v="25.1"/>
    <s v="Yes"/>
    <s v="Fair"/>
    <s v="No"/>
    <s v="HR"/>
    <s v="Monday"/>
    <s v="Afternoon"/>
  </r>
  <r>
    <x v="2311"/>
    <s v="2024-09-22 16:57:51"/>
    <x v="9"/>
    <s v="2024-09-29 21:21:51"/>
    <n v="172.4"/>
    <n v="7.2"/>
    <s v="Password Reset"/>
    <s v="Email Password"/>
    <x v="0"/>
    <n v="240"/>
    <x v="1"/>
    <s v="Email"/>
    <s v="Tier 1"/>
    <s v="TECH-15"/>
    <s v="Junior"/>
    <x v="1"/>
    <s v="No"/>
    <n v="0"/>
    <s v="No"/>
    <n v="10"/>
    <n v="2"/>
    <n v="24"/>
    <s v="Yes"/>
    <s v="Good"/>
    <s v="Yes"/>
    <s v="Marketing"/>
    <s v="Tuesday"/>
    <s v="Afternoon"/>
  </r>
  <r>
    <x v="2312"/>
    <s v="2024-12-29 04:32:05"/>
    <x v="0"/>
    <s v="2025-01-04 14:08:05"/>
    <n v="153.6"/>
    <n v="6.4"/>
    <s v="Network Connectivity"/>
    <s v="WiFi Issues"/>
    <x v="0"/>
    <n v="240"/>
    <x v="1"/>
    <s v="Portal"/>
    <s v="Tier 1"/>
    <s v="TECH-15"/>
    <s v="Senior"/>
    <x v="0"/>
    <s v="No"/>
    <n v="1"/>
    <s v="No"/>
    <n v="9"/>
    <n v="0.1"/>
    <n v="6.1"/>
    <s v="Yes"/>
    <s v="Good"/>
    <s v="Yes"/>
    <s v="Legal"/>
    <s v="Wednesday"/>
    <s v="Morning"/>
  </r>
  <r>
    <x v="2313"/>
    <s v="2024-09-19 23:47:59"/>
    <x v="9"/>
    <s v="2024-10-10 08:23:59"/>
    <n v="488.6"/>
    <n v="20.399999999999999"/>
    <s v="Password Reset"/>
    <s v="Email Password"/>
    <x v="2"/>
    <n v="360"/>
    <x v="0"/>
    <s v="Portal"/>
    <s v="Tier 1"/>
    <s v="TECH-23"/>
    <s v="Mid-level"/>
    <x v="1"/>
    <s v="No"/>
    <n v="0"/>
    <s v="No"/>
    <n v="9"/>
    <n v="0.4"/>
    <n v="6.2"/>
    <s v="Yes"/>
    <s v="Fair"/>
    <s v="Yes"/>
    <s v="Executive"/>
    <s v="Wednesday"/>
    <s v="Morning"/>
  </r>
  <r>
    <x v="2314"/>
    <s v="2024-10-26 05:54:37"/>
    <x v="2"/>
    <s v="2024-11-02 17:48:37"/>
    <n v="180.9"/>
    <n v="7.5"/>
    <s v="Access Requests"/>
    <s v="Application Access"/>
    <x v="0"/>
    <n v="240"/>
    <x v="1"/>
    <s v="Phone"/>
    <s v="Tier 1"/>
    <s v="TECH-18"/>
    <s v="Junior"/>
    <x v="0"/>
    <s v="No"/>
    <n v="1"/>
    <s v="No"/>
    <n v="6"/>
    <n v="1.5"/>
    <n v="2.2000000000000002"/>
    <s v="Yes"/>
    <s v="Fair"/>
    <s v="Yes"/>
    <s v="Finance"/>
    <s v="Thursday"/>
    <s v="Afternoon"/>
  </r>
  <r>
    <x v="2315"/>
    <s v="2024-12-10 14:08:31"/>
    <x v="0"/>
    <s v="2024-12-15 05:56:31"/>
    <n v="111.8"/>
    <n v="4.7"/>
    <s v="Application Errors"/>
    <s v="Features Not Working"/>
    <x v="1"/>
    <n v="120"/>
    <x v="1"/>
    <s v="Phone"/>
    <s v="Tier 1"/>
    <s v="TECH-7"/>
    <s v="Junior"/>
    <x v="0"/>
    <s v="No"/>
    <n v="1"/>
    <s v="Yes"/>
    <n v="8"/>
    <n v="3.2"/>
    <n v="20.3"/>
    <s v="Yes"/>
    <s v="Fair"/>
    <s v="No"/>
    <s v="Marketing"/>
    <s v="Thursday"/>
    <s v="Afternoon"/>
  </r>
  <r>
    <x v="2316"/>
    <s v="2024-01-16 22:35:02"/>
    <x v="3"/>
    <s v="2024-01-29 17:29:02"/>
    <n v="306.89999999999998"/>
    <n v="12.8"/>
    <s v="Software Installation"/>
    <s v="VPN Client"/>
    <x v="2"/>
    <n v="360"/>
    <x v="1"/>
    <s v="Portal"/>
    <s v="Tier 2"/>
    <s v="TECH-7"/>
    <s v="Junior"/>
    <x v="0"/>
    <s v="Yes"/>
    <n v="3"/>
    <s v="No"/>
    <n v="10"/>
    <n v="1"/>
    <n v="11.4"/>
    <s v="Yes"/>
    <s v="Good"/>
    <s v="Yes"/>
    <s v="HR"/>
    <s v="Monday"/>
    <s v="Afternoon"/>
  </r>
  <r>
    <x v="2317"/>
    <s v="2024-03-13 07:03:19"/>
    <x v="5"/>
    <s v="2024-03-22 03:39:19"/>
    <n v="212.6"/>
    <n v="8.9"/>
    <s v="Application Errors"/>
    <s v="Features Not Working"/>
    <x v="0"/>
    <n v="240"/>
    <x v="1"/>
    <s v="Portal"/>
    <s v="Tier 1"/>
    <s v="TECH-25"/>
    <s v="Mid-level"/>
    <x v="0"/>
    <s v="No"/>
    <n v="1"/>
    <s v="No"/>
    <n v="7"/>
    <n v="0.4"/>
    <n v="5.6"/>
    <s v="Yes"/>
    <s v="Good"/>
    <s v="No"/>
    <s v="IT"/>
    <s v="Thursday"/>
    <s v="Afternoon"/>
  </r>
  <r>
    <x v="2318"/>
    <s v="2024-07-29 14:16:15"/>
    <x v="4"/>
    <s v="2024-08-10 11:58:15"/>
    <n v="285.7"/>
    <n v="11.9"/>
    <s v="Password Reset"/>
    <s v="Account Unlock"/>
    <x v="2"/>
    <n v="360"/>
    <x v="1"/>
    <s v="Email"/>
    <s v="Tier 1"/>
    <s v="TECH-21"/>
    <s v="Senior"/>
    <x v="1"/>
    <s v="No"/>
    <n v="0"/>
    <s v="No"/>
    <n v="10"/>
    <n v="0.8"/>
    <n v="5.6"/>
    <s v="Yes"/>
    <s v="Poor"/>
    <s v="No"/>
    <s v="Legal"/>
    <s v="Wednesday"/>
    <s v="Evening"/>
  </r>
  <r>
    <x v="2319"/>
    <s v="2024-02-22 07:38:43"/>
    <x v="6"/>
    <s v="2024-02-28 16:02:43"/>
    <n v="152.4"/>
    <n v="6.4"/>
    <s v="Application Errors"/>
    <s v="Login Issues"/>
    <x v="1"/>
    <n v="120"/>
    <x v="0"/>
    <s v="Phone"/>
    <s v="Tier 1"/>
    <s v="TECH-7"/>
    <s v="Senior"/>
    <x v="0"/>
    <s v="No"/>
    <n v="1"/>
    <s v="No"/>
    <n v="5"/>
    <n v="0.7"/>
    <n v="19.399999999999999"/>
    <s v="No"/>
    <s v="Fair"/>
    <s v="No"/>
    <s v="Sales"/>
    <s v="Thursday"/>
    <s v="Morning"/>
  </r>
  <r>
    <x v="2320"/>
    <s v="2024-07-04 03:38:12"/>
    <x v="4"/>
    <s v="2024-07-08 20:08:12"/>
    <n v="112.5"/>
    <n v="4.7"/>
    <s v="Hardware Issues"/>
    <s v="Keyboard/Mouse"/>
    <x v="1"/>
    <n v="120"/>
    <x v="1"/>
    <s v="Portal"/>
    <s v="Tier 2"/>
    <s v="TECH-16"/>
    <s v="Junior"/>
    <x v="0"/>
    <s v="Yes"/>
    <n v="1"/>
    <s v="No"/>
    <n v="7"/>
    <n v="1.5"/>
    <n v="23.2"/>
    <s v="Yes"/>
    <s v="Fair"/>
    <s v="Yes"/>
    <s v="Legal"/>
    <s v="Thursday"/>
    <s v="Morning"/>
  </r>
  <r>
    <x v="2321"/>
    <s v="2024-03-16 18:31:02"/>
    <x v="5"/>
    <s v="2024-03-18 10:07:02"/>
    <n v="39.6"/>
    <n v="1.7"/>
    <s v="Email/Calendar"/>
    <s v="Calendar Sync"/>
    <x v="3"/>
    <n v="48"/>
    <x v="1"/>
    <s v="Phone"/>
    <s v="Tier 1"/>
    <s v="TECH-20"/>
    <s v="Senior"/>
    <x v="0"/>
    <s v="No"/>
    <n v="1"/>
    <s v="No"/>
    <n v="6"/>
    <n v="0.8"/>
    <n v="5.9"/>
    <s v="Yes"/>
    <s v="Poor"/>
    <s v="No"/>
    <s v="Operations"/>
    <s v="Monday"/>
    <s v="Morning"/>
  </r>
  <r>
    <x v="2322"/>
    <s v="2024-01-18 13:54:07"/>
    <x v="3"/>
    <s v="2024-01-30 12:36:07"/>
    <n v="286.7"/>
    <n v="11.9"/>
    <s v="Application Errors"/>
    <s v="Performance"/>
    <x v="0"/>
    <n v="240"/>
    <x v="0"/>
    <s v="Walk-in"/>
    <s v="Tier 2"/>
    <s v="TECH-9"/>
    <s v="Senior"/>
    <x v="0"/>
    <s v="Yes"/>
    <n v="4"/>
    <s v="No"/>
    <n v="5"/>
    <n v="5.6"/>
    <n v="27.2"/>
    <s v="Yes"/>
    <s v="Poor"/>
    <s v="Yes"/>
    <s v="Legal"/>
    <s v="Tuesday"/>
    <s v="Evening"/>
  </r>
  <r>
    <x v="2323"/>
    <s v="2024-04-24 00:51:24"/>
    <x v="11"/>
    <s v="2024-04-29 04:45:24"/>
    <n v="99.9"/>
    <n v="4.2"/>
    <s v="Network Connectivity"/>
    <s v="Slow Network"/>
    <x v="1"/>
    <n v="120"/>
    <x v="1"/>
    <s v="Email"/>
    <s v="Tier 2"/>
    <s v="TECH-13"/>
    <s v="Junior"/>
    <x v="0"/>
    <s v="Yes"/>
    <n v="2"/>
    <s v="No"/>
    <n v="9"/>
    <n v="3"/>
    <n v="1.2"/>
    <s v="Yes"/>
    <s v="Good"/>
    <s v="Yes"/>
    <s v="Marketing"/>
    <s v="Thursday"/>
    <s v="Morning"/>
  </r>
  <r>
    <x v="2324"/>
    <s v="2024-05-30 22:13:51"/>
    <x v="8"/>
    <s v="2024-06-19 21:43:51"/>
    <n v="479.5"/>
    <n v="20"/>
    <s v="Access Requests"/>
    <s v="File Share"/>
    <x v="0"/>
    <n v="240"/>
    <x v="0"/>
    <s v="Email"/>
    <s v="Tier 1"/>
    <s v="TECH-3"/>
    <s v="Junior"/>
    <x v="1"/>
    <s v="No"/>
    <n v="0"/>
    <s v="Yes"/>
    <n v="6"/>
    <n v="3.7"/>
    <n v="13.3"/>
    <s v="No"/>
    <s v="Good"/>
    <s v="Yes"/>
    <s v="IT"/>
    <s v="Thursday"/>
    <s v="Morning"/>
  </r>
  <r>
    <x v="2325"/>
    <s v="2024-09-01 11:47:09"/>
    <x v="9"/>
    <s v="2024-09-05 09:41:09"/>
    <n v="93.9"/>
    <n v="3.9"/>
    <s v="Hardware Issues"/>
    <s v="Printer"/>
    <x v="1"/>
    <n v="120"/>
    <x v="1"/>
    <s v="Phone"/>
    <s v="Tier 2"/>
    <s v="TECH-4"/>
    <s v="Mid-level"/>
    <x v="0"/>
    <s v="Yes"/>
    <n v="1"/>
    <s v="No"/>
    <n v="9"/>
    <n v="5.3"/>
    <n v="7.7"/>
    <s v="No"/>
    <s v="Poor"/>
    <s v="Yes"/>
    <s v="Finance"/>
    <s v="Thursday"/>
    <s v="Afternoon"/>
  </r>
  <r>
    <x v="2326"/>
    <s v="2024-08-27 11:58:45"/>
    <x v="1"/>
    <s v="2024-09-08 02:16:45"/>
    <n v="302.3"/>
    <n v="12.6"/>
    <s v="Application Errors"/>
    <s v="Login Issues"/>
    <x v="2"/>
    <n v="360"/>
    <x v="1"/>
    <s v="Phone"/>
    <s v="Tier 1"/>
    <s v="TECH-10"/>
    <s v="Junior"/>
    <x v="0"/>
    <s v="No"/>
    <n v="1"/>
    <s v="No"/>
    <n v="6"/>
    <n v="0.1"/>
    <n v="33.6"/>
    <s v="Yes"/>
    <s v="Fair"/>
    <s v="No"/>
    <s v="Marketing"/>
    <s v="Friday"/>
    <s v="Afternoon"/>
  </r>
  <r>
    <x v="2327"/>
    <s v="2024-02-01 13:20:58"/>
    <x v="6"/>
    <s v="2024-02-23 18:20:58"/>
    <n v="533"/>
    <n v="22.2"/>
    <s v="Software Installation"/>
    <s v="Adobe Suite"/>
    <x v="0"/>
    <n v="240"/>
    <x v="0"/>
    <s v="Portal"/>
    <s v="Tier 1"/>
    <s v="TECH-18"/>
    <s v="Mid-level"/>
    <x v="0"/>
    <s v="No"/>
    <n v="1"/>
    <s v="No"/>
    <n v="7"/>
    <n v="2.1"/>
    <n v="26.5"/>
    <s v="Yes"/>
    <s v="Fair"/>
    <s v="No"/>
    <s v="Legal"/>
    <s v="Tuesday"/>
    <s v="Afternoon"/>
  </r>
  <r>
    <x v="2328"/>
    <s v="2024-10-27 13:04:17"/>
    <x v="2"/>
    <s v="2024-11-11 08:40:17"/>
    <n v="355.6"/>
    <n v="14.8"/>
    <s v="Application Errors"/>
    <s v="Performance"/>
    <x v="0"/>
    <n v="240"/>
    <x v="0"/>
    <s v="Portal"/>
    <s v="Tier 1"/>
    <s v="TECH-23"/>
    <s v="Junior"/>
    <x v="0"/>
    <s v="No"/>
    <n v="1"/>
    <s v="No"/>
    <n v="6"/>
    <n v="0.3"/>
    <n v="54.1"/>
    <s v="Yes"/>
    <s v="Excellent"/>
    <s v="Yes"/>
    <s v="Sales"/>
    <s v="Friday"/>
    <s v="Afternoon"/>
  </r>
  <r>
    <x v="2329"/>
    <s v="2024-07-03 02:10:01"/>
    <x v="4"/>
    <s v="2024-07-11 23:52:01"/>
    <n v="189.7"/>
    <n v="7.9"/>
    <s v="Access Requests"/>
    <s v="Admin Rights"/>
    <x v="0"/>
    <n v="240"/>
    <x v="1"/>
    <s v="Portal"/>
    <s v="Tier 1"/>
    <s v="TECH-20"/>
    <s v="Junior"/>
    <x v="0"/>
    <s v="No"/>
    <n v="1"/>
    <s v="No"/>
    <n v="7"/>
    <n v="3.4"/>
    <n v="29.1"/>
    <s v="No"/>
    <s v="Excellent"/>
    <s v="Yes"/>
    <s v="HR"/>
    <s v="Friday"/>
    <s v="Morning"/>
  </r>
  <r>
    <x v="2330"/>
    <s v="2024-02-17 04:17:13"/>
    <x v="6"/>
    <s v="2024-02-27 02:05:13"/>
    <n v="237.8"/>
    <n v="9.9"/>
    <s v="Password Reset"/>
    <s v="Windows Password"/>
    <x v="2"/>
    <n v="360"/>
    <x v="1"/>
    <s v="Email"/>
    <s v="Tier 1"/>
    <s v="TECH-25"/>
    <s v="Mid-level"/>
    <x v="1"/>
    <s v="No"/>
    <n v="0"/>
    <s v="Yes"/>
    <n v="10"/>
    <n v="2.9"/>
    <n v="9.3000000000000007"/>
    <s v="No"/>
    <s v="Good"/>
    <s v="No"/>
    <s v="Marketing"/>
    <s v="Wednesday"/>
    <s v="Morning"/>
  </r>
  <r>
    <x v="2331"/>
    <s v="2024-07-30 03:34:46"/>
    <x v="4"/>
    <s v="2024-08-05 16:22:46"/>
    <n v="156.80000000000001"/>
    <n v="6.5"/>
    <s v="Software Installation"/>
    <s v="MS Office"/>
    <x v="0"/>
    <n v="240"/>
    <x v="1"/>
    <s v="Portal"/>
    <s v="Tier 1"/>
    <s v="TECH-4"/>
    <s v="Senior"/>
    <x v="1"/>
    <s v="No"/>
    <n v="0"/>
    <s v="Yes"/>
    <n v="9"/>
    <n v="1.9"/>
    <n v="0"/>
    <s v="No"/>
    <s v="Excellent"/>
    <s v="Yes"/>
    <s v="Executive"/>
    <s v="Wednesday"/>
    <s v="Afternoon"/>
  </r>
  <r>
    <x v="2332"/>
    <s v="2024-02-10 07:26:43"/>
    <x v="6"/>
    <s v="2024-02-19 01:32:43"/>
    <n v="234.1"/>
    <n v="9.8000000000000007"/>
    <s v="Password Reset"/>
    <s v="Email Password"/>
    <x v="2"/>
    <n v="360"/>
    <x v="1"/>
    <s v="Phone"/>
    <s v="Tier 1"/>
    <s v="TECH-14"/>
    <s v="Junior"/>
    <x v="1"/>
    <s v="No"/>
    <n v="0"/>
    <s v="Yes"/>
    <n v="10"/>
    <n v="3"/>
    <n v="11.3"/>
    <s v="Yes"/>
    <s v="Excellent"/>
    <s v="No"/>
    <s v="HR"/>
    <s v="Monday"/>
    <s v="Afternoon"/>
  </r>
  <r>
    <x v="2333"/>
    <s v="2024-07-25 10:43:14"/>
    <x v="4"/>
    <s v="2024-08-04 17:31:14"/>
    <n v="246.8"/>
    <n v="10.3"/>
    <s v="Application Errors"/>
    <s v="Login Issues"/>
    <x v="2"/>
    <n v="360"/>
    <x v="1"/>
    <s v="Email"/>
    <s v="Tier 1"/>
    <s v="TECH-2"/>
    <s v="Junior"/>
    <x v="0"/>
    <s v="No"/>
    <n v="1"/>
    <s v="Yes"/>
    <n v="6"/>
    <n v="2.8"/>
    <n v="26.4"/>
    <s v="No"/>
    <s v="Fair"/>
    <s v="No"/>
    <s v="Legal"/>
    <s v="Thursday"/>
    <s v="Afternoon"/>
  </r>
  <r>
    <x v="2334"/>
    <s v="2024-07-22 16:42:13"/>
    <x v="4"/>
    <s v="2024-07-29 10:54:13"/>
    <n v="162.19999999999999"/>
    <n v="6.8"/>
    <s v="Access Requests"/>
    <s v="Admin Rights"/>
    <x v="0"/>
    <n v="240"/>
    <x v="1"/>
    <s v="Walk-in"/>
    <s v="Tier 2"/>
    <s v="TECH-21"/>
    <s v="Mid-level"/>
    <x v="0"/>
    <s v="Yes"/>
    <n v="1"/>
    <s v="No"/>
    <n v="6"/>
    <n v="0.5"/>
    <n v="14.4"/>
    <s v="Yes"/>
    <s v="Good"/>
    <s v="Yes"/>
    <s v="HR"/>
    <s v="Friday"/>
    <s v="Afternoon"/>
  </r>
  <r>
    <x v="2335"/>
    <s v="2024-04-24 02:30:37"/>
    <x v="11"/>
    <s v="2024-05-09 16:24:37"/>
    <n v="349.9"/>
    <n v="14.6"/>
    <s v="Hardware Issues"/>
    <s v="Docking Station"/>
    <x v="1"/>
    <n v="120"/>
    <x v="0"/>
    <s v="Email"/>
    <s v="Tier 2"/>
    <s v="TECH-7"/>
    <s v="Senior"/>
    <x v="0"/>
    <s v="Yes"/>
    <n v="2"/>
    <s v="No"/>
    <n v="5"/>
    <n v="2.7"/>
    <n v="12.9"/>
    <s v="Yes"/>
    <s v="Fair"/>
    <s v="Yes"/>
    <s v="Operations"/>
    <s v="Wednesday"/>
    <s v="Afternoon"/>
  </r>
  <r>
    <x v="2336"/>
    <s v="2024-02-26 21:19:51"/>
    <x v="6"/>
    <s v="2024-03-04 03:19:51"/>
    <n v="150"/>
    <n v="6.3"/>
    <s v="Network Connectivity"/>
    <s v="Ethernet"/>
    <x v="0"/>
    <n v="240"/>
    <x v="1"/>
    <s v="Chat"/>
    <s v="Tier 2"/>
    <s v="TECH-15"/>
    <s v="Mid-level"/>
    <x v="0"/>
    <s v="Yes"/>
    <n v="3"/>
    <s v="No"/>
    <n v="7"/>
    <n v="1"/>
    <n v="15.4"/>
    <s v="Yes"/>
    <s v="Poor"/>
    <s v="Yes"/>
    <s v="Executive"/>
    <s v="Monday"/>
    <s v="Evening"/>
  </r>
  <r>
    <x v="2337"/>
    <s v="2024-08-20 00:43:52"/>
    <x v="1"/>
    <s v="2024-09-01 11:07:52"/>
    <n v="274.39999999999998"/>
    <n v="11.4"/>
    <s v="Software Installation"/>
    <s v="Drivers"/>
    <x v="0"/>
    <n v="240"/>
    <x v="0"/>
    <s v="Phone"/>
    <s v="Tier 1"/>
    <s v="TECH-19"/>
    <s v="Senior"/>
    <x v="0"/>
    <s v="No"/>
    <n v="1"/>
    <s v="Yes"/>
    <n v="8"/>
    <n v="0.1"/>
    <n v="20.2"/>
    <s v="No"/>
    <s v="Fair"/>
    <s v="No"/>
    <s v="Sales"/>
    <s v="Wednesday"/>
    <s v="Afternoon"/>
  </r>
  <r>
    <x v="2338"/>
    <s v="2024-10-11 18:47:09"/>
    <x v="2"/>
    <s v="2024-10-20 00:29:09"/>
    <n v="221.7"/>
    <n v="9.1999999999999993"/>
    <s v="Email/Calendar"/>
    <s v="Cannot Send/Receive"/>
    <x v="0"/>
    <n v="240"/>
    <x v="1"/>
    <s v="Email"/>
    <s v="Tier 1"/>
    <s v="TECH-5"/>
    <s v="Mid-level"/>
    <x v="0"/>
    <s v="No"/>
    <n v="1"/>
    <s v="No"/>
    <n v="7"/>
    <n v="2.7"/>
    <n v="10"/>
    <s v="No"/>
    <s v="Poor"/>
    <s v="No"/>
    <s v="HR"/>
    <s v="Wednesday"/>
    <s v="Afternoon"/>
  </r>
  <r>
    <x v="2339"/>
    <s v="2024-10-27 14:16:28"/>
    <x v="2"/>
    <s v="2024-11-16 15:52:28"/>
    <n v="481.6"/>
    <n v="20.100000000000001"/>
    <s v="Software Installation"/>
    <s v="MS Office"/>
    <x v="2"/>
    <n v="360"/>
    <x v="0"/>
    <s v="Email"/>
    <s v="Tier 1"/>
    <s v="TECH-6"/>
    <s v="Senior"/>
    <x v="0"/>
    <s v="No"/>
    <n v="1"/>
    <s v="No"/>
    <n v="6"/>
    <n v="1.1000000000000001"/>
    <n v="13"/>
    <s v="No"/>
    <s v="Fair"/>
    <s v="Yes"/>
    <s v="HR"/>
    <s v="Friday"/>
    <s v="Morning"/>
  </r>
  <r>
    <x v="2340"/>
    <s v="2024-08-16 00:47:42"/>
    <x v="1"/>
    <s v="2024-08-21 13:35:42"/>
    <n v="108.8"/>
    <n v="4.5"/>
    <s v="Hardware Issues"/>
    <s v="Docking Station"/>
    <x v="1"/>
    <n v="120"/>
    <x v="1"/>
    <s v="Phone"/>
    <s v="Tier 2"/>
    <s v="TECH-20"/>
    <s v="Senior"/>
    <x v="0"/>
    <s v="Yes"/>
    <n v="2"/>
    <s v="No"/>
    <n v="10"/>
    <n v="1.6"/>
    <n v="6.5"/>
    <s v="No"/>
    <s v="Good"/>
    <s v="No"/>
    <s v="Executive"/>
    <s v="Wednesday"/>
    <s v="Afternoon"/>
  </r>
  <r>
    <x v="2341"/>
    <s v="2024-11-16 05:01:40"/>
    <x v="7"/>
    <s v="2024-12-23 22:19:40"/>
    <n v="905.3"/>
    <n v="37.700000000000003"/>
    <s v="Password Reset"/>
    <s v="Account Unlock"/>
    <x v="2"/>
    <n v="360"/>
    <x v="0"/>
    <s v="Chat"/>
    <s v="Tier 1"/>
    <s v="TECH-1"/>
    <s v="Mid-level"/>
    <x v="1"/>
    <s v="No"/>
    <n v="0"/>
    <s v="Yes"/>
    <n v="7"/>
    <n v="0.8"/>
    <n v="44.3"/>
    <s v="No"/>
    <s v="Excellent"/>
    <s v="No"/>
    <s v="Legal"/>
    <s v="Thursday"/>
    <s v="Evening"/>
  </r>
  <r>
    <x v="2342"/>
    <s v="2024-07-07 05:03:24"/>
    <x v="4"/>
    <s v="2024-07-14 17:57:24"/>
    <n v="180.9"/>
    <n v="7.5"/>
    <s v="Hardware Issues"/>
    <s v="Desktop"/>
    <x v="0"/>
    <n v="240"/>
    <x v="1"/>
    <s v="Email"/>
    <s v="Tier 2"/>
    <s v="TECH-24"/>
    <s v="Mid-level"/>
    <x v="0"/>
    <s v="Yes"/>
    <n v="4"/>
    <s v="Yes"/>
    <n v="9"/>
    <n v="2"/>
    <n v="25.1"/>
    <s v="Yes"/>
    <s v="Good"/>
    <s v="Yes"/>
    <s v="Sales"/>
    <s v="Tuesday"/>
    <s v="Morning"/>
  </r>
  <r>
    <x v="2343"/>
    <s v="2024-03-19 18:15:13"/>
    <x v="5"/>
    <s v="2024-03-29 18:09:13"/>
    <n v="239.9"/>
    <n v="10"/>
    <s v="Password Reset"/>
    <s v="Windows Password"/>
    <x v="2"/>
    <n v="360"/>
    <x v="1"/>
    <s v="Portal"/>
    <s v="Tier 1"/>
    <s v="TECH-16"/>
    <s v="Mid-level"/>
    <x v="0"/>
    <s v="No"/>
    <n v="1"/>
    <s v="Yes"/>
    <n v="7"/>
    <n v="3.2"/>
    <n v="29.4"/>
    <s v="Yes"/>
    <s v="Fair"/>
    <s v="Yes"/>
    <s v="Sales"/>
    <s v="Thursday"/>
    <s v="Morning"/>
  </r>
  <r>
    <x v="2344"/>
    <s v="2024-04-20 08:48:13"/>
    <x v="11"/>
    <s v="2024-04-27 11:54:13"/>
    <n v="171.1"/>
    <n v="7.1"/>
    <s v="Software Installation"/>
    <s v="VPN Client"/>
    <x v="0"/>
    <n v="240"/>
    <x v="1"/>
    <s v="Email"/>
    <s v="Tier 2"/>
    <s v="TECH-22"/>
    <s v="Mid-level"/>
    <x v="0"/>
    <s v="Yes"/>
    <n v="1"/>
    <s v="Yes"/>
    <n v="9"/>
    <n v="2.5"/>
    <n v="29.3"/>
    <s v="Yes"/>
    <s v="Poor"/>
    <s v="No"/>
    <s v="Legal"/>
    <s v="Wednesday"/>
    <s v="Morning"/>
  </r>
  <r>
    <x v="2345"/>
    <s v="2024-05-06 09:22:53"/>
    <x v="8"/>
    <s v="2024-05-14 08:46:53"/>
    <n v="191.4"/>
    <n v="8"/>
    <s v="Email/Calendar"/>
    <s v="Distribution List"/>
    <x v="0"/>
    <n v="240"/>
    <x v="1"/>
    <s v="Email"/>
    <s v="Tier 2"/>
    <s v="TECH-15"/>
    <s v="Mid-level"/>
    <x v="0"/>
    <s v="Yes"/>
    <n v="4"/>
    <s v="Yes"/>
    <n v="6"/>
    <n v="0.4"/>
    <n v="2.6"/>
    <s v="No"/>
    <s v="Fair"/>
    <s v="Yes"/>
    <s v="IT"/>
    <s v="Thursday"/>
    <s v="Afternoon"/>
  </r>
  <r>
    <x v="2346"/>
    <s v="2024-01-13 20:14:24"/>
    <x v="3"/>
    <s v="2024-01-23 03:44:24"/>
    <n v="223.5"/>
    <n v="9.3000000000000007"/>
    <s v="Password Reset"/>
    <s v="Email Password"/>
    <x v="1"/>
    <n v="120"/>
    <x v="0"/>
    <s v="Portal"/>
    <s v="Tier 1"/>
    <s v="TECH-7"/>
    <s v="Senior"/>
    <x v="1"/>
    <s v="No"/>
    <n v="0"/>
    <s v="No"/>
    <n v="7"/>
    <n v="3.2"/>
    <n v="0"/>
    <s v="Yes"/>
    <s v="Fair"/>
    <s v="Yes"/>
    <s v="Marketing"/>
    <s v="Monday"/>
    <s v="Evening"/>
  </r>
  <r>
    <x v="2347"/>
    <m/>
    <x v="12"/>
    <m/>
    <m/>
    <m/>
    <m/>
    <m/>
    <x v="4"/>
    <m/>
    <x v="2"/>
    <m/>
    <m/>
    <m/>
    <m/>
    <x v="2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7">
  <r>
    <x v="0"/>
    <s v="2024-12-12 18:24:30"/>
    <x v="0"/>
    <s v="2024-12-26 11:42:30"/>
    <x v="0"/>
    <n v="13.7"/>
    <x v="0"/>
    <s v="Admin Rights"/>
    <s v="Medium"/>
    <n v="240"/>
    <x v="0"/>
    <s v="Portal"/>
    <s v="Tier 1"/>
    <x v="0"/>
    <x v="0"/>
    <s v="No"/>
    <s v="No"/>
    <n v="1"/>
    <s v="No"/>
    <n v="4"/>
    <n v="2.7"/>
    <n v="18.399999999999999"/>
    <s v="Yes"/>
    <s v="Excellent"/>
    <s v="Yes"/>
    <s v="Executive"/>
    <s v="Thursday"/>
    <s v="Evening"/>
  </r>
  <r>
    <x v="1"/>
    <s v="2024-08-19 18:40:51"/>
    <x v="1"/>
    <s v="2024-08-24 06:58:51"/>
    <x v="1"/>
    <n v="4.5"/>
    <x v="0"/>
    <s v="VPN Access"/>
    <s v="High"/>
    <n v="120"/>
    <x v="1"/>
    <s v="Portal"/>
    <s v="Tier 1"/>
    <x v="1"/>
    <x v="1"/>
    <s v="No"/>
    <s v="No"/>
    <n v="1"/>
    <s v="No"/>
    <n v="9"/>
    <n v="0.4"/>
    <n v="0"/>
    <s v="Yes"/>
    <s v="Poor"/>
    <s v="Yes"/>
    <s v="Legal"/>
    <s v="Tuesday"/>
    <s v="Afternoon"/>
  </r>
  <r>
    <x v="2"/>
    <s v="2024-10-27 01:19:10"/>
    <x v="2"/>
    <s v="2024-11-02 15:43:10"/>
    <x v="2"/>
    <n v="5.6"/>
    <x v="1"/>
    <s v="Printer"/>
    <s v="High"/>
    <n v="120"/>
    <x v="0"/>
    <s v="Portal"/>
    <s v="Tier 1"/>
    <x v="2"/>
    <x v="2"/>
    <s v="No"/>
    <s v="No"/>
    <n v="1"/>
    <s v="No"/>
    <n v="7"/>
    <n v="1.4"/>
    <n v="9.3000000000000007"/>
    <s v="Yes"/>
    <s v="Fair"/>
    <s v="No"/>
    <s v="Finance"/>
    <s v="Thursday"/>
    <s v="Afternoon"/>
  </r>
  <r>
    <x v="3"/>
    <s v="2024-01-22 15:06:47"/>
    <x v="3"/>
    <s v="2024-02-05 13:36:47"/>
    <x v="3"/>
    <n v="13.9"/>
    <x v="2"/>
    <s v="VPN Connection"/>
    <s v="Medium"/>
    <n v="240"/>
    <x v="0"/>
    <s v="Email"/>
    <s v="Tier 2"/>
    <x v="3"/>
    <x v="1"/>
    <s v="No"/>
    <s v="Yes"/>
    <n v="4"/>
    <s v="No"/>
    <n v="7"/>
    <n v="3.2"/>
    <n v="28.6"/>
    <s v="Yes"/>
    <s v="Poor"/>
    <s v="Yes"/>
    <s v="Operations"/>
    <s v="Tuesday"/>
    <s v="Afternoon"/>
  </r>
  <r>
    <x v="4"/>
    <s v="2024-07-17 15:21:02"/>
    <x v="4"/>
    <s v="2024-08-08 06:03:02"/>
    <x v="4"/>
    <n v="21.6"/>
    <x v="3"/>
    <s v="Windows Password"/>
    <s v="Low"/>
    <n v="360"/>
    <x v="0"/>
    <s v="Email"/>
    <s v="Tier 1"/>
    <x v="4"/>
    <x v="2"/>
    <s v="Yes"/>
    <s v="No"/>
    <n v="0"/>
    <s v="No"/>
    <n v="8"/>
    <n v="6.9"/>
    <n v="26.4"/>
    <s v="Yes"/>
    <s v="Fair"/>
    <s v="Yes"/>
    <s v="IT"/>
    <s v="Wednesday"/>
    <s v="Morning"/>
  </r>
  <r>
    <x v="5"/>
    <s v="2024-07-31 10:29:27"/>
    <x v="4"/>
    <s v="2024-08-04 20:11:27"/>
    <x v="5"/>
    <n v="4.4000000000000004"/>
    <x v="4"/>
    <s v="Login Issues"/>
    <s v="High"/>
    <n v="120"/>
    <x v="1"/>
    <s v="Portal"/>
    <s v="Tier 2"/>
    <x v="5"/>
    <x v="1"/>
    <s v="No"/>
    <s v="Yes"/>
    <n v="4"/>
    <s v="No"/>
    <n v="10"/>
    <n v="3.3"/>
    <n v="16.8"/>
    <s v="No"/>
    <s v="Fair"/>
    <s v="Yes"/>
    <s v="Operations"/>
    <s v="Tuesday"/>
    <s v="Afternoon"/>
  </r>
  <r>
    <x v="6"/>
    <s v="2024-03-01 08:08:57"/>
    <x v="5"/>
    <s v="2024-03-03 15:08:57"/>
    <x v="6"/>
    <n v="2.2999999999999998"/>
    <x v="5"/>
    <s v="Documentation"/>
    <s v="Critical"/>
    <n v="48"/>
    <x v="0"/>
    <s v="Phone"/>
    <s v="Tier 1"/>
    <x v="6"/>
    <x v="0"/>
    <s v="No"/>
    <s v="No"/>
    <n v="1"/>
    <s v="No"/>
    <n v="3"/>
    <n v="0.1"/>
    <n v="15"/>
    <s v="Yes"/>
    <s v="Poor"/>
    <s v="Yes"/>
    <s v="Operations"/>
    <s v="Thursday"/>
    <s v="Afternoon"/>
  </r>
  <r>
    <x v="7"/>
    <s v="2024-02-20 22:38:18"/>
    <x v="6"/>
    <s v="2024-03-05 05:38:18"/>
    <x v="7"/>
    <n v="13.3"/>
    <x v="6"/>
    <s v="Distribution List"/>
    <s v="Low"/>
    <n v="360"/>
    <x v="1"/>
    <s v="Email"/>
    <s v="Tier 1"/>
    <x v="3"/>
    <x v="0"/>
    <s v="No"/>
    <s v="No"/>
    <n v="1"/>
    <s v="No"/>
    <n v="8"/>
    <n v="2.7"/>
    <n v="18"/>
    <s v="No"/>
    <s v="Fair"/>
    <s v="No"/>
    <s v="IT"/>
    <s v="Friday"/>
    <s v="Evening"/>
  </r>
  <r>
    <x v="8"/>
    <s v="2024-12-01 05:04:42"/>
    <x v="0"/>
    <s v="2024-12-06 16:16:42"/>
    <x v="8"/>
    <n v="5.5"/>
    <x v="2"/>
    <s v="VPN Connection"/>
    <s v="High"/>
    <n v="120"/>
    <x v="0"/>
    <s v="Portal"/>
    <s v="Tier 1"/>
    <x v="7"/>
    <x v="2"/>
    <s v="Yes"/>
    <s v="No"/>
    <n v="0"/>
    <s v="Yes"/>
    <n v="7"/>
    <n v="7.2"/>
    <n v="15.5"/>
    <s v="Yes"/>
    <s v="Fair"/>
    <s v="Yes"/>
    <s v="Sales"/>
    <s v="Monday"/>
    <s v="Morning"/>
  </r>
  <r>
    <x v="9"/>
    <s v="2024-11-04 11:32:20"/>
    <x v="7"/>
    <s v="2024-11-13 01:26:20"/>
    <x v="9"/>
    <n v="9.6"/>
    <x v="3"/>
    <s v="Windows Password"/>
    <s v="Low"/>
    <n v="360"/>
    <x v="1"/>
    <s v="Walk-in"/>
    <s v="Tier 1"/>
    <x v="8"/>
    <x v="2"/>
    <s v="No"/>
    <s v="No"/>
    <n v="1"/>
    <s v="No"/>
    <n v="9"/>
    <n v="0.7"/>
    <n v="15.6"/>
    <s v="Yes"/>
    <s v="Poor"/>
    <s v="No"/>
    <s v="Marketing"/>
    <s v="Friday"/>
    <s v="Morning"/>
  </r>
  <r>
    <x v="10"/>
    <s v="2024-11-09 03:02:29"/>
    <x v="7"/>
    <s v="2024-11-27 10:38:29"/>
    <x v="10"/>
    <n v="18.3"/>
    <x v="0"/>
    <s v="Admin Rights"/>
    <s v="Medium"/>
    <n v="240"/>
    <x v="0"/>
    <s v="Phone"/>
    <s v="Tier 1"/>
    <x v="9"/>
    <x v="0"/>
    <s v="Yes"/>
    <s v="No"/>
    <n v="0"/>
    <s v="No"/>
    <n v="6"/>
    <n v="1.8"/>
    <n v="5.8"/>
    <s v="Yes"/>
    <s v="Excellent"/>
    <s v="Yes"/>
    <s v="Sales"/>
    <s v="Thursday"/>
    <s v="Afternoon"/>
  </r>
  <r>
    <x v="11"/>
    <s v="2024-07-05 20:22:40"/>
    <x v="4"/>
    <s v="2024-07-18 13:22:40"/>
    <x v="11"/>
    <n v="12.7"/>
    <x v="0"/>
    <s v="VPN Access"/>
    <s v="Medium"/>
    <n v="240"/>
    <x v="0"/>
    <s v="Phone"/>
    <s v="Tier 1"/>
    <x v="2"/>
    <x v="0"/>
    <s v="Yes"/>
    <s v="No"/>
    <n v="0"/>
    <s v="No"/>
    <n v="8"/>
    <n v="3.8"/>
    <n v="12.6"/>
    <s v="No"/>
    <s v="Good"/>
    <s v="Yes"/>
    <s v="IT"/>
    <s v="Monday"/>
    <s v="Morning"/>
  </r>
  <r>
    <x v="12"/>
    <s v="2024-05-03 13:26:11"/>
    <x v="8"/>
    <s v="2024-05-07 22:02:11"/>
    <x v="12"/>
    <n v="4.4000000000000004"/>
    <x v="1"/>
    <s v="Monitor"/>
    <s v="High"/>
    <n v="120"/>
    <x v="1"/>
    <s v="Walk-in"/>
    <s v="Tier 1"/>
    <x v="10"/>
    <x v="0"/>
    <s v="No"/>
    <s v="No"/>
    <n v="1"/>
    <s v="No"/>
    <n v="6"/>
    <n v="4.2"/>
    <n v="16.7"/>
    <s v="Yes"/>
    <s v="Poor"/>
    <s v="Yes"/>
    <s v="Finance"/>
    <s v="Wednesday"/>
    <s v="Afternoon"/>
  </r>
  <r>
    <x v="13"/>
    <s v="2024-09-03 14:59:05"/>
    <x v="9"/>
    <s v="2024-09-11 19:53:05"/>
    <x v="13"/>
    <n v="8.1999999999999993"/>
    <x v="1"/>
    <s v="Desktop"/>
    <s v="Medium"/>
    <n v="240"/>
    <x v="1"/>
    <s v="Chat"/>
    <s v="Tier 2"/>
    <x v="11"/>
    <x v="0"/>
    <s v="No"/>
    <s v="Yes"/>
    <n v="2"/>
    <s v="Yes"/>
    <n v="6"/>
    <n v="2.5"/>
    <n v="28.1"/>
    <s v="No"/>
    <s v="Poor"/>
    <s v="Yes"/>
    <s v="Operations"/>
    <s v="Thursday"/>
    <s v="Evening"/>
  </r>
  <r>
    <x v="14"/>
    <s v="2024-05-11 23:55:29"/>
    <x v="8"/>
    <s v="2024-05-16 05:13:29"/>
    <x v="14"/>
    <n v="4.2"/>
    <x v="1"/>
    <s v="Printer"/>
    <s v="High"/>
    <n v="120"/>
    <x v="1"/>
    <s v="Phone"/>
    <s v="Tier 1"/>
    <x v="12"/>
    <x v="2"/>
    <s v="No"/>
    <s v="No"/>
    <n v="1"/>
    <s v="No"/>
    <n v="10"/>
    <n v="2.2000000000000002"/>
    <n v="23.8"/>
    <s v="No"/>
    <s v="Fair"/>
    <s v="Yes"/>
    <s v="Finance"/>
    <s v="Monday"/>
    <s v="Morning"/>
  </r>
  <r>
    <x v="15"/>
    <s v="2024-03-17 02:13:39"/>
    <x v="5"/>
    <s v="2024-03-30 22:31:39"/>
    <x v="15"/>
    <n v="13.8"/>
    <x v="7"/>
    <s v="Drivers"/>
    <s v="Low"/>
    <n v="360"/>
    <x v="1"/>
    <s v="Phone"/>
    <s v="Tier 2"/>
    <x v="13"/>
    <x v="2"/>
    <s v="No"/>
    <s v="Yes"/>
    <n v="3"/>
    <s v="Yes"/>
    <n v="5"/>
    <n v="1.7"/>
    <n v="17.2"/>
    <s v="Yes"/>
    <s v="Poor"/>
    <s v="No"/>
    <s v="Executive"/>
    <s v="Monday"/>
    <s v="Evening"/>
  </r>
  <r>
    <x v="16"/>
    <s v="2024-01-27 09:58:07"/>
    <x v="3"/>
    <s v="2024-02-18 07:46:07"/>
    <x v="16"/>
    <n v="21.9"/>
    <x v="7"/>
    <s v="Drivers"/>
    <s v="Medium"/>
    <n v="240"/>
    <x v="0"/>
    <s v="Email"/>
    <s v="Tier 2"/>
    <x v="2"/>
    <x v="0"/>
    <s v="No"/>
    <s v="Yes"/>
    <n v="2"/>
    <s v="No"/>
    <n v="6"/>
    <n v="2.5"/>
    <n v="27.7"/>
    <s v="No"/>
    <s v="Fair"/>
    <s v="No"/>
    <s v="Sales"/>
    <s v="Thursday"/>
    <s v="Morning"/>
  </r>
  <r>
    <x v="17"/>
    <s v="2024-06-02 15:50:14"/>
    <x v="10"/>
    <s v="2024-06-04 09:44:14"/>
    <x v="17"/>
    <n v="1.7"/>
    <x v="4"/>
    <s v="Crash"/>
    <s v="Critical"/>
    <n v="48"/>
    <x v="1"/>
    <s v="Phone"/>
    <s v="Tier 1"/>
    <x v="10"/>
    <x v="0"/>
    <s v="Yes"/>
    <s v="No"/>
    <n v="0"/>
    <s v="No"/>
    <n v="10"/>
    <n v="3.3"/>
    <n v="40.1"/>
    <s v="Yes"/>
    <s v="Good"/>
    <s v="Yes"/>
    <s v="Sales"/>
    <s v="Tuesday"/>
    <s v="Morning"/>
  </r>
  <r>
    <x v="18"/>
    <s v="2024-06-25 23:30:11"/>
    <x v="10"/>
    <s v="2024-07-01 22:42:11"/>
    <x v="18"/>
    <n v="6"/>
    <x v="4"/>
    <s v="Crash"/>
    <s v="High"/>
    <n v="120"/>
    <x v="0"/>
    <s v="Phone"/>
    <s v="Tier 2"/>
    <x v="14"/>
    <x v="2"/>
    <s v="No"/>
    <s v="Yes"/>
    <n v="4"/>
    <s v="No"/>
    <n v="10"/>
    <n v="3"/>
    <n v="8.8000000000000007"/>
    <s v="No"/>
    <s v="Good"/>
    <s v="No"/>
    <s v="Operations"/>
    <s v="Monday"/>
    <s v="Morning"/>
  </r>
  <r>
    <x v="19"/>
    <s v="2024-12-26 19:28:37"/>
    <x v="0"/>
    <s v="2025-01-22 05:16:37"/>
    <x v="19"/>
    <n v="26.4"/>
    <x v="0"/>
    <s v="Application Access"/>
    <s v="Medium"/>
    <n v="240"/>
    <x v="0"/>
    <s v="Phone"/>
    <s v="Tier 1"/>
    <x v="11"/>
    <x v="1"/>
    <s v="No"/>
    <s v="No"/>
    <n v="1"/>
    <s v="No"/>
    <n v="1"/>
    <n v="0.1"/>
    <n v="17.399999999999999"/>
    <s v="No"/>
    <s v="Good"/>
    <s v="No"/>
    <s v="Operations"/>
    <s v="Monday"/>
    <s v="Afternoon"/>
  </r>
  <r>
    <x v="20"/>
    <s v="2024-07-25 04:37:39"/>
    <x v="4"/>
    <s v="2024-08-05 02:37:39"/>
    <x v="20"/>
    <n v="11.9"/>
    <x v="5"/>
    <s v="Training Request"/>
    <s v="Medium"/>
    <n v="240"/>
    <x v="0"/>
    <s v="Chat"/>
    <s v="Tier 1"/>
    <x v="15"/>
    <x v="2"/>
    <s v="Yes"/>
    <s v="No"/>
    <n v="0"/>
    <s v="No"/>
    <n v="7"/>
    <n v="0.1"/>
    <n v="6.1"/>
    <s v="Yes"/>
    <s v="Poor"/>
    <s v="Yes"/>
    <s v="Operations"/>
    <s v="Monday"/>
    <s v="Afternoon"/>
  </r>
  <r>
    <x v="21"/>
    <s v="2024-11-02 04:43:16"/>
    <x v="7"/>
    <s v="2024-11-10 20:37:16"/>
    <x v="21"/>
    <n v="8.6999999999999993"/>
    <x v="0"/>
    <s v="Admin Rights"/>
    <s v="Medium"/>
    <n v="240"/>
    <x v="1"/>
    <s v="Portal"/>
    <s v="Tier 1"/>
    <x v="16"/>
    <x v="1"/>
    <s v="Yes"/>
    <s v="No"/>
    <n v="0"/>
    <s v="No"/>
    <n v="10"/>
    <n v="2.5"/>
    <n v="12.5"/>
    <s v="No"/>
    <s v="Fair"/>
    <s v="Yes"/>
    <s v="Marketing"/>
    <s v="Wednesday"/>
    <s v="Evening"/>
  </r>
  <r>
    <x v="22"/>
    <s v="2024-06-16 22:38:10"/>
    <x v="10"/>
    <s v="2024-06-22 22:50:10"/>
    <x v="22"/>
    <n v="6"/>
    <x v="0"/>
    <s v="File Share"/>
    <s v="Medium"/>
    <n v="240"/>
    <x v="1"/>
    <s v="Email"/>
    <s v="Tier 1"/>
    <x v="14"/>
    <x v="2"/>
    <s v="No"/>
    <s v="No"/>
    <n v="1"/>
    <s v="No"/>
    <n v="10"/>
    <n v="4.9000000000000004"/>
    <n v="50.8"/>
    <s v="Yes"/>
    <s v="Good"/>
    <s v="No"/>
    <s v="Executive"/>
    <s v="Wednesday"/>
    <s v="Afternoon"/>
  </r>
  <r>
    <x v="23"/>
    <s v="2024-12-21 18:11:55"/>
    <x v="0"/>
    <s v="2024-12-31 18:17:55"/>
    <x v="23"/>
    <n v="10"/>
    <x v="3"/>
    <s v="Windows Password"/>
    <s v="Low"/>
    <n v="360"/>
    <x v="1"/>
    <s v="Portal"/>
    <s v="Tier 1"/>
    <x v="1"/>
    <x v="2"/>
    <s v="Yes"/>
    <s v="No"/>
    <n v="0"/>
    <s v="No"/>
    <n v="9"/>
    <n v="3.3"/>
    <n v="0"/>
    <s v="Yes"/>
    <s v="Fair"/>
    <s v="No"/>
    <s v="Marketing"/>
    <s v="Friday"/>
    <s v="Morning"/>
  </r>
  <r>
    <x v="24"/>
    <s v="2024-01-10 00:57:53"/>
    <x v="3"/>
    <s v="2024-01-14 01:33:53"/>
    <x v="24"/>
    <n v="4"/>
    <x v="4"/>
    <s v="Crash"/>
    <s v="High"/>
    <n v="120"/>
    <x v="1"/>
    <s v="Email"/>
    <s v="Tier 2"/>
    <x v="12"/>
    <x v="1"/>
    <s v="No"/>
    <s v="Yes"/>
    <n v="2"/>
    <s v="No"/>
    <n v="9"/>
    <n v="0.5"/>
    <n v="32.200000000000003"/>
    <s v="No"/>
    <s v="Poor"/>
    <s v="Yes"/>
    <s v="HR"/>
    <s v="Friday"/>
    <s v="Morning"/>
  </r>
  <r>
    <x v="25"/>
    <s v="2024-04-09 10:32:40"/>
    <x v="11"/>
    <s v="2024-04-18 20:14:40"/>
    <x v="25"/>
    <n v="9.4"/>
    <x v="4"/>
    <s v="Performance"/>
    <s v="High"/>
    <n v="120"/>
    <x v="0"/>
    <s v="Email"/>
    <s v="Tier 2"/>
    <x v="15"/>
    <x v="1"/>
    <s v="No"/>
    <s v="Yes"/>
    <n v="2"/>
    <s v="No"/>
    <n v="5"/>
    <n v="3.3"/>
    <n v="0"/>
    <s v="Yes"/>
    <s v="Excellent"/>
    <s v="No"/>
    <s v="Sales"/>
    <s v="Monday"/>
    <s v="Morning"/>
  </r>
  <r>
    <x v="26"/>
    <s v="2024-08-12 09:01:04"/>
    <x v="1"/>
    <s v="2024-08-29 23:19:04"/>
    <x v="26"/>
    <n v="17.600000000000001"/>
    <x v="3"/>
    <s v="Account Unlock"/>
    <s v="Low"/>
    <n v="360"/>
    <x v="0"/>
    <s v="Phone"/>
    <s v="Tier 1"/>
    <x v="17"/>
    <x v="2"/>
    <s v="Yes"/>
    <s v="No"/>
    <n v="0"/>
    <s v="No"/>
    <n v="9"/>
    <n v="3.1"/>
    <n v="33.700000000000003"/>
    <s v="No"/>
    <s v="Excellent"/>
    <s v="Yes"/>
    <s v="Legal"/>
    <s v="Wednesday"/>
    <s v="Morning"/>
  </r>
  <r>
    <x v="27"/>
    <s v="2024-01-09 15:29:25"/>
    <x v="3"/>
    <s v="2024-01-12 15:41:25"/>
    <x v="27"/>
    <n v="3"/>
    <x v="4"/>
    <s v="Crash"/>
    <s v="High"/>
    <n v="120"/>
    <x v="1"/>
    <s v="Walk-in"/>
    <s v="Tier 1"/>
    <x v="18"/>
    <x v="2"/>
    <s v="Yes"/>
    <s v="No"/>
    <n v="0"/>
    <s v="No"/>
    <n v="10"/>
    <n v="2.6"/>
    <n v="32.4"/>
    <s v="Yes"/>
    <s v="Fair"/>
    <s v="Yes"/>
    <s v="Finance"/>
    <s v="Thursday"/>
    <s v="Morning"/>
  </r>
  <r>
    <x v="28"/>
    <s v="2024-05-09 10:18:04"/>
    <x v="8"/>
    <s v="2024-05-16 18:54:04"/>
    <x v="28"/>
    <n v="7.4"/>
    <x v="0"/>
    <s v="Application Access"/>
    <s v="Medium"/>
    <n v="240"/>
    <x v="1"/>
    <s v="Phone"/>
    <s v="Tier 1"/>
    <x v="13"/>
    <x v="2"/>
    <s v="No"/>
    <s v="No"/>
    <n v="1"/>
    <s v="No"/>
    <n v="6"/>
    <n v="2.2999999999999998"/>
    <n v="11.9"/>
    <s v="Yes"/>
    <s v="Fair"/>
    <s v="No"/>
    <s v="Executive"/>
    <s v="Monday"/>
    <s v="Afternoon"/>
  </r>
  <r>
    <x v="29"/>
    <s v="2024-03-10 15:30:08"/>
    <x v="5"/>
    <s v="2024-03-17 08:42:08"/>
    <x v="29"/>
    <n v="6.7"/>
    <x v="6"/>
    <s v="Distribution List"/>
    <s v="Medium"/>
    <n v="240"/>
    <x v="1"/>
    <s v="Phone"/>
    <s v="Tier 1"/>
    <x v="13"/>
    <x v="1"/>
    <s v="No"/>
    <s v="No"/>
    <n v="1"/>
    <s v="No"/>
    <n v="10"/>
    <n v="1"/>
    <n v="38.299999999999997"/>
    <s v="Yes"/>
    <s v="Poor"/>
    <s v="No"/>
    <s v="HR"/>
    <s v="Thursday"/>
    <s v="Afternoon"/>
  </r>
  <r>
    <x v="30"/>
    <s v="2024-04-16 16:26:23"/>
    <x v="11"/>
    <s v="2024-05-03 18:14:23"/>
    <x v="30"/>
    <n v="17.100000000000001"/>
    <x v="5"/>
    <s v="Documentation"/>
    <s v="Low"/>
    <n v="360"/>
    <x v="0"/>
    <s v="Email"/>
    <s v="Tier 1"/>
    <x v="19"/>
    <x v="1"/>
    <s v="No"/>
    <s v="No"/>
    <n v="1"/>
    <s v="No"/>
    <n v="5"/>
    <n v="0.9"/>
    <n v="25.8"/>
    <s v="No"/>
    <s v="Poor"/>
    <s v="No"/>
    <s v="IT"/>
    <s v="Wednesday"/>
    <s v="Afternoon"/>
  </r>
  <r>
    <x v="31"/>
    <s v="2024-09-11 16:03:07"/>
    <x v="9"/>
    <s v="2024-10-03 17:15:07"/>
    <x v="31"/>
    <n v="22.1"/>
    <x v="3"/>
    <s v="Account Unlock"/>
    <s v="Low"/>
    <n v="360"/>
    <x v="0"/>
    <s v="Phone"/>
    <s v="Tier 1"/>
    <x v="4"/>
    <x v="0"/>
    <s v="No"/>
    <s v="No"/>
    <n v="1"/>
    <s v="No"/>
    <n v="6"/>
    <n v="2.2999999999999998"/>
    <n v="30.3"/>
    <s v="Yes"/>
    <s v="Poor"/>
    <s v="Yes"/>
    <s v="Executive"/>
    <s v="Friday"/>
    <s v="Afternoon"/>
  </r>
  <r>
    <x v="32"/>
    <s v="2024-01-03 13:26:14"/>
    <x v="3"/>
    <s v="2024-01-06 16:26:14"/>
    <x v="32"/>
    <n v="3.1"/>
    <x v="2"/>
    <s v="VPN Connection"/>
    <s v="High"/>
    <n v="120"/>
    <x v="1"/>
    <s v="Portal"/>
    <s v="Tier 1"/>
    <x v="1"/>
    <x v="1"/>
    <s v="No"/>
    <s v="No"/>
    <n v="1"/>
    <s v="No"/>
    <n v="10"/>
    <n v="4.7"/>
    <n v="11.4"/>
    <s v="Yes"/>
    <s v="Fair"/>
    <s v="No"/>
    <s v="Executive"/>
    <s v="Wednesday"/>
    <s v="Morning"/>
  </r>
  <r>
    <x v="33"/>
    <s v="2024-08-03 16:10:41"/>
    <x v="1"/>
    <s v="2024-08-16 09:40:41"/>
    <x v="33"/>
    <n v="12.7"/>
    <x v="2"/>
    <s v="WiFi Issues"/>
    <s v="Low"/>
    <n v="360"/>
    <x v="1"/>
    <s v="Phone"/>
    <s v="Tier 2"/>
    <x v="12"/>
    <x v="1"/>
    <s v="No"/>
    <s v="Yes"/>
    <n v="1"/>
    <s v="No"/>
    <n v="9"/>
    <n v="0.3"/>
    <n v="34.5"/>
    <s v="Yes"/>
    <s v="Fair"/>
    <s v="No"/>
    <s v="Legal"/>
    <s v="Friday"/>
    <s v="Morning"/>
  </r>
  <r>
    <x v="34"/>
    <s v="2024-05-29 02:24:59"/>
    <x v="8"/>
    <s v="2024-06-06 23:54:59"/>
    <x v="34"/>
    <n v="7.9"/>
    <x v="0"/>
    <s v="VPN Access"/>
    <s v="Medium"/>
    <n v="240"/>
    <x v="1"/>
    <s v="Portal"/>
    <s v="Tier 1"/>
    <x v="15"/>
    <x v="2"/>
    <s v="No"/>
    <s v="No"/>
    <n v="1"/>
    <s v="No"/>
    <n v="10"/>
    <n v="2.2000000000000002"/>
    <n v="52.4"/>
    <s v="No"/>
    <s v="Good"/>
    <s v="No"/>
    <s v="Operations"/>
    <s v="Monday"/>
    <s v="Morning"/>
  </r>
  <r>
    <x v="35"/>
    <s v="2024-03-26 15:00:04"/>
    <x v="5"/>
    <s v="2024-03-29 21:06:04"/>
    <x v="35"/>
    <n v="3.3"/>
    <x v="2"/>
    <s v="Slow Network"/>
    <s v="High"/>
    <n v="120"/>
    <x v="1"/>
    <s v="Portal"/>
    <s v="Tier 1"/>
    <x v="20"/>
    <x v="2"/>
    <s v="Yes"/>
    <s v="No"/>
    <n v="0"/>
    <s v="No"/>
    <n v="10"/>
    <n v="5.3"/>
    <n v="0"/>
    <s v="Yes"/>
    <s v="Good"/>
    <s v="Yes"/>
    <s v="Finance"/>
    <s v="Monday"/>
    <s v="Afternoon"/>
  </r>
  <r>
    <x v="36"/>
    <s v="2024-08-28 11:19:10"/>
    <x v="1"/>
    <s v="2024-10-06 07:43:10"/>
    <x v="36"/>
    <n v="38.9"/>
    <x v="0"/>
    <s v="Admin Rights"/>
    <s v="Low"/>
    <n v="360"/>
    <x v="0"/>
    <s v="Email"/>
    <s v="Tier 1"/>
    <x v="19"/>
    <x v="1"/>
    <s v="Yes"/>
    <s v="No"/>
    <n v="0"/>
    <s v="Yes"/>
    <n v="10"/>
    <n v="2"/>
    <n v="39.299999999999997"/>
    <s v="Yes"/>
    <s v="Fair"/>
    <s v="Yes"/>
    <s v="Finance"/>
    <s v="Monday"/>
    <s v="Morning"/>
  </r>
  <r>
    <x v="37"/>
    <s v="2024-11-25 22:50:16"/>
    <x v="7"/>
    <s v="2024-11-28 20:08:16"/>
    <x v="37"/>
    <n v="2.9"/>
    <x v="1"/>
    <s v="Docking Station"/>
    <s v="Critical"/>
    <n v="48"/>
    <x v="0"/>
    <s v="Phone"/>
    <s v="Tier 2"/>
    <x v="0"/>
    <x v="0"/>
    <s v="No"/>
    <s v="Yes"/>
    <n v="4"/>
    <s v="No"/>
    <n v="3"/>
    <n v="2.6"/>
    <n v="34.200000000000003"/>
    <s v="No"/>
    <s v="Fair"/>
    <s v="No"/>
    <s v="Marketing"/>
    <s v="Monday"/>
    <s v="Morning"/>
  </r>
  <r>
    <x v="38"/>
    <s v="2024-05-24 01:20:00"/>
    <x v="8"/>
    <s v="2024-05-31 21:20:00"/>
    <x v="38"/>
    <n v="6.8"/>
    <x v="0"/>
    <s v="Admin Rights"/>
    <s v="Medium"/>
    <n v="240"/>
    <x v="1"/>
    <s v="Email"/>
    <s v="Tier 1"/>
    <x v="4"/>
    <x v="0"/>
    <s v="No"/>
    <s v="No"/>
    <n v="1"/>
    <s v="No"/>
    <n v="10"/>
    <n v="2.1"/>
    <n v="38.6"/>
    <s v="Yes"/>
    <s v="Fair"/>
    <s v="Yes"/>
    <s v="Sales"/>
    <s v="Wednesday"/>
    <s v="Evening"/>
  </r>
  <r>
    <x v="39"/>
    <s v="2024-12-26 10:28:38"/>
    <x v="0"/>
    <s v="2025-01-08 15:34:38"/>
    <x v="39"/>
    <n v="13.2"/>
    <x v="0"/>
    <s v="Admin Rights"/>
    <s v="Medium"/>
    <n v="240"/>
    <x v="0"/>
    <s v="Portal"/>
    <s v="Tier 1"/>
    <x v="11"/>
    <x v="2"/>
    <s v="No"/>
    <s v="No"/>
    <n v="1"/>
    <s v="No"/>
    <n v="4"/>
    <n v="1.7"/>
    <n v="16.899999999999999"/>
    <s v="Yes"/>
    <s v="Fair"/>
    <s v="Yes"/>
    <s v="HR"/>
    <s v="Friday"/>
    <s v="Morning"/>
  </r>
  <r>
    <x v="40"/>
    <s v="2024-07-15 13:56:48"/>
    <x v="4"/>
    <s v="2024-08-02 20:14:48"/>
    <x v="40"/>
    <n v="18.3"/>
    <x v="2"/>
    <s v="VPN Connection"/>
    <s v="Low"/>
    <n v="360"/>
    <x v="0"/>
    <s v="Phone"/>
    <s v="Tier 1"/>
    <x v="14"/>
    <x v="1"/>
    <s v="No"/>
    <s v="No"/>
    <n v="1"/>
    <s v="No"/>
    <n v="7"/>
    <n v="0.2"/>
    <n v="28"/>
    <s v="Yes"/>
    <s v="Fair"/>
    <s v="Yes"/>
    <s v="Sales"/>
    <s v="Tuesday"/>
    <s v="Morning"/>
  </r>
  <r>
    <x v="41"/>
    <s v="2024-04-11 06:22:24"/>
    <x v="11"/>
    <s v="2024-04-22 10:28:24"/>
    <x v="41"/>
    <n v="11.2"/>
    <x v="7"/>
    <s v="VPN Client"/>
    <s v="Medium"/>
    <n v="240"/>
    <x v="0"/>
    <s v="Portal"/>
    <s v="Tier 2"/>
    <x v="20"/>
    <x v="2"/>
    <s v="No"/>
    <s v="Yes"/>
    <n v="2"/>
    <s v="No"/>
    <n v="5"/>
    <n v="0.9"/>
    <n v="17.100000000000001"/>
    <s v="Yes"/>
    <s v="Excellent"/>
    <s v="Yes"/>
    <s v="Finance"/>
    <s v="Thursday"/>
    <s v="Afternoon"/>
  </r>
  <r>
    <x v="42"/>
    <s v="2024-10-13 17:11:30"/>
    <x v="2"/>
    <s v="2024-10-27 10:23:30"/>
    <x v="42"/>
    <n v="13.8"/>
    <x v="3"/>
    <s v="Application Password"/>
    <s v="Low"/>
    <n v="360"/>
    <x v="1"/>
    <s v="Phone"/>
    <s v="Tier 1"/>
    <x v="13"/>
    <x v="1"/>
    <s v="Yes"/>
    <s v="No"/>
    <n v="0"/>
    <s v="No"/>
    <n v="9"/>
    <n v="0.1"/>
    <n v="23"/>
    <s v="Yes"/>
    <s v="Fair"/>
    <s v="No"/>
    <s v="Executive"/>
    <s v="Tuesday"/>
    <s v="Evening"/>
  </r>
  <r>
    <x v="43"/>
    <s v="2024-12-03 17:52:58"/>
    <x v="0"/>
    <s v="2024-12-15 22:28:58"/>
    <x v="43"/>
    <n v="12.2"/>
    <x v="3"/>
    <s v="Windows Password"/>
    <s v="Low"/>
    <n v="360"/>
    <x v="1"/>
    <s v="Email"/>
    <s v="Tier 1"/>
    <x v="11"/>
    <x v="2"/>
    <s v="Yes"/>
    <s v="No"/>
    <n v="0"/>
    <s v="No"/>
    <n v="9"/>
    <n v="0.1"/>
    <n v="37"/>
    <s v="Yes"/>
    <s v="Poor"/>
    <s v="Yes"/>
    <s v="Marketing"/>
    <s v="Friday"/>
    <s v="Evening"/>
  </r>
  <r>
    <x v="44"/>
    <s v="2024-04-01 04:21:04"/>
    <x v="11"/>
    <s v="2024-04-04 19:09:04"/>
    <x v="44"/>
    <n v="3.6"/>
    <x v="6"/>
    <s v="Distribution List"/>
    <s v="High"/>
    <n v="120"/>
    <x v="1"/>
    <s v="Walk-in"/>
    <s v="Tier 1"/>
    <x v="10"/>
    <x v="0"/>
    <s v="No"/>
    <s v="No"/>
    <n v="1"/>
    <s v="No"/>
    <n v="10"/>
    <n v="3"/>
    <n v="10.4"/>
    <s v="No"/>
    <s v="Good"/>
    <s v="No"/>
    <s v="Executive"/>
    <s v="Tuesday"/>
    <s v="Morning"/>
  </r>
  <r>
    <x v="45"/>
    <s v="2024-11-20 14:38:12"/>
    <x v="7"/>
    <s v="2024-11-27 18:38:12"/>
    <x v="45"/>
    <n v="7.2"/>
    <x v="1"/>
    <s v="Desktop"/>
    <s v="Medium"/>
    <n v="240"/>
    <x v="1"/>
    <s v="Phone"/>
    <s v="Tier 1"/>
    <x v="19"/>
    <x v="1"/>
    <s v="No"/>
    <s v="No"/>
    <n v="1"/>
    <s v="No"/>
    <n v="8"/>
    <n v="0.4"/>
    <n v="21.8"/>
    <s v="No"/>
    <s v="Excellent"/>
    <s v="No"/>
    <s v="HR"/>
    <s v="Tuesday"/>
    <s v="Morning"/>
  </r>
  <r>
    <x v="46"/>
    <s v="2024-10-13 13:23:24"/>
    <x v="2"/>
    <s v="2024-11-09 20:05:24"/>
    <x v="46"/>
    <n v="27.3"/>
    <x v="3"/>
    <s v="Windows Password"/>
    <s v="Low"/>
    <n v="360"/>
    <x v="0"/>
    <s v="Phone"/>
    <s v="Tier 1"/>
    <x v="19"/>
    <x v="0"/>
    <s v="Yes"/>
    <s v="No"/>
    <n v="0"/>
    <s v="No"/>
    <n v="7"/>
    <n v="0.8"/>
    <n v="2.6"/>
    <s v="No"/>
    <s v="Fair"/>
    <s v="No"/>
    <s v="Sales"/>
    <s v="Friday"/>
    <s v="Afternoon"/>
  </r>
  <r>
    <x v="47"/>
    <s v="2024-09-20 17:12:02"/>
    <x v="9"/>
    <s v="2024-09-27 18:30:02"/>
    <x v="47"/>
    <n v="7.1"/>
    <x v="7"/>
    <s v="MS Office"/>
    <s v="Medium"/>
    <n v="240"/>
    <x v="1"/>
    <s v="Email"/>
    <s v="Tier 1"/>
    <x v="6"/>
    <x v="2"/>
    <s v="Yes"/>
    <s v="No"/>
    <n v="0"/>
    <s v="No"/>
    <n v="10"/>
    <n v="2.2999999999999998"/>
    <n v="6.9"/>
    <s v="Yes"/>
    <s v="Fair"/>
    <s v="No"/>
    <s v="Marketing"/>
    <s v="Wednesday"/>
    <s v="Evening"/>
  </r>
  <r>
    <x v="48"/>
    <s v="2024-03-27 17:54:22"/>
    <x v="5"/>
    <s v="2024-04-06 12:06:22"/>
    <x v="48"/>
    <n v="9.6999999999999993"/>
    <x v="3"/>
    <s v="Application Password"/>
    <s v="Low"/>
    <n v="360"/>
    <x v="1"/>
    <s v="Portal"/>
    <s v="Tier 1"/>
    <x v="4"/>
    <x v="2"/>
    <s v="Yes"/>
    <s v="No"/>
    <n v="0"/>
    <s v="No"/>
    <n v="10"/>
    <n v="0.1"/>
    <n v="12.9"/>
    <s v="Yes"/>
    <s v="Excellent"/>
    <s v="Yes"/>
    <s v="HR"/>
    <s v="Monday"/>
    <s v="Morning"/>
  </r>
  <r>
    <x v="49"/>
    <s v="2024-07-23 23:58:19"/>
    <x v="4"/>
    <s v="2024-08-05 05:34:19"/>
    <x v="49"/>
    <n v="12.2"/>
    <x v="3"/>
    <s v="Email Password"/>
    <s v="Low"/>
    <n v="360"/>
    <x v="1"/>
    <s v="Walk-in"/>
    <s v="Tier 1"/>
    <x v="15"/>
    <x v="1"/>
    <s v="Yes"/>
    <s v="No"/>
    <n v="0"/>
    <s v="No"/>
    <n v="10"/>
    <n v="0.8"/>
    <n v="30.7"/>
    <s v="No"/>
    <s v="Good"/>
    <s v="No"/>
    <s v="Sales"/>
    <s v="Monday"/>
    <s v="Afternoon"/>
  </r>
  <r>
    <x v="50"/>
    <s v="2024-10-13 11:19:25"/>
    <x v="2"/>
    <s v="2024-10-17 16:19:25"/>
    <x v="50"/>
    <n v="4.2"/>
    <x v="2"/>
    <s v="VPN Connection"/>
    <s v="High"/>
    <n v="120"/>
    <x v="1"/>
    <s v="Email"/>
    <s v="Tier 2"/>
    <x v="8"/>
    <x v="1"/>
    <s v="No"/>
    <s v="Yes"/>
    <n v="4"/>
    <s v="No"/>
    <n v="4"/>
    <n v="1.5"/>
    <n v="13.4"/>
    <s v="Yes"/>
    <s v="Excellent"/>
    <s v="Yes"/>
    <s v="Executive"/>
    <s v="Friday"/>
    <s v="Morning"/>
  </r>
  <r>
    <x v="51"/>
    <s v="2024-04-13 01:15:49"/>
    <x v="11"/>
    <s v="2024-04-18 16:33:49"/>
    <x v="51"/>
    <n v="4.5999999999999996"/>
    <x v="1"/>
    <s v="Printer"/>
    <s v="High"/>
    <n v="120"/>
    <x v="1"/>
    <s v="Email"/>
    <s v="Tier 2"/>
    <x v="16"/>
    <x v="2"/>
    <s v="No"/>
    <s v="Yes"/>
    <n v="2"/>
    <s v="No"/>
    <n v="8"/>
    <n v="1"/>
    <n v="7.4"/>
    <s v="Yes"/>
    <s v="Fair"/>
    <s v="Yes"/>
    <s v="HR"/>
    <s v="Wednesday"/>
    <s v="Afternoon"/>
  </r>
  <r>
    <x v="52"/>
    <s v="2024-06-20 05:30:34"/>
    <x v="10"/>
    <s v="2024-07-05 06:00:34"/>
    <x v="52"/>
    <n v="15"/>
    <x v="3"/>
    <s v="Application Password"/>
    <s v="Low"/>
    <n v="360"/>
    <x v="0"/>
    <s v="Portal"/>
    <s v="Tier 1"/>
    <x v="21"/>
    <x v="1"/>
    <s v="No"/>
    <s v="No"/>
    <n v="1"/>
    <s v="No"/>
    <n v="5"/>
    <n v="0.9"/>
    <n v="15.5"/>
    <s v="No"/>
    <s v="Good"/>
    <s v="Yes"/>
    <s v="Sales"/>
    <s v="Tuesday"/>
    <s v="Morning"/>
  </r>
  <r>
    <x v="53"/>
    <s v="2024-06-07 21:56:15"/>
    <x v="10"/>
    <s v="2024-06-16 02:38:15"/>
    <x v="53"/>
    <n v="9.1999999999999993"/>
    <x v="1"/>
    <s v="Laptop"/>
    <s v="Medium"/>
    <n v="240"/>
    <x v="1"/>
    <s v="Chat"/>
    <s v="Tier 2"/>
    <x v="0"/>
    <x v="2"/>
    <s v="No"/>
    <s v="Yes"/>
    <n v="2"/>
    <s v="No"/>
    <n v="6"/>
    <n v="2.7"/>
    <n v="17.399999999999999"/>
    <s v="No"/>
    <s v="Fair"/>
    <s v="Yes"/>
    <s v="Legal"/>
    <s v="Thursday"/>
    <s v="Afternoon"/>
  </r>
  <r>
    <x v="54"/>
    <s v="2024-11-11 06:42:28"/>
    <x v="7"/>
    <s v="2024-11-17 14:48:28"/>
    <x v="54"/>
    <n v="6.3"/>
    <x v="0"/>
    <s v="Application Access"/>
    <s v="High"/>
    <n v="120"/>
    <x v="0"/>
    <s v="Email"/>
    <s v="Tier 1"/>
    <x v="21"/>
    <x v="2"/>
    <s v="Yes"/>
    <s v="No"/>
    <n v="0"/>
    <s v="No"/>
    <n v="7"/>
    <n v="1.1000000000000001"/>
    <n v="20.3"/>
    <s v="No"/>
    <s v="Poor"/>
    <s v="No"/>
    <s v="Legal"/>
    <s v="Tuesday"/>
    <s v="Morning"/>
  </r>
  <r>
    <x v="55"/>
    <s v="2024-10-02 19:09:54"/>
    <x v="2"/>
    <s v="2024-10-15 07:15:54"/>
    <x v="55"/>
    <n v="12.5"/>
    <x v="3"/>
    <s v="Account Unlock"/>
    <s v="Low"/>
    <n v="360"/>
    <x v="1"/>
    <s v="Chat"/>
    <s v="Tier 1"/>
    <x v="1"/>
    <x v="1"/>
    <s v="Yes"/>
    <s v="No"/>
    <n v="0"/>
    <s v="No"/>
    <n v="9"/>
    <n v="0.1"/>
    <n v="32.1"/>
    <s v="No"/>
    <s v="Fair"/>
    <s v="No"/>
    <s v="Operations"/>
    <s v="Monday"/>
    <s v="Evening"/>
  </r>
  <r>
    <x v="56"/>
    <s v="2024-03-28 09:51:39"/>
    <x v="5"/>
    <s v="2024-04-04 00:51:39"/>
    <x v="56"/>
    <n v="7.6"/>
    <x v="5"/>
    <s v="General Inquiry"/>
    <s v="Medium"/>
    <n v="240"/>
    <x v="1"/>
    <s v="Walk-in"/>
    <s v="Tier 1"/>
    <x v="4"/>
    <x v="1"/>
    <s v="No"/>
    <s v="No"/>
    <n v="1"/>
    <s v="Yes"/>
    <n v="10"/>
    <n v="2.8"/>
    <n v="16.5"/>
    <s v="Yes"/>
    <s v="Excellent"/>
    <s v="Yes"/>
    <s v="Legal"/>
    <s v="Friday"/>
    <s v="Morning"/>
  </r>
  <r>
    <x v="57"/>
    <s v="2024-11-22 13:31:23"/>
    <x v="7"/>
    <s v="2024-11-26 00:19:23"/>
    <x v="57"/>
    <n v="4.5"/>
    <x v="6"/>
    <s v="Mailbox Full"/>
    <s v="High"/>
    <n v="120"/>
    <x v="1"/>
    <s v="Email"/>
    <s v="Tier 1"/>
    <x v="6"/>
    <x v="1"/>
    <s v="No"/>
    <s v="No"/>
    <n v="1"/>
    <s v="Yes"/>
    <n v="9"/>
    <n v="3.5"/>
    <n v="23.7"/>
    <s v="No"/>
    <s v="Poor"/>
    <s v="Yes"/>
    <s v="Operations"/>
    <s v="Monday"/>
    <s v="Morning"/>
  </r>
  <r>
    <x v="58"/>
    <s v="2024-04-25 06:49:31"/>
    <x v="11"/>
    <s v="2024-05-05 03:07:31"/>
    <x v="58"/>
    <n v="9.8000000000000007"/>
    <x v="2"/>
    <s v="WiFi Issues"/>
    <s v="Low"/>
    <n v="360"/>
    <x v="1"/>
    <s v="Walk-in"/>
    <s v="Tier 1"/>
    <x v="22"/>
    <x v="0"/>
    <s v="No"/>
    <s v="No"/>
    <n v="1"/>
    <s v="No"/>
    <n v="6"/>
    <n v="0.4"/>
    <n v="32.700000000000003"/>
    <s v="Yes"/>
    <s v="Poor"/>
    <s v="Yes"/>
    <s v="Legal"/>
    <s v="Wednesday"/>
    <s v="Afternoon"/>
  </r>
  <r>
    <x v="59"/>
    <s v="2024-11-29 06:39:47"/>
    <x v="7"/>
    <s v="2024-12-18 08:03:47"/>
    <x v="59"/>
    <n v="19.100000000000001"/>
    <x v="3"/>
    <s v="Email Password"/>
    <s v="Low"/>
    <n v="360"/>
    <x v="0"/>
    <s v="Phone"/>
    <s v="Tier 1"/>
    <x v="7"/>
    <x v="0"/>
    <s v="Yes"/>
    <s v="No"/>
    <n v="0"/>
    <s v="No"/>
    <n v="6"/>
    <n v="3.6"/>
    <n v="28"/>
    <s v="Yes"/>
    <s v="Good"/>
    <s v="Yes"/>
    <s v="Legal"/>
    <s v="Thursday"/>
    <s v="Afternoon"/>
  </r>
  <r>
    <x v="60"/>
    <s v="2024-05-28 10:45:46"/>
    <x v="8"/>
    <s v="2024-06-06 14:57:46"/>
    <x v="60"/>
    <n v="9.1999999999999993"/>
    <x v="6"/>
    <s v="Mailbox Full"/>
    <s v="Low"/>
    <n v="360"/>
    <x v="1"/>
    <s v="Email"/>
    <s v="Tier 1"/>
    <x v="5"/>
    <x v="2"/>
    <s v="No"/>
    <s v="No"/>
    <n v="1"/>
    <s v="No"/>
    <n v="9"/>
    <n v="2.5"/>
    <n v="0"/>
    <s v="Yes"/>
    <s v="Good"/>
    <s v="No"/>
    <s v="IT"/>
    <s v="Friday"/>
    <s v="Afternoon"/>
  </r>
  <r>
    <x v="61"/>
    <s v="2024-10-23 13:08:51"/>
    <x v="2"/>
    <s v="2024-10-29 15:08:51"/>
    <x v="61"/>
    <n v="6.1"/>
    <x v="4"/>
    <s v="Features Not Working"/>
    <s v="Medium"/>
    <n v="240"/>
    <x v="1"/>
    <s v="Phone"/>
    <s v="Tier 1"/>
    <x v="11"/>
    <x v="2"/>
    <s v="No"/>
    <s v="No"/>
    <n v="1"/>
    <s v="No"/>
    <n v="6"/>
    <n v="2.9"/>
    <n v="31.8"/>
    <s v="Yes"/>
    <s v="Good"/>
    <s v="No"/>
    <s v="Sales"/>
    <s v="Tuesday"/>
    <s v="Morning"/>
  </r>
  <r>
    <x v="62"/>
    <s v="2024-02-04 04:55:15"/>
    <x v="6"/>
    <s v="2024-02-09 08:43:15"/>
    <x v="62"/>
    <n v="5.2"/>
    <x v="1"/>
    <s v="Monitor"/>
    <s v="High"/>
    <n v="120"/>
    <x v="0"/>
    <s v="Walk-in"/>
    <s v="Tier 1"/>
    <x v="18"/>
    <x v="1"/>
    <s v="No"/>
    <s v="No"/>
    <n v="1"/>
    <s v="No"/>
    <n v="5"/>
    <n v="3"/>
    <n v="11.4"/>
    <s v="Yes"/>
    <s v="Good"/>
    <s v="No"/>
    <s v="Operations"/>
    <s v="Tuesday"/>
    <s v="Morning"/>
  </r>
  <r>
    <x v="63"/>
    <s v="2024-10-17 18:30:50"/>
    <x v="2"/>
    <s v="2024-10-24 15:30:50"/>
    <x v="63"/>
    <n v="6.9"/>
    <x v="5"/>
    <s v="General Inquiry"/>
    <s v="Medium"/>
    <n v="240"/>
    <x v="1"/>
    <s v="Phone"/>
    <s v="Tier 1"/>
    <x v="16"/>
    <x v="2"/>
    <s v="No"/>
    <s v="No"/>
    <n v="1"/>
    <s v="No"/>
    <n v="7"/>
    <n v="0.1"/>
    <n v="13.1"/>
    <s v="Yes"/>
    <s v="Poor"/>
    <s v="No"/>
    <s v="Sales"/>
    <s v="Friday"/>
    <s v="Afternoon"/>
  </r>
  <r>
    <x v="64"/>
    <s v="2024-03-03 02:50:32"/>
    <x v="5"/>
    <s v="2024-03-10 15:14:32"/>
    <x v="64"/>
    <n v="7.5"/>
    <x v="7"/>
    <s v="Business Apps"/>
    <s v="Medium"/>
    <n v="240"/>
    <x v="1"/>
    <s v="Portal"/>
    <s v="Tier 1"/>
    <x v="7"/>
    <x v="1"/>
    <s v="Yes"/>
    <s v="No"/>
    <n v="0"/>
    <s v="Yes"/>
    <n v="8"/>
    <n v="1"/>
    <n v="20.7"/>
    <s v="No"/>
    <s v="Fair"/>
    <s v="Yes"/>
    <s v="HR"/>
    <s v="Wednesday"/>
    <s v="Afternoon"/>
  </r>
  <r>
    <x v="65"/>
    <s v="2024-10-06 11:08:34"/>
    <x v="2"/>
    <s v="2024-10-17 23:50:34"/>
    <x v="65"/>
    <n v="11.5"/>
    <x v="1"/>
    <s v="Laptop"/>
    <s v="Low"/>
    <n v="360"/>
    <x v="1"/>
    <s v="Phone"/>
    <s v="Tier 1"/>
    <x v="6"/>
    <x v="0"/>
    <s v="No"/>
    <s v="No"/>
    <n v="1"/>
    <s v="Yes"/>
    <n v="8"/>
    <n v="0.8"/>
    <n v="13.4"/>
    <s v="Yes"/>
    <s v="Good"/>
    <s v="No"/>
    <s v="Legal"/>
    <s v="Tuesday"/>
    <s v="Afternoon"/>
  </r>
  <r>
    <x v="66"/>
    <s v="2024-11-18 16:42:31"/>
    <x v="7"/>
    <s v="2024-12-14 06:24:31"/>
    <x v="66"/>
    <n v="25.6"/>
    <x v="3"/>
    <s v="Email Password"/>
    <s v="Low"/>
    <n v="360"/>
    <x v="0"/>
    <s v="Email"/>
    <s v="Tier 1"/>
    <x v="18"/>
    <x v="0"/>
    <s v="Yes"/>
    <s v="No"/>
    <n v="0"/>
    <s v="No"/>
    <n v="5"/>
    <n v="5.9"/>
    <n v="2.5"/>
    <s v="Yes"/>
    <s v="Good"/>
    <s v="Yes"/>
    <s v="Finance"/>
    <s v="Friday"/>
    <s v="Afternoon"/>
  </r>
  <r>
    <x v="67"/>
    <s v="2024-07-18 13:52:48"/>
    <x v="4"/>
    <s v="2024-07-21 19:16:48"/>
    <x v="67"/>
    <n v="3.2"/>
    <x v="0"/>
    <s v="Admin Rights"/>
    <s v="High"/>
    <n v="120"/>
    <x v="1"/>
    <s v="Portal"/>
    <s v="Tier 1"/>
    <x v="13"/>
    <x v="0"/>
    <s v="Yes"/>
    <s v="No"/>
    <n v="0"/>
    <s v="No"/>
    <n v="10"/>
    <n v="2.4"/>
    <n v="8.9"/>
    <s v="Yes"/>
    <s v="Poor"/>
    <s v="Yes"/>
    <s v="Finance"/>
    <s v="Wednesday"/>
    <s v="Morning"/>
  </r>
  <r>
    <x v="68"/>
    <s v="2024-03-17 04:32:18"/>
    <x v="5"/>
    <s v="2024-03-20 15:38:18"/>
    <x v="68"/>
    <n v="3.5"/>
    <x v="4"/>
    <s v="Performance"/>
    <s v="High"/>
    <n v="120"/>
    <x v="1"/>
    <s v="Phone"/>
    <s v="Tier 1"/>
    <x v="5"/>
    <x v="1"/>
    <s v="Yes"/>
    <s v="No"/>
    <n v="0"/>
    <s v="No"/>
    <n v="9"/>
    <n v="1.8"/>
    <n v="12.1"/>
    <s v="Yes"/>
    <s v="Good"/>
    <s v="Yes"/>
    <s v="Sales"/>
    <s v="Monday"/>
    <s v="Afternoon"/>
  </r>
  <r>
    <x v="69"/>
    <s v="2024-12-27 19:10:42"/>
    <x v="0"/>
    <s v="2025-01-09 03:58:42"/>
    <x v="69"/>
    <n v="12.4"/>
    <x v="3"/>
    <s v="Account Unlock"/>
    <s v="Low"/>
    <n v="360"/>
    <x v="1"/>
    <s v="Portal"/>
    <s v="Tier 1"/>
    <x v="12"/>
    <x v="1"/>
    <s v="Yes"/>
    <s v="No"/>
    <n v="0"/>
    <s v="No"/>
    <n v="7"/>
    <n v="2.6"/>
    <n v="10"/>
    <s v="Yes"/>
    <s v="Excellent"/>
    <s v="Yes"/>
    <s v="Marketing"/>
    <s v="Thursday"/>
    <s v="Morning"/>
  </r>
  <r>
    <x v="70"/>
    <s v="2024-07-27 05:42:58"/>
    <x v="4"/>
    <s v="2024-08-05 11:06:58"/>
    <x v="70"/>
    <n v="9.1999999999999993"/>
    <x v="0"/>
    <s v="VPN Access"/>
    <s v="Medium"/>
    <n v="240"/>
    <x v="1"/>
    <s v="Email"/>
    <s v="Tier 1"/>
    <x v="14"/>
    <x v="1"/>
    <s v="No"/>
    <s v="No"/>
    <n v="1"/>
    <s v="No"/>
    <n v="6"/>
    <n v="1.5"/>
    <n v="8.4"/>
    <s v="Yes"/>
    <s v="Poor"/>
    <s v="No"/>
    <s v="Executive"/>
    <s v="Friday"/>
    <s v="Morning"/>
  </r>
  <r>
    <x v="71"/>
    <s v="2024-01-08 06:45:46"/>
    <x v="3"/>
    <s v="2024-01-24 21:57:46"/>
    <x v="71"/>
    <n v="16.600000000000001"/>
    <x v="3"/>
    <s v="Email Password"/>
    <s v="Low"/>
    <n v="360"/>
    <x v="0"/>
    <s v="Portal"/>
    <s v="Tier 1"/>
    <x v="7"/>
    <x v="0"/>
    <s v="No"/>
    <s v="No"/>
    <n v="1"/>
    <s v="No"/>
    <n v="2"/>
    <n v="2.9"/>
    <n v="4.8"/>
    <s v="No"/>
    <s v="Poor"/>
    <s v="Yes"/>
    <s v="HR"/>
    <s v="Thursday"/>
    <s v="Morning"/>
  </r>
  <r>
    <x v="72"/>
    <s v="2024-02-25 04:03:54"/>
    <x v="6"/>
    <s v="2024-03-16 05:27:54"/>
    <x v="72"/>
    <n v="20.100000000000001"/>
    <x v="2"/>
    <s v="VPN Connection"/>
    <s v="Medium"/>
    <n v="240"/>
    <x v="0"/>
    <s v="Phone"/>
    <s v="Tier 1"/>
    <x v="2"/>
    <x v="1"/>
    <s v="Yes"/>
    <s v="No"/>
    <n v="0"/>
    <s v="Yes"/>
    <n v="7"/>
    <n v="1.5"/>
    <n v="35.1"/>
    <s v="Yes"/>
    <s v="Good"/>
    <s v="Yes"/>
    <s v="Marketing"/>
    <s v="Friday"/>
    <s v="Morning"/>
  </r>
  <r>
    <x v="73"/>
    <s v="2024-12-16 14:38:18"/>
    <x v="0"/>
    <s v="2024-12-22 20:08:18"/>
    <x v="73"/>
    <n v="6.2"/>
    <x v="0"/>
    <s v="Admin Rights"/>
    <s v="Medium"/>
    <n v="240"/>
    <x v="1"/>
    <s v="Walk-in"/>
    <s v="Tier 1"/>
    <x v="8"/>
    <x v="1"/>
    <s v="No"/>
    <s v="No"/>
    <n v="1"/>
    <s v="No"/>
    <n v="7"/>
    <n v="3.3"/>
    <n v="34.1"/>
    <s v="Yes"/>
    <s v="Poor"/>
    <s v="No"/>
    <s v="Marketing"/>
    <s v="Friday"/>
    <s v="Evening"/>
  </r>
  <r>
    <x v="74"/>
    <s v="2024-05-21 07:43:07"/>
    <x v="8"/>
    <s v="2024-05-29 21:37:07"/>
    <x v="74"/>
    <n v="8.6"/>
    <x v="7"/>
    <s v="VPN Client"/>
    <s v="Medium"/>
    <n v="240"/>
    <x v="1"/>
    <s v="Email"/>
    <s v="Tier 1"/>
    <x v="5"/>
    <x v="0"/>
    <s v="Yes"/>
    <s v="No"/>
    <n v="0"/>
    <s v="No"/>
    <n v="10"/>
    <n v="1.5"/>
    <n v="27.9"/>
    <s v="Yes"/>
    <s v="Poor"/>
    <s v="Yes"/>
    <s v="Operations"/>
    <s v="Thursday"/>
    <s v="Evening"/>
  </r>
  <r>
    <x v="75"/>
    <s v="2024-02-16 08:09:50"/>
    <x v="6"/>
    <s v="2024-02-27 00:21:50"/>
    <x v="75"/>
    <n v="11.7"/>
    <x v="3"/>
    <s v="Email Password"/>
    <s v="Low"/>
    <n v="360"/>
    <x v="1"/>
    <s v="Portal"/>
    <s v="Tier 1"/>
    <x v="6"/>
    <x v="0"/>
    <s v="Yes"/>
    <s v="No"/>
    <n v="0"/>
    <s v="No"/>
    <n v="9"/>
    <n v="5.6"/>
    <n v="0"/>
    <s v="No"/>
    <s v="Good"/>
    <s v="No"/>
    <s v="HR"/>
    <s v="Tuesday"/>
    <s v="Afternoon"/>
  </r>
  <r>
    <x v="76"/>
    <s v="2024-02-23 10:48:04"/>
    <x v="6"/>
    <s v="2024-02-27 19:12:04"/>
    <x v="76"/>
    <n v="4.4000000000000004"/>
    <x v="1"/>
    <s v="Docking Station"/>
    <s v="High"/>
    <n v="120"/>
    <x v="1"/>
    <s v="Email"/>
    <s v="Tier 1"/>
    <x v="0"/>
    <x v="0"/>
    <s v="No"/>
    <s v="No"/>
    <n v="1"/>
    <s v="No"/>
    <n v="10"/>
    <n v="3.4"/>
    <n v="17.100000000000001"/>
    <s v="Yes"/>
    <s v="Fair"/>
    <s v="Yes"/>
    <s v="Marketing"/>
    <s v="Thursday"/>
    <s v="Morning"/>
  </r>
  <r>
    <x v="77"/>
    <s v="2024-04-20 01:45:51"/>
    <x v="11"/>
    <s v="2024-04-28 21:27:51"/>
    <x v="77"/>
    <n v="7.8"/>
    <x v="4"/>
    <s v="Features Not Working"/>
    <s v="Medium"/>
    <n v="240"/>
    <x v="1"/>
    <s v="Email"/>
    <s v="Tier 2"/>
    <x v="13"/>
    <x v="2"/>
    <s v="No"/>
    <s v="Yes"/>
    <n v="4"/>
    <s v="No"/>
    <n v="10"/>
    <n v="3.8"/>
    <n v="12.4"/>
    <s v="Yes"/>
    <s v="Good"/>
    <s v="No"/>
    <s v="Executive"/>
    <s v="Friday"/>
    <s v="Afternoon"/>
  </r>
  <r>
    <x v="78"/>
    <s v="2024-04-23 04:11:46"/>
    <x v="11"/>
    <s v="2024-05-09 21:11:46"/>
    <x v="78"/>
    <n v="16.7"/>
    <x v="3"/>
    <s v="Windows Password"/>
    <s v="Low"/>
    <n v="360"/>
    <x v="0"/>
    <s v="Phone"/>
    <s v="Tier 1"/>
    <x v="20"/>
    <x v="0"/>
    <s v="Yes"/>
    <s v="No"/>
    <n v="0"/>
    <s v="Yes"/>
    <n v="8"/>
    <n v="1.7"/>
    <n v="0"/>
    <s v="Yes"/>
    <s v="Fair"/>
    <s v="No"/>
    <s v="Finance"/>
    <s v="Tuesday"/>
    <s v="Morning"/>
  </r>
  <r>
    <x v="79"/>
    <s v="2024-12-23 12:01:16"/>
    <x v="0"/>
    <s v="2024-12-30 20:49:16"/>
    <x v="79"/>
    <n v="7.4"/>
    <x v="3"/>
    <s v="Windows Password"/>
    <s v="Medium"/>
    <n v="240"/>
    <x v="1"/>
    <s v="Chat"/>
    <s v="Tier 1"/>
    <x v="7"/>
    <x v="2"/>
    <s v="Yes"/>
    <s v="No"/>
    <n v="0"/>
    <s v="Yes"/>
    <n v="7"/>
    <n v="3.8"/>
    <n v="29.8"/>
    <s v="Yes"/>
    <s v="Fair"/>
    <s v="No"/>
    <s v="Sales"/>
    <s v="Wednesday"/>
    <s v="Evening"/>
  </r>
  <r>
    <x v="80"/>
    <s v="2024-07-22 14:14:41"/>
    <x v="4"/>
    <s v="2024-08-02 14:08:41"/>
    <x v="80"/>
    <n v="11"/>
    <x v="6"/>
    <s v="Cannot Send/Receive"/>
    <s v="Medium"/>
    <n v="240"/>
    <x v="0"/>
    <s v="Phone"/>
    <s v="Tier 1"/>
    <x v="20"/>
    <x v="2"/>
    <s v="Yes"/>
    <s v="No"/>
    <n v="0"/>
    <s v="Yes"/>
    <n v="8"/>
    <n v="4.5"/>
    <n v="27.1"/>
    <s v="Yes"/>
    <s v="Excellent"/>
    <s v="No"/>
    <s v="Executive"/>
    <s v="Wednesday"/>
    <s v="Evening"/>
  </r>
  <r>
    <x v="81"/>
    <s v="2024-04-03 07:23:51"/>
    <x v="11"/>
    <s v="2024-04-12 06:11:51"/>
    <x v="81"/>
    <n v="9"/>
    <x v="6"/>
    <s v="Cannot Send/Receive"/>
    <s v="Medium"/>
    <n v="240"/>
    <x v="1"/>
    <s v="Email"/>
    <s v="Tier 1"/>
    <x v="17"/>
    <x v="1"/>
    <s v="No"/>
    <s v="No"/>
    <n v="1"/>
    <s v="No"/>
    <n v="7"/>
    <n v="0.7"/>
    <n v="0"/>
    <s v="No"/>
    <s v="Fair"/>
    <s v="Yes"/>
    <s v="Executive"/>
    <s v="Thursday"/>
    <s v="Afternoon"/>
  </r>
  <r>
    <x v="82"/>
    <s v="2024-02-17 09:43:29"/>
    <x v="6"/>
    <s v="2024-03-24 21:25:29"/>
    <x v="82"/>
    <n v="36.5"/>
    <x v="0"/>
    <s v="Admin Rights"/>
    <s v="Low"/>
    <n v="360"/>
    <x v="0"/>
    <s v="Email"/>
    <s v="Tier 1"/>
    <x v="21"/>
    <x v="1"/>
    <s v="No"/>
    <s v="No"/>
    <n v="1"/>
    <s v="No"/>
    <n v="4"/>
    <n v="1.7"/>
    <n v="9.4"/>
    <s v="Yes"/>
    <s v="Poor"/>
    <s v="Yes"/>
    <s v="IT"/>
    <s v="Tuesday"/>
    <s v="Morning"/>
  </r>
  <r>
    <x v="83"/>
    <s v="2024-01-08 00:34:29"/>
    <x v="3"/>
    <s v="2024-01-18 16:52:29"/>
    <x v="83"/>
    <n v="9.6999999999999993"/>
    <x v="3"/>
    <s v="Account Unlock"/>
    <s v="Low"/>
    <n v="360"/>
    <x v="1"/>
    <s v="Portal"/>
    <s v="Tier 1"/>
    <x v="5"/>
    <x v="1"/>
    <s v="Yes"/>
    <s v="No"/>
    <n v="0"/>
    <s v="No"/>
    <n v="10"/>
    <n v="2.6"/>
    <n v="52.1"/>
    <s v="No"/>
    <s v="Poor"/>
    <s v="Yes"/>
    <s v="HR"/>
    <s v="Tuesday"/>
    <s v="Morning"/>
  </r>
  <r>
    <x v="84"/>
    <s v="2024-12-25 23:04:10"/>
    <x v="0"/>
    <s v="2025-01-06 11:46:10"/>
    <x v="65"/>
    <n v="11.5"/>
    <x v="0"/>
    <s v="Admin Rights"/>
    <s v="Medium"/>
    <n v="240"/>
    <x v="0"/>
    <s v="Chat"/>
    <s v="Tier 2"/>
    <x v="12"/>
    <x v="1"/>
    <s v="No"/>
    <s v="Yes"/>
    <n v="1"/>
    <s v="Yes"/>
    <n v="7"/>
    <n v="2.5"/>
    <n v="34.200000000000003"/>
    <s v="No"/>
    <s v="Excellent"/>
    <s v="No"/>
    <s v="Legal"/>
    <s v="Tuesday"/>
    <s v="Morning"/>
  </r>
  <r>
    <x v="85"/>
    <s v="2024-07-05 07:08:55"/>
    <x v="4"/>
    <s v="2024-07-12 17:50:55"/>
    <x v="84"/>
    <n v="7.4"/>
    <x v="0"/>
    <s v="VPN Access"/>
    <s v="Medium"/>
    <n v="240"/>
    <x v="1"/>
    <s v="Walk-in"/>
    <s v="Tier 1"/>
    <x v="14"/>
    <x v="1"/>
    <s v="No"/>
    <s v="No"/>
    <n v="1"/>
    <s v="No"/>
    <n v="10"/>
    <n v="2.4"/>
    <n v="23"/>
    <s v="Yes"/>
    <s v="Good"/>
    <s v="Yes"/>
    <s v="Executive"/>
    <s v="Thursday"/>
    <s v="Morning"/>
  </r>
  <r>
    <x v="86"/>
    <s v="2024-01-15 17:58:30"/>
    <x v="3"/>
    <s v="2024-01-29 23:28:30"/>
    <x v="85"/>
    <n v="14.2"/>
    <x v="5"/>
    <s v="Training Request"/>
    <s v="Low"/>
    <n v="360"/>
    <x v="1"/>
    <s v="Phone"/>
    <s v="Tier 1"/>
    <x v="22"/>
    <x v="0"/>
    <s v="No"/>
    <s v="No"/>
    <n v="1"/>
    <s v="No"/>
    <n v="9"/>
    <n v="5.4"/>
    <n v="22.4"/>
    <s v="No"/>
    <s v="Fair"/>
    <s v="No"/>
    <s v="Marketing"/>
    <s v="Thursday"/>
    <s v="Morning"/>
  </r>
  <r>
    <x v="87"/>
    <s v="2024-05-18 14:26:21"/>
    <x v="8"/>
    <s v="2024-05-23 05:32:21"/>
    <x v="86"/>
    <n v="4.5999999999999996"/>
    <x v="6"/>
    <s v="Cannot Send/Receive"/>
    <s v="High"/>
    <n v="120"/>
    <x v="1"/>
    <s v="Phone"/>
    <s v="Tier 1"/>
    <x v="17"/>
    <x v="0"/>
    <s v="Yes"/>
    <s v="No"/>
    <n v="0"/>
    <s v="No"/>
    <n v="10"/>
    <n v="3.4"/>
    <n v="48.3"/>
    <s v="No"/>
    <s v="Fair"/>
    <s v="Yes"/>
    <s v="Finance"/>
    <s v="Wednesday"/>
    <s v="Morning"/>
  </r>
  <r>
    <x v="88"/>
    <s v="2024-01-24 14:33:08"/>
    <x v="3"/>
    <s v="2024-02-03 09:03:08"/>
    <x v="87"/>
    <n v="9.8000000000000007"/>
    <x v="0"/>
    <s v="File Share"/>
    <s v="Low"/>
    <n v="360"/>
    <x v="1"/>
    <s v="Phone"/>
    <s v="Tier 1"/>
    <x v="3"/>
    <x v="1"/>
    <s v="Yes"/>
    <s v="No"/>
    <n v="0"/>
    <s v="No"/>
    <n v="10"/>
    <n v="3.5"/>
    <n v="25.4"/>
    <s v="Yes"/>
    <s v="Poor"/>
    <s v="Yes"/>
    <s v="Sales"/>
    <s v="Friday"/>
    <s v="Morning"/>
  </r>
  <r>
    <x v="89"/>
    <s v="2024-01-29 01:11:09"/>
    <x v="3"/>
    <s v="2024-02-08 14:47:09"/>
    <x v="88"/>
    <n v="9.6"/>
    <x v="3"/>
    <s v="Email Password"/>
    <s v="Low"/>
    <n v="360"/>
    <x v="1"/>
    <s v="Email"/>
    <s v="Tier 1"/>
    <x v="9"/>
    <x v="1"/>
    <s v="Yes"/>
    <s v="No"/>
    <n v="0"/>
    <s v="No"/>
    <n v="10"/>
    <n v="2.7"/>
    <n v="21.2"/>
    <s v="Yes"/>
    <s v="Fair"/>
    <s v="Yes"/>
    <s v="Legal"/>
    <s v="Wednesday"/>
    <s v="Afternoon"/>
  </r>
  <r>
    <x v="90"/>
    <s v="2024-03-25 11:51:24"/>
    <x v="5"/>
    <s v="2024-04-03 20:39:24"/>
    <x v="89"/>
    <n v="9.3000000000000007"/>
    <x v="7"/>
    <s v="Drivers"/>
    <s v="Medium"/>
    <n v="240"/>
    <x v="1"/>
    <s v="Email"/>
    <s v="Tier 2"/>
    <x v="9"/>
    <x v="0"/>
    <s v="No"/>
    <s v="Yes"/>
    <n v="4"/>
    <s v="No"/>
    <n v="8"/>
    <n v="3.9"/>
    <n v="5"/>
    <s v="Yes"/>
    <s v="Fair"/>
    <s v="Yes"/>
    <s v="Executive"/>
    <s v="Monday"/>
    <s v="Morning"/>
  </r>
  <r>
    <x v="91"/>
    <s v="2024-11-04 03:40:18"/>
    <x v="7"/>
    <s v="2024-11-18 03:46:18"/>
    <x v="90"/>
    <n v="14"/>
    <x v="3"/>
    <s v="Windows Password"/>
    <s v="Low"/>
    <n v="360"/>
    <x v="1"/>
    <s v="Phone"/>
    <s v="Tier 1"/>
    <x v="10"/>
    <x v="2"/>
    <s v="Yes"/>
    <s v="No"/>
    <n v="0"/>
    <s v="No"/>
    <n v="6"/>
    <n v="4.5"/>
    <n v="32.200000000000003"/>
    <s v="Yes"/>
    <s v="Poor"/>
    <s v="No"/>
    <s v="Sales"/>
    <s v="Friday"/>
    <s v="Afternoon"/>
  </r>
  <r>
    <x v="92"/>
    <s v="2024-05-19 13:18:49"/>
    <x v="8"/>
    <s v="2024-05-26 10:00:49"/>
    <x v="91"/>
    <n v="6.9"/>
    <x v="0"/>
    <s v="VPN Access"/>
    <s v="Medium"/>
    <n v="240"/>
    <x v="1"/>
    <s v="Email"/>
    <s v="Tier 1"/>
    <x v="5"/>
    <x v="2"/>
    <s v="Yes"/>
    <s v="No"/>
    <n v="0"/>
    <s v="Yes"/>
    <n v="10"/>
    <n v="2.2999999999999998"/>
    <n v="18.7"/>
    <s v="No"/>
    <s v="Fair"/>
    <s v="No"/>
    <s v="HR"/>
    <s v="Tuesday"/>
    <s v="Morning"/>
  </r>
  <r>
    <x v="93"/>
    <s v="2024-11-01 11:12:12"/>
    <x v="7"/>
    <s v="2024-11-05 17:48:12"/>
    <x v="92"/>
    <n v="4.3"/>
    <x v="1"/>
    <s v="Printer"/>
    <s v="High"/>
    <n v="120"/>
    <x v="1"/>
    <s v="Email"/>
    <s v="Tier 1"/>
    <x v="13"/>
    <x v="2"/>
    <s v="No"/>
    <s v="No"/>
    <n v="1"/>
    <s v="Yes"/>
    <n v="10"/>
    <n v="3.6"/>
    <n v="27.8"/>
    <s v="Yes"/>
    <s v="Fair"/>
    <s v="Yes"/>
    <s v="Marketing"/>
    <s v="Monday"/>
    <s v="Evening"/>
  </r>
  <r>
    <x v="94"/>
    <s v="2024-07-31 04:37:39"/>
    <x v="4"/>
    <s v="2024-08-18 08:01:39"/>
    <x v="93"/>
    <n v="18.100000000000001"/>
    <x v="7"/>
    <s v="MS Office"/>
    <s v="Low"/>
    <n v="360"/>
    <x v="0"/>
    <s v="Email"/>
    <s v="Tier 1"/>
    <x v="21"/>
    <x v="1"/>
    <s v="No"/>
    <s v="No"/>
    <n v="1"/>
    <s v="Yes"/>
    <n v="6"/>
    <n v="4.8"/>
    <n v="16.5"/>
    <s v="Yes"/>
    <s v="Poor"/>
    <s v="No"/>
    <s v="Sales"/>
    <s v="Monday"/>
    <s v="Morning"/>
  </r>
  <r>
    <x v="95"/>
    <s v="2024-03-26 03:01:19"/>
    <x v="5"/>
    <s v="2024-04-03 06:07:19"/>
    <x v="94"/>
    <n v="8.1"/>
    <x v="7"/>
    <s v="VPN Client"/>
    <s v="Medium"/>
    <n v="240"/>
    <x v="1"/>
    <s v="Portal"/>
    <s v="Tier 1"/>
    <x v="23"/>
    <x v="0"/>
    <s v="No"/>
    <s v="No"/>
    <n v="1"/>
    <s v="No"/>
    <n v="9"/>
    <n v="4.3"/>
    <n v="22.4"/>
    <s v="Yes"/>
    <s v="Good"/>
    <s v="Yes"/>
    <s v="HR"/>
    <s v="Monday"/>
    <s v="Morning"/>
  </r>
  <r>
    <x v="96"/>
    <s v="2024-05-07 12:20:46"/>
    <x v="8"/>
    <s v="2024-05-12 00:56:46"/>
    <x v="95"/>
    <n v="5.5"/>
    <x v="4"/>
    <s v="Features Not Working"/>
    <s v="High"/>
    <n v="120"/>
    <x v="0"/>
    <s v="Phone"/>
    <s v="Tier 2"/>
    <x v="14"/>
    <x v="2"/>
    <s v="No"/>
    <s v="Yes"/>
    <n v="1"/>
    <s v="No"/>
    <n v="7"/>
    <n v="3.6"/>
    <n v="8.1"/>
    <s v="Yes"/>
    <s v="Good"/>
    <s v="No"/>
    <s v="Executive"/>
    <s v="Tuesday"/>
    <s v="Morning"/>
  </r>
  <r>
    <x v="97"/>
    <s v="2024-04-27 09:27:26"/>
    <x v="11"/>
    <s v="2024-05-06 12:27:26"/>
    <x v="96"/>
    <n v="9.1"/>
    <x v="5"/>
    <s v="Documentation"/>
    <s v="Medium"/>
    <n v="240"/>
    <x v="1"/>
    <s v="Phone"/>
    <s v="Tier 1"/>
    <x v="11"/>
    <x v="1"/>
    <s v="No"/>
    <s v="No"/>
    <n v="1"/>
    <s v="Yes"/>
    <n v="9"/>
    <n v="0.6"/>
    <n v="22.4"/>
    <s v="Yes"/>
    <s v="Excellent"/>
    <s v="No"/>
    <s v="Operations"/>
    <s v="Thursday"/>
    <s v="Afternoon"/>
  </r>
  <r>
    <x v="98"/>
    <s v="2024-08-10 12:48:18"/>
    <x v="1"/>
    <s v="2024-08-17 19:18:18"/>
    <x v="97"/>
    <n v="7.3"/>
    <x v="7"/>
    <s v="VPN Client"/>
    <s v="High"/>
    <n v="120"/>
    <x v="0"/>
    <s v="Portal"/>
    <s v="Tier 1"/>
    <x v="16"/>
    <x v="1"/>
    <s v="Yes"/>
    <s v="No"/>
    <n v="0"/>
    <s v="No"/>
    <n v="3"/>
    <n v="2.8"/>
    <n v="12.4"/>
    <s v="No"/>
    <s v="Poor"/>
    <s v="Yes"/>
    <s v="Sales"/>
    <s v="Thursday"/>
    <s v="Morning"/>
  </r>
  <r>
    <x v="99"/>
    <s v="2024-07-14 21:14:51"/>
    <x v="4"/>
    <s v="2024-07-23 18:14:51"/>
    <x v="98"/>
    <n v="8.9"/>
    <x v="5"/>
    <s v="Training Request"/>
    <s v="Medium"/>
    <n v="240"/>
    <x v="1"/>
    <s v="Portal"/>
    <s v="Tier 1"/>
    <x v="18"/>
    <x v="0"/>
    <s v="Yes"/>
    <s v="No"/>
    <n v="0"/>
    <s v="No"/>
    <n v="9"/>
    <n v="1.7"/>
    <n v="24.4"/>
    <s v="No"/>
    <s v="Poor"/>
    <s v="No"/>
    <s v="Finance"/>
    <s v="Monday"/>
    <s v="Morning"/>
  </r>
  <r>
    <x v="100"/>
    <s v="2024-11-30 15:20:45"/>
    <x v="7"/>
    <s v="2024-12-08 14:20:45"/>
    <x v="99"/>
    <n v="8"/>
    <x v="3"/>
    <s v="Account Unlock"/>
    <s v="Medium"/>
    <n v="240"/>
    <x v="1"/>
    <s v="Phone"/>
    <s v="Tier 1"/>
    <x v="0"/>
    <x v="2"/>
    <s v="No"/>
    <s v="No"/>
    <n v="1"/>
    <s v="No"/>
    <n v="7"/>
    <n v="1.4"/>
    <n v="34.4"/>
    <s v="Yes"/>
    <s v="Fair"/>
    <s v="No"/>
    <s v="Operations"/>
    <s v="Tuesday"/>
    <s v="Evening"/>
  </r>
  <r>
    <x v="101"/>
    <s v="2024-12-10 04:59:10"/>
    <x v="0"/>
    <s v="2024-12-18 23:53:10"/>
    <x v="100"/>
    <n v="8.8000000000000007"/>
    <x v="7"/>
    <s v="Drivers"/>
    <s v="Medium"/>
    <n v="240"/>
    <x v="1"/>
    <s v="Chat"/>
    <s v="Tier 1"/>
    <x v="10"/>
    <x v="2"/>
    <s v="No"/>
    <s v="No"/>
    <n v="1"/>
    <s v="Yes"/>
    <n v="9"/>
    <n v="0.1"/>
    <n v="0"/>
    <s v="No"/>
    <s v="Poor"/>
    <s v="No"/>
    <s v="HR"/>
    <s v="Wednesday"/>
    <s v="Morning"/>
  </r>
  <r>
    <x v="102"/>
    <s v="2024-08-28 15:15:18"/>
    <x v="1"/>
    <s v="2024-08-31 16:21:18"/>
    <x v="101"/>
    <n v="3"/>
    <x v="7"/>
    <s v="Business Apps"/>
    <s v="High"/>
    <n v="120"/>
    <x v="1"/>
    <s v="Portal"/>
    <s v="Tier 1"/>
    <x v="4"/>
    <x v="0"/>
    <s v="No"/>
    <s v="No"/>
    <n v="1"/>
    <s v="No"/>
    <n v="9"/>
    <n v="4.4000000000000004"/>
    <n v="14.4"/>
    <s v="Yes"/>
    <s v="Good"/>
    <s v="No"/>
    <s v="Finance"/>
    <s v="Wednesday"/>
    <s v="Morning"/>
  </r>
  <r>
    <x v="103"/>
    <s v="2024-12-03 04:43:07"/>
    <x v="0"/>
    <s v="2024-12-09 12:01:07"/>
    <x v="102"/>
    <n v="6.3"/>
    <x v="7"/>
    <s v="MS Office"/>
    <s v="Medium"/>
    <n v="240"/>
    <x v="1"/>
    <s v="Phone"/>
    <s v="Tier 2"/>
    <x v="16"/>
    <x v="1"/>
    <s v="No"/>
    <s v="Yes"/>
    <n v="1"/>
    <s v="Yes"/>
    <n v="10"/>
    <n v="6"/>
    <n v="10.4"/>
    <s v="Yes"/>
    <s v="Fair"/>
    <s v="Yes"/>
    <s v="Executive"/>
    <s v="Tuesday"/>
    <s v="Evening"/>
  </r>
  <r>
    <x v="104"/>
    <s v="2024-01-15 10:46:55"/>
    <x v="3"/>
    <s v="2024-01-25 04:04:55"/>
    <x v="103"/>
    <n v="9.6999999999999993"/>
    <x v="6"/>
    <s v="Calendar Sync"/>
    <s v="Low"/>
    <n v="360"/>
    <x v="1"/>
    <s v="Phone"/>
    <s v="Tier 2"/>
    <x v="7"/>
    <x v="0"/>
    <s v="No"/>
    <s v="Yes"/>
    <n v="3"/>
    <s v="No"/>
    <n v="8"/>
    <n v="2.2999999999999998"/>
    <n v="27.6"/>
    <s v="Yes"/>
    <s v="Good"/>
    <s v="Yes"/>
    <s v="Marketing"/>
    <s v="Tuesday"/>
    <s v="Evening"/>
  </r>
  <r>
    <x v="105"/>
    <s v="2024-03-11 19:06:57"/>
    <x v="5"/>
    <s v="2024-03-16 07:24:57"/>
    <x v="1"/>
    <n v="4.5"/>
    <x v="5"/>
    <s v="General Inquiry"/>
    <s v="High"/>
    <n v="120"/>
    <x v="1"/>
    <s v="Email"/>
    <s v="Tier 1"/>
    <x v="1"/>
    <x v="0"/>
    <s v="Yes"/>
    <s v="No"/>
    <n v="0"/>
    <s v="No"/>
    <n v="8"/>
    <n v="2.8"/>
    <n v="17.600000000000001"/>
    <s v="No"/>
    <s v="Good"/>
    <s v="Yes"/>
    <s v="Legal"/>
    <s v="Thursday"/>
    <s v="Afternoon"/>
  </r>
  <r>
    <x v="106"/>
    <s v="2024-11-09 02:23:44"/>
    <x v="7"/>
    <s v="2024-11-18 13:17:44"/>
    <x v="104"/>
    <n v="9.5"/>
    <x v="5"/>
    <s v="Miscellaneous"/>
    <s v="Low"/>
    <n v="360"/>
    <x v="1"/>
    <s v="Email"/>
    <s v="Tier 1"/>
    <x v="0"/>
    <x v="0"/>
    <s v="No"/>
    <s v="No"/>
    <n v="1"/>
    <s v="No"/>
    <n v="5"/>
    <n v="3"/>
    <n v="29.4"/>
    <s v="Yes"/>
    <s v="Poor"/>
    <s v="Yes"/>
    <s v="Legal"/>
    <s v="Monday"/>
    <s v="Afternoon"/>
  </r>
  <r>
    <x v="107"/>
    <s v="2024-11-08 23:45:21"/>
    <x v="7"/>
    <s v="2024-11-15 16:39:21"/>
    <x v="105"/>
    <n v="6.7"/>
    <x v="4"/>
    <s v="Performance"/>
    <s v="High"/>
    <n v="120"/>
    <x v="0"/>
    <s v="Email"/>
    <s v="Tier 2"/>
    <x v="2"/>
    <x v="1"/>
    <s v="No"/>
    <s v="Yes"/>
    <n v="4"/>
    <s v="No"/>
    <n v="8"/>
    <n v="6.4"/>
    <n v="27.2"/>
    <s v="Yes"/>
    <s v="Good"/>
    <s v="Yes"/>
    <s v="HR"/>
    <s v="Friday"/>
    <s v="Afternoon"/>
  </r>
  <r>
    <x v="108"/>
    <s v="2024-01-25 07:08:31"/>
    <x v="3"/>
    <s v="2024-02-02 16:14:31"/>
    <x v="106"/>
    <n v="8.4"/>
    <x v="2"/>
    <s v="Ethernet"/>
    <s v="High"/>
    <n v="120"/>
    <x v="0"/>
    <s v="Email"/>
    <s v="Tier 1"/>
    <x v="6"/>
    <x v="0"/>
    <s v="Yes"/>
    <s v="No"/>
    <n v="0"/>
    <s v="No"/>
    <n v="6"/>
    <n v="4.5999999999999996"/>
    <n v="47.4"/>
    <s v="No"/>
    <s v="Fair"/>
    <s v="Yes"/>
    <s v="Executive"/>
    <s v="Friday"/>
    <s v="Morning"/>
  </r>
  <r>
    <x v="109"/>
    <s v="2024-04-24 22:09:25"/>
    <x v="11"/>
    <s v="2024-05-02 23:33:25"/>
    <x v="107"/>
    <n v="8.1"/>
    <x v="0"/>
    <s v="Application Access"/>
    <s v="Medium"/>
    <n v="240"/>
    <x v="1"/>
    <s v="Walk-in"/>
    <s v="Tier 1"/>
    <x v="3"/>
    <x v="1"/>
    <s v="No"/>
    <s v="No"/>
    <n v="1"/>
    <s v="No"/>
    <n v="9"/>
    <n v="2.2000000000000002"/>
    <n v="35.700000000000003"/>
    <s v="Yes"/>
    <s v="Excellent"/>
    <s v="No"/>
    <s v="IT"/>
    <s v="Monday"/>
    <s v="Morning"/>
  </r>
  <r>
    <x v="110"/>
    <s v="2024-02-14 08:57:20"/>
    <x v="6"/>
    <s v="2024-02-15 23:33:20"/>
    <x v="108"/>
    <n v="1.6"/>
    <x v="4"/>
    <s v="Features Not Working"/>
    <s v="Critical"/>
    <n v="48"/>
    <x v="1"/>
    <s v="Email"/>
    <s v="Tier 1"/>
    <x v="18"/>
    <x v="0"/>
    <s v="Yes"/>
    <s v="No"/>
    <n v="0"/>
    <s v="No"/>
    <n v="7"/>
    <n v="1.6"/>
    <n v="22.5"/>
    <s v="No"/>
    <s v="Good"/>
    <s v="Yes"/>
    <s v="Executive"/>
    <s v="Wednesday"/>
    <s v="Morning"/>
  </r>
  <r>
    <x v="111"/>
    <s v="2024-11-15 16:56:37"/>
    <x v="7"/>
    <s v="2024-11-18 18:38:37"/>
    <x v="109"/>
    <n v="3.1"/>
    <x v="1"/>
    <s v="Keyboard/Mouse"/>
    <s v="High"/>
    <n v="120"/>
    <x v="1"/>
    <s v="Phone"/>
    <s v="Tier 1"/>
    <x v="4"/>
    <x v="1"/>
    <s v="No"/>
    <s v="No"/>
    <n v="1"/>
    <s v="No"/>
    <n v="9"/>
    <n v="2.4"/>
    <n v="17.5"/>
    <s v="Yes"/>
    <s v="Fair"/>
    <s v="No"/>
    <s v="IT"/>
    <s v="Wednesday"/>
    <s v="Afternoon"/>
  </r>
  <r>
    <x v="112"/>
    <s v="2024-04-15 10:53:25"/>
    <x v="11"/>
    <s v="2024-04-22 21:53:25"/>
    <x v="110"/>
    <n v="7.5"/>
    <x v="6"/>
    <s v="Distribution List"/>
    <s v="Medium"/>
    <n v="240"/>
    <x v="1"/>
    <s v="Email"/>
    <s v="Tier 1"/>
    <x v="7"/>
    <x v="0"/>
    <s v="No"/>
    <s v="No"/>
    <n v="1"/>
    <s v="No"/>
    <n v="9"/>
    <n v="5.3"/>
    <n v="50.9"/>
    <s v="Yes"/>
    <s v="Fair"/>
    <s v="Yes"/>
    <s v="Operations"/>
    <s v="Tuesday"/>
    <s v="Morning"/>
  </r>
  <r>
    <x v="113"/>
    <s v="2024-05-25 07:30:18"/>
    <x v="8"/>
    <s v="2024-05-29 18:12:18"/>
    <x v="111"/>
    <n v="4.4000000000000004"/>
    <x v="0"/>
    <s v="Admin Rights"/>
    <s v="High"/>
    <n v="120"/>
    <x v="1"/>
    <s v="Portal"/>
    <s v="Tier 1"/>
    <x v="18"/>
    <x v="2"/>
    <s v="Yes"/>
    <s v="No"/>
    <n v="0"/>
    <s v="Yes"/>
    <n v="9"/>
    <n v="2.8"/>
    <n v="36.9"/>
    <s v="No"/>
    <s v="Good"/>
    <s v="Yes"/>
    <s v="Operations"/>
    <s v="Thursday"/>
    <s v="Morning"/>
  </r>
  <r>
    <x v="114"/>
    <s v="2024-09-20 12:36:58"/>
    <x v="9"/>
    <s v="2024-09-26 16:24:58"/>
    <x v="112"/>
    <n v="6.2"/>
    <x v="0"/>
    <s v="Admin Rights"/>
    <s v="Medium"/>
    <n v="240"/>
    <x v="1"/>
    <s v="Phone"/>
    <s v="Tier 1"/>
    <x v="20"/>
    <x v="2"/>
    <s v="Yes"/>
    <s v="No"/>
    <n v="0"/>
    <s v="No"/>
    <n v="8"/>
    <n v="6.4"/>
    <n v="27.6"/>
    <s v="Yes"/>
    <s v="Fair"/>
    <s v="No"/>
    <s v="HR"/>
    <s v="Friday"/>
    <s v="Afternoon"/>
  </r>
  <r>
    <x v="115"/>
    <s v="2024-07-02 05:35:55"/>
    <x v="4"/>
    <s v="2024-07-08 12:23:55"/>
    <x v="113"/>
    <n v="6.3"/>
    <x v="6"/>
    <s v="Distribution List"/>
    <s v="Medium"/>
    <n v="240"/>
    <x v="1"/>
    <s v="Email"/>
    <s v="Tier 1"/>
    <x v="0"/>
    <x v="1"/>
    <s v="Yes"/>
    <s v="No"/>
    <n v="0"/>
    <s v="No"/>
    <n v="10"/>
    <n v="3.7"/>
    <n v="42.4"/>
    <s v="Yes"/>
    <s v="Poor"/>
    <s v="Yes"/>
    <s v="Operations"/>
    <s v="Monday"/>
    <s v="Afternoon"/>
  </r>
  <r>
    <x v="116"/>
    <s v="2024-09-08 21:41:34"/>
    <x v="9"/>
    <s v="2024-09-21 00:53:34"/>
    <x v="114"/>
    <n v="13.1"/>
    <x v="7"/>
    <s v="VPN Client"/>
    <s v="Medium"/>
    <n v="240"/>
    <x v="0"/>
    <s v="Phone"/>
    <s v="Tier 2"/>
    <x v="12"/>
    <x v="2"/>
    <s v="No"/>
    <s v="Yes"/>
    <n v="3"/>
    <s v="No"/>
    <n v="6"/>
    <n v="4.8"/>
    <n v="60.8"/>
    <s v="No"/>
    <s v="Poor"/>
    <s v="Yes"/>
    <s v="Sales"/>
    <s v="Tuesday"/>
    <s v="Morning"/>
  </r>
  <r>
    <x v="117"/>
    <s v="2024-11-08 04:11:20"/>
    <x v="7"/>
    <s v="2024-11-19 10:17:20"/>
    <x v="115"/>
    <n v="11.3"/>
    <x v="1"/>
    <s v="Keyboard/Mouse"/>
    <s v="Medium"/>
    <n v="240"/>
    <x v="0"/>
    <s v="Portal"/>
    <s v="Tier 2"/>
    <x v="6"/>
    <x v="1"/>
    <s v="No"/>
    <s v="Yes"/>
    <n v="1"/>
    <s v="No"/>
    <n v="4"/>
    <n v="0.5"/>
    <n v="23.1"/>
    <s v="No"/>
    <s v="Poor"/>
    <s v="No"/>
    <s v="Sales"/>
    <s v="Friday"/>
    <s v="Morning"/>
  </r>
  <r>
    <x v="118"/>
    <s v="2024-06-11 21:00:49"/>
    <x v="10"/>
    <s v="2024-06-30 00:18:49"/>
    <x v="116"/>
    <n v="19.100000000000001"/>
    <x v="3"/>
    <s v="Windows Password"/>
    <s v="Low"/>
    <n v="360"/>
    <x v="0"/>
    <s v="Walk-in"/>
    <s v="Tier 1"/>
    <x v="2"/>
    <x v="2"/>
    <s v="No"/>
    <s v="No"/>
    <n v="1"/>
    <s v="No"/>
    <n v="4"/>
    <n v="4.3"/>
    <n v="2.8"/>
    <s v="No"/>
    <s v="Fair"/>
    <s v="Yes"/>
    <s v="Marketing"/>
    <s v="Wednesday"/>
    <s v="Afternoon"/>
  </r>
  <r>
    <x v="119"/>
    <s v="2024-04-06 05:17:53"/>
    <x v="11"/>
    <s v="2024-04-17 09:35:53"/>
    <x v="117"/>
    <n v="11.2"/>
    <x v="6"/>
    <s v="Mailbox Full"/>
    <s v="Medium"/>
    <n v="240"/>
    <x v="0"/>
    <s v="Email"/>
    <s v="Tier 1"/>
    <x v="16"/>
    <x v="1"/>
    <s v="Yes"/>
    <s v="No"/>
    <n v="0"/>
    <s v="No"/>
    <n v="5"/>
    <n v="0.9"/>
    <n v="15.5"/>
    <s v="Yes"/>
    <s v="Fair"/>
    <s v="No"/>
    <s v="IT"/>
    <s v="Wednesday"/>
    <s v="Morning"/>
  </r>
  <r>
    <x v="120"/>
    <s v="2024-11-01 11:36:23"/>
    <x v="7"/>
    <s v="2024-11-10 11:00:23"/>
    <x v="118"/>
    <n v="9"/>
    <x v="0"/>
    <s v="File Share"/>
    <s v="High"/>
    <n v="120"/>
    <x v="0"/>
    <s v="Phone"/>
    <s v="Tier 2"/>
    <x v="7"/>
    <x v="0"/>
    <s v="No"/>
    <s v="Yes"/>
    <n v="1"/>
    <s v="No"/>
    <n v="7"/>
    <n v="4.7"/>
    <n v="15.2"/>
    <s v="Yes"/>
    <s v="Good"/>
    <s v="Yes"/>
    <s v="Finance"/>
    <s v="Friday"/>
    <s v="Morning"/>
  </r>
  <r>
    <x v="121"/>
    <s v="2024-03-15 22:01:21"/>
    <x v="5"/>
    <s v="2024-03-23 18:25:21"/>
    <x v="119"/>
    <n v="7.9"/>
    <x v="6"/>
    <s v="Calendar Sync"/>
    <s v="Medium"/>
    <n v="240"/>
    <x v="1"/>
    <s v="Portal"/>
    <s v="Tier 2"/>
    <x v="11"/>
    <x v="0"/>
    <s v="No"/>
    <s v="Yes"/>
    <n v="1"/>
    <s v="No"/>
    <n v="10"/>
    <n v="3.4"/>
    <n v="0"/>
    <s v="No"/>
    <s v="Poor"/>
    <s v="Yes"/>
    <s v="Marketing"/>
    <s v="Wednesday"/>
    <s v="Morning"/>
  </r>
  <r>
    <x v="122"/>
    <s v="2024-12-02 23:47:45"/>
    <x v="0"/>
    <s v="2024-12-17 10:11:45"/>
    <x v="120"/>
    <n v="14.4"/>
    <x v="0"/>
    <s v="Admin Rights"/>
    <s v="Medium"/>
    <n v="240"/>
    <x v="0"/>
    <s v="Email"/>
    <s v="Tier 2"/>
    <x v="22"/>
    <x v="2"/>
    <s v="No"/>
    <s v="Yes"/>
    <n v="2"/>
    <s v="No"/>
    <n v="4"/>
    <n v="2.5"/>
    <n v="25.4"/>
    <s v="Yes"/>
    <s v="Fair"/>
    <s v="No"/>
    <s v="Sales"/>
    <s v="Wednesday"/>
    <s v="Afternoon"/>
  </r>
  <r>
    <x v="123"/>
    <s v="2024-04-28 16:29:29"/>
    <x v="11"/>
    <s v="2024-05-08 23:29:29"/>
    <x v="121"/>
    <n v="10.3"/>
    <x v="5"/>
    <s v="General Inquiry"/>
    <s v="Low"/>
    <n v="360"/>
    <x v="1"/>
    <s v="Walk-in"/>
    <s v="Tier 1"/>
    <x v="13"/>
    <x v="2"/>
    <s v="Yes"/>
    <s v="No"/>
    <n v="0"/>
    <s v="No"/>
    <n v="10"/>
    <n v="2.1"/>
    <n v="19.3"/>
    <s v="No"/>
    <s v="Fair"/>
    <s v="Yes"/>
    <s v="HR"/>
    <s v="Tuesday"/>
    <s v="Morning"/>
  </r>
  <r>
    <x v="124"/>
    <s v="2024-10-06 05:03:00"/>
    <x v="2"/>
    <s v="2024-10-10 08:03:00"/>
    <x v="122"/>
    <n v="4.0999999999999996"/>
    <x v="2"/>
    <s v="Ethernet"/>
    <s v="High"/>
    <n v="120"/>
    <x v="1"/>
    <s v="Portal"/>
    <s v="Tier 2"/>
    <x v="24"/>
    <x v="2"/>
    <s v="No"/>
    <s v="Yes"/>
    <n v="2"/>
    <s v="No"/>
    <n v="10"/>
    <n v="0.9"/>
    <n v="7.3"/>
    <s v="Yes"/>
    <s v="Good"/>
    <s v="Yes"/>
    <s v="IT"/>
    <s v="Thursday"/>
    <s v="Morning"/>
  </r>
  <r>
    <x v="125"/>
    <s v="2024-09-16 03:10:50"/>
    <x v="9"/>
    <s v="2024-09-27 22:10:50"/>
    <x v="123"/>
    <n v="11.8"/>
    <x v="4"/>
    <s v="Performance"/>
    <s v="Medium"/>
    <n v="240"/>
    <x v="0"/>
    <s v="Phone"/>
    <s v="Tier 1"/>
    <x v="6"/>
    <x v="2"/>
    <s v="No"/>
    <s v="No"/>
    <n v="1"/>
    <s v="No"/>
    <n v="2"/>
    <n v="0.1"/>
    <n v="17.899999999999999"/>
    <s v="No"/>
    <s v="Good"/>
    <s v="No"/>
    <s v="Operations"/>
    <s v="Monday"/>
    <s v="Afternoon"/>
  </r>
  <r>
    <x v="126"/>
    <s v="2024-06-07 10:30:17"/>
    <x v="10"/>
    <s v="2024-06-19 13:06:17"/>
    <x v="124"/>
    <n v="12.1"/>
    <x v="5"/>
    <s v="Training Request"/>
    <s v="Low"/>
    <n v="360"/>
    <x v="1"/>
    <s v="Email"/>
    <s v="Tier 1"/>
    <x v="0"/>
    <x v="2"/>
    <s v="No"/>
    <s v="No"/>
    <n v="1"/>
    <s v="No"/>
    <n v="7"/>
    <n v="4.8"/>
    <n v="8.3000000000000007"/>
    <s v="No"/>
    <s v="Fair"/>
    <s v="Yes"/>
    <s v="Sales"/>
    <s v="Monday"/>
    <s v="Afternoon"/>
  </r>
  <r>
    <x v="127"/>
    <s v="2024-03-20 04:43:11"/>
    <x v="5"/>
    <s v="2024-03-27 17:49:11"/>
    <x v="125"/>
    <n v="7.5"/>
    <x v="0"/>
    <s v="File Share"/>
    <s v="Medium"/>
    <n v="240"/>
    <x v="1"/>
    <s v="Phone"/>
    <s v="Tier 1"/>
    <x v="15"/>
    <x v="2"/>
    <s v="No"/>
    <s v="No"/>
    <n v="1"/>
    <s v="No"/>
    <n v="8"/>
    <n v="1.2"/>
    <n v="14.4"/>
    <s v="Yes"/>
    <s v="Excellent"/>
    <s v="Yes"/>
    <s v="Legal"/>
    <s v="Monday"/>
    <s v="Morning"/>
  </r>
  <r>
    <x v="128"/>
    <s v="2024-07-06 12:17:32"/>
    <x v="4"/>
    <s v="2024-07-10 16:41:32"/>
    <x v="126"/>
    <n v="4.2"/>
    <x v="6"/>
    <s v="Distribution List"/>
    <s v="High"/>
    <n v="120"/>
    <x v="1"/>
    <s v="Email"/>
    <s v="Tier 1"/>
    <x v="6"/>
    <x v="0"/>
    <s v="Yes"/>
    <s v="No"/>
    <n v="0"/>
    <s v="No"/>
    <n v="10"/>
    <n v="0.9"/>
    <n v="0"/>
    <s v="Yes"/>
    <s v="Fair"/>
    <s v="No"/>
    <s v="IT"/>
    <s v="Friday"/>
    <s v="Morning"/>
  </r>
  <r>
    <x v="129"/>
    <s v="2024-05-08 02:59:58"/>
    <x v="8"/>
    <s v="2024-05-17 08:53:58"/>
    <x v="127"/>
    <n v="8.1999999999999993"/>
    <x v="4"/>
    <s v="Performance"/>
    <s v="Medium"/>
    <n v="240"/>
    <x v="1"/>
    <s v="Portal"/>
    <s v="Tier 2"/>
    <x v="9"/>
    <x v="2"/>
    <s v="No"/>
    <s v="Yes"/>
    <n v="4"/>
    <s v="No"/>
    <n v="8"/>
    <n v="2.2000000000000002"/>
    <n v="22.7"/>
    <s v="Yes"/>
    <s v="Fair"/>
    <s v="No"/>
    <s v="Executive"/>
    <s v="Monday"/>
    <s v="Morning"/>
  </r>
  <r>
    <x v="130"/>
    <s v="2024-01-26 19:56:49"/>
    <x v="3"/>
    <s v="2024-02-06 01:02:49"/>
    <x v="128"/>
    <n v="11.2"/>
    <x v="3"/>
    <s v="Email Password"/>
    <s v="Low"/>
    <n v="360"/>
    <x v="1"/>
    <s v="Email"/>
    <s v="Tier 1"/>
    <x v="7"/>
    <x v="0"/>
    <s v="Yes"/>
    <s v="No"/>
    <n v="0"/>
    <s v="Yes"/>
    <n v="9"/>
    <n v="3"/>
    <n v="4.4000000000000004"/>
    <s v="Yes"/>
    <s v="Fair"/>
    <s v="Yes"/>
    <s v="Sales"/>
    <s v="Wednesday"/>
    <s v="Morning"/>
  </r>
  <r>
    <x v="131"/>
    <s v="2024-09-23 16:06:08"/>
    <x v="9"/>
    <s v="2024-09-30 19:06:08"/>
    <x v="129"/>
    <n v="7.1"/>
    <x v="2"/>
    <s v="WiFi Issues"/>
    <s v="Medium"/>
    <n v="240"/>
    <x v="1"/>
    <s v="Phone"/>
    <s v="Tier 2"/>
    <x v="21"/>
    <x v="2"/>
    <s v="No"/>
    <s v="Yes"/>
    <n v="3"/>
    <s v="No"/>
    <n v="9"/>
    <n v="7.1"/>
    <n v="31"/>
    <s v="Yes"/>
    <s v="Good"/>
    <s v="Yes"/>
    <s v="Legal"/>
    <s v="Wednesday"/>
    <s v="Morning"/>
  </r>
  <r>
    <x v="132"/>
    <s v="2024-02-15 20:34:34"/>
    <x v="6"/>
    <s v="2024-02-21 00:22:34"/>
    <x v="112"/>
    <n v="6.2"/>
    <x v="4"/>
    <s v="Crash"/>
    <s v="High"/>
    <n v="120"/>
    <x v="0"/>
    <s v="Phone"/>
    <s v="Tier 1"/>
    <x v="18"/>
    <x v="1"/>
    <s v="No"/>
    <s v="No"/>
    <n v="1"/>
    <s v="No"/>
    <n v="6"/>
    <n v="3.7"/>
    <n v="26.8"/>
    <s v="No"/>
    <s v="Fair"/>
    <s v="Yes"/>
    <s v="Finance"/>
    <s v="Wednesday"/>
    <s v="Afternoon"/>
  </r>
  <r>
    <x v="133"/>
    <s v="2024-09-15 01:52:21"/>
    <x v="9"/>
    <s v="2024-09-27 07:46:21"/>
    <x v="130"/>
    <n v="11.2"/>
    <x v="7"/>
    <s v="MS Office"/>
    <s v="Low"/>
    <n v="360"/>
    <x v="1"/>
    <s v="Phone"/>
    <s v="Tier 1"/>
    <x v="8"/>
    <x v="0"/>
    <s v="No"/>
    <s v="No"/>
    <n v="1"/>
    <s v="Yes"/>
    <n v="8"/>
    <n v="1.9"/>
    <n v="17.8"/>
    <s v="Yes"/>
    <s v="Good"/>
    <s v="Yes"/>
    <s v="Operations"/>
    <s v="Tuesday"/>
    <s v="Afternoon"/>
  </r>
  <r>
    <x v="134"/>
    <s v="2024-01-28 14:36:23"/>
    <x v="3"/>
    <s v="2024-02-02 02:06:23"/>
    <x v="131"/>
    <n v="4.5"/>
    <x v="4"/>
    <s v="Crash"/>
    <s v="High"/>
    <n v="120"/>
    <x v="1"/>
    <s v="Phone"/>
    <s v="Tier 1"/>
    <x v="16"/>
    <x v="1"/>
    <s v="No"/>
    <s v="No"/>
    <n v="1"/>
    <s v="No"/>
    <n v="9"/>
    <n v="0.2"/>
    <n v="13.8"/>
    <s v="Yes"/>
    <s v="Excellent"/>
    <s v="Yes"/>
    <s v="Operations"/>
    <s v="Wednesday"/>
    <s v="Morning"/>
  </r>
  <r>
    <x v="135"/>
    <s v="2024-04-12 00:30:40"/>
    <x v="11"/>
    <s v="2024-04-19 08:36:40"/>
    <x v="54"/>
    <n v="6.3"/>
    <x v="7"/>
    <s v="VPN Client"/>
    <s v="Medium"/>
    <n v="240"/>
    <x v="1"/>
    <s v="Portal"/>
    <s v="Tier 1"/>
    <x v="9"/>
    <x v="0"/>
    <s v="No"/>
    <s v="No"/>
    <n v="1"/>
    <s v="No"/>
    <n v="5"/>
    <n v="3.3"/>
    <n v="24.1"/>
    <s v="Yes"/>
    <s v="Fair"/>
    <s v="No"/>
    <s v="Marketing"/>
    <s v="Wednesday"/>
    <s v="Morning"/>
  </r>
  <r>
    <x v="136"/>
    <s v="2024-06-12 21:59:06"/>
    <x v="10"/>
    <s v="2024-06-17 03:17:06"/>
    <x v="14"/>
    <n v="4.2"/>
    <x v="1"/>
    <s v="Monitor"/>
    <s v="High"/>
    <n v="120"/>
    <x v="1"/>
    <s v="Email"/>
    <s v="Tier 2"/>
    <x v="18"/>
    <x v="1"/>
    <s v="No"/>
    <s v="Yes"/>
    <n v="4"/>
    <s v="No"/>
    <n v="9"/>
    <n v="3.1"/>
    <n v="28"/>
    <s v="No"/>
    <s v="Excellent"/>
    <s v="No"/>
    <s v="Legal"/>
    <s v="Friday"/>
    <s v="Morning"/>
  </r>
  <r>
    <x v="137"/>
    <s v="2024-10-23 22:48:59"/>
    <x v="2"/>
    <s v="2024-10-25 13:12:59"/>
    <x v="132"/>
    <n v="1.6"/>
    <x v="2"/>
    <s v="Ethernet"/>
    <s v="Critical"/>
    <n v="48"/>
    <x v="1"/>
    <s v="Phone"/>
    <s v="Tier 2"/>
    <x v="18"/>
    <x v="0"/>
    <s v="No"/>
    <s v="Yes"/>
    <n v="3"/>
    <s v="No"/>
    <n v="8"/>
    <n v="1.3"/>
    <n v="32.6"/>
    <s v="Yes"/>
    <s v="Fair"/>
    <s v="Yes"/>
    <s v="IT"/>
    <s v="Friday"/>
    <s v="Afternoon"/>
  </r>
  <r>
    <x v="138"/>
    <s v="2024-06-14 10:24:28"/>
    <x v="10"/>
    <s v="2024-06-17 22:42:28"/>
    <x v="133"/>
    <n v="3.5"/>
    <x v="5"/>
    <s v="Training Request"/>
    <s v="High"/>
    <n v="120"/>
    <x v="1"/>
    <s v="Email"/>
    <s v="Tier 1"/>
    <x v="10"/>
    <x v="2"/>
    <s v="No"/>
    <s v="No"/>
    <n v="1"/>
    <s v="Yes"/>
    <n v="7"/>
    <n v="2.9"/>
    <n v="2.1"/>
    <s v="Yes"/>
    <s v="Fair"/>
    <s v="Yes"/>
    <s v="Operations"/>
    <s v="Wednesday"/>
    <s v="Afternoon"/>
  </r>
  <r>
    <x v="139"/>
    <s v="2024-03-27 08:09:07"/>
    <x v="5"/>
    <s v="2024-04-02 13:45:07"/>
    <x v="134"/>
    <n v="6.2"/>
    <x v="6"/>
    <s v="Distribution List"/>
    <s v="Medium"/>
    <n v="240"/>
    <x v="1"/>
    <s v="Phone"/>
    <s v="Tier 1"/>
    <x v="5"/>
    <x v="1"/>
    <s v="No"/>
    <s v="No"/>
    <n v="1"/>
    <s v="No"/>
    <n v="8"/>
    <n v="1.2"/>
    <n v="20.2"/>
    <s v="Yes"/>
    <s v="Excellent"/>
    <s v="No"/>
    <s v="HR"/>
    <s v="Monday"/>
    <s v="Morning"/>
  </r>
  <r>
    <x v="140"/>
    <s v="2024-12-18 12:39:34"/>
    <x v="0"/>
    <s v="2024-12-28 21:39:34"/>
    <x v="135"/>
    <n v="10.4"/>
    <x v="3"/>
    <s v="Account Unlock"/>
    <s v="Low"/>
    <n v="360"/>
    <x v="1"/>
    <s v="Portal"/>
    <s v="Tier 1"/>
    <x v="4"/>
    <x v="0"/>
    <s v="Yes"/>
    <s v="No"/>
    <n v="0"/>
    <s v="No"/>
    <n v="10"/>
    <n v="6.4"/>
    <n v="8.5"/>
    <s v="No"/>
    <s v="Good"/>
    <s v="No"/>
    <s v="Sales"/>
    <s v="Thursday"/>
    <s v="Afternoon"/>
  </r>
  <r>
    <x v="141"/>
    <s v="2024-08-13 04:24:59"/>
    <x v="1"/>
    <s v="2024-08-30 21:24:59"/>
    <x v="136"/>
    <n v="17.7"/>
    <x v="0"/>
    <s v="File Share"/>
    <s v="Low"/>
    <n v="360"/>
    <x v="0"/>
    <s v="Phone"/>
    <s v="Tier 1"/>
    <x v="0"/>
    <x v="2"/>
    <s v="Yes"/>
    <s v="No"/>
    <n v="0"/>
    <s v="No"/>
    <n v="6"/>
    <n v="1.4"/>
    <n v="27.5"/>
    <s v="Yes"/>
    <s v="Good"/>
    <s v="No"/>
    <s v="Legal"/>
    <s v="Friday"/>
    <s v="Morning"/>
  </r>
  <r>
    <x v="142"/>
    <s v="2024-11-02 16:35:38"/>
    <x v="7"/>
    <s v="2024-11-13 21:35:38"/>
    <x v="137"/>
    <n v="11.2"/>
    <x v="0"/>
    <s v="File Share"/>
    <s v="Low"/>
    <n v="360"/>
    <x v="1"/>
    <s v="Phone"/>
    <s v="Tier 1"/>
    <x v="6"/>
    <x v="1"/>
    <s v="No"/>
    <s v="No"/>
    <n v="1"/>
    <s v="No"/>
    <n v="10"/>
    <n v="5.7"/>
    <n v="3.4"/>
    <s v="Yes"/>
    <s v="Fair"/>
    <s v="Yes"/>
    <s v="Executive"/>
    <s v="Friday"/>
    <s v="Afternoon"/>
  </r>
  <r>
    <x v="143"/>
    <s v="2024-10-01 00:50:01"/>
    <x v="2"/>
    <s v="2024-10-13 10:20:01"/>
    <x v="138"/>
    <n v="11.4"/>
    <x v="5"/>
    <s v="Training Request"/>
    <s v="Low"/>
    <n v="360"/>
    <x v="1"/>
    <s v="Phone"/>
    <s v="Tier 1"/>
    <x v="13"/>
    <x v="2"/>
    <s v="Yes"/>
    <s v="No"/>
    <n v="0"/>
    <s v="Yes"/>
    <n v="8"/>
    <n v="0.1"/>
    <n v="23"/>
    <s v="No"/>
    <s v="Good"/>
    <s v="No"/>
    <s v="Executive"/>
    <s v="Tuesday"/>
    <s v="Morning"/>
  </r>
  <r>
    <x v="144"/>
    <s v="2024-12-04 15:29:50"/>
    <x v="0"/>
    <s v="2024-12-21 08:29:50"/>
    <x v="78"/>
    <n v="16.7"/>
    <x v="3"/>
    <s v="Email Password"/>
    <s v="Low"/>
    <n v="360"/>
    <x v="0"/>
    <s v="Email"/>
    <s v="Tier 1"/>
    <x v="11"/>
    <x v="2"/>
    <s v="Yes"/>
    <s v="No"/>
    <n v="0"/>
    <s v="Yes"/>
    <n v="7"/>
    <n v="0.9"/>
    <n v="9.4"/>
    <s v="Yes"/>
    <s v="Poor"/>
    <s v="Yes"/>
    <s v="Operations"/>
    <s v="Tuesday"/>
    <s v="Afternoon"/>
  </r>
  <r>
    <x v="145"/>
    <s v="2024-02-27 06:25:26"/>
    <x v="6"/>
    <s v="2024-03-09 18:25:26"/>
    <x v="139"/>
    <n v="11.5"/>
    <x v="3"/>
    <s v="Email Password"/>
    <s v="Low"/>
    <n v="360"/>
    <x v="1"/>
    <s v="Phone"/>
    <s v="Tier 1"/>
    <x v="9"/>
    <x v="0"/>
    <s v="Yes"/>
    <s v="No"/>
    <n v="0"/>
    <s v="Yes"/>
    <n v="10"/>
    <n v="1.5"/>
    <n v="28.8"/>
    <s v="Yes"/>
    <s v="Poor"/>
    <s v="Yes"/>
    <s v="IT"/>
    <s v="Tuesday"/>
    <s v="Evening"/>
  </r>
  <r>
    <x v="146"/>
    <s v="2024-08-04 07:41:32"/>
    <x v="1"/>
    <s v="2024-08-11 16:53:32"/>
    <x v="140"/>
    <n v="7.4"/>
    <x v="2"/>
    <s v="Slow Network"/>
    <s v="High"/>
    <n v="120"/>
    <x v="0"/>
    <s v="Email"/>
    <s v="Tier 2"/>
    <x v="9"/>
    <x v="2"/>
    <s v="No"/>
    <s v="Yes"/>
    <n v="4"/>
    <s v="Yes"/>
    <n v="5"/>
    <n v="3.8"/>
    <n v="24.5"/>
    <s v="Yes"/>
    <s v="Poor"/>
    <s v="No"/>
    <s v="Finance"/>
    <s v="Thursday"/>
    <s v="Morning"/>
  </r>
  <r>
    <x v="147"/>
    <s v="2024-04-12 11:46:32"/>
    <x v="11"/>
    <s v="2024-04-20 01:46:32"/>
    <x v="141"/>
    <n v="8.6"/>
    <x v="7"/>
    <s v="VPN Client"/>
    <s v="Medium"/>
    <n v="240"/>
    <x v="1"/>
    <s v="Email"/>
    <s v="Tier 1"/>
    <x v="24"/>
    <x v="2"/>
    <s v="Yes"/>
    <s v="No"/>
    <n v="0"/>
    <s v="No"/>
    <n v="10"/>
    <n v="0.5"/>
    <n v="17.399999999999999"/>
    <s v="Yes"/>
    <s v="Good"/>
    <s v="No"/>
    <s v="Operations"/>
    <s v="Thursday"/>
    <s v="Morning"/>
  </r>
  <r>
    <x v="148"/>
    <s v="2024-06-28 07:17:18"/>
    <x v="10"/>
    <s v="2024-08-03 03:41:18"/>
    <x v="142"/>
    <n v="35.9"/>
    <x v="6"/>
    <s v="Cannot Send/Receive"/>
    <s v="Low"/>
    <n v="360"/>
    <x v="0"/>
    <s v="Phone"/>
    <s v="Tier 1"/>
    <x v="3"/>
    <x v="1"/>
    <s v="No"/>
    <s v="No"/>
    <n v="1"/>
    <s v="No"/>
    <n v="5"/>
    <n v="2.4"/>
    <n v="0"/>
    <s v="Yes"/>
    <s v="Poor"/>
    <s v="Yes"/>
    <s v="Executive"/>
    <s v="Monday"/>
    <s v="Morning"/>
  </r>
  <r>
    <x v="149"/>
    <s v="2024-08-22 16:42:38"/>
    <x v="1"/>
    <s v="2024-08-30 00:42:38"/>
    <x v="143"/>
    <n v="8.3000000000000007"/>
    <x v="7"/>
    <s v="MS Office"/>
    <s v="Medium"/>
    <n v="240"/>
    <x v="1"/>
    <s v="Portal"/>
    <s v="Tier 1"/>
    <x v="13"/>
    <x v="1"/>
    <s v="Yes"/>
    <s v="No"/>
    <n v="0"/>
    <s v="Yes"/>
    <n v="10"/>
    <n v="4.8"/>
    <n v="7"/>
    <s v="Yes"/>
    <s v="Fair"/>
    <s v="Yes"/>
    <s v="IT"/>
    <s v="Wednesday"/>
    <s v="Morning"/>
  </r>
  <r>
    <x v="150"/>
    <s v="2024-02-26 00:12:16"/>
    <x v="6"/>
    <s v="2024-03-28 18:48:16"/>
    <x v="144"/>
    <n v="30.8"/>
    <x v="1"/>
    <s v="Laptop"/>
    <s v="Low"/>
    <n v="360"/>
    <x v="0"/>
    <s v="Phone"/>
    <s v="Tier 1"/>
    <x v="5"/>
    <x v="1"/>
    <s v="No"/>
    <s v="No"/>
    <n v="1"/>
    <s v="No"/>
    <n v="7"/>
    <n v="4.7"/>
    <n v="30.4"/>
    <s v="Yes"/>
    <s v="Fair"/>
    <s v="Yes"/>
    <s v="Executive"/>
    <s v="Wednesday"/>
    <s v="Afternoon"/>
  </r>
  <r>
    <x v="151"/>
    <s v="2024-02-19 21:06:24"/>
    <x v="6"/>
    <s v="2024-03-06 17:36:24"/>
    <x v="145"/>
    <n v="15.9"/>
    <x v="7"/>
    <s v="MS Office"/>
    <s v="Low"/>
    <n v="360"/>
    <x v="0"/>
    <s v="Phone"/>
    <s v="Tier 2"/>
    <x v="0"/>
    <x v="1"/>
    <s v="No"/>
    <s v="Yes"/>
    <n v="1"/>
    <s v="No"/>
    <n v="8"/>
    <n v="2.8"/>
    <n v="9.3000000000000007"/>
    <s v="Yes"/>
    <s v="Fair"/>
    <s v="No"/>
    <s v="Legal"/>
    <s v="Wednesday"/>
    <s v="Afternoon"/>
  </r>
  <r>
    <x v="152"/>
    <s v="2024-07-12 19:50:36"/>
    <x v="4"/>
    <s v="2024-07-26 20:38:36"/>
    <x v="146"/>
    <n v="14"/>
    <x v="6"/>
    <s v="Calendar Sync"/>
    <s v="Medium"/>
    <n v="240"/>
    <x v="0"/>
    <s v="Email"/>
    <s v="Tier 1"/>
    <x v="11"/>
    <x v="2"/>
    <s v="Yes"/>
    <s v="No"/>
    <n v="0"/>
    <s v="No"/>
    <n v="7"/>
    <n v="1.5"/>
    <n v="21.5"/>
    <s v="Yes"/>
    <s v="Excellent"/>
    <s v="Yes"/>
    <s v="IT"/>
    <s v="Thursday"/>
    <s v="Afternoon"/>
  </r>
  <r>
    <x v="153"/>
    <s v="2024-12-01 12:16:35"/>
    <x v="0"/>
    <s v="2024-12-31 22:58:35"/>
    <x v="147"/>
    <n v="30.4"/>
    <x v="7"/>
    <s v="Drivers"/>
    <s v="Low"/>
    <n v="360"/>
    <x v="0"/>
    <s v="Phone"/>
    <s v="Tier 1"/>
    <x v="7"/>
    <x v="0"/>
    <s v="No"/>
    <s v="No"/>
    <n v="1"/>
    <s v="No"/>
    <n v="7"/>
    <n v="5.5"/>
    <n v="7.9"/>
    <s v="Yes"/>
    <s v="Fair"/>
    <s v="Yes"/>
    <s v="Executive"/>
    <s v="Friday"/>
    <s v="Afternoon"/>
  </r>
  <r>
    <x v="154"/>
    <s v="2024-07-27 14:18:29"/>
    <x v="4"/>
    <s v="2024-07-30 16:24:29"/>
    <x v="148"/>
    <n v="3.1"/>
    <x v="2"/>
    <s v="VPN Connection"/>
    <s v="High"/>
    <n v="120"/>
    <x v="1"/>
    <s v="Portal"/>
    <s v="Tier 1"/>
    <x v="7"/>
    <x v="1"/>
    <s v="Yes"/>
    <s v="No"/>
    <n v="0"/>
    <s v="No"/>
    <n v="7"/>
    <n v="4.0999999999999996"/>
    <n v="19.8"/>
    <s v="No"/>
    <s v="Fair"/>
    <s v="Yes"/>
    <s v="Sales"/>
    <s v="Wednesday"/>
    <s v="Morning"/>
  </r>
  <r>
    <x v="155"/>
    <s v="2024-06-04 20:35:48"/>
    <x v="10"/>
    <s v="2024-06-17 12:23:48"/>
    <x v="149"/>
    <n v="12.7"/>
    <x v="3"/>
    <s v="Email Password"/>
    <s v="Low"/>
    <n v="360"/>
    <x v="1"/>
    <s v="Portal"/>
    <s v="Tier 1"/>
    <x v="22"/>
    <x v="2"/>
    <s v="Yes"/>
    <s v="No"/>
    <n v="0"/>
    <s v="No"/>
    <n v="8"/>
    <n v="0.6"/>
    <n v="12.7"/>
    <s v="Yes"/>
    <s v="Fair"/>
    <s v="Yes"/>
    <s v="Executive"/>
    <s v="Wednesday"/>
    <s v="Morning"/>
  </r>
  <r>
    <x v="156"/>
    <s v="2024-06-25 17:51:03"/>
    <x v="10"/>
    <s v="2024-07-16 00:21:03"/>
    <x v="150"/>
    <n v="21.3"/>
    <x v="3"/>
    <s v="Application Password"/>
    <s v="Low"/>
    <n v="360"/>
    <x v="0"/>
    <s v="Chat"/>
    <s v="Tier 1"/>
    <x v="1"/>
    <x v="2"/>
    <s v="Yes"/>
    <s v="No"/>
    <n v="0"/>
    <s v="No"/>
    <n v="6"/>
    <n v="2.4"/>
    <n v="29.2"/>
    <s v="No"/>
    <s v="Fair"/>
    <s v="No"/>
    <s v="Sales"/>
    <s v="Wednesday"/>
    <s v="Afternoon"/>
  </r>
  <r>
    <x v="157"/>
    <s v="2024-09-06 00:48:56"/>
    <x v="9"/>
    <s v="2024-09-17 02:24:56"/>
    <x v="151"/>
    <n v="11.1"/>
    <x v="6"/>
    <s v="Distribution List"/>
    <s v="High"/>
    <n v="120"/>
    <x v="0"/>
    <s v="Email"/>
    <s v="Tier 1"/>
    <x v="15"/>
    <x v="0"/>
    <s v="No"/>
    <s v="No"/>
    <n v="1"/>
    <s v="No"/>
    <n v="7"/>
    <n v="2.6"/>
    <n v="3.8"/>
    <s v="Yes"/>
    <s v="Poor"/>
    <s v="Yes"/>
    <s v="Operations"/>
    <s v="Tuesday"/>
    <s v="Morning"/>
  </r>
  <r>
    <x v="158"/>
    <s v="2024-06-15 13:45:21"/>
    <x v="10"/>
    <s v="2024-06-23 21:33:21"/>
    <x v="152"/>
    <n v="8.3000000000000007"/>
    <x v="3"/>
    <s v="Account Unlock"/>
    <s v="Medium"/>
    <n v="240"/>
    <x v="1"/>
    <s v="Phone"/>
    <s v="Tier 1"/>
    <x v="9"/>
    <x v="1"/>
    <s v="Yes"/>
    <s v="No"/>
    <n v="0"/>
    <s v="No"/>
    <n v="10"/>
    <n v="2.8"/>
    <n v="23.4"/>
    <s v="Yes"/>
    <s v="Good"/>
    <s v="No"/>
    <s v="Marketing"/>
    <s v="Tuesday"/>
    <s v="Morning"/>
  </r>
  <r>
    <x v="159"/>
    <s v="2024-10-23 07:48:42"/>
    <x v="2"/>
    <s v="2024-11-05 07:42:42"/>
    <x v="153"/>
    <n v="13"/>
    <x v="3"/>
    <s v="Account Unlock"/>
    <s v="Low"/>
    <n v="360"/>
    <x v="1"/>
    <s v="Phone"/>
    <s v="Tier 1"/>
    <x v="19"/>
    <x v="0"/>
    <s v="No"/>
    <s v="No"/>
    <n v="1"/>
    <s v="No"/>
    <n v="8"/>
    <n v="0.1"/>
    <n v="26.4"/>
    <s v="Yes"/>
    <s v="Fair"/>
    <s v="Yes"/>
    <s v="Executive"/>
    <s v="Thursday"/>
    <s v="Afternoon"/>
  </r>
  <r>
    <x v="160"/>
    <s v="2024-02-12 10:16:12"/>
    <x v="6"/>
    <s v="2024-02-19 22:40:12"/>
    <x v="64"/>
    <n v="7.5"/>
    <x v="7"/>
    <s v="VPN Client"/>
    <s v="Medium"/>
    <n v="240"/>
    <x v="1"/>
    <s v="Walk-in"/>
    <s v="Tier 1"/>
    <x v="24"/>
    <x v="0"/>
    <s v="Yes"/>
    <s v="No"/>
    <n v="0"/>
    <s v="No"/>
    <n v="9"/>
    <n v="5"/>
    <n v="22.5"/>
    <s v="Yes"/>
    <s v="Fair"/>
    <s v="Yes"/>
    <s v="Finance"/>
    <s v="Wednesday"/>
    <s v="Afternoon"/>
  </r>
  <r>
    <x v="161"/>
    <s v="2024-06-18 00:00:34"/>
    <x v="10"/>
    <s v="2024-06-29 23:00:34"/>
    <x v="154"/>
    <n v="11"/>
    <x v="5"/>
    <s v="Training Request"/>
    <s v="Low"/>
    <n v="360"/>
    <x v="1"/>
    <s v="Phone"/>
    <s v="Tier 2"/>
    <x v="22"/>
    <x v="2"/>
    <s v="No"/>
    <s v="Yes"/>
    <n v="3"/>
    <s v="Yes"/>
    <n v="7"/>
    <n v="1.6"/>
    <n v="23"/>
    <s v="Yes"/>
    <s v="Good"/>
    <s v="No"/>
    <s v="Executive"/>
    <s v="Wednesday"/>
    <s v="Morning"/>
  </r>
  <r>
    <x v="162"/>
    <s v="2024-06-17 09:02:09"/>
    <x v="10"/>
    <s v="2024-06-19 06:26:09"/>
    <x v="155"/>
    <n v="1.9"/>
    <x v="5"/>
    <s v="Documentation"/>
    <s v="Critical"/>
    <n v="48"/>
    <x v="1"/>
    <s v="Email"/>
    <s v="Tier 1"/>
    <x v="10"/>
    <x v="2"/>
    <s v="No"/>
    <s v="No"/>
    <n v="1"/>
    <s v="No"/>
    <n v="8"/>
    <n v="5.2"/>
    <n v="24.6"/>
    <s v="Yes"/>
    <s v="Fair"/>
    <s v="Yes"/>
    <s v="Finance"/>
    <s v="Wednesday"/>
    <s v="Evening"/>
  </r>
  <r>
    <x v="163"/>
    <s v="2024-08-25 09:11:20"/>
    <x v="1"/>
    <s v="2024-09-03 05:59:20"/>
    <x v="156"/>
    <n v="8.9"/>
    <x v="7"/>
    <s v="Business Apps"/>
    <s v="Medium"/>
    <n v="240"/>
    <x v="1"/>
    <s v="Email"/>
    <s v="Tier 2"/>
    <x v="0"/>
    <x v="2"/>
    <s v="No"/>
    <s v="Yes"/>
    <n v="1"/>
    <s v="No"/>
    <n v="8"/>
    <n v="3.3"/>
    <n v="36.200000000000003"/>
    <s v="No"/>
    <s v="Fair"/>
    <s v="Yes"/>
    <s v="IT"/>
    <s v="Monday"/>
    <s v="Morning"/>
  </r>
  <r>
    <x v="164"/>
    <s v="2024-04-22 00:44:43"/>
    <x v="11"/>
    <s v="2024-05-06 16:14:43"/>
    <x v="157"/>
    <n v="13.6"/>
    <x v="7"/>
    <s v="MS Office"/>
    <s v="Medium"/>
    <n v="240"/>
    <x v="0"/>
    <s v="Portal"/>
    <s v="Tier 1"/>
    <x v="1"/>
    <x v="0"/>
    <s v="No"/>
    <s v="No"/>
    <n v="1"/>
    <s v="Yes"/>
    <n v="6"/>
    <n v="3.1"/>
    <n v="36.299999999999997"/>
    <s v="Yes"/>
    <s v="Fair"/>
    <s v="Yes"/>
    <s v="HR"/>
    <s v="Monday"/>
    <s v="Afternoon"/>
  </r>
  <r>
    <x v="165"/>
    <s v="2024-06-21 02:57:53"/>
    <x v="10"/>
    <s v="2024-07-18 04:45:53"/>
    <x v="158"/>
    <n v="26.1"/>
    <x v="3"/>
    <s v="Email Password"/>
    <s v="Low"/>
    <n v="360"/>
    <x v="0"/>
    <s v="Email"/>
    <s v="Tier 1"/>
    <x v="11"/>
    <x v="0"/>
    <s v="Yes"/>
    <s v="No"/>
    <n v="0"/>
    <s v="No"/>
    <n v="10"/>
    <n v="3.9"/>
    <n v="14.5"/>
    <s v="Yes"/>
    <s v="Good"/>
    <s v="Yes"/>
    <s v="Executive"/>
    <s v="Friday"/>
    <s v="Afternoon"/>
  </r>
  <r>
    <x v="166"/>
    <s v="2024-04-03 11:21:09"/>
    <x v="11"/>
    <s v="2024-04-16 18:15:09"/>
    <x v="159"/>
    <n v="13.3"/>
    <x v="7"/>
    <s v="Business Apps"/>
    <s v="Low"/>
    <n v="360"/>
    <x v="1"/>
    <s v="Email"/>
    <s v="Tier 1"/>
    <x v="5"/>
    <x v="2"/>
    <s v="Yes"/>
    <s v="No"/>
    <n v="0"/>
    <s v="No"/>
    <n v="9"/>
    <n v="3.1"/>
    <n v="14.9"/>
    <s v="Yes"/>
    <s v="Good"/>
    <s v="No"/>
    <s v="Operations"/>
    <s v="Friday"/>
    <s v="Afternoon"/>
  </r>
  <r>
    <x v="167"/>
    <s v="2024-07-29 03:02:29"/>
    <x v="4"/>
    <s v="2024-08-11 13:20:29"/>
    <x v="160"/>
    <n v="13.4"/>
    <x v="7"/>
    <s v="Drivers"/>
    <s v="Low"/>
    <n v="360"/>
    <x v="1"/>
    <s v="Portal"/>
    <s v="Tier 1"/>
    <x v="1"/>
    <x v="2"/>
    <s v="Yes"/>
    <s v="No"/>
    <n v="0"/>
    <s v="No"/>
    <n v="10"/>
    <n v="3"/>
    <n v="7.8"/>
    <s v="Yes"/>
    <s v="Poor"/>
    <s v="No"/>
    <s v="Finance"/>
    <s v="Thursday"/>
    <s v="Morning"/>
  </r>
  <r>
    <x v="168"/>
    <s v="2024-03-15 01:03:41"/>
    <x v="5"/>
    <s v="2024-03-21 05:15:41"/>
    <x v="161"/>
    <n v="5.2"/>
    <x v="1"/>
    <s v="Laptop"/>
    <s v="High"/>
    <n v="120"/>
    <x v="0"/>
    <s v="Email"/>
    <s v="Tier 1"/>
    <x v="20"/>
    <x v="0"/>
    <s v="No"/>
    <s v="No"/>
    <n v="1"/>
    <s v="No"/>
    <n v="7"/>
    <n v="4.5"/>
    <n v="19.399999999999999"/>
    <s v="Yes"/>
    <s v="Fair"/>
    <s v="Yes"/>
    <s v="IT"/>
    <s v="Wednesday"/>
    <s v="Morning"/>
  </r>
  <r>
    <x v="169"/>
    <s v="2024-03-02 16:17:13"/>
    <x v="5"/>
    <s v="2024-03-10 21:53:13"/>
    <x v="162"/>
    <n v="8.1999999999999993"/>
    <x v="7"/>
    <s v="MS Office"/>
    <s v="Medium"/>
    <n v="240"/>
    <x v="1"/>
    <s v="Phone"/>
    <s v="Tier 1"/>
    <x v="18"/>
    <x v="1"/>
    <s v="No"/>
    <s v="No"/>
    <n v="1"/>
    <s v="Yes"/>
    <n v="8"/>
    <n v="0.1"/>
    <n v="22"/>
    <s v="Yes"/>
    <s v="Fair"/>
    <s v="Yes"/>
    <s v="IT"/>
    <s v="Monday"/>
    <s v="Morning"/>
  </r>
  <r>
    <x v="170"/>
    <s v="2024-03-25 13:01:47"/>
    <x v="5"/>
    <s v="2024-04-01 11:25:47"/>
    <x v="163"/>
    <n v="6.9"/>
    <x v="3"/>
    <s v="Windows Password"/>
    <s v="High"/>
    <n v="120"/>
    <x v="0"/>
    <s v="Phone"/>
    <s v="Tier 1"/>
    <x v="20"/>
    <x v="0"/>
    <s v="Yes"/>
    <s v="No"/>
    <n v="0"/>
    <s v="No"/>
    <n v="8"/>
    <n v="1.4"/>
    <n v="21.2"/>
    <s v="Yes"/>
    <s v="Excellent"/>
    <s v="No"/>
    <s v="Sales"/>
    <s v="Friday"/>
    <s v="Morning"/>
  </r>
  <r>
    <x v="171"/>
    <s v="2024-08-08 14:16:55"/>
    <x v="1"/>
    <s v="2024-08-17 18:10:55"/>
    <x v="164"/>
    <n v="9.1999999999999993"/>
    <x v="5"/>
    <s v="Training Request"/>
    <s v="Medium"/>
    <n v="240"/>
    <x v="1"/>
    <s v="Walk-in"/>
    <s v="Tier 1"/>
    <x v="13"/>
    <x v="0"/>
    <s v="No"/>
    <s v="No"/>
    <n v="1"/>
    <s v="No"/>
    <n v="8"/>
    <n v="1.4"/>
    <n v="36.4"/>
    <s v="Yes"/>
    <s v="Fair"/>
    <s v="Yes"/>
    <s v="Marketing"/>
    <s v="Monday"/>
    <s v="Morning"/>
  </r>
  <r>
    <x v="172"/>
    <s v="2024-05-24 01:17:48"/>
    <x v="8"/>
    <s v="2024-06-02 14:11:48"/>
    <x v="165"/>
    <n v="8.5"/>
    <x v="7"/>
    <s v="Drivers"/>
    <s v="Medium"/>
    <n v="240"/>
    <x v="1"/>
    <s v="Portal"/>
    <s v="Tier 1"/>
    <x v="23"/>
    <x v="2"/>
    <s v="No"/>
    <s v="No"/>
    <n v="1"/>
    <s v="No"/>
    <n v="7"/>
    <n v="3"/>
    <n v="24.8"/>
    <s v="No"/>
    <s v="Good"/>
    <s v="Yes"/>
    <s v="Legal"/>
    <s v="Thursday"/>
    <s v="Evening"/>
  </r>
  <r>
    <x v="173"/>
    <s v="2024-03-16 19:12:11"/>
    <x v="5"/>
    <s v="2024-03-24 06:30:11"/>
    <x v="166"/>
    <n v="7.5"/>
    <x v="1"/>
    <s v="Keyboard/Mouse"/>
    <s v="Medium"/>
    <n v="240"/>
    <x v="1"/>
    <s v="Phone"/>
    <s v="Tier 1"/>
    <x v="12"/>
    <x v="0"/>
    <s v="No"/>
    <s v="No"/>
    <n v="1"/>
    <s v="No"/>
    <n v="5"/>
    <n v="3.1"/>
    <n v="27.9"/>
    <s v="Yes"/>
    <s v="Good"/>
    <s v="Yes"/>
    <s v="IT"/>
    <s v="Wednesday"/>
    <s v="Evening"/>
  </r>
  <r>
    <x v="174"/>
    <s v="2024-04-10 11:50:28"/>
    <x v="11"/>
    <s v="2024-04-11 23:32:28"/>
    <x v="167"/>
    <n v="1.5"/>
    <x v="0"/>
    <s v="VPN Access"/>
    <s v="Critical"/>
    <n v="48"/>
    <x v="1"/>
    <s v="Phone"/>
    <s v="Tier 1"/>
    <x v="14"/>
    <x v="1"/>
    <s v="Yes"/>
    <s v="No"/>
    <n v="0"/>
    <s v="No"/>
    <n v="10"/>
    <n v="2.7"/>
    <n v="40.299999999999997"/>
    <s v="Yes"/>
    <s v="Fair"/>
    <s v="No"/>
    <s v="Sales"/>
    <s v="Wednesday"/>
    <s v="Morning"/>
  </r>
  <r>
    <x v="175"/>
    <s v="2024-02-26 01:52:37"/>
    <x v="6"/>
    <s v="2024-03-05 10:10:37"/>
    <x v="168"/>
    <n v="7.3"/>
    <x v="5"/>
    <s v="Miscellaneous"/>
    <s v="Medium"/>
    <n v="240"/>
    <x v="1"/>
    <s v="Walk-in"/>
    <s v="Tier 1"/>
    <x v="1"/>
    <x v="2"/>
    <s v="No"/>
    <s v="No"/>
    <n v="1"/>
    <s v="No"/>
    <n v="8"/>
    <n v="1.1000000000000001"/>
    <n v="47.4"/>
    <s v="Yes"/>
    <s v="Fair"/>
    <s v="Yes"/>
    <s v="Sales"/>
    <s v="Wednesday"/>
    <s v="Afternoon"/>
  </r>
  <r>
    <x v="176"/>
    <s v="2024-10-30 14:16:27"/>
    <x v="2"/>
    <s v="2024-11-12 06:34:27"/>
    <x v="169"/>
    <n v="12.7"/>
    <x v="7"/>
    <s v="MS Office"/>
    <s v="Medium"/>
    <n v="240"/>
    <x v="0"/>
    <s v="Portal"/>
    <s v="Tier 1"/>
    <x v="17"/>
    <x v="2"/>
    <s v="No"/>
    <s v="No"/>
    <n v="1"/>
    <s v="No"/>
    <n v="6"/>
    <n v="0.7"/>
    <n v="9.1"/>
    <s v="Yes"/>
    <s v="Good"/>
    <s v="No"/>
    <s v="Legal"/>
    <s v="Monday"/>
    <s v="Afternoon"/>
  </r>
  <r>
    <x v="177"/>
    <s v="2024-03-11 23:18:06"/>
    <x v="5"/>
    <s v="2024-03-22 15:24:06"/>
    <x v="170"/>
    <n v="10.7"/>
    <x v="0"/>
    <s v="Admin Rights"/>
    <s v="Low"/>
    <n v="360"/>
    <x v="1"/>
    <s v="Phone"/>
    <s v="Tier 2"/>
    <x v="9"/>
    <x v="1"/>
    <s v="No"/>
    <s v="Yes"/>
    <n v="2"/>
    <s v="No"/>
    <n v="6"/>
    <n v="4.4000000000000004"/>
    <n v="24.7"/>
    <s v="No"/>
    <s v="Fair"/>
    <s v="No"/>
    <s v="Legal"/>
    <s v="Wednesday"/>
    <s v="Afternoon"/>
  </r>
  <r>
    <x v="178"/>
    <s v="2024-04-02 22:55:58"/>
    <x v="11"/>
    <s v="2024-04-17 04:43:58"/>
    <x v="171"/>
    <n v="14.2"/>
    <x v="3"/>
    <s v="Application Password"/>
    <s v="Low"/>
    <n v="360"/>
    <x v="1"/>
    <s v="Phone"/>
    <s v="Tier 1"/>
    <x v="2"/>
    <x v="2"/>
    <s v="Yes"/>
    <s v="No"/>
    <n v="0"/>
    <s v="Yes"/>
    <n v="10"/>
    <n v="3.1"/>
    <n v="0"/>
    <s v="Yes"/>
    <s v="Good"/>
    <s v="Yes"/>
    <s v="Sales"/>
    <s v="Thursday"/>
    <s v="Afternoon"/>
  </r>
  <r>
    <x v="179"/>
    <s v="2024-12-05 20:29:03"/>
    <x v="0"/>
    <s v="2024-12-09 23:53:03"/>
    <x v="172"/>
    <n v="4.0999999999999996"/>
    <x v="1"/>
    <s v="Desktop"/>
    <s v="High"/>
    <n v="120"/>
    <x v="1"/>
    <s v="Email"/>
    <s v="Tier 2"/>
    <x v="13"/>
    <x v="2"/>
    <s v="No"/>
    <s v="Yes"/>
    <n v="1"/>
    <s v="No"/>
    <n v="10"/>
    <n v="0.4"/>
    <n v="0"/>
    <s v="Yes"/>
    <s v="Poor"/>
    <s v="No"/>
    <s v="HR"/>
    <s v="Thursday"/>
    <s v="Evening"/>
  </r>
  <r>
    <x v="180"/>
    <s v="2024-10-15 11:50:30"/>
    <x v="2"/>
    <s v="2024-10-18 21:44:30"/>
    <x v="173"/>
    <n v="3.4"/>
    <x v="4"/>
    <s v="Login Issues"/>
    <s v="High"/>
    <n v="120"/>
    <x v="1"/>
    <s v="Phone"/>
    <s v="Tier 2"/>
    <x v="11"/>
    <x v="1"/>
    <s v="No"/>
    <s v="Yes"/>
    <n v="2"/>
    <s v="No"/>
    <n v="7"/>
    <n v="1.3"/>
    <n v="32.299999999999997"/>
    <s v="No"/>
    <s v="Poor"/>
    <s v="Yes"/>
    <s v="Marketing"/>
    <s v="Thursday"/>
    <s v="Morning"/>
  </r>
  <r>
    <x v="181"/>
    <s v="2024-01-23 05:28:02"/>
    <x v="3"/>
    <s v="2024-01-27 22:46:02"/>
    <x v="174"/>
    <n v="4.7"/>
    <x v="0"/>
    <s v="Application Access"/>
    <s v="High"/>
    <n v="120"/>
    <x v="1"/>
    <s v="Phone"/>
    <s v="Tier 1"/>
    <x v="7"/>
    <x v="2"/>
    <s v="No"/>
    <s v="No"/>
    <n v="1"/>
    <s v="Yes"/>
    <n v="8"/>
    <n v="7.4"/>
    <n v="15.3"/>
    <s v="Yes"/>
    <s v="Fair"/>
    <s v="No"/>
    <s v="HR"/>
    <s v="Friday"/>
    <s v="Morning"/>
  </r>
  <r>
    <x v="182"/>
    <s v="2024-04-22 15:32:20"/>
    <x v="11"/>
    <s v="2024-04-23 00:26:20"/>
    <x v="175"/>
    <n v="1.4"/>
    <x v="4"/>
    <s v="Features Not Working"/>
    <s v="Critical"/>
    <n v="48"/>
    <x v="1"/>
    <s v="Email"/>
    <s v="Tier 1"/>
    <x v="15"/>
    <x v="0"/>
    <s v="No"/>
    <s v="No"/>
    <n v="1"/>
    <s v="No"/>
    <n v="9"/>
    <n v="2"/>
    <n v="16.100000000000001"/>
    <s v="No"/>
    <s v="Poor"/>
    <s v="No"/>
    <s v="Operations"/>
    <s v="Tuesday"/>
    <s v="Afternoon"/>
  </r>
  <r>
    <x v="183"/>
    <s v="2024-08-10 20:04:21"/>
    <x v="1"/>
    <s v="2024-08-12 03:10:21"/>
    <x v="176"/>
    <n v="1.3"/>
    <x v="1"/>
    <s v="Desktop"/>
    <s v="Critical"/>
    <n v="48"/>
    <x v="1"/>
    <s v="Email"/>
    <s v="Tier 1"/>
    <x v="22"/>
    <x v="1"/>
    <s v="No"/>
    <s v="No"/>
    <n v="1"/>
    <s v="No"/>
    <n v="8"/>
    <n v="0.5"/>
    <n v="29.2"/>
    <s v="Yes"/>
    <s v="Fair"/>
    <s v="Yes"/>
    <s v="Executive"/>
    <s v="Thursday"/>
    <s v="Afternoon"/>
  </r>
  <r>
    <x v="184"/>
    <s v="2024-06-07 14:25:25"/>
    <x v="10"/>
    <s v="2024-06-21 09:19:25"/>
    <x v="177"/>
    <n v="13.8"/>
    <x v="5"/>
    <s v="General Inquiry"/>
    <s v="Low"/>
    <n v="360"/>
    <x v="1"/>
    <s v="Email"/>
    <s v="Tier 2"/>
    <x v="19"/>
    <x v="0"/>
    <s v="No"/>
    <s v="Yes"/>
    <n v="3"/>
    <s v="No"/>
    <n v="10"/>
    <n v="1.5"/>
    <n v="19.399999999999999"/>
    <s v="Yes"/>
    <s v="Good"/>
    <s v="Yes"/>
    <s v="Executive"/>
    <s v="Monday"/>
    <s v="Evening"/>
  </r>
  <r>
    <x v="185"/>
    <s v="2024-09-04 11:23:07"/>
    <x v="9"/>
    <s v="2024-09-12 13:53:07"/>
    <x v="178"/>
    <n v="8.1"/>
    <x v="0"/>
    <s v="Application Access"/>
    <s v="Medium"/>
    <n v="240"/>
    <x v="1"/>
    <s v="Walk-in"/>
    <s v="Tier 1"/>
    <x v="21"/>
    <x v="0"/>
    <s v="No"/>
    <s v="No"/>
    <n v="1"/>
    <s v="No"/>
    <n v="9"/>
    <n v="4.9000000000000004"/>
    <n v="31"/>
    <s v="No"/>
    <s v="Fair"/>
    <s v="Yes"/>
    <s v="Finance"/>
    <s v="Tuesday"/>
    <s v="Afternoon"/>
  </r>
  <r>
    <x v="186"/>
    <s v="2024-01-08 04:21:46"/>
    <x v="3"/>
    <s v="2024-01-11 17:57:46"/>
    <x v="179"/>
    <n v="3.6"/>
    <x v="2"/>
    <s v="WiFi Issues"/>
    <s v="High"/>
    <n v="120"/>
    <x v="1"/>
    <s v="Chat"/>
    <s v="Tier 1"/>
    <x v="18"/>
    <x v="2"/>
    <s v="Yes"/>
    <s v="No"/>
    <n v="0"/>
    <s v="No"/>
    <n v="9"/>
    <n v="1.7"/>
    <n v="32"/>
    <s v="Yes"/>
    <s v="Good"/>
    <s v="No"/>
    <s v="Executive"/>
    <s v="Tuesday"/>
    <s v="Morning"/>
  </r>
  <r>
    <x v="187"/>
    <s v="2024-05-13 13:34:22"/>
    <x v="8"/>
    <s v="2024-05-23 17:58:22"/>
    <x v="180"/>
    <n v="10.199999999999999"/>
    <x v="6"/>
    <s v="Distribution List"/>
    <s v="Medium"/>
    <n v="240"/>
    <x v="0"/>
    <s v="Phone"/>
    <s v="Tier 1"/>
    <x v="5"/>
    <x v="2"/>
    <s v="No"/>
    <s v="No"/>
    <n v="1"/>
    <s v="No"/>
    <n v="3"/>
    <n v="4.0999999999999996"/>
    <n v="36.1"/>
    <s v="Yes"/>
    <s v="Fair"/>
    <s v="No"/>
    <s v="IT"/>
    <s v="Thursday"/>
    <s v="Afternoon"/>
  </r>
  <r>
    <x v="188"/>
    <s v="2024-11-13 16:05:00"/>
    <x v="7"/>
    <s v="2024-11-22 02:17:00"/>
    <x v="181"/>
    <n v="8.4"/>
    <x v="0"/>
    <s v="Admin Rights"/>
    <s v="Medium"/>
    <n v="240"/>
    <x v="1"/>
    <s v="Email"/>
    <s v="Tier 1"/>
    <x v="12"/>
    <x v="2"/>
    <s v="Yes"/>
    <s v="No"/>
    <n v="0"/>
    <s v="Yes"/>
    <n v="10"/>
    <n v="0.6"/>
    <n v="17.8"/>
    <s v="No"/>
    <s v="Fair"/>
    <s v="No"/>
    <s v="Executive"/>
    <s v="Tuesday"/>
    <s v="Afternoon"/>
  </r>
  <r>
    <x v="189"/>
    <s v="2024-03-04 17:33:59"/>
    <x v="5"/>
    <s v="2024-03-05 22:27:59"/>
    <x v="182"/>
    <n v="1.2"/>
    <x v="4"/>
    <s v="Crash"/>
    <s v="Critical"/>
    <n v="48"/>
    <x v="1"/>
    <s v="Email"/>
    <s v="Tier 2"/>
    <x v="15"/>
    <x v="2"/>
    <s v="No"/>
    <s v="Yes"/>
    <n v="1"/>
    <s v="Yes"/>
    <n v="9"/>
    <n v="2.2999999999999998"/>
    <n v="0.4"/>
    <s v="Yes"/>
    <s v="Poor"/>
    <s v="Yes"/>
    <s v="Sales"/>
    <s v="Tuesday"/>
    <s v="Evening"/>
  </r>
  <r>
    <x v="190"/>
    <s v="2024-02-25 10:16:10"/>
    <x v="6"/>
    <s v="2024-03-04 16:04:10"/>
    <x v="183"/>
    <n v="8.1999999999999993"/>
    <x v="0"/>
    <s v="Admin Rights"/>
    <s v="Medium"/>
    <n v="240"/>
    <x v="1"/>
    <s v="Portal"/>
    <s v="Tier 1"/>
    <x v="4"/>
    <x v="2"/>
    <s v="No"/>
    <s v="No"/>
    <n v="1"/>
    <s v="No"/>
    <n v="8"/>
    <n v="0.1"/>
    <n v="14.5"/>
    <s v="Yes"/>
    <s v="Good"/>
    <s v="Yes"/>
    <s v="Legal"/>
    <s v="Thursday"/>
    <s v="Evening"/>
  </r>
  <r>
    <x v="191"/>
    <s v="2024-07-05 20:40:27"/>
    <x v="4"/>
    <s v="2024-07-12 04:58:27"/>
    <x v="184"/>
    <n v="6.3"/>
    <x v="0"/>
    <s v="File Share"/>
    <s v="Medium"/>
    <n v="240"/>
    <x v="1"/>
    <s v="Portal"/>
    <s v="Tier 1"/>
    <x v="17"/>
    <x v="1"/>
    <s v="Yes"/>
    <s v="No"/>
    <n v="0"/>
    <s v="No"/>
    <n v="10"/>
    <n v="4"/>
    <n v="19.8"/>
    <s v="Yes"/>
    <s v="Fair"/>
    <s v="Yes"/>
    <s v="Sales"/>
    <s v="Monday"/>
    <s v="Morning"/>
  </r>
  <r>
    <x v="192"/>
    <s v="2024-07-19 21:42:50"/>
    <x v="4"/>
    <s v="2024-07-28 14:00:50"/>
    <x v="185"/>
    <n v="8.6999999999999993"/>
    <x v="3"/>
    <s v="Email Password"/>
    <s v="Medium"/>
    <n v="240"/>
    <x v="1"/>
    <s v="Portal"/>
    <s v="Tier 1"/>
    <x v="2"/>
    <x v="1"/>
    <s v="Yes"/>
    <s v="No"/>
    <n v="0"/>
    <s v="Yes"/>
    <n v="10"/>
    <n v="4.3"/>
    <n v="10.1"/>
    <s v="Yes"/>
    <s v="Good"/>
    <s v="Yes"/>
    <s v="HR"/>
    <s v="Friday"/>
    <s v="Evening"/>
  </r>
  <r>
    <x v="193"/>
    <s v="2024-02-03 06:31:00"/>
    <x v="6"/>
    <s v="2024-02-13 13:25:00"/>
    <x v="186"/>
    <n v="10.3"/>
    <x v="3"/>
    <s v="Account Unlock"/>
    <s v="Low"/>
    <n v="360"/>
    <x v="1"/>
    <s v="Walk-in"/>
    <s v="Tier 1"/>
    <x v="22"/>
    <x v="2"/>
    <s v="Yes"/>
    <s v="No"/>
    <n v="0"/>
    <s v="No"/>
    <n v="10"/>
    <n v="3.7"/>
    <n v="27.8"/>
    <s v="Yes"/>
    <s v="Fair"/>
    <s v="Yes"/>
    <s v="Finance"/>
    <s v="Thursday"/>
    <s v="Afternoon"/>
  </r>
  <r>
    <x v="194"/>
    <s v="2024-11-11 05:50:02"/>
    <x v="7"/>
    <s v="2024-11-18 19:20:02"/>
    <x v="187"/>
    <n v="7.6"/>
    <x v="1"/>
    <s v="Monitor"/>
    <s v="Medium"/>
    <n v="240"/>
    <x v="1"/>
    <s v="Email"/>
    <s v="Tier 2"/>
    <x v="9"/>
    <x v="2"/>
    <s v="No"/>
    <s v="Yes"/>
    <n v="3"/>
    <s v="No"/>
    <n v="6"/>
    <n v="3.8"/>
    <n v="32.5"/>
    <s v="No"/>
    <s v="Good"/>
    <s v="No"/>
    <s v="Legal"/>
    <s v="Tuesday"/>
    <s v="Evening"/>
  </r>
  <r>
    <x v="195"/>
    <s v="2024-12-06 23:59:53"/>
    <x v="0"/>
    <s v="2024-12-19 16:41:53"/>
    <x v="188"/>
    <n v="12.7"/>
    <x v="3"/>
    <s v="Account Unlock"/>
    <s v="Low"/>
    <n v="360"/>
    <x v="1"/>
    <s v="Portal"/>
    <s v="Tier 1"/>
    <x v="24"/>
    <x v="2"/>
    <s v="Yes"/>
    <s v="No"/>
    <n v="0"/>
    <s v="No"/>
    <n v="8"/>
    <n v="5"/>
    <n v="17.600000000000001"/>
    <s v="No"/>
    <s v="Good"/>
    <s v="Yes"/>
    <s v="HR"/>
    <s v="Monday"/>
    <s v="Afternoon"/>
  </r>
  <r>
    <x v="196"/>
    <s v="2024-12-14 00:24:38"/>
    <x v="0"/>
    <s v="2024-12-19 09:24:38"/>
    <x v="189"/>
    <n v="4.4000000000000004"/>
    <x v="0"/>
    <s v="File Share"/>
    <s v="High"/>
    <n v="120"/>
    <x v="1"/>
    <s v="Email"/>
    <s v="Tier 1"/>
    <x v="4"/>
    <x v="1"/>
    <s v="Yes"/>
    <s v="No"/>
    <n v="0"/>
    <s v="No"/>
    <n v="10"/>
    <n v="5.0999999999999996"/>
    <n v="0"/>
    <s v="Yes"/>
    <s v="Poor"/>
    <s v="No"/>
    <s v="Sales"/>
    <s v="Wednesday"/>
    <s v="Afternoon"/>
  </r>
  <r>
    <x v="197"/>
    <s v="2024-10-15 03:42:44"/>
    <x v="2"/>
    <s v="2024-10-16 10:06:44"/>
    <x v="190"/>
    <n v="1.3"/>
    <x v="0"/>
    <s v="File Share"/>
    <s v="Critical"/>
    <n v="48"/>
    <x v="1"/>
    <s v="Chat"/>
    <s v="Tier 1"/>
    <x v="17"/>
    <x v="2"/>
    <s v="Yes"/>
    <s v="No"/>
    <n v="0"/>
    <s v="No"/>
    <n v="10"/>
    <n v="0.7"/>
    <n v="13.1"/>
    <s v="Yes"/>
    <s v="Fair"/>
    <s v="No"/>
    <s v="IT"/>
    <s v="Friday"/>
    <s v="Afternoon"/>
  </r>
  <r>
    <x v="198"/>
    <s v="2024-07-22 16:02:11"/>
    <x v="4"/>
    <s v="2024-08-04 16:02:11"/>
    <x v="191"/>
    <n v="13"/>
    <x v="7"/>
    <s v="Adobe Suite"/>
    <s v="High"/>
    <n v="120"/>
    <x v="0"/>
    <s v="Phone"/>
    <s v="Tier 1"/>
    <x v="21"/>
    <x v="2"/>
    <s v="No"/>
    <s v="No"/>
    <n v="1"/>
    <s v="No"/>
    <n v="4"/>
    <n v="1.5"/>
    <n v="17.399999999999999"/>
    <s v="Yes"/>
    <s v="Fair"/>
    <s v="No"/>
    <s v="Finance"/>
    <s v="Monday"/>
    <s v="Morning"/>
  </r>
  <r>
    <x v="199"/>
    <s v="2024-02-26 04:36:53"/>
    <x v="6"/>
    <s v="2024-03-01 20:42:53"/>
    <x v="192"/>
    <n v="4.7"/>
    <x v="2"/>
    <s v="Slow Network"/>
    <s v="High"/>
    <n v="120"/>
    <x v="1"/>
    <s v="Email"/>
    <s v="Tier 1"/>
    <x v="22"/>
    <x v="0"/>
    <s v="Yes"/>
    <s v="No"/>
    <n v="0"/>
    <s v="Yes"/>
    <n v="10"/>
    <n v="0.1"/>
    <n v="22.9"/>
    <s v="No"/>
    <s v="Poor"/>
    <s v="Yes"/>
    <s v="Legal"/>
    <s v="Thursday"/>
    <s v="Morning"/>
  </r>
  <r>
    <x v="200"/>
    <s v="2024-01-02 02:31:20"/>
    <x v="3"/>
    <s v="2024-01-12 13:19:20"/>
    <x v="193"/>
    <n v="10.5"/>
    <x v="6"/>
    <s v="Cannot Send/Receive"/>
    <s v="Medium"/>
    <n v="240"/>
    <x v="0"/>
    <s v="Walk-in"/>
    <s v="Tier 1"/>
    <x v="6"/>
    <x v="2"/>
    <s v="Yes"/>
    <s v="No"/>
    <n v="0"/>
    <s v="No"/>
    <n v="6"/>
    <n v="0.2"/>
    <n v="27.8"/>
    <s v="Yes"/>
    <s v="Fair"/>
    <s v="No"/>
    <s v="Operations"/>
    <s v="Wednesday"/>
    <s v="Evening"/>
  </r>
  <r>
    <x v="201"/>
    <s v="2024-07-05 22:46:57"/>
    <x v="4"/>
    <s v="2024-07-17 01:04:57"/>
    <x v="194"/>
    <n v="12.1"/>
    <x v="2"/>
    <s v="WiFi Issues"/>
    <s v="Low"/>
    <n v="360"/>
    <x v="1"/>
    <s v="Email"/>
    <s v="Tier 1"/>
    <x v="24"/>
    <x v="2"/>
    <s v="Yes"/>
    <s v="No"/>
    <n v="0"/>
    <s v="No"/>
    <n v="10"/>
    <n v="3.3"/>
    <n v="25.4"/>
    <s v="Yes"/>
    <s v="Poor"/>
    <s v="No"/>
    <s v="Finance"/>
    <s v="Tuesday"/>
    <s v="Morning"/>
  </r>
  <r>
    <x v="202"/>
    <s v="2024-04-03 05:49:26"/>
    <x v="11"/>
    <s v="2024-04-14 15:43:26"/>
    <x v="195"/>
    <n v="11.4"/>
    <x v="7"/>
    <s v="Adobe Suite"/>
    <s v="Low"/>
    <n v="360"/>
    <x v="1"/>
    <s v="Portal"/>
    <s v="Tier 2"/>
    <x v="11"/>
    <x v="0"/>
    <s v="No"/>
    <s v="Yes"/>
    <n v="2"/>
    <s v="No"/>
    <n v="8"/>
    <n v="3.6"/>
    <n v="12.5"/>
    <s v="Yes"/>
    <s v="Fair"/>
    <s v="No"/>
    <s v="IT"/>
    <s v="Friday"/>
    <s v="Morning"/>
  </r>
  <r>
    <x v="203"/>
    <s v="2024-10-31 13:34:32"/>
    <x v="2"/>
    <s v="2024-11-04 00:22:32"/>
    <x v="57"/>
    <n v="4.5"/>
    <x v="1"/>
    <s v="Docking Station"/>
    <s v="High"/>
    <n v="120"/>
    <x v="1"/>
    <s v="Email"/>
    <s v="Tier 1"/>
    <x v="5"/>
    <x v="0"/>
    <s v="Yes"/>
    <s v="No"/>
    <n v="0"/>
    <s v="No"/>
    <n v="10"/>
    <n v="0.6"/>
    <n v="26.3"/>
    <s v="Yes"/>
    <s v="Fair"/>
    <s v="Yes"/>
    <s v="Executive"/>
    <s v="Thursday"/>
    <s v="Afternoon"/>
  </r>
  <r>
    <x v="204"/>
    <s v="2024-04-10 11:10:59"/>
    <x v="11"/>
    <s v="2024-04-14 00:58:59"/>
    <x v="196"/>
    <n v="4.5999999999999996"/>
    <x v="5"/>
    <s v="Miscellaneous"/>
    <s v="High"/>
    <n v="120"/>
    <x v="1"/>
    <s v="Portal"/>
    <s v="Tier 1"/>
    <x v="0"/>
    <x v="1"/>
    <s v="No"/>
    <s v="No"/>
    <n v="1"/>
    <s v="No"/>
    <n v="8"/>
    <n v="2"/>
    <n v="9.6"/>
    <s v="Yes"/>
    <s v="Good"/>
    <s v="Yes"/>
    <s v="Marketing"/>
    <s v="Friday"/>
    <s v="Morning"/>
  </r>
  <r>
    <x v="205"/>
    <s v="2024-06-27 16:38:17"/>
    <x v="10"/>
    <s v="2024-07-09 01:32:17"/>
    <x v="197"/>
    <n v="12.4"/>
    <x v="7"/>
    <s v="MS Office"/>
    <s v="Low"/>
    <n v="360"/>
    <x v="1"/>
    <s v="Email"/>
    <s v="Tier 1"/>
    <x v="2"/>
    <x v="2"/>
    <s v="No"/>
    <s v="No"/>
    <n v="1"/>
    <s v="Yes"/>
    <n v="10"/>
    <n v="2.2000000000000002"/>
    <n v="13.1"/>
    <s v="Yes"/>
    <s v="Poor"/>
    <s v="Yes"/>
    <s v="Operations"/>
    <s v="Monday"/>
    <s v="Evening"/>
  </r>
  <r>
    <x v="206"/>
    <s v="2024-06-27 07:40:50"/>
    <x v="10"/>
    <s v="2024-07-09 11:16:50"/>
    <x v="198"/>
    <n v="12.2"/>
    <x v="2"/>
    <s v="Ethernet"/>
    <s v="High"/>
    <n v="120"/>
    <x v="0"/>
    <s v="Phone"/>
    <s v="Tier 1"/>
    <x v="0"/>
    <x v="1"/>
    <s v="Yes"/>
    <s v="No"/>
    <n v="0"/>
    <s v="Yes"/>
    <n v="10"/>
    <n v="2.2000000000000002"/>
    <n v="22.3"/>
    <s v="Yes"/>
    <s v="Good"/>
    <s v="No"/>
    <s v="Sales"/>
    <s v="Tuesday"/>
    <s v="Evening"/>
  </r>
  <r>
    <x v="207"/>
    <s v="2024-05-20 01:29:14"/>
    <x v="8"/>
    <s v="2024-06-01 16:11:14"/>
    <x v="199"/>
    <n v="11.6"/>
    <x v="3"/>
    <s v="Windows Password"/>
    <s v="Low"/>
    <n v="360"/>
    <x v="1"/>
    <s v="Walk-in"/>
    <s v="Tier 1"/>
    <x v="4"/>
    <x v="1"/>
    <s v="Yes"/>
    <s v="No"/>
    <n v="0"/>
    <s v="No"/>
    <n v="10"/>
    <n v="3.3"/>
    <n v="3.5"/>
    <s v="Yes"/>
    <s v="Fair"/>
    <s v="Yes"/>
    <s v="Legal"/>
    <s v="Monday"/>
    <s v="Morning"/>
  </r>
  <r>
    <x v="208"/>
    <s v="2024-02-09 17:05:33"/>
    <x v="6"/>
    <s v="2024-02-18 22:29:33"/>
    <x v="70"/>
    <n v="9.1999999999999993"/>
    <x v="3"/>
    <s v="Account Unlock"/>
    <s v="Low"/>
    <n v="360"/>
    <x v="1"/>
    <s v="Email"/>
    <s v="Tier 1"/>
    <x v="8"/>
    <x v="1"/>
    <s v="Yes"/>
    <s v="No"/>
    <n v="0"/>
    <s v="No"/>
    <n v="9"/>
    <n v="1.7"/>
    <n v="10.6"/>
    <s v="No"/>
    <s v="Excellent"/>
    <s v="No"/>
    <s v="Operations"/>
    <s v="Friday"/>
    <s v="Afternoon"/>
  </r>
  <r>
    <x v="209"/>
    <s v="2024-07-23 01:26:13"/>
    <x v="4"/>
    <s v="2024-08-20 22:44:13"/>
    <x v="200"/>
    <n v="27.9"/>
    <x v="5"/>
    <s v="Documentation"/>
    <s v="Low"/>
    <n v="360"/>
    <x v="0"/>
    <s v="Phone"/>
    <s v="Tier 1"/>
    <x v="2"/>
    <x v="1"/>
    <s v="No"/>
    <s v="No"/>
    <n v="1"/>
    <s v="No"/>
    <n v="5"/>
    <n v="2.5"/>
    <n v="5.6"/>
    <s v="Yes"/>
    <s v="Good"/>
    <s v="Yes"/>
    <s v="HR"/>
    <s v="Friday"/>
    <s v="Morning"/>
  </r>
  <r>
    <x v="210"/>
    <s v="2024-10-28 07:31:08"/>
    <x v="2"/>
    <s v="2024-11-06 00:49:08"/>
    <x v="103"/>
    <n v="9.6999999999999993"/>
    <x v="2"/>
    <s v="WiFi Issues"/>
    <s v="Low"/>
    <n v="360"/>
    <x v="1"/>
    <s v="Walk-in"/>
    <s v="Tier 1"/>
    <x v="19"/>
    <x v="2"/>
    <s v="No"/>
    <s v="No"/>
    <n v="1"/>
    <s v="No"/>
    <n v="9"/>
    <n v="2"/>
    <n v="27.6"/>
    <s v="Yes"/>
    <s v="Good"/>
    <s v="No"/>
    <s v="Sales"/>
    <s v="Thursday"/>
    <s v="Afternoon"/>
  </r>
  <r>
    <x v="211"/>
    <s v="2024-10-06 17:50:00"/>
    <x v="2"/>
    <s v="2024-11-03 00:38:00"/>
    <x v="201"/>
    <n v="28.3"/>
    <x v="0"/>
    <s v="VPN Access"/>
    <s v="Medium"/>
    <n v="240"/>
    <x v="0"/>
    <s v="Phone"/>
    <s v="Tier 1"/>
    <x v="21"/>
    <x v="1"/>
    <s v="No"/>
    <s v="No"/>
    <n v="1"/>
    <s v="No"/>
    <n v="6"/>
    <n v="1.3"/>
    <n v="4.8"/>
    <s v="Yes"/>
    <s v="Poor"/>
    <s v="No"/>
    <s v="Finance"/>
    <s v="Friday"/>
    <s v="Morning"/>
  </r>
  <r>
    <x v="212"/>
    <s v="2024-05-14 02:10:41"/>
    <x v="8"/>
    <s v="2024-05-21 05:46:41"/>
    <x v="202"/>
    <n v="6.1"/>
    <x v="6"/>
    <s v="Mailbox Full"/>
    <s v="High"/>
    <n v="120"/>
    <x v="0"/>
    <s v="Phone"/>
    <s v="Tier 1"/>
    <x v="8"/>
    <x v="2"/>
    <s v="No"/>
    <s v="No"/>
    <n v="1"/>
    <s v="No"/>
    <n v="8"/>
    <n v="6"/>
    <n v="8"/>
    <s v="Yes"/>
    <s v="Excellent"/>
    <s v="Yes"/>
    <s v="Executive"/>
    <s v="Monday"/>
    <s v="Afternoon"/>
  </r>
  <r>
    <x v="213"/>
    <s v="2024-05-15 11:14:39"/>
    <x v="8"/>
    <s v="2024-05-29 16:14:39"/>
    <x v="203"/>
    <n v="14.2"/>
    <x v="7"/>
    <s v="Adobe Suite"/>
    <s v="Low"/>
    <n v="360"/>
    <x v="1"/>
    <s v="Chat"/>
    <s v="Tier 2"/>
    <x v="22"/>
    <x v="1"/>
    <s v="No"/>
    <s v="Yes"/>
    <n v="2"/>
    <s v="No"/>
    <n v="5"/>
    <n v="3.4"/>
    <n v="1.4"/>
    <s v="Yes"/>
    <s v="Good"/>
    <s v="No"/>
    <s v="Legal"/>
    <s v="Thursday"/>
    <s v="Afternoon"/>
  </r>
  <r>
    <x v="214"/>
    <s v="2024-04-17 22:08:41"/>
    <x v="11"/>
    <s v="2024-05-02 19:08:41"/>
    <x v="204"/>
    <n v="14.9"/>
    <x v="4"/>
    <s v="Features Not Working"/>
    <s v="High"/>
    <n v="120"/>
    <x v="0"/>
    <s v="Email"/>
    <s v="Tier 2"/>
    <x v="4"/>
    <x v="2"/>
    <s v="No"/>
    <s v="Yes"/>
    <n v="3"/>
    <s v="No"/>
    <n v="7"/>
    <n v="3.4"/>
    <n v="22.1"/>
    <s v="Yes"/>
    <s v="Fair"/>
    <s v="No"/>
    <s v="Sales"/>
    <s v="Thursday"/>
    <s v="Afternoon"/>
  </r>
  <r>
    <x v="215"/>
    <s v="2024-03-23 13:52:59"/>
    <x v="5"/>
    <s v="2024-04-06 08:22:59"/>
    <x v="205"/>
    <n v="13.7"/>
    <x v="3"/>
    <s v="Windows Password"/>
    <s v="Medium"/>
    <n v="240"/>
    <x v="0"/>
    <s v="Phone"/>
    <s v="Tier 1"/>
    <x v="2"/>
    <x v="2"/>
    <s v="Yes"/>
    <s v="No"/>
    <n v="0"/>
    <s v="Yes"/>
    <n v="6"/>
    <n v="3.5"/>
    <n v="16.3"/>
    <s v="Yes"/>
    <s v="Excellent"/>
    <s v="Yes"/>
    <s v="Operations"/>
    <s v="Monday"/>
    <s v="Evening"/>
  </r>
  <r>
    <x v="216"/>
    <s v="2024-05-25 20:41:10"/>
    <x v="8"/>
    <s v="2024-06-01 12:11:10"/>
    <x v="206"/>
    <n v="6.6"/>
    <x v="6"/>
    <s v="Calendar Sync"/>
    <s v="Medium"/>
    <n v="240"/>
    <x v="1"/>
    <s v="Walk-in"/>
    <s v="Tier 1"/>
    <x v="5"/>
    <x v="0"/>
    <s v="No"/>
    <s v="No"/>
    <n v="1"/>
    <s v="No"/>
    <n v="7"/>
    <n v="4"/>
    <n v="31.7"/>
    <s v="Yes"/>
    <s v="Good"/>
    <s v="Yes"/>
    <s v="HR"/>
    <s v="Thursday"/>
    <s v="Afternoon"/>
  </r>
  <r>
    <x v="217"/>
    <s v="2024-07-02 06:11:21"/>
    <x v="4"/>
    <s v="2024-07-12 10:47:21"/>
    <x v="207"/>
    <n v="10.199999999999999"/>
    <x v="0"/>
    <s v="Admin Rights"/>
    <s v="Medium"/>
    <n v="240"/>
    <x v="0"/>
    <s v="Portal"/>
    <s v="Tier 1"/>
    <x v="3"/>
    <x v="1"/>
    <s v="No"/>
    <s v="No"/>
    <n v="1"/>
    <s v="No"/>
    <n v="5"/>
    <n v="4.0999999999999996"/>
    <n v="2.7"/>
    <s v="Yes"/>
    <s v="Excellent"/>
    <s v="Yes"/>
    <s v="Legal"/>
    <s v="Monday"/>
    <s v="Morning"/>
  </r>
  <r>
    <x v="218"/>
    <s v="2024-09-26 12:11:46"/>
    <x v="9"/>
    <s v="2024-09-29 21:11:46"/>
    <x v="208"/>
    <n v="3.4"/>
    <x v="1"/>
    <s v="Desktop"/>
    <s v="High"/>
    <n v="120"/>
    <x v="1"/>
    <s v="Walk-in"/>
    <s v="Tier 2"/>
    <x v="11"/>
    <x v="1"/>
    <s v="No"/>
    <s v="Yes"/>
    <n v="2"/>
    <s v="No"/>
    <n v="8"/>
    <n v="4"/>
    <n v="27.8"/>
    <s v="No"/>
    <s v="Poor"/>
    <s v="Yes"/>
    <s v="Legal"/>
    <s v="Friday"/>
    <s v="Morning"/>
  </r>
  <r>
    <x v="219"/>
    <s v="2024-03-07 07:15:33"/>
    <x v="5"/>
    <s v="2024-03-13 21:15:33"/>
    <x v="209"/>
    <n v="6.6"/>
    <x v="0"/>
    <s v="File Share"/>
    <s v="Medium"/>
    <n v="240"/>
    <x v="1"/>
    <s v="Portal"/>
    <s v="Tier 1"/>
    <x v="16"/>
    <x v="2"/>
    <s v="No"/>
    <s v="No"/>
    <n v="1"/>
    <s v="No"/>
    <n v="10"/>
    <n v="1.8"/>
    <n v="34.799999999999997"/>
    <s v="No"/>
    <s v="Poor"/>
    <s v="Yes"/>
    <s v="Operations"/>
    <s v="Monday"/>
    <s v="Afternoon"/>
  </r>
  <r>
    <x v="220"/>
    <s v="2024-08-11 16:04:24"/>
    <x v="1"/>
    <s v="2024-08-25 16:52:24"/>
    <x v="146"/>
    <n v="14"/>
    <x v="4"/>
    <s v="Performance"/>
    <s v="Low"/>
    <n v="360"/>
    <x v="1"/>
    <s v="Phone"/>
    <s v="Tier 2"/>
    <x v="16"/>
    <x v="0"/>
    <s v="No"/>
    <s v="Yes"/>
    <n v="3"/>
    <s v="Yes"/>
    <n v="8"/>
    <n v="5.3"/>
    <n v="26.5"/>
    <s v="Yes"/>
    <s v="Fair"/>
    <s v="No"/>
    <s v="IT"/>
    <s v="Tuesday"/>
    <s v="Morning"/>
  </r>
  <r>
    <x v="221"/>
    <s v="2024-06-18 19:13:30"/>
    <x v="10"/>
    <s v="2024-06-26 23:31:30"/>
    <x v="210"/>
    <n v="8.1999999999999993"/>
    <x v="0"/>
    <s v="Admin Rights"/>
    <s v="Medium"/>
    <n v="240"/>
    <x v="1"/>
    <s v="Phone"/>
    <s v="Tier 1"/>
    <x v="11"/>
    <x v="1"/>
    <s v="No"/>
    <s v="No"/>
    <n v="1"/>
    <s v="No"/>
    <n v="6"/>
    <n v="5.8"/>
    <n v="15.5"/>
    <s v="Yes"/>
    <s v="Poor"/>
    <s v="Yes"/>
    <s v="IT"/>
    <s v="Wednesday"/>
    <s v="Morning"/>
  </r>
  <r>
    <x v="222"/>
    <s v="2024-10-15 05:53:03"/>
    <x v="2"/>
    <s v="2024-10-29 04:17:03"/>
    <x v="211"/>
    <n v="14"/>
    <x v="0"/>
    <s v="Application Access"/>
    <s v="Low"/>
    <n v="360"/>
    <x v="1"/>
    <s v="Phone"/>
    <s v="Tier 2"/>
    <x v="10"/>
    <x v="1"/>
    <s v="No"/>
    <s v="Yes"/>
    <n v="4"/>
    <s v="No"/>
    <n v="7"/>
    <n v="0.4"/>
    <n v="19.100000000000001"/>
    <s v="Yes"/>
    <s v="Poor"/>
    <s v="Yes"/>
    <s v="Finance"/>
    <s v="Monday"/>
    <s v="Afternoon"/>
  </r>
  <r>
    <x v="223"/>
    <s v="2024-10-17 22:34:16"/>
    <x v="2"/>
    <s v="2024-10-24 23:22:16"/>
    <x v="212"/>
    <n v="7"/>
    <x v="6"/>
    <s v="Mailbox Full"/>
    <s v="High"/>
    <n v="120"/>
    <x v="0"/>
    <s v="Phone"/>
    <s v="Tier 1"/>
    <x v="2"/>
    <x v="1"/>
    <s v="No"/>
    <s v="No"/>
    <n v="1"/>
    <s v="No"/>
    <n v="7"/>
    <n v="3.3"/>
    <n v="7.8"/>
    <s v="Yes"/>
    <s v="Good"/>
    <s v="Yes"/>
    <s v="Legal"/>
    <s v="Monday"/>
    <s v="Afternoon"/>
  </r>
  <r>
    <x v="224"/>
    <s v="2024-12-17 19:03:55"/>
    <x v="0"/>
    <s v="2024-12-21 01:45:55"/>
    <x v="213"/>
    <n v="4.3"/>
    <x v="0"/>
    <s v="Admin Rights"/>
    <s v="High"/>
    <n v="120"/>
    <x v="1"/>
    <s v="Phone"/>
    <s v="Tier 1"/>
    <x v="19"/>
    <x v="2"/>
    <s v="No"/>
    <s v="No"/>
    <n v="1"/>
    <s v="No"/>
    <n v="9"/>
    <n v="1.2"/>
    <n v="32.9"/>
    <s v="Yes"/>
    <s v="Fair"/>
    <s v="No"/>
    <s v="Operations"/>
    <s v="Friday"/>
    <s v="Morning"/>
  </r>
  <r>
    <x v="225"/>
    <s v="2024-07-30 00:34:32"/>
    <x v="4"/>
    <s v="2024-09-03 19:16:32"/>
    <x v="214"/>
    <n v="34.799999999999997"/>
    <x v="3"/>
    <s v="Account Unlock"/>
    <s v="Low"/>
    <n v="360"/>
    <x v="0"/>
    <s v="Walk-in"/>
    <s v="Tier 1"/>
    <x v="2"/>
    <x v="1"/>
    <s v="Yes"/>
    <s v="No"/>
    <n v="0"/>
    <s v="No"/>
    <n v="9"/>
    <n v="4.2"/>
    <n v="26.2"/>
    <s v="No"/>
    <s v="Poor"/>
    <s v="No"/>
    <s v="Marketing"/>
    <s v="Monday"/>
    <s v="Morning"/>
  </r>
  <r>
    <x v="226"/>
    <s v="2024-04-18 11:51:25"/>
    <x v="11"/>
    <s v="2024-04-25 08:03:25"/>
    <x v="215"/>
    <n v="6.8"/>
    <x v="0"/>
    <s v="VPN Access"/>
    <s v="Medium"/>
    <n v="240"/>
    <x v="1"/>
    <s v="Walk-in"/>
    <s v="Tier 1"/>
    <x v="24"/>
    <x v="1"/>
    <s v="No"/>
    <s v="No"/>
    <n v="1"/>
    <s v="No"/>
    <n v="8"/>
    <n v="1.6"/>
    <n v="26.2"/>
    <s v="No"/>
    <s v="Good"/>
    <s v="No"/>
    <s v="HR"/>
    <s v="Wednesday"/>
    <s v="Afternoon"/>
  </r>
  <r>
    <x v="227"/>
    <s v="2024-02-25 17:42:59"/>
    <x v="6"/>
    <s v="2024-02-29 06:54:59"/>
    <x v="216"/>
    <n v="3.6"/>
    <x v="4"/>
    <s v="Features Not Working"/>
    <s v="High"/>
    <n v="120"/>
    <x v="1"/>
    <s v="Phone"/>
    <s v="Tier 2"/>
    <x v="0"/>
    <x v="2"/>
    <s v="No"/>
    <s v="Yes"/>
    <n v="4"/>
    <s v="No"/>
    <n v="10"/>
    <n v="1.8"/>
    <n v="15"/>
    <s v="Yes"/>
    <s v="Fair"/>
    <s v="No"/>
    <s v="Legal"/>
    <s v="Thursday"/>
    <s v="Morning"/>
  </r>
  <r>
    <x v="228"/>
    <s v="2024-04-09 01:17:40"/>
    <x v="11"/>
    <s v="2024-04-14 08:47:40"/>
    <x v="217"/>
    <n v="4.3"/>
    <x v="6"/>
    <s v="Calendar Sync"/>
    <s v="High"/>
    <n v="120"/>
    <x v="1"/>
    <s v="Email"/>
    <s v="Tier 1"/>
    <x v="5"/>
    <x v="1"/>
    <s v="Yes"/>
    <s v="No"/>
    <n v="0"/>
    <s v="No"/>
    <n v="10"/>
    <n v="2.1"/>
    <n v="43"/>
    <s v="Yes"/>
    <s v="Fair"/>
    <s v="Yes"/>
    <s v="Legal"/>
    <s v="Tuesday"/>
    <s v="Afternoon"/>
  </r>
  <r>
    <x v="229"/>
    <s v="2024-08-13 16:10:31"/>
    <x v="1"/>
    <s v="2024-08-29 02:46:31"/>
    <x v="218"/>
    <n v="16.399999999999999"/>
    <x v="3"/>
    <s v="Application Password"/>
    <s v="Low"/>
    <n v="360"/>
    <x v="0"/>
    <s v="Portal"/>
    <s v="Tier 1"/>
    <x v="8"/>
    <x v="0"/>
    <s v="No"/>
    <s v="No"/>
    <n v="1"/>
    <s v="No"/>
    <n v="5"/>
    <n v="5.0999999999999996"/>
    <n v="21.1"/>
    <s v="Yes"/>
    <s v="Fair"/>
    <s v="Yes"/>
    <s v="Legal"/>
    <s v="Tuesday"/>
    <s v="Morning"/>
  </r>
  <r>
    <x v="230"/>
    <s v="2024-11-18 02:12:20"/>
    <x v="7"/>
    <s v="2024-12-02 07:06:20"/>
    <x v="219"/>
    <n v="14.2"/>
    <x v="0"/>
    <s v="VPN Access"/>
    <s v="Medium"/>
    <n v="240"/>
    <x v="0"/>
    <s v="Email"/>
    <s v="Tier 1"/>
    <x v="15"/>
    <x v="0"/>
    <s v="Yes"/>
    <s v="No"/>
    <n v="0"/>
    <s v="No"/>
    <n v="5"/>
    <n v="3.2"/>
    <n v="9.6999999999999993"/>
    <s v="Yes"/>
    <s v="Fair"/>
    <s v="Yes"/>
    <s v="HR"/>
    <s v="Tuesday"/>
    <s v="Morning"/>
  </r>
  <r>
    <x v="231"/>
    <s v="2024-01-07 01:44:59"/>
    <x v="3"/>
    <s v="2024-01-20 02:38:59"/>
    <x v="220"/>
    <n v="12"/>
    <x v="0"/>
    <s v="File Share"/>
    <s v="Medium"/>
    <n v="240"/>
    <x v="0"/>
    <s v="Phone"/>
    <s v="Tier 1"/>
    <x v="8"/>
    <x v="1"/>
    <s v="No"/>
    <s v="No"/>
    <n v="1"/>
    <s v="No"/>
    <n v="6"/>
    <n v="0.1"/>
    <n v="18.399999999999999"/>
    <s v="No"/>
    <s v="Good"/>
    <s v="Yes"/>
    <s v="Operations"/>
    <s v="Tuesday"/>
    <s v="Morning"/>
  </r>
  <r>
    <x v="232"/>
    <s v="2024-02-11 04:46:52"/>
    <x v="6"/>
    <s v="2024-02-22 01:16:52"/>
    <x v="221"/>
    <n v="11.9"/>
    <x v="4"/>
    <s v="Login Issues"/>
    <s v="High"/>
    <n v="120"/>
    <x v="0"/>
    <s v="Portal"/>
    <s v="Tier 1"/>
    <x v="12"/>
    <x v="1"/>
    <s v="Yes"/>
    <s v="No"/>
    <n v="0"/>
    <s v="No"/>
    <n v="5"/>
    <n v="4.5"/>
    <n v="29.6"/>
    <s v="Yes"/>
    <s v="Fair"/>
    <s v="Yes"/>
    <s v="Operations"/>
    <s v="Wednesday"/>
    <s v="Morning"/>
  </r>
  <r>
    <x v="233"/>
    <s v="2024-04-27 01:11:04"/>
    <x v="11"/>
    <s v="2024-05-11 08:47:04"/>
    <x v="222"/>
    <n v="13.3"/>
    <x v="0"/>
    <s v="VPN Access"/>
    <s v="Low"/>
    <n v="360"/>
    <x v="1"/>
    <s v="Portal"/>
    <s v="Tier 1"/>
    <x v="15"/>
    <x v="2"/>
    <s v="No"/>
    <s v="No"/>
    <n v="1"/>
    <s v="Yes"/>
    <n v="8"/>
    <n v="0.4"/>
    <n v="30.8"/>
    <s v="Yes"/>
    <s v="Good"/>
    <s v="Yes"/>
    <s v="Finance"/>
    <s v="Thursday"/>
    <s v="Morning"/>
  </r>
  <r>
    <x v="234"/>
    <s v="2024-01-15 06:16:25"/>
    <x v="3"/>
    <s v="2024-01-21 20:22:25"/>
    <x v="223"/>
    <n v="6.6"/>
    <x v="7"/>
    <s v="Adobe Suite"/>
    <s v="Medium"/>
    <n v="240"/>
    <x v="1"/>
    <s v="Phone"/>
    <s v="Tier 1"/>
    <x v="9"/>
    <x v="1"/>
    <s v="No"/>
    <s v="No"/>
    <n v="1"/>
    <s v="No"/>
    <n v="10"/>
    <n v="4.7"/>
    <n v="30.6"/>
    <s v="Yes"/>
    <s v="Good"/>
    <s v="Yes"/>
    <s v="HR"/>
    <s v="Monday"/>
    <s v="Morning"/>
  </r>
  <r>
    <x v="235"/>
    <s v="2024-09-19 19:08:10"/>
    <x v="9"/>
    <s v="2024-09-29 03:50:10"/>
    <x v="224"/>
    <n v="9.4"/>
    <x v="0"/>
    <s v="File Share"/>
    <s v="Medium"/>
    <n v="240"/>
    <x v="1"/>
    <s v="Email"/>
    <s v="Tier 1"/>
    <x v="6"/>
    <x v="2"/>
    <s v="Yes"/>
    <s v="No"/>
    <n v="0"/>
    <s v="No"/>
    <n v="8"/>
    <n v="3.1"/>
    <n v="26.5"/>
    <s v="Yes"/>
    <s v="Poor"/>
    <s v="No"/>
    <s v="Finance"/>
    <s v="Tuesday"/>
    <s v="Morning"/>
  </r>
  <r>
    <x v="236"/>
    <s v="2024-09-18 13:21:36"/>
    <x v="9"/>
    <s v="2024-10-02 05:03:36"/>
    <x v="225"/>
    <n v="13.7"/>
    <x v="0"/>
    <s v="Application Access"/>
    <s v="Low"/>
    <n v="360"/>
    <x v="1"/>
    <s v="Email"/>
    <s v="Tier 1"/>
    <x v="2"/>
    <x v="2"/>
    <s v="Yes"/>
    <s v="No"/>
    <n v="0"/>
    <s v="No"/>
    <n v="5"/>
    <n v="2"/>
    <n v="12.4"/>
    <s v="Yes"/>
    <s v="Fair"/>
    <s v="Yes"/>
    <s v="Operations"/>
    <s v="Wednesday"/>
    <s v="Morning"/>
  </r>
  <r>
    <x v="237"/>
    <s v="2024-05-18 01:57:13"/>
    <x v="8"/>
    <s v="2024-05-20 15:21:13"/>
    <x v="226"/>
    <n v="1.6"/>
    <x v="2"/>
    <s v="WiFi Issues"/>
    <s v="Critical"/>
    <n v="48"/>
    <x v="1"/>
    <s v="Portal"/>
    <s v="Tier 1"/>
    <x v="6"/>
    <x v="0"/>
    <s v="No"/>
    <s v="No"/>
    <n v="1"/>
    <s v="No"/>
    <n v="9"/>
    <n v="4"/>
    <n v="15"/>
    <s v="Yes"/>
    <s v="Fair"/>
    <s v="No"/>
    <s v="Executive"/>
    <s v="Wednesday"/>
    <s v="Evening"/>
  </r>
  <r>
    <x v="238"/>
    <s v="2024-07-22 21:30:41"/>
    <x v="4"/>
    <s v="2024-07-26 20:42:41"/>
    <x v="227"/>
    <n v="4"/>
    <x v="0"/>
    <s v="Admin Rights"/>
    <s v="High"/>
    <n v="120"/>
    <x v="1"/>
    <s v="Chat"/>
    <s v="Tier 1"/>
    <x v="22"/>
    <x v="2"/>
    <s v="No"/>
    <s v="No"/>
    <n v="1"/>
    <s v="No"/>
    <n v="6"/>
    <n v="3.8"/>
    <n v="9.1999999999999993"/>
    <s v="No"/>
    <s v="Good"/>
    <s v="Yes"/>
    <s v="Executive"/>
    <s v="Tuesday"/>
    <s v="Morning"/>
  </r>
  <r>
    <x v="239"/>
    <s v="2024-10-16 05:50:35"/>
    <x v="2"/>
    <s v="2024-10-22 16:14:35"/>
    <x v="228"/>
    <n v="6.4"/>
    <x v="1"/>
    <s v="Keyboard/Mouse"/>
    <s v="High"/>
    <n v="120"/>
    <x v="0"/>
    <s v="Chat"/>
    <s v="Tier 1"/>
    <x v="14"/>
    <x v="2"/>
    <s v="No"/>
    <s v="No"/>
    <n v="1"/>
    <s v="Yes"/>
    <n v="6"/>
    <n v="7.4"/>
    <n v="31.4"/>
    <s v="No"/>
    <s v="Fair"/>
    <s v="Yes"/>
    <s v="HR"/>
    <s v="Monday"/>
    <s v="Morning"/>
  </r>
  <r>
    <x v="240"/>
    <s v="2024-08-01 05:53:19"/>
    <x v="1"/>
    <s v="2024-08-10 07:05:19"/>
    <x v="229"/>
    <n v="9"/>
    <x v="0"/>
    <s v="Admin Rights"/>
    <s v="Low"/>
    <n v="360"/>
    <x v="1"/>
    <s v="Portal"/>
    <s v="Tier 1"/>
    <x v="24"/>
    <x v="1"/>
    <s v="No"/>
    <s v="No"/>
    <n v="1"/>
    <s v="No"/>
    <n v="7"/>
    <n v="2.7"/>
    <n v="13.8"/>
    <s v="Yes"/>
    <s v="Good"/>
    <s v="Yes"/>
    <s v="HR"/>
    <s v="Thursday"/>
    <s v="Afternoon"/>
  </r>
  <r>
    <x v="241"/>
    <s v="2024-11-27 17:56:04"/>
    <x v="7"/>
    <s v="2024-12-01 18:08:04"/>
    <x v="230"/>
    <n v="4"/>
    <x v="4"/>
    <s v="Login Issues"/>
    <s v="High"/>
    <n v="120"/>
    <x v="1"/>
    <s v="Portal"/>
    <s v="Tier 1"/>
    <x v="23"/>
    <x v="0"/>
    <s v="No"/>
    <s v="No"/>
    <n v="1"/>
    <s v="No"/>
    <n v="6"/>
    <n v="5.4"/>
    <n v="27.1"/>
    <s v="No"/>
    <s v="Excellent"/>
    <s v="Yes"/>
    <s v="Sales"/>
    <s v="Thursday"/>
    <s v="Afternoon"/>
  </r>
  <r>
    <x v="242"/>
    <s v="2024-08-19 07:45:45"/>
    <x v="1"/>
    <s v="2024-08-23 14:39:45"/>
    <x v="231"/>
    <n v="4.3"/>
    <x v="4"/>
    <s v="Performance"/>
    <s v="High"/>
    <n v="120"/>
    <x v="1"/>
    <s v="Chat"/>
    <s v="Tier 1"/>
    <x v="0"/>
    <x v="2"/>
    <s v="No"/>
    <s v="No"/>
    <n v="1"/>
    <s v="No"/>
    <n v="5"/>
    <n v="0.1"/>
    <n v="12.6"/>
    <s v="Yes"/>
    <s v="Poor"/>
    <s v="Yes"/>
    <s v="Marketing"/>
    <s v="Tuesday"/>
    <s v="Morning"/>
  </r>
  <r>
    <x v="243"/>
    <s v="2024-04-03 12:12:08"/>
    <x v="11"/>
    <s v="2024-04-10 12:18:08"/>
    <x v="232"/>
    <n v="7"/>
    <x v="0"/>
    <s v="Admin Rights"/>
    <s v="Medium"/>
    <n v="240"/>
    <x v="1"/>
    <s v="Email"/>
    <s v="Tier 1"/>
    <x v="6"/>
    <x v="1"/>
    <s v="No"/>
    <s v="No"/>
    <n v="1"/>
    <s v="No"/>
    <n v="9"/>
    <n v="2.4"/>
    <n v="12.3"/>
    <s v="No"/>
    <s v="Fair"/>
    <s v="No"/>
    <s v="Legal"/>
    <s v="Thursday"/>
    <s v="Morning"/>
  </r>
  <r>
    <x v="244"/>
    <s v="2024-09-01 23:16:19"/>
    <x v="9"/>
    <s v="2024-09-08 17:10:19"/>
    <x v="233"/>
    <n v="6.7"/>
    <x v="0"/>
    <s v="Admin Rights"/>
    <s v="Medium"/>
    <n v="240"/>
    <x v="1"/>
    <s v="Walk-in"/>
    <s v="Tier 1"/>
    <x v="17"/>
    <x v="2"/>
    <s v="No"/>
    <s v="No"/>
    <n v="1"/>
    <s v="No"/>
    <n v="8"/>
    <n v="3.6"/>
    <n v="27.2"/>
    <s v="Yes"/>
    <s v="Poor"/>
    <s v="Yes"/>
    <s v="Sales"/>
    <s v="Thursday"/>
    <s v="Morning"/>
  </r>
  <r>
    <x v="245"/>
    <s v="2024-11-04 00:33:52"/>
    <x v="7"/>
    <s v="2024-11-10 07:21:52"/>
    <x v="234"/>
    <n v="5.3"/>
    <x v="2"/>
    <s v="Ethernet"/>
    <s v="High"/>
    <n v="120"/>
    <x v="0"/>
    <s v="Walk-in"/>
    <s v="Tier 2"/>
    <x v="3"/>
    <x v="0"/>
    <s v="No"/>
    <s v="Yes"/>
    <n v="3"/>
    <s v="Yes"/>
    <n v="3"/>
    <n v="2.2999999999999998"/>
    <n v="11.9"/>
    <s v="No"/>
    <s v="Fair"/>
    <s v="Yes"/>
    <s v="Marketing"/>
    <s v="Friday"/>
    <s v="Afternoon"/>
  </r>
  <r>
    <x v="246"/>
    <s v="2024-07-23 19:03:28"/>
    <x v="4"/>
    <s v="2024-07-28 05:45:28"/>
    <x v="111"/>
    <n v="4.4000000000000004"/>
    <x v="2"/>
    <s v="Ethernet"/>
    <s v="High"/>
    <n v="120"/>
    <x v="1"/>
    <s v="Phone"/>
    <s v="Tier 1"/>
    <x v="4"/>
    <x v="2"/>
    <s v="Yes"/>
    <s v="No"/>
    <n v="0"/>
    <s v="No"/>
    <n v="10"/>
    <n v="1.1000000000000001"/>
    <n v="21.4"/>
    <s v="Yes"/>
    <s v="Excellent"/>
    <s v="Yes"/>
    <s v="Finance"/>
    <s v="Friday"/>
    <s v="Morning"/>
  </r>
  <r>
    <x v="247"/>
    <s v="2024-09-30 16:54:13"/>
    <x v="9"/>
    <s v="2024-10-04 11:00:13"/>
    <x v="235"/>
    <n v="3.8"/>
    <x v="7"/>
    <s v="Drivers"/>
    <s v="High"/>
    <n v="120"/>
    <x v="1"/>
    <s v="Chat"/>
    <s v="Tier 1"/>
    <x v="21"/>
    <x v="1"/>
    <s v="No"/>
    <s v="No"/>
    <n v="1"/>
    <s v="No"/>
    <n v="10"/>
    <n v="4.0999999999999996"/>
    <n v="10"/>
    <s v="No"/>
    <s v="Fair"/>
    <s v="Yes"/>
    <s v="Finance"/>
    <s v="Wednesday"/>
    <s v="Afternoon"/>
  </r>
  <r>
    <x v="248"/>
    <s v="2024-05-07 05:50:08"/>
    <x v="8"/>
    <s v="2024-05-19 12:38:08"/>
    <x v="236"/>
    <n v="12.3"/>
    <x v="3"/>
    <s v="Account Unlock"/>
    <s v="Low"/>
    <n v="360"/>
    <x v="1"/>
    <s v="Portal"/>
    <s v="Tier 1"/>
    <x v="9"/>
    <x v="0"/>
    <s v="No"/>
    <s v="No"/>
    <n v="1"/>
    <s v="No"/>
    <n v="9"/>
    <n v="0.2"/>
    <n v="15.3"/>
    <s v="No"/>
    <s v="Good"/>
    <s v="Yes"/>
    <s v="IT"/>
    <s v="Tuesday"/>
    <s v="Morning"/>
  </r>
  <r>
    <x v="249"/>
    <s v="2024-08-29 16:09:56"/>
    <x v="1"/>
    <s v="2024-08-31 09:51:56"/>
    <x v="237"/>
    <n v="1.7"/>
    <x v="4"/>
    <s v="Login Issues"/>
    <s v="Critical"/>
    <n v="48"/>
    <x v="1"/>
    <s v="Email"/>
    <s v="Tier 2"/>
    <x v="24"/>
    <x v="2"/>
    <s v="No"/>
    <s v="Yes"/>
    <n v="2"/>
    <s v="No"/>
    <n v="10"/>
    <n v="4.4000000000000004"/>
    <n v="27.6"/>
    <s v="No"/>
    <s v="Excellent"/>
    <s v="Yes"/>
    <s v="Finance"/>
    <s v="Wednesday"/>
    <s v="Evening"/>
  </r>
  <r>
    <x v="250"/>
    <s v="2024-12-07 05:33:38"/>
    <x v="0"/>
    <s v="2024-12-21 06:15:38"/>
    <x v="238"/>
    <n v="14"/>
    <x v="7"/>
    <s v="Drivers"/>
    <s v="Low"/>
    <n v="360"/>
    <x v="1"/>
    <s v="Walk-in"/>
    <s v="Tier 2"/>
    <x v="15"/>
    <x v="0"/>
    <s v="No"/>
    <s v="Yes"/>
    <n v="4"/>
    <s v="No"/>
    <n v="10"/>
    <n v="0.1"/>
    <n v="18.899999999999999"/>
    <s v="No"/>
    <s v="Fair"/>
    <s v="No"/>
    <s v="IT"/>
    <s v="Wednesday"/>
    <s v="Morning"/>
  </r>
  <r>
    <x v="251"/>
    <s v="2024-12-12 15:55:36"/>
    <x v="0"/>
    <s v="2024-12-30 21:31:36"/>
    <x v="239"/>
    <n v="18.2"/>
    <x v="6"/>
    <s v="Calendar Sync"/>
    <s v="Low"/>
    <n v="360"/>
    <x v="0"/>
    <s v="Portal"/>
    <s v="Tier 1"/>
    <x v="18"/>
    <x v="0"/>
    <s v="Yes"/>
    <s v="No"/>
    <n v="0"/>
    <s v="No"/>
    <n v="8"/>
    <n v="3.9"/>
    <n v="17.600000000000001"/>
    <s v="No"/>
    <s v="Poor"/>
    <s v="No"/>
    <s v="IT"/>
    <s v="Thursday"/>
    <s v="Evening"/>
  </r>
  <r>
    <x v="252"/>
    <s v="2024-12-27 16:12:18"/>
    <x v="0"/>
    <s v="2025-01-04 22:24:18"/>
    <x v="240"/>
    <n v="8.3000000000000007"/>
    <x v="2"/>
    <s v="Ethernet"/>
    <s v="High"/>
    <n v="120"/>
    <x v="0"/>
    <s v="Phone"/>
    <s v="Tier 1"/>
    <x v="1"/>
    <x v="1"/>
    <s v="Yes"/>
    <s v="No"/>
    <n v="0"/>
    <s v="Yes"/>
    <n v="8"/>
    <n v="4.0999999999999996"/>
    <n v="10.3"/>
    <s v="No"/>
    <s v="Poor"/>
    <s v="Yes"/>
    <s v="IT"/>
    <s v="Wednesday"/>
    <s v="Afternoon"/>
  </r>
  <r>
    <x v="253"/>
    <s v="2024-02-17 17:25:22"/>
    <x v="6"/>
    <s v="2024-03-03 18:55:22"/>
    <x v="241"/>
    <n v="15.1"/>
    <x v="6"/>
    <s v="Calendar Sync"/>
    <s v="Low"/>
    <n v="360"/>
    <x v="0"/>
    <s v="Portal"/>
    <s v="Tier 1"/>
    <x v="1"/>
    <x v="0"/>
    <s v="No"/>
    <s v="No"/>
    <n v="1"/>
    <s v="No"/>
    <n v="6"/>
    <n v="0.1"/>
    <n v="24.7"/>
    <s v="Yes"/>
    <s v="Good"/>
    <s v="No"/>
    <s v="Finance"/>
    <s v="Friday"/>
    <s v="Morning"/>
  </r>
  <r>
    <x v="254"/>
    <s v="2024-04-26 22:04:49"/>
    <x v="11"/>
    <s v="2024-05-10 05:04:49"/>
    <x v="7"/>
    <n v="13.3"/>
    <x v="0"/>
    <s v="Application Access"/>
    <s v="Medium"/>
    <n v="240"/>
    <x v="0"/>
    <s v="Portal"/>
    <s v="Tier 1"/>
    <x v="10"/>
    <x v="1"/>
    <s v="Yes"/>
    <s v="No"/>
    <n v="0"/>
    <s v="No"/>
    <n v="5"/>
    <n v="1"/>
    <n v="24.8"/>
    <s v="Yes"/>
    <s v="Excellent"/>
    <s v="Yes"/>
    <s v="Executive"/>
    <s v="Friday"/>
    <s v="Afternoon"/>
  </r>
  <r>
    <x v="255"/>
    <s v="2024-02-13 03:52:32"/>
    <x v="6"/>
    <s v="2024-02-25 11:46:32"/>
    <x v="242"/>
    <n v="12.3"/>
    <x v="6"/>
    <s v="Cannot Send/Receive"/>
    <s v="Medium"/>
    <n v="240"/>
    <x v="0"/>
    <s v="Email"/>
    <s v="Tier 1"/>
    <x v="16"/>
    <x v="0"/>
    <s v="No"/>
    <s v="No"/>
    <n v="1"/>
    <s v="Yes"/>
    <n v="7"/>
    <n v="0.1"/>
    <n v="8.9"/>
    <s v="No"/>
    <s v="Poor"/>
    <s v="No"/>
    <s v="Executive"/>
    <s v="Tuesday"/>
    <s v="Evening"/>
  </r>
  <r>
    <x v="256"/>
    <s v="2024-07-23 06:39:17"/>
    <x v="4"/>
    <s v="2024-07-27 06:39:17"/>
    <x v="243"/>
    <n v="4"/>
    <x v="6"/>
    <s v="Mailbox Full"/>
    <s v="High"/>
    <n v="120"/>
    <x v="1"/>
    <s v="Phone"/>
    <s v="Tier 1"/>
    <x v="10"/>
    <x v="2"/>
    <s v="No"/>
    <s v="No"/>
    <n v="1"/>
    <s v="No"/>
    <n v="9"/>
    <n v="0.1"/>
    <n v="36.1"/>
    <s v="No"/>
    <s v="Poor"/>
    <s v="No"/>
    <s v="Marketing"/>
    <s v="Wednesday"/>
    <s v="Morning"/>
  </r>
  <r>
    <x v="257"/>
    <s v="2024-09-11 07:18:28"/>
    <x v="9"/>
    <s v="2024-09-19 20:06:28"/>
    <x v="244"/>
    <n v="8.5"/>
    <x v="6"/>
    <s v="Distribution List"/>
    <s v="Medium"/>
    <n v="240"/>
    <x v="1"/>
    <s v="Email"/>
    <s v="Tier 1"/>
    <x v="0"/>
    <x v="1"/>
    <s v="No"/>
    <s v="No"/>
    <n v="1"/>
    <s v="No"/>
    <n v="9"/>
    <n v="3.7"/>
    <n v="22.2"/>
    <s v="No"/>
    <s v="Good"/>
    <s v="No"/>
    <s v="IT"/>
    <s v="Tuesday"/>
    <s v="Afternoon"/>
  </r>
  <r>
    <x v="258"/>
    <s v="2024-01-18 06:51:45"/>
    <x v="3"/>
    <s v="2024-01-26 02:39:45"/>
    <x v="245"/>
    <n v="7.8"/>
    <x v="6"/>
    <s v="Distribution List"/>
    <s v="Medium"/>
    <n v="240"/>
    <x v="1"/>
    <s v="Phone"/>
    <s v="Tier 1"/>
    <x v="8"/>
    <x v="1"/>
    <s v="No"/>
    <s v="No"/>
    <n v="1"/>
    <s v="No"/>
    <n v="7"/>
    <n v="1.5"/>
    <n v="21.7"/>
    <s v="Yes"/>
    <s v="Good"/>
    <s v="Yes"/>
    <s v="Legal"/>
    <s v="Thursday"/>
    <s v="Evening"/>
  </r>
  <r>
    <x v="259"/>
    <s v="2024-09-02 05:00:08"/>
    <x v="9"/>
    <s v="2024-09-11 09:24:08"/>
    <x v="246"/>
    <n v="9.1999999999999993"/>
    <x v="3"/>
    <s v="Windows Password"/>
    <s v="Low"/>
    <n v="360"/>
    <x v="1"/>
    <s v="Phone"/>
    <s v="Tier 1"/>
    <x v="7"/>
    <x v="2"/>
    <s v="Yes"/>
    <s v="No"/>
    <n v="0"/>
    <s v="No"/>
    <n v="10"/>
    <n v="5.9"/>
    <n v="0"/>
    <s v="No"/>
    <s v="Excellent"/>
    <s v="No"/>
    <s v="Legal"/>
    <s v="Tuesday"/>
    <s v="Morning"/>
  </r>
  <r>
    <x v="260"/>
    <s v="2024-02-08 20:04:30"/>
    <x v="6"/>
    <s v="2024-02-16 07:16:30"/>
    <x v="247"/>
    <n v="7.5"/>
    <x v="2"/>
    <s v="VPN Connection"/>
    <s v="Medium"/>
    <n v="240"/>
    <x v="1"/>
    <s v="Phone"/>
    <s v="Tier 2"/>
    <x v="24"/>
    <x v="1"/>
    <s v="No"/>
    <s v="Yes"/>
    <n v="3"/>
    <s v="No"/>
    <n v="10"/>
    <n v="4.5"/>
    <n v="31.8"/>
    <s v="No"/>
    <s v="Fair"/>
    <s v="Yes"/>
    <s v="Legal"/>
    <s v="Tuesday"/>
    <s v="Afternoon"/>
  </r>
  <r>
    <x v="261"/>
    <s v="2024-05-18 16:26:16"/>
    <x v="8"/>
    <s v="2024-05-25 05:20:16"/>
    <x v="248"/>
    <n v="6.5"/>
    <x v="2"/>
    <s v="WiFi Issues"/>
    <s v="Medium"/>
    <n v="240"/>
    <x v="1"/>
    <s v="Email"/>
    <s v="Tier 1"/>
    <x v="2"/>
    <x v="1"/>
    <s v="Yes"/>
    <s v="No"/>
    <n v="0"/>
    <s v="No"/>
    <n v="8"/>
    <n v="0.2"/>
    <n v="21.4"/>
    <s v="Yes"/>
    <s v="Good"/>
    <s v="Yes"/>
    <s v="Marketing"/>
    <s v="Tuesday"/>
    <s v="Morning"/>
  </r>
  <r>
    <x v="262"/>
    <s v="2024-06-25 12:34:30"/>
    <x v="10"/>
    <s v="2024-06-28 15:10:30"/>
    <x v="249"/>
    <n v="3.1"/>
    <x v="4"/>
    <s v="Login Issues"/>
    <s v="High"/>
    <n v="120"/>
    <x v="1"/>
    <s v="Portal"/>
    <s v="Tier 1"/>
    <x v="9"/>
    <x v="2"/>
    <s v="No"/>
    <s v="No"/>
    <n v="1"/>
    <s v="No"/>
    <n v="6"/>
    <n v="3.3"/>
    <n v="8.4"/>
    <s v="Yes"/>
    <s v="Fair"/>
    <s v="Yes"/>
    <s v="Legal"/>
    <s v="Thursday"/>
    <s v="Morning"/>
  </r>
  <r>
    <x v="263"/>
    <s v="2024-03-18 01:05:52"/>
    <x v="5"/>
    <s v="2024-03-22 02:11:52"/>
    <x v="101"/>
    <n v="3"/>
    <x v="2"/>
    <s v="Slow Network"/>
    <s v="High"/>
    <n v="120"/>
    <x v="1"/>
    <s v="Walk-in"/>
    <s v="Tier 1"/>
    <x v="8"/>
    <x v="1"/>
    <s v="No"/>
    <s v="No"/>
    <n v="1"/>
    <s v="No"/>
    <n v="6"/>
    <n v="0.9"/>
    <n v="26.1"/>
    <s v="Yes"/>
    <s v="Fair"/>
    <s v="Yes"/>
    <s v="Finance"/>
    <s v="Friday"/>
    <s v="Evening"/>
  </r>
  <r>
    <x v="264"/>
    <s v="2024-02-26 11:56:02"/>
    <x v="6"/>
    <s v="2024-02-29 07:02:02"/>
    <x v="250"/>
    <n v="2.8"/>
    <x v="6"/>
    <s v="Cannot Send/Receive"/>
    <s v="Critical"/>
    <n v="48"/>
    <x v="0"/>
    <s v="Phone"/>
    <s v="Tier 1"/>
    <x v="9"/>
    <x v="0"/>
    <s v="No"/>
    <s v="No"/>
    <n v="1"/>
    <s v="No"/>
    <n v="2"/>
    <n v="1.8"/>
    <n v="25.1"/>
    <s v="Yes"/>
    <s v="Fair"/>
    <s v="No"/>
    <s v="Finance"/>
    <s v="Thursday"/>
    <s v="Morning"/>
  </r>
  <r>
    <x v="265"/>
    <s v="2024-01-24 16:01:08"/>
    <x v="3"/>
    <s v="2024-02-04 06:19:08"/>
    <x v="251"/>
    <n v="10.6"/>
    <x v="3"/>
    <s v="Application Password"/>
    <s v="Low"/>
    <n v="360"/>
    <x v="1"/>
    <s v="Email"/>
    <s v="Tier 1"/>
    <x v="21"/>
    <x v="1"/>
    <s v="Yes"/>
    <s v="No"/>
    <n v="0"/>
    <s v="No"/>
    <n v="10"/>
    <n v="2.9"/>
    <n v="25.2"/>
    <s v="Yes"/>
    <s v="Fair"/>
    <s v="Yes"/>
    <s v="HR"/>
    <s v="Monday"/>
    <s v="Morning"/>
  </r>
  <r>
    <x v="266"/>
    <s v="2024-06-04 04:37:53"/>
    <x v="10"/>
    <s v="2024-06-10 00:37:53"/>
    <x v="38"/>
    <n v="6.8"/>
    <x v="1"/>
    <s v="Printer"/>
    <s v="Medium"/>
    <n v="240"/>
    <x v="1"/>
    <s v="Email"/>
    <s v="Tier 1"/>
    <x v="22"/>
    <x v="2"/>
    <s v="Yes"/>
    <s v="No"/>
    <n v="0"/>
    <s v="No"/>
    <n v="10"/>
    <n v="2.8"/>
    <n v="2.8"/>
    <s v="Yes"/>
    <s v="Good"/>
    <s v="Yes"/>
    <s v="Operations"/>
    <s v="Tuesday"/>
    <s v="Afternoon"/>
  </r>
  <r>
    <x v="267"/>
    <s v="2024-05-03 10:18:20"/>
    <x v="8"/>
    <s v="2024-05-15 05:54:20"/>
    <x v="252"/>
    <n v="11.8"/>
    <x v="4"/>
    <s v="Performance"/>
    <s v="Low"/>
    <n v="360"/>
    <x v="1"/>
    <s v="Portal"/>
    <s v="Tier 1"/>
    <x v="2"/>
    <x v="2"/>
    <s v="No"/>
    <s v="No"/>
    <n v="1"/>
    <s v="No"/>
    <n v="6"/>
    <n v="1.4"/>
    <n v="21.1"/>
    <s v="No"/>
    <s v="Poor"/>
    <s v="Yes"/>
    <s v="Operations"/>
    <s v="Tuesday"/>
    <s v="Morning"/>
  </r>
  <r>
    <x v="268"/>
    <s v="2024-11-21 13:16:08"/>
    <x v="7"/>
    <s v="2024-11-29 03:04:08"/>
    <x v="253"/>
    <n v="7.6"/>
    <x v="7"/>
    <s v="MS Office"/>
    <s v="Medium"/>
    <n v="240"/>
    <x v="1"/>
    <s v="Phone"/>
    <s v="Tier 2"/>
    <x v="5"/>
    <x v="2"/>
    <s v="No"/>
    <s v="Yes"/>
    <n v="3"/>
    <s v="No"/>
    <n v="8"/>
    <n v="3.5"/>
    <n v="35.799999999999997"/>
    <s v="Yes"/>
    <s v="Poor"/>
    <s v="Yes"/>
    <s v="Finance"/>
    <s v="Thursday"/>
    <s v="Afternoon"/>
  </r>
  <r>
    <x v="269"/>
    <s v="2024-01-17 00:17:31"/>
    <x v="3"/>
    <s v="2024-01-30 23:11:31"/>
    <x v="254"/>
    <n v="13"/>
    <x v="3"/>
    <s v="Windows Password"/>
    <s v="Low"/>
    <n v="360"/>
    <x v="1"/>
    <s v="Portal"/>
    <s v="Tier 1"/>
    <x v="18"/>
    <x v="1"/>
    <s v="Yes"/>
    <s v="No"/>
    <n v="0"/>
    <s v="No"/>
    <n v="10"/>
    <n v="4.9000000000000004"/>
    <n v="31.4"/>
    <s v="No"/>
    <s v="Fair"/>
    <s v="No"/>
    <s v="Legal"/>
    <s v="Tuesday"/>
    <s v="Afternoon"/>
  </r>
  <r>
    <x v="270"/>
    <s v="2024-11-21 05:21:31"/>
    <x v="7"/>
    <s v="2024-11-22 16:03:31"/>
    <x v="255"/>
    <n v="1.4"/>
    <x v="5"/>
    <s v="General Inquiry"/>
    <s v="Critical"/>
    <n v="48"/>
    <x v="1"/>
    <s v="Portal"/>
    <s v="Tier 2"/>
    <x v="11"/>
    <x v="1"/>
    <s v="No"/>
    <s v="Yes"/>
    <n v="4"/>
    <s v="No"/>
    <n v="7"/>
    <n v="4.3"/>
    <n v="16.100000000000001"/>
    <s v="No"/>
    <s v="Fair"/>
    <s v="No"/>
    <s v="Executive"/>
    <s v="Tuesday"/>
    <s v="Morning"/>
  </r>
  <r>
    <x v="271"/>
    <s v="2024-06-04 20:55:08"/>
    <x v="10"/>
    <s v="2024-06-08 09:13:08"/>
    <x v="133"/>
    <n v="3.5"/>
    <x v="1"/>
    <s v="Keyboard/Mouse"/>
    <s v="High"/>
    <n v="120"/>
    <x v="1"/>
    <s v="Phone"/>
    <s v="Tier 2"/>
    <x v="23"/>
    <x v="0"/>
    <s v="No"/>
    <s v="Yes"/>
    <n v="1"/>
    <s v="No"/>
    <n v="7"/>
    <n v="1.6"/>
    <n v="3.9"/>
    <s v="Yes"/>
    <s v="Good"/>
    <s v="Yes"/>
    <s v="IT"/>
    <s v="Monday"/>
    <s v="Afternoon"/>
  </r>
  <r>
    <x v="272"/>
    <s v="2024-09-14 09:44:52"/>
    <x v="9"/>
    <s v="2024-09-23 11:26:52"/>
    <x v="256"/>
    <n v="9.1"/>
    <x v="5"/>
    <s v="Miscellaneous"/>
    <s v="Medium"/>
    <n v="240"/>
    <x v="1"/>
    <s v="Email"/>
    <s v="Tier 1"/>
    <x v="13"/>
    <x v="2"/>
    <s v="Yes"/>
    <s v="No"/>
    <n v="0"/>
    <s v="No"/>
    <n v="10"/>
    <n v="4.8"/>
    <n v="9.8000000000000007"/>
    <s v="Yes"/>
    <s v="Good"/>
    <s v="Yes"/>
    <s v="Sales"/>
    <s v="Wednesday"/>
    <s v="Evening"/>
  </r>
  <r>
    <x v="273"/>
    <s v="2024-06-01 20:53:17"/>
    <x v="10"/>
    <s v="2024-06-15 03:29:17"/>
    <x v="257"/>
    <n v="13.3"/>
    <x v="6"/>
    <s v="Distribution List"/>
    <s v="Medium"/>
    <n v="240"/>
    <x v="0"/>
    <s v="Portal"/>
    <s v="Tier 1"/>
    <x v="12"/>
    <x v="1"/>
    <s v="No"/>
    <s v="No"/>
    <n v="1"/>
    <s v="No"/>
    <n v="5"/>
    <n v="4.9000000000000004"/>
    <n v="34.4"/>
    <s v="Yes"/>
    <s v="Good"/>
    <s v="No"/>
    <s v="Legal"/>
    <s v="Wednesday"/>
    <s v="Evening"/>
  </r>
  <r>
    <x v="274"/>
    <s v="2024-07-12 09:06:50"/>
    <x v="4"/>
    <s v="2024-07-18 20:54:50"/>
    <x v="258"/>
    <n v="6.5"/>
    <x v="7"/>
    <s v="VPN Client"/>
    <s v="Medium"/>
    <n v="240"/>
    <x v="1"/>
    <s v="Portal"/>
    <s v="Tier 2"/>
    <x v="21"/>
    <x v="2"/>
    <s v="No"/>
    <s v="Yes"/>
    <n v="4"/>
    <s v="No"/>
    <n v="8"/>
    <n v="0.1"/>
    <n v="24.4"/>
    <s v="Yes"/>
    <s v="Fair"/>
    <s v="Yes"/>
    <s v="HR"/>
    <s v="Friday"/>
    <s v="Morning"/>
  </r>
  <r>
    <x v="275"/>
    <s v="2024-03-12 11:00:45"/>
    <x v="5"/>
    <s v="2024-03-23 16:30:45"/>
    <x v="259"/>
    <n v="11.2"/>
    <x v="0"/>
    <s v="Admin Rights"/>
    <s v="Low"/>
    <n v="360"/>
    <x v="1"/>
    <s v="Email"/>
    <s v="Tier 1"/>
    <x v="10"/>
    <x v="2"/>
    <s v="Yes"/>
    <s v="No"/>
    <n v="0"/>
    <s v="No"/>
    <n v="6"/>
    <n v="6"/>
    <n v="23.1"/>
    <s v="No"/>
    <s v="Good"/>
    <s v="No"/>
    <s v="Executive"/>
    <s v="Wednesday"/>
    <s v="Afternoon"/>
  </r>
  <r>
    <x v="276"/>
    <s v="2024-10-19 22:20:17"/>
    <x v="2"/>
    <s v="2024-10-30 04:32:17"/>
    <x v="260"/>
    <n v="10.3"/>
    <x v="3"/>
    <s v="Account Unlock"/>
    <s v="Low"/>
    <n v="360"/>
    <x v="1"/>
    <s v="Phone"/>
    <s v="Tier 1"/>
    <x v="8"/>
    <x v="2"/>
    <s v="Yes"/>
    <s v="No"/>
    <n v="0"/>
    <s v="No"/>
    <n v="10"/>
    <n v="4"/>
    <n v="40.799999999999997"/>
    <s v="No"/>
    <s v="Fair"/>
    <s v="Yes"/>
    <s v="Marketing"/>
    <s v="Tuesday"/>
    <s v="Morning"/>
  </r>
  <r>
    <x v="277"/>
    <s v="2024-08-31 03:32:47"/>
    <x v="1"/>
    <s v="2024-09-06 05:38:47"/>
    <x v="261"/>
    <n v="6.1"/>
    <x v="7"/>
    <s v="Adobe Suite"/>
    <s v="Medium"/>
    <n v="240"/>
    <x v="1"/>
    <s v="Portal"/>
    <s v="Tier 2"/>
    <x v="15"/>
    <x v="2"/>
    <s v="No"/>
    <s v="Yes"/>
    <n v="1"/>
    <s v="No"/>
    <n v="7"/>
    <n v="1.8"/>
    <n v="25.2"/>
    <s v="No"/>
    <s v="Fair"/>
    <s v="Yes"/>
    <s v="Sales"/>
    <s v="Tuesday"/>
    <s v="Morning"/>
  </r>
  <r>
    <x v="278"/>
    <s v="2024-07-11 06:54:53"/>
    <x v="4"/>
    <s v="2024-07-17 22:42:53"/>
    <x v="262"/>
    <n v="6.7"/>
    <x v="6"/>
    <s v="Distribution List"/>
    <s v="Medium"/>
    <n v="240"/>
    <x v="1"/>
    <s v="Portal"/>
    <s v="Tier 1"/>
    <x v="13"/>
    <x v="2"/>
    <s v="No"/>
    <s v="No"/>
    <n v="1"/>
    <s v="No"/>
    <n v="10"/>
    <n v="0.1"/>
    <n v="14.8"/>
    <s v="No"/>
    <s v="Fair"/>
    <s v="Yes"/>
    <s v="Operations"/>
    <s v="Friday"/>
    <s v="Morning"/>
  </r>
  <r>
    <x v="279"/>
    <s v="2024-08-29 23:20:44"/>
    <x v="1"/>
    <s v="2024-09-03 05:26:44"/>
    <x v="263"/>
    <n v="4.3"/>
    <x v="4"/>
    <s v="Crash"/>
    <s v="High"/>
    <n v="120"/>
    <x v="1"/>
    <s v="Portal"/>
    <s v="Tier 1"/>
    <x v="24"/>
    <x v="0"/>
    <s v="No"/>
    <s v="No"/>
    <n v="1"/>
    <s v="No"/>
    <n v="8"/>
    <n v="4.0999999999999996"/>
    <n v="18.2"/>
    <s v="Yes"/>
    <s v="Excellent"/>
    <s v="Yes"/>
    <s v="Executive"/>
    <s v="Friday"/>
    <s v="Afternoon"/>
  </r>
  <r>
    <x v="280"/>
    <s v="2024-03-21 12:06:23"/>
    <x v="5"/>
    <s v="2024-04-12 08:24:23"/>
    <x v="264"/>
    <n v="21.8"/>
    <x v="3"/>
    <s v="Email Password"/>
    <s v="Low"/>
    <n v="360"/>
    <x v="0"/>
    <s v="Portal"/>
    <s v="Tier 1"/>
    <x v="22"/>
    <x v="0"/>
    <s v="No"/>
    <s v="No"/>
    <n v="1"/>
    <s v="No"/>
    <n v="5"/>
    <n v="3.3"/>
    <n v="8"/>
    <s v="Yes"/>
    <s v="Good"/>
    <s v="Yes"/>
    <s v="Finance"/>
    <s v="Wednesday"/>
    <s v="Morning"/>
  </r>
  <r>
    <x v="281"/>
    <s v="2024-05-19 15:15:11"/>
    <x v="8"/>
    <s v="2024-05-31 00:45:11"/>
    <x v="265"/>
    <n v="12.4"/>
    <x v="0"/>
    <s v="Application Access"/>
    <s v="Low"/>
    <n v="360"/>
    <x v="1"/>
    <s v="Email"/>
    <s v="Tier 1"/>
    <x v="16"/>
    <x v="1"/>
    <s v="No"/>
    <s v="No"/>
    <n v="1"/>
    <s v="Yes"/>
    <n v="9"/>
    <n v="2.9"/>
    <n v="2.7"/>
    <s v="Yes"/>
    <s v="Poor"/>
    <s v="No"/>
    <s v="Legal"/>
    <s v="Monday"/>
    <s v="Morning"/>
  </r>
  <r>
    <x v="282"/>
    <s v="2024-04-24 05:13:40"/>
    <x v="11"/>
    <s v="2024-05-07 07:13:40"/>
    <x v="266"/>
    <n v="13.1"/>
    <x v="0"/>
    <s v="File Share"/>
    <s v="Low"/>
    <n v="360"/>
    <x v="1"/>
    <s v="Phone"/>
    <s v="Tier 1"/>
    <x v="9"/>
    <x v="2"/>
    <s v="No"/>
    <s v="No"/>
    <n v="1"/>
    <s v="No"/>
    <n v="6"/>
    <n v="1.6"/>
    <n v="7.6"/>
    <s v="Yes"/>
    <s v="Good"/>
    <s v="No"/>
    <s v="Executive"/>
    <s v="Wednesday"/>
    <s v="Morning"/>
  </r>
  <r>
    <x v="283"/>
    <s v="2024-03-16 15:51:26"/>
    <x v="5"/>
    <s v="2024-03-24 05:51:26"/>
    <x v="56"/>
    <n v="7.6"/>
    <x v="0"/>
    <s v="Application Access"/>
    <s v="Medium"/>
    <n v="240"/>
    <x v="1"/>
    <s v="Portal"/>
    <s v="Tier 2"/>
    <x v="3"/>
    <x v="2"/>
    <s v="No"/>
    <s v="Yes"/>
    <n v="4"/>
    <s v="Yes"/>
    <n v="9"/>
    <n v="6.7"/>
    <n v="4.9000000000000004"/>
    <s v="Yes"/>
    <s v="Excellent"/>
    <s v="Yes"/>
    <s v="Marketing"/>
    <s v="Friday"/>
    <s v="Afternoon"/>
  </r>
  <r>
    <x v="284"/>
    <s v="2024-10-05 00:44:45"/>
    <x v="2"/>
    <s v="2024-10-09 06:56:45"/>
    <x v="267"/>
    <n v="3.3"/>
    <x v="6"/>
    <s v="Distribution List"/>
    <s v="High"/>
    <n v="120"/>
    <x v="1"/>
    <s v="Walk-in"/>
    <s v="Tier 1"/>
    <x v="8"/>
    <x v="0"/>
    <s v="Yes"/>
    <s v="No"/>
    <n v="0"/>
    <s v="No"/>
    <n v="10"/>
    <n v="2.2000000000000002"/>
    <n v="26.9"/>
    <s v="Yes"/>
    <s v="Fair"/>
    <s v="Yes"/>
    <s v="Sales"/>
    <s v="Tuesday"/>
    <s v="Evening"/>
  </r>
  <r>
    <x v="285"/>
    <s v="2024-09-29 02:50:24"/>
    <x v="9"/>
    <s v="2024-10-12 17:08:24"/>
    <x v="268"/>
    <n v="12.6"/>
    <x v="5"/>
    <s v="Documentation"/>
    <s v="Low"/>
    <n v="360"/>
    <x v="1"/>
    <s v="Phone"/>
    <s v="Tier 1"/>
    <x v="4"/>
    <x v="1"/>
    <s v="No"/>
    <s v="No"/>
    <n v="1"/>
    <s v="No"/>
    <n v="10"/>
    <n v="0.5"/>
    <n v="28.8"/>
    <s v="Yes"/>
    <s v="Good"/>
    <s v="No"/>
    <s v="Finance"/>
    <s v="Friday"/>
    <s v="Evening"/>
  </r>
  <r>
    <x v="286"/>
    <s v="2024-05-20 10:07:27"/>
    <x v="8"/>
    <s v="2024-05-27 04:37:27"/>
    <x v="269"/>
    <n v="6.8"/>
    <x v="7"/>
    <s v="Adobe Suite"/>
    <s v="Medium"/>
    <n v="240"/>
    <x v="1"/>
    <s v="Email"/>
    <s v="Tier 1"/>
    <x v="19"/>
    <x v="2"/>
    <s v="Yes"/>
    <s v="No"/>
    <n v="0"/>
    <s v="No"/>
    <n v="10"/>
    <n v="4"/>
    <n v="31"/>
    <s v="No"/>
    <s v="Poor"/>
    <s v="Yes"/>
    <s v="Marketing"/>
    <s v="Monday"/>
    <s v="Morning"/>
  </r>
  <r>
    <x v="287"/>
    <s v="2024-05-24 09:47:22"/>
    <x v="8"/>
    <s v="2024-05-28 20:29:22"/>
    <x v="111"/>
    <n v="4.4000000000000004"/>
    <x v="4"/>
    <s v="Login Issues"/>
    <s v="High"/>
    <n v="120"/>
    <x v="1"/>
    <s v="Chat"/>
    <s v="Tier 1"/>
    <x v="21"/>
    <x v="2"/>
    <s v="No"/>
    <s v="No"/>
    <n v="1"/>
    <s v="Yes"/>
    <n v="8"/>
    <n v="2.1"/>
    <n v="23.9"/>
    <s v="Yes"/>
    <s v="Good"/>
    <s v="No"/>
    <s v="Executive"/>
    <s v="Wednesday"/>
    <s v="Morning"/>
  </r>
  <r>
    <x v="288"/>
    <s v="2024-03-06 07:47:40"/>
    <x v="5"/>
    <s v="2024-03-25 18:53:40"/>
    <x v="270"/>
    <n v="19.5"/>
    <x v="6"/>
    <s v="Cannot Send/Receive"/>
    <s v="Medium"/>
    <n v="240"/>
    <x v="0"/>
    <s v="Email"/>
    <s v="Tier 1"/>
    <x v="13"/>
    <x v="0"/>
    <s v="No"/>
    <s v="No"/>
    <n v="1"/>
    <s v="No"/>
    <n v="6"/>
    <n v="3.6"/>
    <n v="31.9"/>
    <s v="Yes"/>
    <s v="Fair"/>
    <s v="No"/>
    <s v="IT"/>
    <s v="Thursday"/>
    <s v="Morning"/>
  </r>
  <r>
    <x v="289"/>
    <s v="2024-07-30 19:50:57"/>
    <x v="4"/>
    <s v="2024-08-04 10:44:57"/>
    <x v="271"/>
    <n v="4.5999999999999996"/>
    <x v="7"/>
    <s v="VPN Client"/>
    <s v="High"/>
    <n v="120"/>
    <x v="1"/>
    <s v="Walk-in"/>
    <s v="Tier 1"/>
    <x v="16"/>
    <x v="1"/>
    <s v="No"/>
    <s v="No"/>
    <n v="1"/>
    <s v="No"/>
    <n v="9"/>
    <n v="0.1"/>
    <n v="39.700000000000003"/>
    <s v="Yes"/>
    <s v="Good"/>
    <s v="No"/>
    <s v="IT"/>
    <s v="Monday"/>
    <s v="Morning"/>
  </r>
  <r>
    <x v="290"/>
    <s v="2024-03-02 23:36:45"/>
    <x v="5"/>
    <s v="2024-03-13 04:54:45"/>
    <x v="272"/>
    <n v="10.199999999999999"/>
    <x v="6"/>
    <s v="Distribution List"/>
    <s v="Low"/>
    <n v="360"/>
    <x v="1"/>
    <s v="Phone"/>
    <s v="Tier 1"/>
    <x v="9"/>
    <x v="1"/>
    <s v="No"/>
    <s v="No"/>
    <n v="1"/>
    <s v="Yes"/>
    <n v="6"/>
    <n v="0.3"/>
    <n v="0"/>
    <s v="No"/>
    <s v="Good"/>
    <s v="No"/>
    <s v="IT"/>
    <s v="Wednesday"/>
    <s v="Evening"/>
  </r>
  <r>
    <x v="291"/>
    <s v="2024-02-27 16:26:27"/>
    <x v="6"/>
    <s v="2024-03-06 06:20:27"/>
    <x v="273"/>
    <n v="7.6"/>
    <x v="4"/>
    <s v="Features Not Working"/>
    <s v="Medium"/>
    <n v="240"/>
    <x v="1"/>
    <s v="Portal"/>
    <s v="Tier 1"/>
    <x v="4"/>
    <x v="0"/>
    <s v="Yes"/>
    <s v="No"/>
    <n v="0"/>
    <s v="No"/>
    <n v="9"/>
    <n v="0.2"/>
    <n v="17.600000000000001"/>
    <s v="Yes"/>
    <s v="Good"/>
    <s v="Yes"/>
    <s v="Operations"/>
    <s v="Monday"/>
    <s v="Evening"/>
  </r>
  <r>
    <x v="292"/>
    <s v="2024-11-01 01:00:15"/>
    <x v="7"/>
    <s v="2024-11-08 06:48:15"/>
    <x v="274"/>
    <n v="6.2"/>
    <x v="7"/>
    <s v="Drivers"/>
    <s v="Medium"/>
    <n v="240"/>
    <x v="1"/>
    <s v="Phone"/>
    <s v="Tier 2"/>
    <x v="23"/>
    <x v="1"/>
    <s v="No"/>
    <s v="Yes"/>
    <n v="1"/>
    <s v="No"/>
    <n v="6"/>
    <n v="0.8"/>
    <n v="18.5"/>
    <s v="No"/>
    <s v="Fair"/>
    <s v="Yes"/>
    <s v="Sales"/>
    <s v="Thursday"/>
    <s v="Afternoon"/>
  </r>
  <r>
    <x v="293"/>
    <s v="2024-10-30 16:55:21"/>
    <x v="2"/>
    <s v="2024-11-06 06:43:21"/>
    <x v="275"/>
    <n v="6.6"/>
    <x v="0"/>
    <s v="Admin Rights"/>
    <s v="High"/>
    <n v="120"/>
    <x v="0"/>
    <s v="Phone"/>
    <s v="Tier 2"/>
    <x v="19"/>
    <x v="1"/>
    <s v="No"/>
    <s v="Yes"/>
    <n v="3"/>
    <s v="Yes"/>
    <n v="6"/>
    <n v="3.8"/>
    <n v="27.6"/>
    <s v="Yes"/>
    <s v="Good"/>
    <s v="Yes"/>
    <s v="HR"/>
    <s v="Thursday"/>
    <s v="Morning"/>
  </r>
  <r>
    <x v="294"/>
    <s v="2024-05-08 18:07:50"/>
    <x v="8"/>
    <s v="2024-05-19 07:37:50"/>
    <x v="276"/>
    <n v="10.6"/>
    <x v="7"/>
    <s v="MS Office"/>
    <s v="Low"/>
    <n v="360"/>
    <x v="1"/>
    <s v="Email"/>
    <s v="Tier 1"/>
    <x v="10"/>
    <x v="2"/>
    <s v="No"/>
    <s v="No"/>
    <n v="1"/>
    <s v="Yes"/>
    <n v="10"/>
    <n v="0.8"/>
    <n v="15"/>
    <s v="No"/>
    <s v="Fair"/>
    <s v="Yes"/>
    <s v="Legal"/>
    <s v="Thursday"/>
    <s v="Morning"/>
  </r>
  <r>
    <x v="295"/>
    <s v="2024-09-09 05:55:46"/>
    <x v="9"/>
    <s v="2024-09-11 03:01:46"/>
    <x v="277"/>
    <n v="1.9"/>
    <x v="5"/>
    <s v="Training Request"/>
    <s v="Critical"/>
    <n v="48"/>
    <x v="1"/>
    <s v="Portal"/>
    <s v="Tier 1"/>
    <x v="10"/>
    <x v="2"/>
    <s v="No"/>
    <s v="No"/>
    <n v="1"/>
    <s v="No"/>
    <n v="9"/>
    <n v="3.7"/>
    <n v="19.3"/>
    <s v="Yes"/>
    <s v="Good"/>
    <s v="No"/>
    <s v="Finance"/>
    <s v="Monday"/>
    <s v="Afternoon"/>
  </r>
  <r>
    <x v="296"/>
    <s v="2024-12-29 02:45:26"/>
    <x v="0"/>
    <s v="2025-01-10 08:57:26"/>
    <x v="278"/>
    <n v="12.3"/>
    <x v="1"/>
    <s v="Keyboard/Mouse"/>
    <s v="Medium"/>
    <n v="240"/>
    <x v="0"/>
    <s v="Email"/>
    <s v="Tier 1"/>
    <x v="7"/>
    <x v="2"/>
    <s v="No"/>
    <s v="No"/>
    <n v="1"/>
    <s v="No"/>
    <n v="4"/>
    <n v="2.8"/>
    <n v="10.1"/>
    <s v="No"/>
    <s v="Fair"/>
    <s v="Yes"/>
    <s v="IT"/>
    <s v="Tuesday"/>
    <s v="Afternoon"/>
  </r>
  <r>
    <x v="297"/>
    <s v="2024-07-26 17:19:46"/>
    <x v="4"/>
    <s v="2024-07-31 07:25:46"/>
    <x v="279"/>
    <n v="4.5999999999999996"/>
    <x v="3"/>
    <s v="Account Unlock"/>
    <s v="High"/>
    <n v="120"/>
    <x v="1"/>
    <s v="Phone"/>
    <s v="Tier 1"/>
    <x v="0"/>
    <x v="2"/>
    <s v="Yes"/>
    <s v="No"/>
    <n v="0"/>
    <s v="No"/>
    <n v="7"/>
    <n v="3.7"/>
    <n v="0.3"/>
    <s v="Yes"/>
    <s v="Excellent"/>
    <s v="Yes"/>
    <s v="Executive"/>
    <s v="Friday"/>
    <s v="Morning"/>
  </r>
  <r>
    <x v="298"/>
    <s v="2024-10-08 01:54:45"/>
    <x v="2"/>
    <s v="2024-10-16 21:12:45"/>
    <x v="280"/>
    <n v="7.8"/>
    <x v="1"/>
    <s v="Keyboard/Mouse"/>
    <s v="High"/>
    <n v="120"/>
    <x v="0"/>
    <s v="Email"/>
    <s v="Tier 2"/>
    <x v="3"/>
    <x v="1"/>
    <s v="No"/>
    <s v="Yes"/>
    <n v="2"/>
    <s v="No"/>
    <n v="5"/>
    <n v="4.3"/>
    <n v="21"/>
    <s v="Yes"/>
    <s v="Good"/>
    <s v="Yes"/>
    <s v="Executive"/>
    <s v="Thursday"/>
    <s v="Morning"/>
  </r>
  <r>
    <x v="299"/>
    <s v="2024-02-25 04:10:12"/>
    <x v="6"/>
    <s v="2024-02-29 08:22:12"/>
    <x v="281"/>
    <n v="4.2"/>
    <x v="4"/>
    <s v="Login Issues"/>
    <s v="High"/>
    <n v="120"/>
    <x v="1"/>
    <s v="Phone"/>
    <s v="Tier 2"/>
    <x v="23"/>
    <x v="2"/>
    <s v="No"/>
    <s v="Yes"/>
    <n v="2"/>
    <s v="No"/>
    <n v="6"/>
    <n v="3.2"/>
    <n v="36.799999999999997"/>
    <s v="Yes"/>
    <s v="Good"/>
    <s v="Yes"/>
    <s v="HR"/>
    <s v="Wednesday"/>
    <s v="Morning"/>
  </r>
  <r>
    <x v="300"/>
    <s v="2024-12-01 18:32:40"/>
    <x v="0"/>
    <s v="2024-12-25 13:26:40"/>
    <x v="282"/>
    <n v="23.8"/>
    <x v="0"/>
    <s v="VPN Access"/>
    <s v="Medium"/>
    <n v="240"/>
    <x v="0"/>
    <s v="Portal"/>
    <s v="Tier 1"/>
    <x v="17"/>
    <x v="2"/>
    <s v="Yes"/>
    <s v="No"/>
    <n v="0"/>
    <s v="No"/>
    <n v="5"/>
    <n v="4.7"/>
    <n v="29.4"/>
    <s v="Yes"/>
    <s v="Good"/>
    <s v="No"/>
    <s v="Sales"/>
    <s v="Monday"/>
    <s v="Afternoon"/>
  </r>
  <r>
    <x v="301"/>
    <s v="2024-01-22 23:08:06"/>
    <x v="3"/>
    <s v="2024-02-06 18:56:06"/>
    <x v="283"/>
    <n v="14.8"/>
    <x v="0"/>
    <s v="File Share"/>
    <s v="Medium"/>
    <n v="240"/>
    <x v="0"/>
    <s v="Email"/>
    <s v="Tier 1"/>
    <x v="21"/>
    <x v="2"/>
    <s v="No"/>
    <s v="No"/>
    <n v="1"/>
    <s v="No"/>
    <n v="5"/>
    <n v="0.1"/>
    <n v="26.7"/>
    <s v="Yes"/>
    <s v="Good"/>
    <s v="No"/>
    <s v="Finance"/>
    <s v="Monday"/>
    <s v="Evening"/>
  </r>
  <r>
    <x v="302"/>
    <s v="2024-06-26 22:41:05"/>
    <x v="10"/>
    <s v="2024-07-01 09:41:05"/>
    <x v="284"/>
    <n v="4.5"/>
    <x v="7"/>
    <s v="Drivers"/>
    <s v="High"/>
    <n v="120"/>
    <x v="1"/>
    <s v="Phone"/>
    <s v="Tier 1"/>
    <x v="6"/>
    <x v="0"/>
    <s v="No"/>
    <s v="No"/>
    <n v="1"/>
    <s v="No"/>
    <n v="9"/>
    <n v="4.3"/>
    <n v="35.299999999999997"/>
    <s v="Yes"/>
    <s v="Fair"/>
    <s v="Yes"/>
    <s v="Executive"/>
    <s v="Wednesday"/>
    <s v="Evening"/>
  </r>
  <r>
    <x v="303"/>
    <s v="2024-05-02 06:58:12"/>
    <x v="8"/>
    <s v="2024-05-11 15:58:12"/>
    <x v="285"/>
    <n v="9.4"/>
    <x v="3"/>
    <s v="Email Password"/>
    <s v="Low"/>
    <n v="360"/>
    <x v="1"/>
    <s v="Phone"/>
    <s v="Tier 1"/>
    <x v="11"/>
    <x v="1"/>
    <s v="No"/>
    <s v="No"/>
    <n v="1"/>
    <s v="No"/>
    <n v="8"/>
    <n v="2.1"/>
    <n v="21.8"/>
    <s v="No"/>
    <s v="Good"/>
    <s v="Yes"/>
    <s v="Sales"/>
    <s v="Friday"/>
    <s v="Evening"/>
  </r>
  <r>
    <x v="304"/>
    <s v="2024-06-27 00:57:37"/>
    <x v="10"/>
    <s v="2024-07-08 13:39:37"/>
    <x v="286"/>
    <n v="10.5"/>
    <x v="3"/>
    <s v="Email Password"/>
    <s v="Low"/>
    <n v="360"/>
    <x v="1"/>
    <s v="Email"/>
    <s v="Tier 1"/>
    <x v="20"/>
    <x v="0"/>
    <s v="No"/>
    <s v="No"/>
    <n v="1"/>
    <s v="No"/>
    <n v="8"/>
    <n v="4.3"/>
    <n v="23"/>
    <s v="Yes"/>
    <s v="Fair"/>
    <s v="No"/>
    <s v="Finance"/>
    <s v="Wednesday"/>
    <s v="Afternoon"/>
  </r>
  <r>
    <x v="305"/>
    <s v="2024-09-25 02:55:40"/>
    <x v="9"/>
    <s v="2024-10-03 23:43:40"/>
    <x v="287"/>
    <n v="7.9"/>
    <x v="7"/>
    <s v="MS Office"/>
    <s v="Medium"/>
    <n v="240"/>
    <x v="1"/>
    <s v="Phone"/>
    <s v="Tier 1"/>
    <x v="14"/>
    <x v="1"/>
    <s v="No"/>
    <s v="No"/>
    <n v="1"/>
    <s v="No"/>
    <n v="6"/>
    <n v="2.6"/>
    <n v="11.2"/>
    <s v="Yes"/>
    <s v="Fair"/>
    <s v="Yes"/>
    <s v="IT"/>
    <s v="Friday"/>
    <s v="Evening"/>
  </r>
  <r>
    <x v="306"/>
    <s v="2024-04-10 22:24:39"/>
    <x v="11"/>
    <s v="2024-04-17 09:00:39"/>
    <x v="288"/>
    <n v="6.4"/>
    <x v="2"/>
    <s v="Ethernet"/>
    <s v="Medium"/>
    <n v="240"/>
    <x v="1"/>
    <s v="Phone"/>
    <s v="Tier 1"/>
    <x v="5"/>
    <x v="1"/>
    <s v="Yes"/>
    <s v="No"/>
    <n v="0"/>
    <s v="No"/>
    <n v="9"/>
    <n v="1.9"/>
    <n v="18.100000000000001"/>
    <s v="No"/>
    <s v="Poor"/>
    <s v="Yes"/>
    <s v="Marketing"/>
    <s v="Wednesday"/>
    <s v="Morning"/>
  </r>
  <r>
    <x v="307"/>
    <s v="2024-03-17 09:36:32"/>
    <x v="5"/>
    <s v="2024-03-31 23:12:32"/>
    <x v="289"/>
    <n v="14.5"/>
    <x v="7"/>
    <s v="Adobe Suite"/>
    <s v="Medium"/>
    <n v="240"/>
    <x v="0"/>
    <s v="Phone"/>
    <s v="Tier 1"/>
    <x v="3"/>
    <x v="0"/>
    <s v="Yes"/>
    <s v="No"/>
    <n v="0"/>
    <s v="No"/>
    <n v="7"/>
    <n v="0.8"/>
    <n v="27.8"/>
    <s v="Yes"/>
    <s v="Fair"/>
    <s v="No"/>
    <s v="Executive"/>
    <s v="Friday"/>
    <s v="Afternoon"/>
  </r>
  <r>
    <x v="308"/>
    <s v="2024-07-04 23:08:24"/>
    <x v="4"/>
    <s v="2024-07-08 18:44:24"/>
    <x v="290"/>
    <n v="3.8"/>
    <x v="2"/>
    <s v="WiFi Issues"/>
    <s v="High"/>
    <n v="120"/>
    <x v="1"/>
    <s v="Email"/>
    <s v="Tier 1"/>
    <x v="13"/>
    <x v="2"/>
    <s v="No"/>
    <s v="No"/>
    <n v="1"/>
    <s v="No"/>
    <n v="6"/>
    <n v="4"/>
    <n v="33.6"/>
    <s v="No"/>
    <s v="Fair"/>
    <s v="Yes"/>
    <s v="Executive"/>
    <s v="Friday"/>
    <s v="Morning"/>
  </r>
  <r>
    <x v="309"/>
    <s v="2024-06-25 07:22:05"/>
    <x v="10"/>
    <s v="2024-07-01 12:52:05"/>
    <x v="73"/>
    <n v="6.2"/>
    <x v="4"/>
    <s v="Performance"/>
    <s v="High"/>
    <n v="120"/>
    <x v="0"/>
    <s v="Email"/>
    <s v="Tier 2"/>
    <x v="5"/>
    <x v="1"/>
    <s v="No"/>
    <s v="Yes"/>
    <n v="4"/>
    <s v="Yes"/>
    <n v="6"/>
    <n v="3.3"/>
    <n v="2.8"/>
    <s v="Yes"/>
    <s v="Good"/>
    <s v="Yes"/>
    <s v="Legal"/>
    <s v="Monday"/>
    <s v="Evening"/>
  </r>
  <r>
    <x v="310"/>
    <s v="2024-08-03 22:38:55"/>
    <x v="1"/>
    <s v="2024-08-07 07:38:55"/>
    <x v="208"/>
    <n v="3.4"/>
    <x v="1"/>
    <s v="Printer"/>
    <s v="High"/>
    <n v="120"/>
    <x v="1"/>
    <s v="Phone"/>
    <s v="Tier 1"/>
    <x v="14"/>
    <x v="2"/>
    <s v="No"/>
    <s v="No"/>
    <n v="1"/>
    <s v="No"/>
    <n v="5"/>
    <n v="1.9"/>
    <n v="16.3"/>
    <s v="No"/>
    <s v="Good"/>
    <s v="Yes"/>
    <s v="Finance"/>
    <s v="Monday"/>
    <s v="Morning"/>
  </r>
  <r>
    <x v="311"/>
    <s v="2024-04-16 12:56:32"/>
    <x v="11"/>
    <s v="2024-04-28 10:02:32"/>
    <x v="291"/>
    <n v="11.9"/>
    <x v="0"/>
    <s v="File Share"/>
    <s v="Low"/>
    <n v="360"/>
    <x v="1"/>
    <s v="Phone"/>
    <s v="Tier 1"/>
    <x v="10"/>
    <x v="1"/>
    <s v="No"/>
    <s v="No"/>
    <n v="1"/>
    <s v="No"/>
    <n v="9"/>
    <n v="0.1"/>
    <n v="21.2"/>
    <s v="No"/>
    <s v="Excellent"/>
    <s v="Yes"/>
    <s v="Executive"/>
    <s v="Wednesday"/>
    <s v="Afternoon"/>
  </r>
  <r>
    <x v="312"/>
    <s v="2024-12-03 06:54:28"/>
    <x v="0"/>
    <s v="2024-12-12 16:18:28"/>
    <x v="292"/>
    <n v="9.4"/>
    <x v="4"/>
    <s v="Login Issues"/>
    <s v="Medium"/>
    <n v="240"/>
    <x v="1"/>
    <s v="Phone"/>
    <s v="Tier 2"/>
    <x v="19"/>
    <x v="2"/>
    <s v="No"/>
    <s v="Yes"/>
    <n v="4"/>
    <s v="No"/>
    <n v="7"/>
    <n v="6.1"/>
    <n v="3.8"/>
    <s v="No"/>
    <s v="Fair"/>
    <s v="Yes"/>
    <s v="Finance"/>
    <s v="Monday"/>
    <s v="Afternoon"/>
  </r>
  <r>
    <x v="313"/>
    <s v="2024-05-28 20:44:27"/>
    <x v="8"/>
    <s v="2024-06-14 01:50:27"/>
    <x v="293"/>
    <n v="17.2"/>
    <x v="5"/>
    <s v="Training Request"/>
    <s v="Low"/>
    <n v="360"/>
    <x v="0"/>
    <s v="Phone"/>
    <s v="Tier 1"/>
    <x v="2"/>
    <x v="2"/>
    <s v="No"/>
    <s v="No"/>
    <n v="1"/>
    <s v="No"/>
    <n v="6"/>
    <n v="2.5"/>
    <n v="21.4"/>
    <s v="Yes"/>
    <s v="Fair"/>
    <s v="Yes"/>
    <s v="HR"/>
    <s v="Monday"/>
    <s v="Morning"/>
  </r>
  <r>
    <x v="314"/>
    <s v="2024-06-18 07:56:56"/>
    <x v="10"/>
    <s v="2024-06-26 11:50:56"/>
    <x v="294"/>
    <n v="8.1999999999999993"/>
    <x v="6"/>
    <s v="Cannot Send/Receive"/>
    <s v="High"/>
    <n v="120"/>
    <x v="0"/>
    <s v="Walk-in"/>
    <s v="Tier 1"/>
    <x v="16"/>
    <x v="2"/>
    <s v="Yes"/>
    <s v="No"/>
    <n v="0"/>
    <s v="No"/>
    <n v="7"/>
    <n v="2.8"/>
    <n v="25.8"/>
    <s v="Yes"/>
    <s v="Good"/>
    <s v="Yes"/>
    <s v="HR"/>
    <s v="Thursday"/>
    <s v="Evening"/>
  </r>
  <r>
    <x v="315"/>
    <s v="2024-01-29 02:40:36"/>
    <x v="3"/>
    <s v="2024-02-06 07:28:36"/>
    <x v="295"/>
    <n v="8.1999999999999993"/>
    <x v="6"/>
    <s v="Cannot Send/Receive"/>
    <s v="Medium"/>
    <n v="240"/>
    <x v="1"/>
    <s v="Phone"/>
    <s v="Tier 1"/>
    <x v="23"/>
    <x v="0"/>
    <s v="Yes"/>
    <s v="No"/>
    <n v="0"/>
    <s v="No"/>
    <n v="9"/>
    <n v="5.2"/>
    <n v="21.7"/>
    <s v="Yes"/>
    <s v="Good"/>
    <s v="No"/>
    <s v="HR"/>
    <s v="Monday"/>
    <s v="Morning"/>
  </r>
  <r>
    <x v="316"/>
    <s v="2024-05-26 04:20:35"/>
    <x v="8"/>
    <s v="2024-06-03 10:08:35"/>
    <x v="183"/>
    <n v="8.1999999999999993"/>
    <x v="4"/>
    <s v="Features Not Working"/>
    <s v="Medium"/>
    <n v="240"/>
    <x v="1"/>
    <s v="Portal"/>
    <s v="Tier 1"/>
    <x v="0"/>
    <x v="2"/>
    <s v="No"/>
    <s v="No"/>
    <n v="1"/>
    <s v="No"/>
    <n v="7"/>
    <n v="4.0999999999999996"/>
    <n v="7.5"/>
    <s v="Yes"/>
    <s v="Poor"/>
    <s v="Yes"/>
    <s v="Operations"/>
    <s v="Thursday"/>
    <s v="Morning"/>
  </r>
  <r>
    <x v="317"/>
    <s v="2024-07-26 09:45:49"/>
    <x v="4"/>
    <s v="2024-08-08 22:09:49"/>
    <x v="296"/>
    <n v="13.5"/>
    <x v="3"/>
    <s v="Windows Password"/>
    <s v="Low"/>
    <n v="360"/>
    <x v="1"/>
    <s v="Phone"/>
    <s v="Tier 1"/>
    <x v="17"/>
    <x v="0"/>
    <s v="Yes"/>
    <s v="No"/>
    <n v="0"/>
    <s v="No"/>
    <n v="10"/>
    <n v="1"/>
    <n v="7.2"/>
    <s v="No"/>
    <s v="Good"/>
    <s v="No"/>
    <s v="Marketing"/>
    <s v="Tuesday"/>
    <s v="Evening"/>
  </r>
  <r>
    <x v="318"/>
    <s v="2024-11-30 21:37:22"/>
    <x v="7"/>
    <s v="2024-12-08 20:19:22"/>
    <x v="297"/>
    <n v="7.9"/>
    <x v="6"/>
    <s v="Calendar Sync"/>
    <s v="Medium"/>
    <n v="240"/>
    <x v="1"/>
    <s v="Phone"/>
    <s v="Tier 2"/>
    <x v="18"/>
    <x v="2"/>
    <s v="No"/>
    <s v="Yes"/>
    <n v="1"/>
    <s v="No"/>
    <n v="10"/>
    <n v="3.8"/>
    <n v="30.9"/>
    <s v="Yes"/>
    <s v="Good"/>
    <s v="No"/>
    <s v="IT"/>
    <s v="Friday"/>
    <s v="Afternoon"/>
  </r>
  <r>
    <x v="319"/>
    <s v="2024-03-02 14:55:34"/>
    <x v="5"/>
    <s v="2024-03-29 05:13:34"/>
    <x v="298"/>
    <n v="26.6"/>
    <x v="0"/>
    <s v="Application Access"/>
    <s v="Medium"/>
    <n v="240"/>
    <x v="0"/>
    <s v="Phone"/>
    <s v="Tier 1"/>
    <x v="13"/>
    <x v="0"/>
    <s v="No"/>
    <s v="No"/>
    <n v="1"/>
    <s v="Yes"/>
    <n v="6"/>
    <n v="1.4"/>
    <n v="12"/>
    <s v="No"/>
    <s v="Fair"/>
    <s v="Yes"/>
    <s v="IT"/>
    <s v="Tuesday"/>
    <s v="Afternoon"/>
  </r>
  <r>
    <x v="320"/>
    <s v="2024-02-26 01:55:49"/>
    <x v="6"/>
    <s v="2024-03-08 06:19:49"/>
    <x v="180"/>
    <n v="10.199999999999999"/>
    <x v="3"/>
    <s v="Account Unlock"/>
    <s v="Low"/>
    <n v="360"/>
    <x v="1"/>
    <s v="Phone"/>
    <s v="Tier 1"/>
    <x v="10"/>
    <x v="1"/>
    <s v="No"/>
    <s v="No"/>
    <n v="1"/>
    <s v="No"/>
    <n v="10"/>
    <n v="3.5"/>
    <n v="0"/>
    <s v="No"/>
    <s v="Poor"/>
    <s v="No"/>
    <s v="Marketing"/>
    <s v="Monday"/>
    <s v="Afternoon"/>
  </r>
  <r>
    <x v="321"/>
    <s v="2024-01-02 17:15:20"/>
    <x v="3"/>
    <s v="2024-01-13 02:57:20"/>
    <x v="299"/>
    <n v="10.4"/>
    <x v="3"/>
    <s v="Windows Password"/>
    <s v="Low"/>
    <n v="360"/>
    <x v="1"/>
    <s v="Walk-in"/>
    <s v="Tier 1"/>
    <x v="17"/>
    <x v="1"/>
    <s v="Yes"/>
    <s v="No"/>
    <n v="0"/>
    <s v="No"/>
    <n v="10"/>
    <n v="1.7"/>
    <n v="14.6"/>
    <s v="Yes"/>
    <s v="Fair"/>
    <s v="Yes"/>
    <s v="HR"/>
    <s v="Friday"/>
    <s v="Morning"/>
  </r>
  <r>
    <x v="322"/>
    <s v="2024-02-14 16:16:28"/>
    <x v="6"/>
    <s v="2024-02-22 17:40:28"/>
    <x v="107"/>
    <n v="8.1"/>
    <x v="0"/>
    <s v="File Share"/>
    <s v="Medium"/>
    <n v="240"/>
    <x v="1"/>
    <s v="Phone"/>
    <s v="Tier 1"/>
    <x v="3"/>
    <x v="0"/>
    <s v="No"/>
    <s v="No"/>
    <n v="1"/>
    <s v="No"/>
    <n v="9"/>
    <n v="0.7"/>
    <n v="15.5"/>
    <s v="Yes"/>
    <s v="Good"/>
    <s v="Yes"/>
    <s v="HR"/>
    <s v="Wednesday"/>
    <s v="Afternoon"/>
  </r>
  <r>
    <x v="323"/>
    <s v="2024-06-13 02:02:02"/>
    <x v="10"/>
    <s v="2024-06-22 04:38:02"/>
    <x v="300"/>
    <n v="8.1"/>
    <x v="1"/>
    <s v="Laptop"/>
    <s v="Medium"/>
    <n v="240"/>
    <x v="1"/>
    <s v="Phone"/>
    <s v="Tier 1"/>
    <x v="19"/>
    <x v="0"/>
    <s v="Yes"/>
    <s v="No"/>
    <n v="0"/>
    <s v="No"/>
    <n v="10"/>
    <n v="1.4"/>
    <n v="22.1"/>
    <s v="No"/>
    <s v="Poor"/>
    <s v="Yes"/>
    <s v="Marketing"/>
    <s v="Tuesday"/>
    <s v="Morning"/>
  </r>
  <r>
    <x v="324"/>
    <s v="2024-05-01 06:00:08"/>
    <x v="8"/>
    <s v="2024-05-10 05:24:08"/>
    <x v="118"/>
    <n v="9"/>
    <x v="3"/>
    <s v="Account Unlock"/>
    <s v="Medium"/>
    <n v="240"/>
    <x v="1"/>
    <s v="Phone"/>
    <s v="Tier 1"/>
    <x v="10"/>
    <x v="1"/>
    <s v="Yes"/>
    <s v="No"/>
    <n v="0"/>
    <s v="No"/>
    <n v="8"/>
    <n v="4.5999999999999996"/>
    <n v="11.1"/>
    <s v="Yes"/>
    <s v="Good"/>
    <s v="Yes"/>
    <s v="IT"/>
    <s v="Monday"/>
    <s v="Morning"/>
  </r>
  <r>
    <x v="325"/>
    <s v="2024-05-30 18:53:53"/>
    <x v="8"/>
    <s v="2024-06-02 01:29:53"/>
    <x v="301"/>
    <n v="3.3"/>
    <x v="4"/>
    <s v="Features Not Working"/>
    <s v="High"/>
    <n v="120"/>
    <x v="1"/>
    <s v="Chat"/>
    <s v="Tier 2"/>
    <x v="15"/>
    <x v="0"/>
    <s v="No"/>
    <s v="Yes"/>
    <n v="1"/>
    <s v="No"/>
    <n v="9"/>
    <n v="2.2999999999999998"/>
    <n v="14.8"/>
    <s v="Yes"/>
    <s v="Fair"/>
    <s v="Yes"/>
    <s v="Marketing"/>
    <s v="Thursday"/>
    <s v="Morning"/>
  </r>
  <r>
    <x v="326"/>
    <s v="2024-11-27 23:46:26"/>
    <x v="7"/>
    <s v="2024-12-10 02:16:26"/>
    <x v="302"/>
    <n v="12.1"/>
    <x v="7"/>
    <s v="Drivers"/>
    <s v="Medium"/>
    <n v="240"/>
    <x v="0"/>
    <s v="Email"/>
    <s v="Tier 2"/>
    <x v="1"/>
    <x v="0"/>
    <s v="No"/>
    <s v="Yes"/>
    <n v="3"/>
    <s v="No"/>
    <n v="4"/>
    <n v="3.7"/>
    <n v="32.9"/>
    <s v="Yes"/>
    <s v="Poor"/>
    <s v="Yes"/>
    <s v="HR"/>
    <s v="Wednesday"/>
    <s v="Afternoon"/>
  </r>
  <r>
    <x v="327"/>
    <s v="2024-01-05 11:00:27"/>
    <x v="3"/>
    <s v="2024-01-17 18:24:27"/>
    <x v="303"/>
    <n v="12.3"/>
    <x v="6"/>
    <s v="Distribution List"/>
    <s v="Medium"/>
    <n v="240"/>
    <x v="0"/>
    <s v="Portal"/>
    <s v="Tier 1"/>
    <x v="12"/>
    <x v="2"/>
    <s v="Yes"/>
    <s v="No"/>
    <n v="0"/>
    <s v="Yes"/>
    <n v="8"/>
    <n v="6.1"/>
    <n v="1.8"/>
    <s v="Yes"/>
    <s v="Fair"/>
    <s v="Yes"/>
    <s v="Marketing"/>
    <s v="Thursday"/>
    <s v="Morning"/>
  </r>
  <r>
    <x v="328"/>
    <s v="2024-11-25 05:12:39"/>
    <x v="7"/>
    <s v="2024-11-29 08:06:39"/>
    <x v="304"/>
    <n v="4.0999999999999996"/>
    <x v="1"/>
    <s v="Docking Station"/>
    <s v="High"/>
    <n v="120"/>
    <x v="1"/>
    <s v="Email"/>
    <s v="Tier 2"/>
    <x v="20"/>
    <x v="1"/>
    <s v="No"/>
    <s v="Yes"/>
    <n v="2"/>
    <s v="No"/>
    <n v="7"/>
    <n v="1.3"/>
    <n v="18.8"/>
    <s v="Yes"/>
    <s v="Poor"/>
    <s v="Yes"/>
    <s v="HR"/>
    <s v="Wednesday"/>
    <s v="Morning"/>
  </r>
  <r>
    <x v="329"/>
    <s v="2024-12-05 00:47:22"/>
    <x v="0"/>
    <s v="2024-12-12 02:47:22"/>
    <x v="305"/>
    <n v="6.1"/>
    <x v="0"/>
    <s v="File Share"/>
    <s v="Medium"/>
    <n v="240"/>
    <x v="1"/>
    <s v="Email"/>
    <s v="Tier 1"/>
    <x v="13"/>
    <x v="2"/>
    <s v="No"/>
    <s v="No"/>
    <n v="1"/>
    <s v="No"/>
    <n v="7"/>
    <n v="3.9"/>
    <n v="0.8"/>
    <s v="No"/>
    <s v="Excellent"/>
    <s v="Yes"/>
    <s v="Executive"/>
    <s v="Monday"/>
    <s v="Afternoon"/>
  </r>
  <r>
    <x v="330"/>
    <s v="2024-04-10 15:41:05"/>
    <x v="11"/>
    <s v="2024-04-19 18:53:05"/>
    <x v="306"/>
    <n v="9.1"/>
    <x v="0"/>
    <s v="Application Access"/>
    <s v="Medium"/>
    <n v="240"/>
    <x v="1"/>
    <s v="Chat"/>
    <s v="Tier 1"/>
    <x v="14"/>
    <x v="0"/>
    <s v="No"/>
    <s v="No"/>
    <n v="1"/>
    <s v="No"/>
    <n v="6"/>
    <n v="3.4"/>
    <n v="9.8000000000000007"/>
    <s v="No"/>
    <s v="Good"/>
    <s v="Yes"/>
    <s v="Finance"/>
    <s v="Friday"/>
    <s v="Afternoon"/>
  </r>
  <r>
    <x v="331"/>
    <s v="2024-07-14 18:24:39"/>
    <x v="4"/>
    <s v="2024-07-18 08:36:39"/>
    <x v="307"/>
    <n v="3.6"/>
    <x v="2"/>
    <s v="Slow Network"/>
    <s v="High"/>
    <n v="120"/>
    <x v="1"/>
    <s v="Portal"/>
    <s v="Tier 1"/>
    <x v="7"/>
    <x v="1"/>
    <s v="Yes"/>
    <s v="No"/>
    <n v="0"/>
    <s v="No"/>
    <n v="8"/>
    <n v="0.1"/>
    <n v="11"/>
    <s v="Yes"/>
    <s v="Poor"/>
    <s v="No"/>
    <s v="Operations"/>
    <s v="Wednesday"/>
    <s v="Morning"/>
  </r>
  <r>
    <x v="332"/>
    <s v="2024-03-11 06:24:50"/>
    <x v="5"/>
    <s v="2024-04-02 11:36:50"/>
    <x v="308"/>
    <n v="22.2"/>
    <x v="3"/>
    <s v="Account Unlock"/>
    <s v="Low"/>
    <n v="360"/>
    <x v="0"/>
    <s v="Phone"/>
    <s v="Tier 1"/>
    <x v="2"/>
    <x v="2"/>
    <s v="Yes"/>
    <s v="No"/>
    <n v="0"/>
    <s v="No"/>
    <n v="8"/>
    <n v="4.4000000000000004"/>
    <n v="26.3"/>
    <s v="Yes"/>
    <s v="Poor"/>
    <s v="Yes"/>
    <s v="Finance"/>
    <s v="Friday"/>
    <s v="Morning"/>
  </r>
  <r>
    <x v="333"/>
    <s v="2024-10-19 21:40:10"/>
    <x v="2"/>
    <s v="2024-11-07 19:16:10"/>
    <x v="309"/>
    <n v="18.899999999999999"/>
    <x v="7"/>
    <s v="MS Office"/>
    <s v="Medium"/>
    <n v="240"/>
    <x v="0"/>
    <s v="Email"/>
    <s v="Tier 2"/>
    <x v="5"/>
    <x v="2"/>
    <s v="No"/>
    <s v="Yes"/>
    <n v="2"/>
    <s v="No"/>
    <n v="5"/>
    <n v="3.6"/>
    <n v="16.600000000000001"/>
    <s v="No"/>
    <s v="Good"/>
    <s v="Yes"/>
    <s v="Sales"/>
    <s v="Monday"/>
    <s v="Morning"/>
  </r>
  <r>
    <x v="334"/>
    <s v="2024-10-27 03:41:41"/>
    <x v="2"/>
    <s v="2024-10-31 10:35:41"/>
    <x v="310"/>
    <n v="4.3"/>
    <x v="0"/>
    <s v="Application Access"/>
    <s v="High"/>
    <n v="120"/>
    <x v="1"/>
    <s v="Portal"/>
    <s v="Tier 1"/>
    <x v="10"/>
    <x v="1"/>
    <s v="No"/>
    <s v="No"/>
    <n v="1"/>
    <s v="Yes"/>
    <n v="7"/>
    <n v="1.9"/>
    <n v="8.6"/>
    <s v="Yes"/>
    <s v="Poor"/>
    <s v="Yes"/>
    <s v="Marketing"/>
    <s v="Friday"/>
    <s v="Morning"/>
  </r>
  <r>
    <x v="335"/>
    <s v="2024-04-26 06:31:12"/>
    <x v="11"/>
    <s v="2024-05-06 09:55:12"/>
    <x v="311"/>
    <n v="10.1"/>
    <x v="5"/>
    <s v="Training Request"/>
    <s v="Low"/>
    <n v="360"/>
    <x v="1"/>
    <s v="Portal"/>
    <s v="Tier 1"/>
    <x v="4"/>
    <x v="2"/>
    <s v="No"/>
    <s v="No"/>
    <n v="1"/>
    <s v="No"/>
    <n v="9"/>
    <n v="0.4"/>
    <n v="20.3"/>
    <s v="Yes"/>
    <s v="Fair"/>
    <s v="Yes"/>
    <s v="Sales"/>
    <s v="Tuesday"/>
    <s v="Morning"/>
  </r>
  <r>
    <x v="336"/>
    <s v="2024-10-19 03:27:22"/>
    <x v="2"/>
    <s v="2024-10-29 21:57:22"/>
    <x v="312"/>
    <n v="10.8"/>
    <x v="2"/>
    <s v="Slow Network"/>
    <s v="Medium"/>
    <n v="240"/>
    <x v="0"/>
    <s v="Phone"/>
    <s v="Tier 1"/>
    <x v="10"/>
    <x v="2"/>
    <s v="No"/>
    <s v="No"/>
    <n v="1"/>
    <s v="Yes"/>
    <n v="6"/>
    <n v="4.7"/>
    <n v="16.2"/>
    <s v="No"/>
    <s v="Excellent"/>
    <s v="Yes"/>
    <s v="Finance"/>
    <s v="Friday"/>
    <s v="Morning"/>
  </r>
  <r>
    <x v="337"/>
    <s v="2024-11-20 15:03:51"/>
    <x v="7"/>
    <s v="2024-11-23 00:39:51"/>
    <x v="313"/>
    <n v="3.4"/>
    <x v="1"/>
    <s v="Printer"/>
    <s v="High"/>
    <n v="120"/>
    <x v="1"/>
    <s v="Walk-in"/>
    <s v="Tier 2"/>
    <x v="13"/>
    <x v="2"/>
    <s v="No"/>
    <s v="Yes"/>
    <n v="1"/>
    <s v="Yes"/>
    <n v="8"/>
    <n v="0.7"/>
    <n v="13.1"/>
    <s v="No"/>
    <s v="Poor"/>
    <s v="Yes"/>
    <s v="Executive"/>
    <s v="Friday"/>
    <s v="Afternoon"/>
  </r>
  <r>
    <x v="338"/>
    <s v="2024-08-26 02:28:33"/>
    <x v="1"/>
    <s v="2024-09-10 23:16:33"/>
    <x v="314"/>
    <n v="14.9"/>
    <x v="1"/>
    <s v="Desktop"/>
    <s v="High"/>
    <n v="120"/>
    <x v="0"/>
    <s v="Email"/>
    <s v="Tier 2"/>
    <x v="15"/>
    <x v="2"/>
    <s v="No"/>
    <s v="Yes"/>
    <n v="3"/>
    <s v="No"/>
    <n v="5"/>
    <n v="1.4"/>
    <n v="23.7"/>
    <s v="Yes"/>
    <s v="Good"/>
    <s v="No"/>
    <s v="Marketing"/>
    <s v="Monday"/>
    <s v="Evening"/>
  </r>
  <r>
    <x v="339"/>
    <s v="2024-02-16 19:57:09"/>
    <x v="6"/>
    <s v="2024-03-02 17:57:09"/>
    <x v="315"/>
    <n v="14.9"/>
    <x v="7"/>
    <s v="Drivers"/>
    <s v="Medium"/>
    <n v="240"/>
    <x v="0"/>
    <s v="Portal"/>
    <s v="Tier 1"/>
    <x v="11"/>
    <x v="0"/>
    <s v="No"/>
    <s v="No"/>
    <n v="1"/>
    <s v="No"/>
    <n v="4"/>
    <n v="1.5"/>
    <n v="0"/>
    <s v="Yes"/>
    <s v="Fair"/>
    <s v="Yes"/>
    <s v="Sales"/>
    <s v="Thursday"/>
    <s v="Morning"/>
  </r>
  <r>
    <x v="340"/>
    <s v="2024-06-04 10:26:18"/>
    <x v="10"/>
    <s v="2024-06-06 03:08:18"/>
    <x v="316"/>
    <n v="1.7"/>
    <x v="7"/>
    <s v="Adobe Suite"/>
    <s v="Critical"/>
    <n v="48"/>
    <x v="1"/>
    <s v="Portal"/>
    <s v="Tier 1"/>
    <x v="2"/>
    <x v="0"/>
    <s v="Yes"/>
    <s v="No"/>
    <n v="0"/>
    <s v="No"/>
    <n v="9"/>
    <n v="6.1"/>
    <n v="5.2"/>
    <s v="No"/>
    <s v="Fair"/>
    <s v="No"/>
    <s v="Sales"/>
    <s v="Wednesday"/>
    <s v="Afternoon"/>
  </r>
  <r>
    <x v="341"/>
    <s v="2024-12-09 23:25:25"/>
    <x v="0"/>
    <s v="2024-12-16 09:01:25"/>
    <x v="317"/>
    <n v="6.4"/>
    <x v="4"/>
    <s v="Performance"/>
    <s v="Medium"/>
    <n v="240"/>
    <x v="1"/>
    <s v="Phone"/>
    <s v="Tier 1"/>
    <x v="18"/>
    <x v="1"/>
    <s v="No"/>
    <s v="No"/>
    <n v="1"/>
    <s v="No"/>
    <n v="7"/>
    <n v="4.8"/>
    <n v="9.6999999999999993"/>
    <s v="No"/>
    <s v="Fair"/>
    <s v="No"/>
    <s v="Marketing"/>
    <s v="Monday"/>
    <s v="Evening"/>
  </r>
  <r>
    <x v="342"/>
    <s v="2024-12-15 23:30:23"/>
    <x v="0"/>
    <s v="2024-12-23 11:48:23"/>
    <x v="318"/>
    <n v="7.5"/>
    <x v="6"/>
    <s v="Cannot Send/Receive"/>
    <s v="Medium"/>
    <n v="240"/>
    <x v="1"/>
    <s v="Phone"/>
    <s v="Tier 1"/>
    <x v="19"/>
    <x v="0"/>
    <s v="No"/>
    <s v="No"/>
    <n v="1"/>
    <s v="No"/>
    <n v="10"/>
    <n v="2.2999999999999998"/>
    <n v="29.3"/>
    <s v="Yes"/>
    <s v="Good"/>
    <s v="Yes"/>
    <s v="Marketing"/>
    <s v="Tuesday"/>
    <s v="Morning"/>
  </r>
  <r>
    <x v="343"/>
    <s v="2024-01-06 21:37:41"/>
    <x v="3"/>
    <s v="2024-01-13 17:13:41"/>
    <x v="319"/>
    <n v="6.8"/>
    <x v="2"/>
    <s v="Slow Network"/>
    <s v="Medium"/>
    <n v="240"/>
    <x v="1"/>
    <s v="Walk-in"/>
    <s v="Tier 1"/>
    <x v="6"/>
    <x v="1"/>
    <s v="Yes"/>
    <s v="No"/>
    <n v="0"/>
    <s v="Yes"/>
    <n v="10"/>
    <n v="1"/>
    <n v="0"/>
    <s v="Yes"/>
    <s v="Fair"/>
    <s v="No"/>
    <s v="Executive"/>
    <s v="Thursday"/>
    <s v="Morning"/>
  </r>
  <r>
    <x v="344"/>
    <s v="2024-08-29 20:49:17"/>
    <x v="1"/>
    <s v="2024-09-11 03:01:17"/>
    <x v="278"/>
    <n v="12.3"/>
    <x v="3"/>
    <s v="Application Password"/>
    <s v="Low"/>
    <n v="360"/>
    <x v="1"/>
    <s v="Phone"/>
    <s v="Tier 1"/>
    <x v="3"/>
    <x v="2"/>
    <s v="Yes"/>
    <s v="No"/>
    <n v="0"/>
    <s v="No"/>
    <n v="8"/>
    <n v="2.8"/>
    <n v="12.7"/>
    <s v="Yes"/>
    <s v="Fair"/>
    <s v="Yes"/>
    <s v="Sales"/>
    <s v="Thursday"/>
    <s v="Afternoon"/>
  </r>
  <r>
    <x v="345"/>
    <s v="2024-01-25 15:40:47"/>
    <x v="3"/>
    <s v="2024-02-02 15:10:47"/>
    <x v="320"/>
    <n v="8"/>
    <x v="7"/>
    <s v="Business Apps"/>
    <s v="Medium"/>
    <n v="240"/>
    <x v="1"/>
    <s v="Email"/>
    <s v="Tier 2"/>
    <x v="20"/>
    <x v="0"/>
    <s v="No"/>
    <s v="Yes"/>
    <n v="1"/>
    <s v="No"/>
    <n v="10"/>
    <n v="4.9000000000000004"/>
    <n v="11.1"/>
    <s v="Yes"/>
    <s v="Fair"/>
    <s v="No"/>
    <s v="Sales"/>
    <s v="Friday"/>
    <s v="Afternoon"/>
  </r>
  <r>
    <x v="346"/>
    <s v="2024-05-31 03:20:39"/>
    <x v="8"/>
    <s v="2024-06-07 23:14:39"/>
    <x v="321"/>
    <n v="7.8"/>
    <x v="7"/>
    <s v="Business Apps"/>
    <s v="Medium"/>
    <n v="240"/>
    <x v="1"/>
    <s v="Walk-in"/>
    <s v="Tier 1"/>
    <x v="17"/>
    <x v="2"/>
    <s v="No"/>
    <s v="No"/>
    <n v="1"/>
    <s v="No"/>
    <n v="10"/>
    <n v="2.6"/>
    <n v="20.3"/>
    <s v="Yes"/>
    <s v="Poor"/>
    <s v="Yes"/>
    <s v="Sales"/>
    <s v="Monday"/>
    <s v="Afternoon"/>
  </r>
  <r>
    <x v="347"/>
    <s v="2024-12-02 21:00:49"/>
    <x v="0"/>
    <s v="2024-12-09 13:18:49"/>
    <x v="322"/>
    <n v="6.7"/>
    <x v="4"/>
    <s v="Features Not Working"/>
    <s v="Medium"/>
    <n v="240"/>
    <x v="1"/>
    <s v="Email"/>
    <s v="Tier 1"/>
    <x v="6"/>
    <x v="2"/>
    <s v="No"/>
    <s v="No"/>
    <n v="1"/>
    <s v="No"/>
    <n v="7"/>
    <n v="0.7"/>
    <n v="13.6"/>
    <s v="No"/>
    <s v="Poor"/>
    <s v="No"/>
    <s v="HR"/>
    <s v="Wednesday"/>
    <s v="Afternoon"/>
  </r>
  <r>
    <x v="348"/>
    <s v="2024-02-17 07:17:45"/>
    <x v="6"/>
    <s v="2024-02-23 20:17:45"/>
    <x v="323"/>
    <n v="6.5"/>
    <x v="0"/>
    <s v="VPN Access"/>
    <s v="High"/>
    <n v="120"/>
    <x v="0"/>
    <s v="Phone"/>
    <s v="Tier 1"/>
    <x v="3"/>
    <x v="2"/>
    <s v="Yes"/>
    <s v="No"/>
    <n v="0"/>
    <s v="No"/>
    <n v="7"/>
    <n v="3.8"/>
    <n v="2.1"/>
    <s v="Yes"/>
    <s v="Fair"/>
    <s v="Yes"/>
    <s v="Executive"/>
    <s v="Tuesday"/>
    <s v="Morning"/>
  </r>
  <r>
    <x v="349"/>
    <s v="2024-05-05 23:53:46"/>
    <x v="8"/>
    <s v="2024-05-10 06:23:46"/>
    <x v="324"/>
    <n v="4.3"/>
    <x v="6"/>
    <s v="Mailbox Full"/>
    <s v="High"/>
    <n v="120"/>
    <x v="1"/>
    <s v="Portal"/>
    <s v="Tier 1"/>
    <x v="5"/>
    <x v="1"/>
    <s v="Yes"/>
    <s v="No"/>
    <n v="0"/>
    <s v="No"/>
    <n v="6"/>
    <n v="5"/>
    <n v="22.2"/>
    <s v="Yes"/>
    <s v="Good"/>
    <s v="No"/>
    <s v="Sales"/>
    <s v="Thursday"/>
    <s v="Morning"/>
  </r>
  <r>
    <x v="350"/>
    <s v="2024-10-27 10:53:15"/>
    <x v="2"/>
    <s v="2024-11-05 15:05:15"/>
    <x v="60"/>
    <n v="9.1999999999999993"/>
    <x v="4"/>
    <s v="Performance"/>
    <s v="Medium"/>
    <n v="240"/>
    <x v="1"/>
    <s v="Email"/>
    <s v="Tier 2"/>
    <x v="1"/>
    <x v="1"/>
    <s v="No"/>
    <s v="Yes"/>
    <n v="3"/>
    <s v="No"/>
    <n v="7"/>
    <n v="2.2999999999999998"/>
    <n v="18.7"/>
    <s v="Yes"/>
    <s v="Poor"/>
    <s v="Yes"/>
    <s v="Sales"/>
    <s v="Tuesday"/>
    <s v="Evening"/>
  </r>
  <r>
    <x v="351"/>
    <s v="2024-07-07 02:18:37"/>
    <x v="4"/>
    <s v="2024-07-29 02:12:37"/>
    <x v="325"/>
    <n v="22"/>
    <x v="0"/>
    <s v="Admin Rights"/>
    <s v="Low"/>
    <n v="360"/>
    <x v="0"/>
    <s v="Portal"/>
    <s v="Tier 1"/>
    <x v="4"/>
    <x v="1"/>
    <s v="Yes"/>
    <s v="No"/>
    <n v="0"/>
    <s v="Yes"/>
    <n v="7"/>
    <n v="2.9"/>
    <n v="33.799999999999997"/>
    <s v="No"/>
    <s v="Fair"/>
    <s v="Yes"/>
    <s v="HR"/>
    <s v="Monday"/>
    <s v="Morning"/>
  </r>
  <r>
    <x v="352"/>
    <s v="2024-12-05 05:32:20"/>
    <x v="0"/>
    <s v="2024-12-25 15:38:20"/>
    <x v="326"/>
    <n v="20.399999999999999"/>
    <x v="3"/>
    <s v="Windows Password"/>
    <s v="Medium"/>
    <n v="240"/>
    <x v="0"/>
    <s v="Phone"/>
    <s v="Tier 1"/>
    <x v="20"/>
    <x v="2"/>
    <s v="Yes"/>
    <s v="No"/>
    <n v="0"/>
    <s v="No"/>
    <n v="6"/>
    <n v="4.5999999999999996"/>
    <n v="9.4"/>
    <s v="Yes"/>
    <s v="Excellent"/>
    <s v="No"/>
    <s v="Finance"/>
    <s v="Monday"/>
    <s v="Morning"/>
  </r>
  <r>
    <x v="353"/>
    <s v="2024-01-19 18:18:19"/>
    <x v="3"/>
    <s v="2024-01-25 04:30:19"/>
    <x v="327"/>
    <n v="5.4"/>
    <x v="4"/>
    <s v="Login Issues"/>
    <s v="High"/>
    <n v="120"/>
    <x v="0"/>
    <s v="Email"/>
    <s v="Tier 1"/>
    <x v="8"/>
    <x v="2"/>
    <s v="No"/>
    <s v="No"/>
    <n v="1"/>
    <s v="Yes"/>
    <n v="3"/>
    <n v="1.4"/>
    <n v="27.6"/>
    <s v="Yes"/>
    <s v="Fair"/>
    <s v="No"/>
    <s v="HR"/>
    <s v="Tuesday"/>
    <s v="Afternoon"/>
  </r>
  <r>
    <x v="354"/>
    <s v="2024-04-06 02:33:06"/>
    <x v="11"/>
    <s v="2024-04-13 01:57:06"/>
    <x v="328"/>
    <n v="7"/>
    <x v="6"/>
    <s v="Calendar Sync"/>
    <s v="High"/>
    <n v="120"/>
    <x v="0"/>
    <s v="Walk-in"/>
    <s v="Tier 1"/>
    <x v="16"/>
    <x v="2"/>
    <s v="Yes"/>
    <s v="No"/>
    <n v="0"/>
    <s v="No"/>
    <n v="8"/>
    <n v="3.3"/>
    <n v="33.5"/>
    <s v="No"/>
    <s v="Good"/>
    <s v="Yes"/>
    <s v="Operations"/>
    <s v="Friday"/>
    <s v="Afternoon"/>
  </r>
  <r>
    <x v="355"/>
    <s v="2024-10-04 03:25:51"/>
    <x v="2"/>
    <s v="2024-10-08 14:37:51"/>
    <x v="329"/>
    <n v="4.5"/>
    <x v="4"/>
    <s v="Login Issues"/>
    <s v="High"/>
    <n v="120"/>
    <x v="1"/>
    <s v="Phone"/>
    <s v="Tier 1"/>
    <x v="5"/>
    <x v="1"/>
    <s v="No"/>
    <s v="No"/>
    <n v="1"/>
    <s v="Yes"/>
    <n v="9"/>
    <n v="3.7"/>
    <n v="36.299999999999997"/>
    <s v="Yes"/>
    <s v="Good"/>
    <s v="No"/>
    <s v="IT"/>
    <s v="Thursday"/>
    <s v="Afternoon"/>
  </r>
  <r>
    <x v="356"/>
    <s v="2024-03-14 21:58:21"/>
    <x v="5"/>
    <s v="2024-03-25 07:22:21"/>
    <x v="330"/>
    <n v="10.4"/>
    <x v="0"/>
    <s v="Admin Rights"/>
    <s v="Low"/>
    <n v="360"/>
    <x v="1"/>
    <s v="Email"/>
    <s v="Tier 1"/>
    <x v="6"/>
    <x v="2"/>
    <s v="Yes"/>
    <s v="No"/>
    <n v="0"/>
    <s v="No"/>
    <n v="8"/>
    <n v="3.7"/>
    <n v="23.1"/>
    <s v="No"/>
    <s v="Fair"/>
    <s v="Yes"/>
    <s v="IT"/>
    <s v="Tuesday"/>
    <s v="Afternoon"/>
  </r>
  <r>
    <x v="357"/>
    <s v="2024-05-09 16:21:19"/>
    <x v="8"/>
    <s v="2024-05-18 11:15:19"/>
    <x v="100"/>
    <n v="8.8000000000000007"/>
    <x v="7"/>
    <s v="Adobe Suite"/>
    <s v="Medium"/>
    <n v="240"/>
    <x v="1"/>
    <s v="Walk-in"/>
    <s v="Tier 2"/>
    <x v="18"/>
    <x v="0"/>
    <s v="No"/>
    <s v="Yes"/>
    <n v="1"/>
    <s v="No"/>
    <n v="6"/>
    <n v="1.4"/>
    <n v="0"/>
    <s v="No"/>
    <s v="Good"/>
    <s v="Yes"/>
    <s v="Finance"/>
    <s v="Monday"/>
    <s v="Afternoon"/>
  </r>
  <r>
    <x v="358"/>
    <s v="2024-07-14 07:27:10"/>
    <x v="4"/>
    <s v="2024-08-11 03:03:10"/>
    <x v="331"/>
    <n v="27.8"/>
    <x v="5"/>
    <s v="General Inquiry"/>
    <s v="Low"/>
    <n v="360"/>
    <x v="0"/>
    <s v="Email"/>
    <s v="Tier 1"/>
    <x v="7"/>
    <x v="2"/>
    <s v="No"/>
    <s v="No"/>
    <n v="1"/>
    <s v="No"/>
    <n v="8"/>
    <n v="2.7"/>
    <n v="26.4"/>
    <s v="Yes"/>
    <s v="Fair"/>
    <s v="Yes"/>
    <s v="HR"/>
    <s v="Tuesday"/>
    <s v="Morning"/>
  </r>
  <r>
    <x v="359"/>
    <s v="2024-05-19 20:22:05"/>
    <x v="8"/>
    <s v="2024-05-24 01:52:05"/>
    <x v="332"/>
    <n v="5.2"/>
    <x v="3"/>
    <s v="Application Password"/>
    <s v="High"/>
    <n v="120"/>
    <x v="0"/>
    <s v="Email"/>
    <s v="Tier 1"/>
    <x v="12"/>
    <x v="2"/>
    <s v="Yes"/>
    <s v="No"/>
    <n v="0"/>
    <s v="No"/>
    <n v="8"/>
    <n v="5.8"/>
    <n v="4.7"/>
    <s v="Yes"/>
    <s v="Excellent"/>
    <s v="Yes"/>
    <s v="Executive"/>
    <s v="Monday"/>
    <s v="Morning"/>
  </r>
  <r>
    <x v="360"/>
    <s v="2024-09-28 11:04:44"/>
    <x v="9"/>
    <s v="2024-10-01 10:34:44"/>
    <x v="333"/>
    <n v="3"/>
    <x v="4"/>
    <s v="Performance"/>
    <s v="Critical"/>
    <n v="48"/>
    <x v="0"/>
    <s v="Phone"/>
    <s v="Tier 2"/>
    <x v="13"/>
    <x v="2"/>
    <s v="No"/>
    <s v="Yes"/>
    <n v="3"/>
    <s v="Yes"/>
    <n v="3"/>
    <n v="1.5"/>
    <n v="7.2"/>
    <s v="Yes"/>
    <s v="Good"/>
    <s v="Yes"/>
    <s v="Executive"/>
    <s v="Friday"/>
    <s v="Afternoon"/>
  </r>
  <r>
    <x v="361"/>
    <s v="2024-01-11 14:58:55"/>
    <x v="3"/>
    <s v="2024-01-17 19:34:55"/>
    <x v="134"/>
    <n v="6.2"/>
    <x v="0"/>
    <s v="Admin Rights"/>
    <s v="Medium"/>
    <n v="240"/>
    <x v="1"/>
    <s v="Portal"/>
    <s v="Tier 1"/>
    <x v="19"/>
    <x v="2"/>
    <s v="No"/>
    <s v="No"/>
    <n v="1"/>
    <s v="Yes"/>
    <n v="8"/>
    <n v="3.8"/>
    <n v="35.6"/>
    <s v="Yes"/>
    <s v="Excellent"/>
    <s v="Yes"/>
    <s v="Operations"/>
    <s v="Friday"/>
    <s v="Morning"/>
  </r>
  <r>
    <x v="362"/>
    <s v="2024-09-02 18:21:50"/>
    <x v="9"/>
    <s v="2024-09-21 11:33:50"/>
    <x v="334"/>
    <n v="18.7"/>
    <x v="3"/>
    <s v="Account Unlock"/>
    <s v="Low"/>
    <n v="360"/>
    <x v="0"/>
    <s v="Phone"/>
    <s v="Tier 1"/>
    <x v="11"/>
    <x v="2"/>
    <s v="Yes"/>
    <s v="No"/>
    <n v="0"/>
    <s v="No"/>
    <n v="7"/>
    <n v="1.4"/>
    <n v="24.3"/>
    <s v="Yes"/>
    <s v="Poor"/>
    <s v="Yes"/>
    <s v="Marketing"/>
    <s v="Wednesday"/>
    <s v="Evening"/>
  </r>
  <r>
    <x v="363"/>
    <s v="2024-10-10 18:57:26"/>
    <x v="2"/>
    <s v="2024-10-25 15:33:26"/>
    <x v="335"/>
    <n v="14.9"/>
    <x v="1"/>
    <s v="Keyboard/Mouse"/>
    <s v="High"/>
    <n v="120"/>
    <x v="0"/>
    <s v="Phone"/>
    <s v="Tier 1"/>
    <x v="0"/>
    <x v="2"/>
    <s v="No"/>
    <s v="No"/>
    <n v="1"/>
    <s v="No"/>
    <n v="8"/>
    <n v="0.8"/>
    <n v="11.2"/>
    <s v="No"/>
    <s v="Poor"/>
    <s v="Yes"/>
    <s v="Executive"/>
    <s v="Wednesday"/>
    <s v="Morning"/>
  </r>
  <r>
    <x v="364"/>
    <s v="2024-01-09 12:49:42"/>
    <x v="3"/>
    <s v="2024-01-12 20:19:42"/>
    <x v="336"/>
    <n v="3.3"/>
    <x v="6"/>
    <s v="Cannot Send/Receive"/>
    <s v="High"/>
    <n v="120"/>
    <x v="1"/>
    <s v="Phone"/>
    <s v="Tier 1"/>
    <x v="5"/>
    <x v="1"/>
    <s v="Yes"/>
    <s v="No"/>
    <n v="0"/>
    <s v="No"/>
    <n v="8"/>
    <n v="3.9"/>
    <n v="27.2"/>
    <s v="Yes"/>
    <s v="Poor"/>
    <s v="Yes"/>
    <s v="Legal"/>
    <s v="Thursday"/>
    <s v="Morning"/>
  </r>
  <r>
    <x v="365"/>
    <s v="2024-05-08 15:33:02"/>
    <x v="8"/>
    <s v="2024-05-14 00:27:02"/>
    <x v="337"/>
    <n v="6.4"/>
    <x v="1"/>
    <s v="Keyboard/Mouse"/>
    <s v="High"/>
    <n v="120"/>
    <x v="0"/>
    <s v="Chat"/>
    <s v="Tier 2"/>
    <x v="6"/>
    <x v="1"/>
    <s v="No"/>
    <s v="Yes"/>
    <n v="4"/>
    <s v="No"/>
    <n v="6"/>
    <n v="2.5"/>
    <n v="41.5"/>
    <s v="No"/>
    <s v="Poor"/>
    <s v="Yes"/>
    <s v="IT"/>
    <s v="Friday"/>
    <s v="Evening"/>
  </r>
  <r>
    <x v="366"/>
    <s v="2024-06-16 13:00:57"/>
    <x v="10"/>
    <s v="2024-06-25 14:36:57"/>
    <x v="338"/>
    <n v="9.1"/>
    <x v="6"/>
    <s v="Calendar Sync"/>
    <s v="Medium"/>
    <n v="240"/>
    <x v="1"/>
    <s v="Portal"/>
    <s v="Tier 1"/>
    <x v="9"/>
    <x v="2"/>
    <s v="No"/>
    <s v="No"/>
    <n v="1"/>
    <s v="Yes"/>
    <n v="9"/>
    <n v="1.5"/>
    <n v="19.899999999999999"/>
    <s v="Yes"/>
    <s v="Poor"/>
    <s v="No"/>
    <s v="Operations"/>
    <s v="Tuesday"/>
    <s v="Afternoon"/>
  </r>
  <r>
    <x v="367"/>
    <s v="2024-12-02 18:10:22"/>
    <x v="0"/>
    <s v="2024-12-10 00:28:22"/>
    <x v="339"/>
    <n v="8.3000000000000007"/>
    <x v="1"/>
    <s v="Desktop"/>
    <s v="Medium"/>
    <n v="240"/>
    <x v="1"/>
    <s v="Phone"/>
    <s v="Tier 2"/>
    <x v="11"/>
    <x v="1"/>
    <s v="No"/>
    <s v="Yes"/>
    <n v="3"/>
    <s v="No"/>
    <n v="10"/>
    <n v="2.1"/>
    <n v="30.4"/>
    <s v="No"/>
    <s v="Fair"/>
    <s v="No"/>
    <s v="Sales"/>
    <s v="Monday"/>
    <s v="Morning"/>
  </r>
  <r>
    <x v="368"/>
    <s v="2024-05-23 21:47:24"/>
    <x v="8"/>
    <s v="2024-05-30 15:29:24"/>
    <x v="340"/>
    <n v="6.7"/>
    <x v="5"/>
    <s v="Training Request"/>
    <s v="Medium"/>
    <n v="240"/>
    <x v="1"/>
    <s v="Phone"/>
    <s v="Tier 1"/>
    <x v="3"/>
    <x v="0"/>
    <s v="No"/>
    <s v="No"/>
    <n v="1"/>
    <s v="No"/>
    <n v="5"/>
    <n v="3.1"/>
    <n v="4.4000000000000004"/>
    <s v="Yes"/>
    <s v="Fair"/>
    <s v="No"/>
    <s v="Executive"/>
    <s v="Tuesday"/>
    <s v="Morning"/>
  </r>
  <r>
    <x v="369"/>
    <s v="2024-03-05 02:47:53"/>
    <x v="5"/>
    <s v="2024-03-15 16:05:53"/>
    <x v="341"/>
    <n v="10.6"/>
    <x v="5"/>
    <s v="Documentation"/>
    <s v="Low"/>
    <n v="360"/>
    <x v="1"/>
    <s v="Phone"/>
    <s v="Tier 1"/>
    <x v="1"/>
    <x v="2"/>
    <s v="No"/>
    <s v="No"/>
    <n v="1"/>
    <s v="Yes"/>
    <n v="5"/>
    <n v="5.5"/>
    <n v="15.1"/>
    <s v="Yes"/>
    <s v="Good"/>
    <s v="Yes"/>
    <s v="Marketing"/>
    <s v="Friday"/>
    <s v="Morning"/>
  </r>
  <r>
    <x v="370"/>
    <s v="2024-07-30 09:22:57"/>
    <x v="4"/>
    <s v="2024-08-05 01:34:57"/>
    <x v="342"/>
    <n v="6.7"/>
    <x v="6"/>
    <s v="Cannot Send/Receive"/>
    <s v="High"/>
    <n v="120"/>
    <x v="0"/>
    <s v="Portal"/>
    <s v="Tier 1"/>
    <x v="14"/>
    <x v="2"/>
    <s v="No"/>
    <s v="No"/>
    <n v="1"/>
    <s v="No"/>
    <n v="4"/>
    <n v="4.4000000000000004"/>
    <n v="44.6"/>
    <s v="Yes"/>
    <s v="Poor"/>
    <s v="No"/>
    <s v="Operations"/>
    <s v="Monday"/>
    <s v="Afternoon"/>
  </r>
  <r>
    <x v="371"/>
    <s v="2024-09-15 15:59:07"/>
    <x v="9"/>
    <s v="2024-09-25 23:47:07"/>
    <x v="343"/>
    <n v="10.3"/>
    <x v="6"/>
    <s v="Distribution List"/>
    <s v="Low"/>
    <n v="360"/>
    <x v="1"/>
    <s v="Phone"/>
    <s v="Tier 1"/>
    <x v="22"/>
    <x v="0"/>
    <s v="No"/>
    <s v="No"/>
    <n v="1"/>
    <s v="No"/>
    <n v="9"/>
    <n v="2.5"/>
    <n v="26.7"/>
    <s v="Yes"/>
    <s v="Good"/>
    <s v="Yes"/>
    <s v="IT"/>
    <s v="Thursday"/>
    <s v="Afternoon"/>
  </r>
  <r>
    <x v="372"/>
    <s v="2024-01-13 10:41:55"/>
    <x v="3"/>
    <s v="2024-01-31 20:17:55"/>
    <x v="344"/>
    <n v="18.399999999999999"/>
    <x v="4"/>
    <s v="Performance"/>
    <s v="Medium"/>
    <n v="240"/>
    <x v="0"/>
    <s v="Email"/>
    <s v="Tier 1"/>
    <x v="9"/>
    <x v="2"/>
    <s v="No"/>
    <s v="No"/>
    <n v="1"/>
    <s v="No"/>
    <n v="5"/>
    <n v="1.6"/>
    <n v="0"/>
    <s v="No"/>
    <s v="Good"/>
    <s v="Yes"/>
    <s v="Legal"/>
    <s v="Wednesday"/>
    <s v="Morning"/>
  </r>
  <r>
    <x v="373"/>
    <s v="2024-09-17 14:52:35"/>
    <x v="9"/>
    <s v="2024-09-20 02:04:35"/>
    <x v="345"/>
    <n v="3.5"/>
    <x v="4"/>
    <s v="Features Not Working"/>
    <s v="High"/>
    <n v="120"/>
    <x v="1"/>
    <s v="Phone"/>
    <s v="Tier 1"/>
    <x v="0"/>
    <x v="0"/>
    <s v="No"/>
    <s v="No"/>
    <n v="1"/>
    <s v="No"/>
    <n v="10"/>
    <n v="3.6"/>
    <n v="16.7"/>
    <s v="No"/>
    <s v="Fair"/>
    <s v="Yes"/>
    <s v="Sales"/>
    <s v="Wednesday"/>
    <s v="Morning"/>
  </r>
  <r>
    <x v="374"/>
    <s v="2024-05-28 10:49:07"/>
    <x v="8"/>
    <s v="2024-06-04 14:25:07"/>
    <x v="346"/>
    <n v="7.2"/>
    <x v="7"/>
    <s v="MS Office"/>
    <s v="Medium"/>
    <n v="240"/>
    <x v="1"/>
    <s v="Email"/>
    <s v="Tier 1"/>
    <x v="20"/>
    <x v="1"/>
    <s v="No"/>
    <s v="No"/>
    <n v="1"/>
    <s v="Yes"/>
    <n v="8"/>
    <n v="1.9"/>
    <n v="18.5"/>
    <s v="No"/>
    <s v="Good"/>
    <s v="No"/>
    <s v="Finance"/>
    <s v="Friday"/>
    <s v="Afternoon"/>
  </r>
  <r>
    <x v="375"/>
    <s v="2024-09-27 16:48:17"/>
    <x v="9"/>
    <s v="2024-09-29 10:06:17"/>
    <x v="347"/>
    <n v="1.7"/>
    <x v="7"/>
    <s v="MS Office"/>
    <s v="Critical"/>
    <n v="48"/>
    <x v="1"/>
    <s v="Email"/>
    <s v="Tier 2"/>
    <x v="16"/>
    <x v="2"/>
    <s v="No"/>
    <s v="Yes"/>
    <n v="3"/>
    <s v="No"/>
    <n v="8"/>
    <n v="2.4"/>
    <n v="13"/>
    <s v="Yes"/>
    <s v="Fair"/>
    <s v="Yes"/>
    <s v="Sales"/>
    <s v="Wednesday"/>
    <s v="Morning"/>
  </r>
  <r>
    <x v="376"/>
    <s v="2024-02-15 22:21:30"/>
    <x v="6"/>
    <s v="2024-03-23 14:51:30"/>
    <x v="348"/>
    <n v="36.700000000000003"/>
    <x v="3"/>
    <s v="Account Unlock"/>
    <s v="Low"/>
    <n v="360"/>
    <x v="0"/>
    <s v="Phone"/>
    <s v="Tier 1"/>
    <x v="15"/>
    <x v="0"/>
    <s v="Yes"/>
    <s v="No"/>
    <n v="0"/>
    <s v="No"/>
    <n v="9"/>
    <n v="4.2"/>
    <n v="28.2"/>
    <s v="Yes"/>
    <s v="Fair"/>
    <s v="Yes"/>
    <s v="Marketing"/>
    <s v="Wednesday"/>
    <s v="Evening"/>
  </r>
  <r>
    <x v="377"/>
    <s v="2024-02-17 03:20:37"/>
    <x v="6"/>
    <s v="2024-02-21 17:20:37"/>
    <x v="349"/>
    <n v="4.5999999999999996"/>
    <x v="1"/>
    <s v="Monitor"/>
    <s v="High"/>
    <n v="120"/>
    <x v="1"/>
    <s v="Portal"/>
    <s v="Tier 2"/>
    <x v="19"/>
    <x v="1"/>
    <s v="No"/>
    <s v="Yes"/>
    <n v="3"/>
    <s v="No"/>
    <n v="8"/>
    <n v="5.8"/>
    <n v="16.7"/>
    <s v="No"/>
    <s v="Fair"/>
    <s v="No"/>
    <s v="HR"/>
    <s v="Tuesday"/>
    <s v="Afternoon"/>
  </r>
  <r>
    <x v="378"/>
    <s v="2024-05-17 23:41:06"/>
    <x v="8"/>
    <s v="2024-06-05 06:41:06"/>
    <x v="350"/>
    <n v="18.3"/>
    <x v="0"/>
    <s v="File Share"/>
    <s v="Medium"/>
    <n v="240"/>
    <x v="0"/>
    <s v="Email"/>
    <s v="Tier 1"/>
    <x v="19"/>
    <x v="2"/>
    <s v="Yes"/>
    <s v="No"/>
    <n v="0"/>
    <s v="No"/>
    <n v="6"/>
    <n v="0.1"/>
    <n v="32.9"/>
    <s v="Yes"/>
    <s v="Good"/>
    <s v="Yes"/>
    <s v="IT"/>
    <s v="Monday"/>
    <s v="Morning"/>
  </r>
  <r>
    <x v="379"/>
    <s v="2024-12-11 03:19:28"/>
    <x v="0"/>
    <s v="2024-12-23 23:37:28"/>
    <x v="351"/>
    <n v="12.8"/>
    <x v="7"/>
    <s v="VPN Client"/>
    <s v="Low"/>
    <n v="360"/>
    <x v="1"/>
    <s v="Phone"/>
    <s v="Tier 1"/>
    <x v="3"/>
    <x v="2"/>
    <s v="Yes"/>
    <s v="No"/>
    <n v="0"/>
    <s v="No"/>
    <n v="10"/>
    <n v="2.9"/>
    <n v="24.7"/>
    <s v="Yes"/>
    <s v="Poor"/>
    <s v="Yes"/>
    <s v="Sales"/>
    <s v="Tuesday"/>
    <s v="Afternoon"/>
  </r>
  <r>
    <x v="380"/>
    <s v="2024-01-03 15:03:40"/>
    <x v="3"/>
    <s v="2024-01-07 06:45:40"/>
    <x v="352"/>
    <n v="3.7"/>
    <x v="1"/>
    <s v="Desktop"/>
    <s v="High"/>
    <n v="120"/>
    <x v="1"/>
    <s v="Phone"/>
    <s v="Tier 2"/>
    <x v="21"/>
    <x v="2"/>
    <s v="No"/>
    <s v="Yes"/>
    <n v="1"/>
    <s v="No"/>
    <n v="8"/>
    <n v="1.4"/>
    <n v="20.3"/>
    <s v="No"/>
    <s v="Excellent"/>
    <s v="Yes"/>
    <s v="Executive"/>
    <s v="Monday"/>
    <s v="Afternoon"/>
  </r>
  <r>
    <x v="381"/>
    <s v="2024-05-01 16:53:16"/>
    <x v="8"/>
    <s v="2024-05-08 14:05:16"/>
    <x v="353"/>
    <n v="6.9"/>
    <x v="6"/>
    <s v="Calendar Sync"/>
    <s v="Medium"/>
    <n v="240"/>
    <x v="1"/>
    <s v="Portal"/>
    <s v="Tier 2"/>
    <x v="13"/>
    <x v="1"/>
    <s v="No"/>
    <s v="Yes"/>
    <n v="2"/>
    <s v="No"/>
    <n v="7"/>
    <n v="1.1000000000000001"/>
    <n v="30.3"/>
    <s v="Yes"/>
    <s v="Fair"/>
    <s v="No"/>
    <s v="Sales"/>
    <s v="Friday"/>
    <s v="Afternoon"/>
  </r>
  <r>
    <x v="382"/>
    <s v="2024-12-28 17:01:39"/>
    <x v="0"/>
    <s v="2025-01-11 07:07:39"/>
    <x v="354"/>
    <n v="13.6"/>
    <x v="6"/>
    <s v="Mailbox Full"/>
    <s v="Low"/>
    <n v="360"/>
    <x v="1"/>
    <s v="Email"/>
    <s v="Tier 1"/>
    <x v="21"/>
    <x v="2"/>
    <s v="No"/>
    <s v="No"/>
    <n v="1"/>
    <s v="No"/>
    <n v="6"/>
    <n v="1.8"/>
    <n v="8.8000000000000007"/>
    <s v="Yes"/>
    <s v="Fair"/>
    <s v="Yes"/>
    <s v="Executive"/>
    <s v="Thursday"/>
    <s v="Afternoon"/>
  </r>
  <r>
    <x v="383"/>
    <s v="2024-02-06 12:19:48"/>
    <x v="6"/>
    <s v="2024-02-24 22:19:48"/>
    <x v="355"/>
    <n v="18.399999999999999"/>
    <x v="3"/>
    <s v="Email Password"/>
    <s v="Low"/>
    <n v="360"/>
    <x v="0"/>
    <s v="Email"/>
    <s v="Tier 1"/>
    <x v="4"/>
    <x v="0"/>
    <s v="Yes"/>
    <s v="No"/>
    <n v="0"/>
    <s v="Yes"/>
    <n v="8"/>
    <n v="3.9"/>
    <n v="21.3"/>
    <s v="No"/>
    <s v="Fair"/>
    <s v="No"/>
    <s v="Executive"/>
    <s v="Tuesday"/>
    <s v="Afternoon"/>
  </r>
  <r>
    <x v="384"/>
    <s v="2024-10-27 03:35:58"/>
    <x v="2"/>
    <s v="2024-11-02 23:23:58"/>
    <x v="356"/>
    <n v="6.8"/>
    <x v="7"/>
    <s v="Adobe Suite"/>
    <s v="Medium"/>
    <n v="240"/>
    <x v="1"/>
    <s v="Walk-in"/>
    <s v="Tier 1"/>
    <x v="6"/>
    <x v="2"/>
    <s v="No"/>
    <s v="No"/>
    <n v="1"/>
    <s v="No"/>
    <n v="7"/>
    <n v="1.1000000000000001"/>
    <n v="32.4"/>
    <s v="Yes"/>
    <s v="Fair"/>
    <s v="No"/>
    <s v="IT"/>
    <s v="Monday"/>
    <s v="Afternoon"/>
  </r>
  <r>
    <x v="385"/>
    <s v="2024-12-27 13:19:35"/>
    <x v="0"/>
    <s v="2024-12-31 01:25:35"/>
    <x v="357"/>
    <n v="4.5"/>
    <x v="1"/>
    <s v="Docking Station"/>
    <s v="High"/>
    <n v="120"/>
    <x v="1"/>
    <s v="Email"/>
    <s v="Tier 2"/>
    <x v="10"/>
    <x v="2"/>
    <s v="No"/>
    <s v="Yes"/>
    <n v="1"/>
    <s v="No"/>
    <n v="8"/>
    <n v="2.8"/>
    <n v="15"/>
    <s v="No"/>
    <s v="Poor"/>
    <s v="Yes"/>
    <s v="Sales"/>
    <s v="Monday"/>
    <s v="Morning"/>
  </r>
  <r>
    <x v="386"/>
    <s v="2024-10-06 17:15:37"/>
    <x v="2"/>
    <s v="2024-10-13 06:15:37"/>
    <x v="323"/>
    <n v="6.5"/>
    <x v="0"/>
    <s v="Admin Rights"/>
    <s v="Medium"/>
    <n v="240"/>
    <x v="1"/>
    <s v="Email"/>
    <s v="Tier 1"/>
    <x v="8"/>
    <x v="1"/>
    <s v="Yes"/>
    <s v="No"/>
    <n v="0"/>
    <s v="No"/>
    <n v="9"/>
    <n v="2"/>
    <n v="28.8"/>
    <s v="Yes"/>
    <s v="Good"/>
    <s v="No"/>
    <s v="Sales"/>
    <s v="Tuesday"/>
    <s v="Afternoon"/>
  </r>
  <r>
    <x v="387"/>
    <s v="2024-04-11 06:10:29"/>
    <x v="11"/>
    <s v="2024-04-14 18:22:29"/>
    <x v="358"/>
    <n v="3.5"/>
    <x v="0"/>
    <s v="File Share"/>
    <s v="High"/>
    <n v="120"/>
    <x v="1"/>
    <s v="Portal"/>
    <s v="Tier 1"/>
    <x v="17"/>
    <x v="2"/>
    <s v="Yes"/>
    <s v="No"/>
    <n v="0"/>
    <s v="No"/>
    <n v="10"/>
    <n v="0.8"/>
    <n v="22.2"/>
    <s v="Yes"/>
    <s v="Good"/>
    <s v="Yes"/>
    <s v="Marketing"/>
    <s v="Friday"/>
    <s v="Morning"/>
  </r>
  <r>
    <x v="388"/>
    <s v="2024-08-17 04:00:00"/>
    <x v="1"/>
    <s v="2024-08-27 01:30:00"/>
    <x v="359"/>
    <n v="10.9"/>
    <x v="3"/>
    <s v="Windows Password"/>
    <s v="Low"/>
    <n v="360"/>
    <x v="1"/>
    <s v="Email"/>
    <s v="Tier 1"/>
    <x v="17"/>
    <x v="2"/>
    <s v="Yes"/>
    <s v="No"/>
    <n v="0"/>
    <s v="No"/>
    <n v="10"/>
    <n v="3.7"/>
    <n v="11.9"/>
    <s v="Yes"/>
    <s v="Fair"/>
    <s v="Yes"/>
    <s v="Sales"/>
    <s v="Thursday"/>
    <s v="Morning"/>
  </r>
  <r>
    <x v="389"/>
    <s v="2024-04-05 08:24:19"/>
    <x v="11"/>
    <s v="2024-04-21 12:30:19"/>
    <x v="360"/>
    <n v="16.2"/>
    <x v="1"/>
    <s v="Desktop"/>
    <s v="Medium"/>
    <n v="240"/>
    <x v="0"/>
    <s v="Phone"/>
    <s v="Tier 1"/>
    <x v="24"/>
    <x v="2"/>
    <s v="No"/>
    <s v="No"/>
    <n v="1"/>
    <s v="No"/>
    <n v="7"/>
    <n v="1.9"/>
    <n v="15.2"/>
    <s v="No"/>
    <s v="Fair"/>
    <s v="Yes"/>
    <s v="Sales"/>
    <s v="Thursday"/>
    <s v="Afternoon"/>
  </r>
  <r>
    <x v="390"/>
    <s v="2024-04-02 08:58:02"/>
    <x v="11"/>
    <s v="2024-05-09 13:46:02"/>
    <x v="361"/>
    <n v="37.200000000000003"/>
    <x v="3"/>
    <s v="Application Password"/>
    <s v="Low"/>
    <n v="360"/>
    <x v="0"/>
    <s v="Phone"/>
    <s v="Tier 1"/>
    <x v="17"/>
    <x v="1"/>
    <s v="No"/>
    <s v="No"/>
    <n v="1"/>
    <s v="No"/>
    <n v="6"/>
    <n v="2.8"/>
    <n v="0"/>
    <s v="Yes"/>
    <s v="Good"/>
    <s v="Yes"/>
    <s v="Sales"/>
    <s v="Thursday"/>
    <s v="Afternoon"/>
  </r>
  <r>
    <x v="391"/>
    <s v="2024-06-24 00:12:28"/>
    <x v="10"/>
    <s v="2024-07-06 04:48:28"/>
    <x v="362"/>
    <n v="11.2"/>
    <x v="3"/>
    <s v="Application Password"/>
    <s v="Medium"/>
    <n v="240"/>
    <x v="0"/>
    <s v="Email"/>
    <s v="Tier 1"/>
    <x v="23"/>
    <x v="1"/>
    <s v="Yes"/>
    <s v="No"/>
    <n v="0"/>
    <s v="Yes"/>
    <n v="5"/>
    <n v="0.1"/>
    <n v="19.399999999999999"/>
    <s v="Yes"/>
    <s v="Good"/>
    <s v="Yes"/>
    <s v="Sales"/>
    <s v="Friday"/>
    <s v="Morning"/>
  </r>
  <r>
    <x v="392"/>
    <s v="2024-09-19 20:50:23"/>
    <x v="9"/>
    <s v="2024-09-25 18:26:23"/>
    <x v="363"/>
    <n v="5.9"/>
    <x v="4"/>
    <s v="Features Not Working"/>
    <s v="High"/>
    <n v="120"/>
    <x v="0"/>
    <s v="Email"/>
    <s v="Tier 2"/>
    <x v="14"/>
    <x v="2"/>
    <s v="No"/>
    <s v="Yes"/>
    <n v="3"/>
    <s v="No"/>
    <n v="8"/>
    <n v="0.1"/>
    <n v="10.199999999999999"/>
    <s v="No"/>
    <s v="Fair"/>
    <s v="Yes"/>
    <s v="Operations"/>
    <s v="Thursday"/>
    <s v="Afternoon"/>
  </r>
  <r>
    <x v="393"/>
    <s v="2024-09-21 07:23:57"/>
    <x v="9"/>
    <s v="2024-10-05 17:47:57"/>
    <x v="120"/>
    <n v="14.4"/>
    <x v="1"/>
    <s v="Docking Station"/>
    <s v="Medium"/>
    <n v="240"/>
    <x v="0"/>
    <s v="Email"/>
    <s v="Tier 2"/>
    <x v="1"/>
    <x v="2"/>
    <s v="No"/>
    <s v="Yes"/>
    <n v="3"/>
    <s v="Yes"/>
    <n v="6"/>
    <n v="5.4"/>
    <n v="25"/>
    <s v="Yes"/>
    <s v="Poor"/>
    <s v="Yes"/>
    <s v="IT"/>
    <s v="Wednesday"/>
    <s v="Morning"/>
  </r>
  <r>
    <x v="394"/>
    <s v="2024-02-19 15:14:14"/>
    <x v="6"/>
    <s v="2024-02-23 04:14:14"/>
    <x v="364"/>
    <n v="3.5"/>
    <x v="4"/>
    <s v="Performance"/>
    <s v="Critical"/>
    <n v="48"/>
    <x v="0"/>
    <s v="Email"/>
    <s v="Tier 1"/>
    <x v="19"/>
    <x v="2"/>
    <s v="No"/>
    <s v="No"/>
    <n v="1"/>
    <s v="No"/>
    <n v="4"/>
    <n v="4.4000000000000004"/>
    <n v="29.3"/>
    <s v="No"/>
    <s v="Poor"/>
    <s v="Yes"/>
    <s v="Legal"/>
    <s v="Monday"/>
    <s v="Morning"/>
  </r>
  <r>
    <x v="395"/>
    <s v="2024-12-11 18:50:54"/>
    <x v="0"/>
    <s v="2024-12-23 10:56:54"/>
    <x v="365"/>
    <n v="11.7"/>
    <x v="3"/>
    <s v="Windows Password"/>
    <s v="Low"/>
    <n v="360"/>
    <x v="1"/>
    <s v="Phone"/>
    <s v="Tier 1"/>
    <x v="10"/>
    <x v="2"/>
    <s v="Yes"/>
    <s v="No"/>
    <n v="0"/>
    <s v="No"/>
    <n v="8"/>
    <n v="7.2"/>
    <n v="9"/>
    <s v="No"/>
    <s v="Fair"/>
    <s v="No"/>
    <s v="Sales"/>
    <s v="Thursday"/>
    <s v="Morning"/>
  </r>
  <r>
    <x v="396"/>
    <s v="2024-09-06 13:38:50"/>
    <x v="9"/>
    <s v="2024-09-13 14:56:50"/>
    <x v="47"/>
    <n v="7.1"/>
    <x v="6"/>
    <s v="Mailbox Full"/>
    <s v="Medium"/>
    <n v="240"/>
    <x v="1"/>
    <s v="Portal"/>
    <s v="Tier 1"/>
    <x v="4"/>
    <x v="2"/>
    <s v="No"/>
    <s v="No"/>
    <n v="1"/>
    <s v="No"/>
    <n v="10"/>
    <n v="1.9"/>
    <n v="12.5"/>
    <s v="No"/>
    <s v="Poor"/>
    <s v="No"/>
    <s v="HR"/>
    <s v="Tuesday"/>
    <s v="Morning"/>
  </r>
  <r>
    <x v="397"/>
    <s v="2024-10-24 19:31:56"/>
    <x v="2"/>
    <s v="2024-10-30 14:07:56"/>
    <x v="366"/>
    <n v="5.8"/>
    <x v="1"/>
    <s v="Desktop"/>
    <s v="High"/>
    <n v="120"/>
    <x v="0"/>
    <s v="Walk-in"/>
    <s v="Tier 2"/>
    <x v="15"/>
    <x v="0"/>
    <s v="No"/>
    <s v="Yes"/>
    <n v="2"/>
    <s v="No"/>
    <n v="6"/>
    <n v="3.3"/>
    <n v="27"/>
    <s v="No"/>
    <s v="Excellent"/>
    <s v="No"/>
    <s v="HR"/>
    <s v="Wednesday"/>
    <s v="Evening"/>
  </r>
  <r>
    <x v="398"/>
    <s v="2024-10-15 10:03:47"/>
    <x v="2"/>
    <s v="2024-10-29 05:39:47"/>
    <x v="367"/>
    <n v="13.9"/>
    <x v="3"/>
    <s v="Windows Password"/>
    <s v="Low"/>
    <n v="360"/>
    <x v="1"/>
    <s v="Walk-in"/>
    <s v="Tier 1"/>
    <x v="4"/>
    <x v="0"/>
    <s v="Yes"/>
    <s v="No"/>
    <n v="0"/>
    <s v="No"/>
    <n v="10"/>
    <n v="3.3"/>
    <n v="23.7"/>
    <s v="Yes"/>
    <s v="Poor"/>
    <s v="Yes"/>
    <s v="Sales"/>
    <s v="Friday"/>
    <s v="Afternoon"/>
  </r>
  <r>
    <x v="399"/>
    <s v="2024-03-01 14:08:54"/>
    <x v="5"/>
    <s v="2024-03-21 05:44:54"/>
    <x v="368"/>
    <n v="19.7"/>
    <x v="2"/>
    <s v="Slow Network"/>
    <s v="Medium"/>
    <n v="240"/>
    <x v="0"/>
    <s v="Chat"/>
    <s v="Tier 1"/>
    <x v="0"/>
    <x v="2"/>
    <s v="No"/>
    <s v="No"/>
    <n v="1"/>
    <s v="No"/>
    <n v="6"/>
    <n v="3.6"/>
    <n v="27.5"/>
    <s v="Yes"/>
    <s v="Good"/>
    <s v="No"/>
    <s v="Sales"/>
    <s v="Thursday"/>
    <s v="Afternoon"/>
  </r>
  <r>
    <x v="400"/>
    <s v="2024-04-19 21:23:28"/>
    <x v="11"/>
    <s v="2024-05-05 21:17:28"/>
    <x v="369"/>
    <n v="16"/>
    <x v="3"/>
    <s v="Windows Password"/>
    <s v="Medium"/>
    <n v="240"/>
    <x v="0"/>
    <s v="Portal"/>
    <s v="Tier 1"/>
    <x v="5"/>
    <x v="0"/>
    <s v="Yes"/>
    <s v="No"/>
    <n v="0"/>
    <s v="No"/>
    <n v="8"/>
    <n v="2.2000000000000002"/>
    <n v="34.799999999999997"/>
    <s v="Yes"/>
    <s v="Good"/>
    <s v="Yes"/>
    <s v="HR"/>
    <s v="Monday"/>
    <s v="Afternoon"/>
  </r>
  <r>
    <x v="401"/>
    <s v="2024-04-10 03:49:11"/>
    <x v="11"/>
    <s v="2024-04-14 21:07:11"/>
    <x v="174"/>
    <n v="4.7"/>
    <x v="0"/>
    <s v="Application Access"/>
    <s v="High"/>
    <n v="120"/>
    <x v="1"/>
    <s v="Email"/>
    <s v="Tier 1"/>
    <x v="2"/>
    <x v="2"/>
    <s v="Yes"/>
    <s v="No"/>
    <n v="0"/>
    <s v="Yes"/>
    <n v="10"/>
    <n v="2"/>
    <n v="49.5"/>
    <s v="Yes"/>
    <s v="Fair"/>
    <s v="Yes"/>
    <s v="HR"/>
    <s v="Friday"/>
    <s v="Morning"/>
  </r>
  <r>
    <x v="402"/>
    <s v="2024-08-10 19:03:03"/>
    <x v="1"/>
    <s v="2024-08-19 01:51:03"/>
    <x v="370"/>
    <n v="9.3000000000000007"/>
    <x v="5"/>
    <s v="Documentation"/>
    <s v="Low"/>
    <n v="360"/>
    <x v="1"/>
    <s v="Walk-in"/>
    <s v="Tier 1"/>
    <x v="4"/>
    <x v="1"/>
    <s v="Yes"/>
    <s v="No"/>
    <n v="0"/>
    <s v="No"/>
    <n v="10"/>
    <n v="3.4"/>
    <n v="25"/>
    <s v="Yes"/>
    <s v="Fair"/>
    <s v="Yes"/>
    <s v="Sales"/>
    <s v="Wednesday"/>
    <s v="Morning"/>
  </r>
  <r>
    <x v="403"/>
    <s v="2024-01-21 16:41:50"/>
    <x v="3"/>
    <s v="2024-01-25 13:17:50"/>
    <x v="371"/>
    <n v="3.9"/>
    <x v="4"/>
    <s v="Crash"/>
    <s v="High"/>
    <n v="120"/>
    <x v="1"/>
    <s v="Phone"/>
    <s v="Tier 2"/>
    <x v="18"/>
    <x v="2"/>
    <s v="No"/>
    <s v="Yes"/>
    <n v="4"/>
    <s v="No"/>
    <n v="8"/>
    <n v="4.9000000000000004"/>
    <n v="26.5"/>
    <s v="Yes"/>
    <s v="Fair"/>
    <s v="Yes"/>
    <s v="Operations"/>
    <s v="Wednesday"/>
    <s v="Afternoon"/>
  </r>
  <r>
    <x v="404"/>
    <s v="2024-05-01 14:06:53"/>
    <x v="8"/>
    <s v="2024-05-14 10:30:53"/>
    <x v="372"/>
    <n v="12.9"/>
    <x v="3"/>
    <s v="Account Unlock"/>
    <s v="Low"/>
    <n v="360"/>
    <x v="1"/>
    <s v="Chat"/>
    <s v="Tier 2"/>
    <x v="20"/>
    <x v="2"/>
    <s v="No"/>
    <s v="Yes"/>
    <n v="1"/>
    <s v="Yes"/>
    <n v="10"/>
    <n v="3.5"/>
    <n v="7.5"/>
    <s v="Yes"/>
    <s v="Fair"/>
    <s v="Yes"/>
    <s v="IT"/>
    <s v="Wednesday"/>
    <s v="Afternoon"/>
  </r>
  <r>
    <x v="405"/>
    <s v="2024-12-29 20:00:56"/>
    <x v="0"/>
    <s v="2025-01-20 22:42:56"/>
    <x v="373"/>
    <n v="22.1"/>
    <x v="3"/>
    <s v="Application Password"/>
    <s v="Low"/>
    <n v="360"/>
    <x v="0"/>
    <s v="Phone"/>
    <s v="Tier 1"/>
    <x v="19"/>
    <x v="2"/>
    <s v="Yes"/>
    <s v="No"/>
    <n v="0"/>
    <s v="No"/>
    <n v="6"/>
    <n v="0.9"/>
    <n v="15.6"/>
    <s v="Yes"/>
    <s v="Good"/>
    <s v="Yes"/>
    <s v="Finance"/>
    <s v="Thursday"/>
    <s v="Morning"/>
  </r>
  <r>
    <x v="406"/>
    <s v="2024-03-09 16:05:29"/>
    <x v="5"/>
    <s v="2024-03-12 16:23:29"/>
    <x v="374"/>
    <n v="3"/>
    <x v="5"/>
    <s v="Miscellaneous"/>
    <s v="High"/>
    <n v="120"/>
    <x v="1"/>
    <s v="Email"/>
    <s v="Tier 1"/>
    <x v="20"/>
    <x v="2"/>
    <s v="No"/>
    <s v="No"/>
    <n v="1"/>
    <s v="No"/>
    <n v="8"/>
    <n v="2.8"/>
    <n v="18.3"/>
    <s v="Yes"/>
    <s v="Fair"/>
    <s v="Yes"/>
    <s v="Executive"/>
    <s v="Wednesday"/>
    <s v="Morning"/>
  </r>
  <r>
    <x v="407"/>
    <s v="2024-04-02 08:08:35"/>
    <x v="11"/>
    <s v="2024-04-05 10:20:35"/>
    <x v="375"/>
    <n v="3.1"/>
    <x v="4"/>
    <s v="Login Issues"/>
    <s v="High"/>
    <n v="120"/>
    <x v="1"/>
    <s v="Walk-in"/>
    <s v="Tier 2"/>
    <x v="24"/>
    <x v="1"/>
    <s v="No"/>
    <s v="Yes"/>
    <n v="1"/>
    <s v="No"/>
    <n v="8"/>
    <n v="0.3"/>
    <n v="20.9"/>
    <s v="No"/>
    <s v="Good"/>
    <s v="No"/>
    <s v="Sales"/>
    <s v="Wednesday"/>
    <s v="Afternoon"/>
  </r>
  <r>
    <x v="408"/>
    <s v="2024-08-01 07:45:01"/>
    <x v="1"/>
    <s v="2024-08-14 01:09:01"/>
    <x v="376"/>
    <n v="13.7"/>
    <x v="7"/>
    <s v="Adobe Suite"/>
    <s v="Low"/>
    <n v="360"/>
    <x v="1"/>
    <s v="Phone"/>
    <s v="Tier 1"/>
    <x v="20"/>
    <x v="1"/>
    <s v="No"/>
    <s v="No"/>
    <n v="1"/>
    <s v="No"/>
    <n v="9"/>
    <n v="4"/>
    <n v="0"/>
    <s v="Yes"/>
    <s v="Good"/>
    <s v="Yes"/>
    <s v="Sales"/>
    <s v="Friday"/>
    <s v="Evening"/>
  </r>
  <r>
    <x v="409"/>
    <s v="2024-04-11 09:05:21"/>
    <x v="11"/>
    <s v="2024-04-14 01:17:21"/>
    <x v="377"/>
    <n v="3.7"/>
    <x v="6"/>
    <s v="Mailbox Full"/>
    <s v="High"/>
    <n v="120"/>
    <x v="1"/>
    <s v="Phone"/>
    <s v="Tier 1"/>
    <x v="5"/>
    <x v="1"/>
    <s v="No"/>
    <s v="No"/>
    <n v="1"/>
    <s v="No"/>
    <n v="7"/>
    <n v="1"/>
    <n v="4.5999999999999996"/>
    <s v="No"/>
    <s v="Good"/>
    <s v="No"/>
    <s v="IT"/>
    <s v="Tuesday"/>
    <s v="Afternoon"/>
  </r>
  <r>
    <x v="410"/>
    <s v="2024-08-07 17:39:23"/>
    <x v="1"/>
    <s v="2024-08-16 18:03:23"/>
    <x v="378"/>
    <n v="9"/>
    <x v="2"/>
    <s v="Slow Network"/>
    <s v="Medium"/>
    <n v="240"/>
    <x v="1"/>
    <s v="Phone"/>
    <s v="Tier 2"/>
    <x v="22"/>
    <x v="1"/>
    <s v="No"/>
    <s v="Yes"/>
    <n v="3"/>
    <s v="Yes"/>
    <n v="9"/>
    <n v="2.8"/>
    <n v="13.2"/>
    <s v="Yes"/>
    <s v="Poor"/>
    <s v="Yes"/>
    <s v="HR"/>
    <s v="Tuesday"/>
    <s v="Morning"/>
  </r>
  <r>
    <x v="411"/>
    <s v="2024-09-13 02:53:49"/>
    <x v="9"/>
    <s v="2024-09-22 02:05:49"/>
    <x v="379"/>
    <n v="9"/>
    <x v="7"/>
    <s v="VPN Client"/>
    <s v="Medium"/>
    <n v="240"/>
    <x v="1"/>
    <s v="Portal"/>
    <s v="Tier 1"/>
    <x v="16"/>
    <x v="2"/>
    <s v="No"/>
    <s v="No"/>
    <n v="1"/>
    <s v="No"/>
    <n v="7"/>
    <n v="3.9"/>
    <n v="11.3"/>
    <s v="No"/>
    <s v="Fair"/>
    <s v="No"/>
    <s v="IT"/>
    <s v="Tuesday"/>
    <s v="Afternoon"/>
  </r>
  <r>
    <x v="412"/>
    <s v="2024-07-13 11:25:21"/>
    <x v="4"/>
    <s v="2024-07-21 06:25:21"/>
    <x v="380"/>
    <n v="7.8"/>
    <x v="1"/>
    <s v="Docking Station"/>
    <s v="Medium"/>
    <n v="240"/>
    <x v="1"/>
    <s v="Portal"/>
    <s v="Tier 2"/>
    <x v="21"/>
    <x v="0"/>
    <s v="No"/>
    <s v="Yes"/>
    <n v="2"/>
    <s v="No"/>
    <n v="7"/>
    <n v="0.7"/>
    <n v="13.7"/>
    <s v="No"/>
    <s v="Good"/>
    <s v="No"/>
    <s v="Marketing"/>
    <s v="Tuesday"/>
    <s v="Morning"/>
  </r>
  <r>
    <x v="413"/>
    <s v="2024-05-06 20:37:48"/>
    <x v="8"/>
    <s v="2024-06-09 19:13:48"/>
    <x v="381"/>
    <n v="33.9"/>
    <x v="3"/>
    <s v="Windows Password"/>
    <s v="Low"/>
    <n v="360"/>
    <x v="0"/>
    <s v="Email"/>
    <s v="Tier 1"/>
    <x v="3"/>
    <x v="0"/>
    <s v="No"/>
    <s v="No"/>
    <n v="1"/>
    <s v="No"/>
    <n v="7"/>
    <n v="5.5"/>
    <n v="42.5"/>
    <s v="No"/>
    <s v="Poor"/>
    <s v="Yes"/>
    <s v="Operations"/>
    <s v="Monday"/>
    <s v="Afternoon"/>
  </r>
  <r>
    <x v="414"/>
    <s v="2024-04-04 21:39:04"/>
    <x v="11"/>
    <s v="2024-04-11 07:21:04"/>
    <x v="382"/>
    <n v="6.4"/>
    <x v="7"/>
    <s v="VPN Client"/>
    <s v="Medium"/>
    <n v="240"/>
    <x v="1"/>
    <s v="Phone"/>
    <s v="Tier 1"/>
    <x v="4"/>
    <x v="1"/>
    <s v="No"/>
    <s v="No"/>
    <n v="1"/>
    <s v="No"/>
    <n v="7"/>
    <n v="3"/>
    <n v="2.5"/>
    <s v="Yes"/>
    <s v="Good"/>
    <s v="Yes"/>
    <s v="Marketing"/>
    <s v="Thursday"/>
    <s v="Afternoon"/>
  </r>
  <r>
    <x v="415"/>
    <s v="2024-07-26 12:15:27"/>
    <x v="4"/>
    <s v="2024-08-04 21:57:27"/>
    <x v="25"/>
    <n v="9.4"/>
    <x v="3"/>
    <s v="Application Password"/>
    <s v="Medium"/>
    <n v="240"/>
    <x v="1"/>
    <s v="Email"/>
    <s v="Tier 1"/>
    <x v="13"/>
    <x v="2"/>
    <s v="Yes"/>
    <s v="No"/>
    <n v="0"/>
    <s v="No"/>
    <n v="10"/>
    <n v="3.3"/>
    <n v="24.9"/>
    <s v="Yes"/>
    <s v="Poor"/>
    <s v="Yes"/>
    <s v="Executive"/>
    <s v="Tuesday"/>
    <s v="Morning"/>
  </r>
  <r>
    <x v="416"/>
    <s v="2024-04-15 12:14:14"/>
    <x v="11"/>
    <s v="2024-04-24 23:02:14"/>
    <x v="383"/>
    <n v="9.5"/>
    <x v="2"/>
    <s v="VPN Connection"/>
    <s v="Medium"/>
    <n v="240"/>
    <x v="1"/>
    <s v="Email"/>
    <s v="Tier 1"/>
    <x v="19"/>
    <x v="1"/>
    <s v="No"/>
    <s v="No"/>
    <n v="1"/>
    <s v="No"/>
    <n v="6"/>
    <n v="2.8"/>
    <n v="17"/>
    <s v="Yes"/>
    <s v="Poor"/>
    <s v="Yes"/>
    <s v="Marketing"/>
    <s v="Wednesday"/>
    <s v="Afternoon"/>
  </r>
  <r>
    <x v="417"/>
    <s v="2024-05-03 17:09:05"/>
    <x v="8"/>
    <s v="2024-05-11 17:57:05"/>
    <x v="384"/>
    <n v="8"/>
    <x v="1"/>
    <s v="Keyboard/Mouse"/>
    <s v="Medium"/>
    <n v="240"/>
    <x v="1"/>
    <s v="Chat"/>
    <s v="Tier 2"/>
    <x v="11"/>
    <x v="2"/>
    <s v="No"/>
    <s v="Yes"/>
    <n v="1"/>
    <s v="No"/>
    <n v="7"/>
    <n v="1.1000000000000001"/>
    <n v="16.5"/>
    <s v="No"/>
    <s v="Excellent"/>
    <s v="Yes"/>
    <s v="HR"/>
    <s v="Tuesday"/>
    <s v="Afternoon"/>
  </r>
  <r>
    <x v="418"/>
    <s v="2024-10-23 10:56:06"/>
    <x v="2"/>
    <s v="2024-10-27 20:50:06"/>
    <x v="385"/>
    <n v="4.5"/>
    <x v="7"/>
    <s v="Business Apps"/>
    <s v="High"/>
    <n v="120"/>
    <x v="1"/>
    <s v="Email"/>
    <s v="Tier 2"/>
    <x v="2"/>
    <x v="1"/>
    <s v="No"/>
    <s v="Yes"/>
    <n v="4"/>
    <s v="No"/>
    <n v="7"/>
    <n v="3"/>
    <n v="45.3"/>
    <s v="Yes"/>
    <s v="Fair"/>
    <s v="Yes"/>
    <s v="Executive"/>
    <s v="Monday"/>
    <s v="Evening"/>
  </r>
  <r>
    <x v="419"/>
    <s v="2024-05-11 18:24:05"/>
    <x v="8"/>
    <s v="2024-06-02 08:54:05"/>
    <x v="386"/>
    <n v="21.6"/>
    <x v="3"/>
    <s v="Email Password"/>
    <s v="Low"/>
    <n v="360"/>
    <x v="0"/>
    <s v="Phone"/>
    <s v="Tier 1"/>
    <x v="1"/>
    <x v="2"/>
    <s v="Yes"/>
    <s v="No"/>
    <n v="0"/>
    <s v="Yes"/>
    <n v="8"/>
    <n v="0.7"/>
    <n v="25.4"/>
    <s v="No"/>
    <s v="Good"/>
    <s v="Yes"/>
    <s v="HR"/>
    <s v="Tuesday"/>
    <s v="Morning"/>
  </r>
  <r>
    <x v="420"/>
    <s v="2024-12-22 19:04:01"/>
    <x v="0"/>
    <s v="2025-01-01 03:04:01"/>
    <x v="387"/>
    <n v="9.3000000000000007"/>
    <x v="6"/>
    <s v="Distribution List"/>
    <s v="Medium"/>
    <n v="240"/>
    <x v="1"/>
    <s v="Email"/>
    <s v="Tier 1"/>
    <x v="20"/>
    <x v="0"/>
    <s v="Yes"/>
    <s v="No"/>
    <n v="0"/>
    <s v="No"/>
    <n v="10"/>
    <n v="3.3"/>
    <n v="14.5"/>
    <s v="No"/>
    <s v="Excellent"/>
    <s v="No"/>
    <s v="Executive"/>
    <s v="Tuesday"/>
    <s v="Afternoon"/>
  </r>
  <r>
    <x v="421"/>
    <s v="2024-05-17 23:44:42"/>
    <x v="8"/>
    <s v="2024-05-21 23:26:42"/>
    <x v="388"/>
    <n v="4"/>
    <x v="4"/>
    <s v="Performance"/>
    <s v="High"/>
    <n v="120"/>
    <x v="1"/>
    <s v="Chat"/>
    <s v="Tier 1"/>
    <x v="20"/>
    <x v="2"/>
    <s v="No"/>
    <s v="No"/>
    <n v="1"/>
    <s v="No"/>
    <n v="9"/>
    <n v="1.8"/>
    <n v="20.5"/>
    <s v="Yes"/>
    <s v="Excellent"/>
    <s v="Yes"/>
    <s v="IT"/>
    <s v="Friday"/>
    <s v="Evening"/>
  </r>
  <r>
    <x v="422"/>
    <s v="2024-10-19 23:28:56"/>
    <x v="2"/>
    <s v="2024-10-28 00:46:56"/>
    <x v="389"/>
    <n v="9.1"/>
    <x v="0"/>
    <s v="Admin Rights"/>
    <s v="Medium"/>
    <n v="240"/>
    <x v="1"/>
    <s v="Phone"/>
    <s v="Tier 1"/>
    <x v="23"/>
    <x v="0"/>
    <s v="Yes"/>
    <s v="No"/>
    <n v="0"/>
    <s v="No"/>
    <n v="10"/>
    <n v="0.4"/>
    <n v="16"/>
    <s v="Yes"/>
    <s v="Good"/>
    <s v="Yes"/>
    <s v="Operations"/>
    <s v="Thursday"/>
    <s v="Morning"/>
  </r>
  <r>
    <x v="423"/>
    <s v="2024-09-14 19:28:14"/>
    <x v="9"/>
    <s v="2024-09-18 03:22:14"/>
    <x v="390"/>
    <n v="3.3"/>
    <x v="7"/>
    <s v="Adobe Suite"/>
    <s v="High"/>
    <n v="120"/>
    <x v="1"/>
    <s v="Portal"/>
    <s v="Tier 1"/>
    <x v="19"/>
    <x v="1"/>
    <s v="No"/>
    <s v="No"/>
    <n v="1"/>
    <s v="No"/>
    <n v="10"/>
    <n v="2.9"/>
    <n v="12.7"/>
    <s v="Yes"/>
    <s v="Poor"/>
    <s v="Yes"/>
    <s v="HR"/>
    <s v="Thursday"/>
    <s v="Evening"/>
  </r>
  <r>
    <x v="424"/>
    <s v="2024-06-15 02:19:27"/>
    <x v="10"/>
    <s v="2024-06-20 06:01:27"/>
    <x v="391"/>
    <n v="4.2"/>
    <x v="4"/>
    <s v="Performance"/>
    <s v="High"/>
    <n v="120"/>
    <x v="1"/>
    <s v="Email"/>
    <s v="Tier 1"/>
    <x v="1"/>
    <x v="1"/>
    <s v="Yes"/>
    <s v="No"/>
    <n v="0"/>
    <s v="No"/>
    <n v="10"/>
    <n v="1.9"/>
    <n v="30.2"/>
    <s v="No"/>
    <s v="Excellent"/>
    <s v="Yes"/>
    <s v="IT"/>
    <s v="Tuesday"/>
    <s v="Morning"/>
  </r>
  <r>
    <x v="425"/>
    <s v="2024-11-10 18:58:21"/>
    <x v="7"/>
    <s v="2024-11-19 10:58:21"/>
    <x v="392"/>
    <n v="8.6999999999999993"/>
    <x v="0"/>
    <s v="VPN Access"/>
    <s v="Medium"/>
    <n v="240"/>
    <x v="1"/>
    <s v="Phone"/>
    <s v="Tier 1"/>
    <x v="16"/>
    <x v="2"/>
    <s v="Yes"/>
    <s v="No"/>
    <n v="0"/>
    <s v="No"/>
    <n v="10"/>
    <n v="0.1"/>
    <n v="28.1"/>
    <s v="No"/>
    <s v="Good"/>
    <s v="No"/>
    <s v="Executive"/>
    <s v="Wednesday"/>
    <s v="Afternoon"/>
  </r>
  <r>
    <x v="426"/>
    <s v="2024-10-12 04:54:13"/>
    <x v="2"/>
    <s v="2024-10-13 21:48:13"/>
    <x v="393"/>
    <n v="1.7"/>
    <x v="5"/>
    <s v="Miscellaneous"/>
    <s v="Critical"/>
    <n v="48"/>
    <x v="1"/>
    <s v="Portal"/>
    <s v="Tier 1"/>
    <x v="4"/>
    <x v="1"/>
    <s v="Yes"/>
    <s v="No"/>
    <n v="0"/>
    <s v="No"/>
    <n v="10"/>
    <n v="3.5"/>
    <n v="36.4"/>
    <s v="Yes"/>
    <s v="Poor"/>
    <s v="Yes"/>
    <s v="Finance"/>
    <s v="Wednesday"/>
    <s v="Morning"/>
  </r>
  <r>
    <x v="427"/>
    <s v="2024-07-06 14:58:00"/>
    <x v="4"/>
    <s v="2024-07-13 16:40:00"/>
    <x v="394"/>
    <n v="7.1"/>
    <x v="0"/>
    <s v="Admin Rights"/>
    <s v="Medium"/>
    <n v="240"/>
    <x v="1"/>
    <s v="Portal"/>
    <s v="Tier 1"/>
    <x v="10"/>
    <x v="2"/>
    <s v="No"/>
    <s v="No"/>
    <n v="1"/>
    <s v="Yes"/>
    <n v="10"/>
    <n v="0.1"/>
    <n v="16.399999999999999"/>
    <s v="No"/>
    <s v="Good"/>
    <s v="Yes"/>
    <s v="Marketing"/>
    <s v="Thursday"/>
    <s v="Afternoon"/>
  </r>
  <r>
    <x v="428"/>
    <s v="2024-11-25 21:45:17"/>
    <x v="7"/>
    <s v="2024-12-03 14:39:17"/>
    <x v="395"/>
    <n v="7.7"/>
    <x v="3"/>
    <s v="Windows Password"/>
    <s v="Medium"/>
    <n v="240"/>
    <x v="1"/>
    <s v="Chat"/>
    <s v="Tier 2"/>
    <x v="5"/>
    <x v="2"/>
    <s v="No"/>
    <s v="Yes"/>
    <n v="2"/>
    <s v="No"/>
    <n v="5"/>
    <n v="1.3"/>
    <n v="15.9"/>
    <s v="Yes"/>
    <s v="Fair"/>
    <s v="No"/>
    <s v="Legal"/>
    <s v="Monday"/>
    <s v="Afternoon"/>
  </r>
  <r>
    <x v="429"/>
    <s v="2024-10-09 00:48:59"/>
    <x v="2"/>
    <s v="2024-10-22 00:24:59"/>
    <x v="396"/>
    <n v="13"/>
    <x v="5"/>
    <s v="Documentation"/>
    <s v="Low"/>
    <n v="360"/>
    <x v="1"/>
    <s v="Phone"/>
    <s v="Tier 2"/>
    <x v="10"/>
    <x v="2"/>
    <s v="No"/>
    <s v="Yes"/>
    <n v="2"/>
    <s v="No"/>
    <n v="8"/>
    <n v="1.5"/>
    <n v="50.3"/>
    <s v="No"/>
    <s v="Good"/>
    <s v="No"/>
    <s v="Sales"/>
    <s v="Thursday"/>
    <s v="Morning"/>
  </r>
  <r>
    <x v="430"/>
    <s v="2024-09-05 18:25:59"/>
    <x v="9"/>
    <s v="2024-09-11 20:25:59"/>
    <x v="305"/>
    <n v="6.1"/>
    <x v="5"/>
    <s v="Documentation"/>
    <s v="Medium"/>
    <n v="240"/>
    <x v="1"/>
    <s v="Email"/>
    <s v="Tier 1"/>
    <x v="2"/>
    <x v="2"/>
    <s v="No"/>
    <s v="No"/>
    <n v="1"/>
    <s v="No"/>
    <n v="7"/>
    <n v="3.3"/>
    <n v="4"/>
    <s v="No"/>
    <s v="Poor"/>
    <s v="Yes"/>
    <s v="IT"/>
    <s v="Tuesday"/>
    <s v="Afternoon"/>
  </r>
  <r>
    <x v="431"/>
    <s v="2024-12-16 05:44:53"/>
    <x v="0"/>
    <s v="2024-12-27 06:26:53"/>
    <x v="397"/>
    <n v="11"/>
    <x v="3"/>
    <s v="Email Password"/>
    <s v="Low"/>
    <n v="360"/>
    <x v="1"/>
    <s v="Walk-in"/>
    <s v="Tier 1"/>
    <x v="16"/>
    <x v="1"/>
    <s v="No"/>
    <s v="No"/>
    <n v="1"/>
    <s v="No"/>
    <n v="7"/>
    <n v="1.5"/>
    <n v="3.6"/>
    <s v="Yes"/>
    <s v="Poor"/>
    <s v="No"/>
    <s v="HR"/>
    <s v="Tuesday"/>
    <s v="Evening"/>
  </r>
  <r>
    <x v="432"/>
    <s v="2024-05-04 00:14:42"/>
    <x v="8"/>
    <s v="2024-05-18 15:44:42"/>
    <x v="157"/>
    <n v="13.6"/>
    <x v="6"/>
    <s v="Calendar Sync"/>
    <s v="Low"/>
    <n v="360"/>
    <x v="1"/>
    <s v="Chat"/>
    <s v="Tier 1"/>
    <x v="20"/>
    <x v="2"/>
    <s v="No"/>
    <s v="No"/>
    <n v="1"/>
    <s v="Yes"/>
    <n v="6"/>
    <n v="2"/>
    <n v="6"/>
    <s v="No"/>
    <s v="Excellent"/>
    <s v="No"/>
    <s v="HR"/>
    <s v="Monday"/>
    <s v="Morning"/>
  </r>
  <r>
    <x v="433"/>
    <s v="2024-10-06 05:30:16"/>
    <x v="2"/>
    <s v="2024-10-12 19:42:16"/>
    <x v="398"/>
    <n v="6.6"/>
    <x v="6"/>
    <s v="Cannot Send/Receive"/>
    <s v="Medium"/>
    <n v="240"/>
    <x v="1"/>
    <s v="Email"/>
    <s v="Tier 1"/>
    <x v="13"/>
    <x v="2"/>
    <s v="No"/>
    <s v="No"/>
    <n v="1"/>
    <s v="No"/>
    <n v="8"/>
    <n v="0.8"/>
    <n v="19.2"/>
    <s v="No"/>
    <s v="Fair"/>
    <s v="No"/>
    <s v="IT"/>
    <s v="Thursday"/>
    <s v="Morning"/>
  </r>
  <r>
    <x v="434"/>
    <s v="2024-12-02 11:22:10"/>
    <x v="0"/>
    <s v="2024-12-14 23:04:10"/>
    <x v="399"/>
    <n v="12.5"/>
    <x v="3"/>
    <s v="Windows Password"/>
    <s v="Low"/>
    <n v="360"/>
    <x v="1"/>
    <s v="Phone"/>
    <s v="Tier 1"/>
    <x v="10"/>
    <x v="2"/>
    <s v="Yes"/>
    <s v="No"/>
    <n v="0"/>
    <s v="No"/>
    <n v="10"/>
    <n v="2"/>
    <n v="5.7"/>
    <s v="Yes"/>
    <s v="Fair"/>
    <s v="Yes"/>
    <s v="HR"/>
    <s v="Wednesday"/>
    <s v="Morning"/>
  </r>
  <r>
    <x v="435"/>
    <s v="2024-09-13 19:08:43"/>
    <x v="9"/>
    <s v="2024-09-18 12:20:43"/>
    <x v="400"/>
    <n v="4.7"/>
    <x v="0"/>
    <s v="File Share"/>
    <s v="High"/>
    <n v="120"/>
    <x v="1"/>
    <s v="Portal"/>
    <s v="Tier 1"/>
    <x v="18"/>
    <x v="2"/>
    <s v="Yes"/>
    <s v="No"/>
    <n v="0"/>
    <s v="No"/>
    <n v="9"/>
    <n v="0.3"/>
    <n v="24.7"/>
    <s v="Yes"/>
    <s v="Good"/>
    <s v="No"/>
    <s v="Finance"/>
    <s v="Thursday"/>
    <s v="Morning"/>
  </r>
  <r>
    <x v="436"/>
    <s v="2024-12-11 23:01:36"/>
    <x v="0"/>
    <s v="2024-12-18 08:31:36"/>
    <x v="401"/>
    <n v="6.4"/>
    <x v="4"/>
    <s v="Features Not Working"/>
    <s v="High"/>
    <n v="120"/>
    <x v="0"/>
    <s v="Email"/>
    <s v="Tier 2"/>
    <x v="0"/>
    <x v="2"/>
    <s v="No"/>
    <s v="Yes"/>
    <n v="4"/>
    <s v="No"/>
    <n v="3"/>
    <n v="5.0999999999999996"/>
    <n v="8.1999999999999993"/>
    <s v="Yes"/>
    <s v="Fair"/>
    <s v="No"/>
    <s v="Finance"/>
    <s v="Friday"/>
    <s v="Afternoon"/>
  </r>
  <r>
    <x v="437"/>
    <s v="2024-03-06 17:42:50"/>
    <x v="5"/>
    <s v="2024-03-13 11:36:50"/>
    <x v="233"/>
    <n v="6.7"/>
    <x v="0"/>
    <s v="Application Access"/>
    <s v="Medium"/>
    <n v="240"/>
    <x v="1"/>
    <s v="Portal"/>
    <s v="Tier 1"/>
    <x v="5"/>
    <x v="2"/>
    <s v="No"/>
    <s v="No"/>
    <n v="1"/>
    <s v="No"/>
    <n v="9"/>
    <n v="0.1"/>
    <n v="7.7"/>
    <s v="Yes"/>
    <s v="Poor"/>
    <s v="Yes"/>
    <s v="Finance"/>
    <s v="Monday"/>
    <s v="Afternoon"/>
  </r>
  <r>
    <x v="438"/>
    <s v="2024-01-22 23:06:25"/>
    <x v="3"/>
    <s v="2024-01-30 08:24:25"/>
    <x v="402"/>
    <n v="7.4"/>
    <x v="7"/>
    <s v="Business Apps"/>
    <s v="Medium"/>
    <n v="240"/>
    <x v="1"/>
    <s v="Phone"/>
    <s v="Tier 1"/>
    <x v="0"/>
    <x v="2"/>
    <s v="No"/>
    <s v="No"/>
    <n v="1"/>
    <s v="No"/>
    <n v="6"/>
    <n v="5.2"/>
    <n v="10.8"/>
    <s v="No"/>
    <s v="Fair"/>
    <s v="No"/>
    <s v="IT"/>
    <s v="Monday"/>
    <s v="Morning"/>
  </r>
  <r>
    <x v="439"/>
    <s v="2024-03-26 13:21:01"/>
    <x v="5"/>
    <s v="2024-03-28 07:33:01"/>
    <x v="403"/>
    <n v="1.8"/>
    <x v="1"/>
    <s v="Laptop"/>
    <s v="Critical"/>
    <n v="48"/>
    <x v="1"/>
    <s v="Portal"/>
    <s v="Tier 2"/>
    <x v="7"/>
    <x v="2"/>
    <s v="No"/>
    <s v="Yes"/>
    <n v="1"/>
    <s v="No"/>
    <n v="9"/>
    <n v="3.1"/>
    <n v="0"/>
    <s v="Yes"/>
    <s v="Fair"/>
    <s v="Yes"/>
    <s v="Marketing"/>
    <s v="Wednesday"/>
    <s v="Afternoon"/>
  </r>
  <r>
    <x v="440"/>
    <s v="2024-01-16 00:34:45"/>
    <x v="3"/>
    <s v="2024-01-20 17:22:45"/>
    <x v="404"/>
    <n v="3.7"/>
    <x v="0"/>
    <s v="File Share"/>
    <s v="High"/>
    <n v="120"/>
    <x v="1"/>
    <s v="Phone"/>
    <s v="Tier 1"/>
    <x v="24"/>
    <x v="0"/>
    <s v="Yes"/>
    <s v="No"/>
    <n v="0"/>
    <s v="No"/>
    <n v="10"/>
    <n v="3.8"/>
    <n v="0"/>
    <s v="Yes"/>
    <s v="Fair"/>
    <s v="Yes"/>
    <s v="Finance"/>
    <s v="Wednesday"/>
    <s v="Afternoon"/>
  </r>
  <r>
    <x v="441"/>
    <s v="2024-04-30 00:30:54"/>
    <x v="11"/>
    <s v="2024-05-07 00:00:54"/>
    <x v="405"/>
    <n v="7"/>
    <x v="7"/>
    <s v="Drivers"/>
    <s v="Medium"/>
    <n v="240"/>
    <x v="1"/>
    <s v="Phone"/>
    <s v="Tier 1"/>
    <x v="4"/>
    <x v="1"/>
    <s v="No"/>
    <s v="No"/>
    <n v="1"/>
    <s v="No"/>
    <n v="10"/>
    <n v="2.2000000000000002"/>
    <n v="34.200000000000003"/>
    <s v="No"/>
    <s v="Poor"/>
    <s v="No"/>
    <s v="Finance"/>
    <s v="Thursday"/>
    <s v="Evening"/>
  </r>
  <r>
    <x v="442"/>
    <s v="2024-12-04 13:49:02"/>
    <x v="0"/>
    <s v="2024-12-16 02:43:02"/>
    <x v="406"/>
    <n v="11.5"/>
    <x v="3"/>
    <s v="Account Unlock"/>
    <s v="Low"/>
    <n v="360"/>
    <x v="1"/>
    <s v="Phone"/>
    <s v="Tier 1"/>
    <x v="21"/>
    <x v="0"/>
    <s v="Yes"/>
    <s v="No"/>
    <n v="0"/>
    <s v="No"/>
    <n v="10"/>
    <n v="3.6"/>
    <n v="24.5"/>
    <s v="Yes"/>
    <s v="Fair"/>
    <s v="Yes"/>
    <s v="IT"/>
    <s v="Tuesday"/>
    <s v="Afternoon"/>
  </r>
  <r>
    <x v="443"/>
    <s v="2024-11-16 08:07:53"/>
    <x v="7"/>
    <s v="2024-11-27 06:07:53"/>
    <x v="407"/>
    <n v="10.9"/>
    <x v="5"/>
    <s v="Miscellaneous"/>
    <s v="Low"/>
    <n v="360"/>
    <x v="1"/>
    <s v="Email"/>
    <s v="Tier 2"/>
    <x v="15"/>
    <x v="2"/>
    <s v="No"/>
    <s v="Yes"/>
    <n v="2"/>
    <s v="No"/>
    <n v="8"/>
    <n v="3.1"/>
    <n v="16.8"/>
    <s v="Yes"/>
    <s v="Good"/>
    <s v="No"/>
    <s v="Finance"/>
    <s v="Wednesday"/>
    <s v="Morning"/>
  </r>
  <r>
    <x v="444"/>
    <s v="2024-03-04 07:18:51"/>
    <x v="5"/>
    <s v="2024-04-05 06:42:51"/>
    <x v="408"/>
    <n v="31.9"/>
    <x v="5"/>
    <s v="Miscellaneous"/>
    <s v="Low"/>
    <n v="360"/>
    <x v="0"/>
    <s v="Portal"/>
    <s v="Tier 1"/>
    <x v="16"/>
    <x v="2"/>
    <s v="No"/>
    <s v="No"/>
    <n v="1"/>
    <s v="Yes"/>
    <n v="6"/>
    <n v="3.1"/>
    <n v="11.9"/>
    <s v="No"/>
    <s v="Excellent"/>
    <s v="No"/>
    <s v="IT"/>
    <s v="Tuesday"/>
    <s v="Afternoon"/>
  </r>
  <r>
    <x v="445"/>
    <s v="2024-02-16 05:46:44"/>
    <x v="6"/>
    <s v="2024-03-29 15:40:44"/>
    <x v="409"/>
    <n v="42.4"/>
    <x v="3"/>
    <s v="Account Unlock"/>
    <s v="Low"/>
    <n v="360"/>
    <x v="0"/>
    <s v="Portal"/>
    <s v="Tier 1"/>
    <x v="20"/>
    <x v="0"/>
    <s v="Yes"/>
    <s v="No"/>
    <n v="0"/>
    <s v="No"/>
    <n v="5"/>
    <n v="1.5"/>
    <n v="35.5"/>
    <s v="Yes"/>
    <s v="Fair"/>
    <s v="Yes"/>
    <s v="IT"/>
    <s v="Monday"/>
    <s v="Morning"/>
  </r>
  <r>
    <x v="446"/>
    <s v="2024-01-15 22:34:57"/>
    <x v="3"/>
    <s v="2024-01-29 21:46:57"/>
    <x v="410"/>
    <n v="14"/>
    <x v="6"/>
    <s v="Mailbox Full"/>
    <s v="Low"/>
    <n v="360"/>
    <x v="1"/>
    <s v="Chat"/>
    <s v="Tier 1"/>
    <x v="22"/>
    <x v="2"/>
    <s v="Yes"/>
    <s v="No"/>
    <n v="0"/>
    <s v="No"/>
    <n v="10"/>
    <n v="3.1"/>
    <n v="21.5"/>
    <s v="Yes"/>
    <s v="Poor"/>
    <s v="Yes"/>
    <s v="Legal"/>
    <s v="Monday"/>
    <s v="Morning"/>
  </r>
  <r>
    <x v="447"/>
    <s v="2024-09-02 12:49:18"/>
    <x v="9"/>
    <s v="2024-09-12 18:25:18"/>
    <x v="411"/>
    <n v="10.199999999999999"/>
    <x v="3"/>
    <s v="Email Password"/>
    <s v="Low"/>
    <n v="360"/>
    <x v="1"/>
    <s v="Email"/>
    <s v="Tier 1"/>
    <x v="12"/>
    <x v="2"/>
    <s v="Yes"/>
    <s v="No"/>
    <n v="0"/>
    <s v="No"/>
    <n v="10"/>
    <n v="3.9"/>
    <n v="13.1"/>
    <s v="Yes"/>
    <s v="Fair"/>
    <s v="Yes"/>
    <s v="Legal"/>
    <s v="Monday"/>
    <s v="Afternoon"/>
  </r>
  <r>
    <x v="448"/>
    <s v="2024-04-14 12:41:52"/>
    <x v="11"/>
    <s v="2024-04-24 02:59:52"/>
    <x v="251"/>
    <n v="10.6"/>
    <x v="1"/>
    <s v="Keyboard/Mouse"/>
    <s v="Medium"/>
    <n v="240"/>
    <x v="0"/>
    <s v="Portal"/>
    <s v="Tier 1"/>
    <x v="6"/>
    <x v="2"/>
    <s v="No"/>
    <s v="No"/>
    <n v="1"/>
    <s v="No"/>
    <n v="6"/>
    <n v="0.1"/>
    <n v="5.4"/>
    <s v="No"/>
    <s v="Fair"/>
    <s v="No"/>
    <s v="Sales"/>
    <s v="Tuesday"/>
    <s v="Evening"/>
  </r>
  <r>
    <x v="449"/>
    <s v="2024-01-15 00:56:15"/>
    <x v="3"/>
    <s v="2024-01-27 12:56:15"/>
    <x v="139"/>
    <n v="11.5"/>
    <x v="5"/>
    <s v="Training Request"/>
    <s v="Low"/>
    <n v="360"/>
    <x v="1"/>
    <s v="Portal"/>
    <s v="Tier 1"/>
    <x v="5"/>
    <x v="0"/>
    <s v="No"/>
    <s v="No"/>
    <n v="1"/>
    <s v="No"/>
    <n v="8"/>
    <n v="0.1"/>
    <n v="28.1"/>
    <s v="No"/>
    <s v="Fair"/>
    <s v="Yes"/>
    <s v="HR"/>
    <s v="Thursday"/>
    <s v="Morning"/>
  </r>
  <r>
    <x v="450"/>
    <s v="2024-10-04 00:26:26"/>
    <x v="2"/>
    <s v="2024-10-07 19:38:26"/>
    <x v="412"/>
    <n v="2.8"/>
    <x v="6"/>
    <s v="Distribution List"/>
    <s v="Critical"/>
    <n v="48"/>
    <x v="0"/>
    <s v="Chat"/>
    <s v="Tier 1"/>
    <x v="0"/>
    <x v="2"/>
    <s v="Yes"/>
    <s v="No"/>
    <n v="0"/>
    <s v="No"/>
    <n v="8"/>
    <n v="1.3"/>
    <n v="21.9"/>
    <s v="Yes"/>
    <s v="Excellent"/>
    <s v="Yes"/>
    <s v="Operations"/>
    <s v="Tuesday"/>
    <s v="Morning"/>
  </r>
  <r>
    <x v="451"/>
    <s v="2024-07-16 01:30:39"/>
    <x v="4"/>
    <s v="2024-07-31 11:06:39"/>
    <x v="413"/>
    <n v="14.4"/>
    <x v="3"/>
    <s v="Email Password"/>
    <s v="Medium"/>
    <n v="240"/>
    <x v="0"/>
    <s v="Phone"/>
    <s v="Tier 1"/>
    <x v="17"/>
    <x v="2"/>
    <s v="Yes"/>
    <s v="No"/>
    <n v="0"/>
    <s v="No"/>
    <n v="4"/>
    <n v="5.3"/>
    <n v="18.399999999999999"/>
    <s v="No"/>
    <s v="Poor"/>
    <s v="Yes"/>
    <s v="Executive"/>
    <s v="Monday"/>
    <s v="Afternoon"/>
  </r>
  <r>
    <x v="452"/>
    <s v="2024-02-01 20:33:46"/>
    <x v="6"/>
    <s v="2024-02-11 23:09:46"/>
    <x v="414"/>
    <n v="10.1"/>
    <x v="0"/>
    <s v="Admin Rights"/>
    <s v="Low"/>
    <n v="360"/>
    <x v="1"/>
    <s v="Phone"/>
    <s v="Tier 1"/>
    <x v="5"/>
    <x v="1"/>
    <s v="No"/>
    <s v="No"/>
    <n v="1"/>
    <s v="Yes"/>
    <n v="7"/>
    <n v="0.7"/>
    <n v="20.9"/>
    <s v="Yes"/>
    <s v="Fair"/>
    <s v="Yes"/>
    <s v="Sales"/>
    <s v="Monday"/>
    <s v="Afternoon"/>
  </r>
  <r>
    <x v="453"/>
    <s v="2024-02-08 02:24:00"/>
    <x v="6"/>
    <s v="2024-02-18 21:24:00"/>
    <x v="415"/>
    <n v="10.8"/>
    <x v="3"/>
    <s v="Email Password"/>
    <s v="Low"/>
    <n v="360"/>
    <x v="1"/>
    <s v="Portal"/>
    <s v="Tier 1"/>
    <x v="12"/>
    <x v="2"/>
    <s v="Yes"/>
    <s v="No"/>
    <n v="0"/>
    <s v="No"/>
    <n v="9"/>
    <n v="4"/>
    <n v="22.1"/>
    <s v="No"/>
    <s v="Good"/>
    <s v="Yes"/>
    <s v="Operations"/>
    <s v="Wednesday"/>
    <s v="Afternoon"/>
  </r>
  <r>
    <x v="454"/>
    <s v="2024-04-12 10:00:20"/>
    <x v="11"/>
    <s v="2024-04-20 18:06:20"/>
    <x v="416"/>
    <n v="8.3000000000000007"/>
    <x v="1"/>
    <s v="Docking Station"/>
    <s v="Medium"/>
    <n v="240"/>
    <x v="1"/>
    <s v="Phone"/>
    <s v="Tier 2"/>
    <x v="22"/>
    <x v="2"/>
    <s v="No"/>
    <s v="Yes"/>
    <n v="2"/>
    <s v="No"/>
    <n v="9"/>
    <n v="3.3"/>
    <n v="29.1"/>
    <s v="No"/>
    <s v="Excellent"/>
    <s v="No"/>
    <s v="Operations"/>
    <s v="Monday"/>
    <s v="Afternoon"/>
  </r>
  <r>
    <x v="455"/>
    <s v="2024-09-23 18:22:04"/>
    <x v="9"/>
    <s v="2024-09-30 07:28:04"/>
    <x v="417"/>
    <n v="6.5"/>
    <x v="3"/>
    <s v="Account Unlock"/>
    <s v="Medium"/>
    <n v="240"/>
    <x v="1"/>
    <s v="Email"/>
    <s v="Tier 1"/>
    <x v="15"/>
    <x v="2"/>
    <s v="Yes"/>
    <s v="No"/>
    <n v="0"/>
    <s v="No"/>
    <n v="9"/>
    <n v="2.2000000000000002"/>
    <n v="34.9"/>
    <s v="No"/>
    <s v="Fair"/>
    <s v="Yes"/>
    <s v="Sales"/>
    <s v="Thursday"/>
    <s v="Afternoon"/>
  </r>
  <r>
    <x v="456"/>
    <s v="2024-11-02 13:24:27"/>
    <x v="7"/>
    <s v="2024-11-10 13:54:27"/>
    <x v="418"/>
    <n v="8"/>
    <x v="7"/>
    <s v="Drivers"/>
    <s v="Medium"/>
    <n v="240"/>
    <x v="1"/>
    <s v="Portal"/>
    <s v="Tier 1"/>
    <x v="3"/>
    <x v="1"/>
    <s v="No"/>
    <s v="No"/>
    <n v="1"/>
    <s v="No"/>
    <n v="10"/>
    <n v="4.8"/>
    <n v="0"/>
    <s v="No"/>
    <s v="Fair"/>
    <s v="Yes"/>
    <s v="IT"/>
    <s v="Friday"/>
    <s v="Afternoon"/>
  </r>
  <r>
    <x v="457"/>
    <s v="2024-08-05 20:27:20"/>
    <x v="1"/>
    <s v="2024-08-12 10:39:20"/>
    <x v="398"/>
    <n v="6.6"/>
    <x v="2"/>
    <s v="VPN Connection"/>
    <s v="Medium"/>
    <n v="240"/>
    <x v="1"/>
    <s v="Walk-in"/>
    <s v="Tier 2"/>
    <x v="17"/>
    <x v="2"/>
    <s v="No"/>
    <s v="Yes"/>
    <n v="1"/>
    <s v="No"/>
    <n v="7"/>
    <n v="1.7"/>
    <n v="15.4"/>
    <s v="Yes"/>
    <s v="Fair"/>
    <s v="No"/>
    <s v="Sales"/>
    <s v="Monday"/>
    <s v="Afternoon"/>
  </r>
  <r>
    <x v="458"/>
    <s v="2024-03-28 15:07:03"/>
    <x v="5"/>
    <s v="2024-04-11 20:49:03"/>
    <x v="419"/>
    <n v="14.2"/>
    <x v="2"/>
    <s v="Ethernet"/>
    <s v="Low"/>
    <n v="360"/>
    <x v="1"/>
    <s v="Walk-in"/>
    <s v="Tier 1"/>
    <x v="8"/>
    <x v="2"/>
    <s v="No"/>
    <s v="No"/>
    <n v="1"/>
    <s v="No"/>
    <n v="10"/>
    <n v="3.3"/>
    <n v="12.1"/>
    <s v="Yes"/>
    <s v="Fair"/>
    <s v="Yes"/>
    <s v="IT"/>
    <s v="Wednesday"/>
    <s v="Evening"/>
  </r>
  <r>
    <x v="459"/>
    <s v="2024-07-06 16:43:52"/>
    <x v="4"/>
    <s v="2024-07-11 20:43:52"/>
    <x v="420"/>
    <n v="5.2"/>
    <x v="1"/>
    <s v="Printer"/>
    <s v="High"/>
    <n v="120"/>
    <x v="0"/>
    <s v="Phone"/>
    <s v="Tier 1"/>
    <x v="19"/>
    <x v="1"/>
    <s v="No"/>
    <s v="No"/>
    <n v="1"/>
    <s v="No"/>
    <n v="5"/>
    <n v="1.7"/>
    <n v="4.2"/>
    <s v="No"/>
    <s v="Fair"/>
    <s v="Yes"/>
    <s v="Legal"/>
    <s v="Monday"/>
    <s v="Afternoon"/>
  </r>
  <r>
    <x v="460"/>
    <s v="2024-05-08 07:21:49"/>
    <x v="8"/>
    <s v="2024-05-21 13:33:49"/>
    <x v="421"/>
    <n v="13.3"/>
    <x v="0"/>
    <s v="VPN Access"/>
    <s v="Medium"/>
    <n v="240"/>
    <x v="0"/>
    <s v="Chat"/>
    <s v="Tier 1"/>
    <x v="7"/>
    <x v="1"/>
    <s v="No"/>
    <s v="No"/>
    <n v="1"/>
    <s v="No"/>
    <n v="7"/>
    <n v="1"/>
    <n v="28.2"/>
    <s v="Yes"/>
    <s v="Excellent"/>
    <s v="No"/>
    <s v="Legal"/>
    <s v="Tuesday"/>
    <s v="Morning"/>
  </r>
  <r>
    <x v="461"/>
    <s v="2024-03-29 13:40:06"/>
    <x v="5"/>
    <s v="2024-04-06 18:10:06"/>
    <x v="422"/>
    <n v="8.1"/>
    <x v="6"/>
    <s v="Cannot Send/Receive"/>
    <s v="Medium"/>
    <n v="240"/>
    <x v="1"/>
    <s v="Email"/>
    <s v="Tier 2"/>
    <x v="18"/>
    <x v="2"/>
    <s v="No"/>
    <s v="Yes"/>
    <n v="2"/>
    <s v="No"/>
    <n v="10"/>
    <n v="0.1"/>
    <n v="37.6"/>
    <s v="No"/>
    <s v="Excellent"/>
    <s v="Yes"/>
    <s v="Marketing"/>
    <s v="Friday"/>
    <s v="Evening"/>
  </r>
  <r>
    <x v="462"/>
    <s v="2024-09-13 17:28:03"/>
    <x v="9"/>
    <s v="2024-09-26 04:58:03"/>
    <x v="423"/>
    <n v="12.5"/>
    <x v="0"/>
    <s v="Admin Rights"/>
    <s v="Medium"/>
    <n v="240"/>
    <x v="0"/>
    <s v="Portal"/>
    <s v="Tier 1"/>
    <x v="19"/>
    <x v="0"/>
    <s v="Yes"/>
    <s v="No"/>
    <n v="0"/>
    <s v="No"/>
    <n v="6"/>
    <n v="2"/>
    <n v="18.600000000000001"/>
    <s v="No"/>
    <s v="Fair"/>
    <s v="No"/>
    <s v="Operations"/>
    <s v="Friday"/>
    <s v="Evening"/>
  </r>
  <r>
    <x v="463"/>
    <s v="2024-03-09 23:54:45"/>
    <x v="5"/>
    <s v="2024-03-18 02:42:45"/>
    <x v="424"/>
    <n v="8.1"/>
    <x v="5"/>
    <s v="Documentation"/>
    <s v="Medium"/>
    <n v="240"/>
    <x v="1"/>
    <s v="Portal"/>
    <s v="Tier 2"/>
    <x v="20"/>
    <x v="0"/>
    <s v="No"/>
    <s v="Yes"/>
    <n v="1"/>
    <s v="No"/>
    <n v="8"/>
    <n v="2.8"/>
    <n v="0"/>
    <s v="Yes"/>
    <s v="Poor"/>
    <s v="No"/>
    <s v="Sales"/>
    <s v="Friday"/>
    <s v="Afternoon"/>
  </r>
  <r>
    <x v="464"/>
    <s v="2024-10-29 05:46:14"/>
    <x v="2"/>
    <s v="2024-11-09 00:10:14"/>
    <x v="425"/>
    <n v="11.8"/>
    <x v="5"/>
    <s v="Documentation"/>
    <s v="Low"/>
    <n v="360"/>
    <x v="1"/>
    <s v="Portal"/>
    <s v="Tier 1"/>
    <x v="6"/>
    <x v="2"/>
    <s v="No"/>
    <s v="No"/>
    <n v="1"/>
    <s v="Yes"/>
    <n v="10"/>
    <n v="3.8"/>
    <n v="19.8"/>
    <s v="Yes"/>
    <s v="Poor"/>
    <s v="Yes"/>
    <s v="IT"/>
    <s v="Tuesday"/>
    <s v="Afternoon"/>
  </r>
  <r>
    <x v="465"/>
    <s v="2024-12-20 21:16:57"/>
    <x v="0"/>
    <s v="2024-12-27 05:58:57"/>
    <x v="426"/>
    <n v="6.4"/>
    <x v="0"/>
    <s v="File Share"/>
    <s v="Medium"/>
    <n v="240"/>
    <x v="1"/>
    <s v="Phone"/>
    <s v="Tier 1"/>
    <x v="18"/>
    <x v="1"/>
    <s v="No"/>
    <s v="No"/>
    <n v="1"/>
    <s v="No"/>
    <n v="10"/>
    <n v="2.1"/>
    <n v="4.3"/>
    <s v="Yes"/>
    <s v="Poor"/>
    <s v="Yes"/>
    <s v="Marketing"/>
    <s v="Tuesday"/>
    <s v="Evening"/>
  </r>
  <r>
    <x v="466"/>
    <s v="2024-06-28 10:15:59"/>
    <x v="10"/>
    <s v="2024-07-08 19:45:59"/>
    <x v="427"/>
    <n v="10.4"/>
    <x v="5"/>
    <s v="Training Request"/>
    <s v="Low"/>
    <n v="360"/>
    <x v="1"/>
    <s v="Walk-in"/>
    <s v="Tier 1"/>
    <x v="13"/>
    <x v="1"/>
    <s v="Yes"/>
    <s v="No"/>
    <n v="0"/>
    <s v="No"/>
    <n v="10"/>
    <n v="1"/>
    <n v="31.3"/>
    <s v="No"/>
    <s v="Fair"/>
    <s v="No"/>
    <s v="Operations"/>
    <s v="Friday"/>
    <s v="Morning"/>
  </r>
  <r>
    <x v="467"/>
    <s v="2024-07-03 19:50:16"/>
    <x v="4"/>
    <s v="2024-07-15 23:02:16"/>
    <x v="428"/>
    <n v="12.1"/>
    <x v="5"/>
    <s v="Documentation"/>
    <s v="Low"/>
    <n v="360"/>
    <x v="1"/>
    <s v="Phone"/>
    <s v="Tier 1"/>
    <x v="2"/>
    <x v="2"/>
    <s v="Yes"/>
    <s v="No"/>
    <n v="0"/>
    <s v="No"/>
    <n v="9"/>
    <n v="1.3"/>
    <n v="17.899999999999999"/>
    <s v="No"/>
    <s v="Fair"/>
    <s v="No"/>
    <s v="HR"/>
    <s v="Monday"/>
    <s v="Morning"/>
  </r>
  <r>
    <x v="468"/>
    <s v="2024-07-04 17:44:05"/>
    <x v="4"/>
    <s v="2024-07-17 07:14:05"/>
    <x v="429"/>
    <n v="12.6"/>
    <x v="3"/>
    <s v="Windows Password"/>
    <s v="Low"/>
    <n v="360"/>
    <x v="1"/>
    <s v="Portal"/>
    <s v="Tier 1"/>
    <x v="19"/>
    <x v="0"/>
    <s v="No"/>
    <s v="No"/>
    <n v="1"/>
    <s v="No"/>
    <n v="7"/>
    <n v="0.1"/>
    <n v="14.3"/>
    <s v="No"/>
    <s v="Good"/>
    <s v="Yes"/>
    <s v="Sales"/>
    <s v="Thursday"/>
    <s v="Evening"/>
  </r>
  <r>
    <x v="469"/>
    <s v="2024-10-26 05:20:11"/>
    <x v="2"/>
    <s v="2024-10-30 21:02:11"/>
    <x v="430"/>
    <n v="4.7"/>
    <x v="1"/>
    <s v="Printer"/>
    <s v="High"/>
    <n v="120"/>
    <x v="1"/>
    <s v="Email"/>
    <s v="Tier 2"/>
    <x v="8"/>
    <x v="1"/>
    <s v="No"/>
    <s v="Yes"/>
    <n v="1"/>
    <s v="No"/>
    <n v="8"/>
    <n v="2.2999999999999998"/>
    <n v="21.7"/>
    <s v="Yes"/>
    <s v="Fair"/>
    <s v="Yes"/>
    <s v="Legal"/>
    <s v="Tuesday"/>
    <s v="Morning"/>
  </r>
  <r>
    <x v="470"/>
    <s v="2024-06-19 12:27:37"/>
    <x v="10"/>
    <s v="2024-06-22 01:45:37"/>
    <x v="431"/>
    <n v="3.6"/>
    <x v="1"/>
    <s v="Printer"/>
    <s v="High"/>
    <n v="120"/>
    <x v="1"/>
    <s v="Phone"/>
    <s v="Tier 2"/>
    <x v="16"/>
    <x v="0"/>
    <s v="No"/>
    <s v="Yes"/>
    <n v="4"/>
    <s v="Yes"/>
    <n v="7"/>
    <n v="1.2"/>
    <n v="11.6"/>
    <s v="Yes"/>
    <s v="Fair"/>
    <s v="Yes"/>
    <s v="Legal"/>
    <s v="Monday"/>
    <s v="Morning"/>
  </r>
  <r>
    <x v="471"/>
    <s v="2024-04-30 05:10:19"/>
    <x v="11"/>
    <s v="2024-05-09 13:34:19"/>
    <x v="432"/>
    <n v="9.4"/>
    <x v="5"/>
    <s v="General Inquiry"/>
    <s v="Medium"/>
    <n v="240"/>
    <x v="1"/>
    <s v="Walk-in"/>
    <s v="Tier 1"/>
    <x v="17"/>
    <x v="0"/>
    <s v="No"/>
    <s v="No"/>
    <n v="1"/>
    <s v="No"/>
    <n v="7"/>
    <n v="0.1"/>
    <n v="12.2"/>
    <s v="No"/>
    <s v="Fair"/>
    <s v="No"/>
    <s v="HR"/>
    <s v="Monday"/>
    <s v="Morning"/>
  </r>
  <r>
    <x v="472"/>
    <s v="2024-11-24 11:59:59"/>
    <x v="7"/>
    <s v="2024-12-01 21:29:59"/>
    <x v="433"/>
    <n v="7.4"/>
    <x v="1"/>
    <s v="Desktop"/>
    <s v="Medium"/>
    <n v="240"/>
    <x v="1"/>
    <s v="Phone"/>
    <s v="Tier 1"/>
    <x v="18"/>
    <x v="2"/>
    <s v="Yes"/>
    <s v="No"/>
    <n v="0"/>
    <s v="Yes"/>
    <n v="10"/>
    <n v="2"/>
    <n v="21"/>
    <s v="Yes"/>
    <s v="Fair"/>
    <s v="Yes"/>
    <s v="Marketing"/>
    <s v="Tuesday"/>
    <s v="Afternoon"/>
  </r>
  <r>
    <x v="473"/>
    <s v="2024-05-12 08:53:49"/>
    <x v="8"/>
    <s v="2024-05-22 18:53:49"/>
    <x v="434"/>
    <n v="10.4"/>
    <x v="3"/>
    <s v="Windows Password"/>
    <s v="Low"/>
    <n v="360"/>
    <x v="1"/>
    <s v="Portal"/>
    <s v="Tier 1"/>
    <x v="0"/>
    <x v="2"/>
    <s v="Yes"/>
    <s v="No"/>
    <n v="0"/>
    <s v="Yes"/>
    <n v="9"/>
    <n v="5.7"/>
    <n v="3"/>
    <s v="Yes"/>
    <s v="Good"/>
    <s v="Yes"/>
    <s v="Finance"/>
    <s v="Monday"/>
    <s v="Morning"/>
  </r>
  <r>
    <x v="474"/>
    <s v="2024-01-09 06:07:53"/>
    <x v="3"/>
    <s v="2024-01-18 16:55:53"/>
    <x v="383"/>
    <n v="9.5"/>
    <x v="3"/>
    <s v="Windows Password"/>
    <s v="Low"/>
    <n v="360"/>
    <x v="1"/>
    <s v="Email"/>
    <s v="Tier 1"/>
    <x v="10"/>
    <x v="2"/>
    <s v="Yes"/>
    <s v="No"/>
    <n v="0"/>
    <s v="No"/>
    <n v="9"/>
    <n v="3.9"/>
    <n v="15.6"/>
    <s v="No"/>
    <s v="Good"/>
    <s v="Yes"/>
    <s v="Legal"/>
    <s v="Friday"/>
    <s v="Evening"/>
  </r>
  <r>
    <x v="475"/>
    <s v="2024-03-19 01:03:26"/>
    <x v="5"/>
    <s v="2024-03-24 10:51:26"/>
    <x v="435"/>
    <n v="4.4000000000000004"/>
    <x v="4"/>
    <s v="Login Issues"/>
    <s v="High"/>
    <n v="120"/>
    <x v="1"/>
    <s v="Chat"/>
    <s v="Tier 1"/>
    <x v="2"/>
    <x v="2"/>
    <s v="No"/>
    <s v="No"/>
    <n v="1"/>
    <s v="Yes"/>
    <n v="7"/>
    <n v="1.1000000000000001"/>
    <n v="42"/>
    <s v="Yes"/>
    <s v="Fair"/>
    <s v="Yes"/>
    <s v="Executive"/>
    <s v="Wednesday"/>
    <s v="Afternoon"/>
  </r>
  <r>
    <x v="476"/>
    <s v="2024-09-29 17:37:27"/>
    <x v="9"/>
    <s v="2024-10-02 06:01:27"/>
    <x v="436"/>
    <n v="2.5"/>
    <x v="2"/>
    <s v="VPN Connection"/>
    <s v="Critical"/>
    <n v="48"/>
    <x v="0"/>
    <s v="Phone"/>
    <s v="Tier 1"/>
    <x v="9"/>
    <x v="2"/>
    <s v="No"/>
    <s v="No"/>
    <n v="1"/>
    <s v="No"/>
    <n v="2"/>
    <n v="4.0999999999999996"/>
    <n v="18.3"/>
    <s v="No"/>
    <s v="Poor"/>
    <s v="Yes"/>
    <s v="Executive"/>
    <s v="Friday"/>
    <s v="Afternoon"/>
  </r>
  <r>
    <x v="477"/>
    <s v="2024-01-16 12:40:00"/>
    <x v="3"/>
    <s v="2024-01-21 20:10:00"/>
    <x v="437"/>
    <n v="5.3"/>
    <x v="1"/>
    <s v="Desktop"/>
    <s v="High"/>
    <n v="120"/>
    <x v="0"/>
    <s v="Phone"/>
    <s v="Tier 2"/>
    <x v="5"/>
    <x v="2"/>
    <s v="No"/>
    <s v="Yes"/>
    <n v="4"/>
    <s v="No"/>
    <n v="6"/>
    <n v="4.8"/>
    <n v="0"/>
    <s v="Yes"/>
    <s v="Poor"/>
    <s v="Yes"/>
    <s v="Marketing"/>
    <s v="Friday"/>
    <s v="Afternoon"/>
  </r>
  <r>
    <x v="478"/>
    <s v="2024-07-14 19:52:19"/>
    <x v="4"/>
    <s v="2024-07-21 00:46:19"/>
    <x v="438"/>
    <n v="7.2"/>
    <x v="0"/>
    <s v="Admin Rights"/>
    <s v="Medium"/>
    <n v="240"/>
    <x v="1"/>
    <s v="Walk-in"/>
    <s v="Tier 1"/>
    <x v="18"/>
    <x v="1"/>
    <s v="Yes"/>
    <s v="No"/>
    <n v="0"/>
    <s v="Yes"/>
    <n v="9"/>
    <n v="0.1"/>
    <n v="12.8"/>
    <s v="Yes"/>
    <s v="Good"/>
    <s v="Yes"/>
    <s v="Marketing"/>
    <s v="Thursday"/>
    <s v="Morning"/>
  </r>
  <r>
    <x v="479"/>
    <s v="2024-03-12 08:10:52"/>
    <x v="5"/>
    <s v="2024-03-20 22:52:52"/>
    <x v="439"/>
    <n v="8.6"/>
    <x v="4"/>
    <s v="Crash"/>
    <s v="Medium"/>
    <n v="240"/>
    <x v="1"/>
    <s v="Phone"/>
    <s v="Tier 1"/>
    <x v="6"/>
    <x v="1"/>
    <s v="No"/>
    <s v="No"/>
    <n v="1"/>
    <s v="No"/>
    <n v="9"/>
    <n v="0.7"/>
    <n v="0"/>
    <s v="Yes"/>
    <s v="Excellent"/>
    <s v="Yes"/>
    <s v="Operations"/>
    <s v="Monday"/>
    <s v="Morning"/>
  </r>
  <r>
    <x v="480"/>
    <s v="2024-03-23 03:58:16"/>
    <x v="5"/>
    <s v="2024-04-03 18:46:16"/>
    <x v="440"/>
    <n v="11.6"/>
    <x v="0"/>
    <s v="Admin Rights"/>
    <s v="Medium"/>
    <n v="240"/>
    <x v="0"/>
    <s v="Portal"/>
    <s v="Tier 1"/>
    <x v="11"/>
    <x v="1"/>
    <s v="Yes"/>
    <s v="No"/>
    <n v="0"/>
    <s v="No"/>
    <n v="7"/>
    <n v="2.7"/>
    <n v="33.700000000000003"/>
    <s v="Yes"/>
    <s v="Fair"/>
    <s v="No"/>
    <s v="HR"/>
    <s v="Wednesday"/>
    <s v="Morning"/>
  </r>
  <r>
    <x v="481"/>
    <s v="2024-06-28 21:01:52"/>
    <x v="10"/>
    <s v="2024-07-07 06:19:52"/>
    <x v="441"/>
    <n v="8.4"/>
    <x v="7"/>
    <s v="VPN Client"/>
    <s v="Medium"/>
    <n v="240"/>
    <x v="1"/>
    <s v="Portal"/>
    <s v="Tier 1"/>
    <x v="12"/>
    <x v="2"/>
    <s v="No"/>
    <s v="No"/>
    <n v="1"/>
    <s v="No"/>
    <n v="9"/>
    <n v="2.1"/>
    <n v="0"/>
    <s v="No"/>
    <s v="Excellent"/>
    <s v="Yes"/>
    <s v="HR"/>
    <s v="Tuesday"/>
    <s v="Morning"/>
  </r>
  <r>
    <x v="482"/>
    <s v="2024-06-26 10:35:21"/>
    <x v="10"/>
    <s v="2024-07-17 05:05:21"/>
    <x v="442"/>
    <n v="20.8"/>
    <x v="6"/>
    <s v="Calendar Sync"/>
    <s v="Medium"/>
    <n v="240"/>
    <x v="0"/>
    <s v="Phone"/>
    <s v="Tier 1"/>
    <x v="24"/>
    <x v="2"/>
    <s v="No"/>
    <s v="No"/>
    <n v="1"/>
    <s v="No"/>
    <n v="5"/>
    <n v="0.1"/>
    <n v="22.4"/>
    <s v="Yes"/>
    <s v="Poor"/>
    <s v="Yes"/>
    <s v="HR"/>
    <s v="Monday"/>
    <s v="Morning"/>
  </r>
  <r>
    <x v="483"/>
    <s v="2024-09-23 08:29:53"/>
    <x v="9"/>
    <s v="2024-10-13 10:47:53"/>
    <x v="443"/>
    <n v="20.100000000000001"/>
    <x v="7"/>
    <s v="MS Office"/>
    <s v="Low"/>
    <n v="360"/>
    <x v="0"/>
    <s v="Phone"/>
    <s v="Tier 1"/>
    <x v="14"/>
    <x v="2"/>
    <s v="No"/>
    <s v="No"/>
    <n v="1"/>
    <s v="No"/>
    <n v="6"/>
    <n v="3.6"/>
    <n v="0"/>
    <s v="Yes"/>
    <s v="Good"/>
    <s v="Yes"/>
    <s v="Marketing"/>
    <s v="Friday"/>
    <s v="Morning"/>
  </r>
  <r>
    <x v="484"/>
    <s v="2024-11-13 01:17:30"/>
    <x v="7"/>
    <s v="2024-11-20 08:41:30"/>
    <x v="444"/>
    <n v="6.3"/>
    <x v="6"/>
    <s v="Cannot Send/Receive"/>
    <s v="Medium"/>
    <n v="240"/>
    <x v="1"/>
    <s v="Email"/>
    <s v="Tier 1"/>
    <x v="7"/>
    <x v="2"/>
    <s v="Yes"/>
    <s v="No"/>
    <n v="0"/>
    <s v="No"/>
    <n v="10"/>
    <n v="2.2000000000000002"/>
    <n v="1.4"/>
    <s v="Yes"/>
    <s v="Poor"/>
    <s v="Yes"/>
    <s v="Legal"/>
    <s v="Friday"/>
    <s v="Afternoon"/>
  </r>
  <r>
    <x v="485"/>
    <s v="2024-02-13 03:18:52"/>
    <x v="6"/>
    <s v="2024-02-21 04:06:52"/>
    <x v="384"/>
    <n v="8"/>
    <x v="0"/>
    <s v="VPN Access"/>
    <s v="Medium"/>
    <n v="240"/>
    <x v="1"/>
    <s v="Walk-in"/>
    <s v="Tier 1"/>
    <x v="1"/>
    <x v="1"/>
    <s v="No"/>
    <s v="No"/>
    <n v="1"/>
    <s v="No"/>
    <n v="7"/>
    <n v="2.4"/>
    <n v="30"/>
    <s v="No"/>
    <s v="Poor"/>
    <s v="Yes"/>
    <s v="Executive"/>
    <s v="Wednesday"/>
    <s v="Evening"/>
  </r>
  <r>
    <x v="486"/>
    <s v="2024-12-11 17:44:33"/>
    <x v="0"/>
    <s v="2024-12-18 14:44:33"/>
    <x v="63"/>
    <n v="6.9"/>
    <x v="6"/>
    <s v="Cannot Send/Receive"/>
    <s v="High"/>
    <n v="120"/>
    <x v="0"/>
    <s v="Walk-in"/>
    <s v="Tier 1"/>
    <x v="21"/>
    <x v="1"/>
    <s v="No"/>
    <s v="No"/>
    <n v="1"/>
    <s v="Yes"/>
    <n v="5"/>
    <n v="1.8"/>
    <n v="18.3"/>
    <s v="Yes"/>
    <s v="Fair"/>
    <s v="No"/>
    <s v="Finance"/>
    <s v="Monday"/>
    <s v="Morning"/>
  </r>
  <r>
    <x v="487"/>
    <s v="2024-09-13 09:01:05"/>
    <x v="9"/>
    <s v="2024-09-19 18:49:05"/>
    <x v="445"/>
    <n v="6.4"/>
    <x v="0"/>
    <s v="Admin Rights"/>
    <s v="Medium"/>
    <n v="240"/>
    <x v="1"/>
    <s v="Phone"/>
    <s v="Tier 2"/>
    <x v="11"/>
    <x v="1"/>
    <s v="No"/>
    <s v="Yes"/>
    <n v="1"/>
    <s v="No"/>
    <n v="9"/>
    <n v="3.9"/>
    <n v="22.9"/>
    <s v="Yes"/>
    <s v="Good"/>
    <s v="Yes"/>
    <s v="Sales"/>
    <s v="Tuesday"/>
    <s v="Evening"/>
  </r>
  <r>
    <x v="488"/>
    <s v="2024-06-16 17:32:01"/>
    <x v="10"/>
    <s v="2024-07-18 23:56:01"/>
    <x v="446"/>
    <n v="32.299999999999997"/>
    <x v="0"/>
    <s v="Admin Rights"/>
    <s v="Low"/>
    <n v="360"/>
    <x v="0"/>
    <s v="Walk-in"/>
    <s v="Tier 2"/>
    <x v="7"/>
    <x v="2"/>
    <s v="No"/>
    <s v="Yes"/>
    <n v="2"/>
    <s v="No"/>
    <n v="6"/>
    <n v="2"/>
    <n v="19.3"/>
    <s v="Yes"/>
    <s v="Good"/>
    <s v="Yes"/>
    <s v="IT"/>
    <s v="Friday"/>
    <s v="Morning"/>
  </r>
  <r>
    <x v="489"/>
    <s v="2024-03-13 16:07:21"/>
    <x v="5"/>
    <s v="2024-03-26 22:31:21"/>
    <x v="447"/>
    <n v="13.3"/>
    <x v="1"/>
    <s v="Keyboard/Mouse"/>
    <s v="High"/>
    <n v="120"/>
    <x v="0"/>
    <s v="Email"/>
    <s v="Tier 1"/>
    <x v="1"/>
    <x v="2"/>
    <s v="No"/>
    <s v="No"/>
    <n v="1"/>
    <s v="Yes"/>
    <n v="5"/>
    <n v="2.1"/>
    <n v="11.3"/>
    <s v="Yes"/>
    <s v="Good"/>
    <s v="Yes"/>
    <s v="Marketing"/>
    <s v="Monday"/>
    <s v="Evening"/>
  </r>
  <r>
    <x v="490"/>
    <s v="2024-04-26 23:19:32"/>
    <x v="11"/>
    <s v="2024-04-30 04:07:32"/>
    <x v="448"/>
    <n v="3.2"/>
    <x v="1"/>
    <s v="Docking Station"/>
    <s v="High"/>
    <n v="120"/>
    <x v="1"/>
    <s v="Portal"/>
    <s v="Tier 1"/>
    <x v="12"/>
    <x v="2"/>
    <s v="Yes"/>
    <s v="No"/>
    <n v="0"/>
    <s v="No"/>
    <n v="8"/>
    <n v="4.3"/>
    <n v="30.8"/>
    <s v="No"/>
    <s v="Fair"/>
    <s v="Yes"/>
    <s v="Legal"/>
    <s v="Wednesday"/>
    <s v="Morning"/>
  </r>
  <r>
    <x v="491"/>
    <s v="2024-09-08 22:59:41"/>
    <x v="9"/>
    <s v="2024-09-23 03:29:41"/>
    <x v="449"/>
    <n v="14.2"/>
    <x v="4"/>
    <s v="Performance"/>
    <s v="High"/>
    <n v="120"/>
    <x v="0"/>
    <s v="Walk-in"/>
    <s v="Tier 1"/>
    <x v="22"/>
    <x v="0"/>
    <s v="No"/>
    <s v="No"/>
    <n v="1"/>
    <s v="No"/>
    <n v="7"/>
    <n v="1.5"/>
    <n v="20.9"/>
    <s v="Yes"/>
    <s v="Fair"/>
    <s v="Yes"/>
    <s v="Marketing"/>
    <s v="Wednesday"/>
    <s v="Morning"/>
  </r>
  <r>
    <x v="492"/>
    <s v="2024-08-23 01:58:58"/>
    <x v="1"/>
    <s v="2024-08-27 23:22:58"/>
    <x v="450"/>
    <n v="3.9"/>
    <x v="5"/>
    <s v="General Inquiry"/>
    <s v="High"/>
    <n v="120"/>
    <x v="1"/>
    <s v="Phone"/>
    <s v="Tier 2"/>
    <x v="18"/>
    <x v="1"/>
    <s v="No"/>
    <s v="Yes"/>
    <n v="3"/>
    <s v="No"/>
    <n v="7"/>
    <n v="2.5"/>
    <n v="21.8"/>
    <s v="No"/>
    <s v="Poor"/>
    <s v="Yes"/>
    <s v="HR"/>
    <s v="Friday"/>
    <s v="Afternoon"/>
  </r>
  <r>
    <x v="493"/>
    <s v="2024-04-01 13:08:38"/>
    <x v="11"/>
    <s v="2024-04-08 00:26:38"/>
    <x v="166"/>
    <n v="7.5"/>
    <x v="1"/>
    <s v="Laptop"/>
    <s v="Medium"/>
    <n v="240"/>
    <x v="1"/>
    <s v="Portal"/>
    <s v="Tier 2"/>
    <x v="4"/>
    <x v="1"/>
    <s v="No"/>
    <s v="Yes"/>
    <n v="3"/>
    <s v="Yes"/>
    <n v="5"/>
    <n v="2.9"/>
    <n v="0"/>
    <s v="Yes"/>
    <s v="Excellent"/>
    <s v="Yes"/>
    <s v="Operations"/>
    <s v="Monday"/>
    <s v="Afternoon"/>
  </r>
  <r>
    <x v="494"/>
    <s v="2024-09-15 05:45:43"/>
    <x v="9"/>
    <s v="2024-09-19 07:45:43"/>
    <x v="451"/>
    <n v="4.0999999999999996"/>
    <x v="0"/>
    <s v="Admin Rights"/>
    <s v="High"/>
    <n v="120"/>
    <x v="1"/>
    <s v="Chat"/>
    <s v="Tier 1"/>
    <x v="8"/>
    <x v="0"/>
    <s v="No"/>
    <s v="No"/>
    <n v="1"/>
    <s v="No"/>
    <n v="6"/>
    <n v="5.0999999999999996"/>
    <n v="13"/>
    <s v="Yes"/>
    <s v="Poor"/>
    <s v="Yes"/>
    <s v="IT"/>
    <s v="Monday"/>
    <s v="Afternoon"/>
  </r>
  <r>
    <x v="495"/>
    <s v="2024-11-25 23:44:24"/>
    <x v="7"/>
    <s v="2024-11-29 14:50:24"/>
    <x v="452"/>
    <n v="3.6"/>
    <x v="4"/>
    <s v="Features Not Working"/>
    <s v="High"/>
    <n v="120"/>
    <x v="1"/>
    <s v="Walk-in"/>
    <s v="Tier 1"/>
    <x v="12"/>
    <x v="1"/>
    <s v="No"/>
    <s v="No"/>
    <n v="1"/>
    <s v="No"/>
    <n v="8"/>
    <n v="3.3"/>
    <n v="23.9"/>
    <s v="Yes"/>
    <s v="Good"/>
    <s v="Yes"/>
    <s v="Finance"/>
    <s v="Wednesday"/>
    <s v="Morning"/>
  </r>
  <r>
    <x v="496"/>
    <s v="2024-02-27 07:34:51"/>
    <x v="6"/>
    <s v="2024-03-05 08:04:51"/>
    <x v="453"/>
    <n v="7"/>
    <x v="1"/>
    <s v="Laptop"/>
    <s v="High"/>
    <n v="120"/>
    <x v="0"/>
    <s v="Portal"/>
    <s v="Tier 2"/>
    <x v="4"/>
    <x v="2"/>
    <s v="No"/>
    <s v="Yes"/>
    <n v="4"/>
    <s v="Yes"/>
    <n v="7"/>
    <n v="1.9"/>
    <n v="54.1"/>
    <s v="No"/>
    <s v="Excellent"/>
    <s v="Yes"/>
    <s v="Legal"/>
    <s v="Monday"/>
    <s v="Morning"/>
  </r>
  <r>
    <x v="497"/>
    <s v="2024-09-17 16:29:32"/>
    <x v="9"/>
    <s v="2024-09-30 22:29:32"/>
    <x v="454"/>
    <n v="13.3"/>
    <x v="3"/>
    <s v="Application Password"/>
    <s v="Low"/>
    <n v="360"/>
    <x v="1"/>
    <s v="Portal"/>
    <s v="Tier 1"/>
    <x v="16"/>
    <x v="2"/>
    <s v="No"/>
    <s v="No"/>
    <n v="1"/>
    <s v="No"/>
    <n v="6"/>
    <n v="2.6"/>
    <n v="20.7"/>
    <s v="Yes"/>
    <s v="Fair"/>
    <s v="Yes"/>
    <s v="Marketing"/>
    <s v="Monday"/>
    <s v="Afternoon"/>
  </r>
  <r>
    <x v="498"/>
    <s v="2024-01-04 04:53:00"/>
    <x v="3"/>
    <s v="2024-01-08 19:29:00"/>
    <x v="455"/>
    <n v="4.5999999999999996"/>
    <x v="6"/>
    <s v="Distribution List"/>
    <s v="High"/>
    <n v="120"/>
    <x v="1"/>
    <s v="Portal"/>
    <s v="Tier 2"/>
    <x v="22"/>
    <x v="0"/>
    <s v="No"/>
    <s v="Yes"/>
    <n v="2"/>
    <s v="No"/>
    <n v="8"/>
    <n v="1.2"/>
    <n v="24.3"/>
    <s v="Yes"/>
    <s v="Poor"/>
    <s v="No"/>
    <s v="Finance"/>
    <s v="Wednesday"/>
    <s v="Morning"/>
  </r>
  <r>
    <x v="499"/>
    <s v="2024-11-18 12:36:34"/>
    <x v="7"/>
    <s v="2024-11-26 22:06:34"/>
    <x v="456"/>
    <n v="8.4"/>
    <x v="2"/>
    <s v="WiFi Issues"/>
    <s v="Medium"/>
    <n v="240"/>
    <x v="1"/>
    <s v="Walk-in"/>
    <s v="Tier 2"/>
    <x v="18"/>
    <x v="1"/>
    <s v="No"/>
    <s v="Yes"/>
    <n v="3"/>
    <s v="No"/>
    <n v="9"/>
    <n v="1.6"/>
    <n v="39.299999999999997"/>
    <s v="No"/>
    <s v="Good"/>
    <s v="No"/>
    <s v="Sales"/>
    <s v="Monday"/>
    <s v="Morning"/>
  </r>
  <r>
    <x v="500"/>
    <s v="2024-08-26 09:19:14"/>
    <x v="1"/>
    <s v="2024-09-06 20:25:14"/>
    <x v="457"/>
    <n v="11.5"/>
    <x v="6"/>
    <s v="Mailbox Full"/>
    <s v="Low"/>
    <n v="360"/>
    <x v="1"/>
    <s v="Chat"/>
    <s v="Tier 2"/>
    <x v="15"/>
    <x v="1"/>
    <s v="No"/>
    <s v="Yes"/>
    <n v="2"/>
    <s v="Yes"/>
    <n v="8"/>
    <n v="5.9"/>
    <n v="9.3000000000000007"/>
    <s v="No"/>
    <s v="Good"/>
    <s v="No"/>
    <s v="HR"/>
    <s v="Monday"/>
    <s v="Afternoon"/>
  </r>
  <r>
    <x v="501"/>
    <s v="2024-12-27 01:04:04"/>
    <x v="0"/>
    <s v="2025-01-05 00:04:04"/>
    <x v="458"/>
    <n v="9"/>
    <x v="7"/>
    <s v="Business Apps"/>
    <s v="Medium"/>
    <n v="240"/>
    <x v="1"/>
    <s v="Email"/>
    <s v="Tier 2"/>
    <x v="24"/>
    <x v="1"/>
    <s v="No"/>
    <s v="Yes"/>
    <n v="3"/>
    <s v="Yes"/>
    <n v="8"/>
    <n v="2.9"/>
    <n v="11.2"/>
    <s v="Yes"/>
    <s v="Poor"/>
    <s v="Yes"/>
    <s v="Finance"/>
    <s v="Friday"/>
    <s v="Morning"/>
  </r>
  <r>
    <x v="502"/>
    <s v="2024-09-17 02:42:46"/>
    <x v="9"/>
    <s v="2024-09-27 11:12:46"/>
    <x v="459"/>
    <n v="9.4"/>
    <x v="0"/>
    <s v="Admin Rights"/>
    <s v="Medium"/>
    <n v="240"/>
    <x v="1"/>
    <s v="Walk-in"/>
    <s v="Tier 1"/>
    <x v="16"/>
    <x v="1"/>
    <s v="No"/>
    <s v="No"/>
    <n v="1"/>
    <s v="No"/>
    <n v="9"/>
    <n v="2.6"/>
    <n v="30.5"/>
    <s v="Yes"/>
    <s v="Good"/>
    <s v="No"/>
    <s v="Sales"/>
    <s v="Wednesday"/>
    <s v="Morning"/>
  </r>
  <r>
    <x v="503"/>
    <s v="2024-01-30 20:39:29"/>
    <x v="3"/>
    <s v="2024-02-07 21:33:29"/>
    <x v="460"/>
    <n v="8"/>
    <x v="7"/>
    <s v="MS Office"/>
    <s v="Medium"/>
    <n v="240"/>
    <x v="1"/>
    <s v="Chat"/>
    <s v="Tier 1"/>
    <x v="23"/>
    <x v="0"/>
    <s v="Yes"/>
    <s v="No"/>
    <n v="0"/>
    <s v="No"/>
    <n v="10"/>
    <n v="3.8"/>
    <n v="29.5"/>
    <s v="Yes"/>
    <s v="Excellent"/>
    <s v="Yes"/>
    <s v="Sales"/>
    <s v="Friday"/>
    <s v="Morning"/>
  </r>
  <r>
    <x v="504"/>
    <s v="2024-04-09 00:35:52"/>
    <x v="11"/>
    <s v="2024-04-15 10:05:52"/>
    <x v="461"/>
    <n v="5.4"/>
    <x v="2"/>
    <s v="Ethernet"/>
    <s v="High"/>
    <n v="120"/>
    <x v="0"/>
    <s v="Walk-in"/>
    <s v="Tier 1"/>
    <x v="7"/>
    <x v="2"/>
    <s v="No"/>
    <s v="No"/>
    <n v="1"/>
    <s v="No"/>
    <n v="7"/>
    <n v="0.1"/>
    <n v="26.3"/>
    <s v="Yes"/>
    <s v="Poor"/>
    <s v="No"/>
    <s v="HR"/>
    <s v="Tuesday"/>
    <s v="Evening"/>
  </r>
  <r>
    <x v="505"/>
    <s v="2024-01-16 15:22:02"/>
    <x v="3"/>
    <s v="2024-01-29 17:52:02"/>
    <x v="462"/>
    <n v="13.1"/>
    <x v="6"/>
    <s v="Cannot Send/Receive"/>
    <s v="Low"/>
    <n v="360"/>
    <x v="1"/>
    <s v="Walk-in"/>
    <s v="Tier 1"/>
    <x v="6"/>
    <x v="1"/>
    <s v="Yes"/>
    <s v="No"/>
    <n v="0"/>
    <s v="No"/>
    <n v="10"/>
    <n v="3"/>
    <n v="27.4"/>
    <s v="Yes"/>
    <s v="Fair"/>
    <s v="Yes"/>
    <s v="Sales"/>
    <s v="Tuesday"/>
    <s v="Afternoon"/>
  </r>
  <r>
    <x v="506"/>
    <s v="2024-11-17 04:43:13"/>
    <x v="7"/>
    <s v="2024-11-26 11:07:13"/>
    <x v="463"/>
    <n v="9.3000000000000007"/>
    <x v="6"/>
    <s v="Distribution List"/>
    <s v="Medium"/>
    <n v="240"/>
    <x v="1"/>
    <s v="Portal"/>
    <s v="Tier 1"/>
    <x v="12"/>
    <x v="1"/>
    <s v="No"/>
    <s v="No"/>
    <n v="1"/>
    <s v="No"/>
    <n v="8"/>
    <n v="0.2"/>
    <n v="26.4"/>
    <s v="Yes"/>
    <s v="Fair"/>
    <s v="No"/>
    <s v="Sales"/>
    <s v="Thursday"/>
    <s v="Morning"/>
  </r>
  <r>
    <x v="507"/>
    <s v="2024-11-28 15:15:39"/>
    <x v="7"/>
    <s v="2024-12-08 01:51:39"/>
    <x v="464"/>
    <n v="10.4"/>
    <x v="3"/>
    <s v="Email Password"/>
    <s v="Low"/>
    <n v="360"/>
    <x v="1"/>
    <s v="Portal"/>
    <s v="Tier 1"/>
    <x v="4"/>
    <x v="1"/>
    <s v="Yes"/>
    <s v="No"/>
    <n v="0"/>
    <s v="No"/>
    <n v="10"/>
    <n v="3.2"/>
    <n v="42.1"/>
    <s v="Yes"/>
    <s v="Good"/>
    <s v="Yes"/>
    <s v="IT"/>
    <s v="Tuesday"/>
    <s v="Evening"/>
  </r>
  <r>
    <x v="508"/>
    <s v="2024-05-20 02:47:06"/>
    <x v="8"/>
    <s v="2024-06-03 00:53:06"/>
    <x v="465"/>
    <n v="13.9"/>
    <x v="5"/>
    <s v="Training Request"/>
    <s v="Low"/>
    <n v="360"/>
    <x v="1"/>
    <s v="Phone"/>
    <s v="Tier 2"/>
    <x v="3"/>
    <x v="1"/>
    <s v="No"/>
    <s v="Yes"/>
    <n v="2"/>
    <s v="No"/>
    <n v="8"/>
    <n v="5.8"/>
    <n v="7.3"/>
    <s v="Yes"/>
    <s v="Poor"/>
    <s v="No"/>
    <s v="HR"/>
    <s v="Thursday"/>
    <s v="Morning"/>
  </r>
  <r>
    <x v="509"/>
    <s v="2024-01-14 01:59:52"/>
    <x v="3"/>
    <s v="2024-01-25 23:29:52"/>
    <x v="359"/>
    <n v="10.9"/>
    <x v="3"/>
    <s v="Windows Password"/>
    <s v="Medium"/>
    <n v="240"/>
    <x v="0"/>
    <s v="Portal"/>
    <s v="Tier 1"/>
    <x v="21"/>
    <x v="2"/>
    <s v="No"/>
    <s v="No"/>
    <n v="1"/>
    <s v="No"/>
    <n v="5"/>
    <n v="4.2"/>
    <n v="12.2"/>
    <s v="Yes"/>
    <s v="Fair"/>
    <s v="No"/>
    <s v="IT"/>
    <s v="Friday"/>
    <s v="Afternoon"/>
  </r>
  <r>
    <x v="510"/>
    <s v="2024-11-09 10:24:56"/>
    <x v="7"/>
    <s v="2024-11-19 21:12:56"/>
    <x v="193"/>
    <n v="10.5"/>
    <x v="3"/>
    <s v="Windows Password"/>
    <s v="Low"/>
    <n v="360"/>
    <x v="1"/>
    <s v="Email"/>
    <s v="Tier 1"/>
    <x v="4"/>
    <x v="1"/>
    <s v="Yes"/>
    <s v="No"/>
    <n v="0"/>
    <s v="No"/>
    <n v="9"/>
    <n v="2.8"/>
    <n v="8.6999999999999993"/>
    <s v="Yes"/>
    <s v="Good"/>
    <s v="No"/>
    <s v="Finance"/>
    <s v="Thursday"/>
    <s v="Morning"/>
  </r>
  <r>
    <x v="511"/>
    <s v="2024-05-10 07:38:56"/>
    <x v="8"/>
    <s v="2024-05-20 03:26:56"/>
    <x v="466"/>
    <n v="9.8000000000000007"/>
    <x v="3"/>
    <s v="Email Password"/>
    <s v="Low"/>
    <n v="360"/>
    <x v="1"/>
    <s v="Portal"/>
    <s v="Tier 1"/>
    <x v="11"/>
    <x v="2"/>
    <s v="Yes"/>
    <s v="No"/>
    <n v="0"/>
    <s v="No"/>
    <n v="10"/>
    <n v="2.5"/>
    <n v="21.1"/>
    <s v="Yes"/>
    <s v="Poor"/>
    <s v="No"/>
    <s v="Legal"/>
    <s v="Wednesday"/>
    <s v="Morning"/>
  </r>
  <r>
    <x v="512"/>
    <s v="2024-04-22 06:10:54"/>
    <x v="11"/>
    <s v="2024-05-08 06:58:54"/>
    <x v="467"/>
    <n v="16"/>
    <x v="1"/>
    <s v="Keyboard/Mouse"/>
    <s v="Low"/>
    <n v="360"/>
    <x v="0"/>
    <s v="Walk-in"/>
    <s v="Tier 2"/>
    <x v="10"/>
    <x v="1"/>
    <s v="No"/>
    <s v="Yes"/>
    <n v="3"/>
    <s v="No"/>
    <n v="5"/>
    <n v="3.5"/>
    <n v="23.1"/>
    <s v="Yes"/>
    <s v="Poor"/>
    <s v="Yes"/>
    <s v="Sales"/>
    <s v="Friday"/>
    <s v="Evening"/>
  </r>
  <r>
    <x v="513"/>
    <s v="2024-02-26 17:41:18"/>
    <x v="6"/>
    <s v="2024-03-10 14:35:18"/>
    <x v="468"/>
    <n v="12.9"/>
    <x v="7"/>
    <s v="Business Apps"/>
    <s v="Low"/>
    <n v="360"/>
    <x v="1"/>
    <s v="Email"/>
    <s v="Tier 1"/>
    <x v="5"/>
    <x v="1"/>
    <s v="No"/>
    <s v="No"/>
    <n v="1"/>
    <s v="No"/>
    <n v="9"/>
    <n v="3.2"/>
    <n v="24.9"/>
    <s v="No"/>
    <s v="Poor"/>
    <s v="Yes"/>
    <s v="IT"/>
    <s v="Monday"/>
    <s v="Morning"/>
  </r>
  <r>
    <x v="514"/>
    <s v="2024-04-16 19:26:03"/>
    <x v="11"/>
    <s v="2024-04-23 09:02:03"/>
    <x v="469"/>
    <n v="6.6"/>
    <x v="2"/>
    <s v="VPN Connection"/>
    <s v="High"/>
    <n v="120"/>
    <x v="0"/>
    <s v="Email"/>
    <s v="Tier 1"/>
    <x v="12"/>
    <x v="2"/>
    <s v="No"/>
    <s v="No"/>
    <n v="1"/>
    <s v="No"/>
    <n v="5"/>
    <n v="4.3"/>
    <n v="8.3000000000000007"/>
    <s v="No"/>
    <s v="Fair"/>
    <s v="Yes"/>
    <s v="IT"/>
    <s v="Friday"/>
    <s v="Afternoon"/>
  </r>
  <r>
    <x v="515"/>
    <s v="2024-05-14 02:46:11"/>
    <x v="8"/>
    <s v="2024-06-12 05:40:11"/>
    <x v="470"/>
    <n v="28.1"/>
    <x v="6"/>
    <s v="Calendar Sync"/>
    <s v="Medium"/>
    <n v="240"/>
    <x v="0"/>
    <s v="Phone"/>
    <s v="Tier 2"/>
    <x v="14"/>
    <x v="1"/>
    <s v="No"/>
    <s v="Yes"/>
    <n v="3"/>
    <s v="No"/>
    <n v="8"/>
    <n v="2.6"/>
    <n v="14.2"/>
    <s v="No"/>
    <s v="Fair"/>
    <s v="Yes"/>
    <s v="Finance"/>
    <s v="Wednesday"/>
    <s v="Afternoon"/>
  </r>
  <r>
    <x v="516"/>
    <s v="2024-11-05 21:21:20"/>
    <x v="7"/>
    <s v="2024-11-07 16:51:20"/>
    <x v="471"/>
    <n v="1.8"/>
    <x v="4"/>
    <s v="Performance"/>
    <s v="Critical"/>
    <n v="48"/>
    <x v="1"/>
    <s v="Phone"/>
    <s v="Tier 2"/>
    <x v="10"/>
    <x v="0"/>
    <s v="No"/>
    <s v="Yes"/>
    <n v="1"/>
    <s v="Yes"/>
    <n v="9"/>
    <n v="1.9"/>
    <n v="8.9"/>
    <s v="Yes"/>
    <s v="Fair"/>
    <s v="Yes"/>
    <s v="Marketing"/>
    <s v="Thursday"/>
    <s v="Afternoon"/>
  </r>
  <r>
    <x v="517"/>
    <s v="2024-04-07 07:12:57"/>
    <x v="11"/>
    <s v="2024-04-15 10:00:57"/>
    <x v="424"/>
    <n v="8.1"/>
    <x v="7"/>
    <s v="Adobe Suite"/>
    <s v="Medium"/>
    <n v="240"/>
    <x v="1"/>
    <s v="Walk-in"/>
    <s v="Tier 1"/>
    <x v="23"/>
    <x v="1"/>
    <s v="Yes"/>
    <s v="No"/>
    <n v="0"/>
    <s v="No"/>
    <n v="10"/>
    <n v="2.4"/>
    <n v="42.2"/>
    <s v="Yes"/>
    <s v="Fair"/>
    <s v="Yes"/>
    <s v="Legal"/>
    <s v="Monday"/>
    <s v="Afternoon"/>
  </r>
  <r>
    <x v="518"/>
    <s v="2024-06-01 18:43:58"/>
    <x v="10"/>
    <s v="2024-06-20 12:49:58"/>
    <x v="472"/>
    <n v="18.8"/>
    <x v="3"/>
    <s v="Email Password"/>
    <s v="Low"/>
    <n v="360"/>
    <x v="0"/>
    <s v="Phone"/>
    <s v="Tier 1"/>
    <x v="8"/>
    <x v="2"/>
    <s v="Yes"/>
    <s v="No"/>
    <n v="0"/>
    <s v="No"/>
    <n v="7"/>
    <n v="2.7"/>
    <n v="37.5"/>
    <s v="Yes"/>
    <s v="Poor"/>
    <s v="Yes"/>
    <s v="Finance"/>
    <s v="Monday"/>
    <s v="Morning"/>
  </r>
  <r>
    <x v="519"/>
    <s v="2024-03-07 19:54:56"/>
    <x v="5"/>
    <s v="2024-03-10 21:18:56"/>
    <x v="473"/>
    <n v="3.1"/>
    <x v="6"/>
    <s v="Distribution List"/>
    <s v="High"/>
    <n v="120"/>
    <x v="1"/>
    <s v="Phone"/>
    <s v="Tier 1"/>
    <x v="19"/>
    <x v="2"/>
    <s v="No"/>
    <s v="No"/>
    <n v="1"/>
    <s v="No"/>
    <n v="8"/>
    <n v="2.7"/>
    <n v="22.1"/>
    <s v="Yes"/>
    <s v="Poor"/>
    <s v="Yes"/>
    <s v="Sales"/>
    <s v="Wednesday"/>
    <s v="Morning"/>
  </r>
  <r>
    <x v="520"/>
    <s v="2024-07-07 16:25:16"/>
    <x v="4"/>
    <s v="2024-07-17 02:19:16"/>
    <x v="474"/>
    <n v="10.4"/>
    <x v="1"/>
    <s v="Printer"/>
    <s v="Low"/>
    <n v="360"/>
    <x v="1"/>
    <s v="Email"/>
    <s v="Tier 2"/>
    <x v="5"/>
    <x v="2"/>
    <s v="No"/>
    <s v="Yes"/>
    <n v="3"/>
    <s v="No"/>
    <n v="10"/>
    <n v="2.6"/>
    <n v="8.9"/>
    <s v="No"/>
    <s v="Excellent"/>
    <s v="No"/>
    <s v="IT"/>
    <s v="Thursday"/>
    <s v="Afternoon"/>
  </r>
  <r>
    <x v="521"/>
    <s v="2024-05-16 02:21:52"/>
    <x v="8"/>
    <s v="2024-05-23 15:33:52"/>
    <x v="475"/>
    <n v="6.6"/>
    <x v="0"/>
    <s v="Application Access"/>
    <s v="Medium"/>
    <n v="240"/>
    <x v="1"/>
    <s v="Email"/>
    <s v="Tier 1"/>
    <x v="6"/>
    <x v="1"/>
    <s v="No"/>
    <s v="No"/>
    <n v="1"/>
    <s v="No"/>
    <n v="7"/>
    <n v="2"/>
    <n v="24.2"/>
    <s v="No"/>
    <s v="Fair"/>
    <s v="Yes"/>
    <s v="IT"/>
    <s v="Thursday"/>
    <s v="Afternoon"/>
  </r>
  <r>
    <x v="522"/>
    <s v="2024-02-16 01:51:18"/>
    <x v="6"/>
    <s v="2024-03-16 11:03:18"/>
    <x v="476"/>
    <n v="28.4"/>
    <x v="7"/>
    <s v="MS Office"/>
    <s v="Medium"/>
    <n v="240"/>
    <x v="0"/>
    <s v="Email"/>
    <s v="Tier 1"/>
    <x v="2"/>
    <x v="2"/>
    <s v="Yes"/>
    <s v="No"/>
    <n v="0"/>
    <s v="No"/>
    <n v="7"/>
    <n v="1.7"/>
    <n v="19.600000000000001"/>
    <s v="Yes"/>
    <s v="Good"/>
    <s v="Yes"/>
    <s v="Executive"/>
    <s v="Thursday"/>
    <s v="Morning"/>
  </r>
  <r>
    <x v="523"/>
    <s v="2024-09-03 22:27:30"/>
    <x v="9"/>
    <s v="2024-09-13 05:57:30"/>
    <x v="477"/>
    <n v="9.3000000000000007"/>
    <x v="5"/>
    <s v="Documentation"/>
    <s v="Low"/>
    <n v="360"/>
    <x v="1"/>
    <s v="Phone"/>
    <s v="Tier 1"/>
    <x v="19"/>
    <x v="2"/>
    <s v="Yes"/>
    <s v="No"/>
    <n v="0"/>
    <s v="Yes"/>
    <n v="10"/>
    <n v="0.7"/>
    <n v="14.9"/>
    <s v="No"/>
    <s v="Fair"/>
    <s v="Yes"/>
    <s v="Finance"/>
    <s v="Wednesday"/>
    <s v="Afternoon"/>
  </r>
  <r>
    <x v="524"/>
    <s v="2024-06-05 04:09:31"/>
    <x v="10"/>
    <s v="2024-06-13 02:27:31"/>
    <x v="478"/>
    <n v="8.9"/>
    <x v="0"/>
    <s v="VPN Access"/>
    <s v="Medium"/>
    <n v="240"/>
    <x v="1"/>
    <s v="Chat"/>
    <s v="Tier 1"/>
    <x v="13"/>
    <x v="0"/>
    <s v="Yes"/>
    <s v="No"/>
    <n v="0"/>
    <s v="No"/>
    <n v="8"/>
    <n v="3.9"/>
    <n v="29.1"/>
    <s v="Yes"/>
    <s v="Poor"/>
    <s v="No"/>
    <s v="Legal"/>
    <s v="Monday"/>
    <s v="Afternoon"/>
  </r>
  <r>
    <x v="525"/>
    <s v="2024-08-02 16:14:04"/>
    <x v="1"/>
    <s v="2024-08-09 23:08:04"/>
    <x v="479"/>
    <n v="7.3"/>
    <x v="6"/>
    <s v="Calendar Sync"/>
    <s v="Medium"/>
    <n v="240"/>
    <x v="1"/>
    <s v="Portal"/>
    <s v="Tier 1"/>
    <x v="7"/>
    <x v="2"/>
    <s v="Yes"/>
    <s v="No"/>
    <n v="0"/>
    <s v="No"/>
    <n v="9"/>
    <n v="0.7"/>
    <n v="25.4"/>
    <s v="Yes"/>
    <s v="Fair"/>
    <s v="Yes"/>
    <s v="IT"/>
    <s v="Wednesday"/>
    <s v="Morning"/>
  </r>
  <r>
    <x v="526"/>
    <s v="2024-10-01 11:02:58"/>
    <x v="2"/>
    <s v="2024-10-11 02:44:58"/>
    <x v="480"/>
    <n v="10.7"/>
    <x v="4"/>
    <s v="Login Issues"/>
    <s v="Low"/>
    <n v="360"/>
    <x v="1"/>
    <s v="Phone"/>
    <s v="Tier 1"/>
    <x v="4"/>
    <x v="1"/>
    <s v="No"/>
    <s v="No"/>
    <n v="1"/>
    <s v="No"/>
    <n v="8"/>
    <n v="2.1"/>
    <n v="19.8"/>
    <s v="Yes"/>
    <s v="Fair"/>
    <s v="Yes"/>
    <s v="Finance"/>
    <s v="Friday"/>
    <s v="Morning"/>
  </r>
  <r>
    <x v="527"/>
    <s v="2024-12-22 19:12:21"/>
    <x v="0"/>
    <s v="2024-12-24 03:00:21"/>
    <x v="481"/>
    <n v="1.3"/>
    <x v="1"/>
    <s v="Monitor"/>
    <s v="Critical"/>
    <n v="48"/>
    <x v="1"/>
    <s v="Email"/>
    <s v="Tier 2"/>
    <x v="13"/>
    <x v="1"/>
    <s v="No"/>
    <s v="Yes"/>
    <n v="2"/>
    <s v="No"/>
    <n v="6"/>
    <n v="2.5"/>
    <n v="24.1"/>
    <s v="Yes"/>
    <s v="Excellent"/>
    <s v="No"/>
    <s v="Executive"/>
    <s v="Wednesday"/>
    <s v="Morning"/>
  </r>
  <r>
    <x v="528"/>
    <s v="2024-12-19 15:09:57"/>
    <x v="0"/>
    <s v="2025-01-03 03:03:57"/>
    <x v="482"/>
    <n v="14.5"/>
    <x v="4"/>
    <s v="Performance"/>
    <s v="Medium"/>
    <n v="240"/>
    <x v="0"/>
    <s v="Email"/>
    <s v="Tier 2"/>
    <x v="23"/>
    <x v="2"/>
    <s v="No"/>
    <s v="Yes"/>
    <n v="4"/>
    <s v="No"/>
    <n v="4"/>
    <n v="6.4"/>
    <n v="4.5"/>
    <s v="No"/>
    <s v="Good"/>
    <s v="Yes"/>
    <s v="Marketing"/>
    <s v="Tuesday"/>
    <s v="Afternoon"/>
  </r>
  <r>
    <x v="529"/>
    <s v="2024-04-27 08:01:37"/>
    <x v="11"/>
    <s v="2024-04-30 09:13:37"/>
    <x v="483"/>
    <n v="3.1"/>
    <x v="2"/>
    <s v="Slow Network"/>
    <s v="High"/>
    <n v="120"/>
    <x v="1"/>
    <s v="Portal"/>
    <s v="Tier 2"/>
    <x v="18"/>
    <x v="2"/>
    <s v="No"/>
    <s v="Yes"/>
    <n v="1"/>
    <s v="No"/>
    <n v="8"/>
    <n v="4.0999999999999996"/>
    <n v="8.5"/>
    <s v="Yes"/>
    <s v="Fair"/>
    <s v="Yes"/>
    <s v="IT"/>
    <s v="Wednesday"/>
    <s v="Morning"/>
  </r>
  <r>
    <x v="530"/>
    <s v="2024-06-23 09:02:40"/>
    <x v="10"/>
    <s v="2024-07-18 05:32:40"/>
    <x v="484"/>
    <n v="24.9"/>
    <x v="4"/>
    <s v="Performance"/>
    <s v="Medium"/>
    <n v="240"/>
    <x v="0"/>
    <s v="Walk-in"/>
    <s v="Tier 1"/>
    <x v="24"/>
    <x v="0"/>
    <s v="Yes"/>
    <s v="No"/>
    <n v="0"/>
    <s v="No"/>
    <n v="5"/>
    <n v="0.3"/>
    <n v="4.4000000000000004"/>
    <s v="Yes"/>
    <s v="Poor"/>
    <s v="Yes"/>
    <s v="Finance"/>
    <s v="Friday"/>
    <s v="Afternoon"/>
  </r>
  <r>
    <x v="531"/>
    <s v="2024-07-18 13:05:25"/>
    <x v="4"/>
    <s v="2024-07-28 13:05:25"/>
    <x v="485"/>
    <n v="10"/>
    <x v="3"/>
    <s v="Windows Password"/>
    <s v="Low"/>
    <n v="360"/>
    <x v="1"/>
    <s v="Phone"/>
    <s v="Tier 1"/>
    <x v="21"/>
    <x v="2"/>
    <s v="Yes"/>
    <s v="No"/>
    <n v="0"/>
    <s v="No"/>
    <n v="10"/>
    <n v="0.5"/>
    <n v="14.1"/>
    <s v="Yes"/>
    <s v="Good"/>
    <s v="Yes"/>
    <s v="Legal"/>
    <s v="Thursday"/>
    <s v="Afternoon"/>
  </r>
  <r>
    <x v="532"/>
    <s v="2024-07-08 18:58:35"/>
    <x v="4"/>
    <s v="2024-07-17 10:22:35"/>
    <x v="486"/>
    <n v="8.6"/>
    <x v="0"/>
    <s v="File Share"/>
    <s v="High"/>
    <n v="120"/>
    <x v="0"/>
    <s v="Email"/>
    <s v="Tier 1"/>
    <x v="0"/>
    <x v="0"/>
    <s v="No"/>
    <s v="No"/>
    <n v="1"/>
    <s v="No"/>
    <n v="3"/>
    <n v="1.7"/>
    <n v="9.1"/>
    <s v="Yes"/>
    <s v="Poor"/>
    <s v="Yes"/>
    <s v="Sales"/>
    <s v="Tuesday"/>
    <s v="Afternoon"/>
  </r>
  <r>
    <x v="533"/>
    <s v="2024-03-08 10:12:32"/>
    <x v="5"/>
    <s v="2024-03-21 14:36:32"/>
    <x v="487"/>
    <n v="13.2"/>
    <x v="3"/>
    <s v="Application Password"/>
    <s v="Low"/>
    <n v="360"/>
    <x v="1"/>
    <s v="Portal"/>
    <s v="Tier 1"/>
    <x v="9"/>
    <x v="2"/>
    <s v="Yes"/>
    <s v="No"/>
    <n v="0"/>
    <s v="No"/>
    <n v="9"/>
    <n v="4.9000000000000004"/>
    <n v="0.4"/>
    <s v="Yes"/>
    <s v="Poor"/>
    <s v="No"/>
    <s v="Executive"/>
    <s v="Friday"/>
    <s v="Afternoon"/>
  </r>
  <r>
    <x v="534"/>
    <s v="2024-06-11 18:44:06"/>
    <x v="10"/>
    <s v="2024-06-19 21:38:06"/>
    <x v="488"/>
    <n v="8.1"/>
    <x v="6"/>
    <s v="Cannot Send/Receive"/>
    <s v="Medium"/>
    <n v="240"/>
    <x v="1"/>
    <s v="Portal"/>
    <s v="Tier 1"/>
    <x v="6"/>
    <x v="1"/>
    <s v="Yes"/>
    <s v="No"/>
    <n v="0"/>
    <s v="No"/>
    <n v="10"/>
    <n v="5.2"/>
    <n v="27.3"/>
    <s v="Yes"/>
    <s v="Good"/>
    <s v="Yes"/>
    <s v="Marketing"/>
    <s v="Wednesday"/>
    <s v="Afternoon"/>
  </r>
  <r>
    <x v="535"/>
    <s v="2024-09-04 10:03:26"/>
    <x v="9"/>
    <s v="2024-09-07 02:09:26"/>
    <x v="489"/>
    <n v="3.7"/>
    <x v="1"/>
    <s v="Printer"/>
    <s v="High"/>
    <n v="120"/>
    <x v="1"/>
    <s v="Email"/>
    <s v="Tier 1"/>
    <x v="24"/>
    <x v="2"/>
    <s v="Yes"/>
    <s v="No"/>
    <n v="0"/>
    <s v="No"/>
    <n v="9"/>
    <n v="0.9"/>
    <n v="47.6"/>
    <s v="No"/>
    <s v="Excellent"/>
    <s v="No"/>
    <s v="Marketing"/>
    <s v="Monday"/>
    <s v="Morning"/>
  </r>
  <r>
    <x v="536"/>
    <s v="2024-05-20 15:33:19"/>
    <x v="8"/>
    <s v="2024-05-29 02:03:19"/>
    <x v="490"/>
    <n v="9.4"/>
    <x v="7"/>
    <s v="MS Office"/>
    <s v="Medium"/>
    <n v="240"/>
    <x v="1"/>
    <s v="Portal"/>
    <s v="Tier 1"/>
    <x v="4"/>
    <x v="2"/>
    <s v="Yes"/>
    <s v="No"/>
    <n v="0"/>
    <s v="No"/>
    <n v="10"/>
    <n v="5.5"/>
    <n v="6.7"/>
    <s v="Yes"/>
    <s v="Poor"/>
    <s v="No"/>
    <s v="IT"/>
    <s v="Tuesday"/>
    <s v="Afternoon"/>
  </r>
  <r>
    <x v="537"/>
    <s v="2024-01-11 05:54:51"/>
    <x v="3"/>
    <s v="2024-01-24 02:42:51"/>
    <x v="491"/>
    <n v="12.9"/>
    <x v="4"/>
    <s v="Login Issues"/>
    <s v="Medium"/>
    <n v="240"/>
    <x v="0"/>
    <s v="Portal"/>
    <s v="Tier 1"/>
    <x v="2"/>
    <x v="1"/>
    <s v="No"/>
    <s v="No"/>
    <n v="1"/>
    <s v="No"/>
    <n v="4"/>
    <n v="0.1"/>
    <n v="27.6"/>
    <s v="Yes"/>
    <s v="Poor"/>
    <s v="No"/>
    <s v="IT"/>
    <s v="Tuesday"/>
    <s v="Morning"/>
  </r>
  <r>
    <x v="538"/>
    <s v="2024-10-15 02:02:37"/>
    <x v="2"/>
    <s v="2024-10-22 13:38:37"/>
    <x v="492"/>
    <n v="6.5"/>
    <x v="3"/>
    <s v="Application Password"/>
    <s v="Medium"/>
    <n v="240"/>
    <x v="1"/>
    <s v="Portal"/>
    <s v="Tier 1"/>
    <x v="6"/>
    <x v="0"/>
    <s v="Yes"/>
    <s v="No"/>
    <n v="0"/>
    <s v="No"/>
    <n v="10"/>
    <n v="0.1"/>
    <n v="36.9"/>
    <s v="Yes"/>
    <s v="Excellent"/>
    <s v="Yes"/>
    <s v="Operations"/>
    <s v="Wednesday"/>
    <s v="Morning"/>
  </r>
  <r>
    <x v="539"/>
    <s v="2024-02-15 12:26:55"/>
    <x v="6"/>
    <s v="2024-03-04 00:50:55"/>
    <x v="493"/>
    <n v="18.5"/>
    <x v="7"/>
    <s v="Drivers"/>
    <s v="Medium"/>
    <n v="240"/>
    <x v="0"/>
    <s v="Phone"/>
    <s v="Tier 2"/>
    <x v="19"/>
    <x v="1"/>
    <s v="No"/>
    <s v="Yes"/>
    <n v="3"/>
    <s v="No"/>
    <n v="8"/>
    <n v="4.8"/>
    <n v="26.2"/>
    <s v="Yes"/>
    <s v="Fair"/>
    <s v="Yes"/>
    <s v="HR"/>
    <s v="Monday"/>
    <s v="Afternoon"/>
  </r>
  <r>
    <x v="540"/>
    <s v="2024-08-31 02:17:36"/>
    <x v="1"/>
    <s v="2024-09-10 15:29:36"/>
    <x v="494"/>
    <n v="9.5"/>
    <x v="3"/>
    <s v="Email Password"/>
    <s v="Low"/>
    <n v="360"/>
    <x v="1"/>
    <s v="Chat"/>
    <s v="Tier 1"/>
    <x v="12"/>
    <x v="2"/>
    <s v="No"/>
    <s v="No"/>
    <n v="1"/>
    <s v="No"/>
    <n v="9"/>
    <n v="0.7"/>
    <n v="11.4"/>
    <s v="Yes"/>
    <s v="Excellent"/>
    <s v="Yes"/>
    <s v="Finance"/>
    <s v="Tuesday"/>
    <s v="Morning"/>
  </r>
  <r>
    <x v="541"/>
    <s v="2024-07-26 02:47:36"/>
    <x v="4"/>
    <s v="2024-08-03 14:59:36"/>
    <x v="495"/>
    <n v="7.5"/>
    <x v="0"/>
    <s v="Admin Rights"/>
    <s v="Medium"/>
    <n v="240"/>
    <x v="1"/>
    <s v="Email"/>
    <s v="Tier 1"/>
    <x v="20"/>
    <x v="0"/>
    <s v="Yes"/>
    <s v="No"/>
    <n v="0"/>
    <s v="No"/>
    <n v="10"/>
    <n v="4.3"/>
    <n v="29.4"/>
    <s v="Yes"/>
    <s v="Poor"/>
    <s v="No"/>
    <s v="Finance"/>
    <s v="Tuesday"/>
    <s v="Morning"/>
  </r>
  <r>
    <x v="542"/>
    <s v="2024-03-12 17:10:45"/>
    <x v="5"/>
    <s v="2024-04-07 03:22:45"/>
    <x v="496"/>
    <n v="25.4"/>
    <x v="0"/>
    <s v="VPN Access"/>
    <s v="Medium"/>
    <n v="240"/>
    <x v="0"/>
    <s v="Phone"/>
    <s v="Tier 1"/>
    <x v="1"/>
    <x v="1"/>
    <s v="Yes"/>
    <s v="No"/>
    <n v="0"/>
    <s v="No"/>
    <n v="7"/>
    <n v="3.5"/>
    <n v="31.8"/>
    <s v="No"/>
    <s v="Fair"/>
    <s v="Yes"/>
    <s v="HR"/>
    <s v="Friday"/>
    <s v="Afternoon"/>
  </r>
  <r>
    <x v="543"/>
    <s v="2024-09-16 02:45:26"/>
    <x v="9"/>
    <s v="2024-09-21 03:09:26"/>
    <x v="497"/>
    <n v="4"/>
    <x v="2"/>
    <s v="WiFi Issues"/>
    <s v="High"/>
    <n v="120"/>
    <x v="1"/>
    <s v="Phone"/>
    <s v="Tier 1"/>
    <x v="21"/>
    <x v="2"/>
    <s v="Yes"/>
    <s v="No"/>
    <n v="0"/>
    <s v="No"/>
    <n v="10"/>
    <n v="1.6"/>
    <n v="7.8"/>
    <s v="No"/>
    <s v="Poor"/>
    <s v="Yes"/>
    <s v="Sales"/>
    <s v="Thursday"/>
    <s v="Morning"/>
  </r>
  <r>
    <x v="544"/>
    <s v="2024-03-05 13:21:49"/>
    <x v="5"/>
    <s v="2024-03-09 02:21:49"/>
    <x v="364"/>
    <n v="3.5"/>
    <x v="2"/>
    <s v="VPN Connection"/>
    <s v="High"/>
    <n v="120"/>
    <x v="1"/>
    <s v="Email"/>
    <s v="Tier 1"/>
    <x v="19"/>
    <x v="1"/>
    <s v="Yes"/>
    <s v="No"/>
    <n v="0"/>
    <s v="No"/>
    <n v="8"/>
    <n v="1.9"/>
    <n v="28.8"/>
    <s v="Yes"/>
    <s v="Fair"/>
    <s v="Yes"/>
    <s v="IT"/>
    <s v="Wednesday"/>
    <s v="Morning"/>
  </r>
  <r>
    <x v="545"/>
    <s v="2024-02-16 14:09:12"/>
    <x v="6"/>
    <s v="2024-02-19 18:51:12"/>
    <x v="498"/>
    <n v="3.2"/>
    <x v="1"/>
    <s v="Keyboard/Mouse"/>
    <s v="High"/>
    <n v="120"/>
    <x v="1"/>
    <s v="Phone"/>
    <s v="Tier 2"/>
    <x v="18"/>
    <x v="2"/>
    <s v="No"/>
    <s v="Yes"/>
    <n v="1"/>
    <s v="No"/>
    <n v="9"/>
    <n v="1.8"/>
    <n v="7.1"/>
    <s v="Yes"/>
    <s v="Fair"/>
    <s v="No"/>
    <s v="Finance"/>
    <s v="Tuesday"/>
    <s v="Morning"/>
  </r>
  <r>
    <x v="546"/>
    <s v="2024-09-08 18:22:51"/>
    <x v="9"/>
    <s v="2024-09-29 00:16:51"/>
    <x v="499"/>
    <n v="21.2"/>
    <x v="7"/>
    <s v="Drivers"/>
    <s v="Medium"/>
    <n v="240"/>
    <x v="0"/>
    <s v="Portal"/>
    <s v="Tier 2"/>
    <x v="16"/>
    <x v="2"/>
    <s v="No"/>
    <s v="Yes"/>
    <n v="4"/>
    <s v="No"/>
    <n v="6"/>
    <n v="0.7"/>
    <n v="14.3"/>
    <s v="Yes"/>
    <s v="Fair"/>
    <s v="No"/>
    <s v="Marketing"/>
    <s v="Wednesday"/>
    <s v="Morning"/>
  </r>
  <r>
    <x v="547"/>
    <s v="2024-10-12 00:17:38"/>
    <x v="2"/>
    <s v="2024-10-23 02:05:38"/>
    <x v="500"/>
    <n v="11.1"/>
    <x v="0"/>
    <s v="VPN Access"/>
    <s v="Medium"/>
    <n v="240"/>
    <x v="0"/>
    <s v="Portal"/>
    <s v="Tier 1"/>
    <x v="14"/>
    <x v="1"/>
    <s v="Yes"/>
    <s v="No"/>
    <n v="0"/>
    <s v="No"/>
    <n v="6"/>
    <n v="1.6"/>
    <n v="37.200000000000003"/>
    <s v="No"/>
    <s v="Excellent"/>
    <s v="Yes"/>
    <s v="Operations"/>
    <s v="Wednesday"/>
    <s v="Morning"/>
  </r>
  <r>
    <x v="548"/>
    <s v="2024-12-30 04:26:31"/>
    <x v="0"/>
    <s v="2025-01-02 22:56:31"/>
    <x v="501"/>
    <n v="3.8"/>
    <x v="4"/>
    <s v="Crash"/>
    <s v="High"/>
    <n v="120"/>
    <x v="1"/>
    <s v="Phone"/>
    <s v="Tier 1"/>
    <x v="19"/>
    <x v="1"/>
    <s v="Yes"/>
    <s v="No"/>
    <n v="0"/>
    <s v="No"/>
    <n v="10"/>
    <n v="1.6"/>
    <n v="40.799999999999997"/>
    <s v="No"/>
    <s v="Fair"/>
    <s v="No"/>
    <s v="Operations"/>
    <s v="Monday"/>
    <s v="Morning"/>
  </r>
  <r>
    <x v="549"/>
    <s v="2024-02-15 06:24:22"/>
    <x v="6"/>
    <s v="2024-02-16 14:24:22"/>
    <x v="502"/>
    <n v="1.3"/>
    <x v="2"/>
    <s v="VPN Connection"/>
    <s v="Critical"/>
    <n v="48"/>
    <x v="1"/>
    <s v="Walk-in"/>
    <s v="Tier 1"/>
    <x v="22"/>
    <x v="2"/>
    <s v="No"/>
    <s v="No"/>
    <n v="1"/>
    <s v="No"/>
    <n v="10"/>
    <n v="1.1000000000000001"/>
    <n v="30.4"/>
    <s v="Yes"/>
    <s v="Fair"/>
    <s v="No"/>
    <s v="Legal"/>
    <s v="Tuesday"/>
    <s v="Morning"/>
  </r>
  <r>
    <x v="550"/>
    <s v="2024-04-20 17:39:07"/>
    <x v="11"/>
    <s v="2024-04-29 23:15:07"/>
    <x v="503"/>
    <n v="9.1999999999999993"/>
    <x v="1"/>
    <s v="Docking Station"/>
    <s v="High"/>
    <n v="120"/>
    <x v="0"/>
    <s v="Portal"/>
    <s v="Tier 1"/>
    <x v="21"/>
    <x v="1"/>
    <s v="No"/>
    <s v="No"/>
    <n v="1"/>
    <s v="Yes"/>
    <n v="7"/>
    <n v="2.8"/>
    <n v="8.8000000000000007"/>
    <s v="No"/>
    <s v="Good"/>
    <s v="Yes"/>
    <s v="Finance"/>
    <s v="Tuesday"/>
    <s v="Morning"/>
  </r>
  <r>
    <x v="551"/>
    <s v="2024-12-26 02:20:17"/>
    <x v="0"/>
    <s v="2024-12-27 09:50:17"/>
    <x v="504"/>
    <n v="1.3"/>
    <x v="3"/>
    <s v="Email Password"/>
    <s v="Critical"/>
    <n v="48"/>
    <x v="1"/>
    <s v="Email"/>
    <s v="Tier 1"/>
    <x v="18"/>
    <x v="2"/>
    <s v="Yes"/>
    <s v="No"/>
    <n v="0"/>
    <s v="No"/>
    <n v="10"/>
    <n v="0.9"/>
    <n v="5.3"/>
    <s v="No"/>
    <s v="Good"/>
    <s v="Yes"/>
    <s v="Operations"/>
    <s v="Wednesday"/>
    <s v="Evening"/>
  </r>
  <r>
    <x v="552"/>
    <s v="2024-04-26 14:00:40"/>
    <x v="11"/>
    <s v="2024-05-16 06:18:40"/>
    <x v="505"/>
    <n v="19.7"/>
    <x v="3"/>
    <s v="Windows Password"/>
    <s v="Low"/>
    <n v="360"/>
    <x v="0"/>
    <s v="Phone"/>
    <s v="Tier 1"/>
    <x v="3"/>
    <x v="0"/>
    <s v="Yes"/>
    <s v="No"/>
    <n v="0"/>
    <s v="No"/>
    <n v="6"/>
    <n v="1.3"/>
    <n v="0"/>
    <s v="Yes"/>
    <s v="Fair"/>
    <s v="No"/>
    <s v="Marketing"/>
    <s v="Monday"/>
    <s v="Afternoon"/>
  </r>
  <r>
    <x v="553"/>
    <s v="2024-12-06 01:49:43"/>
    <x v="0"/>
    <s v="2024-12-16 04:13:43"/>
    <x v="506"/>
    <n v="9.1"/>
    <x v="0"/>
    <s v="VPN Access"/>
    <s v="Medium"/>
    <n v="240"/>
    <x v="1"/>
    <s v="Portal"/>
    <s v="Tier 1"/>
    <x v="23"/>
    <x v="0"/>
    <s v="No"/>
    <s v="No"/>
    <n v="1"/>
    <s v="No"/>
    <n v="7"/>
    <n v="2.2999999999999998"/>
    <n v="29.5"/>
    <s v="Yes"/>
    <s v="Fair"/>
    <s v="No"/>
    <s v="Legal"/>
    <s v="Thursday"/>
    <s v="Morning"/>
  </r>
  <r>
    <x v="554"/>
    <s v="2024-11-07 12:46:47"/>
    <x v="7"/>
    <s v="2024-11-26 15:40:47"/>
    <x v="507"/>
    <n v="19.100000000000001"/>
    <x v="0"/>
    <s v="File Share"/>
    <s v="Low"/>
    <n v="360"/>
    <x v="0"/>
    <s v="Portal"/>
    <s v="Tier 1"/>
    <x v="1"/>
    <x v="1"/>
    <s v="No"/>
    <s v="No"/>
    <n v="1"/>
    <s v="No"/>
    <n v="5"/>
    <n v="1.3"/>
    <n v="13.3"/>
    <s v="Yes"/>
    <s v="Good"/>
    <s v="Yes"/>
    <s v="Legal"/>
    <s v="Wednesday"/>
    <s v="Evening"/>
  </r>
  <r>
    <x v="555"/>
    <s v="2024-12-15 23:24:54"/>
    <x v="0"/>
    <s v="2024-12-19 07:12:54"/>
    <x v="508"/>
    <n v="3.3"/>
    <x v="4"/>
    <s v="Performance"/>
    <s v="High"/>
    <n v="120"/>
    <x v="1"/>
    <s v="Phone"/>
    <s v="Tier 1"/>
    <x v="15"/>
    <x v="1"/>
    <s v="No"/>
    <s v="No"/>
    <n v="1"/>
    <s v="No"/>
    <n v="7"/>
    <n v="1.4"/>
    <n v="14"/>
    <s v="Yes"/>
    <s v="Good"/>
    <s v="No"/>
    <s v="Legal"/>
    <s v="Monday"/>
    <s v="Afternoon"/>
  </r>
  <r>
    <x v="556"/>
    <s v="2024-12-19 21:13:18"/>
    <x v="0"/>
    <s v="2024-12-29 17:13:18"/>
    <x v="509"/>
    <n v="9.8000000000000007"/>
    <x v="3"/>
    <s v="Email Password"/>
    <s v="Low"/>
    <n v="360"/>
    <x v="1"/>
    <s v="Phone"/>
    <s v="Tier 1"/>
    <x v="1"/>
    <x v="0"/>
    <s v="No"/>
    <s v="No"/>
    <n v="1"/>
    <s v="No"/>
    <n v="9"/>
    <n v="0.1"/>
    <n v="0"/>
    <s v="Yes"/>
    <s v="Poor"/>
    <s v="Yes"/>
    <s v="Marketing"/>
    <s v="Tuesday"/>
    <s v="Evening"/>
  </r>
  <r>
    <x v="557"/>
    <s v="2024-12-27 13:49:36"/>
    <x v="0"/>
    <s v="2025-01-05 15:49:36"/>
    <x v="510"/>
    <n v="9.1"/>
    <x v="7"/>
    <s v="VPN Client"/>
    <s v="Medium"/>
    <n v="240"/>
    <x v="1"/>
    <s v="Phone"/>
    <s v="Tier 1"/>
    <x v="12"/>
    <x v="0"/>
    <s v="Yes"/>
    <s v="No"/>
    <n v="0"/>
    <s v="No"/>
    <n v="9"/>
    <n v="2.8"/>
    <n v="0"/>
    <s v="Yes"/>
    <s v="Poor"/>
    <s v="Yes"/>
    <s v="Marketing"/>
    <s v="Wednesday"/>
    <s v="Evening"/>
  </r>
  <r>
    <x v="558"/>
    <s v="2024-05-09 06:39:35"/>
    <x v="8"/>
    <s v="2024-05-12 22:15:35"/>
    <x v="511"/>
    <n v="3.7"/>
    <x v="4"/>
    <s v="Crash"/>
    <s v="High"/>
    <n v="120"/>
    <x v="1"/>
    <s v="Email"/>
    <s v="Tier 2"/>
    <x v="3"/>
    <x v="0"/>
    <s v="No"/>
    <s v="Yes"/>
    <n v="2"/>
    <s v="No"/>
    <n v="5"/>
    <n v="0.4"/>
    <n v="57.1"/>
    <s v="Yes"/>
    <s v="Fair"/>
    <s v="Yes"/>
    <s v="Executive"/>
    <s v="Wednesday"/>
    <s v="Afternoon"/>
  </r>
  <r>
    <x v="559"/>
    <s v="2024-08-06 03:10:25"/>
    <x v="1"/>
    <s v="2024-08-09 06:46:25"/>
    <x v="512"/>
    <n v="3.2"/>
    <x v="2"/>
    <s v="VPN Connection"/>
    <s v="High"/>
    <n v="120"/>
    <x v="1"/>
    <s v="Walk-in"/>
    <s v="Tier 2"/>
    <x v="18"/>
    <x v="2"/>
    <s v="No"/>
    <s v="Yes"/>
    <n v="3"/>
    <s v="No"/>
    <n v="9"/>
    <n v="5.8"/>
    <n v="11.5"/>
    <s v="Yes"/>
    <s v="Poor"/>
    <s v="No"/>
    <s v="Finance"/>
    <s v="Monday"/>
    <s v="Afternoon"/>
  </r>
  <r>
    <x v="560"/>
    <s v="2024-01-31 19:52:36"/>
    <x v="3"/>
    <s v="2024-02-02 17:04:36"/>
    <x v="513"/>
    <n v="1.9"/>
    <x v="4"/>
    <s v="Login Issues"/>
    <s v="Critical"/>
    <n v="48"/>
    <x v="1"/>
    <s v="Portal"/>
    <s v="Tier 1"/>
    <x v="17"/>
    <x v="1"/>
    <s v="Yes"/>
    <s v="No"/>
    <n v="0"/>
    <s v="Yes"/>
    <n v="10"/>
    <n v="0.6"/>
    <n v="29.5"/>
    <s v="No"/>
    <s v="Fair"/>
    <s v="Yes"/>
    <s v="IT"/>
    <s v="Thursday"/>
    <s v="Afternoon"/>
  </r>
  <r>
    <x v="561"/>
    <s v="2024-10-12 17:17:33"/>
    <x v="2"/>
    <s v="2024-10-27 08:47:33"/>
    <x v="514"/>
    <n v="14.7"/>
    <x v="0"/>
    <s v="Admin Rights"/>
    <s v="Medium"/>
    <n v="240"/>
    <x v="0"/>
    <s v="Email"/>
    <s v="Tier 1"/>
    <x v="2"/>
    <x v="2"/>
    <s v="Yes"/>
    <s v="No"/>
    <n v="0"/>
    <s v="No"/>
    <n v="9"/>
    <n v="3.6"/>
    <n v="22.9"/>
    <s v="Yes"/>
    <s v="Good"/>
    <s v="Yes"/>
    <s v="Legal"/>
    <s v="Monday"/>
    <s v="Afternoon"/>
  </r>
  <r>
    <x v="562"/>
    <s v="2024-09-05 21:05:51"/>
    <x v="9"/>
    <s v="2024-09-18 11:29:51"/>
    <x v="515"/>
    <n v="12.6"/>
    <x v="5"/>
    <s v="Miscellaneous"/>
    <s v="Low"/>
    <n v="360"/>
    <x v="1"/>
    <s v="Email"/>
    <s v="Tier 1"/>
    <x v="20"/>
    <x v="2"/>
    <s v="Yes"/>
    <s v="No"/>
    <n v="0"/>
    <s v="No"/>
    <n v="10"/>
    <n v="5.7"/>
    <n v="7.9"/>
    <s v="No"/>
    <s v="Good"/>
    <s v="No"/>
    <s v="Legal"/>
    <s v="Monday"/>
    <s v="Afternoon"/>
  </r>
  <r>
    <x v="563"/>
    <s v="2024-09-17 00:14:50"/>
    <x v="9"/>
    <s v="2024-09-19 20:44:50"/>
    <x v="516"/>
    <n v="1.9"/>
    <x v="4"/>
    <s v="Features Not Working"/>
    <s v="Critical"/>
    <n v="48"/>
    <x v="1"/>
    <s v="Phone"/>
    <s v="Tier 1"/>
    <x v="0"/>
    <x v="1"/>
    <s v="Yes"/>
    <s v="No"/>
    <n v="0"/>
    <s v="No"/>
    <n v="10"/>
    <n v="0.6"/>
    <n v="12.1"/>
    <s v="Yes"/>
    <s v="Poor"/>
    <s v="No"/>
    <s v="IT"/>
    <s v="Thursday"/>
    <s v="Afternoon"/>
  </r>
  <r>
    <x v="564"/>
    <s v="2024-05-03 12:44:23"/>
    <x v="8"/>
    <s v="2024-05-29 12:32:23"/>
    <x v="517"/>
    <n v="26"/>
    <x v="5"/>
    <s v="Miscellaneous"/>
    <s v="Medium"/>
    <n v="240"/>
    <x v="0"/>
    <s v="Phone"/>
    <s v="Tier 2"/>
    <x v="10"/>
    <x v="1"/>
    <s v="No"/>
    <s v="Yes"/>
    <n v="1"/>
    <s v="No"/>
    <n v="3"/>
    <n v="4.5"/>
    <n v="24.9"/>
    <s v="Yes"/>
    <s v="Poor"/>
    <s v="Yes"/>
    <s v="HR"/>
    <s v="Thursday"/>
    <s v="Afternoon"/>
  </r>
  <r>
    <x v="565"/>
    <s v="2024-05-19 12:35:44"/>
    <x v="8"/>
    <s v="2024-06-01 04:35:44"/>
    <x v="518"/>
    <n v="12.7"/>
    <x v="0"/>
    <s v="VPN Access"/>
    <s v="Low"/>
    <n v="360"/>
    <x v="1"/>
    <s v="Phone"/>
    <s v="Tier 1"/>
    <x v="23"/>
    <x v="1"/>
    <s v="No"/>
    <s v="No"/>
    <n v="1"/>
    <s v="No"/>
    <n v="10"/>
    <n v="0.6"/>
    <n v="8.4"/>
    <s v="No"/>
    <s v="Good"/>
    <s v="Yes"/>
    <s v="Operations"/>
    <s v="Thursday"/>
    <s v="Morning"/>
  </r>
  <r>
    <x v="566"/>
    <s v="2024-11-01 05:06:22"/>
    <x v="7"/>
    <s v="2024-11-10 16:18:22"/>
    <x v="519"/>
    <n v="9.5"/>
    <x v="3"/>
    <s v="Account Unlock"/>
    <s v="Medium"/>
    <n v="240"/>
    <x v="1"/>
    <s v="Phone"/>
    <s v="Tier 1"/>
    <x v="9"/>
    <x v="2"/>
    <s v="Yes"/>
    <s v="No"/>
    <n v="0"/>
    <s v="Yes"/>
    <n v="10"/>
    <n v="0.1"/>
    <n v="0"/>
    <s v="Yes"/>
    <s v="Fair"/>
    <s v="No"/>
    <s v="Legal"/>
    <s v="Friday"/>
    <s v="Afternoon"/>
  </r>
  <r>
    <x v="567"/>
    <s v="2024-04-17 02:09:37"/>
    <x v="11"/>
    <s v="2024-04-28 02:21:37"/>
    <x v="520"/>
    <n v="11"/>
    <x v="2"/>
    <s v="VPN Connection"/>
    <s v="Medium"/>
    <n v="240"/>
    <x v="0"/>
    <s v="Email"/>
    <s v="Tier 1"/>
    <x v="11"/>
    <x v="2"/>
    <s v="Yes"/>
    <s v="No"/>
    <n v="0"/>
    <s v="Yes"/>
    <n v="7"/>
    <n v="1.4"/>
    <n v="38.200000000000003"/>
    <s v="Yes"/>
    <s v="Excellent"/>
    <s v="No"/>
    <s v="IT"/>
    <s v="Monday"/>
    <s v="Morning"/>
  </r>
  <r>
    <x v="568"/>
    <s v="2024-05-24 15:42:17"/>
    <x v="8"/>
    <s v="2024-06-06 10:00:17"/>
    <x v="521"/>
    <n v="12.8"/>
    <x v="5"/>
    <s v="Miscellaneous"/>
    <s v="Low"/>
    <n v="360"/>
    <x v="1"/>
    <s v="Chat"/>
    <s v="Tier 2"/>
    <x v="20"/>
    <x v="2"/>
    <s v="No"/>
    <s v="Yes"/>
    <n v="3"/>
    <s v="Yes"/>
    <n v="7"/>
    <n v="5.3"/>
    <n v="31.3"/>
    <s v="No"/>
    <s v="Good"/>
    <s v="No"/>
    <s v="Finance"/>
    <s v="Monday"/>
    <s v="Afternoon"/>
  </r>
  <r>
    <x v="569"/>
    <s v="2024-08-19 03:52:54"/>
    <x v="1"/>
    <s v="2024-08-20 21:34:54"/>
    <x v="237"/>
    <n v="1.7"/>
    <x v="4"/>
    <s v="Features Not Working"/>
    <s v="Critical"/>
    <n v="48"/>
    <x v="1"/>
    <s v="Phone"/>
    <s v="Tier 2"/>
    <x v="6"/>
    <x v="1"/>
    <s v="No"/>
    <s v="Yes"/>
    <n v="4"/>
    <s v="Yes"/>
    <n v="8"/>
    <n v="3.9"/>
    <n v="20.8"/>
    <s v="Yes"/>
    <s v="Good"/>
    <s v="No"/>
    <s v="Sales"/>
    <s v="Tuesday"/>
    <s v="Afternoon"/>
  </r>
  <r>
    <x v="570"/>
    <s v="2024-01-29 11:11:09"/>
    <x v="3"/>
    <s v="2024-02-05 10:53:09"/>
    <x v="522"/>
    <n v="7"/>
    <x v="7"/>
    <s v="Business Apps"/>
    <s v="Medium"/>
    <n v="240"/>
    <x v="1"/>
    <s v="Phone"/>
    <s v="Tier 1"/>
    <x v="20"/>
    <x v="0"/>
    <s v="No"/>
    <s v="No"/>
    <n v="1"/>
    <s v="No"/>
    <n v="8"/>
    <n v="0.1"/>
    <n v="44.4"/>
    <s v="Yes"/>
    <s v="Poor"/>
    <s v="Yes"/>
    <s v="IT"/>
    <s v="Friday"/>
    <s v="Morning"/>
  </r>
  <r>
    <x v="571"/>
    <s v="2024-06-01 12:12:03"/>
    <x v="10"/>
    <s v="2024-06-08 15:18:03"/>
    <x v="523"/>
    <n v="7.1"/>
    <x v="1"/>
    <s v="Docking Station"/>
    <s v="High"/>
    <n v="120"/>
    <x v="0"/>
    <s v="Email"/>
    <s v="Tier 1"/>
    <x v="4"/>
    <x v="2"/>
    <s v="No"/>
    <s v="No"/>
    <n v="1"/>
    <s v="No"/>
    <n v="5"/>
    <n v="4.2"/>
    <n v="29.6"/>
    <s v="No"/>
    <s v="Fair"/>
    <s v="Yes"/>
    <s v="Sales"/>
    <s v="Friday"/>
    <s v="Afternoon"/>
  </r>
  <r>
    <x v="572"/>
    <s v="2024-01-07 13:41:07"/>
    <x v="3"/>
    <s v="2024-01-21 00:29:07"/>
    <x v="524"/>
    <n v="14.5"/>
    <x v="7"/>
    <s v="MS Office"/>
    <s v="Medium"/>
    <n v="240"/>
    <x v="0"/>
    <s v="Portal"/>
    <s v="Tier 1"/>
    <x v="14"/>
    <x v="2"/>
    <s v="No"/>
    <s v="No"/>
    <n v="1"/>
    <s v="No"/>
    <n v="5"/>
    <n v="1.3"/>
    <n v="15.4"/>
    <s v="Yes"/>
    <s v="Fair"/>
    <s v="No"/>
    <s v="IT"/>
    <s v="Friday"/>
    <s v="Morning"/>
  </r>
  <r>
    <x v="573"/>
    <s v="2024-06-08 13:37:25"/>
    <x v="10"/>
    <s v="2024-06-14 23:31:25"/>
    <x v="525"/>
    <n v="6.4"/>
    <x v="7"/>
    <s v="Drivers"/>
    <s v="Medium"/>
    <n v="240"/>
    <x v="1"/>
    <s v="Portal"/>
    <s v="Tier 1"/>
    <x v="9"/>
    <x v="0"/>
    <s v="No"/>
    <s v="No"/>
    <n v="1"/>
    <s v="Yes"/>
    <n v="7"/>
    <n v="1.8"/>
    <n v="5.5"/>
    <s v="No"/>
    <s v="Poor"/>
    <s v="Yes"/>
    <s v="IT"/>
    <s v="Thursday"/>
    <s v="Morning"/>
  </r>
  <r>
    <x v="574"/>
    <s v="2024-06-17 18:27:09"/>
    <x v="10"/>
    <s v="2024-06-24 01:57:09"/>
    <x v="526"/>
    <n v="7.3"/>
    <x v="4"/>
    <s v="Performance"/>
    <s v="Medium"/>
    <n v="240"/>
    <x v="1"/>
    <s v="Email"/>
    <s v="Tier 1"/>
    <x v="10"/>
    <x v="0"/>
    <s v="No"/>
    <s v="No"/>
    <n v="1"/>
    <s v="No"/>
    <n v="8"/>
    <n v="3.7"/>
    <n v="26.4"/>
    <s v="Yes"/>
    <s v="Poor"/>
    <s v="No"/>
    <s v="Marketing"/>
    <s v="Wednesday"/>
    <s v="Afternoon"/>
  </r>
  <r>
    <x v="575"/>
    <s v="2024-08-14 23:38:29"/>
    <x v="1"/>
    <s v="2024-08-17 00:32:29"/>
    <x v="527"/>
    <n v="3"/>
    <x v="2"/>
    <s v="WiFi Issues"/>
    <s v="High"/>
    <n v="120"/>
    <x v="1"/>
    <s v="Portal"/>
    <s v="Tier 1"/>
    <x v="10"/>
    <x v="0"/>
    <s v="No"/>
    <s v="No"/>
    <n v="1"/>
    <s v="Yes"/>
    <n v="8"/>
    <n v="3.6"/>
    <n v="15.5"/>
    <s v="Yes"/>
    <s v="Poor"/>
    <s v="Yes"/>
    <s v="Executive"/>
    <s v="Monday"/>
    <s v="Morning"/>
  </r>
  <r>
    <x v="576"/>
    <s v="2024-10-29 16:44:14"/>
    <x v="2"/>
    <s v="2024-11-06 22:50:14"/>
    <x v="528"/>
    <n v="8.3000000000000007"/>
    <x v="1"/>
    <s v="Printer"/>
    <s v="Medium"/>
    <n v="240"/>
    <x v="1"/>
    <s v="Portal"/>
    <s v="Tier 2"/>
    <x v="13"/>
    <x v="2"/>
    <s v="No"/>
    <s v="Yes"/>
    <n v="1"/>
    <s v="No"/>
    <n v="10"/>
    <n v="0.3"/>
    <n v="20.5"/>
    <s v="Yes"/>
    <s v="Poor"/>
    <s v="No"/>
    <s v="Legal"/>
    <s v="Monday"/>
    <s v="Afternoon"/>
  </r>
  <r>
    <x v="577"/>
    <s v="2024-07-08 21:26:22"/>
    <x v="4"/>
    <s v="2024-07-16 05:56:22"/>
    <x v="529"/>
    <n v="7.4"/>
    <x v="0"/>
    <s v="Admin Rights"/>
    <s v="Medium"/>
    <n v="240"/>
    <x v="1"/>
    <s v="Portal"/>
    <s v="Tier 1"/>
    <x v="6"/>
    <x v="2"/>
    <s v="No"/>
    <s v="No"/>
    <n v="1"/>
    <s v="Yes"/>
    <n v="9"/>
    <n v="1.4"/>
    <n v="11"/>
    <s v="Yes"/>
    <s v="Excellent"/>
    <s v="Yes"/>
    <s v="Sales"/>
    <s v="Wednesday"/>
    <s v="Morning"/>
  </r>
  <r>
    <x v="578"/>
    <s v="2024-10-25 19:17:24"/>
    <x v="2"/>
    <s v="2024-11-01 17:59:24"/>
    <x v="522"/>
    <n v="7"/>
    <x v="4"/>
    <s v="Performance"/>
    <s v="High"/>
    <n v="120"/>
    <x v="0"/>
    <s v="Chat"/>
    <s v="Tier 1"/>
    <x v="24"/>
    <x v="2"/>
    <s v="No"/>
    <s v="No"/>
    <n v="1"/>
    <s v="No"/>
    <n v="4"/>
    <n v="2.5"/>
    <n v="32.1"/>
    <s v="Yes"/>
    <s v="Fair"/>
    <s v="Yes"/>
    <s v="Finance"/>
    <s v="Monday"/>
    <s v="Afternoon"/>
  </r>
  <r>
    <x v="579"/>
    <s v="2024-01-24 10:41:24"/>
    <x v="3"/>
    <s v="2024-01-30 21:29:24"/>
    <x v="530"/>
    <n v="6.5"/>
    <x v="7"/>
    <s v="VPN Client"/>
    <s v="Medium"/>
    <n v="240"/>
    <x v="1"/>
    <s v="Email"/>
    <s v="Tier 1"/>
    <x v="2"/>
    <x v="2"/>
    <s v="No"/>
    <s v="No"/>
    <n v="1"/>
    <s v="No"/>
    <n v="8"/>
    <n v="3.9"/>
    <n v="16.399999999999999"/>
    <s v="Yes"/>
    <s v="Fair"/>
    <s v="Yes"/>
    <s v="Sales"/>
    <s v="Monday"/>
    <s v="Morning"/>
  </r>
  <r>
    <x v="580"/>
    <s v="2024-01-14 07:12:37"/>
    <x v="3"/>
    <s v="2024-02-06 13:42:37"/>
    <x v="531"/>
    <n v="23.3"/>
    <x v="0"/>
    <s v="VPN Access"/>
    <s v="Low"/>
    <n v="360"/>
    <x v="0"/>
    <s v="Email"/>
    <s v="Tier 1"/>
    <x v="13"/>
    <x v="0"/>
    <s v="No"/>
    <s v="No"/>
    <n v="1"/>
    <s v="No"/>
    <n v="7"/>
    <n v="2"/>
    <n v="30.4"/>
    <s v="Yes"/>
    <s v="Poor"/>
    <s v="Yes"/>
    <s v="Legal"/>
    <s v="Thursday"/>
    <s v="Afternoon"/>
  </r>
  <r>
    <x v="581"/>
    <s v="2024-06-28 21:18:35"/>
    <x v="10"/>
    <s v="2024-07-04 08:06:35"/>
    <x v="532"/>
    <n v="5.5"/>
    <x v="2"/>
    <s v="WiFi Issues"/>
    <s v="High"/>
    <n v="120"/>
    <x v="0"/>
    <s v="Phone"/>
    <s v="Tier 1"/>
    <x v="6"/>
    <x v="1"/>
    <s v="No"/>
    <s v="No"/>
    <n v="1"/>
    <s v="No"/>
    <n v="3"/>
    <n v="5.2"/>
    <n v="0"/>
    <s v="No"/>
    <s v="Good"/>
    <s v="Yes"/>
    <s v="Legal"/>
    <s v="Thursday"/>
    <s v="Morning"/>
  </r>
  <r>
    <x v="582"/>
    <s v="2024-10-03 20:02:07"/>
    <x v="2"/>
    <s v="2024-10-07 13:14:07"/>
    <x v="533"/>
    <n v="3.7"/>
    <x v="2"/>
    <s v="Ethernet"/>
    <s v="High"/>
    <n v="120"/>
    <x v="1"/>
    <s v="Walk-in"/>
    <s v="Tier 1"/>
    <x v="6"/>
    <x v="1"/>
    <s v="No"/>
    <s v="No"/>
    <n v="1"/>
    <s v="No"/>
    <n v="8"/>
    <n v="4.2"/>
    <n v="30.2"/>
    <s v="No"/>
    <s v="Poor"/>
    <s v="Yes"/>
    <s v="Legal"/>
    <s v="Wednesday"/>
    <s v="Morning"/>
  </r>
  <r>
    <x v="583"/>
    <s v="2024-07-14 22:21:06"/>
    <x v="4"/>
    <s v="2024-07-25 17:33:06"/>
    <x v="534"/>
    <n v="10.8"/>
    <x v="5"/>
    <s v="General Inquiry"/>
    <s v="Low"/>
    <n v="360"/>
    <x v="1"/>
    <s v="Walk-in"/>
    <s v="Tier 1"/>
    <x v="8"/>
    <x v="1"/>
    <s v="No"/>
    <s v="No"/>
    <n v="1"/>
    <s v="No"/>
    <n v="10"/>
    <n v="2.9"/>
    <n v="0"/>
    <s v="No"/>
    <s v="Good"/>
    <s v="Yes"/>
    <s v="Operations"/>
    <s v="Friday"/>
    <s v="Afternoon"/>
  </r>
  <r>
    <x v="584"/>
    <s v="2024-06-17 23:39:55"/>
    <x v="10"/>
    <s v="2024-07-13 17:33:55"/>
    <x v="535"/>
    <n v="25.7"/>
    <x v="3"/>
    <s v="Windows Password"/>
    <s v="Medium"/>
    <n v="240"/>
    <x v="0"/>
    <s v="Email"/>
    <s v="Tier 1"/>
    <x v="16"/>
    <x v="2"/>
    <s v="Yes"/>
    <s v="No"/>
    <n v="0"/>
    <s v="No"/>
    <n v="9"/>
    <n v="1.7"/>
    <n v="19.3"/>
    <s v="No"/>
    <s v="Excellent"/>
    <s v="Yes"/>
    <s v="Marketing"/>
    <s v="Thursday"/>
    <s v="Morning"/>
  </r>
  <r>
    <x v="585"/>
    <s v="2024-04-13 18:52:44"/>
    <x v="11"/>
    <s v="2024-04-22 16:52:44"/>
    <x v="536"/>
    <n v="8.9"/>
    <x v="0"/>
    <s v="Application Access"/>
    <s v="Medium"/>
    <n v="240"/>
    <x v="1"/>
    <s v="Email"/>
    <s v="Tier 1"/>
    <x v="23"/>
    <x v="0"/>
    <s v="Yes"/>
    <s v="No"/>
    <n v="0"/>
    <s v="No"/>
    <n v="10"/>
    <n v="4"/>
    <n v="4.7"/>
    <s v="No"/>
    <s v="Fair"/>
    <s v="Yes"/>
    <s v="Marketing"/>
    <s v="Monday"/>
    <s v="Evening"/>
  </r>
  <r>
    <x v="586"/>
    <s v="2024-09-23 19:07:57"/>
    <x v="9"/>
    <s v="2024-10-04 02:31:57"/>
    <x v="537"/>
    <n v="11.3"/>
    <x v="6"/>
    <s v="Cannot Send/Receive"/>
    <s v="Low"/>
    <n v="360"/>
    <x v="1"/>
    <s v="Email"/>
    <s v="Tier 1"/>
    <x v="17"/>
    <x v="2"/>
    <s v="No"/>
    <s v="No"/>
    <n v="1"/>
    <s v="Yes"/>
    <n v="9"/>
    <n v="4.3"/>
    <n v="43"/>
    <s v="No"/>
    <s v="Fair"/>
    <s v="No"/>
    <s v="Sales"/>
    <s v="Wednesday"/>
    <s v="Morning"/>
  </r>
  <r>
    <x v="587"/>
    <s v="2024-10-03 19:08:28"/>
    <x v="2"/>
    <s v="2024-10-07 01:38:28"/>
    <x v="324"/>
    <n v="4.3"/>
    <x v="6"/>
    <s v="Distribution List"/>
    <s v="High"/>
    <n v="120"/>
    <x v="1"/>
    <s v="Portal"/>
    <s v="Tier 1"/>
    <x v="12"/>
    <x v="1"/>
    <s v="No"/>
    <s v="No"/>
    <n v="1"/>
    <s v="No"/>
    <n v="8"/>
    <n v="4.4000000000000004"/>
    <n v="17.100000000000001"/>
    <s v="Yes"/>
    <s v="Fair"/>
    <s v="No"/>
    <s v="Executive"/>
    <s v="Monday"/>
    <s v="Morning"/>
  </r>
  <r>
    <x v="588"/>
    <s v="2024-12-15 15:49:54"/>
    <x v="0"/>
    <s v="2024-12-24 01:55:54"/>
    <x v="538"/>
    <n v="9.4"/>
    <x v="7"/>
    <s v="MS Office"/>
    <s v="Low"/>
    <n v="360"/>
    <x v="1"/>
    <s v="Phone"/>
    <s v="Tier 1"/>
    <x v="9"/>
    <x v="0"/>
    <s v="No"/>
    <s v="No"/>
    <n v="1"/>
    <s v="No"/>
    <n v="8"/>
    <n v="2.6"/>
    <n v="26.2"/>
    <s v="No"/>
    <s v="Fair"/>
    <s v="No"/>
    <s v="Finance"/>
    <s v="Thursday"/>
    <s v="Evening"/>
  </r>
  <r>
    <x v="589"/>
    <s v="2024-11-15 22:58:04"/>
    <x v="7"/>
    <s v="2024-11-25 08:46:04"/>
    <x v="539"/>
    <n v="9.4"/>
    <x v="3"/>
    <s v="Email Password"/>
    <s v="Low"/>
    <n v="360"/>
    <x v="1"/>
    <s v="Portal"/>
    <s v="Tier 1"/>
    <x v="23"/>
    <x v="0"/>
    <s v="Yes"/>
    <s v="No"/>
    <n v="0"/>
    <s v="No"/>
    <n v="8"/>
    <n v="1.9"/>
    <n v="34.200000000000003"/>
    <s v="No"/>
    <s v="Excellent"/>
    <s v="No"/>
    <s v="Marketing"/>
    <s v="Friday"/>
    <s v="Afternoon"/>
  </r>
  <r>
    <x v="590"/>
    <s v="2024-05-07 16:05:31"/>
    <x v="8"/>
    <s v="2024-05-21 20:47:31"/>
    <x v="419"/>
    <n v="14.2"/>
    <x v="3"/>
    <s v="Application Password"/>
    <s v="Low"/>
    <n v="360"/>
    <x v="1"/>
    <s v="Email"/>
    <s v="Tier 1"/>
    <x v="6"/>
    <x v="2"/>
    <s v="No"/>
    <s v="No"/>
    <n v="1"/>
    <s v="No"/>
    <n v="8"/>
    <n v="2.2000000000000002"/>
    <n v="20.6"/>
    <s v="No"/>
    <s v="Excellent"/>
    <s v="Yes"/>
    <s v="Operations"/>
    <s v="Friday"/>
    <s v="Afternoon"/>
  </r>
  <r>
    <x v="591"/>
    <s v="2024-03-01 13:26:52"/>
    <x v="5"/>
    <s v="2024-03-05 01:20:52"/>
    <x v="540"/>
    <n v="4.5"/>
    <x v="1"/>
    <s v="Docking Station"/>
    <s v="High"/>
    <n v="120"/>
    <x v="1"/>
    <s v="Email"/>
    <s v="Tier 2"/>
    <x v="23"/>
    <x v="1"/>
    <s v="No"/>
    <s v="Yes"/>
    <n v="2"/>
    <s v="No"/>
    <n v="10"/>
    <n v="6.2"/>
    <n v="0.7"/>
    <s v="Yes"/>
    <s v="Poor"/>
    <s v="No"/>
    <s v="Marketing"/>
    <s v="Thursday"/>
    <s v="Morning"/>
  </r>
  <r>
    <x v="592"/>
    <s v="2024-11-03 14:40:19"/>
    <x v="7"/>
    <s v="2024-11-14 23:52:19"/>
    <x v="541"/>
    <n v="11.4"/>
    <x v="7"/>
    <s v="VPN Client"/>
    <s v="Low"/>
    <n v="360"/>
    <x v="1"/>
    <s v="Phone"/>
    <s v="Tier 2"/>
    <x v="11"/>
    <x v="0"/>
    <s v="No"/>
    <s v="Yes"/>
    <n v="3"/>
    <s v="No"/>
    <n v="7"/>
    <n v="4.8"/>
    <n v="7"/>
    <s v="Yes"/>
    <s v="Poor"/>
    <s v="Yes"/>
    <s v="HR"/>
    <s v="Wednesday"/>
    <s v="Afternoon"/>
  </r>
  <r>
    <x v="593"/>
    <s v="2024-01-12 07:20:54"/>
    <x v="3"/>
    <s v="2024-01-15 10:20:54"/>
    <x v="32"/>
    <n v="3.1"/>
    <x v="4"/>
    <s v="Performance"/>
    <s v="High"/>
    <n v="120"/>
    <x v="1"/>
    <s v="Phone"/>
    <s v="Tier 1"/>
    <x v="6"/>
    <x v="0"/>
    <s v="No"/>
    <s v="No"/>
    <n v="1"/>
    <s v="No"/>
    <n v="9"/>
    <n v="0.1"/>
    <n v="27.3"/>
    <s v="Yes"/>
    <s v="Excellent"/>
    <s v="No"/>
    <s v="IT"/>
    <s v="Thursday"/>
    <s v="Morning"/>
  </r>
  <r>
    <x v="594"/>
    <s v="2024-03-26 06:58:58"/>
    <x v="5"/>
    <s v="2024-05-07 02:28:58"/>
    <x v="542"/>
    <n v="42.8"/>
    <x v="7"/>
    <s v="Adobe Suite"/>
    <s v="Low"/>
    <n v="360"/>
    <x v="0"/>
    <s v="Phone"/>
    <s v="Tier 1"/>
    <x v="17"/>
    <x v="0"/>
    <s v="Yes"/>
    <s v="No"/>
    <n v="0"/>
    <s v="Yes"/>
    <n v="9"/>
    <n v="2.8"/>
    <n v="18.600000000000001"/>
    <s v="No"/>
    <s v="Good"/>
    <s v="Yes"/>
    <s v="IT"/>
    <s v="Monday"/>
    <s v="Afternoon"/>
  </r>
  <r>
    <x v="595"/>
    <s v="2024-03-13 22:58:20"/>
    <x v="5"/>
    <s v="2024-03-20 05:16:20"/>
    <x v="543"/>
    <n v="6.3"/>
    <x v="0"/>
    <s v="Application Access"/>
    <s v="Medium"/>
    <n v="240"/>
    <x v="1"/>
    <s v="Phone"/>
    <s v="Tier 1"/>
    <x v="8"/>
    <x v="2"/>
    <s v="No"/>
    <s v="No"/>
    <n v="1"/>
    <s v="No"/>
    <n v="10"/>
    <n v="3.3"/>
    <n v="24.1"/>
    <s v="Yes"/>
    <s v="Good"/>
    <s v="No"/>
    <s v="Executive"/>
    <s v="Friday"/>
    <s v="Morning"/>
  </r>
  <r>
    <x v="596"/>
    <s v="2024-04-01 00:26:01"/>
    <x v="11"/>
    <s v="2024-04-10 13:32:01"/>
    <x v="544"/>
    <n v="8.5"/>
    <x v="0"/>
    <s v="VPN Access"/>
    <s v="Medium"/>
    <n v="240"/>
    <x v="1"/>
    <s v="Phone"/>
    <s v="Tier 1"/>
    <x v="1"/>
    <x v="2"/>
    <s v="Yes"/>
    <s v="No"/>
    <n v="0"/>
    <s v="No"/>
    <n v="10"/>
    <n v="1.8"/>
    <n v="20"/>
    <s v="Yes"/>
    <s v="Poor"/>
    <s v="No"/>
    <s v="Sales"/>
    <s v="Wednesday"/>
    <s v="Evening"/>
  </r>
  <r>
    <x v="597"/>
    <s v="2024-06-20 06:34:06"/>
    <x v="10"/>
    <s v="2024-07-06 04:04:06"/>
    <x v="545"/>
    <n v="15.9"/>
    <x v="3"/>
    <s v="Windows Password"/>
    <s v="Low"/>
    <n v="360"/>
    <x v="0"/>
    <s v="Portal"/>
    <s v="Tier 1"/>
    <x v="17"/>
    <x v="0"/>
    <s v="No"/>
    <s v="No"/>
    <n v="1"/>
    <s v="No"/>
    <n v="8"/>
    <n v="0.1"/>
    <n v="24.7"/>
    <s v="Yes"/>
    <s v="Fair"/>
    <s v="Yes"/>
    <s v="Operations"/>
    <s v="Thursday"/>
    <s v="Morning"/>
  </r>
  <r>
    <x v="598"/>
    <s v="2024-08-24 06:09:36"/>
    <x v="1"/>
    <s v="2024-08-27 15:27:36"/>
    <x v="546"/>
    <n v="3.4"/>
    <x v="4"/>
    <s v="Login Issues"/>
    <s v="High"/>
    <n v="120"/>
    <x v="1"/>
    <s v="Email"/>
    <s v="Tier 1"/>
    <x v="18"/>
    <x v="1"/>
    <s v="No"/>
    <s v="No"/>
    <n v="1"/>
    <s v="Yes"/>
    <n v="10"/>
    <n v="5.4"/>
    <n v="13.4"/>
    <s v="Yes"/>
    <s v="Good"/>
    <s v="Yes"/>
    <s v="Legal"/>
    <s v="Wednesday"/>
    <s v="Evening"/>
  </r>
  <r>
    <x v="599"/>
    <s v="2024-12-07 15:25:03"/>
    <x v="0"/>
    <s v="2024-12-18 02:55:03"/>
    <x v="547"/>
    <n v="10.5"/>
    <x v="6"/>
    <s v="Cannot Send/Receive"/>
    <s v="Medium"/>
    <n v="240"/>
    <x v="0"/>
    <s v="Email"/>
    <s v="Tier 1"/>
    <x v="14"/>
    <x v="0"/>
    <s v="No"/>
    <s v="No"/>
    <n v="1"/>
    <s v="No"/>
    <n v="5"/>
    <n v="3.4"/>
    <n v="42.9"/>
    <s v="Yes"/>
    <s v="Fair"/>
    <s v="No"/>
    <s v="Finance"/>
    <s v="Monday"/>
    <s v="Afternoon"/>
  </r>
  <r>
    <x v="600"/>
    <s v="2024-08-28 01:10:20"/>
    <x v="1"/>
    <s v="2024-09-09 15:10:20"/>
    <x v="548"/>
    <n v="11.6"/>
    <x v="0"/>
    <s v="VPN Access"/>
    <s v="Low"/>
    <n v="360"/>
    <x v="1"/>
    <s v="Email"/>
    <s v="Tier 1"/>
    <x v="11"/>
    <x v="1"/>
    <s v="Yes"/>
    <s v="No"/>
    <n v="0"/>
    <s v="No"/>
    <n v="10"/>
    <n v="1.5"/>
    <n v="0"/>
    <s v="No"/>
    <s v="Fair"/>
    <s v="No"/>
    <s v="Marketing"/>
    <s v="Thursday"/>
    <s v="Evening"/>
  </r>
  <r>
    <x v="601"/>
    <s v="2024-12-29 00:47:09"/>
    <x v="0"/>
    <s v="2025-01-08 04:35:09"/>
    <x v="549"/>
    <n v="9.1999999999999993"/>
    <x v="1"/>
    <s v="Printer"/>
    <s v="Medium"/>
    <n v="240"/>
    <x v="1"/>
    <s v="Phone"/>
    <s v="Tier 1"/>
    <x v="7"/>
    <x v="2"/>
    <s v="No"/>
    <s v="No"/>
    <n v="1"/>
    <s v="No"/>
    <n v="9"/>
    <n v="2.2000000000000002"/>
    <n v="20"/>
    <s v="No"/>
    <s v="Poor"/>
    <s v="No"/>
    <s v="Operations"/>
    <s v="Wednesday"/>
    <s v="Morning"/>
  </r>
  <r>
    <x v="602"/>
    <s v="2024-03-05 06:46:41"/>
    <x v="5"/>
    <s v="2024-03-10 20:52:41"/>
    <x v="550"/>
    <n v="5.6"/>
    <x v="4"/>
    <s v="Features Not Working"/>
    <s v="High"/>
    <n v="120"/>
    <x v="0"/>
    <s v="Phone"/>
    <s v="Tier 2"/>
    <x v="13"/>
    <x v="2"/>
    <s v="No"/>
    <s v="Yes"/>
    <n v="1"/>
    <s v="Yes"/>
    <n v="5"/>
    <n v="3.8"/>
    <n v="21.4"/>
    <s v="No"/>
    <s v="Good"/>
    <s v="Yes"/>
    <s v="IT"/>
    <s v="Monday"/>
    <s v="Morning"/>
  </r>
  <r>
    <x v="603"/>
    <s v="2024-07-02 17:09:56"/>
    <x v="4"/>
    <s v="2024-07-13 09:21:56"/>
    <x v="551"/>
    <n v="10.7"/>
    <x v="3"/>
    <s v="Windows Password"/>
    <s v="Low"/>
    <n v="360"/>
    <x v="1"/>
    <s v="Walk-in"/>
    <s v="Tier 1"/>
    <x v="2"/>
    <x v="2"/>
    <s v="Yes"/>
    <s v="No"/>
    <n v="0"/>
    <s v="No"/>
    <n v="10"/>
    <n v="0.8"/>
    <n v="28.5"/>
    <s v="No"/>
    <s v="Good"/>
    <s v="Yes"/>
    <s v="Sales"/>
    <s v="Wednesday"/>
    <s v="Morning"/>
  </r>
  <r>
    <x v="604"/>
    <s v="2024-09-17 10:20:34"/>
    <x v="9"/>
    <s v="2024-09-28 02:02:34"/>
    <x v="552"/>
    <n v="11.7"/>
    <x v="0"/>
    <s v="File Share"/>
    <s v="Medium"/>
    <n v="240"/>
    <x v="0"/>
    <s v="Email"/>
    <s v="Tier 2"/>
    <x v="7"/>
    <x v="1"/>
    <s v="No"/>
    <s v="Yes"/>
    <n v="1"/>
    <s v="No"/>
    <n v="7"/>
    <n v="4"/>
    <n v="0"/>
    <s v="Yes"/>
    <s v="Excellent"/>
    <s v="Yes"/>
    <s v="Marketing"/>
    <s v="Tuesday"/>
    <s v="Morning"/>
  </r>
  <r>
    <x v="605"/>
    <s v="2024-05-21 04:02:53"/>
    <x v="8"/>
    <s v="2024-06-01 05:32:53"/>
    <x v="553"/>
    <n v="11.1"/>
    <x v="3"/>
    <s v="Account Unlock"/>
    <s v="Low"/>
    <n v="360"/>
    <x v="1"/>
    <s v="Phone"/>
    <s v="Tier 1"/>
    <x v="3"/>
    <x v="0"/>
    <s v="No"/>
    <s v="No"/>
    <n v="1"/>
    <s v="No"/>
    <n v="7"/>
    <n v="6.8"/>
    <n v="21.2"/>
    <s v="No"/>
    <s v="Good"/>
    <s v="Yes"/>
    <s v="HR"/>
    <s v="Thursday"/>
    <s v="Afternoon"/>
  </r>
  <r>
    <x v="606"/>
    <s v="2024-08-10 03:17:36"/>
    <x v="1"/>
    <s v="2024-08-19 16:29:36"/>
    <x v="494"/>
    <n v="9.5"/>
    <x v="3"/>
    <s v="Account Unlock"/>
    <s v="Low"/>
    <n v="360"/>
    <x v="1"/>
    <s v="Portal"/>
    <s v="Tier 1"/>
    <x v="18"/>
    <x v="2"/>
    <s v="Yes"/>
    <s v="No"/>
    <n v="0"/>
    <s v="No"/>
    <n v="8"/>
    <n v="3"/>
    <n v="23.1"/>
    <s v="No"/>
    <s v="Good"/>
    <s v="No"/>
    <s v="HR"/>
    <s v="Friday"/>
    <s v="Morning"/>
  </r>
  <r>
    <x v="607"/>
    <s v="2024-11-05 21:58:45"/>
    <x v="7"/>
    <s v="2024-12-17 12:10:45"/>
    <x v="554"/>
    <n v="41.6"/>
    <x v="3"/>
    <s v="Account Unlock"/>
    <s v="Low"/>
    <n v="360"/>
    <x v="0"/>
    <s v="Email"/>
    <s v="Tier 1"/>
    <x v="0"/>
    <x v="0"/>
    <s v="Yes"/>
    <s v="No"/>
    <n v="0"/>
    <s v="No"/>
    <n v="8"/>
    <n v="3"/>
    <n v="0"/>
    <s v="No"/>
    <s v="Fair"/>
    <s v="Yes"/>
    <s v="Executive"/>
    <s v="Thursday"/>
    <s v="Morning"/>
  </r>
  <r>
    <x v="608"/>
    <s v="2024-11-24 18:55:45"/>
    <x v="7"/>
    <s v="2024-12-08 07:37:45"/>
    <x v="555"/>
    <n v="13.5"/>
    <x v="7"/>
    <s v="Adobe Suite"/>
    <s v="Low"/>
    <n v="360"/>
    <x v="1"/>
    <s v="Portal"/>
    <s v="Tier 1"/>
    <x v="20"/>
    <x v="2"/>
    <s v="Yes"/>
    <s v="No"/>
    <n v="0"/>
    <s v="No"/>
    <n v="8"/>
    <n v="2.1"/>
    <n v="13.2"/>
    <s v="Yes"/>
    <s v="Poor"/>
    <s v="Yes"/>
    <s v="Sales"/>
    <s v="Wednesday"/>
    <s v="Morning"/>
  </r>
  <r>
    <x v="609"/>
    <s v="2024-05-20 12:20:07"/>
    <x v="8"/>
    <s v="2024-05-24 21:32:07"/>
    <x v="556"/>
    <n v="4.4000000000000004"/>
    <x v="7"/>
    <s v="MS Office"/>
    <s v="High"/>
    <n v="120"/>
    <x v="1"/>
    <s v="Portal"/>
    <s v="Tier 2"/>
    <x v="2"/>
    <x v="0"/>
    <s v="No"/>
    <s v="Yes"/>
    <n v="1"/>
    <s v="No"/>
    <n v="9"/>
    <n v="2.7"/>
    <n v="29.1"/>
    <s v="Yes"/>
    <s v="Fair"/>
    <s v="Yes"/>
    <s v="Sales"/>
    <s v="Thursday"/>
    <s v="Morning"/>
  </r>
  <r>
    <x v="610"/>
    <s v="2024-02-22 20:11:18"/>
    <x v="6"/>
    <s v="2024-02-27 09:35:18"/>
    <x v="557"/>
    <n v="4.5999999999999996"/>
    <x v="1"/>
    <s v="Keyboard/Mouse"/>
    <s v="High"/>
    <n v="120"/>
    <x v="1"/>
    <s v="Phone"/>
    <s v="Tier 2"/>
    <x v="15"/>
    <x v="1"/>
    <s v="No"/>
    <s v="Yes"/>
    <n v="3"/>
    <s v="No"/>
    <n v="10"/>
    <n v="5"/>
    <n v="25.4"/>
    <s v="No"/>
    <s v="Poor"/>
    <s v="Yes"/>
    <s v="Sales"/>
    <s v="Wednesday"/>
    <s v="Morning"/>
  </r>
  <r>
    <x v="611"/>
    <s v="2024-07-04 15:52:22"/>
    <x v="4"/>
    <s v="2024-07-09 03:52:22"/>
    <x v="558"/>
    <n v="4.5"/>
    <x v="7"/>
    <s v="Drivers"/>
    <s v="High"/>
    <n v="120"/>
    <x v="1"/>
    <s v="Email"/>
    <s v="Tier 2"/>
    <x v="6"/>
    <x v="2"/>
    <s v="No"/>
    <s v="Yes"/>
    <n v="4"/>
    <s v="No"/>
    <n v="7"/>
    <n v="2.4"/>
    <n v="44.1"/>
    <s v="Yes"/>
    <s v="Good"/>
    <s v="No"/>
    <s v="Legal"/>
    <s v="Friday"/>
    <s v="Afternoon"/>
  </r>
  <r>
    <x v="612"/>
    <s v="2024-07-18 04:45:05"/>
    <x v="4"/>
    <s v="2024-07-22 10:09:05"/>
    <x v="559"/>
    <n v="4.2"/>
    <x v="0"/>
    <s v="VPN Access"/>
    <s v="High"/>
    <n v="120"/>
    <x v="1"/>
    <s v="Email"/>
    <s v="Tier 2"/>
    <x v="14"/>
    <x v="0"/>
    <s v="No"/>
    <s v="Yes"/>
    <n v="1"/>
    <s v="No"/>
    <n v="8"/>
    <n v="0.8"/>
    <n v="38.9"/>
    <s v="No"/>
    <s v="Fair"/>
    <s v="Yes"/>
    <s v="Marketing"/>
    <s v="Tuesday"/>
    <s v="Evening"/>
  </r>
  <r>
    <x v="613"/>
    <s v="2024-02-24 04:56:37"/>
    <x v="6"/>
    <s v="2024-03-09 22:14:37"/>
    <x v="560"/>
    <n v="14.7"/>
    <x v="0"/>
    <s v="File Share"/>
    <s v="Medium"/>
    <n v="240"/>
    <x v="0"/>
    <s v="Phone"/>
    <s v="Tier 1"/>
    <x v="17"/>
    <x v="1"/>
    <s v="No"/>
    <s v="No"/>
    <n v="1"/>
    <s v="No"/>
    <n v="6"/>
    <n v="8.4"/>
    <n v="10.8"/>
    <s v="No"/>
    <s v="Poor"/>
    <s v="No"/>
    <s v="Marketing"/>
    <s v="Tuesday"/>
    <s v="Afternoon"/>
  </r>
  <r>
    <x v="614"/>
    <s v="2024-12-07 16:46:46"/>
    <x v="0"/>
    <s v="2024-12-11 14:22:46"/>
    <x v="561"/>
    <n v="3.9"/>
    <x v="1"/>
    <s v="Docking Station"/>
    <s v="High"/>
    <n v="120"/>
    <x v="1"/>
    <s v="Email"/>
    <s v="Tier 2"/>
    <x v="13"/>
    <x v="1"/>
    <s v="No"/>
    <s v="Yes"/>
    <n v="1"/>
    <s v="No"/>
    <n v="7"/>
    <n v="1.3"/>
    <n v="8.9"/>
    <s v="No"/>
    <s v="Fair"/>
    <s v="Yes"/>
    <s v="Finance"/>
    <s v="Monday"/>
    <s v="Afternoon"/>
  </r>
  <r>
    <x v="615"/>
    <s v="2024-02-20 02:23:53"/>
    <x v="6"/>
    <s v="2024-02-26 02:29:53"/>
    <x v="562"/>
    <n v="6"/>
    <x v="3"/>
    <s v="Windows Password"/>
    <s v="High"/>
    <n v="120"/>
    <x v="0"/>
    <s v="Email"/>
    <s v="Tier 1"/>
    <x v="16"/>
    <x v="0"/>
    <s v="Yes"/>
    <s v="No"/>
    <n v="0"/>
    <s v="No"/>
    <n v="7"/>
    <n v="1.6"/>
    <n v="31.5"/>
    <s v="Yes"/>
    <s v="Fair"/>
    <s v="Yes"/>
    <s v="Executive"/>
    <s v="Thursday"/>
    <s v="Morning"/>
  </r>
  <r>
    <x v="616"/>
    <s v="2024-08-19 00:21:29"/>
    <x v="1"/>
    <s v="2024-08-27 01:27:29"/>
    <x v="563"/>
    <n v="8"/>
    <x v="6"/>
    <s v="Cannot Send/Receive"/>
    <s v="Medium"/>
    <n v="240"/>
    <x v="1"/>
    <s v="Phone"/>
    <s v="Tier 1"/>
    <x v="21"/>
    <x v="0"/>
    <s v="No"/>
    <s v="No"/>
    <n v="1"/>
    <s v="No"/>
    <n v="8"/>
    <n v="1.3"/>
    <n v="6.4"/>
    <s v="Yes"/>
    <s v="Fair"/>
    <s v="No"/>
    <s v="Executive"/>
    <s v="Wednesday"/>
    <s v="Morning"/>
  </r>
  <r>
    <x v="617"/>
    <s v="2024-08-14 18:38:28"/>
    <x v="1"/>
    <s v="2024-08-27 18:50:28"/>
    <x v="564"/>
    <n v="13"/>
    <x v="5"/>
    <s v="General Inquiry"/>
    <s v="Low"/>
    <n v="360"/>
    <x v="1"/>
    <s v="Email"/>
    <s v="Tier 1"/>
    <x v="6"/>
    <x v="2"/>
    <s v="Yes"/>
    <s v="No"/>
    <n v="0"/>
    <s v="Yes"/>
    <n v="10"/>
    <n v="1.1000000000000001"/>
    <n v="18.899999999999999"/>
    <s v="Yes"/>
    <s v="Fair"/>
    <s v="Yes"/>
    <s v="IT"/>
    <s v="Tuesday"/>
    <s v="Morning"/>
  </r>
  <r>
    <x v="618"/>
    <s v="2024-11-02 07:20:41"/>
    <x v="7"/>
    <s v="2024-11-10 09:02:41"/>
    <x v="565"/>
    <n v="8.1"/>
    <x v="4"/>
    <s v="Features Not Working"/>
    <s v="Medium"/>
    <n v="240"/>
    <x v="1"/>
    <s v="Phone"/>
    <s v="Tier 2"/>
    <x v="16"/>
    <x v="1"/>
    <s v="No"/>
    <s v="Yes"/>
    <n v="1"/>
    <s v="No"/>
    <n v="7"/>
    <n v="5"/>
    <n v="14.5"/>
    <s v="No"/>
    <s v="Poor"/>
    <s v="No"/>
    <s v="Marketing"/>
    <s v="Friday"/>
    <s v="Morning"/>
  </r>
  <r>
    <x v="619"/>
    <s v="2024-10-10 00:00:36"/>
    <x v="2"/>
    <s v="2024-10-29 19:30:36"/>
    <x v="566"/>
    <n v="18.899999999999999"/>
    <x v="0"/>
    <s v="Admin Rights"/>
    <s v="Medium"/>
    <n v="240"/>
    <x v="0"/>
    <s v="Walk-in"/>
    <s v="Tier 1"/>
    <x v="1"/>
    <x v="0"/>
    <s v="Yes"/>
    <s v="No"/>
    <n v="0"/>
    <s v="Yes"/>
    <n v="7"/>
    <n v="3.3"/>
    <n v="17.2"/>
    <s v="Yes"/>
    <s v="Good"/>
    <s v="No"/>
    <s v="Operations"/>
    <s v="Wednesday"/>
    <s v="Afternoon"/>
  </r>
  <r>
    <x v="620"/>
    <s v="2024-06-11 18:47:49"/>
    <x v="10"/>
    <s v="2024-07-10 05:59:49"/>
    <x v="567"/>
    <n v="28.5"/>
    <x v="7"/>
    <s v="MS Office"/>
    <s v="Medium"/>
    <n v="240"/>
    <x v="0"/>
    <s v="Email"/>
    <s v="Tier 1"/>
    <x v="3"/>
    <x v="2"/>
    <s v="No"/>
    <s v="No"/>
    <n v="1"/>
    <s v="No"/>
    <n v="5"/>
    <n v="1.7"/>
    <n v="22.7"/>
    <s v="Yes"/>
    <s v="Good"/>
    <s v="Yes"/>
    <s v="Finance"/>
    <s v="Tuesday"/>
    <s v="Evening"/>
  </r>
  <r>
    <x v="621"/>
    <s v="2024-10-02 21:56:43"/>
    <x v="2"/>
    <s v="2024-10-16 07:26:43"/>
    <x v="568"/>
    <n v="13.4"/>
    <x v="3"/>
    <s v="Application Password"/>
    <s v="Low"/>
    <n v="360"/>
    <x v="1"/>
    <s v="Walk-in"/>
    <s v="Tier 1"/>
    <x v="10"/>
    <x v="1"/>
    <s v="Yes"/>
    <s v="No"/>
    <n v="0"/>
    <s v="No"/>
    <n v="9"/>
    <n v="1.5"/>
    <n v="9.8000000000000007"/>
    <s v="Yes"/>
    <s v="Poor"/>
    <s v="No"/>
    <s v="IT"/>
    <s v="Thursday"/>
    <s v="Morning"/>
  </r>
  <r>
    <x v="622"/>
    <s v="2024-06-12 22:06:43"/>
    <x v="10"/>
    <s v="2024-06-16 11:06:43"/>
    <x v="364"/>
    <n v="3.5"/>
    <x v="4"/>
    <s v="Features Not Working"/>
    <s v="High"/>
    <n v="120"/>
    <x v="1"/>
    <s v="Phone"/>
    <s v="Tier 1"/>
    <x v="0"/>
    <x v="1"/>
    <s v="No"/>
    <s v="No"/>
    <n v="1"/>
    <s v="No"/>
    <n v="5"/>
    <n v="4.0999999999999996"/>
    <n v="6"/>
    <s v="Yes"/>
    <s v="Good"/>
    <s v="Yes"/>
    <s v="Sales"/>
    <s v="Thursday"/>
    <s v="Afternoon"/>
  </r>
  <r>
    <x v="623"/>
    <s v="2024-11-20 05:21:31"/>
    <x v="7"/>
    <s v="2024-11-29 07:27:31"/>
    <x v="569"/>
    <n v="9.1"/>
    <x v="0"/>
    <s v="VPN Access"/>
    <s v="Low"/>
    <n v="360"/>
    <x v="1"/>
    <s v="Phone"/>
    <s v="Tier 1"/>
    <x v="24"/>
    <x v="1"/>
    <s v="No"/>
    <s v="No"/>
    <n v="1"/>
    <s v="Yes"/>
    <n v="6"/>
    <n v="3.9"/>
    <n v="29.1"/>
    <s v="Yes"/>
    <s v="Poor"/>
    <s v="Yes"/>
    <s v="Finance"/>
    <s v="Friday"/>
    <s v="Morning"/>
  </r>
  <r>
    <x v="624"/>
    <s v="2024-07-04 02:50:33"/>
    <x v="4"/>
    <s v="2024-07-09 18:20:33"/>
    <x v="570"/>
    <n v="4.5999999999999996"/>
    <x v="4"/>
    <s v="Login Issues"/>
    <s v="Critical"/>
    <n v="48"/>
    <x v="0"/>
    <s v="Phone"/>
    <s v="Tier 2"/>
    <x v="0"/>
    <x v="2"/>
    <s v="No"/>
    <s v="Yes"/>
    <n v="4"/>
    <s v="No"/>
    <n v="2"/>
    <n v="0.1"/>
    <n v="37.6"/>
    <s v="Yes"/>
    <s v="Poor"/>
    <s v="No"/>
    <s v="HR"/>
    <s v="Thursday"/>
    <s v="Morning"/>
  </r>
  <r>
    <x v="625"/>
    <s v="2024-05-02 09:27:36"/>
    <x v="8"/>
    <s v="2024-05-04 18:09:36"/>
    <x v="571"/>
    <n v="2.4"/>
    <x v="3"/>
    <s v="Account Unlock"/>
    <s v="Critical"/>
    <n v="48"/>
    <x v="0"/>
    <s v="Email"/>
    <s v="Tier 1"/>
    <x v="8"/>
    <x v="1"/>
    <s v="Yes"/>
    <s v="No"/>
    <n v="0"/>
    <s v="Yes"/>
    <n v="7"/>
    <n v="1.8"/>
    <n v="35.299999999999997"/>
    <s v="No"/>
    <s v="Fair"/>
    <s v="Yes"/>
    <s v="HR"/>
    <s v="Friday"/>
    <s v="Evening"/>
  </r>
  <r>
    <x v="626"/>
    <s v="2024-01-18 19:22:55"/>
    <x v="3"/>
    <s v="2024-01-20 12:28:55"/>
    <x v="572"/>
    <n v="1.7"/>
    <x v="0"/>
    <s v="Application Access"/>
    <s v="Critical"/>
    <n v="48"/>
    <x v="1"/>
    <s v="Phone"/>
    <s v="Tier 2"/>
    <x v="6"/>
    <x v="2"/>
    <s v="No"/>
    <s v="Yes"/>
    <n v="1"/>
    <s v="No"/>
    <n v="7"/>
    <n v="1.6"/>
    <n v="21.7"/>
    <s v="No"/>
    <s v="Fair"/>
    <s v="Yes"/>
    <s v="Legal"/>
    <s v="Thursday"/>
    <s v="Morning"/>
  </r>
  <r>
    <x v="627"/>
    <s v="2024-05-08 06:22:55"/>
    <x v="8"/>
    <s v="2024-05-21 19:34:55"/>
    <x v="573"/>
    <n v="13.6"/>
    <x v="1"/>
    <s v="Desktop"/>
    <s v="Medium"/>
    <n v="240"/>
    <x v="0"/>
    <s v="Walk-in"/>
    <s v="Tier 1"/>
    <x v="23"/>
    <x v="2"/>
    <s v="No"/>
    <s v="No"/>
    <n v="1"/>
    <s v="No"/>
    <n v="9"/>
    <n v="4.4000000000000004"/>
    <n v="6.7"/>
    <s v="Yes"/>
    <s v="Fair"/>
    <s v="No"/>
    <s v="Sales"/>
    <s v="Thursday"/>
    <s v="Morning"/>
  </r>
  <r>
    <x v="628"/>
    <s v="2024-06-11 07:42:02"/>
    <x v="10"/>
    <s v="2024-06-14 13:06:02"/>
    <x v="67"/>
    <n v="3.2"/>
    <x v="0"/>
    <s v="File Share"/>
    <s v="High"/>
    <n v="120"/>
    <x v="1"/>
    <s v="Walk-in"/>
    <s v="Tier 2"/>
    <x v="5"/>
    <x v="2"/>
    <s v="No"/>
    <s v="Yes"/>
    <n v="4"/>
    <s v="Yes"/>
    <n v="9"/>
    <n v="2.7"/>
    <n v="29.3"/>
    <s v="Yes"/>
    <s v="Good"/>
    <s v="Yes"/>
    <s v="Operations"/>
    <s v="Monday"/>
    <s v="Afternoon"/>
  </r>
  <r>
    <x v="629"/>
    <s v="2024-09-02 20:16:14"/>
    <x v="9"/>
    <s v="2024-09-09 21:46:14"/>
    <x v="574"/>
    <n v="7.1"/>
    <x v="3"/>
    <s v="Windows Password"/>
    <s v="Medium"/>
    <n v="240"/>
    <x v="1"/>
    <s v="Phone"/>
    <s v="Tier 1"/>
    <x v="21"/>
    <x v="0"/>
    <s v="Yes"/>
    <s v="No"/>
    <n v="0"/>
    <s v="No"/>
    <n v="10"/>
    <n v="2.2000000000000002"/>
    <n v="18.3"/>
    <s v="Yes"/>
    <s v="Poor"/>
    <s v="Yes"/>
    <s v="Operations"/>
    <s v="Wednesday"/>
    <s v="Morning"/>
  </r>
  <r>
    <x v="630"/>
    <s v="2024-05-18 22:12:02"/>
    <x v="8"/>
    <s v="2024-06-09 23:42:02"/>
    <x v="575"/>
    <n v="22.1"/>
    <x v="0"/>
    <s v="Application Access"/>
    <s v="Medium"/>
    <n v="240"/>
    <x v="0"/>
    <s v="Email"/>
    <s v="Tier 1"/>
    <x v="4"/>
    <x v="2"/>
    <s v="No"/>
    <s v="No"/>
    <n v="1"/>
    <s v="No"/>
    <n v="4"/>
    <n v="2.8"/>
    <n v="7.8"/>
    <s v="Yes"/>
    <s v="Fair"/>
    <s v="No"/>
    <s v="IT"/>
    <s v="Tuesday"/>
    <s v="Afternoon"/>
  </r>
  <r>
    <x v="631"/>
    <s v="2024-08-17 09:14:42"/>
    <x v="1"/>
    <s v="2024-08-21 13:02:42"/>
    <x v="576"/>
    <n v="4.2"/>
    <x v="1"/>
    <s v="Monitor"/>
    <s v="High"/>
    <n v="120"/>
    <x v="1"/>
    <s v="Phone"/>
    <s v="Tier 2"/>
    <x v="17"/>
    <x v="2"/>
    <s v="No"/>
    <s v="Yes"/>
    <n v="4"/>
    <s v="Yes"/>
    <n v="8"/>
    <n v="2.1"/>
    <n v="31.5"/>
    <s v="Yes"/>
    <s v="Good"/>
    <s v="Yes"/>
    <s v="Executive"/>
    <s v="Tuesday"/>
    <s v="Morning"/>
  </r>
  <r>
    <x v="632"/>
    <s v="2024-02-02 19:25:23"/>
    <x v="6"/>
    <s v="2024-03-16 11:25:23"/>
    <x v="577"/>
    <n v="42.7"/>
    <x v="3"/>
    <s v="Windows Password"/>
    <s v="Low"/>
    <n v="360"/>
    <x v="0"/>
    <s v="Email"/>
    <s v="Tier 1"/>
    <x v="15"/>
    <x v="2"/>
    <s v="No"/>
    <s v="No"/>
    <n v="1"/>
    <s v="No"/>
    <n v="7"/>
    <n v="1.7"/>
    <n v="0.9"/>
    <s v="No"/>
    <s v="Good"/>
    <s v="No"/>
    <s v="Finance"/>
    <s v="Tuesday"/>
    <s v="Morning"/>
  </r>
  <r>
    <x v="633"/>
    <s v="2024-08-17 12:50:45"/>
    <x v="1"/>
    <s v="2024-08-20 18:14:45"/>
    <x v="67"/>
    <n v="3.2"/>
    <x v="0"/>
    <s v="VPN Access"/>
    <s v="High"/>
    <n v="120"/>
    <x v="1"/>
    <s v="Phone"/>
    <s v="Tier 1"/>
    <x v="23"/>
    <x v="1"/>
    <s v="No"/>
    <s v="No"/>
    <n v="1"/>
    <s v="Yes"/>
    <n v="9"/>
    <n v="2.2000000000000002"/>
    <n v="0"/>
    <s v="Yes"/>
    <s v="Fair"/>
    <s v="Yes"/>
    <s v="IT"/>
    <s v="Friday"/>
    <s v="Evening"/>
  </r>
  <r>
    <x v="634"/>
    <s v="2024-08-11 01:18:24"/>
    <x v="1"/>
    <s v="2024-08-16 07:06:24"/>
    <x v="578"/>
    <n v="4.2"/>
    <x v="0"/>
    <s v="Admin Rights"/>
    <s v="High"/>
    <n v="120"/>
    <x v="1"/>
    <s v="Walk-in"/>
    <s v="Tier 1"/>
    <x v="10"/>
    <x v="0"/>
    <s v="Yes"/>
    <s v="No"/>
    <n v="0"/>
    <s v="No"/>
    <n v="10"/>
    <n v="6"/>
    <n v="22.6"/>
    <s v="No"/>
    <s v="Good"/>
    <s v="No"/>
    <s v="HR"/>
    <s v="Thursday"/>
    <s v="Afternoon"/>
  </r>
  <r>
    <x v="635"/>
    <s v="2024-11-27 16:08:58"/>
    <x v="7"/>
    <s v="2024-12-08 11:50:58"/>
    <x v="579"/>
    <n v="10.8"/>
    <x v="0"/>
    <s v="VPN Access"/>
    <s v="Low"/>
    <n v="360"/>
    <x v="1"/>
    <s v="Email"/>
    <s v="Tier 1"/>
    <x v="4"/>
    <x v="2"/>
    <s v="No"/>
    <s v="No"/>
    <n v="1"/>
    <s v="No"/>
    <n v="8"/>
    <n v="3.5"/>
    <n v="6.6"/>
    <s v="Yes"/>
    <s v="Good"/>
    <s v="Yes"/>
    <s v="Operations"/>
    <s v="Thursday"/>
    <s v="Morning"/>
  </r>
  <r>
    <x v="636"/>
    <s v="2024-05-31 03:41:55"/>
    <x v="8"/>
    <s v="2024-06-10 14:23:55"/>
    <x v="580"/>
    <n v="10.4"/>
    <x v="0"/>
    <s v="VPN Access"/>
    <s v="High"/>
    <n v="120"/>
    <x v="0"/>
    <s v="Email"/>
    <s v="Tier 1"/>
    <x v="3"/>
    <x v="2"/>
    <s v="Yes"/>
    <s v="No"/>
    <n v="0"/>
    <s v="No"/>
    <n v="6"/>
    <n v="5.8"/>
    <n v="12.6"/>
    <s v="No"/>
    <s v="Good"/>
    <s v="Yes"/>
    <s v="HR"/>
    <s v="Tuesday"/>
    <s v="Afternoon"/>
  </r>
  <r>
    <x v="637"/>
    <s v="2024-05-09 07:24:54"/>
    <x v="8"/>
    <s v="2024-05-29 02:06:54"/>
    <x v="581"/>
    <n v="20.8"/>
    <x v="6"/>
    <s v="Distribution List"/>
    <s v="Medium"/>
    <n v="240"/>
    <x v="0"/>
    <s v="Email"/>
    <s v="Tier 1"/>
    <x v="9"/>
    <x v="2"/>
    <s v="No"/>
    <s v="No"/>
    <n v="1"/>
    <s v="No"/>
    <n v="5"/>
    <n v="2.7"/>
    <n v="23"/>
    <s v="Yes"/>
    <s v="Fair"/>
    <s v="Yes"/>
    <s v="Sales"/>
    <s v="Friday"/>
    <s v="Afternoon"/>
  </r>
  <r>
    <x v="638"/>
    <s v="2024-06-09 05:14:20"/>
    <x v="10"/>
    <s v="2024-06-15 23:38:20"/>
    <x v="582"/>
    <n v="6.8"/>
    <x v="1"/>
    <s v="Monitor"/>
    <s v="High"/>
    <n v="120"/>
    <x v="0"/>
    <s v="Phone"/>
    <s v="Tier 1"/>
    <x v="6"/>
    <x v="2"/>
    <s v="Yes"/>
    <s v="No"/>
    <n v="0"/>
    <s v="No"/>
    <n v="5"/>
    <n v="2.4"/>
    <n v="13.8"/>
    <s v="No"/>
    <s v="Good"/>
    <s v="Yes"/>
    <s v="Marketing"/>
    <s v="Tuesday"/>
    <s v="Morning"/>
  </r>
  <r>
    <x v="639"/>
    <s v="2024-02-03 13:39:11"/>
    <x v="6"/>
    <s v="2024-02-09 23:21:11"/>
    <x v="382"/>
    <n v="6.4"/>
    <x v="5"/>
    <s v="Training Request"/>
    <s v="High"/>
    <n v="120"/>
    <x v="0"/>
    <s v="Walk-in"/>
    <s v="Tier 1"/>
    <x v="17"/>
    <x v="2"/>
    <s v="Yes"/>
    <s v="No"/>
    <n v="0"/>
    <s v="No"/>
    <n v="8"/>
    <n v="0.1"/>
    <n v="29"/>
    <s v="Yes"/>
    <s v="Poor"/>
    <s v="No"/>
    <s v="Legal"/>
    <s v="Tuesday"/>
    <s v="Evening"/>
  </r>
  <r>
    <x v="640"/>
    <s v="2024-05-06 05:12:56"/>
    <x v="8"/>
    <s v="2024-05-07 14:18:56"/>
    <x v="583"/>
    <n v="1.4"/>
    <x v="2"/>
    <s v="Slow Network"/>
    <s v="Critical"/>
    <n v="48"/>
    <x v="1"/>
    <s v="Phone"/>
    <s v="Tier 1"/>
    <x v="22"/>
    <x v="1"/>
    <s v="No"/>
    <s v="No"/>
    <n v="1"/>
    <s v="No"/>
    <n v="6"/>
    <n v="2.5"/>
    <n v="12.7"/>
    <s v="Yes"/>
    <s v="Fair"/>
    <s v="Yes"/>
    <s v="HR"/>
    <s v="Friday"/>
    <s v="Afternoon"/>
  </r>
  <r>
    <x v="641"/>
    <s v="2024-09-14 12:34:58"/>
    <x v="9"/>
    <s v="2024-09-28 12:16:58"/>
    <x v="584"/>
    <n v="14"/>
    <x v="6"/>
    <s v="Calendar Sync"/>
    <s v="Low"/>
    <n v="360"/>
    <x v="1"/>
    <s v="Phone"/>
    <s v="Tier 1"/>
    <x v="19"/>
    <x v="2"/>
    <s v="No"/>
    <s v="No"/>
    <n v="1"/>
    <s v="No"/>
    <n v="7"/>
    <n v="0.1"/>
    <n v="15.5"/>
    <s v="Yes"/>
    <s v="Poor"/>
    <s v="Yes"/>
    <s v="Marketing"/>
    <s v="Tuesday"/>
    <s v="Morning"/>
  </r>
  <r>
    <x v="642"/>
    <s v="2024-03-22 15:23:08"/>
    <x v="5"/>
    <s v="2024-04-02 03:29:08"/>
    <x v="585"/>
    <n v="10.5"/>
    <x v="0"/>
    <s v="VPN Access"/>
    <s v="Medium"/>
    <n v="240"/>
    <x v="0"/>
    <s v="Phone"/>
    <s v="Tier 1"/>
    <x v="9"/>
    <x v="1"/>
    <s v="Yes"/>
    <s v="No"/>
    <n v="0"/>
    <s v="No"/>
    <n v="7"/>
    <n v="1.5"/>
    <n v="15.8"/>
    <s v="Yes"/>
    <s v="Fair"/>
    <s v="No"/>
    <s v="Finance"/>
    <s v="Wednesday"/>
    <s v="Afternoon"/>
  </r>
  <r>
    <x v="643"/>
    <s v="2024-10-15 07:54:18"/>
    <x v="2"/>
    <s v="2024-10-19 21:06:18"/>
    <x v="586"/>
    <n v="4.5999999999999996"/>
    <x v="4"/>
    <s v="Performance"/>
    <s v="High"/>
    <n v="120"/>
    <x v="1"/>
    <s v="Walk-in"/>
    <s v="Tier 1"/>
    <x v="19"/>
    <x v="2"/>
    <s v="No"/>
    <s v="No"/>
    <n v="1"/>
    <s v="No"/>
    <n v="5"/>
    <n v="0.1"/>
    <n v="20.9"/>
    <s v="No"/>
    <s v="Poor"/>
    <s v="No"/>
    <s v="Legal"/>
    <s v="Wednesday"/>
    <s v="Afternoon"/>
  </r>
  <r>
    <x v="644"/>
    <s v="2024-11-24 21:21:10"/>
    <x v="7"/>
    <s v="2024-12-08 11:45:10"/>
    <x v="587"/>
    <n v="13.6"/>
    <x v="5"/>
    <s v="Miscellaneous"/>
    <s v="Low"/>
    <n v="360"/>
    <x v="1"/>
    <s v="Phone"/>
    <s v="Tier 1"/>
    <x v="16"/>
    <x v="0"/>
    <s v="No"/>
    <s v="No"/>
    <n v="1"/>
    <s v="No"/>
    <n v="7"/>
    <n v="3.9"/>
    <n v="16.3"/>
    <s v="No"/>
    <s v="Fair"/>
    <s v="Yes"/>
    <s v="Executive"/>
    <s v="Thursday"/>
    <s v="Morning"/>
  </r>
  <r>
    <x v="645"/>
    <s v="2024-02-14 19:24:37"/>
    <x v="6"/>
    <s v="2024-02-25 19:48:37"/>
    <x v="588"/>
    <n v="11"/>
    <x v="5"/>
    <s v="Documentation"/>
    <s v="Low"/>
    <n v="360"/>
    <x v="1"/>
    <s v="Email"/>
    <s v="Tier 1"/>
    <x v="23"/>
    <x v="1"/>
    <s v="No"/>
    <s v="No"/>
    <n v="1"/>
    <s v="No"/>
    <n v="8"/>
    <n v="0.6"/>
    <n v="10.7"/>
    <s v="Yes"/>
    <s v="Excellent"/>
    <s v="No"/>
    <s v="Marketing"/>
    <s v="Friday"/>
    <s v="Afternoon"/>
  </r>
  <r>
    <x v="646"/>
    <s v="2024-03-27 18:05:39"/>
    <x v="5"/>
    <s v="2024-04-01 12:35:39"/>
    <x v="589"/>
    <n v="4.7"/>
    <x v="2"/>
    <s v="Ethernet"/>
    <s v="High"/>
    <n v="120"/>
    <x v="1"/>
    <s v="Email"/>
    <s v="Tier 1"/>
    <x v="20"/>
    <x v="0"/>
    <s v="Yes"/>
    <s v="No"/>
    <n v="0"/>
    <s v="No"/>
    <n v="7"/>
    <n v="0.1"/>
    <n v="12.9"/>
    <s v="Yes"/>
    <s v="Poor"/>
    <s v="No"/>
    <s v="Legal"/>
    <s v="Wednesday"/>
    <s v="Morning"/>
  </r>
  <r>
    <x v="647"/>
    <s v="2024-12-06 17:53:05"/>
    <x v="0"/>
    <s v="2024-12-17 14:53:05"/>
    <x v="590"/>
    <n v="10.9"/>
    <x v="2"/>
    <s v="VPN Connection"/>
    <s v="Low"/>
    <n v="360"/>
    <x v="1"/>
    <s v="Walk-in"/>
    <s v="Tier 1"/>
    <x v="0"/>
    <x v="1"/>
    <s v="No"/>
    <s v="No"/>
    <n v="1"/>
    <s v="No"/>
    <n v="9"/>
    <n v="2.5"/>
    <n v="12.2"/>
    <s v="Yes"/>
    <s v="Poor"/>
    <s v="Yes"/>
    <s v="IT"/>
    <s v="Monday"/>
    <s v="Morning"/>
  </r>
  <r>
    <x v="648"/>
    <s v="2024-09-08 09:27:01"/>
    <x v="9"/>
    <s v="2024-09-16 18:39:01"/>
    <x v="591"/>
    <n v="8.4"/>
    <x v="0"/>
    <s v="VPN Access"/>
    <s v="Medium"/>
    <n v="240"/>
    <x v="1"/>
    <s v="Email"/>
    <s v="Tier 1"/>
    <x v="9"/>
    <x v="2"/>
    <s v="No"/>
    <s v="No"/>
    <n v="1"/>
    <s v="No"/>
    <n v="9"/>
    <n v="3.9"/>
    <n v="16.3"/>
    <s v="No"/>
    <s v="Good"/>
    <s v="Yes"/>
    <s v="Operations"/>
    <s v="Thursday"/>
    <s v="Afternoon"/>
  </r>
  <r>
    <x v="649"/>
    <s v="2024-02-16 19:41:02"/>
    <x v="6"/>
    <s v="2024-02-23 07:53:02"/>
    <x v="592"/>
    <n v="6.5"/>
    <x v="7"/>
    <s v="MS Office"/>
    <s v="Medium"/>
    <n v="240"/>
    <x v="1"/>
    <s v="Chat"/>
    <s v="Tier 2"/>
    <x v="22"/>
    <x v="1"/>
    <s v="No"/>
    <s v="Yes"/>
    <n v="3"/>
    <s v="No"/>
    <n v="8"/>
    <n v="2.2000000000000002"/>
    <n v="20.2"/>
    <s v="Yes"/>
    <s v="Excellent"/>
    <s v="Yes"/>
    <s v="Operations"/>
    <s v="Thursday"/>
    <s v="Afternoon"/>
  </r>
  <r>
    <x v="650"/>
    <s v="2024-08-07 09:06:43"/>
    <x v="1"/>
    <s v="2024-08-13 15:24:43"/>
    <x v="543"/>
    <n v="6.3"/>
    <x v="0"/>
    <s v="VPN Access"/>
    <s v="Medium"/>
    <n v="240"/>
    <x v="1"/>
    <s v="Phone"/>
    <s v="Tier 1"/>
    <x v="0"/>
    <x v="1"/>
    <s v="No"/>
    <s v="No"/>
    <n v="1"/>
    <s v="No"/>
    <n v="5"/>
    <n v="2.7"/>
    <n v="18.7"/>
    <s v="No"/>
    <s v="Fair"/>
    <s v="Yes"/>
    <s v="Marketing"/>
    <s v="Friday"/>
    <s v="Afternoon"/>
  </r>
  <r>
    <x v="651"/>
    <s v="2024-11-04 04:27:07"/>
    <x v="7"/>
    <s v="2024-11-07 08:09:07"/>
    <x v="593"/>
    <n v="3.2"/>
    <x v="4"/>
    <s v="Login Issues"/>
    <s v="High"/>
    <n v="120"/>
    <x v="1"/>
    <s v="Phone"/>
    <s v="Tier 2"/>
    <x v="5"/>
    <x v="1"/>
    <s v="No"/>
    <s v="Yes"/>
    <n v="2"/>
    <s v="No"/>
    <n v="6"/>
    <n v="4.2"/>
    <n v="22.3"/>
    <s v="Yes"/>
    <s v="Poor"/>
    <s v="Yes"/>
    <s v="Executive"/>
    <s v="Thursday"/>
    <s v="Morning"/>
  </r>
  <r>
    <x v="652"/>
    <s v="2024-10-24 17:24:08"/>
    <x v="2"/>
    <s v="2024-10-31 08:42:08"/>
    <x v="322"/>
    <n v="6.7"/>
    <x v="1"/>
    <s v="Printer"/>
    <s v="Medium"/>
    <n v="240"/>
    <x v="1"/>
    <s v="Email"/>
    <s v="Tier 1"/>
    <x v="14"/>
    <x v="2"/>
    <s v="Yes"/>
    <s v="No"/>
    <n v="0"/>
    <s v="No"/>
    <n v="10"/>
    <n v="0.1"/>
    <n v="27.9"/>
    <s v="No"/>
    <s v="Good"/>
    <s v="Yes"/>
    <s v="Marketing"/>
    <s v="Thursday"/>
    <s v="Morning"/>
  </r>
  <r>
    <x v="653"/>
    <s v="2024-02-04 14:50:20"/>
    <x v="6"/>
    <s v="2024-02-13 17:26:20"/>
    <x v="594"/>
    <n v="9.1"/>
    <x v="6"/>
    <s v="Cannot Send/Receive"/>
    <s v="Medium"/>
    <n v="240"/>
    <x v="1"/>
    <s v="Email"/>
    <s v="Tier 1"/>
    <x v="10"/>
    <x v="0"/>
    <s v="No"/>
    <s v="No"/>
    <n v="1"/>
    <s v="No"/>
    <n v="9"/>
    <n v="4"/>
    <n v="22.8"/>
    <s v="Yes"/>
    <s v="Fair"/>
    <s v="Yes"/>
    <s v="Operations"/>
    <s v="Monday"/>
    <s v="Afternoon"/>
  </r>
  <r>
    <x v="654"/>
    <s v="2024-03-02 20:45:12"/>
    <x v="5"/>
    <s v="2024-03-05 23:33:12"/>
    <x v="595"/>
    <n v="3.1"/>
    <x v="4"/>
    <s v="Features Not Working"/>
    <s v="High"/>
    <n v="120"/>
    <x v="1"/>
    <s v="Walk-in"/>
    <s v="Tier 2"/>
    <x v="18"/>
    <x v="1"/>
    <s v="No"/>
    <s v="Yes"/>
    <n v="1"/>
    <s v="Yes"/>
    <n v="10"/>
    <n v="0.1"/>
    <n v="17.100000000000001"/>
    <s v="Yes"/>
    <s v="Good"/>
    <s v="Yes"/>
    <s v="Executive"/>
    <s v="Tuesday"/>
    <s v="Afternoon"/>
  </r>
  <r>
    <x v="655"/>
    <s v="2024-07-30 03:30:25"/>
    <x v="4"/>
    <s v="2024-08-22 12:42:25"/>
    <x v="596"/>
    <n v="23.4"/>
    <x v="3"/>
    <s v="Application Password"/>
    <s v="Low"/>
    <n v="360"/>
    <x v="0"/>
    <s v="Portal"/>
    <s v="Tier 1"/>
    <x v="4"/>
    <x v="2"/>
    <s v="No"/>
    <s v="No"/>
    <n v="1"/>
    <s v="No"/>
    <n v="6"/>
    <n v="1.1000000000000001"/>
    <n v="49.9"/>
    <s v="No"/>
    <s v="Poor"/>
    <s v="Yes"/>
    <s v="Sales"/>
    <s v="Wednesday"/>
    <s v="Afternoon"/>
  </r>
  <r>
    <x v="656"/>
    <s v="2024-07-04 08:20:33"/>
    <x v="4"/>
    <s v="2024-07-15 10:08:33"/>
    <x v="500"/>
    <n v="11.1"/>
    <x v="2"/>
    <s v="Ethernet"/>
    <s v="Medium"/>
    <n v="240"/>
    <x v="0"/>
    <s v="Phone"/>
    <s v="Tier 2"/>
    <x v="20"/>
    <x v="0"/>
    <s v="No"/>
    <s v="Yes"/>
    <n v="4"/>
    <s v="No"/>
    <n v="5"/>
    <n v="0.1"/>
    <n v="0"/>
    <s v="No"/>
    <s v="Good"/>
    <s v="Yes"/>
    <s v="Sales"/>
    <s v="Friday"/>
    <s v="Afternoon"/>
  </r>
  <r>
    <x v="657"/>
    <s v="2024-05-07 21:50:29"/>
    <x v="8"/>
    <s v="2024-05-16 12:14:29"/>
    <x v="597"/>
    <n v="8.6"/>
    <x v="7"/>
    <s v="VPN Client"/>
    <s v="Medium"/>
    <n v="240"/>
    <x v="1"/>
    <s v="Email"/>
    <s v="Tier 1"/>
    <x v="13"/>
    <x v="0"/>
    <s v="No"/>
    <s v="No"/>
    <n v="1"/>
    <s v="No"/>
    <n v="10"/>
    <n v="1.3"/>
    <n v="15.6"/>
    <s v="No"/>
    <s v="Good"/>
    <s v="No"/>
    <s v="HR"/>
    <s v="Monday"/>
    <s v="Evening"/>
  </r>
  <r>
    <x v="658"/>
    <s v="2024-08-10 19:59:09"/>
    <x v="1"/>
    <s v="2024-08-17 04:59:09"/>
    <x v="598"/>
    <n v="6.4"/>
    <x v="1"/>
    <s v="Docking Station"/>
    <s v="Medium"/>
    <n v="240"/>
    <x v="1"/>
    <s v="Phone"/>
    <s v="Tier 2"/>
    <x v="22"/>
    <x v="1"/>
    <s v="No"/>
    <s v="Yes"/>
    <n v="1"/>
    <s v="No"/>
    <n v="8"/>
    <n v="4.8"/>
    <n v="46"/>
    <s v="Yes"/>
    <s v="Good"/>
    <s v="Yes"/>
    <s v="HR"/>
    <s v="Monday"/>
    <s v="Evening"/>
  </r>
  <r>
    <x v="659"/>
    <s v="2024-11-14 01:35:25"/>
    <x v="7"/>
    <s v="2024-11-20 10:11:25"/>
    <x v="599"/>
    <n v="5.4"/>
    <x v="5"/>
    <s v="Documentation"/>
    <s v="High"/>
    <n v="120"/>
    <x v="0"/>
    <s v="Email"/>
    <s v="Tier 1"/>
    <x v="8"/>
    <x v="0"/>
    <s v="No"/>
    <s v="No"/>
    <n v="1"/>
    <s v="No"/>
    <n v="6"/>
    <n v="1.1000000000000001"/>
    <n v="27.9"/>
    <s v="No"/>
    <s v="Good"/>
    <s v="Yes"/>
    <s v="IT"/>
    <s v="Friday"/>
    <s v="Afternoon"/>
  </r>
  <r>
    <x v="660"/>
    <s v="2024-06-23 05:08:09"/>
    <x v="10"/>
    <s v="2024-06-30 11:38:09"/>
    <x v="97"/>
    <n v="7.3"/>
    <x v="4"/>
    <s v="Crash"/>
    <s v="Medium"/>
    <n v="240"/>
    <x v="1"/>
    <s v="Phone"/>
    <s v="Tier 1"/>
    <x v="21"/>
    <x v="0"/>
    <s v="No"/>
    <s v="No"/>
    <n v="1"/>
    <s v="No"/>
    <n v="8"/>
    <n v="0.5"/>
    <n v="9.9"/>
    <s v="No"/>
    <s v="Poor"/>
    <s v="No"/>
    <s v="Sales"/>
    <s v="Thursday"/>
    <s v="Afternoon"/>
  </r>
  <r>
    <x v="661"/>
    <s v="2024-03-27 13:42:55"/>
    <x v="5"/>
    <s v="2024-04-07 18:06:55"/>
    <x v="600"/>
    <n v="11.1"/>
    <x v="7"/>
    <s v="VPN Client"/>
    <s v="Medium"/>
    <n v="240"/>
    <x v="0"/>
    <s v="Portal"/>
    <s v="Tier 2"/>
    <x v="6"/>
    <x v="2"/>
    <s v="No"/>
    <s v="Yes"/>
    <n v="2"/>
    <s v="No"/>
    <n v="6"/>
    <n v="2.1"/>
    <n v="7.3"/>
    <s v="Yes"/>
    <s v="Fair"/>
    <s v="Yes"/>
    <s v="Finance"/>
    <s v="Thursday"/>
    <s v="Afternoon"/>
  </r>
  <r>
    <x v="662"/>
    <s v="2024-10-15 07:19:10"/>
    <x v="2"/>
    <s v="2024-10-19 03:43:10"/>
    <x v="601"/>
    <n v="3.9"/>
    <x v="1"/>
    <s v="Docking Station"/>
    <s v="High"/>
    <n v="120"/>
    <x v="1"/>
    <s v="Phone"/>
    <s v="Tier 2"/>
    <x v="21"/>
    <x v="0"/>
    <s v="No"/>
    <s v="Yes"/>
    <n v="4"/>
    <s v="No"/>
    <n v="9"/>
    <n v="3"/>
    <n v="29.9"/>
    <s v="Yes"/>
    <s v="Good"/>
    <s v="Yes"/>
    <s v="IT"/>
    <s v="Monday"/>
    <s v="Morning"/>
  </r>
  <r>
    <x v="663"/>
    <s v="2024-05-07 03:51:00"/>
    <x v="8"/>
    <s v="2024-05-08 01:15:00"/>
    <x v="155"/>
    <n v="1.9"/>
    <x v="0"/>
    <s v="Application Access"/>
    <s v="Critical"/>
    <n v="48"/>
    <x v="1"/>
    <s v="Phone"/>
    <s v="Tier 1"/>
    <x v="13"/>
    <x v="2"/>
    <s v="Yes"/>
    <s v="No"/>
    <n v="0"/>
    <s v="No"/>
    <n v="10"/>
    <n v="1.7"/>
    <n v="18.3"/>
    <s v="Yes"/>
    <s v="Fair"/>
    <s v="No"/>
    <s v="Marketing"/>
    <s v="Wednesday"/>
    <s v="Morning"/>
  </r>
  <r>
    <x v="664"/>
    <s v="2024-11-06 22:24:01"/>
    <x v="7"/>
    <s v="2024-12-05 09:48:01"/>
    <x v="602"/>
    <n v="28.5"/>
    <x v="0"/>
    <s v="Application Access"/>
    <s v="Medium"/>
    <n v="240"/>
    <x v="0"/>
    <s v="Walk-in"/>
    <s v="Tier 1"/>
    <x v="24"/>
    <x v="2"/>
    <s v="Yes"/>
    <s v="No"/>
    <n v="0"/>
    <s v="No"/>
    <n v="9"/>
    <n v="0.1"/>
    <n v="7.5"/>
    <s v="Yes"/>
    <s v="Fair"/>
    <s v="Yes"/>
    <s v="IT"/>
    <s v="Tuesday"/>
    <s v="Afternoon"/>
  </r>
  <r>
    <x v="665"/>
    <s v="2024-11-16 11:32:12"/>
    <x v="7"/>
    <s v="2024-11-23 10:32:12"/>
    <x v="603"/>
    <n v="7"/>
    <x v="6"/>
    <s v="Mailbox Full"/>
    <s v="Medium"/>
    <n v="240"/>
    <x v="1"/>
    <s v="Walk-in"/>
    <s v="Tier 1"/>
    <x v="22"/>
    <x v="1"/>
    <s v="Yes"/>
    <s v="No"/>
    <n v="0"/>
    <s v="No"/>
    <n v="10"/>
    <n v="2.8"/>
    <n v="27.5"/>
    <s v="Yes"/>
    <s v="Poor"/>
    <s v="No"/>
    <s v="Marketing"/>
    <s v="Thursday"/>
    <s v="Morning"/>
  </r>
  <r>
    <x v="666"/>
    <s v="2024-02-18 22:58:46"/>
    <x v="6"/>
    <s v="2024-02-27 03:52:46"/>
    <x v="13"/>
    <n v="8.1999999999999993"/>
    <x v="4"/>
    <s v="Features Not Working"/>
    <s v="Medium"/>
    <n v="240"/>
    <x v="1"/>
    <s v="Email"/>
    <s v="Tier 2"/>
    <x v="11"/>
    <x v="0"/>
    <s v="No"/>
    <s v="Yes"/>
    <n v="3"/>
    <s v="No"/>
    <n v="9"/>
    <n v="2.7"/>
    <n v="29.5"/>
    <s v="Yes"/>
    <s v="Fair"/>
    <s v="Yes"/>
    <s v="Sales"/>
    <s v="Tuesday"/>
    <s v="Morning"/>
  </r>
  <r>
    <x v="667"/>
    <s v="2024-11-06 13:21:17"/>
    <x v="7"/>
    <s v="2024-11-10 01:27:17"/>
    <x v="357"/>
    <n v="4.5"/>
    <x v="4"/>
    <s v="Crash"/>
    <s v="High"/>
    <n v="120"/>
    <x v="1"/>
    <s v="Phone"/>
    <s v="Tier 2"/>
    <x v="3"/>
    <x v="1"/>
    <s v="No"/>
    <s v="Yes"/>
    <n v="3"/>
    <s v="No"/>
    <n v="9"/>
    <n v="2.5"/>
    <n v="14.7"/>
    <s v="Yes"/>
    <s v="Poor"/>
    <s v="No"/>
    <s v="Finance"/>
    <s v="Friday"/>
    <s v="Afternoon"/>
  </r>
  <r>
    <x v="668"/>
    <s v="2024-11-28 23:39:14"/>
    <x v="7"/>
    <s v="2024-12-12 07:33:14"/>
    <x v="604"/>
    <n v="13.3"/>
    <x v="1"/>
    <s v="Printer"/>
    <s v="High"/>
    <n v="120"/>
    <x v="0"/>
    <s v="Portal"/>
    <s v="Tier 2"/>
    <x v="7"/>
    <x v="2"/>
    <s v="No"/>
    <s v="Yes"/>
    <n v="1"/>
    <s v="No"/>
    <n v="4"/>
    <n v="3.1"/>
    <n v="16.3"/>
    <s v="Yes"/>
    <s v="Poor"/>
    <s v="No"/>
    <s v="Legal"/>
    <s v="Wednesday"/>
    <s v="Afternoon"/>
  </r>
  <r>
    <x v="669"/>
    <s v="2024-06-13 05:12:50"/>
    <x v="10"/>
    <s v="2024-06-17 19:12:50"/>
    <x v="349"/>
    <n v="4.5999999999999996"/>
    <x v="6"/>
    <s v="Cannot Send/Receive"/>
    <s v="High"/>
    <n v="120"/>
    <x v="1"/>
    <s v="Portal"/>
    <s v="Tier 1"/>
    <x v="0"/>
    <x v="0"/>
    <s v="Yes"/>
    <s v="No"/>
    <n v="0"/>
    <s v="No"/>
    <n v="10"/>
    <n v="3.2"/>
    <n v="25.3"/>
    <s v="Yes"/>
    <s v="Good"/>
    <s v="Yes"/>
    <s v="Executive"/>
    <s v="Wednesday"/>
    <s v="Afternoon"/>
  </r>
  <r>
    <x v="670"/>
    <s v="2024-06-05 02:41:41"/>
    <x v="10"/>
    <s v="2024-06-16 23:23:41"/>
    <x v="605"/>
    <n v="10.9"/>
    <x v="0"/>
    <s v="File Share"/>
    <s v="Low"/>
    <n v="360"/>
    <x v="1"/>
    <s v="Phone"/>
    <s v="Tier 1"/>
    <x v="5"/>
    <x v="1"/>
    <s v="No"/>
    <s v="No"/>
    <n v="1"/>
    <s v="No"/>
    <n v="8"/>
    <n v="0.2"/>
    <n v="43.7"/>
    <s v="Yes"/>
    <s v="Excellent"/>
    <s v="Yes"/>
    <s v="Operations"/>
    <s v="Wednesday"/>
    <s v="Morning"/>
  </r>
  <r>
    <x v="671"/>
    <s v="2024-07-16 15:04:19"/>
    <x v="4"/>
    <s v="2024-08-01 15:04:19"/>
    <x v="606"/>
    <n v="16"/>
    <x v="1"/>
    <s v="Monitor"/>
    <s v="Medium"/>
    <n v="240"/>
    <x v="0"/>
    <s v="Email"/>
    <s v="Tier 2"/>
    <x v="7"/>
    <x v="2"/>
    <s v="No"/>
    <s v="Yes"/>
    <n v="4"/>
    <s v="No"/>
    <n v="3"/>
    <n v="0.2"/>
    <n v="17.600000000000001"/>
    <s v="Yes"/>
    <s v="Fair"/>
    <s v="No"/>
    <s v="Finance"/>
    <s v="Wednesday"/>
    <s v="Evening"/>
  </r>
  <r>
    <x v="672"/>
    <s v="2024-02-06 07:22:06"/>
    <x v="6"/>
    <s v="2024-02-19 11:58:06"/>
    <x v="607"/>
    <n v="13.2"/>
    <x v="0"/>
    <s v="File Share"/>
    <s v="Medium"/>
    <n v="240"/>
    <x v="0"/>
    <s v="Portal"/>
    <s v="Tier 1"/>
    <x v="0"/>
    <x v="2"/>
    <s v="No"/>
    <s v="No"/>
    <n v="1"/>
    <s v="No"/>
    <n v="1"/>
    <n v="1.5"/>
    <n v="30.7"/>
    <s v="Yes"/>
    <s v="Fair"/>
    <s v="Yes"/>
    <s v="Executive"/>
    <s v="Thursday"/>
    <s v="Morning"/>
  </r>
  <r>
    <x v="673"/>
    <s v="2024-05-25 14:45:49"/>
    <x v="8"/>
    <s v="2024-06-08 07:33:49"/>
    <x v="608"/>
    <n v="13.7"/>
    <x v="5"/>
    <s v="General Inquiry"/>
    <s v="Low"/>
    <n v="360"/>
    <x v="1"/>
    <s v="Phone"/>
    <s v="Tier 1"/>
    <x v="5"/>
    <x v="2"/>
    <s v="No"/>
    <s v="No"/>
    <n v="1"/>
    <s v="No"/>
    <n v="9"/>
    <n v="3.7"/>
    <n v="10.3"/>
    <s v="No"/>
    <s v="Poor"/>
    <s v="Yes"/>
    <s v="IT"/>
    <s v="Wednesday"/>
    <s v="Evening"/>
  </r>
  <r>
    <x v="674"/>
    <s v="2024-04-28 16:51:31"/>
    <x v="11"/>
    <s v="2024-05-07 07:03:31"/>
    <x v="609"/>
    <n v="8.6"/>
    <x v="4"/>
    <s v="Crash"/>
    <s v="Medium"/>
    <n v="240"/>
    <x v="1"/>
    <s v="Email"/>
    <s v="Tier 2"/>
    <x v="12"/>
    <x v="2"/>
    <s v="No"/>
    <s v="Yes"/>
    <n v="2"/>
    <s v="No"/>
    <n v="8"/>
    <n v="5"/>
    <n v="5.5"/>
    <s v="Yes"/>
    <s v="Poor"/>
    <s v="Yes"/>
    <s v="Executive"/>
    <s v="Friday"/>
    <s v="Morning"/>
  </r>
  <r>
    <x v="675"/>
    <s v="2024-07-27 20:23:42"/>
    <x v="4"/>
    <s v="2024-08-06 19:23:42"/>
    <x v="610"/>
    <n v="10"/>
    <x v="5"/>
    <s v="Miscellaneous"/>
    <s v="Low"/>
    <n v="360"/>
    <x v="1"/>
    <s v="Portal"/>
    <s v="Tier 1"/>
    <x v="7"/>
    <x v="2"/>
    <s v="No"/>
    <s v="No"/>
    <n v="1"/>
    <s v="No"/>
    <n v="7"/>
    <n v="3.4"/>
    <n v="27.3"/>
    <s v="Yes"/>
    <s v="Fair"/>
    <s v="No"/>
    <s v="IT"/>
    <s v="Friday"/>
    <s v="Morning"/>
  </r>
  <r>
    <x v="676"/>
    <s v="2024-03-18 19:57:46"/>
    <x v="5"/>
    <s v="2024-03-29 10:27:46"/>
    <x v="611"/>
    <n v="10.6"/>
    <x v="0"/>
    <s v="Application Access"/>
    <s v="Low"/>
    <n v="360"/>
    <x v="1"/>
    <s v="Portal"/>
    <s v="Tier 1"/>
    <x v="23"/>
    <x v="2"/>
    <s v="Yes"/>
    <s v="No"/>
    <n v="0"/>
    <s v="No"/>
    <n v="8"/>
    <n v="3.2"/>
    <n v="22.1"/>
    <s v="Yes"/>
    <s v="Poor"/>
    <s v="No"/>
    <s v="Marketing"/>
    <s v="Thursday"/>
    <s v="Evening"/>
  </r>
  <r>
    <x v="677"/>
    <s v="2024-04-13 13:13:39"/>
    <x v="11"/>
    <s v="2024-04-20 15:49:39"/>
    <x v="612"/>
    <n v="7.1"/>
    <x v="6"/>
    <s v="Mailbox Full"/>
    <s v="High"/>
    <n v="120"/>
    <x v="0"/>
    <s v="Phone"/>
    <s v="Tier 1"/>
    <x v="3"/>
    <x v="1"/>
    <s v="Yes"/>
    <s v="No"/>
    <n v="0"/>
    <s v="No"/>
    <n v="9"/>
    <n v="2.2999999999999998"/>
    <n v="36.200000000000003"/>
    <s v="Yes"/>
    <s v="Fair"/>
    <s v="No"/>
    <s v="Sales"/>
    <s v="Monday"/>
    <s v="Morning"/>
  </r>
  <r>
    <x v="678"/>
    <s v="2024-10-31 02:38:53"/>
    <x v="2"/>
    <s v="2024-11-03 04:44:53"/>
    <x v="148"/>
    <n v="3.1"/>
    <x v="4"/>
    <s v="Login Issues"/>
    <s v="High"/>
    <n v="120"/>
    <x v="1"/>
    <s v="Portal"/>
    <s v="Tier 2"/>
    <x v="17"/>
    <x v="1"/>
    <s v="No"/>
    <s v="Yes"/>
    <n v="4"/>
    <s v="Yes"/>
    <n v="9"/>
    <n v="4"/>
    <n v="30.4"/>
    <s v="Yes"/>
    <s v="Excellent"/>
    <s v="Yes"/>
    <s v="IT"/>
    <s v="Thursday"/>
    <s v="Afternoon"/>
  </r>
  <r>
    <x v="679"/>
    <s v="2024-09-14 15:59:33"/>
    <x v="9"/>
    <s v="2024-09-27 07:05:33"/>
    <x v="613"/>
    <n v="12.6"/>
    <x v="3"/>
    <s v="Windows Password"/>
    <s v="Low"/>
    <n v="360"/>
    <x v="1"/>
    <s v="Phone"/>
    <s v="Tier 1"/>
    <x v="18"/>
    <x v="2"/>
    <s v="Yes"/>
    <s v="No"/>
    <n v="0"/>
    <s v="No"/>
    <n v="10"/>
    <n v="4.0999999999999996"/>
    <n v="42.1"/>
    <s v="No"/>
    <s v="Fair"/>
    <s v="Yes"/>
    <s v="Sales"/>
    <s v="Wednesday"/>
    <s v="Afternoon"/>
  </r>
  <r>
    <x v="680"/>
    <s v="2024-03-15 22:58:31"/>
    <x v="5"/>
    <s v="2024-03-23 00:46:31"/>
    <x v="614"/>
    <n v="8.1"/>
    <x v="6"/>
    <s v="Mailbox Full"/>
    <s v="Medium"/>
    <n v="240"/>
    <x v="1"/>
    <s v="Email"/>
    <s v="Tier 1"/>
    <x v="21"/>
    <x v="1"/>
    <s v="No"/>
    <s v="No"/>
    <n v="1"/>
    <s v="No"/>
    <n v="7"/>
    <n v="2"/>
    <n v="0"/>
    <s v="Yes"/>
    <s v="Fair"/>
    <s v="Yes"/>
    <s v="Legal"/>
    <s v="Tuesday"/>
    <s v="Morning"/>
  </r>
  <r>
    <x v="681"/>
    <s v="2024-01-10 23:40:43"/>
    <x v="3"/>
    <s v="2024-01-17 03:40:43"/>
    <x v="615"/>
    <n v="6.2"/>
    <x v="1"/>
    <s v="Docking Station"/>
    <s v="Medium"/>
    <n v="240"/>
    <x v="1"/>
    <s v="Walk-in"/>
    <s v="Tier 2"/>
    <x v="8"/>
    <x v="0"/>
    <s v="No"/>
    <s v="Yes"/>
    <n v="1"/>
    <s v="No"/>
    <n v="8"/>
    <n v="0.5"/>
    <n v="21.2"/>
    <s v="No"/>
    <s v="Good"/>
    <s v="No"/>
    <s v="HR"/>
    <s v="Wednesday"/>
    <s v="Morning"/>
  </r>
  <r>
    <x v="682"/>
    <s v="2024-08-30 16:45:13"/>
    <x v="1"/>
    <s v="2024-09-02 00:09:13"/>
    <x v="616"/>
    <n v="3.3"/>
    <x v="2"/>
    <s v="Ethernet"/>
    <s v="High"/>
    <n v="120"/>
    <x v="1"/>
    <s v="Walk-in"/>
    <s v="Tier 1"/>
    <x v="1"/>
    <x v="2"/>
    <s v="Yes"/>
    <s v="No"/>
    <n v="0"/>
    <s v="No"/>
    <n v="10"/>
    <n v="3.5"/>
    <n v="3.8"/>
    <s v="Yes"/>
    <s v="Good"/>
    <s v="No"/>
    <s v="IT"/>
    <s v="Tuesday"/>
    <s v="Afternoon"/>
  </r>
  <r>
    <x v="683"/>
    <s v="2024-02-03 19:53:23"/>
    <x v="6"/>
    <s v="2024-02-05 15:29:23"/>
    <x v="617"/>
    <n v="1.8"/>
    <x v="6"/>
    <s v="Mailbox Full"/>
    <s v="Critical"/>
    <n v="48"/>
    <x v="1"/>
    <s v="Email"/>
    <s v="Tier 1"/>
    <x v="8"/>
    <x v="1"/>
    <s v="Yes"/>
    <s v="No"/>
    <n v="0"/>
    <s v="No"/>
    <n v="9"/>
    <n v="6.1"/>
    <n v="6.8"/>
    <s v="No"/>
    <s v="Fair"/>
    <s v="Yes"/>
    <s v="HR"/>
    <s v="Friday"/>
    <s v="Morning"/>
  </r>
  <r>
    <x v="684"/>
    <s v="2024-10-17 18:13:40"/>
    <x v="2"/>
    <s v="2024-10-23 02:55:40"/>
    <x v="426"/>
    <n v="6.4"/>
    <x v="1"/>
    <s v="Printer"/>
    <s v="Medium"/>
    <n v="240"/>
    <x v="1"/>
    <s v="Phone"/>
    <s v="Tier 2"/>
    <x v="1"/>
    <x v="2"/>
    <s v="No"/>
    <s v="Yes"/>
    <n v="3"/>
    <s v="No"/>
    <n v="6"/>
    <n v="1.8"/>
    <n v="30.8"/>
    <s v="No"/>
    <s v="Fair"/>
    <s v="Yes"/>
    <s v="Marketing"/>
    <s v="Wednesday"/>
    <s v="Morning"/>
  </r>
  <r>
    <x v="685"/>
    <s v="2024-05-10 06:43:40"/>
    <x v="8"/>
    <s v="2024-05-20 05:01:40"/>
    <x v="618"/>
    <n v="9.9"/>
    <x v="3"/>
    <s v="Application Password"/>
    <s v="Low"/>
    <n v="360"/>
    <x v="1"/>
    <s v="Phone"/>
    <s v="Tier 1"/>
    <x v="17"/>
    <x v="0"/>
    <s v="No"/>
    <s v="No"/>
    <n v="1"/>
    <s v="No"/>
    <n v="8"/>
    <n v="2.9"/>
    <n v="6.6"/>
    <s v="Yes"/>
    <s v="Good"/>
    <s v="Yes"/>
    <s v="Executive"/>
    <s v="Wednesday"/>
    <s v="Afternoon"/>
  </r>
  <r>
    <x v="686"/>
    <s v="2024-01-16 20:12:10"/>
    <x v="3"/>
    <s v="2024-01-30 10:00:10"/>
    <x v="619"/>
    <n v="13.6"/>
    <x v="5"/>
    <s v="Miscellaneous"/>
    <s v="Low"/>
    <n v="360"/>
    <x v="1"/>
    <s v="Email"/>
    <s v="Tier 2"/>
    <x v="8"/>
    <x v="1"/>
    <s v="No"/>
    <s v="Yes"/>
    <n v="1"/>
    <s v="No"/>
    <n v="7"/>
    <n v="0.1"/>
    <n v="20.3"/>
    <s v="No"/>
    <s v="Fair"/>
    <s v="No"/>
    <s v="Sales"/>
    <s v="Thursday"/>
    <s v="Afternoon"/>
  </r>
  <r>
    <x v="687"/>
    <s v="2024-02-18 15:17:55"/>
    <x v="6"/>
    <s v="2024-02-24 23:29:55"/>
    <x v="620"/>
    <n v="6.3"/>
    <x v="2"/>
    <s v="VPN Connection"/>
    <s v="Medium"/>
    <n v="240"/>
    <x v="1"/>
    <s v="Phone"/>
    <s v="Tier 1"/>
    <x v="12"/>
    <x v="1"/>
    <s v="No"/>
    <s v="No"/>
    <n v="1"/>
    <s v="No"/>
    <n v="7"/>
    <n v="1.7"/>
    <n v="26.4"/>
    <s v="No"/>
    <s v="Good"/>
    <s v="Yes"/>
    <s v="Marketing"/>
    <s v="Friday"/>
    <s v="Morning"/>
  </r>
  <r>
    <x v="688"/>
    <s v="2024-10-22 03:20:50"/>
    <x v="2"/>
    <s v="2024-10-30 01:38:50"/>
    <x v="621"/>
    <n v="9"/>
    <x v="7"/>
    <s v="VPN Client"/>
    <s v="Medium"/>
    <n v="240"/>
    <x v="1"/>
    <s v="Walk-in"/>
    <s v="Tier 1"/>
    <x v="13"/>
    <x v="2"/>
    <s v="No"/>
    <s v="No"/>
    <n v="1"/>
    <s v="Yes"/>
    <n v="8"/>
    <n v="3.3"/>
    <n v="24.1"/>
    <s v="Yes"/>
    <s v="Good"/>
    <s v="Yes"/>
    <s v="Sales"/>
    <s v="Wednesday"/>
    <s v="Morning"/>
  </r>
  <r>
    <x v="689"/>
    <s v="2024-07-31 09:18:34"/>
    <x v="4"/>
    <s v="2024-08-06 12:06:34"/>
    <x v="622"/>
    <n v="6.1"/>
    <x v="0"/>
    <s v="VPN Access"/>
    <s v="Medium"/>
    <n v="240"/>
    <x v="1"/>
    <s v="Email"/>
    <s v="Tier 1"/>
    <x v="10"/>
    <x v="2"/>
    <s v="Yes"/>
    <s v="No"/>
    <n v="0"/>
    <s v="No"/>
    <n v="10"/>
    <n v="1.4"/>
    <n v="15.2"/>
    <s v="Yes"/>
    <s v="Good"/>
    <s v="Yes"/>
    <s v="Legal"/>
    <s v="Tuesday"/>
    <s v="Morning"/>
  </r>
  <r>
    <x v="690"/>
    <s v="2024-12-19 16:49:28"/>
    <x v="0"/>
    <s v="2024-12-27 17:49:28"/>
    <x v="623"/>
    <n v="8"/>
    <x v="2"/>
    <s v="Slow Network"/>
    <s v="Medium"/>
    <n v="240"/>
    <x v="1"/>
    <s v="Walk-in"/>
    <s v="Tier 2"/>
    <x v="11"/>
    <x v="1"/>
    <s v="No"/>
    <s v="Yes"/>
    <n v="4"/>
    <s v="No"/>
    <n v="7"/>
    <n v="2.5"/>
    <n v="29.3"/>
    <s v="Yes"/>
    <s v="Good"/>
    <s v="Yes"/>
    <s v="Sales"/>
    <s v="Thursday"/>
    <s v="Morning"/>
  </r>
  <r>
    <x v="691"/>
    <s v="2024-02-28 02:25:16"/>
    <x v="6"/>
    <s v="2024-03-14 07:55:16"/>
    <x v="624"/>
    <n v="15.2"/>
    <x v="6"/>
    <s v="Calendar Sync"/>
    <s v="Medium"/>
    <n v="240"/>
    <x v="0"/>
    <s v="Email"/>
    <s v="Tier 1"/>
    <x v="16"/>
    <x v="0"/>
    <s v="No"/>
    <s v="No"/>
    <n v="1"/>
    <s v="No"/>
    <n v="3"/>
    <n v="5.5"/>
    <n v="40.6"/>
    <s v="No"/>
    <s v="Good"/>
    <s v="No"/>
    <s v="HR"/>
    <s v="Friday"/>
    <s v="Evening"/>
  </r>
  <r>
    <x v="692"/>
    <s v="2024-11-06 03:46:07"/>
    <x v="7"/>
    <s v="2024-11-10 04:52:07"/>
    <x v="625"/>
    <n v="4"/>
    <x v="1"/>
    <s v="Docking Station"/>
    <s v="High"/>
    <n v="120"/>
    <x v="1"/>
    <s v="Email"/>
    <s v="Tier 1"/>
    <x v="13"/>
    <x v="2"/>
    <s v="No"/>
    <s v="No"/>
    <n v="1"/>
    <s v="No"/>
    <n v="7"/>
    <n v="2"/>
    <n v="24.6"/>
    <s v="Yes"/>
    <s v="Poor"/>
    <s v="Yes"/>
    <s v="HR"/>
    <s v="Monday"/>
    <s v="Evening"/>
  </r>
  <r>
    <x v="693"/>
    <s v="2024-02-24 08:52:12"/>
    <x v="6"/>
    <s v="2024-03-15 15:52:12"/>
    <x v="626"/>
    <n v="20.3"/>
    <x v="6"/>
    <s v="Cannot Send/Receive"/>
    <s v="Low"/>
    <n v="360"/>
    <x v="0"/>
    <s v="Email"/>
    <s v="Tier 1"/>
    <x v="14"/>
    <x v="1"/>
    <s v="No"/>
    <s v="No"/>
    <n v="1"/>
    <s v="No"/>
    <n v="5"/>
    <n v="1.3"/>
    <n v="10.3"/>
    <s v="Yes"/>
    <s v="Fair"/>
    <s v="Yes"/>
    <s v="Finance"/>
    <s v="Wednesday"/>
    <s v="Afternoon"/>
  </r>
  <r>
    <x v="694"/>
    <s v="2024-01-29 10:28:22"/>
    <x v="3"/>
    <s v="2024-02-04 23:10:22"/>
    <x v="627"/>
    <n v="6.5"/>
    <x v="4"/>
    <s v="Features Not Working"/>
    <s v="High"/>
    <n v="120"/>
    <x v="0"/>
    <s v="Email"/>
    <s v="Tier 2"/>
    <x v="15"/>
    <x v="1"/>
    <s v="No"/>
    <s v="Yes"/>
    <n v="4"/>
    <s v="No"/>
    <n v="4"/>
    <n v="1.4"/>
    <n v="38.4"/>
    <s v="Yes"/>
    <s v="Fair"/>
    <s v="Yes"/>
    <s v="Sales"/>
    <s v="Monday"/>
    <s v="Morning"/>
  </r>
  <r>
    <x v="695"/>
    <s v="2024-06-29 20:16:00"/>
    <x v="10"/>
    <s v="2024-07-10 07:28:00"/>
    <x v="628"/>
    <n v="10.5"/>
    <x v="5"/>
    <s v="Miscellaneous"/>
    <s v="Low"/>
    <n v="360"/>
    <x v="1"/>
    <s v="Phone"/>
    <s v="Tier 1"/>
    <x v="16"/>
    <x v="1"/>
    <s v="Yes"/>
    <s v="No"/>
    <n v="0"/>
    <s v="Yes"/>
    <n v="10"/>
    <n v="0.5"/>
    <n v="39.1"/>
    <s v="Yes"/>
    <s v="Poor"/>
    <s v="Yes"/>
    <s v="Legal"/>
    <s v="Thursday"/>
    <s v="Afternoon"/>
  </r>
  <r>
    <x v="696"/>
    <s v="2024-10-10 13:51:13"/>
    <x v="2"/>
    <s v="2024-10-21 22:09:13"/>
    <x v="629"/>
    <n v="11.3"/>
    <x v="3"/>
    <s v="Application Password"/>
    <s v="Low"/>
    <n v="360"/>
    <x v="1"/>
    <s v="Phone"/>
    <s v="Tier 1"/>
    <x v="3"/>
    <x v="1"/>
    <s v="Yes"/>
    <s v="No"/>
    <n v="0"/>
    <s v="No"/>
    <n v="9"/>
    <n v="5.6"/>
    <n v="20.5"/>
    <s v="Yes"/>
    <s v="Good"/>
    <s v="Yes"/>
    <s v="HR"/>
    <s v="Tuesday"/>
    <s v="Morning"/>
  </r>
  <r>
    <x v="697"/>
    <s v="2024-07-27 09:33:19"/>
    <x v="4"/>
    <s v="2024-07-30 16:03:19"/>
    <x v="630"/>
    <n v="3.3"/>
    <x v="0"/>
    <s v="File Share"/>
    <s v="High"/>
    <n v="120"/>
    <x v="1"/>
    <s v="Portal"/>
    <s v="Tier 1"/>
    <x v="19"/>
    <x v="1"/>
    <s v="Yes"/>
    <s v="No"/>
    <n v="0"/>
    <s v="No"/>
    <n v="10"/>
    <n v="2"/>
    <n v="20.100000000000001"/>
    <s v="No"/>
    <s v="Fair"/>
    <s v="No"/>
    <s v="Executive"/>
    <s v="Tuesday"/>
    <s v="Afternoon"/>
  </r>
  <r>
    <x v="698"/>
    <s v="2024-09-13 17:59:02"/>
    <x v="9"/>
    <s v="2024-09-21 06:29:02"/>
    <x v="631"/>
    <n v="7.5"/>
    <x v="0"/>
    <s v="File Share"/>
    <s v="Medium"/>
    <n v="240"/>
    <x v="1"/>
    <s v="Email"/>
    <s v="Tier 2"/>
    <x v="24"/>
    <x v="2"/>
    <s v="No"/>
    <s v="Yes"/>
    <n v="3"/>
    <s v="No"/>
    <n v="10"/>
    <n v="2.8"/>
    <n v="12.2"/>
    <s v="Yes"/>
    <s v="Poor"/>
    <s v="No"/>
    <s v="Legal"/>
    <s v="Monday"/>
    <s v="Morning"/>
  </r>
  <r>
    <x v="699"/>
    <s v="2024-04-26 11:33:53"/>
    <x v="11"/>
    <s v="2024-05-09 01:57:53"/>
    <x v="587"/>
    <n v="13.6"/>
    <x v="0"/>
    <s v="VPN Access"/>
    <s v="High"/>
    <n v="120"/>
    <x v="0"/>
    <s v="Portal"/>
    <s v="Tier 2"/>
    <x v="18"/>
    <x v="1"/>
    <s v="No"/>
    <s v="Yes"/>
    <n v="3"/>
    <s v="No"/>
    <n v="7"/>
    <n v="4"/>
    <n v="29.4"/>
    <s v="Yes"/>
    <s v="Good"/>
    <s v="No"/>
    <s v="Finance"/>
    <s v="Wednesday"/>
    <s v="Morning"/>
  </r>
  <r>
    <x v="700"/>
    <s v="2024-09-27 20:16:35"/>
    <x v="9"/>
    <s v="2024-10-04 11:34:35"/>
    <x v="632"/>
    <n v="6.6"/>
    <x v="0"/>
    <s v="VPN Access"/>
    <s v="High"/>
    <n v="120"/>
    <x v="0"/>
    <s v="Phone"/>
    <s v="Tier 1"/>
    <x v="22"/>
    <x v="2"/>
    <s v="Yes"/>
    <s v="No"/>
    <n v="0"/>
    <s v="No"/>
    <n v="8"/>
    <n v="2.9"/>
    <n v="33.299999999999997"/>
    <s v="No"/>
    <s v="Excellent"/>
    <s v="No"/>
    <s v="HR"/>
    <s v="Friday"/>
    <s v="Afternoon"/>
  </r>
  <r>
    <x v="701"/>
    <s v="2024-03-10 00:15:45"/>
    <x v="5"/>
    <s v="2024-03-14 07:39:45"/>
    <x v="616"/>
    <n v="3.3"/>
    <x v="4"/>
    <s v="Features Not Working"/>
    <s v="High"/>
    <n v="120"/>
    <x v="1"/>
    <s v="Phone"/>
    <s v="Tier 2"/>
    <x v="11"/>
    <x v="2"/>
    <s v="No"/>
    <s v="Yes"/>
    <n v="2"/>
    <s v="No"/>
    <n v="10"/>
    <n v="2.7"/>
    <n v="15.7"/>
    <s v="Yes"/>
    <s v="Good"/>
    <s v="Yes"/>
    <s v="Operations"/>
    <s v="Thursday"/>
    <s v="Evening"/>
  </r>
  <r>
    <x v="702"/>
    <s v="2024-03-07 21:26:18"/>
    <x v="5"/>
    <s v="2024-03-12 12:14:18"/>
    <x v="633"/>
    <n v="4.5999999999999996"/>
    <x v="6"/>
    <s v="Cannot Send/Receive"/>
    <s v="High"/>
    <n v="120"/>
    <x v="1"/>
    <s v="Portal"/>
    <s v="Tier 2"/>
    <x v="24"/>
    <x v="0"/>
    <s v="No"/>
    <s v="Yes"/>
    <n v="2"/>
    <s v="No"/>
    <n v="8"/>
    <n v="0.9"/>
    <n v="1.9"/>
    <s v="No"/>
    <s v="Poor"/>
    <s v="No"/>
    <s v="Operations"/>
    <s v="Thursday"/>
    <s v="Morning"/>
  </r>
  <r>
    <x v="703"/>
    <s v="2024-06-06 12:33:04"/>
    <x v="10"/>
    <s v="2024-06-27 19:45:04"/>
    <x v="634"/>
    <n v="21.3"/>
    <x v="3"/>
    <s v="Application Password"/>
    <s v="Low"/>
    <n v="360"/>
    <x v="0"/>
    <s v="Walk-in"/>
    <s v="Tier 1"/>
    <x v="13"/>
    <x v="2"/>
    <s v="Yes"/>
    <s v="No"/>
    <n v="0"/>
    <s v="No"/>
    <n v="7"/>
    <n v="3.8"/>
    <n v="33.4"/>
    <s v="No"/>
    <s v="Poor"/>
    <s v="Yes"/>
    <s v="Marketing"/>
    <s v="Wednesday"/>
    <s v="Morning"/>
  </r>
  <r>
    <x v="704"/>
    <s v="2024-02-17 10:06:34"/>
    <x v="6"/>
    <s v="2024-02-23 09:42:34"/>
    <x v="635"/>
    <n v="6"/>
    <x v="6"/>
    <s v="Cannot Send/Receive"/>
    <s v="High"/>
    <n v="120"/>
    <x v="0"/>
    <s v="Email"/>
    <s v="Tier 2"/>
    <x v="14"/>
    <x v="0"/>
    <s v="No"/>
    <s v="Yes"/>
    <n v="1"/>
    <s v="No"/>
    <n v="6"/>
    <n v="1.9"/>
    <n v="27.2"/>
    <s v="Yes"/>
    <s v="Poor"/>
    <s v="Yes"/>
    <s v="Executive"/>
    <s v="Friday"/>
    <s v="Afternoon"/>
  </r>
  <r>
    <x v="705"/>
    <s v="2024-06-14 18:34:34"/>
    <x v="10"/>
    <s v="2024-06-27 15:34:34"/>
    <x v="636"/>
    <n v="12.9"/>
    <x v="6"/>
    <s v="Mailbox Full"/>
    <s v="Medium"/>
    <n v="240"/>
    <x v="0"/>
    <s v="Phone"/>
    <s v="Tier 1"/>
    <x v="18"/>
    <x v="2"/>
    <s v="No"/>
    <s v="No"/>
    <n v="1"/>
    <s v="No"/>
    <n v="7"/>
    <n v="2.6"/>
    <n v="38.200000000000003"/>
    <s v="No"/>
    <s v="Good"/>
    <s v="No"/>
    <s v="Executive"/>
    <s v="Thursday"/>
    <s v="Morning"/>
  </r>
  <r>
    <x v="706"/>
    <s v="2024-06-06 08:37:20"/>
    <x v="10"/>
    <s v="2024-06-20 13:31:20"/>
    <x v="219"/>
    <n v="14.2"/>
    <x v="3"/>
    <s v="Application Password"/>
    <s v="Low"/>
    <n v="360"/>
    <x v="1"/>
    <s v="Phone"/>
    <s v="Tier 1"/>
    <x v="17"/>
    <x v="2"/>
    <s v="Yes"/>
    <s v="No"/>
    <n v="0"/>
    <s v="No"/>
    <n v="10"/>
    <n v="1.8"/>
    <n v="15.3"/>
    <s v="Yes"/>
    <s v="Fair"/>
    <s v="Yes"/>
    <s v="IT"/>
    <s v="Friday"/>
    <s v="Afternoon"/>
  </r>
  <r>
    <x v="707"/>
    <s v="2024-02-19 15:32:46"/>
    <x v="6"/>
    <s v="2024-03-16 05:44:46"/>
    <x v="637"/>
    <n v="25.6"/>
    <x v="3"/>
    <s v="Account Unlock"/>
    <s v="Low"/>
    <n v="360"/>
    <x v="0"/>
    <s v="Email"/>
    <s v="Tier 1"/>
    <x v="19"/>
    <x v="1"/>
    <s v="Yes"/>
    <s v="No"/>
    <n v="0"/>
    <s v="No"/>
    <n v="7"/>
    <n v="0.1"/>
    <n v="11.3"/>
    <s v="Yes"/>
    <s v="Excellent"/>
    <s v="No"/>
    <s v="HR"/>
    <s v="Tuesday"/>
    <s v="Evening"/>
  </r>
  <r>
    <x v="708"/>
    <s v="2024-11-21 10:39:19"/>
    <x v="7"/>
    <s v="2024-12-02 15:15:19"/>
    <x v="362"/>
    <n v="11.2"/>
    <x v="5"/>
    <s v="Miscellaneous"/>
    <s v="Low"/>
    <n v="360"/>
    <x v="1"/>
    <s v="Phone"/>
    <s v="Tier 2"/>
    <x v="7"/>
    <x v="1"/>
    <s v="No"/>
    <s v="Yes"/>
    <n v="1"/>
    <s v="No"/>
    <n v="6"/>
    <n v="4.0999999999999996"/>
    <n v="0"/>
    <s v="Yes"/>
    <s v="Fair"/>
    <s v="Yes"/>
    <s v="IT"/>
    <s v="Monday"/>
    <s v="Afternoon"/>
  </r>
  <r>
    <x v="709"/>
    <s v="2024-04-08 04:53:11"/>
    <x v="11"/>
    <s v="2024-04-09 17:17:11"/>
    <x v="638"/>
    <n v="1.5"/>
    <x v="0"/>
    <s v="File Share"/>
    <s v="Critical"/>
    <n v="48"/>
    <x v="1"/>
    <s v="Portal"/>
    <s v="Tier 2"/>
    <x v="6"/>
    <x v="2"/>
    <s v="No"/>
    <s v="Yes"/>
    <n v="1"/>
    <s v="No"/>
    <n v="7"/>
    <n v="5.8"/>
    <n v="8.6"/>
    <s v="No"/>
    <s v="Poor"/>
    <s v="No"/>
    <s v="Marketing"/>
    <s v="Tuesday"/>
    <s v="Afternoon"/>
  </r>
  <r>
    <x v="710"/>
    <s v="2024-12-10 20:56:20"/>
    <x v="0"/>
    <s v="2025-01-23 19:44:20"/>
    <x v="639"/>
    <n v="43.9"/>
    <x v="7"/>
    <s v="MS Office"/>
    <s v="Low"/>
    <n v="360"/>
    <x v="0"/>
    <s v="Walk-in"/>
    <s v="Tier 1"/>
    <x v="19"/>
    <x v="2"/>
    <s v="No"/>
    <s v="No"/>
    <n v="1"/>
    <s v="Yes"/>
    <n v="4"/>
    <n v="1.8"/>
    <n v="32.9"/>
    <s v="Yes"/>
    <s v="Poor"/>
    <s v="No"/>
    <s v="Operations"/>
    <s v="Thursday"/>
    <s v="Morning"/>
  </r>
  <r>
    <x v="711"/>
    <s v="2024-09-10 06:12:58"/>
    <x v="9"/>
    <s v="2024-09-19 15:42:58"/>
    <x v="640"/>
    <n v="9.4"/>
    <x v="0"/>
    <s v="Application Access"/>
    <s v="Medium"/>
    <n v="240"/>
    <x v="1"/>
    <s v="Phone"/>
    <s v="Tier 1"/>
    <x v="5"/>
    <x v="2"/>
    <s v="No"/>
    <s v="No"/>
    <n v="1"/>
    <s v="No"/>
    <n v="10"/>
    <n v="0.9"/>
    <n v="34.9"/>
    <s v="No"/>
    <s v="Fair"/>
    <s v="Yes"/>
    <s v="Sales"/>
    <s v="Thursday"/>
    <s v="Morning"/>
  </r>
  <r>
    <x v="712"/>
    <s v="2024-02-27 21:36:13"/>
    <x v="6"/>
    <s v="2024-03-19 12:24:13"/>
    <x v="641"/>
    <n v="20.6"/>
    <x v="7"/>
    <s v="VPN Client"/>
    <s v="Medium"/>
    <n v="240"/>
    <x v="0"/>
    <s v="Email"/>
    <s v="Tier 1"/>
    <x v="7"/>
    <x v="2"/>
    <s v="Yes"/>
    <s v="No"/>
    <n v="0"/>
    <s v="No"/>
    <n v="8"/>
    <n v="3.9"/>
    <n v="23.2"/>
    <s v="No"/>
    <s v="Fair"/>
    <s v="No"/>
    <s v="Operations"/>
    <s v="Monday"/>
    <s v="Morning"/>
  </r>
  <r>
    <x v="713"/>
    <s v="2024-01-15 17:22:16"/>
    <x v="3"/>
    <s v="2024-02-02 23:52:16"/>
    <x v="642"/>
    <n v="18.3"/>
    <x v="3"/>
    <s v="Account Unlock"/>
    <s v="Low"/>
    <n v="360"/>
    <x v="0"/>
    <s v="Email"/>
    <s v="Tier 1"/>
    <x v="14"/>
    <x v="1"/>
    <s v="No"/>
    <s v="No"/>
    <n v="1"/>
    <s v="No"/>
    <n v="5"/>
    <n v="0.5"/>
    <n v="23.5"/>
    <s v="Yes"/>
    <s v="Good"/>
    <s v="No"/>
    <s v="Finance"/>
    <s v="Monday"/>
    <s v="Evening"/>
  </r>
  <r>
    <x v="714"/>
    <s v="2024-05-18 11:51:15"/>
    <x v="8"/>
    <s v="2024-06-06 00:57:15"/>
    <x v="643"/>
    <n v="19.5"/>
    <x v="3"/>
    <s v="Account Unlock"/>
    <s v="Low"/>
    <n v="360"/>
    <x v="0"/>
    <s v="Portal"/>
    <s v="Tier 1"/>
    <x v="20"/>
    <x v="1"/>
    <s v="No"/>
    <s v="No"/>
    <n v="1"/>
    <s v="No"/>
    <n v="7"/>
    <n v="5.0999999999999996"/>
    <n v="18"/>
    <s v="No"/>
    <s v="Poor"/>
    <s v="Yes"/>
    <s v="Executive"/>
    <s v="Monday"/>
    <s v="Afternoon"/>
  </r>
  <r>
    <x v="715"/>
    <s v="2024-01-04 15:14:16"/>
    <x v="3"/>
    <s v="2024-01-12 08:32:16"/>
    <x v="644"/>
    <n v="7.7"/>
    <x v="5"/>
    <s v="Miscellaneous"/>
    <s v="Medium"/>
    <n v="240"/>
    <x v="1"/>
    <s v="Phone"/>
    <s v="Tier 2"/>
    <x v="16"/>
    <x v="1"/>
    <s v="No"/>
    <s v="Yes"/>
    <n v="3"/>
    <s v="No"/>
    <n v="7"/>
    <n v="2.7"/>
    <n v="9.6999999999999993"/>
    <s v="No"/>
    <s v="Fair"/>
    <s v="Yes"/>
    <s v="HR"/>
    <s v="Friday"/>
    <s v="Afternoon"/>
  </r>
  <r>
    <x v="716"/>
    <s v="2024-12-07 14:54:09"/>
    <x v="0"/>
    <s v="2024-12-15 10:42:09"/>
    <x v="245"/>
    <n v="7.8"/>
    <x v="6"/>
    <s v="Mailbox Full"/>
    <s v="Medium"/>
    <n v="240"/>
    <x v="1"/>
    <s v="Walk-in"/>
    <s v="Tier 1"/>
    <x v="3"/>
    <x v="0"/>
    <s v="No"/>
    <s v="No"/>
    <n v="1"/>
    <s v="No"/>
    <n v="8"/>
    <n v="2.7"/>
    <n v="5.9"/>
    <s v="No"/>
    <s v="Good"/>
    <s v="Yes"/>
    <s v="Sales"/>
    <s v="Wednesday"/>
    <s v="Morning"/>
  </r>
  <r>
    <x v="717"/>
    <s v="2024-04-04 05:55:25"/>
    <x v="11"/>
    <s v="2024-04-16 12:55:25"/>
    <x v="645"/>
    <n v="12.3"/>
    <x v="3"/>
    <s v="Windows Password"/>
    <s v="Low"/>
    <n v="360"/>
    <x v="1"/>
    <s v="Phone"/>
    <s v="Tier 1"/>
    <x v="13"/>
    <x v="2"/>
    <s v="Yes"/>
    <s v="No"/>
    <n v="0"/>
    <s v="No"/>
    <n v="10"/>
    <n v="3.7"/>
    <n v="8.1"/>
    <s v="Yes"/>
    <s v="Poor"/>
    <s v="Yes"/>
    <s v="Marketing"/>
    <s v="Wednesday"/>
    <s v="Afternoon"/>
  </r>
  <r>
    <x v="718"/>
    <s v="2024-01-27 08:08:25"/>
    <x v="3"/>
    <s v="2024-02-02 14:02:25"/>
    <x v="646"/>
    <n v="6.2"/>
    <x v="6"/>
    <s v="Mailbox Full"/>
    <s v="Medium"/>
    <n v="240"/>
    <x v="1"/>
    <s v="Phone"/>
    <s v="Tier 1"/>
    <x v="22"/>
    <x v="1"/>
    <s v="No"/>
    <s v="No"/>
    <n v="1"/>
    <s v="Yes"/>
    <n v="8"/>
    <n v="2.7"/>
    <n v="22.3"/>
    <s v="No"/>
    <s v="Poor"/>
    <s v="Yes"/>
    <s v="Sales"/>
    <s v="Thursday"/>
    <s v="Afternoon"/>
  </r>
  <r>
    <x v="719"/>
    <s v="2024-02-01 08:08:28"/>
    <x v="6"/>
    <s v="2024-02-27 02:38:28"/>
    <x v="647"/>
    <n v="25.8"/>
    <x v="3"/>
    <s v="Email Password"/>
    <s v="Low"/>
    <n v="360"/>
    <x v="0"/>
    <s v="Email"/>
    <s v="Tier 1"/>
    <x v="10"/>
    <x v="0"/>
    <s v="Yes"/>
    <s v="No"/>
    <n v="0"/>
    <s v="No"/>
    <n v="6"/>
    <n v="0.4"/>
    <n v="25.2"/>
    <s v="Yes"/>
    <s v="Poor"/>
    <s v="Yes"/>
    <s v="IT"/>
    <s v="Thursday"/>
    <s v="Morning"/>
  </r>
  <r>
    <x v="720"/>
    <s v="2024-08-06 16:22:55"/>
    <x v="1"/>
    <s v="2024-08-14 11:28:55"/>
    <x v="648"/>
    <n v="7.8"/>
    <x v="4"/>
    <s v="Login Issues"/>
    <s v="Medium"/>
    <n v="240"/>
    <x v="1"/>
    <s v="Phone"/>
    <s v="Tier 2"/>
    <x v="11"/>
    <x v="2"/>
    <s v="No"/>
    <s v="Yes"/>
    <n v="4"/>
    <s v="No"/>
    <n v="8"/>
    <n v="2.2000000000000002"/>
    <n v="34"/>
    <s v="Yes"/>
    <s v="Fair"/>
    <s v="No"/>
    <s v="Finance"/>
    <s v="Monday"/>
    <s v="Morning"/>
  </r>
  <r>
    <x v="721"/>
    <s v="2024-10-04 11:25:29"/>
    <x v="2"/>
    <s v="2024-10-13 16:13:29"/>
    <x v="649"/>
    <n v="9.1999999999999993"/>
    <x v="3"/>
    <s v="Email Password"/>
    <s v="Low"/>
    <n v="360"/>
    <x v="1"/>
    <s v="Phone"/>
    <s v="Tier 1"/>
    <x v="5"/>
    <x v="2"/>
    <s v="No"/>
    <s v="No"/>
    <n v="1"/>
    <s v="No"/>
    <n v="7"/>
    <n v="0.1"/>
    <n v="27.6"/>
    <s v="Yes"/>
    <s v="Good"/>
    <s v="No"/>
    <s v="Finance"/>
    <s v="Friday"/>
    <s v="Afternoon"/>
  </r>
  <r>
    <x v="722"/>
    <s v="2024-10-10 03:04:23"/>
    <x v="2"/>
    <s v="2024-10-27 13:28:23"/>
    <x v="650"/>
    <n v="17.5"/>
    <x v="7"/>
    <s v="VPN Client"/>
    <s v="Low"/>
    <n v="360"/>
    <x v="0"/>
    <s v="Email"/>
    <s v="Tier 1"/>
    <x v="24"/>
    <x v="0"/>
    <s v="No"/>
    <s v="No"/>
    <n v="1"/>
    <s v="No"/>
    <n v="5"/>
    <n v="4.7"/>
    <n v="0"/>
    <s v="Yes"/>
    <s v="Poor"/>
    <s v="Yes"/>
    <s v="Marketing"/>
    <s v="Monday"/>
    <s v="Afternoon"/>
  </r>
  <r>
    <x v="723"/>
    <s v="2024-05-29 08:48:55"/>
    <x v="8"/>
    <s v="2024-06-09 12:00:55"/>
    <x v="651"/>
    <n v="11.1"/>
    <x v="3"/>
    <s v="Account Unlock"/>
    <s v="Low"/>
    <n v="360"/>
    <x v="1"/>
    <s v="Email"/>
    <s v="Tier 1"/>
    <x v="17"/>
    <x v="1"/>
    <s v="No"/>
    <s v="No"/>
    <n v="1"/>
    <s v="No"/>
    <n v="10"/>
    <n v="0.1"/>
    <n v="31.9"/>
    <s v="Yes"/>
    <s v="Fair"/>
    <s v="No"/>
    <s v="Sales"/>
    <s v="Thursday"/>
    <s v="Morning"/>
  </r>
  <r>
    <x v="724"/>
    <s v="2024-07-05 17:41:14"/>
    <x v="4"/>
    <s v="2024-08-01 09:41:14"/>
    <x v="652"/>
    <n v="26.7"/>
    <x v="3"/>
    <s v="Account Unlock"/>
    <s v="Low"/>
    <n v="360"/>
    <x v="0"/>
    <s v="Phone"/>
    <s v="Tier 1"/>
    <x v="13"/>
    <x v="2"/>
    <s v="Yes"/>
    <s v="No"/>
    <n v="0"/>
    <s v="No"/>
    <n v="9"/>
    <n v="2.5"/>
    <n v="0"/>
    <s v="Yes"/>
    <s v="Fair"/>
    <s v="No"/>
    <s v="Sales"/>
    <s v="Monday"/>
    <s v="Evening"/>
  </r>
  <r>
    <x v="725"/>
    <s v="2024-03-22 20:15:42"/>
    <x v="5"/>
    <s v="2024-03-26 23:03:42"/>
    <x v="653"/>
    <n v="4.0999999999999996"/>
    <x v="7"/>
    <s v="VPN Client"/>
    <s v="High"/>
    <n v="120"/>
    <x v="1"/>
    <s v="Portal"/>
    <s v="Tier 1"/>
    <x v="24"/>
    <x v="2"/>
    <s v="Yes"/>
    <s v="No"/>
    <n v="0"/>
    <s v="No"/>
    <n v="10"/>
    <n v="3.4"/>
    <n v="25.7"/>
    <s v="Yes"/>
    <s v="Poor"/>
    <s v="No"/>
    <s v="IT"/>
    <s v="Monday"/>
    <s v="Afternoon"/>
  </r>
  <r>
    <x v="726"/>
    <s v="2024-06-16 14:33:00"/>
    <x v="10"/>
    <s v="2024-06-27 00:21:00"/>
    <x v="654"/>
    <n v="11.4"/>
    <x v="0"/>
    <s v="VPN Access"/>
    <s v="Medium"/>
    <n v="240"/>
    <x v="0"/>
    <s v="Email"/>
    <s v="Tier 1"/>
    <x v="4"/>
    <x v="1"/>
    <s v="Yes"/>
    <s v="No"/>
    <n v="0"/>
    <s v="Yes"/>
    <n v="6"/>
    <n v="0.1"/>
    <n v="18.600000000000001"/>
    <s v="Yes"/>
    <s v="Good"/>
    <s v="Yes"/>
    <s v="Marketing"/>
    <s v="Monday"/>
    <s v="Morning"/>
  </r>
  <r>
    <x v="727"/>
    <s v="2024-09-12 10:25:41"/>
    <x v="9"/>
    <s v="2024-09-15 11:25:41"/>
    <x v="655"/>
    <n v="3"/>
    <x v="6"/>
    <s v="Distribution List"/>
    <s v="High"/>
    <n v="120"/>
    <x v="1"/>
    <s v="Phone"/>
    <s v="Tier 1"/>
    <x v="13"/>
    <x v="2"/>
    <s v="No"/>
    <s v="No"/>
    <n v="1"/>
    <s v="No"/>
    <n v="9"/>
    <n v="0.1"/>
    <n v="11.5"/>
    <s v="Yes"/>
    <s v="Poor"/>
    <s v="Yes"/>
    <s v="IT"/>
    <s v="Wednesday"/>
    <s v="Morning"/>
  </r>
  <r>
    <x v="728"/>
    <s v="2024-03-05 14:54:10"/>
    <x v="5"/>
    <s v="2024-03-12 17:42:10"/>
    <x v="656"/>
    <n v="7.1"/>
    <x v="4"/>
    <s v="Crash"/>
    <s v="High"/>
    <n v="120"/>
    <x v="0"/>
    <s v="Walk-in"/>
    <s v="Tier 1"/>
    <x v="7"/>
    <x v="2"/>
    <s v="No"/>
    <s v="No"/>
    <n v="1"/>
    <s v="No"/>
    <n v="6"/>
    <n v="1"/>
    <n v="6.4"/>
    <s v="Yes"/>
    <s v="Good"/>
    <s v="Yes"/>
    <s v="Operations"/>
    <s v="Tuesday"/>
    <s v="Afternoon"/>
  </r>
  <r>
    <x v="729"/>
    <s v="2024-04-10 23:00:04"/>
    <x v="11"/>
    <s v="2024-04-20 05:36:04"/>
    <x v="657"/>
    <n v="9.3000000000000007"/>
    <x v="1"/>
    <s v="Desktop"/>
    <s v="Medium"/>
    <n v="240"/>
    <x v="1"/>
    <s v="Phone"/>
    <s v="Tier 2"/>
    <x v="0"/>
    <x v="1"/>
    <s v="No"/>
    <s v="Yes"/>
    <n v="2"/>
    <s v="No"/>
    <n v="10"/>
    <n v="0.4"/>
    <n v="33.9"/>
    <s v="Yes"/>
    <s v="Poor"/>
    <s v="No"/>
    <s v="Legal"/>
    <s v="Monday"/>
    <s v="Morning"/>
  </r>
  <r>
    <x v="730"/>
    <s v="2024-02-20 12:13:41"/>
    <x v="6"/>
    <s v="2024-03-09 11:01:41"/>
    <x v="658"/>
    <n v="18"/>
    <x v="0"/>
    <s v="Admin Rights"/>
    <s v="Medium"/>
    <n v="240"/>
    <x v="0"/>
    <s v="Walk-in"/>
    <s v="Tier 1"/>
    <x v="9"/>
    <x v="0"/>
    <s v="Yes"/>
    <s v="No"/>
    <n v="0"/>
    <s v="No"/>
    <n v="7"/>
    <n v="2.8"/>
    <n v="0"/>
    <s v="No"/>
    <s v="Poor"/>
    <s v="No"/>
    <s v="Marketing"/>
    <s v="Wednesday"/>
    <s v="Afternoon"/>
  </r>
  <r>
    <x v="731"/>
    <s v="2024-11-19 09:32:21"/>
    <x v="7"/>
    <s v="2024-11-21 11:44:21"/>
    <x v="659"/>
    <n v="2.1"/>
    <x v="1"/>
    <s v="Laptop"/>
    <s v="Critical"/>
    <n v="48"/>
    <x v="0"/>
    <s v="Chat"/>
    <s v="Tier 1"/>
    <x v="13"/>
    <x v="0"/>
    <s v="No"/>
    <s v="No"/>
    <n v="1"/>
    <s v="No"/>
    <n v="3"/>
    <n v="2.2000000000000002"/>
    <n v="28.7"/>
    <s v="Yes"/>
    <s v="Fair"/>
    <s v="Yes"/>
    <s v="Sales"/>
    <s v="Thursday"/>
    <s v="Afternoon"/>
  </r>
  <r>
    <x v="732"/>
    <s v="2024-03-29 08:51:30"/>
    <x v="5"/>
    <s v="2024-04-02 16:33:30"/>
    <x v="213"/>
    <n v="4.3"/>
    <x v="4"/>
    <s v="Login Issues"/>
    <s v="High"/>
    <n v="120"/>
    <x v="1"/>
    <s v="Phone"/>
    <s v="Tier 2"/>
    <x v="17"/>
    <x v="2"/>
    <s v="No"/>
    <s v="Yes"/>
    <n v="2"/>
    <s v="No"/>
    <n v="8"/>
    <n v="3.5"/>
    <n v="29.2"/>
    <s v="Yes"/>
    <s v="Good"/>
    <s v="No"/>
    <s v="IT"/>
    <s v="Monday"/>
    <s v="Evening"/>
  </r>
  <r>
    <x v="733"/>
    <s v="2024-10-25 14:39:44"/>
    <x v="2"/>
    <s v="2024-11-06 21:57:44"/>
    <x v="660"/>
    <n v="12.3"/>
    <x v="0"/>
    <s v="Application Access"/>
    <s v="Medium"/>
    <n v="240"/>
    <x v="0"/>
    <s v="Phone"/>
    <s v="Tier 1"/>
    <x v="10"/>
    <x v="0"/>
    <s v="Yes"/>
    <s v="No"/>
    <n v="0"/>
    <s v="No"/>
    <n v="5"/>
    <n v="3.1"/>
    <n v="26.9"/>
    <s v="Yes"/>
    <s v="Good"/>
    <s v="Yes"/>
    <s v="IT"/>
    <s v="Wednesday"/>
    <s v="Morning"/>
  </r>
  <r>
    <x v="734"/>
    <s v="2024-05-02 10:09:50"/>
    <x v="8"/>
    <s v="2024-05-03 17:33:50"/>
    <x v="661"/>
    <n v="1.3"/>
    <x v="7"/>
    <s v="Drivers"/>
    <s v="Critical"/>
    <n v="48"/>
    <x v="1"/>
    <s v="Portal"/>
    <s v="Tier 1"/>
    <x v="8"/>
    <x v="0"/>
    <s v="No"/>
    <s v="No"/>
    <n v="1"/>
    <s v="Yes"/>
    <n v="9"/>
    <n v="6.2"/>
    <n v="32.6"/>
    <s v="Yes"/>
    <s v="Excellent"/>
    <s v="No"/>
    <s v="HR"/>
    <s v="Tuesday"/>
    <s v="Morning"/>
  </r>
  <r>
    <x v="735"/>
    <s v="2024-04-01 23:03:02"/>
    <x v="11"/>
    <s v="2024-04-11 01:51:02"/>
    <x v="662"/>
    <n v="10.1"/>
    <x v="3"/>
    <s v="Email Password"/>
    <s v="Low"/>
    <n v="360"/>
    <x v="1"/>
    <s v="Phone"/>
    <s v="Tier 1"/>
    <x v="19"/>
    <x v="0"/>
    <s v="Yes"/>
    <s v="No"/>
    <n v="0"/>
    <s v="No"/>
    <n v="9"/>
    <n v="1.7"/>
    <n v="15.7"/>
    <s v="Yes"/>
    <s v="Poor"/>
    <s v="No"/>
    <s v="Sales"/>
    <s v="Tuesday"/>
    <s v="Morning"/>
  </r>
  <r>
    <x v="736"/>
    <s v="2024-07-08 18:49:53"/>
    <x v="4"/>
    <s v="2024-07-26 12:43:53"/>
    <x v="663"/>
    <n v="17.7"/>
    <x v="6"/>
    <s v="Distribution List"/>
    <s v="Low"/>
    <n v="360"/>
    <x v="0"/>
    <s v="Portal"/>
    <s v="Tier 2"/>
    <x v="17"/>
    <x v="2"/>
    <s v="No"/>
    <s v="Yes"/>
    <n v="1"/>
    <s v="No"/>
    <n v="7"/>
    <n v="0.1"/>
    <n v="20.7"/>
    <s v="No"/>
    <s v="Good"/>
    <s v="Yes"/>
    <s v="Sales"/>
    <s v="Tuesday"/>
    <s v="Evening"/>
  </r>
  <r>
    <x v="737"/>
    <s v="2024-04-30 18:27:45"/>
    <x v="11"/>
    <s v="2024-05-17 13:09:45"/>
    <x v="664"/>
    <n v="16.8"/>
    <x v="3"/>
    <s v="Application Password"/>
    <s v="Low"/>
    <n v="360"/>
    <x v="0"/>
    <s v="Phone"/>
    <s v="Tier 1"/>
    <x v="23"/>
    <x v="0"/>
    <s v="No"/>
    <s v="No"/>
    <n v="1"/>
    <s v="Yes"/>
    <n v="7"/>
    <n v="1.5"/>
    <n v="28.9"/>
    <s v="Yes"/>
    <s v="Good"/>
    <s v="No"/>
    <s v="Legal"/>
    <s v="Tuesday"/>
    <s v="Morning"/>
  </r>
  <r>
    <x v="738"/>
    <s v="2024-07-07 09:46:43"/>
    <x v="4"/>
    <s v="2024-07-11 08:22:43"/>
    <x v="665"/>
    <n v="3.9"/>
    <x v="1"/>
    <s v="Laptop"/>
    <s v="High"/>
    <n v="120"/>
    <x v="1"/>
    <s v="Phone"/>
    <s v="Tier 2"/>
    <x v="12"/>
    <x v="2"/>
    <s v="No"/>
    <s v="Yes"/>
    <n v="3"/>
    <s v="No"/>
    <n v="6"/>
    <n v="2.2999999999999998"/>
    <n v="9.8000000000000007"/>
    <s v="Yes"/>
    <s v="Good"/>
    <s v="No"/>
    <s v="HR"/>
    <s v="Tuesday"/>
    <s v="Afternoon"/>
  </r>
  <r>
    <x v="739"/>
    <s v="2024-12-15 14:39:29"/>
    <x v="0"/>
    <s v="2024-12-25 02:51:29"/>
    <x v="666"/>
    <n v="9.5"/>
    <x v="3"/>
    <s v="Email Password"/>
    <s v="Low"/>
    <n v="360"/>
    <x v="1"/>
    <s v="Phone"/>
    <s v="Tier 1"/>
    <x v="1"/>
    <x v="2"/>
    <s v="Yes"/>
    <s v="No"/>
    <n v="0"/>
    <s v="No"/>
    <n v="8"/>
    <n v="4.7"/>
    <n v="14.5"/>
    <s v="Yes"/>
    <s v="Good"/>
    <s v="Yes"/>
    <s v="HR"/>
    <s v="Monday"/>
    <s v="Morning"/>
  </r>
  <r>
    <x v="740"/>
    <s v="2024-05-26 20:17:00"/>
    <x v="8"/>
    <s v="2024-06-01 04:17:00"/>
    <x v="667"/>
    <n v="5.3"/>
    <x v="1"/>
    <s v="Printer"/>
    <s v="High"/>
    <n v="120"/>
    <x v="0"/>
    <s v="Email"/>
    <s v="Tier 1"/>
    <x v="17"/>
    <x v="2"/>
    <s v="No"/>
    <s v="No"/>
    <n v="1"/>
    <s v="Yes"/>
    <n v="8"/>
    <n v="3"/>
    <n v="9.1999999999999993"/>
    <s v="No"/>
    <s v="Good"/>
    <s v="No"/>
    <s v="Finance"/>
    <s v="Monday"/>
    <s v="Morning"/>
  </r>
  <r>
    <x v="741"/>
    <s v="2024-08-12 06:44:15"/>
    <x v="1"/>
    <s v="2024-08-28 06:26:15"/>
    <x v="668"/>
    <n v="16"/>
    <x v="3"/>
    <s v="Windows Password"/>
    <s v="Low"/>
    <n v="360"/>
    <x v="0"/>
    <s v="Phone"/>
    <s v="Tier 1"/>
    <x v="20"/>
    <x v="1"/>
    <s v="Yes"/>
    <s v="No"/>
    <n v="0"/>
    <s v="Yes"/>
    <n v="7"/>
    <n v="6"/>
    <n v="27.7"/>
    <s v="No"/>
    <s v="Poor"/>
    <s v="No"/>
    <s v="IT"/>
    <s v="Friday"/>
    <s v="Evening"/>
  </r>
  <r>
    <x v="742"/>
    <s v="2024-02-11 16:57:05"/>
    <x v="6"/>
    <s v="2024-02-20 18:45:05"/>
    <x v="669"/>
    <n v="9.1"/>
    <x v="3"/>
    <s v="Email Password"/>
    <s v="Low"/>
    <n v="360"/>
    <x v="1"/>
    <s v="Phone"/>
    <s v="Tier 1"/>
    <x v="5"/>
    <x v="2"/>
    <s v="Yes"/>
    <s v="No"/>
    <n v="0"/>
    <s v="No"/>
    <n v="10"/>
    <n v="3.2"/>
    <n v="35.700000000000003"/>
    <s v="Yes"/>
    <s v="Good"/>
    <s v="Yes"/>
    <s v="Finance"/>
    <s v="Tuesday"/>
    <s v="Morning"/>
  </r>
  <r>
    <x v="743"/>
    <s v="2024-08-28 14:58:49"/>
    <x v="1"/>
    <s v="2024-09-04 04:52:49"/>
    <x v="670"/>
    <n v="6.6"/>
    <x v="5"/>
    <s v="Miscellaneous"/>
    <s v="Medium"/>
    <n v="240"/>
    <x v="1"/>
    <s v="Portal"/>
    <s v="Tier 1"/>
    <x v="5"/>
    <x v="1"/>
    <s v="Yes"/>
    <s v="No"/>
    <n v="0"/>
    <s v="No"/>
    <n v="10"/>
    <n v="4.7"/>
    <n v="24.4"/>
    <s v="Yes"/>
    <s v="Good"/>
    <s v="No"/>
    <s v="HR"/>
    <s v="Wednesday"/>
    <s v="Afternoon"/>
  </r>
  <r>
    <x v="744"/>
    <s v="2024-10-12 03:04:28"/>
    <x v="2"/>
    <s v="2024-11-09 13:28:28"/>
    <x v="602"/>
    <n v="28.5"/>
    <x v="6"/>
    <s v="Distribution List"/>
    <s v="Low"/>
    <n v="360"/>
    <x v="0"/>
    <s v="Email"/>
    <s v="Tier 1"/>
    <x v="10"/>
    <x v="0"/>
    <s v="Yes"/>
    <s v="No"/>
    <n v="0"/>
    <s v="No"/>
    <n v="7"/>
    <n v="1.2"/>
    <n v="19.3"/>
    <s v="Yes"/>
    <s v="Good"/>
    <s v="Yes"/>
    <s v="Operations"/>
    <s v="Wednesday"/>
    <s v="Evening"/>
  </r>
  <r>
    <x v="745"/>
    <s v="2024-01-31 15:03:29"/>
    <x v="3"/>
    <s v="2024-02-07 11:33:29"/>
    <x v="671"/>
    <n v="6.9"/>
    <x v="6"/>
    <s v="Cannot Send/Receive"/>
    <s v="High"/>
    <n v="120"/>
    <x v="0"/>
    <s v="Phone"/>
    <s v="Tier 1"/>
    <x v="6"/>
    <x v="1"/>
    <s v="No"/>
    <s v="No"/>
    <n v="1"/>
    <s v="Yes"/>
    <n v="6"/>
    <n v="2.9"/>
    <n v="1.8"/>
    <s v="Yes"/>
    <s v="Poor"/>
    <s v="No"/>
    <s v="Executive"/>
    <s v="Wednesday"/>
    <s v="Evening"/>
  </r>
  <r>
    <x v="746"/>
    <s v="2024-04-18 11:40:07"/>
    <x v="11"/>
    <s v="2024-04-20 05:16:07"/>
    <x v="672"/>
    <n v="1.7"/>
    <x v="4"/>
    <s v="Crash"/>
    <s v="Critical"/>
    <n v="48"/>
    <x v="1"/>
    <s v="Portal"/>
    <s v="Tier 1"/>
    <x v="15"/>
    <x v="1"/>
    <s v="No"/>
    <s v="No"/>
    <n v="1"/>
    <s v="No"/>
    <n v="9"/>
    <n v="0.1"/>
    <n v="16.3"/>
    <s v="No"/>
    <s v="Fair"/>
    <s v="Yes"/>
    <s v="Marketing"/>
    <s v="Tuesday"/>
    <s v="Morning"/>
  </r>
  <r>
    <x v="747"/>
    <s v="2024-01-04 12:17:00"/>
    <x v="3"/>
    <s v="2024-01-16 17:35:00"/>
    <x v="673"/>
    <n v="12.2"/>
    <x v="5"/>
    <s v="Documentation"/>
    <s v="Low"/>
    <n v="360"/>
    <x v="1"/>
    <s v="Phone"/>
    <s v="Tier 1"/>
    <x v="18"/>
    <x v="2"/>
    <s v="No"/>
    <s v="No"/>
    <n v="1"/>
    <s v="Yes"/>
    <n v="10"/>
    <n v="3.2"/>
    <n v="0"/>
    <s v="Yes"/>
    <s v="Good"/>
    <s v="Yes"/>
    <s v="IT"/>
    <s v="Thursday"/>
    <s v="Morning"/>
  </r>
  <r>
    <x v="748"/>
    <s v="2024-05-07 12:23:25"/>
    <x v="8"/>
    <s v="2024-05-15 18:17:25"/>
    <x v="127"/>
    <n v="8.1999999999999993"/>
    <x v="0"/>
    <s v="VPN Access"/>
    <s v="Medium"/>
    <n v="240"/>
    <x v="1"/>
    <s v="Walk-in"/>
    <s v="Tier 1"/>
    <x v="3"/>
    <x v="2"/>
    <s v="Yes"/>
    <s v="No"/>
    <n v="0"/>
    <s v="Yes"/>
    <n v="10"/>
    <n v="3.5"/>
    <n v="14.5"/>
    <s v="Yes"/>
    <s v="Poor"/>
    <s v="Yes"/>
    <s v="Finance"/>
    <s v="Monday"/>
    <s v="Afternoon"/>
  </r>
  <r>
    <x v="749"/>
    <s v="2024-07-23 19:14:38"/>
    <x v="4"/>
    <s v="2024-07-30 03:20:38"/>
    <x v="54"/>
    <n v="6.3"/>
    <x v="3"/>
    <s v="Account Unlock"/>
    <s v="Medium"/>
    <n v="240"/>
    <x v="1"/>
    <s v="Phone"/>
    <s v="Tier 1"/>
    <x v="2"/>
    <x v="2"/>
    <s v="Yes"/>
    <s v="No"/>
    <n v="0"/>
    <s v="Yes"/>
    <n v="10"/>
    <n v="1.9"/>
    <n v="21.1"/>
    <s v="Yes"/>
    <s v="Fair"/>
    <s v="No"/>
    <s v="Executive"/>
    <s v="Wednesday"/>
    <s v="Evening"/>
  </r>
  <r>
    <x v="750"/>
    <s v="2024-03-23 07:26:49"/>
    <x v="5"/>
    <s v="2024-03-25 00:14:49"/>
    <x v="674"/>
    <n v="2.7"/>
    <x v="4"/>
    <s v="Login Issues"/>
    <s v="Critical"/>
    <n v="48"/>
    <x v="0"/>
    <s v="Phone"/>
    <s v="Tier 1"/>
    <x v="4"/>
    <x v="1"/>
    <s v="No"/>
    <s v="No"/>
    <n v="1"/>
    <s v="No"/>
    <n v="3"/>
    <n v="2.2000000000000002"/>
    <n v="30.1"/>
    <s v="No"/>
    <s v="Good"/>
    <s v="Yes"/>
    <s v="Marketing"/>
    <s v="Tuesday"/>
    <s v="Morning"/>
  </r>
  <r>
    <x v="751"/>
    <s v="2024-09-29 19:26:37"/>
    <x v="9"/>
    <s v="2024-10-13 11:38:37"/>
    <x v="675"/>
    <n v="13.7"/>
    <x v="3"/>
    <s v="Account Unlock"/>
    <s v="Low"/>
    <n v="360"/>
    <x v="1"/>
    <s v="Email"/>
    <s v="Tier 1"/>
    <x v="12"/>
    <x v="1"/>
    <s v="Yes"/>
    <s v="No"/>
    <n v="0"/>
    <s v="Yes"/>
    <n v="10"/>
    <n v="0.5"/>
    <n v="18.8"/>
    <s v="Yes"/>
    <s v="Fair"/>
    <s v="No"/>
    <s v="Marketing"/>
    <s v="Friday"/>
    <s v="Morning"/>
  </r>
  <r>
    <x v="752"/>
    <s v="2024-08-11 08:41:13"/>
    <x v="1"/>
    <s v="2024-08-17 12:35:13"/>
    <x v="676"/>
    <n v="6.2"/>
    <x v="7"/>
    <s v="Business Apps"/>
    <s v="Medium"/>
    <n v="240"/>
    <x v="1"/>
    <s v="Walk-in"/>
    <s v="Tier 2"/>
    <x v="3"/>
    <x v="0"/>
    <s v="No"/>
    <s v="Yes"/>
    <n v="3"/>
    <s v="Yes"/>
    <n v="8"/>
    <n v="5.0999999999999996"/>
    <n v="29.2"/>
    <s v="No"/>
    <s v="Poor"/>
    <s v="No"/>
    <s v="Sales"/>
    <s v="Friday"/>
    <s v="Afternoon"/>
  </r>
  <r>
    <x v="753"/>
    <s v="2024-05-09 21:33:55"/>
    <x v="8"/>
    <s v="2024-05-24 03:27:55"/>
    <x v="677"/>
    <n v="14.2"/>
    <x v="6"/>
    <s v="Calendar Sync"/>
    <s v="Low"/>
    <n v="360"/>
    <x v="1"/>
    <s v="Portal"/>
    <s v="Tier 1"/>
    <x v="0"/>
    <x v="1"/>
    <s v="Yes"/>
    <s v="No"/>
    <n v="0"/>
    <s v="No"/>
    <n v="6"/>
    <n v="0.1"/>
    <n v="32.200000000000003"/>
    <s v="Yes"/>
    <s v="Good"/>
    <s v="No"/>
    <s v="Operations"/>
    <s v="Wednesday"/>
    <s v="Morning"/>
  </r>
  <r>
    <x v="754"/>
    <s v="2024-02-16 23:21:46"/>
    <x v="6"/>
    <s v="2024-03-08 19:21:46"/>
    <x v="678"/>
    <n v="20.8"/>
    <x v="0"/>
    <s v="VPN Access"/>
    <s v="Medium"/>
    <n v="240"/>
    <x v="0"/>
    <s v="Chat"/>
    <s v="Tier 1"/>
    <x v="3"/>
    <x v="1"/>
    <s v="No"/>
    <s v="No"/>
    <n v="1"/>
    <s v="No"/>
    <n v="4"/>
    <n v="4.8"/>
    <n v="0.4"/>
    <s v="No"/>
    <s v="Excellent"/>
    <s v="No"/>
    <s v="IT"/>
    <s v="Thursday"/>
    <s v="Afternoon"/>
  </r>
  <r>
    <x v="755"/>
    <s v="2024-04-21 20:35:35"/>
    <x v="11"/>
    <s v="2024-05-05 06:59:35"/>
    <x v="679"/>
    <n v="13.4"/>
    <x v="3"/>
    <s v="Email Password"/>
    <s v="Medium"/>
    <n v="240"/>
    <x v="0"/>
    <s v="Phone"/>
    <s v="Tier 1"/>
    <x v="21"/>
    <x v="0"/>
    <s v="No"/>
    <s v="No"/>
    <n v="1"/>
    <s v="No"/>
    <n v="7"/>
    <n v="5.5"/>
    <n v="9"/>
    <s v="No"/>
    <s v="Fair"/>
    <s v="No"/>
    <s v="HR"/>
    <s v="Thursday"/>
    <s v="Morning"/>
  </r>
  <r>
    <x v="756"/>
    <s v="2024-10-22 03:34:16"/>
    <x v="2"/>
    <s v="2024-10-26 07:46:16"/>
    <x v="281"/>
    <n v="4.2"/>
    <x v="2"/>
    <s v="Ethernet"/>
    <s v="High"/>
    <n v="120"/>
    <x v="1"/>
    <s v="Portal"/>
    <s v="Tier 1"/>
    <x v="12"/>
    <x v="1"/>
    <s v="No"/>
    <s v="No"/>
    <n v="1"/>
    <s v="No"/>
    <n v="6"/>
    <n v="2"/>
    <n v="33.299999999999997"/>
    <s v="Yes"/>
    <s v="Fair"/>
    <s v="Yes"/>
    <s v="HR"/>
    <s v="Friday"/>
    <s v="Morning"/>
  </r>
  <r>
    <x v="757"/>
    <s v="2024-07-29 19:20:28"/>
    <x v="4"/>
    <s v="2024-08-12 16:02:28"/>
    <x v="680"/>
    <n v="13.9"/>
    <x v="7"/>
    <s v="MS Office"/>
    <s v="Low"/>
    <n v="360"/>
    <x v="1"/>
    <s v="Portal"/>
    <s v="Tier 1"/>
    <x v="13"/>
    <x v="1"/>
    <s v="No"/>
    <s v="No"/>
    <n v="1"/>
    <s v="No"/>
    <n v="7"/>
    <n v="2.5"/>
    <n v="6.1"/>
    <s v="No"/>
    <s v="Fair"/>
    <s v="Yes"/>
    <s v="Legal"/>
    <s v="Friday"/>
    <s v="Morning"/>
  </r>
  <r>
    <x v="758"/>
    <s v="2024-10-07 14:30:54"/>
    <x v="2"/>
    <s v="2024-10-14 01:42:54"/>
    <x v="247"/>
    <n v="7.5"/>
    <x v="1"/>
    <s v="Laptop"/>
    <s v="High"/>
    <n v="120"/>
    <x v="0"/>
    <s v="Email"/>
    <s v="Tier 1"/>
    <x v="23"/>
    <x v="2"/>
    <s v="No"/>
    <s v="No"/>
    <n v="1"/>
    <s v="Yes"/>
    <n v="6"/>
    <n v="0.7"/>
    <n v="9.6999999999999993"/>
    <s v="Yes"/>
    <s v="Fair"/>
    <s v="Yes"/>
    <s v="Marketing"/>
    <s v="Monday"/>
    <s v="Morning"/>
  </r>
  <r>
    <x v="759"/>
    <s v="2024-06-05 20:17:37"/>
    <x v="10"/>
    <s v="2024-06-09 18:05:37"/>
    <x v="681"/>
    <n v="3.9"/>
    <x v="0"/>
    <s v="Admin Rights"/>
    <s v="High"/>
    <n v="120"/>
    <x v="1"/>
    <s v="Phone"/>
    <s v="Tier 1"/>
    <x v="11"/>
    <x v="2"/>
    <s v="No"/>
    <s v="No"/>
    <n v="1"/>
    <s v="Yes"/>
    <n v="6"/>
    <n v="0.5"/>
    <n v="14.1"/>
    <s v="No"/>
    <s v="Good"/>
    <s v="No"/>
    <s v="IT"/>
    <s v="Friday"/>
    <s v="Afternoon"/>
  </r>
  <r>
    <x v="760"/>
    <s v="2024-04-30 17:25:19"/>
    <x v="11"/>
    <s v="2024-05-06 20:01:19"/>
    <x v="682"/>
    <n v="6.1"/>
    <x v="1"/>
    <s v="Monitor"/>
    <s v="Medium"/>
    <n v="240"/>
    <x v="1"/>
    <s v="Phone"/>
    <s v="Tier 2"/>
    <x v="7"/>
    <x v="1"/>
    <s v="No"/>
    <s v="Yes"/>
    <n v="3"/>
    <s v="No"/>
    <n v="9"/>
    <n v="0.1"/>
    <n v="6.5"/>
    <s v="Yes"/>
    <s v="Poor"/>
    <s v="Yes"/>
    <s v="HR"/>
    <s v="Monday"/>
    <s v="Morning"/>
  </r>
  <r>
    <x v="761"/>
    <s v="2024-10-26 07:29:52"/>
    <x v="2"/>
    <s v="2024-11-09 15:11:52"/>
    <x v="683"/>
    <n v="14.4"/>
    <x v="7"/>
    <s v="VPN Client"/>
    <s v="Medium"/>
    <n v="240"/>
    <x v="0"/>
    <s v="Portal"/>
    <s v="Tier 1"/>
    <x v="11"/>
    <x v="2"/>
    <s v="No"/>
    <s v="No"/>
    <n v="1"/>
    <s v="No"/>
    <n v="6"/>
    <n v="0.8"/>
    <n v="16.600000000000001"/>
    <s v="No"/>
    <s v="Fair"/>
    <s v="No"/>
    <s v="Legal"/>
    <s v="Monday"/>
    <s v="Afternoon"/>
  </r>
  <r>
    <x v="762"/>
    <s v="2024-11-21 08:22:54"/>
    <x v="7"/>
    <s v="2024-11-27 22:28:54"/>
    <x v="223"/>
    <n v="6.6"/>
    <x v="0"/>
    <s v="File Share"/>
    <s v="Medium"/>
    <n v="240"/>
    <x v="1"/>
    <s v="Walk-in"/>
    <s v="Tier 1"/>
    <x v="11"/>
    <x v="0"/>
    <s v="Yes"/>
    <s v="No"/>
    <n v="0"/>
    <s v="No"/>
    <n v="10"/>
    <n v="2.7"/>
    <n v="15.6"/>
    <s v="No"/>
    <s v="Excellent"/>
    <s v="Yes"/>
    <s v="HR"/>
    <s v="Friday"/>
    <s v="Morning"/>
  </r>
  <r>
    <x v="763"/>
    <s v="2024-01-22 04:59:33"/>
    <x v="3"/>
    <s v="2024-01-29 06:53:33"/>
    <x v="684"/>
    <n v="7.1"/>
    <x v="3"/>
    <s v="Windows Password"/>
    <s v="High"/>
    <n v="120"/>
    <x v="0"/>
    <s v="Phone"/>
    <s v="Tier 1"/>
    <x v="8"/>
    <x v="2"/>
    <s v="Yes"/>
    <s v="No"/>
    <n v="0"/>
    <s v="No"/>
    <n v="9"/>
    <n v="0.6"/>
    <n v="5.5"/>
    <s v="No"/>
    <s v="Fair"/>
    <s v="Yes"/>
    <s v="Finance"/>
    <s v="Monday"/>
    <s v="Morning"/>
  </r>
  <r>
    <x v="764"/>
    <s v="2024-02-06 09:23:31"/>
    <x v="6"/>
    <s v="2024-02-12 11:05:31"/>
    <x v="685"/>
    <n v="6.1"/>
    <x v="7"/>
    <s v="VPN Client"/>
    <s v="Medium"/>
    <n v="240"/>
    <x v="1"/>
    <s v="Portal"/>
    <s v="Tier 2"/>
    <x v="8"/>
    <x v="2"/>
    <s v="No"/>
    <s v="Yes"/>
    <n v="3"/>
    <s v="No"/>
    <n v="5"/>
    <n v="2.4"/>
    <n v="39"/>
    <s v="Yes"/>
    <s v="Good"/>
    <s v="Yes"/>
    <s v="Executive"/>
    <s v="Monday"/>
    <s v="Morning"/>
  </r>
  <r>
    <x v="765"/>
    <s v="2024-03-28 10:52:26"/>
    <x v="5"/>
    <s v="2024-04-17 01:52:26"/>
    <x v="686"/>
    <n v="20.6"/>
    <x v="4"/>
    <s v="Performance"/>
    <s v="Low"/>
    <n v="360"/>
    <x v="0"/>
    <s v="Walk-in"/>
    <s v="Tier 2"/>
    <x v="13"/>
    <x v="2"/>
    <s v="No"/>
    <s v="Yes"/>
    <n v="3"/>
    <s v="No"/>
    <n v="5"/>
    <n v="3.4"/>
    <n v="35.9"/>
    <s v="No"/>
    <s v="Fair"/>
    <s v="No"/>
    <s v="IT"/>
    <s v="Wednesday"/>
    <s v="Afternoon"/>
  </r>
  <r>
    <x v="766"/>
    <s v="2024-11-15 21:34:12"/>
    <x v="7"/>
    <s v="2024-11-25 06:58:12"/>
    <x v="292"/>
    <n v="9.4"/>
    <x v="6"/>
    <s v="Distribution List"/>
    <s v="Medium"/>
    <n v="240"/>
    <x v="1"/>
    <s v="Email"/>
    <s v="Tier 1"/>
    <x v="7"/>
    <x v="2"/>
    <s v="No"/>
    <s v="No"/>
    <n v="1"/>
    <s v="No"/>
    <n v="9"/>
    <n v="1.8"/>
    <n v="24.6"/>
    <s v="No"/>
    <s v="Fair"/>
    <s v="No"/>
    <s v="Executive"/>
    <s v="Friday"/>
    <s v="Morning"/>
  </r>
  <r>
    <x v="767"/>
    <s v="2024-06-24 23:07:10"/>
    <x v="10"/>
    <s v="2024-06-30 02:49:10"/>
    <x v="687"/>
    <n v="6.2"/>
    <x v="0"/>
    <s v="Application Access"/>
    <s v="Medium"/>
    <n v="240"/>
    <x v="1"/>
    <s v="Portal"/>
    <s v="Tier 1"/>
    <x v="15"/>
    <x v="2"/>
    <s v="Yes"/>
    <s v="No"/>
    <n v="0"/>
    <s v="No"/>
    <n v="10"/>
    <n v="3"/>
    <n v="22.3"/>
    <s v="Yes"/>
    <s v="Fair"/>
    <s v="Yes"/>
    <s v="Executive"/>
    <s v="Thursday"/>
    <s v="Morning"/>
  </r>
  <r>
    <x v="768"/>
    <s v="2024-03-14 14:14:43"/>
    <x v="5"/>
    <s v="2024-03-24 23:20:43"/>
    <x v="688"/>
    <n v="10.4"/>
    <x v="5"/>
    <s v="General Inquiry"/>
    <s v="Medium"/>
    <n v="240"/>
    <x v="0"/>
    <s v="Email"/>
    <s v="Tier 1"/>
    <x v="3"/>
    <x v="1"/>
    <s v="Yes"/>
    <s v="No"/>
    <n v="0"/>
    <s v="No"/>
    <n v="9"/>
    <n v="1.2"/>
    <n v="18.3"/>
    <s v="Yes"/>
    <s v="Fair"/>
    <s v="Yes"/>
    <s v="Executive"/>
    <s v="Thursday"/>
    <s v="Afternoon"/>
  </r>
  <r>
    <x v="769"/>
    <s v="2024-10-15 17:49:31"/>
    <x v="2"/>
    <s v="2024-10-26 12:13:31"/>
    <x v="689"/>
    <n v="10.8"/>
    <x v="4"/>
    <s v="Crash"/>
    <s v="Medium"/>
    <n v="240"/>
    <x v="0"/>
    <s v="Phone"/>
    <s v="Tier 2"/>
    <x v="24"/>
    <x v="2"/>
    <s v="No"/>
    <s v="Yes"/>
    <n v="3"/>
    <s v="No"/>
    <n v="4"/>
    <n v="2"/>
    <n v="13.1"/>
    <s v="No"/>
    <s v="Good"/>
    <s v="No"/>
    <s v="IT"/>
    <s v="Monday"/>
    <s v="Evening"/>
  </r>
  <r>
    <x v="770"/>
    <s v="2024-05-13 07:06:44"/>
    <x v="8"/>
    <s v="2024-05-19 11:24:44"/>
    <x v="690"/>
    <n v="6.2"/>
    <x v="1"/>
    <s v="Docking Station"/>
    <s v="High"/>
    <n v="120"/>
    <x v="0"/>
    <s v="Portal"/>
    <s v="Tier 2"/>
    <x v="16"/>
    <x v="2"/>
    <s v="No"/>
    <s v="Yes"/>
    <n v="4"/>
    <s v="No"/>
    <n v="8"/>
    <n v="4.8"/>
    <n v="25.6"/>
    <s v="No"/>
    <s v="Poor"/>
    <s v="No"/>
    <s v="Marketing"/>
    <s v="Wednesday"/>
    <s v="Evening"/>
  </r>
  <r>
    <x v="771"/>
    <s v="2024-01-10 18:42:42"/>
    <x v="3"/>
    <s v="2024-01-14 21:54:42"/>
    <x v="691"/>
    <n v="4.0999999999999996"/>
    <x v="1"/>
    <s v="Laptop"/>
    <s v="High"/>
    <n v="120"/>
    <x v="1"/>
    <s v="Portal"/>
    <s v="Tier 1"/>
    <x v="21"/>
    <x v="2"/>
    <s v="No"/>
    <s v="No"/>
    <n v="1"/>
    <s v="No"/>
    <n v="9"/>
    <n v="4.5"/>
    <n v="12.2"/>
    <s v="Yes"/>
    <s v="Fair"/>
    <s v="Yes"/>
    <s v="Operations"/>
    <s v="Tuesday"/>
    <s v="Afternoon"/>
  </r>
  <r>
    <x v="772"/>
    <s v="2024-03-13 17:32:21"/>
    <x v="5"/>
    <s v="2024-03-22 12:14:21"/>
    <x v="692"/>
    <n v="8.8000000000000007"/>
    <x v="0"/>
    <s v="Admin Rights"/>
    <s v="Medium"/>
    <n v="240"/>
    <x v="1"/>
    <s v="Phone"/>
    <s v="Tier 1"/>
    <x v="18"/>
    <x v="0"/>
    <s v="No"/>
    <s v="No"/>
    <n v="1"/>
    <s v="No"/>
    <n v="9"/>
    <n v="4.3"/>
    <n v="25.4"/>
    <s v="Yes"/>
    <s v="Fair"/>
    <s v="Yes"/>
    <s v="Marketing"/>
    <s v="Thursday"/>
    <s v="Evening"/>
  </r>
  <r>
    <x v="773"/>
    <s v="2024-10-30 18:07:23"/>
    <x v="2"/>
    <s v="2024-11-08 07:49:23"/>
    <x v="693"/>
    <n v="8.6"/>
    <x v="0"/>
    <s v="Admin Rights"/>
    <s v="Medium"/>
    <n v="240"/>
    <x v="1"/>
    <s v="Chat"/>
    <s v="Tier 1"/>
    <x v="4"/>
    <x v="2"/>
    <s v="No"/>
    <s v="No"/>
    <n v="1"/>
    <s v="Yes"/>
    <n v="10"/>
    <n v="2.2999999999999998"/>
    <n v="14.6"/>
    <s v="No"/>
    <s v="Good"/>
    <s v="Yes"/>
    <s v="Sales"/>
    <s v="Monday"/>
    <s v="Afternoon"/>
  </r>
  <r>
    <x v="774"/>
    <s v="2024-09-25 02:46:13"/>
    <x v="9"/>
    <s v="2024-10-04 01:22:13"/>
    <x v="694"/>
    <n v="8.9"/>
    <x v="4"/>
    <s v="Features Not Working"/>
    <s v="Medium"/>
    <n v="240"/>
    <x v="1"/>
    <s v="Email"/>
    <s v="Tier 2"/>
    <x v="18"/>
    <x v="0"/>
    <s v="No"/>
    <s v="Yes"/>
    <n v="3"/>
    <s v="No"/>
    <n v="8"/>
    <n v="1"/>
    <n v="42.3"/>
    <s v="Yes"/>
    <s v="Fair"/>
    <s v="Yes"/>
    <s v="IT"/>
    <s v="Friday"/>
    <s v="Afternoon"/>
  </r>
  <r>
    <x v="775"/>
    <s v="2024-03-19 22:55:35"/>
    <x v="5"/>
    <s v="2024-03-31 12:13:35"/>
    <x v="695"/>
    <n v="11.5"/>
    <x v="1"/>
    <s v="Printer"/>
    <s v="High"/>
    <n v="120"/>
    <x v="0"/>
    <s v="Email"/>
    <s v="Tier 1"/>
    <x v="8"/>
    <x v="2"/>
    <s v="No"/>
    <s v="No"/>
    <n v="1"/>
    <s v="No"/>
    <n v="4"/>
    <n v="4.8"/>
    <n v="10.9"/>
    <s v="Yes"/>
    <s v="Fair"/>
    <s v="Yes"/>
    <s v="Finance"/>
    <s v="Thursday"/>
    <s v="Afternoon"/>
  </r>
  <r>
    <x v="776"/>
    <s v="2024-01-24 03:39:27"/>
    <x v="3"/>
    <s v="2024-01-27 12:33:27"/>
    <x v="696"/>
    <n v="3.4"/>
    <x v="4"/>
    <s v="Login Issues"/>
    <s v="High"/>
    <n v="120"/>
    <x v="1"/>
    <s v="Portal"/>
    <s v="Tier 2"/>
    <x v="3"/>
    <x v="0"/>
    <s v="No"/>
    <s v="Yes"/>
    <n v="4"/>
    <s v="No"/>
    <n v="7"/>
    <n v="0.1"/>
    <n v="9.6"/>
    <s v="No"/>
    <s v="Fair"/>
    <s v="Yes"/>
    <s v="IT"/>
    <s v="Monday"/>
    <s v="Afternoon"/>
  </r>
  <r>
    <x v="777"/>
    <s v="2024-10-16 18:33:08"/>
    <x v="2"/>
    <s v="2024-11-28 05:39:08"/>
    <x v="697"/>
    <n v="42.5"/>
    <x v="3"/>
    <s v="Account Unlock"/>
    <s v="Low"/>
    <n v="360"/>
    <x v="0"/>
    <s v="Email"/>
    <s v="Tier 1"/>
    <x v="7"/>
    <x v="1"/>
    <s v="Yes"/>
    <s v="No"/>
    <n v="0"/>
    <s v="Yes"/>
    <n v="5"/>
    <n v="0.5"/>
    <n v="13.8"/>
    <s v="Yes"/>
    <s v="Poor"/>
    <s v="No"/>
    <s v="IT"/>
    <s v="Wednesday"/>
    <s v="Morning"/>
  </r>
  <r>
    <x v="778"/>
    <s v="2024-07-23 16:40:15"/>
    <x v="4"/>
    <s v="2024-07-29 23:16:15"/>
    <x v="698"/>
    <n v="6.3"/>
    <x v="0"/>
    <s v="File Share"/>
    <s v="Medium"/>
    <n v="240"/>
    <x v="1"/>
    <s v="Phone"/>
    <s v="Tier 1"/>
    <x v="13"/>
    <x v="2"/>
    <s v="No"/>
    <s v="No"/>
    <n v="1"/>
    <s v="Yes"/>
    <n v="9"/>
    <n v="2.5"/>
    <n v="9.6"/>
    <s v="Yes"/>
    <s v="Fair"/>
    <s v="No"/>
    <s v="Operations"/>
    <s v="Friday"/>
    <s v="Afternoon"/>
  </r>
  <r>
    <x v="779"/>
    <s v="2024-06-26 22:01:30"/>
    <x v="10"/>
    <s v="2024-07-05 22:55:30"/>
    <x v="699"/>
    <n v="9"/>
    <x v="7"/>
    <s v="Adobe Suite"/>
    <s v="Medium"/>
    <n v="240"/>
    <x v="1"/>
    <s v="Walk-in"/>
    <s v="Tier 2"/>
    <x v="16"/>
    <x v="1"/>
    <s v="No"/>
    <s v="Yes"/>
    <n v="2"/>
    <s v="No"/>
    <n v="8"/>
    <n v="5"/>
    <n v="19.899999999999999"/>
    <s v="Yes"/>
    <s v="Poor"/>
    <s v="Yes"/>
    <s v="Finance"/>
    <s v="Friday"/>
    <s v="Morning"/>
  </r>
  <r>
    <x v="780"/>
    <s v="2024-01-12 07:49:12"/>
    <x v="3"/>
    <s v="2024-01-16 23:55:12"/>
    <x v="192"/>
    <n v="4.7"/>
    <x v="7"/>
    <s v="Adobe Suite"/>
    <s v="High"/>
    <n v="120"/>
    <x v="1"/>
    <s v="Phone"/>
    <s v="Tier 1"/>
    <x v="2"/>
    <x v="2"/>
    <s v="No"/>
    <s v="No"/>
    <n v="1"/>
    <s v="No"/>
    <n v="7"/>
    <n v="4.0999999999999996"/>
    <n v="1"/>
    <s v="Yes"/>
    <s v="Excellent"/>
    <s v="No"/>
    <s v="IT"/>
    <s v="Wednesday"/>
    <s v="Evening"/>
  </r>
  <r>
    <x v="781"/>
    <s v="2024-10-12 18:29:12"/>
    <x v="2"/>
    <s v="2024-10-21 02:47:12"/>
    <x v="700"/>
    <n v="9.3000000000000007"/>
    <x v="3"/>
    <s v="Account Unlock"/>
    <s v="Low"/>
    <n v="360"/>
    <x v="1"/>
    <s v="Phone"/>
    <s v="Tier 1"/>
    <x v="22"/>
    <x v="2"/>
    <s v="Yes"/>
    <s v="No"/>
    <n v="0"/>
    <s v="No"/>
    <n v="7"/>
    <n v="5.5"/>
    <n v="16.899999999999999"/>
    <s v="Yes"/>
    <s v="Fair"/>
    <s v="Yes"/>
    <s v="IT"/>
    <s v="Tuesday"/>
    <s v="Morning"/>
  </r>
  <r>
    <x v="782"/>
    <s v="2024-10-25 21:44:21"/>
    <x v="2"/>
    <s v="2024-10-31 04:26:21"/>
    <x v="701"/>
    <n v="5.3"/>
    <x v="1"/>
    <s v="Monitor"/>
    <s v="High"/>
    <n v="120"/>
    <x v="0"/>
    <s v="Email"/>
    <s v="Tier 1"/>
    <x v="3"/>
    <x v="1"/>
    <s v="No"/>
    <s v="No"/>
    <n v="1"/>
    <s v="No"/>
    <n v="8"/>
    <n v="5.7"/>
    <n v="16.600000000000001"/>
    <s v="Yes"/>
    <s v="Poor"/>
    <s v="No"/>
    <s v="Marketing"/>
    <s v="Friday"/>
    <s v="Morning"/>
  </r>
  <r>
    <x v="783"/>
    <s v="2024-10-12 18:42:37"/>
    <x v="2"/>
    <s v="2024-10-23 08:24:37"/>
    <x v="702"/>
    <n v="10.6"/>
    <x v="4"/>
    <s v="Crash"/>
    <s v="High"/>
    <n v="120"/>
    <x v="0"/>
    <s v="Walk-in"/>
    <s v="Tier 1"/>
    <x v="12"/>
    <x v="1"/>
    <s v="No"/>
    <s v="No"/>
    <n v="1"/>
    <s v="No"/>
    <n v="6"/>
    <n v="2.9"/>
    <n v="9.9"/>
    <s v="Yes"/>
    <s v="Good"/>
    <s v="No"/>
    <s v="HR"/>
    <s v="Tuesday"/>
    <s v="Morning"/>
  </r>
  <r>
    <x v="784"/>
    <s v="2024-07-28 11:28:05"/>
    <x v="4"/>
    <s v="2024-08-04 05:28:05"/>
    <x v="703"/>
    <n v="6.8"/>
    <x v="0"/>
    <s v="VPN Access"/>
    <s v="Medium"/>
    <n v="240"/>
    <x v="1"/>
    <s v="Email"/>
    <s v="Tier 1"/>
    <x v="19"/>
    <x v="1"/>
    <s v="Yes"/>
    <s v="No"/>
    <n v="0"/>
    <s v="No"/>
    <n v="10"/>
    <n v="2.2999999999999998"/>
    <n v="15.4"/>
    <s v="Yes"/>
    <s v="Poor"/>
    <s v="Yes"/>
    <s v="Marketing"/>
    <s v="Tuesday"/>
    <s v="Afternoon"/>
  </r>
  <r>
    <x v="785"/>
    <s v="2024-05-18 02:11:56"/>
    <x v="8"/>
    <s v="2024-05-25 05:29:56"/>
    <x v="704"/>
    <n v="6.1"/>
    <x v="7"/>
    <s v="Drivers"/>
    <s v="High"/>
    <n v="120"/>
    <x v="0"/>
    <s v="Email"/>
    <s v="Tier 1"/>
    <x v="19"/>
    <x v="0"/>
    <s v="Yes"/>
    <s v="No"/>
    <n v="0"/>
    <s v="No"/>
    <n v="8"/>
    <n v="3.7"/>
    <n v="18.100000000000001"/>
    <s v="Yes"/>
    <s v="Poor"/>
    <s v="Yes"/>
    <s v="Marketing"/>
    <s v="Tuesday"/>
    <s v="Morning"/>
  </r>
  <r>
    <x v="786"/>
    <s v="2024-05-05 12:51:23"/>
    <x v="8"/>
    <s v="2024-05-14 04:21:23"/>
    <x v="705"/>
    <n v="8.6"/>
    <x v="4"/>
    <s v="Features Not Working"/>
    <s v="Medium"/>
    <n v="240"/>
    <x v="1"/>
    <s v="Email"/>
    <s v="Tier 2"/>
    <x v="22"/>
    <x v="1"/>
    <s v="No"/>
    <s v="Yes"/>
    <n v="2"/>
    <s v="Yes"/>
    <n v="8"/>
    <n v="0.1"/>
    <n v="20.7"/>
    <s v="No"/>
    <s v="Good"/>
    <s v="Yes"/>
    <s v="Operations"/>
    <s v="Wednesday"/>
    <s v="Morning"/>
  </r>
  <r>
    <x v="787"/>
    <s v="2024-05-06 17:40:12"/>
    <x v="8"/>
    <s v="2024-05-18 09:40:12"/>
    <x v="706"/>
    <n v="11.7"/>
    <x v="5"/>
    <s v="General Inquiry"/>
    <s v="Low"/>
    <n v="360"/>
    <x v="1"/>
    <s v="Email"/>
    <s v="Tier 2"/>
    <x v="19"/>
    <x v="2"/>
    <s v="No"/>
    <s v="Yes"/>
    <n v="1"/>
    <s v="No"/>
    <n v="7"/>
    <n v="1.6"/>
    <n v="17.5"/>
    <s v="No"/>
    <s v="Fair"/>
    <s v="Yes"/>
    <s v="Operations"/>
    <s v="Monday"/>
    <s v="Morning"/>
  </r>
  <r>
    <x v="788"/>
    <s v="2024-07-29 13:26:00"/>
    <x v="4"/>
    <s v="2024-08-10 23:56:00"/>
    <x v="707"/>
    <n v="12.4"/>
    <x v="3"/>
    <s v="Email Password"/>
    <s v="Low"/>
    <n v="360"/>
    <x v="1"/>
    <s v="Phone"/>
    <s v="Tier 1"/>
    <x v="3"/>
    <x v="0"/>
    <s v="Yes"/>
    <s v="No"/>
    <n v="0"/>
    <s v="No"/>
    <n v="10"/>
    <n v="0.6"/>
    <n v="18.600000000000001"/>
    <s v="Yes"/>
    <s v="Fair"/>
    <s v="No"/>
    <s v="Marketing"/>
    <s v="Tuesday"/>
    <s v="Afternoon"/>
  </r>
  <r>
    <x v="789"/>
    <s v="2024-06-20 08:55:47"/>
    <x v="10"/>
    <s v="2024-06-26 12:31:47"/>
    <x v="202"/>
    <n v="6.1"/>
    <x v="7"/>
    <s v="Drivers"/>
    <s v="Medium"/>
    <n v="240"/>
    <x v="1"/>
    <s v="Chat"/>
    <s v="Tier 1"/>
    <x v="20"/>
    <x v="1"/>
    <s v="Yes"/>
    <s v="No"/>
    <n v="0"/>
    <s v="No"/>
    <n v="10"/>
    <n v="0.9"/>
    <n v="10.1"/>
    <s v="Yes"/>
    <s v="Fair"/>
    <s v="No"/>
    <s v="Executive"/>
    <s v="Friday"/>
    <s v="Morning"/>
  </r>
  <r>
    <x v="790"/>
    <s v="2024-05-22 19:35:01"/>
    <x v="8"/>
    <s v="2024-05-31 02:47:01"/>
    <x v="708"/>
    <n v="9.3000000000000007"/>
    <x v="0"/>
    <s v="Admin Rights"/>
    <s v="Medium"/>
    <n v="240"/>
    <x v="1"/>
    <s v="Email"/>
    <s v="Tier 1"/>
    <x v="8"/>
    <x v="2"/>
    <s v="No"/>
    <s v="No"/>
    <n v="1"/>
    <s v="No"/>
    <n v="8"/>
    <n v="2.4"/>
    <n v="13"/>
    <s v="Yes"/>
    <s v="Poor"/>
    <s v="Yes"/>
    <s v="Marketing"/>
    <s v="Thursday"/>
    <s v="Afternoon"/>
  </r>
  <r>
    <x v="791"/>
    <s v="2024-10-28 11:06:49"/>
    <x v="2"/>
    <s v="2024-11-09 02:06:49"/>
    <x v="709"/>
    <n v="11.6"/>
    <x v="7"/>
    <s v="VPN Client"/>
    <s v="Low"/>
    <n v="360"/>
    <x v="1"/>
    <s v="Walk-in"/>
    <s v="Tier 1"/>
    <x v="20"/>
    <x v="0"/>
    <s v="No"/>
    <s v="No"/>
    <n v="1"/>
    <s v="No"/>
    <n v="8"/>
    <n v="0.4"/>
    <n v="20"/>
    <s v="No"/>
    <s v="Fair"/>
    <s v="Yes"/>
    <s v="IT"/>
    <s v="Monday"/>
    <s v="Afternoon"/>
  </r>
  <r>
    <x v="792"/>
    <s v="2024-01-14 07:44:31"/>
    <x v="3"/>
    <s v="2024-01-21 22:08:31"/>
    <x v="710"/>
    <n v="7.6"/>
    <x v="7"/>
    <s v="MS Office"/>
    <s v="Medium"/>
    <n v="240"/>
    <x v="1"/>
    <s v="Phone"/>
    <s v="Tier 1"/>
    <x v="21"/>
    <x v="1"/>
    <s v="No"/>
    <s v="No"/>
    <n v="1"/>
    <s v="No"/>
    <n v="9"/>
    <n v="4.5999999999999996"/>
    <n v="12.9"/>
    <s v="Yes"/>
    <s v="Fair"/>
    <s v="Yes"/>
    <s v="Legal"/>
    <s v="Monday"/>
    <s v="Morning"/>
  </r>
  <r>
    <x v="793"/>
    <s v="2024-04-25 00:48:29"/>
    <x v="11"/>
    <s v="2024-05-08 06:06:29"/>
    <x v="673"/>
    <n v="12.2"/>
    <x v="0"/>
    <s v="VPN Access"/>
    <s v="Medium"/>
    <n v="240"/>
    <x v="0"/>
    <s v="Portal"/>
    <s v="Tier 1"/>
    <x v="1"/>
    <x v="2"/>
    <s v="Yes"/>
    <s v="No"/>
    <n v="0"/>
    <s v="No"/>
    <n v="10"/>
    <n v="2.7"/>
    <n v="14.1"/>
    <s v="No"/>
    <s v="Poor"/>
    <s v="No"/>
    <s v="Operations"/>
    <s v="Tuesday"/>
    <s v="Afternoon"/>
  </r>
  <r>
    <x v="794"/>
    <s v="2024-07-19 16:21:10"/>
    <x v="4"/>
    <s v="2024-07-23 08:15:10"/>
    <x v="711"/>
    <n v="3.7"/>
    <x v="3"/>
    <s v="Windows Password"/>
    <s v="High"/>
    <n v="120"/>
    <x v="1"/>
    <s v="Phone"/>
    <s v="Tier 1"/>
    <x v="9"/>
    <x v="1"/>
    <s v="Yes"/>
    <s v="No"/>
    <n v="0"/>
    <s v="No"/>
    <n v="7"/>
    <n v="3.6"/>
    <n v="16.600000000000001"/>
    <s v="No"/>
    <s v="Poor"/>
    <s v="Yes"/>
    <s v="IT"/>
    <s v="Tuesday"/>
    <s v="Evening"/>
  </r>
  <r>
    <x v="795"/>
    <s v="2024-05-31 22:14:38"/>
    <x v="8"/>
    <s v="2024-06-09 14:08:38"/>
    <x v="21"/>
    <n v="8.6999999999999993"/>
    <x v="6"/>
    <s v="Cannot Send/Receive"/>
    <s v="Medium"/>
    <n v="240"/>
    <x v="1"/>
    <s v="Portal"/>
    <s v="Tier 1"/>
    <x v="7"/>
    <x v="2"/>
    <s v="No"/>
    <s v="No"/>
    <n v="1"/>
    <s v="No"/>
    <n v="10"/>
    <n v="2.6"/>
    <n v="12.9"/>
    <s v="No"/>
    <s v="Fair"/>
    <s v="Yes"/>
    <s v="Legal"/>
    <s v="Monday"/>
    <s v="Afternoon"/>
  </r>
  <r>
    <x v="796"/>
    <s v="2024-11-18 11:30:21"/>
    <x v="7"/>
    <s v="2024-12-31 18:42:21"/>
    <x v="712"/>
    <n v="43.3"/>
    <x v="3"/>
    <s v="Windows Password"/>
    <s v="Low"/>
    <n v="360"/>
    <x v="0"/>
    <s v="Portal"/>
    <s v="Tier 1"/>
    <x v="5"/>
    <x v="2"/>
    <s v="Yes"/>
    <s v="No"/>
    <n v="0"/>
    <s v="No"/>
    <n v="7"/>
    <n v="2.2999999999999998"/>
    <n v="18.7"/>
    <s v="Yes"/>
    <s v="Poor"/>
    <s v="No"/>
    <s v="Sales"/>
    <s v="Monday"/>
    <s v="Afternoon"/>
  </r>
  <r>
    <x v="797"/>
    <s v="2024-09-03 00:28:33"/>
    <x v="9"/>
    <s v="2024-09-19 03:28:33"/>
    <x v="713"/>
    <n v="15.1"/>
    <x v="5"/>
    <s v="Miscellaneous"/>
    <s v="Low"/>
    <n v="360"/>
    <x v="0"/>
    <s v="Email"/>
    <s v="Tier 2"/>
    <x v="8"/>
    <x v="2"/>
    <s v="No"/>
    <s v="Yes"/>
    <n v="4"/>
    <s v="No"/>
    <n v="4"/>
    <n v="2.1"/>
    <n v="15.1"/>
    <s v="No"/>
    <s v="Good"/>
    <s v="Yes"/>
    <s v="Executive"/>
    <s v="Friday"/>
    <s v="Evening"/>
  </r>
  <r>
    <x v="798"/>
    <s v="2024-06-13 15:56:17"/>
    <x v="10"/>
    <s v="2024-06-21 21:08:17"/>
    <x v="714"/>
    <n v="8.1999999999999993"/>
    <x v="2"/>
    <s v="Ethernet"/>
    <s v="Medium"/>
    <n v="240"/>
    <x v="1"/>
    <s v="Phone"/>
    <s v="Tier 1"/>
    <x v="17"/>
    <x v="0"/>
    <s v="No"/>
    <s v="No"/>
    <n v="1"/>
    <s v="No"/>
    <n v="6"/>
    <n v="2.7"/>
    <n v="32.1"/>
    <s v="Yes"/>
    <s v="Poor"/>
    <s v="No"/>
    <s v="Legal"/>
    <s v="Monday"/>
    <s v="Morning"/>
  </r>
  <r>
    <x v="799"/>
    <s v="2024-10-04 02:48:24"/>
    <x v="2"/>
    <s v="2024-10-07 17:18:24"/>
    <x v="715"/>
    <n v="2.6"/>
    <x v="3"/>
    <s v="Email Password"/>
    <s v="Critical"/>
    <n v="48"/>
    <x v="0"/>
    <s v="Email"/>
    <s v="Tier 1"/>
    <x v="4"/>
    <x v="0"/>
    <s v="Yes"/>
    <s v="No"/>
    <n v="0"/>
    <s v="No"/>
    <n v="4"/>
    <n v="0.5"/>
    <n v="26"/>
    <s v="No"/>
    <s v="Good"/>
    <s v="No"/>
    <s v="Executive"/>
    <s v="Tuesday"/>
    <s v="Morning"/>
  </r>
  <r>
    <x v="800"/>
    <s v="2024-07-21 06:51:22"/>
    <x v="4"/>
    <s v="2024-07-24 02:27:22"/>
    <x v="290"/>
    <n v="3.8"/>
    <x v="6"/>
    <s v="Calendar Sync"/>
    <s v="High"/>
    <n v="120"/>
    <x v="1"/>
    <s v="Phone"/>
    <s v="Tier 1"/>
    <x v="23"/>
    <x v="2"/>
    <s v="No"/>
    <s v="No"/>
    <n v="1"/>
    <s v="Yes"/>
    <n v="8"/>
    <n v="0.1"/>
    <n v="28.8"/>
    <s v="Yes"/>
    <s v="Poor"/>
    <s v="Yes"/>
    <s v="Sales"/>
    <s v="Friday"/>
    <s v="Afternoon"/>
  </r>
  <r>
    <x v="801"/>
    <s v="2024-02-22 20:02:45"/>
    <x v="6"/>
    <s v="2024-03-08 14:20:45"/>
    <x v="716"/>
    <n v="14.8"/>
    <x v="0"/>
    <s v="VPN Access"/>
    <s v="Medium"/>
    <n v="240"/>
    <x v="0"/>
    <s v="Email"/>
    <s v="Tier 2"/>
    <x v="6"/>
    <x v="2"/>
    <s v="No"/>
    <s v="Yes"/>
    <n v="4"/>
    <s v="No"/>
    <n v="4"/>
    <n v="5.0999999999999996"/>
    <n v="23.8"/>
    <s v="No"/>
    <s v="Poor"/>
    <s v="No"/>
    <s v="Operations"/>
    <s v="Monday"/>
    <s v="Afternoon"/>
  </r>
  <r>
    <x v="802"/>
    <s v="2024-02-15 15:30:02"/>
    <x v="6"/>
    <s v="2024-02-19 14:48:02"/>
    <x v="717"/>
    <n v="4"/>
    <x v="6"/>
    <s v="Cannot Send/Receive"/>
    <s v="High"/>
    <n v="120"/>
    <x v="1"/>
    <s v="Portal"/>
    <s v="Tier 1"/>
    <x v="0"/>
    <x v="2"/>
    <s v="Yes"/>
    <s v="No"/>
    <n v="0"/>
    <s v="No"/>
    <n v="10"/>
    <n v="0.5"/>
    <n v="1.5"/>
    <s v="No"/>
    <s v="Poor"/>
    <s v="No"/>
    <s v="HR"/>
    <s v="Tuesday"/>
    <s v="Morning"/>
  </r>
  <r>
    <x v="803"/>
    <s v="2024-08-08 06:44:13"/>
    <x v="1"/>
    <s v="2024-08-17 18:38:13"/>
    <x v="718"/>
    <n v="9.5"/>
    <x v="4"/>
    <s v="Features Not Working"/>
    <s v="Medium"/>
    <n v="240"/>
    <x v="1"/>
    <s v="Email"/>
    <s v="Tier 2"/>
    <x v="10"/>
    <x v="0"/>
    <s v="No"/>
    <s v="Yes"/>
    <n v="3"/>
    <s v="No"/>
    <n v="5"/>
    <n v="1.2"/>
    <n v="15.6"/>
    <s v="No"/>
    <s v="Fair"/>
    <s v="Yes"/>
    <s v="Operations"/>
    <s v="Tuesday"/>
    <s v="Morning"/>
  </r>
  <r>
    <x v="804"/>
    <s v="2024-03-17 14:21:12"/>
    <x v="5"/>
    <s v="2024-04-02 04:09:12"/>
    <x v="719"/>
    <n v="15.5"/>
    <x v="7"/>
    <s v="Drivers"/>
    <s v="Medium"/>
    <n v="240"/>
    <x v="0"/>
    <s v="Email"/>
    <s v="Tier 1"/>
    <x v="4"/>
    <x v="2"/>
    <s v="No"/>
    <s v="No"/>
    <n v="1"/>
    <s v="Yes"/>
    <n v="6"/>
    <n v="0.5"/>
    <n v="7"/>
    <s v="Yes"/>
    <s v="Poor"/>
    <s v="No"/>
    <s v="IT"/>
    <s v="Thursday"/>
    <s v="Morning"/>
  </r>
  <r>
    <x v="805"/>
    <s v="2024-09-04 05:46:20"/>
    <x v="9"/>
    <s v="2024-09-12 22:28:20"/>
    <x v="720"/>
    <n v="8.6999999999999993"/>
    <x v="5"/>
    <s v="General Inquiry"/>
    <s v="Medium"/>
    <n v="240"/>
    <x v="1"/>
    <s v="Phone"/>
    <s v="Tier 2"/>
    <x v="6"/>
    <x v="1"/>
    <s v="No"/>
    <s v="Yes"/>
    <n v="3"/>
    <s v="No"/>
    <n v="7"/>
    <n v="6"/>
    <n v="1.9"/>
    <s v="Yes"/>
    <s v="Good"/>
    <s v="Yes"/>
    <s v="Sales"/>
    <s v="Monday"/>
    <s v="Evening"/>
  </r>
  <r>
    <x v="806"/>
    <s v="2024-04-21 02:05:42"/>
    <x v="11"/>
    <s v="2024-04-29 07:41:42"/>
    <x v="721"/>
    <n v="7.2"/>
    <x v="4"/>
    <s v="Login Issues"/>
    <s v="High"/>
    <n v="120"/>
    <x v="0"/>
    <s v="Walk-in"/>
    <s v="Tier 2"/>
    <x v="13"/>
    <x v="1"/>
    <s v="No"/>
    <s v="Yes"/>
    <n v="1"/>
    <s v="No"/>
    <n v="3"/>
    <n v="3.8"/>
    <n v="28.5"/>
    <s v="No"/>
    <s v="Poor"/>
    <s v="Yes"/>
    <s v="Marketing"/>
    <s v="Tuesday"/>
    <s v="Afternoon"/>
  </r>
  <r>
    <x v="807"/>
    <s v="2024-04-06 21:41:01"/>
    <x v="11"/>
    <s v="2024-04-20 02:17:01"/>
    <x v="722"/>
    <n v="14.2"/>
    <x v="3"/>
    <s v="Windows Password"/>
    <s v="Low"/>
    <n v="360"/>
    <x v="1"/>
    <s v="Phone"/>
    <s v="Tier 1"/>
    <x v="1"/>
    <x v="1"/>
    <s v="No"/>
    <s v="No"/>
    <n v="1"/>
    <s v="No"/>
    <n v="8"/>
    <n v="4.8"/>
    <n v="19.600000000000001"/>
    <s v="Yes"/>
    <s v="Fair"/>
    <s v="Yes"/>
    <s v="IT"/>
    <s v="Friday"/>
    <s v="Afternoon"/>
  </r>
  <r>
    <x v="808"/>
    <s v="2024-07-25 06:23:22"/>
    <x v="4"/>
    <s v="2024-07-30 22:41:22"/>
    <x v="723"/>
    <n v="5.7"/>
    <x v="0"/>
    <s v="Admin Rights"/>
    <s v="High"/>
    <n v="120"/>
    <x v="0"/>
    <s v="Email"/>
    <s v="Tier 1"/>
    <x v="1"/>
    <x v="2"/>
    <s v="No"/>
    <s v="No"/>
    <n v="1"/>
    <s v="No"/>
    <n v="5"/>
    <n v="4.0999999999999996"/>
    <n v="23.2"/>
    <s v="Yes"/>
    <s v="Excellent"/>
    <s v="Yes"/>
    <s v="Finance"/>
    <s v="Thursday"/>
    <s v="Evening"/>
  </r>
  <r>
    <x v="809"/>
    <s v="2024-11-27 03:31:06"/>
    <x v="7"/>
    <s v="2024-11-28 00:01:06"/>
    <x v="516"/>
    <n v="1.9"/>
    <x v="0"/>
    <s v="VPN Access"/>
    <s v="Critical"/>
    <n v="48"/>
    <x v="1"/>
    <s v="Walk-in"/>
    <s v="Tier 1"/>
    <x v="23"/>
    <x v="2"/>
    <s v="Yes"/>
    <s v="No"/>
    <n v="0"/>
    <s v="No"/>
    <n v="10"/>
    <n v="1"/>
    <n v="6.9"/>
    <s v="Yes"/>
    <s v="Good"/>
    <s v="Yes"/>
    <s v="Executive"/>
    <s v="Friday"/>
    <s v="Morning"/>
  </r>
  <r>
    <x v="810"/>
    <s v="2024-01-15 23:04:54"/>
    <x v="3"/>
    <s v="2024-01-20 05:04:54"/>
    <x v="724"/>
    <n v="4.3"/>
    <x v="1"/>
    <s v="Keyboard/Mouse"/>
    <s v="High"/>
    <n v="120"/>
    <x v="1"/>
    <s v="Phone"/>
    <s v="Tier 2"/>
    <x v="5"/>
    <x v="1"/>
    <s v="No"/>
    <s v="Yes"/>
    <n v="4"/>
    <s v="Yes"/>
    <n v="10"/>
    <n v="1.9"/>
    <n v="10.6"/>
    <s v="Yes"/>
    <s v="Fair"/>
    <s v="No"/>
    <s v="IT"/>
    <s v="Monday"/>
    <s v="Evening"/>
  </r>
  <r>
    <x v="811"/>
    <s v="2024-04-17 08:17:15"/>
    <x v="11"/>
    <s v="2024-04-26 07:47:15"/>
    <x v="725"/>
    <n v="9"/>
    <x v="7"/>
    <s v="MS Office"/>
    <s v="Medium"/>
    <n v="240"/>
    <x v="1"/>
    <s v="Portal"/>
    <s v="Tier 2"/>
    <x v="1"/>
    <x v="2"/>
    <s v="No"/>
    <s v="Yes"/>
    <n v="2"/>
    <s v="No"/>
    <n v="9"/>
    <n v="0.3"/>
    <n v="10"/>
    <s v="Yes"/>
    <s v="Poor"/>
    <s v="No"/>
    <s v="IT"/>
    <s v="Tuesday"/>
    <s v="Morning"/>
  </r>
  <r>
    <x v="812"/>
    <s v="2024-10-13 20:06:20"/>
    <x v="2"/>
    <s v="2024-10-15 05:24:20"/>
    <x v="726"/>
    <n v="1.4"/>
    <x v="0"/>
    <s v="File Share"/>
    <s v="Critical"/>
    <n v="48"/>
    <x v="1"/>
    <s v="Phone"/>
    <s v="Tier 1"/>
    <x v="21"/>
    <x v="2"/>
    <s v="Yes"/>
    <s v="No"/>
    <n v="0"/>
    <s v="No"/>
    <n v="10"/>
    <n v="3.1"/>
    <n v="20.7"/>
    <s v="No"/>
    <s v="Good"/>
    <s v="Yes"/>
    <s v="Sales"/>
    <s v="Thursday"/>
    <s v="Afternoon"/>
  </r>
  <r>
    <x v="813"/>
    <s v="2024-11-22 23:25:40"/>
    <x v="7"/>
    <s v="2024-12-02 23:49:40"/>
    <x v="727"/>
    <n v="10"/>
    <x v="7"/>
    <s v="Drivers"/>
    <s v="Medium"/>
    <n v="240"/>
    <x v="0"/>
    <s v="Walk-in"/>
    <s v="Tier 2"/>
    <x v="3"/>
    <x v="1"/>
    <s v="No"/>
    <s v="Yes"/>
    <n v="1"/>
    <s v="No"/>
    <n v="4"/>
    <n v="2.2999999999999998"/>
    <n v="24.8"/>
    <s v="Yes"/>
    <s v="Good"/>
    <s v="No"/>
    <s v="Marketing"/>
    <s v="Monday"/>
    <s v="Morning"/>
  </r>
  <r>
    <x v="814"/>
    <s v="2024-04-10 15:10:28"/>
    <x v="11"/>
    <s v="2024-04-18 04:10:28"/>
    <x v="728"/>
    <n v="7.5"/>
    <x v="4"/>
    <s v="Performance"/>
    <s v="Medium"/>
    <n v="240"/>
    <x v="1"/>
    <s v="Phone"/>
    <s v="Tier 2"/>
    <x v="12"/>
    <x v="2"/>
    <s v="No"/>
    <s v="Yes"/>
    <n v="3"/>
    <s v="No"/>
    <n v="10"/>
    <n v="4.3"/>
    <n v="15.7"/>
    <s v="Yes"/>
    <s v="Fair"/>
    <s v="Yes"/>
    <s v="Marketing"/>
    <s v="Friday"/>
    <s v="Evening"/>
  </r>
  <r>
    <x v="815"/>
    <s v="2024-01-01 05:05:51"/>
    <x v="3"/>
    <s v="2024-01-08 11:59:51"/>
    <x v="479"/>
    <n v="7.3"/>
    <x v="4"/>
    <s v="Features Not Working"/>
    <s v="Medium"/>
    <n v="240"/>
    <x v="1"/>
    <s v="Phone"/>
    <s v="Tier 1"/>
    <x v="4"/>
    <x v="0"/>
    <s v="Yes"/>
    <s v="No"/>
    <n v="0"/>
    <s v="No"/>
    <n v="10"/>
    <n v="4.9000000000000004"/>
    <n v="30.8"/>
    <s v="Yes"/>
    <s v="Fair"/>
    <s v="Yes"/>
    <s v="Legal"/>
    <s v="Friday"/>
    <s v="Morning"/>
  </r>
  <r>
    <x v="816"/>
    <s v="2024-07-27 01:03:48"/>
    <x v="4"/>
    <s v="2024-08-01 15:27:48"/>
    <x v="729"/>
    <n v="4.5999999999999996"/>
    <x v="4"/>
    <s v="Login Issues"/>
    <s v="High"/>
    <n v="120"/>
    <x v="1"/>
    <s v="Phone"/>
    <s v="Tier 2"/>
    <x v="12"/>
    <x v="0"/>
    <s v="No"/>
    <s v="Yes"/>
    <n v="1"/>
    <s v="Yes"/>
    <n v="8"/>
    <n v="2.9"/>
    <n v="19.8"/>
    <s v="No"/>
    <s v="Good"/>
    <s v="No"/>
    <s v="Sales"/>
    <s v="Friday"/>
    <s v="Morning"/>
  </r>
  <r>
    <x v="817"/>
    <s v="2024-03-15 02:29:59"/>
    <x v="5"/>
    <s v="2024-03-18 09:17:59"/>
    <x v="730"/>
    <n v="3.3"/>
    <x v="4"/>
    <s v="Performance"/>
    <s v="High"/>
    <n v="120"/>
    <x v="1"/>
    <s v="Email"/>
    <s v="Tier 1"/>
    <x v="14"/>
    <x v="0"/>
    <s v="No"/>
    <s v="No"/>
    <n v="1"/>
    <s v="No"/>
    <n v="9"/>
    <n v="3.4"/>
    <n v="14"/>
    <s v="Yes"/>
    <s v="Poor"/>
    <s v="No"/>
    <s v="Executive"/>
    <s v="Tuesday"/>
    <s v="Morning"/>
  </r>
  <r>
    <x v="818"/>
    <s v="2024-07-28 09:35:31"/>
    <x v="4"/>
    <s v="2024-08-01 19:17:31"/>
    <x v="5"/>
    <n v="4.4000000000000004"/>
    <x v="3"/>
    <s v="Email Password"/>
    <s v="High"/>
    <n v="120"/>
    <x v="1"/>
    <s v="Email"/>
    <s v="Tier 1"/>
    <x v="6"/>
    <x v="0"/>
    <s v="No"/>
    <s v="No"/>
    <n v="1"/>
    <s v="No"/>
    <n v="10"/>
    <n v="3.1"/>
    <n v="18.600000000000001"/>
    <s v="Yes"/>
    <s v="Excellent"/>
    <s v="No"/>
    <s v="HR"/>
    <s v="Tuesday"/>
    <s v="Afternoon"/>
  </r>
  <r>
    <x v="819"/>
    <s v="2024-07-04 12:26:42"/>
    <x v="4"/>
    <s v="2024-07-11 20:02:42"/>
    <x v="731"/>
    <n v="7.3"/>
    <x v="4"/>
    <s v="Performance"/>
    <s v="Medium"/>
    <n v="240"/>
    <x v="1"/>
    <s v="Chat"/>
    <s v="Tier 1"/>
    <x v="3"/>
    <x v="1"/>
    <s v="Yes"/>
    <s v="No"/>
    <n v="0"/>
    <s v="No"/>
    <n v="10"/>
    <n v="2.4"/>
    <n v="33.700000000000003"/>
    <s v="No"/>
    <s v="Poor"/>
    <s v="Yes"/>
    <s v="Legal"/>
    <s v="Tuesday"/>
    <s v="Morning"/>
  </r>
  <r>
    <x v="820"/>
    <s v="2024-01-18 10:08:21"/>
    <x v="3"/>
    <s v="2024-01-26 20:38:21"/>
    <x v="732"/>
    <n v="8.4"/>
    <x v="7"/>
    <s v="MS Office"/>
    <s v="Medium"/>
    <n v="240"/>
    <x v="1"/>
    <s v="Phone"/>
    <s v="Tier 1"/>
    <x v="24"/>
    <x v="2"/>
    <s v="Yes"/>
    <s v="No"/>
    <n v="0"/>
    <s v="No"/>
    <n v="9"/>
    <n v="5.3"/>
    <n v="0"/>
    <s v="Yes"/>
    <s v="Poor"/>
    <s v="No"/>
    <s v="Finance"/>
    <s v="Friday"/>
    <s v="Afternoon"/>
  </r>
  <r>
    <x v="821"/>
    <s v="2024-01-14 23:11:06"/>
    <x v="3"/>
    <s v="2024-01-24 06:35:06"/>
    <x v="733"/>
    <n v="9.3000000000000007"/>
    <x v="1"/>
    <s v="Printer"/>
    <s v="Medium"/>
    <n v="240"/>
    <x v="1"/>
    <s v="Email"/>
    <s v="Tier 1"/>
    <x v="8"/>
    <x v="0"/>
    <s v="No"/>
    <s v="No"/>
    <n v="1"/>
    <s v="No"/>
    <n v="8"/>
    <n v="3.4"/>
    <n v="8.8000000000000007"/>
    <s v="No"/>
    <s v="Poor"/>
    <s v="Yes"/>
    <s v="Operations"/>
    <s v="Thursday"/>
    <s v="Afternoon"/>
  </r>
  <r>
    <x v="822"/>
    <s v="2024-10-04 19:54:30"/>
    <x v="2"/>
    <s v="2024-10-16 19:00:30"/>
    <x v="734"/>
    <n v="12"/>
    <x v="7"/>
    <s v="Business Apps"/>
    <s v="Low"/>
    <n v="360"/>
    <x v="1"/>
    <s v="Email"/>
    <s v="Tier 1"/>
    <x v="23"/>
    <x v="2"/>
    <s v="No"/>
    <s v="No"/>
    <n v="1"/>
    <s v="No"/>
    <n v="8"/>
    <n v="2.8"/>
    <n v="10.3"/>
    <s v="No"/>
    <s v="Good"/>
    <s v="Yes"/>
    <s v="Executive"/>
    <s v="Monday"/>
    <s v="Afternoon"/>
  </r>
  <r>
    <x v="823"/>
    <s v="2024-12-24 02:19:45"/>
    <x v="0"/>
    <s v="2024-12-29 12:25:45"/>
    <x v="735"/>
    <n v="5.4"/>
    <x v="1"/>
    <s v="Keyboard/Mouse"/>
    <s v="High"/>
    <n v="120"/>
    <x v="0"/>
    <s v="Phone"/>
    <s v="Tier 1"/>
    <x v="7"/>
    <x v="1"/>
    <s v="No"/>
    <s v="No"/>
    <n v="1"/>
    <s v="No"/>
    <n v="5"/>
    <n v="4.0999999999999996"/>
    <n v="26.1"/>
    <s v="Yes"/>
    <s v="Fair"/>
    <s v="No"/>
    <s v="Sales"/>
    <s v="Monday"/>
    <s v="Morning"/>
  </r>
  <r>
    <x v="824"/>
    <s v="2024-03-06 19:53:11"/>
    <x v="5"/>
    <s v="2024-03-15 19:05:11"/>
    <x v="379"/>
    <n v="9"/>
    <x v="0"/>
    <s v="Admin Rights"/>
    <s v="Medium"/>
    <n v="240"/>
    <x v="1"/>
    <s v="Chat"/>
    <s v="Tier 1"/>
    <x v="12"/>
    <x v="2"/>
    <s v="No"/>
    <s v="No"/>
    <n v="1"/>
    <s v="No"/>
    <n v="6"/>
    <n v="4.5999999999999996"/>
    <n v="3.1"/>
    <s v="No"/>
    <s v="Poor"/>
    <s v="No"/>
    <s v="Finance"/>
    <s v="Friday"/>
    <s v="Morning"/>
  </r>
  <r>
    <x v="825"/>
    <s v="2024-03-20 22:19:37"/>
    <x v="5"/>
    <s v="2024-03-25 12:55:37"/>
    <x v="455"/>
    <n v="4.5999999999999996"/>
    <x v="3"/>
    <s v="Email Password"/>
    <s v="High"/>
    <n v="120"/>
    <x v="1"/>
    <s v="Portal"/>
    <s v="Tier 1"/>
    <x v="4"/>
    <x v="1"/>
    <s v="No"/>
    <s v="No"/>
    <n v="1"/>
    <s v="No"/>
    <n v="10"/>
    <n v="4.3"/>
    <n v="24"/>
    <s v="Yes"/>
    <s v="Fair"/>
    <s v="No"/>
    <s v="Sales"/>
    <s v="Monday"/>
    <s v="Afternoon"/>
  </r>
  <r>
    <x v="826"/>
    <s v="2024-03-27 15:53:19"/>
    <x v="5"/>
    <s v="2024-03-31 16:35:19"/>
    <x v="388"/>
    <n v="4"/>
    <x v="7"/>
    <s v="Drivers"/>
    <s v="High"/>
    <n v="120"/>
    <x v="1"/>
    <s v="Portal"/>
    <s v="Tier 2"/>
    <x v="23"/>
    <x v="1"/>
    <s v="No"/>
    <s v="Yes"/>
    <n v="2"/>
    <s v="No"/>
    <n v="7"/>
    <n v="2.2000000000000002"/>
    <n v="10.199999999999999"/>
    <s v="Yes"/>
    <s v="Good"/>
    <s v="No"/>
    <s v="Executive"/>
    <s v="Friday"/>
    <s v="Morning"/>
  </r>
  <r>
    <x v="827"/>
    <s v="2024-09-29 02:29:02"/>
    <x v="9"/>
    <s v="2024-10-06 21:47:02"/>
    <x v="736"/>
    <n v="6.8"/>
    <x v="5"/>
    <s v="Training Request"/>
    <s v="Medium"/>
    <n v="240"/>
    <x v="1"/>
    <s v="Walk-in"/>
    <s v="Tier 2"/>
    <x v="20"/>
    <x v="0"/>
    <s v="No"/>
    <s v="Yes"/>
    <n v="1"/>
    <s v="No"/>
    <n v="6"/>
    <n v="2.7"/>
    <n v="16.5"/>
    <s v="Yes"/>
    <s v="Good"/>
    <s v="No"/>
    <s v="Executive"/>
    <s v="Monday"/>
    <s v="Morning"/>
  </r>
  <r>
    <x v="828"/>
    <s v="2024-01-12 19:21:16"/>
    <x v="3"/>
    <s v="2024-01-25 01:27:16"/>
    <x v="737"/>
    <n v="13.3"/>
    <x v="2"/>
    <s v="WiFi Issues"/>
    <s v="Medium"/>
    <n v="240"/>
    <x v="0"/>
    <s v="Chat"/>
    <s v="Tier 1"/>
    <x v="3"/>
    <x v="2"/>
    <s v="No"/>
    <s v="No"/>
    <n v="1"/>
    <s v="No"/>
    <n v="6"/>
    <n v="0.1"/>
    <n v="6"/>
    <s v="No"/>
    <s v="Poor"/>
    <s v="Yes"/>
    <s v="Finance"/>
    <s v="Wednesday"/>
    <s v="Afternoon"/>
  </r>
  <r>
    <x v="829"/>
    <s v="2024-11-06 23:03:48"/>
    <x v="7"/>
    <s v="2024-11-15 16:51:48"/>
    <x v="738"/>
    <n v="8.6999999999999993"/>
    <x v="6"/>
    <s v="Calendar Sync"/>
    <s v="Medium"/>
    <n v="240"/>
    <x v="1"/>
    <s v="Email"/>
    <s v="Tier 1"/>
    <x v="0"/>
    <x v="0"/>
    <s v="No"/>
    <s v="No"/>
    <n v="1"/>
    <s v="No"/>
    <n v="10"/>
    <n v="4.5"/>
    <n v="13.5"/>
    <s v="Yes"/>
    <s v="Good"/>
    <s v="No"/>
    <s v="Sales"/>
    <s v="Wednesday"/>
    <s v="Morning"/>
  </r>
  <r>
    <x v="830"/>
    <s v="2024-04-03 22:09:13"/>
    <x v="11"/>
    <s v="2024-04-15 04:51:13"/>
    <x v="739"/>
    <n v="11.3"/>
    <x v="4"/>
    <s v="Login Issues"/>
    <s v="Low"/>
    <n v="360"/>
    <x v="1"/>
    <s v="Phone"/>
    <s v="Tier 1"/>
    <x v="8"/>
    <x v="2"/>
    <s v="No"/>
    <s v="No"/>
    <n v="1"/>
    <s v="No"/>
    <n v="8"/>
    <n v="0.1"/>
    <n v="22.5"/>
    <s v="Yes"/>
    <s v="Poor"/>
    <s v="No"/>
    <s v="Marketing"/>
    <s v="Thursday"/>
    <s v="Morning"/>
  </r>
  <r>
    <x v="831"/>
    <s v="2024-06-25 21:08:11"/>
    <x v="10"/>
    <s v="2024-06-29 07:20:11"/>
    <x v="740"/>
    <n v="3.4"/>
    <x v="4"/>
    <s v="Features Not Working"/>
    <s v="High"/>
    <n v="120"/>
    <x v="1"/>
    <s v="Phone"/>
    <s v="Tier 1"/>
    <x v="6"/>
    <x v="0"/>
    <s v="Yes"/>
    <s v="No"/>
    <n v="0"/>
    <s v="No"/>
    <n v="10"/>
    <n v="0.1"/>
    <n v="1.6"/>
    <s v="Yes"/>
    <s v="Fair"/>
    <s v="Yes"/>
    <s v="Finance"/>
    <s v="Friday"/>
    <s v="Morning"/>
  </r>
  <r>
    <x v="832"/>
    <s v="2024-09-22 09:09:04"/>
    <x v="9"/>
    <s v="2024-09-29 13:15:04"/>
    <x v="741"/>
    <n v="7.2"/>
    <x v="3"/>
    <s v="Email Password"/>
    <s v="Medium"/>
    <n v="240"/>
    <x v="1"/>
    <s v="Phone"/>
    <s v="Tier 1"/>
    <x v="0"/>
    <x v="1"/>
    <s v="No"/>
    <s v="No"/>
    <n v="1"/>
    <s v="No"/>
    <n v="7"/>
    <n v="0.9"/>
    <n v="17"/>
    <s v="Yes"/>
    <s v="Poor"/>
    <s v="Yes"/>
    <s v="IT"/>
    <s v="Thursday"/>
    <s v="Morning"/>
  </r>
  <r>
    <x v="833"/>
    <s v="2024-02-01 07:06:57"/>
    <x v="6"/>
    <s v="2024-02-08 07:54:57"/>
    <x v="212"/>
    <n v="7"/>
    <x v="1"/>
    <s v="Printer"/>
    <s v="Medium"/>
    <n v="240"/>
    <x v="1"/>
    <s v="Portal"/>
    <s v="Tier 1"/>
    <x v="16"/>
    <x v="1"/>
    <s v="No"/>
    <s v="No"/>
    <n v="1"/>
    <s v="No"/>
    <n v="9"/>
    <n v="2.2999999999999998"/>
    <n v="0"/>
    <s v="Yes"/>
    <s v="Good"/>
    <s v="No"/>
    <s v="Sales"/>
    <s v="Tuesday"/>
    <s v="Morning"/>
  </r>
  <r>
    <x v="834"/>
    <s v="2024-07-30 05:14:40"/>
    <x v="4"/>
    <s v="2024-08-04 09:14:40"/>
    <x v="420"/>
    <n v="5.2"/>
    <x v="4"/>
    <s v="Login Issues"/>
    <s v="High"/>
    <n v="120"/>
    <x v="0"/>
    <s v="Portal"/>
    <s v="Tier 1"/>
    <x v="4"/>
    <x v="1"/>
    <s v="Yes"/>
    <s v="No"/>
    <n v="0"/>
    <s v="No"/>
    <n v="7"/>
    <n v="5.4"/>
    <n v="4.3"/>
    <s v="Yes"/>
    <s v="Poor"/>
    <s v="Yes"/>
    <s v="HR"/>
    <s v="Thursday"/>
    <s v="Morning"/>
  </r>
  <r>
    <x v="835"/>
    <s v="2024-02-02 07:02:17"/>
    <x v="6"/>
    <s v="2024-02-05 22:08:17"/>
    <x v="452"/>
    <n v="3.6"/>
    <x v="0"/>
    <s v="VPN Access"/>
    <s v="High"/>
    <n v="120"/>
    <x v="1"/>
    <s v="Portal"/>
    <s v="Tier 1"/>
    <x v="16"/>
    <x v="2"/>
    <s v="Yes"/>
    <s v="No"/>
    <n v="0"/>
    <s v="No"/>
    <n v="10"/>
    <n v="5.9"/>
    <n v="23.3"/>
    <s v="Yes"/>
    <s v="Good"/>
    <s v="Yes"/>
    <s v="Executive"/>
    <s v="Tuesday"/>
    <s v="Afternoon"/>
  </r>
  <r>
    <x v="836"/>
    <s v="2024-10-19 12:04:05"/>
    <x v="2"/>
    <s v="2024-10-28 10:58:05"/>
    <x v="742"/>
    <n v="9"/>
    <x v="6"/>
    <s v="Calendar Sync"/>
    <s v="Medium"/>
    <n v="240"/>
    <x v="1"/>
    <s v="Walk-in"/>
    <s v="Tier 1"/>
    <x v="12"/>
    <x v="2"/>
    <s v="No"/>
    <s v="No"/>
    <n v="1"/>
    <s v="Yes"/>
    <n v="5"/>
    <n v="3"/>
    <n v="26.4"/>
    <s v="Yes"/>
    <s v="Poor"/>
    <s v="Yes"/>
    <s v="IT"/>
    <s v="Wednesday"/>
    <s v="Morning"/>
  </r>
  <r>
    <x v="837"/>
    <s v="2024-03-03 00:13:38"/>
    <x v="5"/>
    <s v="2024-03-24 09:25:38"/>
    <x v="743"/>
    <n v="20.399999999999999"/>
    <x v="3"/>
    <s v="Account Unlock"/>
    <s v="Low"/>
    <n v="360"/>
    <x v="0"/>
    <s v="Walk-in"/>
    <s v="Tier 1"/>
    <x v="8"/>
    <x v="0"/>
    <s v="Yes"/>
    <s v="No"/>
    <n v="0"/>
    <s v="No"/>
    <n v="6"/>
    <n v="3.4"/>
    <n v="7.6"/>
    <s v="Yes"/>
    <s v="Fair"/>
    <s v="Yes"/>
    <s v="Operations"/>
    <s v="Tuesday"/>
    <s v="Morning"/>
  </r>
  <r>
    <x v="838"/>
    <s v="2024-06-09 09:43:40"/>
    <x v="10"/>
    <s v="2024-06-18 14:55:40"/>
    <x v="744"/>
    <n v="9.1999999999999993"/>
    <x v="0"/>
    <s v="Application Access"/>
    <s v="Medium"/>
    <n v="240"/>
    <x v="1"/>
    <s v="Walk-in"/>
    <s v="Tier 1"/>
    <x v="22"/>
    <x v="1"/>
    <s v="No"/>
    <s v="No"/>
    <n v="1"/>
    <s v="No"/>
    <n v="8"/>
    <n v="0.2"/>
    <n v="16.100000000000001"/>
    <s v="No"/>
    <s v="Fair"/>
    <s v="No"/>
    <s v="Operations"/>
    <s v="Thursday"/>
    <s v="Morning"/>
  </r>
  <r>
    <x v="839"/>
    <s v="2024-06-12 22:57:16"/>
    <x v="10"/>
    <s v="2024-06-14 19:03:16"/>
    <x v="745"/>
    <n v="1.8"/>
    <x v="4"/>
    <s v="Performance"/>
    <s v="Critical"/>
    <n v="48"/>
    <x v="1"/>
    <s v="Email"/>
    <s v="Tier 2"/>
    <x v="10"/>
    <x v="0"/>
    <s v="No"/>
    <s v="Yes"/>
    <n v="4"/>
    <s v="No"/>
    <n v="7"/>
    <n v="3.1"/>
    <n v="22.1"/>
    <s v="No"/>
    <s v="Fair"/>
    <s v="Yes"/>
    <s v="Executive"/>
    <s v="Wednesday"/>
    <s v="Morning"/>
  </r>
  <r>
    <x v="840"/>
    <s v="2024-10-16 13:39:12"/>
    <x v="2"/>
    <s v="2024-10-24 22:39:12"/>
    <x v="746"/>
    <n v="8.4"/>
    <x v="3"/>
    <s v="Application Password"/>
    <s v="Medium"/>
    <n v="240"/>
    <x v="1"/>
    <s v="Email"/>
    <s v="Tier 1"/>
    <x v="15"/>
    <x v="0"/>
    <s v="Yes"/>
    <s v="No"/>
    <n v="0"/>
    <s v="No"/>
    <n v="10"/>
    <n v="3.1"/>
    <n v="42.9"/>
    <s v="Yes"/>
    <s v="Good"/>
    <s v="Yes"/>
    <s v="Marketing"/>
    <s v="Tuesday"/>
    <s v="Morning"/>
  </r>
  <r>
    <x v="841"/>
    <s v="2024-02-27 14:47:39"/>
    <x v="6"/>
    <s v="2024-03-07 05:29:39"/>
    <x v="439"/>
    <n v="8.6"/>
    <x v="6"/>
    <s v="Calendar Sync"/>
    <s v="Medium"/>
    <n v="240"/>
    <x v="1"/>
    <s v="Portal"/>
    <s v="Tier 1"/>
    <x v="15"/>
    <x v="0"/>
    <s v="No"/>
    <s v="No"/>
    <n v="1"/>
    <s v="No"/>
    <n v="10"/>
    <n v="0.4"/>
    <n v="31.9"/>
    <s v="No"/>
    <s v="Fair"/>
    <s v="Yes"/>
    <s v="Legal"/>
    <s v="Monday"/>
    <s v="Afternoon"/>
  </r>
  <r>
    <x v="842"/>
    <s v="2024-04-30 18:57:23"/>
    <x v="11"/>
    <s v="2024-05-08 09:03:23"/>
    <x v="747"/>
    <n v="7.6"/>
    <x v="2"/>
    <s v="Ethernet"/>
    <s v="Medium"/>
    <n v="240"/>
    <x v="1"/>
    <s v="Email"/>
    <s v="Tier 1"/>
    <x v="24"/>
    <x v="2"/>
    <s v="No"/>
    <s v="No"/>
    <n v="1"/>
    <s v="No"/>
    <n v="8"/>
    <n v="4.3"/>
    <n v="23.6"/>
    <s v="No"/>
    <s v="Fair"/>
    <s v="Yes"/>
    <s v="Operations"/>
    <s v="Thursday"/>
    <s v="Afternoon"/>
  </r>
  <r>
    <x v="843"/>
    <s v="2024-02-22 02:15:04"/>
    <x v="6"/>
    <s v="2024-02-25 09:03:04"/>
    <x v="730"/>
    <n v="3.3"/>
    <x v="4"/>
    <s v="Crash"/>
    <s v="High"/>
    <n v="120"/>
    <x v="1"/>
    <s v="Portal"/>
    <s v="Tier 1"/>
    <x v="11"/>
    <x v="2"/>
    <s v="Yes"/>
    <s v="No"/>
    <n v="0"/>
    <s v="No"/>
    <n v="10"/>
    <n v="1.6"/>
    <n v="21.2"/>
    <s v="No"/>
    <s v="Good"/>
    <s v="Yes"/>
    <s v="Marketing"/>
    <s v="Wednesday"/>
    <s v="Afternoon"/>
  </r>
  <r>
    <x v="844"/>
    <s v="2024-12-23 14:53:12"/>
    <x v="0"/>
    <s v="2024-12-30 19:47:12"/>
    <x v="438"/>
    <n v="7.2"/>
    <x v="6"/>
    <s v="Distribution List"/>
    <s v="High"/>
    <n v="120"/>
    <x v="0"/>
    <s v="Email"/>
    <s v="Tier 1"/>
    <x v="15"/>
    <x v="1"/>
    <s v="No"/>
    <s v="No"/>
    <n v="1"/>
    <s v="No"/>
    <n v="4"/>
    <n v="4.0999999999999996"/>
    <n v="14.5"/>
    <s v="Yes"/>
    <s v="Good"/>
    <s v="Yes"/>
    <s v="Operations"/>
    <s v="Thursday"/>
    <s v="Afternoon"/>
  </r>
  <r>
    <x v="845"/>
    <s v="2024-08-30 09:08:13"/>
    <x v="1"/>
    <s v="2024-10-07 11:44:13"/>
    <x v="748"/>
    <n v="38.1"/>
    <x v="3"/>
    <s v="Application Password"/>
    <s v="Low"/>
    <n v="360"/>
    <x v="0"/>
    <s v="Phone"/>
    <s v="Tier 1"/>
    <x v="18"/>
    <x v="2"/>
    <s v="No"/>
    <s v="No"/>
    <n v="1"/>
    <s v="No"/>
    <n v="5"/>
    <n v="1.5"/>
    <n v="14.8"/>
    <s v="Yes"/>
    <s v="Excellent"/>
    <s v="No"/>
    <s v="Marketing"/>
    <s v="Friday"/>
    <s v="Evening"/>
  </r>
  <r>
    <x v="846"/>
    <s v="2024-04-10 17:22:05"/>
    <x v="11"/>
    <s v="2024-04-18 07:04:05"/>
    <x v="749"/>
    <n v="7.6"/>
    <x v="7"/>
    <s v="Adobe Suite"/>
    <s v="Medium"/>
    <n v="240"/>
    <x v="1"/>
    <s v="Email"/>
    <s v="Tier 2"/>
    <x v="22"/>
    <x v="1"/>
    <s v="No"/>
    <s v="Yes"/>
    <n v="4"/>
    <s v="No"/>
    <n v="7"/>
    <n v="0.9"/>
    <n v="22.5"/>
    <s v="No"/>
    <s v="Good"/>
    <s v="No"/>
    <s v="Marketing"/>
    <s v="Monday"/>
    <s v="Evening"/>
  </r>
  <r>
    <x v="847"/>
    <s v="2024-02-21 16:35:06"/>
    <x v="6"/>
    <s v="2024-03-06 17:23:06"/>
    <x v="146"/>
    <n v="14"/>
    <x v="3"/>
    <s v="Application Password"/>
    <s v="Low"/>
    <n v="360"/>
    <x v="1"/>
    <s v="Phone"/>
    <s v="Tier 1"/>
    <x v="3"/>
    <x v="2"/>
    <s v="No"/>
    <s v="No"/>
    <n v="1"/>
    <s v="No"/>
    <n v="9"/>
    <n v="3.1"/>
    <n v="22.7"/>
    <s v="No"/>
    <s v="Fair"/>
    <s v="No"/>
    <s v="IT"/>
    <s v="Thursday"/>
    <s v="Morning"/>
  </r>
  <r>
    <x v="848"/>
    <s v="2024-08-31 09:06:21"/>
    <x v="1"/>
    <s v="2024-09-06 17:36:21"/>
    <x v="750"/>
    <n v="6.4"/>
    <x v="5"/>
    <s v="Miscellaneous"/>
    <s v="Medium"/>
    <n v="240"/>
    <x v="1"/>
    <s v="Email"/>
    <s v="Tier 2"/>
    <x v="9"/>
    <x v="2"/>
    <s v="No"/>
    <s v="Yes"/>
    <n v="2"/>
    <s v="No"/>
    <n v="7"/>
    <n v="2.2000000000000002"/>
    <n v="9.6999999999999993"/>
    <s v="Yes"/>
    <s v="Excellent"/>
    <s v="Yes"/>
    <s v="Operations"/>
    <s v="Wednesday"/>
    <s v="Morning"/>
  </r>
  <r>
    <x v="849"/>
    <s v="2024-08-12 06:29:26"/>
    <x v="1"/>
    <s v="2024-08-21 10:05:26"/>
    <x v="751"/>
    <n v="9.1999999999999993"/>
    <x v="0"/>
    <s v="File Share"/>
    <s v="Medium"/>
    <n v="240"/>
    <x v="1"/>
    <s v="Chat"/>
    <s v="Tier 1"/>
    <x v="1"/>
    <x v="0"/>
    <s v="Yes"/>
    <s v="No"/>
    <n v="0"/>
    <s v="No"/>
    <n v="8"/>
    <n v="5.2"/>
    <n v="0.3"/>
    <s v="Yes"/>
    <s v="Excellent"/>
    <s v="Yes"/>
    <s v="Marketing"/>
    <s v="Monday"/>
    <s v="Morning"/>
  </r>
  <r>
    <x v="850"/>
    <s v="2024-04-02 18:54:12"/>
    <x v="11"/>
    <s v="2024-04-11 01:06:12"/>
    <x v="752"/>
    <n v="9.3000000000000007"/>
    <x v="0"/>
    <s v="File Share"/>
    <s v="Medium"/>
    <n v="240"/>
    <x v="1"/>
    <s v="Portal"/>
    <s v="Tier 1"/>
    <x v="13"/>
    <x v="0"/>
    <s v="Yes"/>
    <s v="No"/>
    <n v="0"/>
    <s v="No"/>
    <n v="10"/>
    <n v="1.8"/>
    <n v="29.5"/>
    <s v="Yes"/>
    <s v="Good"/>
    <s v="No"/>
    <s v="IT"/>
    <s v="Thursday"/>
    <s v="Afternoon"/>
  </r>
  <r>
    <x v="851"/>
    <s v="2024-03-29 10:47:08"/>
    <x v="5"/>
    <s v="2024-04-10 12:35:08"/>
    <x v="753"/>
    <n v="12"/>
    <x v="3"/>
    <s v="Account Unlock"/>
    <s v="Low"/>
    <n v="360"/>
    <x v="1"/>
    <s v="Phone"/>
    <s v="Tier 1"/>
    <x v="3"/>
    <x v="2"/>
    <s v="Yes"/>
    <s v="No"/>
    <n v="0"/>
    <s v="No"/>
    <n v="9"/>
    <n v="3.4"/>
    <n v="20.7"/>
    <s v="Yes"/>
    <s v="Fair"/>
    <s v="Yes"/>
    <s v="IT"/>
    <s v="Monday"/>
    <s v="Afternoon"/>
  </r>
  <r>
    <x v="852"/>
    <s v="2024-09-19 13:20:15"/>
    <x v="9"/>
    <s v="2024-09-23 21:56:15"/>
    <x v="12"/>
    <n v="4.4000000000000004"/>
    <x v="1"/>
    <s v="Laptop"/>
    <s v="High"/>
    <n v="120"/>
    <x v="1"/>
    <s v="Portal"/>
    <s v="Tier 1"/>
    <x v="21"/>
    <x v="2"/>
    <s v="No"/>
    <s v="No"/>
    <n v="1"/>
    <s v="Yes"/>
    <n v="7"/>
    <n v="3.8"/>
    <n v="23.3"/>
    <s v="No"/>
    <s v="Good"/>
    <s v="Yes"/>
    <s v="Operations"/>
    <s v="Monday"/>
    <s v="Afternoon"/>
  </r>
  <r>
    <x v="853"/>
    <s v="2024-11-28 11:08:27"/>
    <x v="7"/>
    <s v="2024-12-07 18:50:27"/>
    <x v="754"/>
    <n v="9.3000000000000007"/>
    <x v="6"/>
    <s v="Cannot Send/Receive"/>
    <s v="Medium"/>
    <n v="240"/>
    <x v="1"/>
    <s v="Phone"/>
    <s v="Tier 1"/>
    <x v="13"/>
    <x v="2"/>
    <s v="No"/>
    <s v="No"/>
    <n v="1"/>
    <s v="No"/>
    <n v="10"/>
    <n v="0.1"/>
    <n v="9.3000000000000007"/>
    <s v="Yes"/>
    <s v="Fair"/>
    <s v="Yes"/>
    <s v="Marketing"/>
    <s v="Friday"/>
    <s v="Morning"/>
  </r>
  <r>
    <x v="854"/>
    <s v="2024-03-04 08:49:17"/>
    <x v="5"/>
    <s v="2024-03-13 06:19:17"/>
    <x v="755"/>
    <n v="8.9"/>
    <x v="2"/>
    <s v="Ethernet"/>
    <s v="High"/>
    <n v="120"/>
    <x v="0"/>
    <s v="Chat"/>
    <s v="Tier 2"/>
    <x v="3"/>
    <x v="2"/>
    <s v="No"/>
    <s v="Yes"/>
    <n v="1"/>
    <s v="No"/>
    <n v="7"/>
    <n v="4.9000000000000004"/>
    <n v="20"/>
    <s v="Yes"/>
    <s v="Good"/>
    <s v="No"/>
    <s v="Finance"/>
    <s v="Wednesday"/>
    <s v="Morning"/>
  </r>
  <r>
    <x v="855"/>
    <s v="2024-12-29 02:31:54"/>
    <x v="0"/>
    <s v="2024-12-30 23:43:54"/>
    <x v="513"/>
    <n v="1.9"/>
    <x v="4"/>
    <s v="Features Not Working"/>
    <s v="Critical"/>
    <n v="48"/>
    <x v="1"/>
    <s v="Walk-in"/>
    <s v="Tier 1"/>
    <x v="17"/>
    <x v="1"/>
    <s v="No"/>
    <s v="No"/>
    <n v="1"/>
    <s v="No"/>
    <n v="7"/>
    <n v="5"/>
    <n v="7.3"/>
    <s v="No"/>
    <s v="Poor"/>
    <s v="Yes"/>
    <s v="HR"/>
    <s v="Friday"/>
    <s v="Morning"/>
  </r>
  <r>
    <x v="856"/>
    <s v="2024-04-21 06:12:48"/>
    <x v="11"/>
    <s v="2024-05-02 13:24:48"/>
    <x v="756"/>
    <n v="11.3"/>
    <x v="5"/>
    <s v="Documentation"/>
    <s v="Low"/>
    <n v="360"/>
    <x v="1"/>
    <s v="Email"/>
    <s v="Tier 1"/>
    <x v="0"/>
    <x v="2"/>
    <s v="No"/>
    <s v="No"/>
    <n v="1"/>
    <s v="No"/>
    <n v="8"/>
    <n v="2.1"/>
    <n v="0"/>
    <s v="Yes"/>
    <s v="Fair"/>
    <s v="Yes"/>
    <s v="Marketing"/>
    <s v="Friday"/>
    <s v="Afternoon"/>
  </r>
  <r>
    <x v="857"/>
    <s v="2024-03-01 19:48:12"/>
    <x v="5"/>
    <s v="2024-03-10 23:12:12"/>
    <x v="757"/>
    <n v="9.1"/>
    <x v="2"/>
    <s v="Ethernet"/>
    <s v="Medium"/>
    <n v="240"/>
    <x v="1"/>
    <s v="Phone"/>
    <s v="Tier 1"/>
    <x v="2"/>
    <x v="0"/>
    <s v="Yes"/>
    <s v="No"/>
    <n v="0"/>
    <s v="No"/>
    <n v="9"/>
    <n v="4.5"/>
    <n v="34.9"/>
    <s v="Yes"/>
    <s v="Good"/>
    <s v="Yes"/>
    <s v="IT"/>
    <s v="Thursday"/>
    <s v="Evening"/>
  </r>
  <r>
    <x v="858"/>
    <s v="2024-02-17 05:24:16"/>
    <x v="6"/>
    <s v="2024-03-17 20:12:16"/>
    <x v="758"/>
    <n v="29.6"/>
    <x v="1"/>
    <s v="Desktop"/>
    <s v="Medium"/>
    <n v="240"/>
    <x v="0"/>
    <s v="Phone"/>
    <s v="Tier 2"/>
    <x v="22"/>
    <x v="2"/>
    <s v="No"/>
    <s v="Yes"/>
    <n v="2"/>
    <s v="No"/>
    <n v="4"/>
    <n v="0.2"/>
    <n v="14.7"/>
    <s v="Yes"/>
    <s v="Excellent"/>
    <s v="No"/>
    <s v="HR"/>
    <s v="Wednesday"/>
    <s v="Afternoon"/>
  </r>
  <r>
    <x v="859"/>
    <s v="2024-07-28 02:20:33"/>
    <x v="4"/>
    <s v="2024-08-01 11:32:33"/>
    <x v="759"/>
    <n v="3.4"/>
    <x v="1"/>
    <s v="Printer"/>
    <s v="High"/>
    <n v="120"/>
    <x v="1"/>
    <s v="Email"/>
    <s v="Tier 2"/>
    <x v="8"/>
    <x v="0"/>
    <s v="No"/>
    <s v="Yes"/>
    <n v="3"/>
    <s v="Yes"/>
    <n v="6"/>
    <n v="0.5"/>
    <n v="20.5"/>
    <s v="No"/>
    <s v="Fair"/>
    <s v="No"/>
    <s v="Executive"/>
    <s v="Monday"/>
    <s v="Morning"/>
  </r>
  <r>
    <x v="860"/>
    <s v="2024-02-07 10:51:54"/>
    <x v="6"/>
    <s v="2024-03-13 07:57:54"/>
    <x v="760"/>
    <n v="34.9"/>
    <x v="0"/>
    <s v="Application Access"/>
    <s v="Low"/>
    <n v="360"/>
    <x v="0"/>
    <s v="Portal"/>
    <s v="Tier 1"/>
    <x v="14"/>
    <x v="0"/>
    <s v="No"/>
    <s v="No"/>
    <n v="1"/>
    <s v="No"/>
    <n v="4"/>
    <n v="1.4"/>
    <n v="18.7"/>
    <s v="Yes"/>
    <s v="Good"/>
    <s v="Yes"/>
    <s v="Sales"/>
    <s v="Tuesday"/>
    <s v="Morning"/>
  </r>
  <r>
    <x v="861"/>
    <s v="2024-02-05 15:26:48"/>
    <x v="6"/>
    <s v="2024-02-14 01:02:48"/>
    <x v="761"/>
    <n v="9.4"/>
    <x v="0"/>
    <s v="File Share"/>
    <s v="Medium"/>
    <n v="240"/>
    <x v="1"/>
    <s v="Email"/>
    <s v="Tier 1"/>
    <x v="24"/>
    <x v="2"/>
    <s v="Yes"/>
    <s v="No"/>
    <n v="0"/>
    <s v="No"/>
    <n v="8"/>
    <n v="1.4"/>
    <n v="13.3"/>
    <s v="No"/>
    <s v="Poor"/>
    <s v="Yes"/>
    <s v="IT"/>
    <s v="Wednesday"/>
    <s v="Morning"/>
  </r>
  <r>
    <x v="862"/>
    <s v="2024-12-08 06:32:24"/>
    <x v="0"/>
    <s v="2024-12-11 09:38:24"/>
    <x v="762"/>
    <n v="3.1"/>
    <x v="3"/>
    <s v="Windows Password"/>
    <s v="High"/>
    <n v="120"/>
    <x v="1"/>
    <s v="Walk-in"/>
    <s v="Tier 1"/>
    <x v="16"/>
    <x v="2"/>
    <s v="No"/>
    <s v="No"/>
    <n v="1"/>
    <s v="No"/>
    <n v="9"/>
    <n v="3.1"/>
    <n v="11.1"/>
    <s v="No"/>
    <s v="Poor"/>
    <s v="No"/>
    <s v="Operations"/>
    <s v="Thursday"/>
    <s v="Afternoon"/>
  </r>
  <r>
    <x v="863"/>
    <s v="2024-01-11 02:42:07"/>
    <x v="3"/>
    <s v="2024-01-24 12:18:07"/>
    <x v="763"/>
    <n v="13.4"/>
    <x v="7"/>
    <s v="Business Apps"/>
    <s v="Medium"/>
    <n v="240"/>
    <x v="0"/>
    <s v="Email"/>
    <s v="Tier 2"/>
    <x v="22"/>
    <x v="1"/>
    <s v="No"/>
    <s v="Yes"/>
    <n v="1"/>
    <s v="No"/>
    <n v="6"/>
    <n v="1.6"/>
    <n v="29.9"/>
    <s v="Yes"/>
    <s v="Good"/>
    <s v="Yes"/>
    <s v="Legal"/>
    <s v="Friday"/>
    <s v="Evening"/>
  </r>
  <r>
    <x v="864"/>
    <s v="2024-09-05 09:56:21"/>
    <x v="9"/>
    <s v="2024-09-19 04:14:21"/>
    <x v="764"/>
    <n v="13.8"/>
    <x v="3"/>
    <s v="Account Unlock"/>
    <s v="Low"/>
    <n v="360"/>
    <x v="1"/>
    <s v="Email"/>
    <s v="Tier 1"/>
    <x v="8"/>
    <x v="2"/>
    <s v="No"/>
    <s v="No"/>
    <n v="1"/>
    <s v="No"/>
    <n v="6"/>
    <n v="3.4"/>
    <n v="19.3"/>
    <s v="No"/>
    <s v="Poor"/>
    <s v="Yes"/>
    <s v="Marketing"/>
    <s v="Thursday"/>
    <s v="Evening"/>
  </r>
  <r>
    <x v="865"/>
    <s v="2024-02-14 00:48:56"/>
    <x v="6"/>
    <s v="2024-02-18 22:24:56"/>
    <x v="561"/>
    <n v="3.9"/>
    <x v="2"/>
    <s v="VPN Connection"/>
    <s v="High"/>
    <n v="120"/>
    <x v="1"/>
    <s v="Portal"/>
    <s v="Tier 2"/>
    <x v="12"/>
    <x v="0"/>
    <s v="No"/>
    <s v="Yes"/>
    <n v="1"/>
    <s v="No"/>
    <n v="10"/>
    <n v="3.4"/>
    <n v="15.9"/>
    <s v="Yes"/>
    <s v="Fair"/>
    <s v="Yes"/>
    <s v="Legal"/>
    <s v="Monday"/>
    <s v="Morning"/>
  </r>
  <r>
    <x v="866"/>
    <s v="2024-10-25 00:40:33"/>
    <x v="2"/>
    <s v="2024-11-08 02:10:33"/>
    <x v="462"/>
    <n v="13.1"/>
    <x v="5"/>
    <s v="Training Request"/>
    <s v="Low"/>
    <n v="360"/>
    <x v="1"/>
    <s v="Email"/>
    <s v="Tier 1"/>
    <x v="0"/>
    <x v="2"/>
    <s v="No"/>
    <s v="No"/>
    <n v="1"/>
    <s v="No"/>
    <n v="10"/>
    <n v="2.4"/>
    <n v="26.6"/>
    <s v="Yes"/>
    <s v="Good"/>
    <s v="No"/>
    <s v="Legal"/>
    <s v="Friday"/>
    <s v="Afternoon"/>
  </r>
  <r>
    <x v="867"/>
    <s v="2024-04-22 20:48:48"/>
    <x v="11"/>
    <s v="2024-05-21 12:42:48"/>
    <x v="765"/>
    <n v="28.7"/>
    <x v="3"/>
    <s v="Email Password"/>
    <s v="Low"/>
    <n v="360"/>
    <x v="0"/>
    <s v="Email"/>
    <s v="Tier 1"/>
    <x v="22"/>
    <x v="0"/>
    <s v="Yes"/>
    <s v="No"/>
    <n v="0"/>
    <s v="No"/>
    <n v="8"/>
    <n v="2.4"/>
    <n v="0"/>
    <s v="No"/>
    <s v="Poor"/>
    <s v="Yes"/>
    <s v="HR"/>
    <s v="Monday"/>
    <s v="Morning"/>
  </r>
  <r>
    <x v="868"/>
    <s v="2024-03-08 14:06:16"/>
    <x v="5"/>
    <s v="2024-03-11 16:12:16"/>
    <x v="148"/>
    <n v="3.1"/>
    <x v="4"/>
    <s v="Performance"/>
    <s v="High"/>
    <n v="120"/>
    <x v="1"/>
    <s v="Walk-in"/>
    <s v="Tier 2"/>
    <x v="1"/>
    <x v="2"/>
    <s v="No"/>
    <s v="Yes"/>
    <n v="3"/>
    <s v="No"/>
    <n v="8"/>
    <n v="3"/>
    <n v="7"/>
    <s v="No"/>
    <s v="Poor"/>
    <s v="Yes"/>
    <s v="Finance"/>
    <s v="Tuesday"/>
    <s v="Afternoon"/>
  </r>
  <r>
    <x v="869"/>
    <s v="2024-03-23 23:13:54"/>
    <x v="5"/>
    <s v="2024-04-02 22:49:54"/>
    <x v="766"/>
    <n v="9.9"/>
    <x v="6"/>
    <s v="Calendar Sync"/>
    <s v="Low"/>
    <n v="360"/>
    <x v="1"/>
    <s v="Walk-in"/>
    <s v="Tier 1"/>
    <x v="4"/>
    <x v="1"/>
    <s v="No"/>
    <s v="No"/>
    <n v="1"/>
    <s v="No"/>
    <n v="8"/>
    <n v="4.2"/>
    <n v="30.2"/>
    <s v="Yes"/>
    <s v="Good"/>
    <s v="Yes"/>
    <s v="Finance"/>
    <s v="Friday"/>
    <s v="Morning"/>
  </r>
  <r>
    <x v="870"/>
    <s v="2024-09-22 01:02:55"/>
    <x v="9"/>
    <s v="2024-10-02 11:20:55"/>
    <x v="767"/>
    <n v="9.4"/>
    <x v="3"/>
    <s v="Application Password"/>
    <s v="Low"/>
    <n v="360"/>
    <x v="1"/>
    <s v="Phone"/>
    <s v="Tier 1"/>
    <x v="5"/>
    <x v="2"/>
    <s v="Yes"/>
    <s v="No"/>
    <n v="0"/>
    <s v="No"/>
    <n v="7"/>
    <n v="0.1"/>
    <n v="29.7"/>
    <s v="No"/>
    <s v="Good"/>
    <s v="Yes"/>
    <s v="Sales"/>
    <s v="Monday"/>
    <s v="Afternoon"/>
  </r>
  <r>
    <x v="871"/>
    <s v="2024-03-18 05:16:44"/>
    <x v="5"/>
    <s v="2024-03-30 04:34:44"/>
    <x v="768"/>
    <n v="12"/>
    <x v="3"/>
    <s v="Application Password"/>
    <s v="Low"/>
    <n v="360"/>
    <x v="1"/>
    <s v="Portal"/>
    <s v="Tier 1"/>
    <x v="15"/>
    <x v="2"/>
    <s v="Yes"/>
    <s v="No"/>
    <n v="0"/>
    <s v="No"/>
    <n v="10"/>
    <n v="2.9"/>
    <n v="15"/>
    <s v="Yes"/>
    <s v="Excellent"/>
    <s v="Yes"/>
    <s v="Executive"/>
    <s v="Wednesday"/>
    <s v="Morning"/>
  </r>
  <r>
    <x v="872"/>
    <s v="2024-10-22 18:48:38"/>
    <x v="2"/>
    <s v="2024-10-26 11:24:38"/>
    <x v="769"/>
    <n v="3.7"/>
    <x v="4"/>
    <s v="Login Issues"/>
    <s v="High"/>
    <n v="120"/>
    <x v="1"/>
    <s v="Phone"/>
    <s v="Tier 1"/>
    <x v="22"/>
    <x v="0"/>
    <s v="No"/>
    <s v="No"/>
    <n v="1"/>
    <s v="No"/>
    <n v="7"/>
    <n v="1.6"/>
    <n v="21.9"/>
    <s v="Yes"/>
    <s v="Fair"/>
    <s v="Yes"/>
    <s v="IT"/>
    <s v="Wednesday"/>
    <s v="Morning"/>
  </r>
  <r>
    <x v="873"/>
    <s v="2024-11-27 01:47:38"/>
    <x v="7"/>
    <s v="2024-12-09 14:23:38"/>
    <x v="770"/>
    <n v="11.5"/>
    <x v="3"/>
    <s v="Email Password"/>
    <s v="Low"/>
    <n v="360"/>
    <x v="1"/>
    <s v="Email"/>
    <s v="Tier 1"/>
    <x v="1"/>
    <x v="1"/>
    <s v="Yes"/>
    <s v="No"/>
    <n v="0"/>
    <s v="Yes"/>
    <n v="9"/>
    <n v="4.0999999999999996"/>
    <n v="30.4"/>
    <s v="Yes"/>
    <s v="Excellent"/>
    <s v="Yes"/>
    <s v="Sales"/>
    <s v="Thursday"/>
    <s v="Morning"/>
  </r>
  <r>
    <x v="874"/>
    <s v="2024-09-01 05:24:31"/>
    <x v="9"/>
    <s v="2024-09-14 16:30:31"/>
    <x v="771"/>
    <n v="13.5"/>
    <x v="3"/>
    <s v="Email Password"/>
    <s v="Low"/>
    <n v="360"/>
    <x v="1"/>
    <s v="Portal"/>
    <s v="Tier 1"/>
    <x v="6"/>
    <x v="2"/>
    <s v="No"/>
    <s v="No"/>
    <n v="1"/>
    <s v="Yes"/>
    <n v="9"/>
    <n v="7.1"/>
    <n v="36.799999999999997"/>
    <s v="No"/>
    <s v="Fair"/>
    <s v="Yes"/>
    <s v="IT"/>
    <s v="Thursday"/>
    <s v="Morning"/>
  </r>
  <r>
    <x v="875"/>
    <s v="2024-10-07 16:44:15"/>
    <x v="2"/>
    <s v="2024-10-10 22:38:15"/>
    <x v="772"/>
    <n v="3.2"/>
    <x v="6"/>
    <s v="Calendar Sync"/>
    <s v="High"/>
    <n v="120"/>
    <x v="1"/>
    <s v="Portal"/>
    <s v="Tier 1"/>
    <x v="15"/>
    <x v="1"/>
    <s v="No"/>
    <s v="No"/>
    <n v="1"/>
    <s v="No"/>
    <n v="9"/>
    <n v="1.3"/>
    <n v="14.3"/>
    <s v="No"/>
    <s v="Excellent"/>
    <s v="Yes"/>
    <s v="Operations"/>
    <s v="Monday"/>
    <s v="Afternoon"/>
  </r>
  <r>
    <x v="876"/>
    <s v="2024-06-08 01:49:42"/>
    <x v="10"/>
    <s v="2024-06-15 21:19:42"/>
    <x v="773"/>
    <n v="6.8"/>
    <x v="2"/>
    <s v="Slow Network"/>
    <s v="Medium"/>
    <n v="240"/>
    <x v="1"/>
    <s v="Phone"/>
    <s v="Tier 1"/>
    <x v="18"/>
    <x v="1"/>
    <s v="No"/>
    <s v="No"/>
    <n v="1"/>
    <s v="No"/>
    <n v="9"/>
    <n v="2.8"/>
    <n v="24.7"/>
    <s v="Yes"/>
    <s v="Poor"/>
    <s v="Yes"/>
    <s v="IT"/>
    <s v="Tuesday"/>
    <s v="Afternoon"/>
  </r>
  <r>
    <x v="877"/>
    <s v="2024-01-02 00:25:14"/>
    <x v="3"/>
    <s v="2024-01-11 19:43:14"/>
    <x v="774"/>
    <n v="8.8000000000000007"/>
    <x v="5"/>
    <s v="Documentation"/>
    <s v="Medium"/>
    <n v="240"/>
    <x v="1"/>
    <s v="Phone"/>
    <s v="Tier 1"/>
    <x v="8"/>
    <x v="1"/>
    <s v="No"/>
    <s v="No"/>
    <n v="1"/>
    <s v="Yes"/>
    <n v="9"/>
    <n v="3.4"/>
    <n v="14.5"/>
    <s v="No"/>
    <s v="Fair"/>
    <s v="Yes"/>
    <s v="Operations"/>
    <s v="Monday"/>
    <s v="Morning"/>
  </r>
  <r>
    <x v="878"/>
    <s v="2024-03-06 05:52:57"/>
    <x v="5"/>
    <s v="2024-03-16 08:52:57"/>
    <x v="775"/>
    <n v="10.1"/>
    <x v="3"/>
    <s v="Email Password"/>
    <s v="Low"/>
    <n v="360"/>
    <x v="1"/>
    <s v="Phone"/>
    <s v="Tier 1"/>
    <x v="10"/>
    <x v="2"/>
    <s v="No"/>
    <s v="No"/>
    <n v="1"/>
    <s v="No"/>
    <n v="7"/>
    <n v="3.7"/>
    <n v="23.5"/>
    <s v="Yes"/>
    <s v="Good"/>
    <s v="Yes"/>
    <s v="Executive"/>
    <s v="Monday"/>
    <s v="Morning"/>
  </r>
  <r>
    <x v="879"/>
    <s v="2024-06-10 10:39:50"/>
    <x v="10"/>
    <s v="2024-06-17 07:51:50"/>
    <x v="353"/>
    <n v="6.9"/>
    <x v="6"/>
    <s v="Mailbox Full"/>
    <s v="Medium"/>
    <n v="240"/>
    <x v="1"/>
    <s v="Phone"/>
    <s v="Tier 1"/>
    <x v="11"/>
    <x v="1"/>
    <s v="Yes"/>
    <s v="No"/>
    <n v="0"/>
    <s v="No"/>
    <n v="10"/>
    <n v="4"/>
    <n v="35.4"/>
    <s v="No"/>
    <s v="Poor"/>
    <s v="No"/>
    <s v="Operations"/>
    <s v="Friday"/>
    <s v="Morning"/>
  </r>
  <r>
    <x v="880"/>
    <s v="2024-01-08 15:38:50"/>
    <x v="3"/>
    <s v="2024-01-12 14:50:50"/>
    <x v="227"/>
    <n v="4"/>
    <x v="7"/>
    <s v="MS Office"/>
    <s v="High"/>
    <n v="120"/>
    <x v="1"/>
    <s v="Phone"/>
    <s v="Tier 1"/>
    <x v="24"/>
    <x v="2"/>
    <s v="No"/>
    <s v="No"/>
    <n v="1"/>
    <s v="No"/>
    <n v="8"/>
    <n v="1.8"/>
    <n v="32"/>
    <s v="Yes"/>
    <s v="Fair"/>
    <s v="No"/>
    <s v="Executive"/>
    <s v="Tuesday"/>
    <s v="Afternoon"/>
  </r>
  <r>
    <x v="881"/>
    <s v="2024-11-28 18:25:37"/>
    <x v="7"/>
    <s v="2024-12-03 06:49:37"/>
    <x v="776"/>
    <n v="4.5"/>
    <x v="1"/>
    <s v="Desktop"/>
    <s v="High"/>
    <n v="120"/>
    <x v="1"/>
    <s v="Chat"/>
    <s v="Tier 2"/>
    <x v="2"/>
    <x v="1"/>
    <s v="No"/>
    <s v="Yes"/>
    <n v="3"/>
    <s v="No"/>
    <n v="8"/>
    <n v="2.8"/>
    <n v="8.5"/>
    <s v="Yes"/>
    <s v="Fair"/>
    <s v="Yes"/>
    <s v="Sales"/>
    <s v="Monday"/>
    <s v="Morning"/>
  </r>
  <r>
    <x v="882"/>
    <s v="2024-12-22 09:29:49"/>
    <x v="0"/>
    <s v="2024-12-28 16:17:49"/>
    <x v="113"/>
    <n v="6.3"/>
    <x v="4"/>
    <s v="Login Issues"/>
    <s v="High"/>
    <n v="120"/>
    <x v="0"/>
    <s v="Portal"/>
    <s v="Tier 1"/>
    <x v="14"/>
    <x v="0"/>
    <s v="No"/>
    <s v="No"/>
    <n v="1"/>
    <s v="No"/>
    <n v="8"/>
    <n v="0.4"/>
    <n v="6.3"/>
    <s v="Yes"/>
    <s v="Poor"/>
    <s v="No"/>
    <s v="Marketing"/>
    <s v="Monday"/>
    <s v="Afternoon"/>
  </r>
  <r>
    <x v="883"/>
    <s v="2024-02-12 02:22:46"/>
    <x v="6"/>
    <s v="2024-02-26 23:16:46"/>
    <x v="777"/>
    <n v="14.9"/>
    <x v="6"/>
    <s v="Mailbox Full"/>
    <s v="High"/>
    <n v="120"/>
    <x v="0"/>
    <s v="Email"/>
    <s v="Tier 1"/>
    <x v="6"/>
    <x v="0"/>
    <s v="No"/>
    <s v="No"/>
    <n v="1"/>
    <s v="Yes"/>
    <n v="5"/>
    <n v="1.3"/>
    <n v="28.6"/>
    <s v="No"/>
    <s v="Fair"/>
    <s v="No"/>
    <s v="Legal"/>
    <s v="Thursday"/>
    <s v="Evening"/>
  </r>
  <r>
    <x v="884"/>
    <s v="2024-09-25 20:00:27"/>
    <x v="9"/>
    <s v="2024-09-30 05:30:27"/>
    <x v="778"/>
    <n v="4.4000000000000004"/>
    <x v="1"/>
    <s v="Laptop"/>
    <s v="High"/>
    <n v="120"/>
    <x v="1"/>
    <s v="Portal"/>
    <s v="Tier 1"/>
    <x v="22"/>
    <x v="2"/>
    <s v="No"/>
    <s v="No"/>
    <n v="1"/>
    <s v="Yes"/>
    <n v="10"/>
    <n v="3.7"/>
    <n v="2.2000000000000002"/>
    <s v="Yes"/>
    <s v="Good"/>
    <s v="Yes"/>
    <s v="HR"/>
    <s v="Tuesday"/>
    <s v="Afternoon"/>
  </r>
  <r>
    <x v="885"/>
    <s v="2024-04-02 12:44:57"/>
    <x v="11"/>
    <s v="2024-04-16 14:14:57"/>
    <x v="779"/>
    <n v="14.1"/>
    <x v="7"/>
    <s v="VPN Client"/>
    <s v="Low"/>
    <n v="360"/>
    <x v="1"/>
    <s v="Phone"/>
    <s v="Tier 1"/>
    <x v="24"/>
    <x v="1"/>
    <s v="Yes"/>
    <s v="No"/>
    <n v="0"/>
    <s v="No"/>
    <n v="7"/>
    <n v="1.7"/>
    <n v="13.4"/>
    <s v="No"/>
    <s v="Poor"/>
    <s v="No"/>
    <s v="Marketing"/>
    <s v="Friday"/>
    <s v="Evening"/>
  </r>
  <r>
    <x v="886"/>
    <s v="2024-09-02 23:53:22"/>
    <x v="9"/>
    <s v="2024-09-09 21:35:22"/>
    <x v="780"/>
    <n v="6.9"/>
    <x v="6"/>
    <s v="Mailbox Full"/>
    <s v="Medium"/>
    <n v="240"/>
    <x v="1"/>
    <s v="Email"/>
    <s v="Tier 1"/>
    <x v="20"/>
    <x v="2"/>
    <s v="No"/>
    <s v="No"/>
    <n v="1"/>
    <s v="No"/>
    <n v="9"/>
    <n v="2.2999999999999998"/>
    <n v="35.200000000000003"/>
    <s v="Yes"/>
    <s v="Good"/>
    <s v="Yes"/>
    <s v="HR"/>
    <s v="Tuesday"/>
    <s v="Evening"/>
  </r>
  <r>
    <x v="887"/>
    <s v="2024-10-14 04:01:37"/>
    <x v="2"/>
    <s v="2024-10-17 06:55:37"/>
    <x v="781"/>
    <n v="3.1"/>
    <x v="5"/>
    <s v="General Inquiry"/>
    <s v="High"/>
    <n v="120"/>
    <x v="1"/>
    <s v="Portal"/>
    <s v="Tier 1"/>
    <x v="10"/>
    <x v="1"/>
    <s v="Yes"/>
    <s v="No"/>
    <n v="0"/>
    <s v="Yes"/>
    <n v="9"/>
    <n v="0.7"/>
    <n v="21.7"/>
    <s v="Yes"/>
    <s v="Fair"/>
    <s v="Yes"/>
    <s v="Operations"/>
    <s v="Wednesday"/>
    <s v="Afternoon"/>
  </r>
  <r>
    <x v="888"/>
    <s v="2024-08-21 04:53:45"/>
    <x v="1"/>
    <s v="2024-08-24 07:41:45"/>
    <x v="595"/>
    <n v="3.1"/>
    <x v="6"/>
    <s v="Calendar Sync"/>
    <s v="High"/>
    <n v="120"/>
    <x v="1"/>
    <s v="Portal"/>
    <s v="Tier 1"/>
    <x v="19"/>
    <x v="2"/>
    <s v="Yes"/>
    <s v="No"/>
    <n v="0"/>
    <s v="No"/>
    <n v="10"/>
    <n v="1.5"/>
    <n v="20.8"/>
    <s v="Yes"/>
    <s v="Good"/>
    <s v="No"/>
    <s v="Legal"/>
    <s v="Wednesday"/>
    <s v="Afternoon"/>
  </r>
  <r>
    <x v="889"/>
    <s v="2024-05-28 06:48:50"/>
    <x v="8"/>
    <s v="2024-06-07 16:00:50"/>
    <x v="782"/>
    <n v="10.4"/>
    <x v="5"/>
    <s v="Training Request"/>
    <s v="Low"/>
    <n v="360"/>
    <x v="1"/>
    <s v="Phone"/>
    <s v="Tier 2"/>
    <x v="6"/>
    <x v="2"/>
    <s v="No"/>
    <s v="Yes"/>
    <n v="4"/>
    <s v="No"/>
    <n v="9"/>
    <n v="0.8"/>
    <n v="0.5"/>
    <s v="Yes"/>
    <s v="Good"/>
    <s v="Yes"/>
    <s v="IT"/>
    <s v="Wednesday"/>
    <s v="Morning"/>
  </r>
  <r>
    <x v="890"/>
    <s v="2024-12-27 21:58:27"/>
    <x v="0"/>
    <s v="2025-01-07 07:10:27"/>
    <x v="782"/>
    <n v="10.4"/>
    <x v="2"/>
    <s v="VPN Connection"/>
    <s v="High"/>
    <n v="120"/>
    <x v="0"/>
    <s v="Portal"/>
    <s v="Tier 2"/>
    <x v="5"/>
    <x v="1"/>
    <s v="No"/>
    <s v="Yes"/>
    <n v="1"/>
    <s v="No"/>
    <n v="5"/>
    <n v="1.6"/>
    <n v="7.7"/>
    <s v="Yes"/>
    <s v="Poor"/>
    <s v="No"/>
    <s v="Executive"/>
    <s v="Friday"/>
    <s v="Afternoon"/>
  </r>
  <r>
    <x v="891"/>
    <s v="2024-09-19 13:33:19"/>
    <x v="9"/>
    <s v="2024-09-25 01:33:19"/>
    <x v="783"/>
    <n v="6.5"/>
    <x v="5"/>
    <s v="Documentation"/>
    <s v="Medium"/>
    <n v="240"/>
    <x v="1"/>
    <s v="Phone"/>
    <s v="Tier 1"/>
    <x v="9"/>
    <x v="1"/>
    <s v="No"/>
    <s v="No"/>
    <n v="1"/>
    <s v="No"/>
    <n v="7"/>
    <n v="5.3"/>
    <n v="29"/>
    <s v="Yes"/>
    <s v="Fair"/>
    <s v="Yes"/>
    <s v="HR"/>
    <s v="Monday"/>
    <s v="Morning"/>
  </r>
  <r>
    <x v="892"/>
    <s v="2024-04-13 17:33:41"/>
    <x v="11"/>
    <s v="2024-04-17 05:21:41"/>
    <x v="784"/>
    <n v="3.5"/>
    <x v="4"/>
    <s v="Login Issues"/>
    <s v="High"/>
    <n v="120"/>
    <x v="1"/>
    <s v="Portal"/>
    <s v="Tier 2"/>
    <x v="15"/>
    <x v="2"/>
    <s v="No"/>
    <s v="Yes"/>
    <n v="2"/>
    <s v="Yes"/>
    <n v="7"/>
    <n v="0.1"/>
    <n v="12.8"/>
    <s v="Yes"/>
    <s v="Excellent"/>
    <s v="No"/>
    <s v="Sales"/>
    <s v="Monday"/>
    <s v="Morning"/>
  </r>
  <r>
    <x v="893"/>
    <s v="2024-05-18 18:27:52"/>
    <x v="8"/>
    <s v="2024-05-31 18:21:52"/>
    <x v="785"/>
    <n v="13"/>
    <x v="6"/>
    <s v="Cannot Send/Receive"/>
    <s v="Low"/>
    <n v="360"/>
    <x v="1"/>
    <s v="Portal"/>
    <s v="Tier 2"/>
    <x v="21"/>
    <x v="2"/>
    <s v="No"/>
    <s v="Yes"/>
    <n v="4"/>
    <s v="No"/>
    <n v="8"/>
    <n v="4.4000000000000004"/>
    <n v="10.9"/>
    <s v="Yes"/>
    <s v="Fair"/>
    <s v="Yes"/>
    <s v="Operations"/>
    <s v="Tuesday"/>
    <s v="Evening"/>
  </r>
  <r>
    <x v="894"/>
    <s v="2024-02-19 10:19:43"/>
    <x v="6"/>
    <s v="2024-03-03 05:25:43"/>
    <x v="786"/>
    <n v="12.8"/>
    <x v="1"/>
    <s v="Laptop"/>
    <s v="High"/>
    <n v="120"/>
    <x v="0"/>
    <s v="Email"/>
    <s v="Tier 1"/>
    <x v="22"/>
    <x v="2"/>
    <s v="Yes"/>
    <s v="No"/>
    <n v="0"/>
    <s v="Yes"/>
    <n v="7"/>
    <n v="0.5"/>
    <n v="5.6"/>
    <s v="Yes"/>
    <s v="Poor"/>
    <s v="Yes"/>
    <s v="Finance"/>
    <s v="Monday"/>
    <s v="Morning"/>
  </r>
  <r>
    <x v="895"/>
    <s v="2024-05-20 15:34:17"/>
    <x v="8"/>
    <s v="2024-05-26 20:58:17"/>
    <x v="787"/>
    <n v="6.2"/>
    <x v="6"/>
    <s v="Cannot Send/Receive"/>
    <s v="Medium"/>
    <n v="240"/>
    <x v="1"/>
    <s v="Email"/>
    <s v="Tier 1"/>
    <x v="9"/>
    <x v="0"/>
    <s v="No"/>
    <s v="No"/>
    <n v="1"/>
    <s v="Yes"/>
    <n v="9"/>
    <n v="2.2999999999999998"/>
    <n v="25.2"/>
    <s v="Yes"/>
    <s v="Fair"/>
    <s v="Yes"/>
    <s v="Marketing"/>
    <s v="Friday"/>
    <s v="Evening"/>
  </r>
  <r>
    <x v="896"/>
    <s v="2024-03-20 22:32:57"/>
    <x v="5"/>
    <s v="2024-04-19 14:20:57"/>
    <x v="758"/>
    <n v="29.6"/>
    <x v="7"/>
    <s v="Business Apps"/>
    <s v="Low"/>
    <n v="360"/>
    <x v="0"/>
    <s v="Email"/>
    <s v="Tier 1"/>
    <x v="15"/>
    <x v="0"/>
    <s v="No"/>
    <s v="No"/>
    <n v="1"/>
    <s v="No"/>
    <n v="5"/>
    <n v="2.2000000000000002"/>
    <n v="13.2"/>
    <s v="No"/>
    <s v="Fair"/>
    <s v="No"/>
    <s v="Executive"/>
    <s v="Friday"/>
    <s v="Morning"/>
  </r>
  <r>
    <x v="897"/>
    <s v="2024-05-06 01:31:14"/>
    <x v="8"/>
    <s v="2024-05-21 05:25:14"/>
    <x v="788"/>
    <n v="14.2"/>
    <x v="3"/>
    <s v="Windows Password"/>
    <s v="Low"/>
    <n v="360"/>
    <x v="1"/>
    <s v="Phone"/>
    <s v="Tier 1"/>
    <x v="1"/>
    <x v="1"/>
    <s v="No"/>
    <s v="No"/>
    <n v="1"/>
    <s v="Yes"/>
    <n v="8"/>
    <n v="4.3"/>
    <n v="11.7"/>
    <s v="No"/>
    <s v="Good"/>
    <s v="Yes"/>
    <s v="Operations"/>
    <s v="Thursday"/>
    <s v="Morning"/>
  </r>
  <r>
    <x v="898"/>
    <s v="2024-10-05 23:11:05"/>
    <x v="2"/>
    <s v="2024-10-09 06:53:05"/>
    <x v="789"/>
    <n v="3.3"/>
    <x v="4"/>
    <s v="Performance"/>
    <s v="High"/>
    <n v="120"/>
    <x v="1"/>
    <s v="Phone"/>
    <s v="Tier 1"/>
    <x v="24"/>
    <x v="1"/>
    <s v="No"/>
    <s v="No"/>
    <n v="1"/>
    <s v="No"/>
    <n v="8"/>
    <n v="3.4"/>
    <n v="13.6"/>
    <s v="Yes"/>
    <s v="Fair"/>
    <s v="Yes"/>
    <s v="Legal"/>
    <s v="Monday"/>
    <s v="Afternoon"/>
  </r>
  <r>
    <x v="899"/>
    <s v="2024-11-19 08:02:27"/>
    <x v="7"/>
    <s v="2024-11-30 00:08:27"/>
    <x v="365"/>
    <n v="11.7"/>
    <x v="3"/>
    <s v="Windows Password"/>
    <s v="Low"/>
    <n v="360"/>
    <x v="1"/>
    <s v="Email"/>
    <s v="Tier 1"/>
    <x v="0"/>
    <x v="2"/>
    <s v="Yes"/>
    <s v="No"/>
    <n v="0"/>
    <s v="No"/>
    <n v="8"/>
    <n v="2.8"/>
    <n v="15"/>
    <s v="No"/>
    <s v="Good"/>
    <s v="Yes"/>
    <s v="IT"/>
    <s v="Monday"/>
    <s v="Evening"/>
  </r>
  <r>
    <x v="900"/>
    <s v="2024-07-16 03:16:50"/>
    <x v="4"/>
    <s v="2024-07-20 13:34:50"/>
    <x v="790"/>
    <n v="4.4000000000000004"/>
    <x v="5"/>
    <s v="Training Request"/>
    <s v="High"/>
    <n v="120"/>
    <x v="1"/>
    <s v="Phone"/>
    <s v="Tier 2"/>
    <x v="20"/>
    <x v="2"/>
    <s v="No"/>
    <s v="Yes"/>
    <n v="1"/>
    <s v="No"/>
    <n v="8"/>
    <n v="4.2"/>
    <n v="19.8"/>
    <s v="Yes"/>
    <s v="Poor"/>
    <s v="No"/>
    <s v="HR"/>
    <s v="Tuesday"/>
    <s v="Afternoon"/>
  </r>
  <r>
    <x v="901"/>
    <s v="2024-04-25 00:55:34"/>
    <x v="11"/>
    <s v="2024-05-08 12:31:34"/>
    <x v="791"/>
    <n v="12.5"/>
    <x v="5"/>
    <s v="Training Request"/>
    <s v="Medium"/>
    <n v="240"/>
    <x v="0"/>
    <s v="Email"/>
    <s v="Tier 2"/>
    <x v="2"/>
    <x v="0"/>
    <s v="No"/>
    <s v="Yes"/>
    <n v="2"/>
    <s v="No"/>
    <n v="6"/>
    <n v="2.9"/>
    <n v="18.399999999999999"/>
    <s v="Yes"/>
    <s v="Good"/>
    <s v="No"/>
    <s v="Legal"/>
    <s v="Tuesday"/>
    <s v="Afternoon"/>
  </r>
  <r>
    <x v="902"/>
    <s v="2024-05-27 22:55:09"/>
    <x v="8"/>
    <s v="2024-06-05 12:31:09"/>
    <x v="792"/>
    <n v="8.6"/>
    <x v="7"/>
    <s v="MS Office"/>
    <s v="Medium"/>
    <n v="240"/>
    <x v="1"/>
    <s v="Phone"/>
    <s v="Tier 1"/>
    <x v="9"/>
    <x v="0"/>
    <s v="Yes"/>
    <s v="No"/>
    <n v="0"/>
    <s v="No"/>
    <n v="9"/>
    <n v="2.4"/>
    <n v="3.4"/>
    <s v="Yes"/>
    <s v="Poor"/>
    <s v="Yes"/>
    <s v="Marketing"/>
    <s v="Friday"/>
    <s v="Afternoon"/>
  </r>
  <r>
    <x v="903"/>
    <s v="2024-05-23 05:49:14"/>
    <x v="8"/>
    <s v="2024-06-02 08:55:14"/>
    <x v="793"/>
    <n v="10.1"/>
    <x v="2"/>
    <s v="Slow Network"/>
    <s v="Medium"/>
    <n v="240"/>
    <x v="0"/>
    <s v="Walk-in"/>
    <s v="Tier 1"/>
    <x v="10"/>
    <x v="2"/>
    <s v="No"/>
    <s v="No"/>
    <n v="1"/>
    <s v="Yes"/>
    <n v="7"/>
    <n v="0.4"/>
    <n v="0"/>
    <s v="Yes"/>
    <s v="Poor"/>
    <s v="Yes"/>
    <s v="Executive"/>
    <s v="Monday"/>
    <s v="Afternoon"/>
  </r>
  <r>
    <x v="904"/>
    <s v="2024-09-10 15:49:14"/>
    <x v="9"/>
    <s v="2024-09-23 17:25:14"/>
    <x v="794"/>
    <n v="13.1"/>
    <x v="3"/>
    <s v="Email Password"/>
    <s v="Low"/>
    <n v="360"/>
    <x v="1"/>
    <s v="Phone"/>
    <s v="Tier 1"/>
    <x v="11"/>
    <x v="0"/>
    <s v="No"/>
    <s v="No"/>
    <n v="1"/>
    <s v="No"/>
    <n v="8"/>
    <n v="2.4"/>
    <n v="5.6"/>
    <s v="Yes"/>
    <s v="Fair"/>
    <s v="Yes"/>
    <s v="Finance"/>
    <s v="Thursday"/>
    <s v="Morning"/>
  </r>
  <r>
    <x v="905"/>
    <s v="2024-05-13 09:33:53"/>
    <x v="8"/>
    <s v="2024-05-22 20:27:53"/>
    <x v="104"/>
    <n v="9.5"/>
    <x v="5"/>
    <s v="Miscellaneous"/>
    <s v="Medium"/>
    <n v="240"/>
    <x v="1"/>
    <s v="Email"/>
    <s v="Tier 1"/>
    <x v="20"/>
    <x v="2"/>
    <s v="No"/>
    <s v="No"/>
    <n v="1"/>
    <s v="No"/>
    <n v="9"/>
    <n v="5.5"/>
    <n v="48.4"/>
    <s v="No"/>
    <s v="Poor"/>
    <s v="No"/>
    <s v="Executive"/>
    <s v="Thursday"/>
    <s v="Afternoon"/>
  </r>
  <r>
    <x v="906"/>
    <s v="2024-09-16 10:17:07"/>
    <x v="9"/>
    <s v="2024-09-23 16:29:07"/>
    <x v="795"/>
    <n v="7.3"/>
    <x v="7"/>
    <s v="MS Office"/>
    <s v="Medium"/>
    <n v="240"/>
    <x v="1"/>
    <s v="Chat"/>
    <s v="Tier 1"/>
    <x v="14"/>
    <x v="2"/>
    <s v="No"/>
    <s v="No"/>
    <n v="1"/>
    <s v="No"/>
    <n v="8"/>
    <n v="2"/>
    <n v="35.700000000000003"/>
    <s v="Yes"/>
    <s v="Excellent"/>
    <s v="Yes"/>
    <s v="Operations"/>
    <s v="Tuesday"/>
    <s v="Afternoon"/>
  </r>
  <r>
    <x v="907"/>
    <s v="2024-10-10 02:36:18"/>
    <x v="2"/>
    <s v="2024-10-15 20:24:18"/>
    <x v="796"/>
    <n v="4.7"/>
    <x v="6"/>
    <s v="Distribution List"/>
    <s v="High"/>
    <n v="120"/>
    <x v="1"/>
    <s v="Phone"/>
    <s v="Tier 1"/>
    <x v="8"/>
    <x v="0"/>
    <s v="No"/>
    <s v="No"/>
    <n v="1"/>
    <s v="No"/>
    <n v="6"/>
    <n v="5.6"/>
    <n v="25.7"/>
    <s v="Yes"/>
    <s v="Poor"/>
    <s v="Yes"/>
    <s v="IT"/>
    <s v="Thursday"/>
    <s v="Morning"/>
  </r>
  <r>
    <x v="908"/>
    <s v="2024-04-09 10:08:27"/>
    <x v="11"/>
    <s v="2024-04-17 13:08:27"/>
    <x v="797"/>
    <n v="8.1"/>
    <x v="0"/>
    <s v="Admin Rights"/>
    <s v="Medium"/>
    <n v="240"/>
    <x v="1"/>
    <s v="Chat"/>
    <s v="Tier 1"/>
    <x v="0"/>
    <x v="1"/>
    <s v="Yes"/>
    <s v="No"/>
    <n v="0"/>
    <s v="No"/>
    <n v="8"/>
    <n v="3.7"/>
    <n v="8.6"/>
    <s v="Yes"/>
    <s v="Good"/>
    <s v="No"/>
    <s v="HR"/>
    <s v="Thursday"/>
    <s v="Evening"/>
  </r>
  <r>
    <x v="909"/>
    <s v="2024-12-14 01:13:01"/>
    <x v="0"/>
    <s v="2024-12-19 07:07:01"/>
    <x v="798"/>
    <n v="4.2"/>
    <x v="6"/>
    <s v="Mailbox Full"/>
    <s v="High"/>
    <n v="120"/>
    <x v="1"/>
    <s v="Walk-in"/>
    <s v="Tier 1"/>
    <x v="20"/>
    <x v="2"/>
    <s v="No"/>
    <s v="No"/>
    <n v="1"/>
    <s v="No"/>
    <n v="8"/>
    <n v="2.6"/>
    <n v="19.3"/>
    <s v="Yes"/>
    <s v="Good"/>
    <s v="No"/>
    <s v="Sales"/>
    <s v="Tuesday"/>
    <s v="Afternoon"/>
  </r>
  <r>
    <x v="910"/>
    <s v="2024-03-04 08:59:26"/>
    <x v="5"/>
    <s v="2024-03-11 08:47:26"/>
    <x v="799"/>
    <n v="7"/>
    <x v="0"/>
    <s v="File Share"/>
    <s v="Medium"/>
    <n v="240"/>
    <x v="1"/>
    <s v="Phone"/>
    <s v="Tier 1"/>
    <x v="12"/>
    <x v="2"/>
    <s v="Yes"/>
    <s v="No"/>
    <n v="0"/>
    <s v="No"/>
    <n v="9"/>
    <n v="2.6"/>
    <n v="10.8"/>
    <s v="Yes"/>
    <s v="Fair"/>
    <s v="No"/>
    <s v="Legal"/>
    <s v="Monday"/>
    <s v="Afternoon"/>
  </r>
  <r>
    <x v="911"/>
    <s v="2024-05-02 18:09:59"/>
    <x v="8"/>
    <s v="2024-05-09 12:03:59"/>
    <x v="233"/>
    <n v="6.7"/>
    <x v="3"/>
    <s v="Account Unlock"/>
    <s v="Medium"/>
    <n v="240"/>
    <x v="1"/>
    <s v="Email"/>
    <s v="Tier 1"/>
    <x v="14"/>
    <x v="1"/>
    <s v="Yes"/>
    <s v="No"/>
    <n v="0"/>
    <s v="No"/>
    <n v="10"/>
    <n v="2.6"/>
    <n v="22.3"/>
    <s v="Yes"/>
    <s v="Good"/>
    <s v="Yes"/>
    <s v="Marketing"/>
    <s v="Thursday"/>
    <s v="Morning"/>
  </r>
  <r>
    <x v="912"/>
    <s v="2024-10-08 04:39:18"/>
    <x v="2"/>
    <s v="2024-10-12 05:33:18"/>
    <x v="800"/>
    <n v="4"/>
    <x v="1"/>
    <s v="Monitor"/>
    <s v="High"/>
    <n v="120"/>
    <x v="1"/>
    <s v="Chat"/>
    <s v="Tier 2"/>
    <x v="3"/>
    <x v="2"/>
    <s v="No"/>
    <s v="Yes"/>
    <n v="1"/>
    <s v="No"/>
    <n v="6"/>
    <n v="4.5"/>
    <n v="21.9"/>
    <s v="No"/>
    <s v="Good"/>
    <s v="No"/>
    <s v="Legal"/>
    <s v="Tuesday"/>
    <s v="Morning"/>
  </r>
  <r>
    <x v="913"/>
    <s v="2024-04-21 15:25:44"/>
    <x v="11"/>
    <s v="2024-04-25 08:49:44"/>
    <x v="801"/>
    <n v="3.7"/>
    <x v="4"/>
    <s v="Features Not Working"/>
    <s v="High"/>
    <n v="120"/>
    <x v="1"/>
    <s v="Portal"/>
    <s v="Tier 2"/>
    <x v="5"/>
    <x v="1"/>
    <s v="No"/>
    <s v="Yes"/>
    <n v="3"/>
    <s v="No"/>
    <n v="5"/>
    <n v="1.8"/>
    <n v="11.3"/>
    <s v="No"/>
    <s v="Fair"/>
    <s v="No"/>
    <s v="Executive"/>
    <s v="Monday"/>
    <s v="Morning"/>
  </r>
  <r>
    <x v="914"/>
    <s v="2024-09-07 22:49:53"/>
    <x v="9"/>
    <s v="2024-09-14 00:31:53"/>
    <x v="394"/>
    <n v="7.1"/>
    <x v="7"/>
    <s v="Adobe Suite"/>
    <s v="Medium"/>
    <n v="240"/>
    <x v="1"/>
    <s v="Chat"/>
    <s v="Tier 2"/>
    <x v="5"/>
    <x v="2"/>
    <s v="No"/>
    <s v="Yes"/>
    <n v="4"/>
    <s v="No"/>
    <n v="10"/>
    <n v="1.6"/>
    <n v="35"/>
    <s v="Yes"/>
    <s v="Good"/>
    <s v="Yes"/>
    <s v="IT"/>
    <s v="Thursday"/>
    <s v="Morning"/>
  </r>
  <r>
    <x v="915"/>
    <s v="2024-07-14 17:48:55"/>
    <x v="4"/>
    <s v="2024-08-04 18:30:55"/>
    <x v="802"/>
    <n v="21"/>
    <x v="3"/>
    <s v="Account Unlock"/>
    <s v="Low"/>
    <n v="360"/>
    <x v="0"/>
    <s v="Phone"/>
    <s v="Tier 1"/>
    <x v="17"/>
    <x v="2"/>
    <s v="No"/>
    <s v="No"/>
    <n v="1"/>
    <s v="No"/>
    <n v="8"/>
    <n v="1.6"/>
    <n v="14.2"/>
    <s v="Yes"/>
    <s v="Excellent"/>
    <s v="Yes"/>
    <s v="Finance"/>
    <s v="Tuesday"/>
    <s v="Morning"/>
  </r>
  <r>
    <x v="916"/>
    <s v="2024-12-24 06:53:54"/>
    <x v="0"/>
    <s v="2025-01-03 03:29:54"/>
    <x v="803"/>
    <n v="9.9"/>
    <x v="2"/>
    <s v="Slow Network"/>
    <s v="Low"/>
    <n v="360"/>
    <x v="1"/>
    <s v="Portal"/>
    <s v="Tier 1"/>
    <x v="18"/>
    <x v="2"/>
    <s v="No"/>
    <s v="No"/>
    <n v="1"/>
    <s v="No"/>
    <n v="7"/>
    <n v="3.8"/>
    <n v="21.7"/>
    <s v="Yes"/>
    <s v="Excellent"/>
    <s v="Yes"/>
    <s v="Marketing"/>
    <s v="Friday"/>
    <s v="Afternoon"/>
  </r>
  <r>
    <x v="917"/>
    <s v="2024-07-17 10:48:30"/>
    <x v="4"/>
    <s v="2024-08-06 07:06:30"/>
    <x v="804"/>
    <n v="19.8"/>
    <x v="0"/>
    <s v="Application Access"/>
    <s v="Low"/>
    <n v="360"/>
    <x v="0"/>
    <s v="Email"/>
    <s v="Tier 2"/>
    <x v="2"/>
    <x v="2"/>
    <s v="No"/>
    <s v="Yes"/>
    <n v="3"/>
    <s v="No"/>
    <n v="5"/>
    <n v="1.4"/>
    <n v="20.399999999999999"/>
    <s v="Yes"/>
    <s v="Fair"/>
    <s v="Yes"/>
    <s v="Sales"/>
    <s v="Friday"/>
    <s v="Morning"/>
  </r>
  <r>
    <x v="918"/>
    <s v="2024-05-30 03:17:21"/>
    <x v="8"/>
    <s v="2024-06-06 15:41:21"/>
    <x v="64"/>
    <n v="7.5"/>
    <x v="0"/>
    <s v="File Share"/>
    <s v="Medium"/>
    <n v="240"/>
    <x v="1"/>
    <s v="Portal"/>
    <s v="Tier 1"/>
    <x v="21"/>
    <x v="2"/>
    <s v="No"/>
    <s v="No"/>
    <n v="1"/>
    <s v="No"/>
    <n v="9"/>
    <n v="1.3"/>
    <n v="14.4"/>
    <s v="Yes"/>
    <s v="Fair"/>
    <s v="No"/>
    <s v="IT"/>
    <s v="Thursday"/>
    <s v="Morning"/>
  </r>
  <r>
    <x v="919"/>
    <s v="2024-07-01 08:21:05"/>
    <x v="4"/>
    <s v="2024-07-08 06:15:05"/>
    <x v="805"/>
    <n v="6.9"/>
    <x v="0"/>
    <s v="Admin Rights"/>
    <s v="Medium"/>
    <n v="240"/>
    <x v="1"/>
    <s v="Portal"/>
    <s v="Tier 1"/>
    <x v="22"/>
    <x v="1"/>
    <s v="Yes"/>
    <s v="No"/>
    <n v="0"/>
    <s v="Yes"/>
    <n v="10"/>
    <n v="3.8"/>
    <n v="25.4"/>
    <s v="Yes"/>
    <s v="Fair"/>
    <s v="No"/>
    <s v="Legal"/>
    <s v="Monday"/>
    <s v="Morning"/>
  </r>
  <r>
    <x v="920"/>
    <s v="2024-05-20 05:52:50"/>
    <x v="8"/>
    <s v="2024-06-10 20:16:50"/>
    <x v="806"/>
    <n v="21.6"/>
    <x v="2"/>
    <s v="Ethernet"/>
    <s v="Medium"/>
    <n v="240"/>
    <x v="0"/>
    <s v="Phone"/>
    <s v="Tier 1"/>
    <x v="16"/>
    <x v="0"/>
    <s v="Yes"/>
    <s v="No"/>
    <n v="0"/>
    <s v="No"/>
    <n v="6"/>
    <n v="4.5"/>
    <n v="37.299999999999997"/>
    <s v="No"/>
    <s v="Poor"/>
    <s v="No"/>
    <s v="Legal"/>
    <s v="Thursday"/>
    <s v="Evening"/>
  </r>
  <r>
    <x v="921"/>
    <s v="2024-12-27 15:04:59"/>
    <x v="0"/>
    <s v="2024-12-31 06:46:59"/>
    <x v="352"/>
    <n v="3.7"/>
    <x v="4"/>
    <s v="Features Not Working"/>
    <s v="High"/>
    <n v="120"/>
    <x v="1"/>
    <s v="Portal"/>
    <s v="Tier 2"/>
    <x v="17"/>
    <x v="0"/>
    <s v="No"/>
    <s v="Yes"/>
    <n v="3"/>
    <s v="No"/>
    <n v="9"/>
    <n v="2.9"/>
    <n v="9"/>
    <s v="Yes"/>
    <s v="Fair"/>
    <s v="Yes"/>
    <s v="HR"/>
    <s v="Monday"/>
    <s v="Afternoon"/>
  </r>
  <r>
    <x v="922"/>
    <s v="2024-12-11 00:05:00"/>
    <x v="0"/>
    <s v="2024-12-24 19:41:00"/>
    <x v="807"/>
    <n v="12.8"/>
    <x v="6"/>
    <s v="Cannot Send/Receive"/>
    <s v="Medium"/>
    <n v="240"/>
    <x v="0"/>
    <s v="Email"/>
    <s v="Tier 1"/>
    <x v="21"/>
    <x v="1"/>
    <s v="No"/>
    <s v="No"/>
    <n v="1"/>
    <s v="No"/>
    <n v="3"/>
    <n v="1.7"/>
    <n v="8.4"/>
    <s v="No"/>
    <s v="Fair"/>
    <s v="Yes"/>
    <s v="Executive"/>
    <s v="Thursday"/>
    <s v="Afternoon"/>
  </r>
  <r>
    <x v="923"/>
    <s v="2024-06-01 19:27:26"/>
    <x v="10"/>
    <s v="2024-06-17 08:09:26"/>
    <x v="808"/>
    <n v="15.5"/>
    <x v="3"/>
    <s v="Application Password"/>
    <s v="Low"/>
    <n v="360"/>
    <x v="0"/>
    <s v="Email"/>
    <s v="Tier 1"/>
    <x v="1"/>
    <x v="2"/>
    <s v="Yes"/>
    <s v="No"/>
    <n v="0"/>
    <s v="No"/>
    <n v="5"/>
    <n v="4.5"/>
    <n v="0.9"/>
    <s v="No"/>
    <s v="Good"/>
    <s v="No"/>
    <s v="Finance"/>
    <s v="Monday"/>
    <s v="Morning"/>
  </r>
  <r>
    <x v="924"/>
    <s v="2024-02-17 20:12:52"/>
    <x v="6"/>
    <s v="2024-03-01 10:12:52"/>
    <x v="809"/>
    <n v="12.6"/>
    <x v="3"/>
    <s v="Application Password"/>
    <s v="Low"/>
    <n v="360"/>
    <x v="1"/>
    <s v="Phone"/>
    <s v="Tier 1"/>
    <x v="14"/>
    <x v="1"/>
    <s v="No"/>
    <s v="No"/>
    <n v="1"/>
    <s v="No"/>
    <n v="9"/>
    <n v="2"/>
    <n v="6.1"/>
    <s v="Yes"/>
    <s v="Fair"/>
    <s v="Yes"/>
    <s v="Marketing"/>
    <s v="Wednesday"/>
    <s v="Morning"/>
  </r>
  <r>
    <x v="925"/>
    <s v="2024-10-01 09:43:43"/>
    <x v="2"/>
    <s v="2024-10-10 04:49:43"/>
    <x v="810"/>
    <n v="8.8000000000000007"/>
    <x v="5"/>
    <s v="Miscellaneous"/>
    <s v="Medium"/>
    <n v="240"/>
    <x v="1"/>
    <s v="Phone"/>
    <s v="Tier 1"/>
    <x v="6"/>
    <x v="0"/>
    <s v="No"/>
    <s v="No"/>
    <n v="1"/>
    <s v="No"/>
    <n v="7"/>
    <n v="4.2"/>
    <n v="20.3"/>
    <s v="Yes"/>
    <s v="Fair"/>
    <s v="Yes"/>
    <s v="Finance"/>
    <s v="Thursday"/>
    <s v="Morning"/>
  </r>
  <r>
    <x v="926"/>
    <s v="2024-03-21 12:02:42"/>
    <x v="5"/>
    <s v="2024-03-25 04:56:42"/>
    <x v="811"/>
    <n v="3.7"/>
    <x v="4"/>
    <s v="Login Issues"/>
    <s v="High"/>
    <n v="120"/>
    <x v="1"/>
    <s v="Walk-in"/>
    <s v="Tier 2"/>
    <x v="8"/>
    <x v="2"/>
    <s v="No"/>
    <s v="Yes"/>
    <n v="4"/>
    <s v="No"/>
    <n v="7"/>
    <n v="2.8"/>
    <n v="0"/>
    <s v="No"/>
    <s v="Good"/>
    <s v="Yes"/>
    <s v="Sales"/>
    <s v="Friday"/>
    <s v="Evening"/>
  </r>
  <r>
    <x v="927"/>
    <s v="2024-11-04 07:12:56"/>
    <x v="7"/>
    <s v="2024-11-10 18:18:56"/>
    <x v="812"/>
    <n v="6.5"/>
    <x v="0"/>
    <s v="VPN Access"/>
    <s v="Medium"/>
    <n v="240"/>
    <x v="1"/>
    <s v="Phone"/>
    <s v="Tier 1"/>
    <x v="1"/>
    <x v="1"/>
    <s v="No"/>
    <s v="No"/>
    <n v="1"/>
    <s v="No"/>
    <n v="9"/>
    <n v="2"/>
    <n v="5.3"/>
    <s v="Yes"/>
    <s v="Fair"/>
    <s v="No"/>
    <s v="Sales"/>
    <s v="Wednesday"/>
    <s v="Morning"/>
  </r>
  <r>
    <x v="928"/>
    <s v="2024-10-26 22:15:07"/>
    <x v="2"/>
    <s v="2024-11-02 06:45:07"/>
    <x v="401"/>
    <n v="6.4"/>
    <x v="0"/>
    <s v="VPN Access"/>
    <s v="Medium"/>
    <n v="240"/>
    <x v="1"/>
    <s v="Email"/>
    <s v="Tier 2"/>
    <x v="17"/>
    <x v="2"/>
    <s v="No"/>
    <s v="Yes"/>
    <n v="3"/>
    <s v="No"/>
    <n v="7"/>
    <n v="3"/>
    <n v="0"/>
    <s v="Yes"/>
    <s v="Good"/>
    <s v="No"/>
    <s v="IT"/>
    <s v="Monday"/>
    <s v="Evening"/>
  </r>
  <r>
    <x v="929"/>
    <s v="2024-04-30 22:04:03"/>
    <x v="11"/>
    <s v="2024-05-04 06:52:03"/>
    <x v="813"/>
    <n v="3.4"/>
    <x v="6"/>
    <s v="Calendar Sync"/>
    <s v="High"/>
    <n v="120"/>
    <x v="1"/>
    <s v="Portal"/>
    <s v="Tier 1"/>
    <x v="16"/>
    <x v="2"/>
    <s v="No"/>
    <s v="No"/>
    <n v="1"/>
    <s v="Yes"/>
    <n v="9"/>
    <n v="0.1"/>
    <n v="0"/>
    <s v="Yes"/>
    <s v="Fair"/>
    <s v="No"/>
    <s v="IT"/>
    <s v="Monday"/>
    <s v="Morning"/>
  </r>
  <r>
    <x v="930"/>
    <s v="2024-11-16 21:00:21"/>
    <x v="7"/>
    <s v="2024-11-25 17:18:21"/>
    <x v="814"/>
    <n v="8.8000000000000007"/>
    <x v="0"/>
    <s v="File Share"/>
    <s v="Medium"/>
    <n v="240"/>
    <x v="1"/>
    <s v="Email"/>
    <s v="Tier 1"/>
    <x v="7"/>
    <x v="0"/>
    <s v="Yes"/>
    <s v="No"/>
    <n v="0"/>
    <s v="No"/>
    <n v="7"/>
    <n v="1.6"/>
    <n v="48.9"/>
    <s v="Yes"/>
    <s v="Poor"/>
    <s v="Yes"/>
    <s v="Finance"/>
    <s v="Friday"/>
    <s v="Afternoon"/>
  </r>
  <r>
    <x v="931"/>
    <s v="2024-04-01 09:24:42"/>
    <x v="11"/>
    <s v="2024-04-13 12:00:42"/>
    <x v="124"/>
    <n v="12.1"/>
    <x v="3"/>
    <s v="Windows Password"/>
    <s v="Low"/>
    <n v="360"/>
    <x v="1"/>
    <s v="Portal"/>
    <s v="Tier 1"/>
    <x v="5"/>
    <x v="2"/>
    <s v="Yes"/>
    <s v="No"/>
    <n v="0"/>
    <s v="No"/>
    <n v="9"/>
    <n v="0.9"/>
    <n v="11.1"/>
    <s v="No"/>
    <s v="Good"/>
    <s v="Yes"/>
    <s v="Marketing"/>
    <s v="Monday"/>
    <s v="Evening"/>
  </r>
  <r>
    <x v="932"/>
    <s v="2024-01-02 05:54:46"/>
    <x v="3"/>
    <s v="2024-01-05 15:06:46"/>
    <x v="759"/>
    <n v="3.4"/>
    <x v="1"/>
    <s v="Laptop"/>
    <s v="High"/>
    <n v="120"/>
    <x v="1"/>
    <s v="Portal"/>
    <s v="Tier 1"/>
    <x v="13"/>
    <x v="0"/>
    <s v="Yes"/>
    <s v="No"/>
    <n v="0"/>
    <s v="No"/>
    <n v="10"/>
    <n v="3.6"/>
    <n v="35"/>
    <s v="No"/>
    <s v="Poor"/>
    <s v="No"/>
    <s v="Sales"/>
    <s v="Thursday"/>
    <s v="Morning"/>
  </r>
  <r>
    <x v="933"/>
    <s v="2024-03-26 05:32:03"/>
    <x v="5"/>
    <s v="2024-04-05 00:14:03"/>
    <x v="815"/>
    <n v="10.7"/>
    <x v="6"/>
    <s v="Distribution List"/>
    <s v="Medium"/>
    <n v="240"/>
    <x v="0"/>
    <s v="Email"/>
    <s v="Tier 2"/>
    <x v="0"/>
    <x v="2"/>
    <s v="No"/>
    <s v="Yes"/>
    <n v="3"/>
    <s v="No"/>
    <n v="4"/>
    <n v="0.1"/>
    <n v="50.1"/>
    <s v="Yes"/>
    <s v="Fair"/>
    <s v="Yes"/>
    <s v="Marketing"/>
    <s v="Friday"/>
    <s v="Afternoon"/>
  </r>
  <r>
    <x v="934"/>
    <s v="2024-08-07 01:45:47"/>
    <x v="1"/>
    <s v="2024-08-12 16:09:47"/>
    <x v="729"/>
    <n v="4.5999999999999996"/>
    <x v="4"/>
    <s v="Login Issues"/>
    <s v="High"/>
    <n v="120"/>
    <x v="1"/>
    <s v="Email"/>
    <s v="Tier 1"/>
    <x v="18"/>
    <x v="2"/>
    <s v="No"/>
    <s v="No"/>
    <n v="1"/>
    <s v="No"/>
    <n v="9"/>
    <n v="2.6"/>
    <n v="22.2"/>
    <s v="Yes"/>
    <s v="Fair"/>
    <s v="Yes"/>
    <s v="Marketing"/>
    <s v="Thursday"/>
    <s v="Morning"/>
  </r>
  <r>
    <x v="935"/>
    <s v="2024-12-16 02:58:59"/>
    <x v="0"/>
    <s v="2024-12-28 09:22:59"/>
    <x v="816"/>
    <n v="12.3"/>
    <x v="7"/>
    <s v="MS Office"/>
    <s v="Low"/>
    <n v="360"/>
    <x v="1"/>
    <s v="Phone"/>
    <s v="Tier 2"/>
    <x v="6"/>
    <x v="1"/>
    <s v="No"/>
    <s v="Yes"/>
    <n v="1"/>
    <s v="No"/>
    <n v="5"/>
    <n v="2.4"/>
    <n v="40"/>
    <s v="Yes"/>
    <s v="Excellent"/>
    <s v="Yes"/>
    <s v="HR"/>
    <s v="Friday"/>
    <s v="Evening"/>
  </r>
  <r>
    <x v="936"/>
    <s v="2024-09-26 03:59:14"/>
    <x v="9"/>
    <s v="2024-10-08 15:35:14"/>
    <x v="791"/>
    <n v="12.5"/>
    <x v="6"/>
    <s v="Distribution List"/>
    <s v="Low"/>
    <n v="360"/>
    <x v="1"/>
    <s v="Portal"/>
    <s v="Tier 2"/>
    <x v="11"/>
    <x v="0"/>
    <s v="No"/>
    <s v="Yes"/>
    <n v="3"/>
    <s v="Yes"/>
    <n v="7"/>
    <n v="1.2"/>
    <n v="33.799999999999997"/>
    <s v="No"/>
    <s v="Good"/>
    <s v="Yes"/>
    <s v="Executive"/>
    <s v="Monday"/>
    <s v="Afternoon"/>
  </r>
  <r>
    <x v="937"/>
    <s v="2024-04-23 16:29:01"/>
    <x v="11"/>
    <s v="2024-04-29 23:11:01"/>
    <x v="817"/>
    <n v="6.3"/>
    <x v="7"/>
    <s v="MS Office"/>
    <s v="Medium"/>
    <n v="240"/>
    <x v="1"/>
    <s v="Email"/>
    <s v="Tier 1"/>
    <x v="24"/>
    <x v="0"/>
    <s v="No"/>
    <s v="No"/>
    <n v="1"/>
    <s v="No"/>
    <n v="5"/>
    <n v="1.4"/>
    <n v="23.3"/>
    <s v="Yes"/>
    <s v="Poor"/>
    <s v="No"/>
    <s v="Operations"/>
    <s v="Monday"/>
    <s v="Morning"/>
  </r>
  <r>
    <x v="938"/>
    <s v="2024-09-03 00:37:19"/>
    <x v="9"/>
    <s v="2024-09-07 01:01:19"/>
    <x v="497"/>
    <n v="4"/>
    <x v="6"/>
    <s v="Distribution List"/>
    <s v="High"/>
    <n v="120"/>
    <x v="1"/>
    <s v="Email"/>
    <s v="Tier 1"/>
    <x v="5"/>
    <x v="2"/>
    <s v="No"/>
    <s v="No"/>
    <n v="1"/>
    <s v="No"/>
    <n v="7"/>
    <n v="1.6"/>
    <n v="9.9"/>
    <s v="Yes"/>
    <s v="Good"/>
    <s v="Yes"/>
    <s v="Finance"/>
    <s v="Wednesday"/>
    <s v="Morning"/>
  </r>
  <r>
    <x v="939"/>
    <s v="2024-08-05 05:19:04"/>
    <x v="1"/>
    <s v="2024-08-11 02:43:04"/>
    <x v="163"/>
    <n v="6.9"/>
    <x v="4"/>
    <s v="Performance"/>
    <s v="Medium"/>
    <n v="240"/>
    <x v="1"/>
    <s v="Portal"/>
    <s v="Tier 1"/>
    <x v="15"/>
    <x v="2"/>
    <s v="No"/>
    <s v="No"/>
    <n v="1"/>
    <s v="No"/>
    <n v="7"/>
    <n v="1"/>
    <n v="4.9000000000000004"/>
    <s v="Yes"/>
    <s v="Poor"/>
    <s v="No"/>
    <s v="HR"/>
    <s v="Wednesday"/>
    <s v="Morning"/>
  </r>
  <r>
    <x v="940"/>
    <s v="2024-03-12 03:34:12"/>
    <x v="5"/>
    <s v="2024-03-25 18:28:12"/>
    <x v="818"/>
    <n v="13.6"/>
    <x v="0"/>
    <s v="File Share"/>
    <s v="Medium"/>
    <n v="240"/>
    <x v="0"/>
    <s v="Phone"/>
    <s v="Tier 1"/>
    <x v="19"/>
    <x v="1"/>
    <s v="Yes"/>
    <s v="No"/>
    <n v="0"/>
    <s v="No"/>
    <n v="8"/>
    <n v="5.3"/>
    <n v="0"/>
    <s v="Yes"/>
    <s v="Poor"/>
    <s v="No"/>
    <s v="Legal"/>
    <s v="Wednesday"/>
    <s v="Evening"/>
  </r>
  <r>
    <x v="941"/>
    <s v="2024-12-03 08:39:06"/>
    <x v="0"/>
    <s v="2024-12-12 05:15:06"/>
    <x v="819"/>
    <n v="8.9"/>
    <x v="2"/>
    <s v="Ethernet"/>
    <s v="Medium"/>
    <n v="240"/>
    <x v="1"/>
    <s v="Phone"/>
    <s v="Tier 1"/>
    <x v="20"/>
    <x v="0"/>
    <s v="No"/>
    <s v="No"/>
    <n v="1"/>
    <s v="No"/>
    <n v="8"/>
    <n v="3.2"/>
    <n v="14.9"/>
    <s v="Yes"/>
    <s v="Poor"/>
    <s v="No"/>
    <s v="Marketing"/>
    <s v="Wednesday"/>
    <s v="Afternoon"/>
  </r>
  <r>
    <x v="942"/>
    <s v="2024-05-16 07:39:18"/>
    <x v="8"/>
    <s v="2024-05-18 03:39:18"/>
    <x v="820"/>
    <n v="1.8"/>
    <x v="0"/>
    <s v="VPN Access"/>
    <s v="Critical"/>
    <n v="48"/>
    <x v="1"/>
    <s v="Email"/>
    <s v="Tier 1"/>
    <x v="13"/>
    <x v="2"/>
    <s v="No"/>
    <s v="No"/>
    <n v="1"/>
    <s v="No"/>
    <n v="10"/>
    <n v="2.9"/>
    <n v="26.1"/>
    <s v="Yes"/>
    <s v="Poor"/>
    <s v="No"/>
    <s v="Executive"/>
    <s v="Tuesday"/>
    <s v="Afternoon"/>
  </r>
  <r>
    <x v="943"/>
    <s v="2024-01-29 22:41:35"/>
    <x v="3"/>
    <s v="2024-02-05 02:05:35"/>
    <x v="821"/>
    <n v="6.1"/>
    <x v="7"/>
    <s v="Adobe Suite"/>
    <s v="Medium"/>
    <n v="240"/>
    <x v="1"/>
    <s v="Portal"/>
    <s v="Tier 1"/>
    <x v="23"/>
    <x v="2"/>
    <s v="No"/>
    <s v="No"/>
    <n v="1"/>
    <s v="No"/>
    <n v="10"/>
    <n v="4.0999999999999996"/>
    <n v="14.6"/>
    <s v="Yes"/>
    <s v="Excellent"/>
    <s v="Yes"/>
    <s v="IT"/>
    <s v="Tuesday"/>
    <s v="Afternoon"/>
  </r>
  <r>
    <x v="944"/>
    <s v="2024-08-18 05:50:18"/>
    <x v="1"/>
    <s v="2024-08-22 10:38:18"/>
    <x v="822"/>
    <n v="4.2"/>
    <x v="6"/>
    <s v="Distribution List"/>
    <s v="High"/>
    <n v="120"/>
    <x v="1"/>
    <s v="Portal"/>
    <s v="Tier 1"/>
    <x v="5"/>
    <x v="0"/>
    <s v="No"/>
    <s v="No"/>
    <n v="1"/>
    <s v="No"/>
    <n v="7"/>
    <n v="2.6"/>
    <n v="10.7"/>
    <s v="No"/>
    <s v="Excellent"/>
    <s v="Yes"/>
    <s v="Marketing"/>
    <s v="Friday"/>
    <s v="Afternoon"/>
  </r>
  <r>
    <x v="945"/>
    <s v="2024-01-06 20:00:00"/>
    <x v="3"/>
    <s v="2024-01-11 08:54:00"/>
    <x v="823"/>
    <n v="4.5"/>
    <x v="0"/>
    <s v="File Share"/>
    <s v="High"/>
    <n v="120"/>
    <x v="1"/>
    <s v="Email"/>
    <s v="Tier 1"/>
    <x v="14"/>
    <x v="1"/>
    <s v="No"/>
    <s v="No"/>
    <n v="1"/>
    <s v="No"/>
    <n v="10"/>
    <n v="0.9"/>
    <n v="19.5"/>
    <s v="Yes"/>
    <s v="Excellent"/>
    <s v="No"/>
    <s v="Sales"/>
    <s v="Friday"/>
    <s v="Morning"/>
  </r>
  <r>
    <x v="946"/>
    <s v="2024-03-04 18:47:32"/>
    <x v="5"/>
    <s v="2024-03-08 03:17:32"/>
    <x v="824"/>
    <n v="3.4"/>
    <x v="2"/>
    <s v="VPN Connection"/>
    <s v="High"/>
    <n v="120"/>
    <x v="1"/>
    <s v="Walk-in"/>
    <s v="Tier 1"/>
    <x v="23"/>
    <x v="1"/>
    <s v="Yes"/>
    <s v="No"/>
    <n v="0"/>
    <s v="No"/>
    <n v="10"/>
    <n v="0.4"/>
    <n v="0"/>
    <s v="Yes"/>
    <s v="Fair"/>
    <s v="No"/>
    <s v="IT"/>
    <s v="Friday"/>
    <s v="Morning"/>
  </r>
  <r>
    <x v="947"/>
    <s v="2024-06-23 09:08:14"/>
    <x v="10"/>
    <s v="2024-06-25 05:26:14"/>
    <x v="825"/>
    <n v="1.8"/>
    <x v="4"/>
    <s v="Features Not Working"/>
    <s v="Critical"/>
    <n v="48"/>
    <x v="1"/>
    <s v="Email"/>
    <s v="Tier 1"/>
    <x v="9"/>
    <x v="2"/>
    <s v="No"/>
    <s v="No"/>
    <n v="1"/>
    <s v="No"/>
    <n v="10"/>
    <n v="3.3"/>
    <n v="2.4"/>
    <s v="No"/>
    <s v="Fair"/>
    <s v="No"/>
    <s v="Legal"/>
    <s v="Thursday"/>
    <s v="Evening"/>
  </r>
  <r>
    <x v="948"/>
    <s v="2024-08-12 20:56:56"/>
    <x v="1"/>
    <s v="2024-08-25 23:44:56"/>
    <x v="826"/>
    <n v="13.1"/>
    <x v="7"/>
    <s v="Business Apps"/>
    <s v="Low"/>
    <n v="360"/>
    <x v="1"/>
    <s v="Portal"/>
    <s v="Tier 1"/>
    <x v="18"/>
    <x v="2"/>
    <s v="No"/>
    <s v="No"/>
    <n v="1"/>
    <s v="No"/>
    <n v="8"/>
    <n v="2.5"/>
    <n v="28.7"/>
    <s v="Yes"/>
    <s v="Fair"/>
    <s v="Yes"/>
    <s v="Operations"/>
    <s v="Thursday"/>
    <s v="Morning"/>
  </r>
  <r>
    <x v="949"/>
    <s v="2024-11-07 09:08:42"/>
    <x v="7"/>
    <s v="2024-11-14 18:02:42"/>
    <x v="827"/>
    <n v="7.4"/>
    <x v="0"/>
    <s v="VPN Access"/>
    <s v="Medium"/>
    <n v="240"/>
    <x v="1"/>
    <s v="Email"/>
    <s v="Tier 1"/>
    <x v="23"/>
    <x v="1"/>
    <s v="Yes"/>
    <s v="No"/>
    <n v="0"/>
    <s v="Yes"/>
    <n v="10"/>
    <n v="0.8"/>
    <n v="17.899999999999999"/>
    <s v="Yes"/>
    <s v="Excellent"/>
    <s v="Yes"/>
    <s v="IT"/>
    <s v="Tuesday"/>
    <s v="Morning"/>
  </r>
  <r>
    <x v="950"/>
    <s v="2024-07-25 08:45:29"/>
    <x v="4"/>
    <s v="2024-07-28 01:51:29"/>
    <x v="828"/>
    <n v="3.7"/>
    <x v="1"/>
    <s v="Desktop"/>
    <s v="High"/>
    <n v="120"/>
    <x v="1"/>
    <s v="Email"/>
    <s v="Tier 2"/>
    <x v="19"/>
    <x v="2"/>
    <s v="No"/>
    <s v="Yes"/>
    <n v="2"/>
    <s v="No"/>
    <n v="6"/>
    <n v="4.0999999999999996"/>
    <n v="33.4"/>
    <s v="No"/>
    <s v="Poor"/>
    <s v="Yes"/>
    <s v="Marketing"/>
    <s v="Monday"/>
    <s v="Morning"/>
  </r>
  <r>
    <x v="951"/>
    <s v="2024-08-01 22:38:36"/>
    <x v="1"/>
    <s v="2024-08-05 21:32:36"/>
    <x v="829"/>
    <n v="4"/>
    <x v="2"/>
    <s v="VPN Connection"/>
    <s v="High"/>
    <n v="120"/>
    <x v="1"/>
    <s v="Email"/>
    <s v="Tier 1"/>
    <x v="3"/>
    <x v="2"/>
    <s v="No"/>
    <s v="No"/>
    <n v="1"/>
    <s v="No"/>
    <n v="8"/>
    <n v="2.8"/>
    <n v="19.3"/>
    <s v="Yes"/>
    <s v="Poor"/>
    <s v="No"/>
    <s v="HR"/>
    <s v="Friday"/>
    <s v="Afternoon"/>
  </r>
  <r>
    <x v="952"/>
    <s v="2024-05-08 15:25:12"/>
    <x v="8"/>
    <s v="2024-05-17 18:13:12"/>
    <x v="830"/>
    <n v="9.1"/>
    <x v="7"/>
    <s v="Drivers"/>
    <s v="Medium"/>
    <n v="240"/>
    <x v="1"/>
    <s v="Email"/>
    <s v="Tier 1"/>
    <x v="2"/>
    <x v="2"/>
    <s v="Yes"/>
    <s v="No"/>
    <n v="0"/>
    <s v="No"/>
    <n v="9"/>
    <n v="2.2000000000000002"/>
    <n v="7.6"/>
    <s v="No"/>
    <s v="Fair"/>
    <s v="Yes"/>
    <s v="HR"/>
    <s v="Wednesday"/>
    <s v="Evening"/>
  </r>
  <r>
    <x v="953"/>
    <s v="2024-07-11 23:59:29"/>
    <x v="4"/>
    <s v="2024-07-15 13:05:29"/>
    <x v="831"/>
    <n v="3.5"/>
    <x v="4"/>
    <s v="Crash"/>
    <s v="High"/>
    <n v="120"/>
    <x v="1"/>
    <s v="Email"/>
    <s v="Tier 1"/>
    <x v="4"/>
    <x v="2"/>
    <s v="No"/>
    <s v="No"/>
    <n v="1"/>
    <s v="No"/>
    <n v="8"/>
    <n v="3.4"/>
    <n v="0"/>
    <s v="No"/>
    <s v="Good"/>
    <s v="Yes"/>
    <s v="Finance"/>
    <s v="Monday"/>
    <s v="Morning"/>
  </r>
  <r>
    <x v="954"/>
    <s v="2024-06-19 08:52:06"/>
    <x v="10"/>
    <s v="2024-06-26 06:28:06"/>
    <x v="832"/>
    <n v="6.9"/>
    <x v="2"/>
    <s v="WiFi Issues"/>
    <s v="High"/>
    <n v="120"/>
    <x v="0"/>
    <s v="Email"/>
    <s v="Tier 1"/>
    <x v="6"/>
    <x v="0"/>
    <s v="No"/>
    <s v="No"/>
    <n v="1"/>
    <s v="Yes"/>
    <n v="4"/>
    <n v="0.1"/>
    <n v="4.9000000000000004"/>
    <s v="No"/>
    <s v="Poor"/>
    <s v="No"/>
    <s v="Sales"/>
    <s v="Friday"/>
    <s v="Afternoon"/>
  </r>
  <r>
    <x v="955"/>
    <s v="2024-01-12 18:43:34"/>
    <x v="3"/>
    <s v="2024-02-05 15:07:34"/>
    <x v="833"/>
    <n v="23.8"/>
    <x v="6"/>
    <s v="Cannot Send/Receive"/>
    <s v="Medium"/>
    <n v="240"/>
    <x v="0"/>
    <s v="Portal"/>
    <s v="Tier 1"/>
    <x v="12"/>
    <x v="1"/>
    <s v="No"/>
    <s v="No"/>
    <n v="1"/>
    <s v="No"/>
    <n v="2"/>
    <n v="3.7"/>
    <n v="0"/>
    <s v="No"/>
    <s v="Good"/>
    <s v="No"/>
    <s v="Operations"/>
    <s v="Monday"/>
    <s v="Evening"/>
  </r>
  <r>
    <x v="956"/>
    <s v="2024-11-02 22:35:05"/>
    <x v="7"/>
    <s v="2024-11-10 22:23:05"/>
    <x v="834"/>
    <n v="8"/>
    <x v="7"/>
    <s v="Business Apps"/>
    <s v="Medium"/>
    <n v="240"/>
    <x v="1"/>
    <s v="Chat"/>
    <s v="Tier 2"/>
    <x v="12"/>
    <x v="1"/>
    <s v="No"/>
    <s v="Yes"/>
    <n v="4"/>
    <s v="Yes"/>
    <n v="10"/>
    <n v="2.8"/>
    <n v="15.2"/>
    <s v="No"/>
    <s v="Good"/>
    <s v="Yes"/>
    <s v="IT"/>
    <s v="Friday"/>
    <s v="Evening"/>
  </r>
  <r>
    <x v="957"/>
    <s v="2024-10-03 05:25:41"/>
    <x v="2"/>
    <s v="2024-10-10 14:31:41"/>
    <x v="835"/>
    <n v="7.4"/>
    <x v="5"/>
    <s v="General Inquiry"/>
    <s v="Medium"/>
    <n v="240"/>
    <x v="1"/>
    <s v="Phone"/>
    <s v="Tier 2"/>
    <x v="4"/>
    <x v="0"/>
    <s v="No"/>
    <s v="Yes"/>
    <n v="4"/>
    <s v="No"/>
    <n v="8"/>
    <n v="0.1"/>
    <n v="0"/>
    <s v="No"/>
    <s v="Good"/>
    <s v="Yes"/>
    <s v="Marketing"/>
    <s v="Monday"/>
    <s v="Evening"/>
  </r>
  <r>
    <x v="958"/>
    <s v="2024-06-25 18:12:59"/>
    <x v="10"/>
    <s v="2024-07-06 23:00:59"/>
    <x v="836"/>
    <n v="11.2"/>
    <x v="1"/>
    <s v="Printer"/>
    <s v="Low"/>
    <n v="360"/>
    <x v="1"/>
    <s v="Portal"/>
    <s v="Tier 2"/>
    <x v="16"/>
    <x v="2"/>
    <s v="No"/>
    <s v="Yes"/>
    <n v="2"/>
    <s v="No"/>
    <n v="9"/>
    <n v="2.2000000000000002"/>
    <n v="25.2"/>
    <s v="No"/>
    <s v="Fair"/>
    <s v="Yes"/>
    <s v="IT"/>
    <s v="Monday"/>
    <s v="Afternoon"/>
  </r>
  <r>
    <x v="959"/>
    <s v="2024-08-10 19:23:13"/>
    <x v="1"/>
    <s v="2024-09-07 15:29:13"/>
    <x v="837"/>
    <n v="27.8"/>
    <x v="6"/>
    <s v="Cannot Send/Receive"/>
    <s v="Medium"/>
    <n v="240"/>
    <x v="0"/>
    <s v="Portal"/>
    <s v="Tier 1"/>
    <x v="23"/>
    <x v="1"/>
    <s v="No"/>
    <s v="No"/>
    <n v="1"/>
    <s v="Yes"/>
    <n v="5"/>
    <n v="1.6"/>
    <n v="41.3"/>
    <s v="Yes"/>
    <s v="Good"/>
    <s v="Yes"/>
    <s v="IT"/>
    <s v="Friday"/>
    <s v="Afternoon"/>
  </r>
  <r>
    <x v="960"/>
    <s v="2024-01-08 04:46:55"/>
    <x v="3"/>
    <s v="2024-01-12 08:40:55"/>
    <x v="838"/>
    <n v="4.2"/>
    <x v="1"/>
    <s v="Keyboard/Mouse"/>
    <s v="High"/>
    <n v="120"/>
    <x v="1"/>
    <s v="Walk-in"/>
    <s v="Tier 1"/>
    <x v="18"/>
    <x v="1"/>
    <s v="Yes"/>
    <s v="No"/>
    <n v="0"/>
    <s v="No"/>
    <n v="8"/>
    <n v="0.6"/>
    <n v="17.399999999999999"/>
    <s v="Yes"/>
    <s v="Poor"/>
    <s v="Yes"/>
    <s v="Operations"/>
    <s v="Thursday"/>
    <s v="Afternoon"/>
  </r>
  <r>
    <x v="961"/>
    <s v="2024-08-31 12:07:54"/>
    <x v="1"/>
    <s v="2024-09-13 10:37:54"/>
    <x v="839"/>
    <n v="12.9"/>
    <x v="3"/>
    <s v="Application Password"/>
    <s v="Low"/>
    <n v="360"/>
    <x v="1"/>
    <s v="Email"/>
    <s v="Tier 1"/>
    <x v="23"/>
    <x v="1"/>
    <s v="Yes"/>
    <s v="No"/>
    <n v="0"/>
    <s v="No"/>
    <n v="7"/>
    <n v="2.7"/>
    <n v="2.1"/>
    <s v="Yes"/>
    <s v="Fair"/>
    <s v="Yes"/>
    <s v="Marketing"/>
    <s v="Friday"/>
    <s v="Morning"/>
  </r>
  <r>
    <x v="962"/>
    <s v="2024-09-08 14:23:49"/>
    <x v="9"/>
    <s v="2024-09-16 09:05:49"/>
    <x v="840"/>
    <n v="7.8"/>
    <x v="0"/>
    <s v="Admin Rights"/>
    <s v="Medium"/>
    <n v="240"/>
    <x v="1"/>
    <s v="Email"/>
    <s v="Tier 1"/>
    <x v="3"/>
    <x v="1"/>
    <s v="Yes"/>
    <s v="No"/>
    <n v="0"/>
    <s v="No"/>
    <n v="10"/>
    <n v="3.3"/>
    <n v="9"/>
    <s v="Yes"/>
    <s v="Good"/>
    <s v="Yes"/>
    <s v="Finance"/>
    <s v="Tuesday"/>
    <s v="Evening"/>
  </r>
  <r>
    <x v="963"/>
    <s v="2024-10-28 04:07:58"/>
    <x v="2"/>
    <s v="2024-11-12 13:13:58"/>
    <x v="841"/>
    <n v="15.4"/>
    <x v="7"/>
    <s v="Business Apps"/>
    <s v="Medium"/>
    <n v="240"/>
    <x v="0"/>
    <s v="Portal"/>
    <s v="Tier 1"/>
    <x v="20"/>
    <x v="2"/>
    <s v="No"/>
    <s v="No"/>
    <n v="1"/>
    <s v="No"/>
    <n v="6"/>
    <n v="2.2000000000000002"/>
    <n v="12.9"/>
    <s v="Yes"/>
    <s v="Good"/>
    <s v="Yes"/>
    <s v="Finance"/>
    <s v="Tuesday"/>
    <s v="Afternoon"/>
  </r>
  <r>
    <x v="964"/>
    <s v="2024-11-28 19:28:10"/>
    <x v="7"/>
    <s v="2024-12-08 02:16:10"/>
    <x v="370"/>
    <n v="9.3000000000000007"/>
    <x v="3"/>
    <s v="Email Password"/>
    <s v="Low"/>
    <n v="360"/>
    <x v="1"/>
    <s v="Portal"/>
    <s v="Tier 1"/>
    <x v="2"/>
    <x v="2"/>
    <s v="Yes"/>
    <s v="No"/>
    <n v="0"/>
    <s v="No"/>
    <n v="10"/>
    <n v="3.3"/>
    <n v="29.8"/>
    <s v="No"/>
    <s v="Fair"/>
    <s v="Yes"/>
    <s v="IT"/>
    <s v="Thursday"/>
    <s v="Morning"/>
  </r>
  <r>
    <x v="965"/>
    <s v="2024-02-27 22:07:50"/>
    <x v="6"/>
    <s v="2024-03-01 00:37:50"/>
    <x v="842"/>
    <n v="3.1"/>
    <x v="4"/>
    <s v="Login Issues"/>
    <s v="High"/>
    <n v="120"/>
    <x v="1"/>
    <s v="Portal"/>
    <s v="Tier 1"/>
    <x v="4"/>
    <x v="1"/>
    <s v="No"/>
    <s v="No"/>
    <n v="1"/>
    <s v="No"/>
    <n v="7"/>
    <n v="1.7"/>
    <n v="12.9"/>
    <s v="Yes"/>
    <s v="Poor"/>
    <s v="No"/>
    <s v="Marketing"/>
    <s v="Thursday"/>
    <s v="Morning"/>
  </r>
  <r>
    <x v="966"/>
    <s v="2024-03-16 10:43:14"/>
    <x v="5"/>
    <s v="2024-03-24 10:49:14"/>
    <x v="843"/>
    <n v="8"/>
    <x v="7"/>
    <s v="Drivers"/>
    <s v="Medium"/>
    <n v="240"/>
    <x v="1"/>
    <s v="Portal"/>
    <s v="Tier 1"/>
    <x v="15"/>
    <x v="1"/>
    <s v="No"/>
    <s v="No"/>
    <n v="1"/>
    <s v="No"/>
    <n v="6"/>
    <n v="3.5"/>
    <n v="8.6"/>
    <s v="Yes"/>
    <s v="Good"/>
    <s v="Yes"/>
    <s v="HR"/>
    <s v="Tuesday"/>
    <s v="Afternoon"/>
  </r>
  <r>
    <x v="967"/>
    <s v="2024-07-24 09:25:14"/>
    <x v="4"/>
    <s v="2024-08-03 17:49:14"/>
    <x v="844"/>
    <n v="10.4"/>
    <x v="0"/>
    <s v="VPN Access"/>
    <s v="Medium"/>
    <n v="240"/>
    <x v="0"/>
    <s v="Walk-in"/>
    <s v="Tier 1"/>
    <x v="13"/>
    <x v="2"/>
    <s v="Yes"/>
    <s v="No"/>
    <n v="0"/>
    <s v="No"/>
    <n v="8"/>
    <n v="0.1"/>
    <n v="18.2"/>
    <s v="Yes"/>
    <s v="Excellent"/>
    <s v="Yes"/>
    <s v="Marketing"/>
    <s v="Thursday"/>
    <s v="Afternoon"/>
  </r>
  <r>
    <x v="968"/>
    <s v="2024-07-15 17:39:38"/>
    <x v="4"/>
    <s v="2024-08-11 17:09:38"/>
    <x v="845"/>
    <n v="27"/>
    <x v="7"/>
    <s v="Drivers"/>
    <s v="Medium"/>
    <n v="240"/>
    <x v="0"/>
    <s v="Phone"/>
    <s v="Tier 2"/>
    <x v="3"/>
    <x v="2"/>
    <s v="No"/>
    <s v="Yes"/>
    <n v="1"/>
    <s v="No"/>
    <n v="6"/>
    <n v="4.5"/>
    <n v="2"/>
    <s v="Yes"/>
    <s v="Poor"/>
    <s v="No"/>
    <s v="Executive"/>
    <s v="Thursday"/>
    <s v="Morning"/>
  </r>
  <r>
    <x v="969"/>
    <s v="2024-04-12 00:20:04"/>
    <x v="11"/>
    <s v="2024-04-19 12:02:04"/>
    <x v="846"/>
    <n v="6.5"/>
    <x v="7"/>
    <s v="MS Office"/>
    <s v="Medium"/>
    <n v="240"/>
    <x v="1"/>
    <s v="Email"/>
    <s v="Tier 1"/>
    <x v="7"/>
    <x v="2"/>
    <s v="Yes"/>
    <s v="No"/>
    <n v="0"/>
    <s v="Yes"/>
    <n v="9"/>
    <n v="1.2"/>
    <n v="38.200000000000003"/>
    <s v="No"/>
    <s v="Fair"/>
    <s v="Yes"/>
    <s v="Marketing"/>
    <s v="Tuesday"/>
    <s v="Morning"/>
  </r>
  <r>
    <x v="970"/>
    <s v="2024-06-29 03:05:23"/>
    <x v="10"/>
    <s v="2024-07-07 03:53:23"/>
    <x v="384"/>
    <n v="8"/>
    <x v="1"/>
    <s v="Desktop"/>
    <s v="Medium"/>
    <n v="240"/>
    <x v="1"/>
    <s v="Email"/>
    <s v="Tier 2"/>
    <x v="21"/>
    <x v="2"/>
    <s v="No"/>
    <s v="Yes"/>
    <n v="3"/>
    <s v="No"/>
    <n v="8"/>
    <n v="0.1"/>
    <n v="25.5"/>
    <s v="No"/>
    <s v="Poor"/>
    <s v="Yes"/>
    <s v="Legal"/>
    <s v="Tuesday"/>
    <s v="Afternoon"/>
  </r>
  <r>
    <x v="971"/>
    <s v="2024-01-08 00:47:34"/>
    <x v="3"/>
    <s v="2024-01-16 11:11:34"/>
    <x v="847"/>
    <n v="7.4"/>
    <x v="0"/>
    <s v="Admin Rights"/>
    <s v="Medium"/>
    <n v="240"/>
    <x v="1"/>
    <s v="Phone"/>
    <s v="Tier 1"/>
    <x v="15"/>
    <x v="1"/>
    <s v="No"/>
    <s v="No"/>
    <n v="1"/>
    <s v="No"/>
    <n v="6"/>
    <n v="1.5"/>
    <n v="21"/>
    <s v="No"/>
    <s v="Fair"/>
    <s v="No"/>
    <s v="HR"/>
    <s v="Tuesday"/>
    <s v="Afternoon"/>
  </r>
  <r>
    <x v="972"/>
    <s v="2024-07-24 09:55:17"/>
    <x v="4"/>
    <s v="2024-08-01 12:19:17"/>
    <x v="848"/>
    <n v="8.1"/>
    <x v="7"/>
    <s v="VPN Client"/>
    <s v="Medium"/>
    <n v="240"/>
    <x v="1"/>
    <s v="Email"/>
    <s v="Tier 1"/>
    <x v="12"/>
    <x v="2"/>
    <s v="No"/>
    <s v="No"/>
    <n v="1"/>
    <s v="No"/>
    <n v="7"/>
    <n v="4.5"/>
    <n v="0"/>
    <s v="Yes"/>
    <s v="Fair"/>
    <s v="Yes"/>
    <s v="Marketing"/>
    <s v="Friday"/>
    <s v="Afternoon"/>
  </r>
  <r>
    <x v="973"/>
    <s v="2024-12-30 00:37:06"/>
    <x v="0"/>
    <s v="2025-01-12 16:49:06"/>
    <x v="849"/>
    <n v="12.7"/>
    <x v="3"/>
    <s v="Windows Password"/>
    <s v="Low"/>
    <n v="360"/>
    <x v="1"/>
    <s v="Phone"/>
    <s v="Tier 1"/>
    <x v="6"/>
    <x v="1"/>
    <s v="Yes"/>
    <s v="No"/>
    <n v="0"/>
    <s v="No"/>
    <n v="9"/>
    <n v="1.1000000000000001"/>
    <n v="36.6"/>
    <s v="Yes"/>
    <s v="Fair"/>
    <s v="No"/>
    <s v="Marketing"/>
    <s v="Tuesday"/>
    <s v="Morning"/>
  </r>
  <r>
    <x v="974"/>
    <s v="2024-02-16 12:13:54"/>
    <x v="6"/>
    <s v="2024-02-23 00:31:54"/>
    <x v="318"/>
    <n v="7.5"/>
    <x v="3"/>
    <s v="Application Password"/>
    <s v="Medium"/>
    <n v="240"/>
    <x v="1"/>
    <s v="Chat"/>
    <s v="Tier 1"/>
    <x v="21"/>
    <x v="2"/>
    <s v="Yes"/>
    <s v="No"/>
    <n v="0"/>
    <s v="No"/>
    <n v="9"/>
    <n v="3.4"/>
    <n v="0"/>
    <s v="Yes"/>
    <s v="Poor"/>
    <s v="Yes"/>
    <s v="Marketing"/>
    <s v="Tuesday"/>
    <s v="Evening"/>
  </r>
  <r>
    <x v="975"/>
    <s v="2024-01-28 00:25:59"/>
    <x v="3"/>
    <s v="2024-02-03 07:49:59"/>
    <x v="850"/>
    <n v="5.3"/>
    <x v="4"/>
    <s v="Performance"/>
    <s v="Critical"/>
    <n v="48"/>
    <x v="0"/>
    <s v="Phone"/>
    <s v="Tier 2"/>
    <x v="24"/>
    <x v="0"/>
    <s v="No"/>
    <s v="Yes"/>
    <n v="2"/>
    <s v="No"/>
    <n v="6"/>
    <n v="6.2"/>
    <n v="31.2"/>
    <s v="Yes"/>
    <s v="Fair"/>
    <s v="No"/>
    <s v="IT"/>
    <s v="Wednesday"/>
    <s v="Evening"/>
  </r>
  <r>
    <x v="976"/>
    <s v="2024-07-29 01:03:58"/>
    <x v="4"/>
    <s v="2024-08-04 21:51:58"/>
    <x v="851"/>
    <n v="5.9"/>
    <x v="6"/>
    <s v="Cannot Send/Receive"/>
    <s v="High"/>
    <n v="120"/>
    <x v="0"/>
    <s v="Walk-in"/>
    <s v="Tier 1"/>
    <x v="19"/>
    <x v="2"/>
    <s v="No"/>
    <s v="No"/>
    <n v="1"/>
    <s v="No"/>
    <n v="7"/>
    <n v="3.1"/>
    <n v="30.3"/>
    <s v="Yes"/>
    <s v="Fair"/>
    <s v="Yes"/>
    <s v="Operations"/>
    <s v="Friday"/>
    <s v="Afternoon"/>
  </r>
  <r>
    <x v="977"/>
    <s v="2024-12-21 20:46:56"/>
    <x v="0"/>
    <s v="2024-12-25 23:16:56"/>
    <x v="852"/>
    <n v="4.0999999999999996"/>
    <x v="1"/>
    <s v="Printer"/>
    <s v="High"/>
    <n v="120"/>
    <x v="1"/>
    <s v="Email"/>
    <s v="Tier 2"/>
    <x v="0"/>
    <x v="1"/>
    <s v="No"/>
    <s v="Yes"/>
    <n v="2"/>
    <s v="No"/>
    <n v="9"/>
    <n v="1.6"/>
    <n v="39.799999999999997"/>
    <s v="No"/>
    <s v="Good"/>
    <s v="Yes"/>
    <s v="Finance"/>
    <s v="Thursday"/>
    <s v="Afternoon"/>
  </r>
  <r>
    <x v="978"/>
    <s v="2024-09-24 04:22:44"/>
    <x v="9"/>
    <s v="2024-10-01 17:58:44"/>
    <x v="853"/>
    <n v="7.6"/>
    <x v="4"/>
    <s v="Features Not Working"/>
    <s v="Medium"/>
    <n v="240"/>
    <x v="1"/>
    <s v="Phone"/>
    <s v="Tier 1"/>
    <x v="2"/>
    <x v="0"/>
    <s v="No"/>
    <s v="No"/>
    <n v="1"/>
    <s v="Yes"/>
    <n v="6"/>
    <n v="1.1000000000000001"/>
    <n v="31.2"/>
    <s v="Yes"/>
    <s v="Fair"/>
    <s v="Yes"/>
    <s v="HR"/>
    <s v="Thursday"/>
    <s v="Morning"/>
  </r>
  <r>
    <x v="979"/>
    <s v="2024-10-13 23:51:09"/>
    <x v="2"/>
    <s v="2024-10-28 17:09:09"/>
    <x v="716"/>
    <n v="14.8"/>
    <x v="0"/>
    <s v="VPN Access"/>
    <s v="Medium"/>
    <n v="240"/>
    <x v="0"/>
    <s v="Email"/>
    <s v="Tier 1"/>
    <x v="5"/>
    <x v="2"/>
    <s v="No"/>
    <s v="No"/>
    <n v="1"/>
    <s v="No"/>
    <n v="2"/>
    <n v="2.2999999999999998"/>
    <n v="37.299999999999997"/>
    <s v="Yes"/>
    <s v="Good"/>
    <s v="Yes"/>
    <s v="HR"/>
    <s v="Tuesday"/>
    <s v="Afternoon"/>
  </r>
  <r>
    <x v="980"/>
    <s v="2024-11-20 15:26:06"/>
    <x v="7"/>
    <s v="2024-11-24 22:50:06"/>
    <x v="854"/>
    <n v="4.3"/>
    <x v="4"/>
    <s v="Features Not Working"/>
    <s v="High"/>
    <n v="120"/>
    <x v="1"/>
    <s v="Portal"/>
    <s v="Tier 2"/>
    <x v="2"/>
    <x v="2"/>
    <s v="No"/>
    <s v="Yes"/>
    <n v="1"/>
    <s v="No"/>
    <n v="8"/>
    <n v="0.1"/>
    <n v="11.7"/>
    <s v="Yes"/>
    <s v="Poor"/>
    <s v="Yes"/>
    <s v="Finance"/>
    <s v="Thursday"/>
    <s v="Afternoon"/>
  </r>
  <r>
    <x v="981"/>
    <s v="2024-05-15 03:10:49"/>
    <x v="8"/>
    <s v="2024-05-18 01:28:49"/>
    <x v="855"/>
    <n v="3.9"/>
    <x v="7"/>
    <s v="Drivers"/>
    <s v="High"/>
    <n v="120"/>
    <x v="1"/>
    <s v="Email"/>
    <s v="Tier 1"/>
    <x v="15"/>
    <x v="2"/>
    <s v="Yes"/>
    <s v="No"/>
    <n v="0"/>
    <s v="Yes"/>
    <n v="9"/>
    <n v="1.2"/>
    <n v="22.1"/>
    <s v="Yes"/>
    <s v="Good"/>
    <s v="Yes"/>
    <s v="Operations"/>
    <s v="Monday"/>
    <s v="Morning"/>
  </r>
  <r>
    <x v="982"/>
    <s v="2024-12-01 11:56:59"/>
    <x v="0"/>
    <s v="2024-12-11 18:14:59"/>
    <x v="856"/>
    <n v="10.3"/>
    <x v="7"/>
    <s v="Drivers"/>
    <s v="Medium"/>
    <n v="240"/>
    <x v="0"/>
    <s v="Chat"/>
    <s v="Tier 1"/>
    <x v="23"/>
    <x v="0"/>
    <s v="Yes"/>
    <s v="No"/>
    <n v="0"/>
    <s v="No"/>
    <n v="8"/>
    <n v="4.3"/>
    <n v="24.8"/>
    <s v="No"/>
    <s v="Poor"/>
    <s v="Yes"/>
    <s v="Marketing"/>
    <s v="Wednesday"/>
    <s v="Morning"/>
  </r>
  <r>
    <x v="983"/>
    <s v="2024-11-28 07:46:02"/>
    <x v="7"/>
    <s v="2024-12-13 06:34:02"/>
    <x v="857"/>
    <n v="15"/>
    <x v="7"/>
    <s v="Business Apps"/>
    <s v="Medium"/>
    <n v="240"/>
    <x v="0"/>
    <s v="Email"/>
    <s v="Tier 2"/>
    <x v="10"/>
    <x v="1"/>
    <s v="No"/>
    <s v="Yes"/>
    <n v="1"/>
    <s v="No"/>
    <n v="7"/>
    <n v="3.4"/>
    <n v="19.100000000000001"/>
    <s v="Yes"/>
    <s v="Poor"/>
    <s v="Yes"/>
    <s v="IT"/>
    <s v="Wednesday"/>
    <s v="Afternoon"/>
  </r>
  <r>
    <x v="984"/>
    <s v="2024-01-27 12:09:16"/>
    <x v="3"/>
    <s v="2024-02-08 21:21:16"/>
    <x v="858"/>
    <n v="12.4"/>
    <x v="4"/>
    <s v="Login Issues"/>
    <s v="Medium"/>
    <n v="240"/>
    <x v="0"/>
    <s v="Email"/>
    <s v="Tier 2"/>
    <x v="11"/>
    <x v="1"/>
    <s v="No"/>
    <s v="Yes"/>
    <n v="2"/>
    <s v="Yes"/>
    <n v="5"/>
    <n v="3.9"/>
    <n v="29.6"/>
    <s v="Yes"/>
    <s v="Excellent"/>
    <s v="No"/>
    <s v="Operations"/>
    <s v="Tuesday"/>
    <s v="Morning"/>
  </r>
  <r>
    <x v="985"/>
    <s v="2024-10-31 17:29:40"/>
    <x v="2"/>
    <s v="2024-11-03 20:11:40"/>
    <x v="859"/>
    <n v="3.1"/>
    <x v="4"/>
    <s v="Crash"/>
    <s v="High"/>
    <n v="120"/>
    <x v="1"/>
    <s v="Phone"/>
    <s v="Tier 1"/>
    <x v="20"/>
    <x v="1"/>
    <s v="Yes"/>
    <s v="No"/>
    <n v="0"/>
    <s v="No"/>
    <n v="10"/>
    <n v="3.7"/>
    <n v="13.7"/>
    <s v="Yes"/>
    <s v="Good"/>
    <s v="Yes"/>
    <s v="IT"/>
    <s v="Thursday"/>
    <s v="Afternoon"/>
  </r>
  <r>
    <x v="986"/>
    <s v="2024-03-09 15:33:32"/>
    <x v="5"/>
    <s v="2024-04-08 15:51:32"/>
    <x v="860"/>
    <n v="30"/>
    <x v="5"/>
    <s v="Miscellaneous"/>
    <s v="Medium"/>
    <n v="240"/>
    <x v="0"/>
    <s v="Phone"/>
    <s v="Tier 1"/>
    <x v="22"/>
    <x v="0"/>
    <s v="No"/>
    <s v="No"/>
    <n v="1"/>
    <s v="No"/>
    <n v="6"/>
    <n v="3.3"/>
    <n v="25.5"/>
    <s v="Yes"/>
    <s v="Fair"/>
    <s v="Yes"/>
    <s v="Marketing"/>
    <s v="Monday"/>
    <s v="Afternoon"/>
  </r>
  <r>
    <x v="987"/>
    <s v="2024-11-24 03:06:46"/>
    <x v="7"/>
    <s v="2024-12-04 18:06:46"/>
    <x v="861"/>
    <n v="10.6"/>
    <x v="6"/>
    <s v="Mailbox Full"/>
    <s v="Low"/>
    <n v="360"/>
    <x v="1"/>
    <s v="Email"/>
    <s v="Tier 1"/>
    <x v="3"/>
    <x v="0"/>
    <s v="No"/>
    <s v="No"/>
    <n v="1"/>
    <s v="Yes"/>
    <n v="8"/>
    <n v="0.2"/>
    <n v="20.7"/>
    <s v="Yes"/>
    <s v="Good"/>
    <s v="Yes"/>
    <s v="IT"/>
    <s v="Tuesday"/>
    <s v="Morning"/>
  </r>
  <r>
    <x v="988"/>
    <s v="2024-10-31 21:39:22"/>
    <x v="2"/>
    <s v="2024-11-11 08:33:22"/>
    <x v="862"/>
    <n v="10.5"/>
    <x v="0"/>
    <s v="File Share"/>
    <s v="Medium"/>
    <n v="240"/>
    <x v="0"/>
    <s v="Email"/>
    <s v="Tier 2"/>
    <x v="16"/>
    <x v="0"/>
    <s v="No"/>
    <s v="Yes"/>
    <n v="3"/>
    <s v="No"/>
    <n v="6"/>
    <n v="1.7"/>
    <n v="18.8"/>
    <s v="Yes"/>
    <s v="Fair"/>
    <s v="No"/>
    <s v="Executive"/>
    <s v="Monday"/>
    <s v="Evening"/>
  </r>
  <r>
    <x v="989"/>
    <s v="2024-10-05 20:03:55"/>
    <x v="2"/>
    <s v="2024-10-14 01:57:55"/>
    <x v="863"/>
    <n v="9.1999999999999993"/>
    <x v="4"/>
    <s v="Login Issues"/>
    <s v="Medium"/>
    <n v="240"/>
    <x v="1"/>
    <s v="Walk-in"/>
    <s v="Tier 2"/>
    <x v="22"/>
    <x v="0"/>
    <s v="No"/>
    <s v="Yes"/>
    <n v="4"/>
    <s v="No"/>
    <n v="9"/>
    <n v="2.1"/>
    <n v="15.8"/>
    <s v="Yes"/>
    <s v="Poor"/>
    <s v="No"/>
    <s v="Finance"/>
    <s v="Friday"/>
    <s v="Morning"/>
  </r>
  <r>
    <x v="990"/>
    <s v="2024-04-29 22:21:24"/>
    <x v="11"/>
    <s v="2024-05-06 09:57:24"/>
    <x v="492"/>
    <n v="6.5"/>
    <x v="3"/>
    <s v="Account Unlock"/>
    <s v="High"/>
    <n v="120"/>
    <x v="0"/>
    <s v="Portal"/>
    <s v="Tier 1"/>
    <x v="16"/>
    <x v="1"/>
    <s v="Yes"/>
    <s v="No"/>
    <n v="0"/>
    <s v="No"/>
    <n v="5"/>
    <n v="0.5"/>
    <n v="13.1"/>
    <s v="Yes"/>
    <s v="Fair"/>
    <s v="Yes"/>
    <s v="Operations"/>
    <s v="Wednesday"/>
    <s v="Afternoon"/>
  </r>
  <r>
    <x v="991"/>
    <s v="2024-05-26 03:19:04"/>
    <x v="8"/>
    <s v="2024-06-02 20:43:04"/>
    <x v="864"/>
    <n v="7.7"/>
    <x v="3"/>
    <s v="Application Password"/>
    <s v="Medium"/>
    <n v="240"/>
    <x v="1"/>
    <s v="Portal"/>
    <s v="Tier 1"/>
    <x v="0"/>
    <x v="1"/>
    <s v="Yes"/>
    <s v="No"/>
    <n v="0"/>
    <s v="No"/>
    <n v="9"/>
    <n v="0.4"/>
    <n v="4.2"/>
    <s v="Yes"/>
    <s v="Excellent"/>
    <s v="No"/>
    <s v="Legal"/>
    <s v="Wednesday"/>
    <s v="Morning"/>
  </r>
  <r>
    <x v="992"/>
    <s v="2024-08-01 23:58:19"/>
    <x v="1"/>
    <s v="2024-08-12 06:34:19"/>
    <x v="865"/>
    <n v="10.3"/>
    <x v="3"/>
    <s v="Application Password"/>
    <s v="Low"/>
    <n v="360"/>
    <x v="1"/>
    <s v="Phone"/>
    <s v="Tier 1"/>
    <x v="2"/>
    <x v="1"/>
    <s v="Yes"/>
    <s v="No"/>
    <n v="0"/>
    <s v="Yes"/>
    <n v="10"/>
    <n v="0.1"/>
    <n v="27.3"/>
    <s v="Yes"/>
    <s v="Fair"/>
    <s v="Yes"/>
    <s v="Sales"/>
    <s v="Monday"/>
    <s v="Morning"/>
  </r>
  <r>
    <x v="993"/>
    <s v="2024-03-28 05:23:52"/>
    <x v="5"/>
    <s v="2024-04-19 00:41:52"/>
    <x v="866"/>
    <n v="22.8"/>
    <x v="6"/>
    <s v="Calendar Sync"/>
    <s v="Medium"/>
    <n v="240"/>
    <x v="0"/>
    <s v="Portal"/>
    <s v="Tier 2"/>
    <x v="16"/>
    <x v="2"/>
    <s v="No"/>
    <s v="Yes"/>
    <n v="3"/>
    <s v="No"/>
    <n v="6"/>
    <n v="2.1"/>
    <n v="21.3"/>
    <s v="Yes"/>
    <s v="Fair"/>
    <s v="Yes"/>
    <s v="Finance"/>
    <s v="Wednesday"/>
    <s v="Morning"/>
  </r>
  <r>
    <x v="994"/>
    <s v="2024-12-27 10:47:35"/>
    <x v="0"/>
    <s v="2024-12-31 17:11:35"/>
    <x v="867"/>
    <n v="4.3"/>
    <x v="1"/>
    <s v="Desktop"/>
    <s v="High"/>
    <n v="120"/>
    <x v="1"/>
    <s v="Email"/>
    <s v="Tier 2"/>
    <x v="9"/>
    <x v="2"/>
    <s v="No"/>
    <s v="Yes"/>
    <n v="3"/>
    <s v="No"/>
    <n v="9"/>
    <n v="2.9"/>
    <n v="12.8"/>
    <s v="Yes"/>
    <s v="Fair"/>
    <s v="Yes"/>
    <s v="Finance"/>
    <s v="Thursday"/>
    <s v="Afternoon"/>
  </r>
  <r>
    <x v="995"/>
    <s v="2024-12-05 02:53:17"/>
    <x v="0"/>
    <s v="2024-12-18 06:53:17"/>
    <x v="868"/>
    <n v="13.2"/>
    <x v="4"/>
    <s v="Performance"/>
    <s v="Medium"/>
    <n v="240"/>
    <x v="0"/>
    <s v="Portal"/>
    <s v="Tier 1"/>
    <x v="8"/>
    <x v="2"/>
    <s v="No"/>
    <s v="No"/>
    <n v="1"/>
    <s v="No"/>
    <n v="6"/>
    <n v="0.4"/>
    <n v="28.8"/>
    <s v="Yes"/>
    <s v="Fair"/>
    <s v="No"/>
    <s v="Finance"/>
    <s v="Monday"/>
    <s v="Afternoon"/>
  </r>
  <r>
    <x v="996"/>
    <s v="2024-06-19 22:34:16"/>
    <x v="10"/>
    <s v="2024-06-25 00:52:16"/>
    <x v="869"/>
    <n v="6.1"/>
    <x v="0"/>
    <s v="File Share"/>
    <s v="Medium"/>
    <n v="240"/>
    <x v="1"/>
    <s v="Phone"/>
    <s v="Tier 1"/>
    <x v="24"/>
    <x v="2"/>
    <s v="No"/>
    <s v="No"/>
    <n v="1"/>
    <s v="No"/>
    <n v="7"/>
    <n v="3.8"/>
    <n v="9.4"/>
    <s v="Yes"/>
    <s v="Poor"/>
    <s v="No"/>
    <s v="HR"/>
    <s v="Tuesday"/>
    <s v="Morning"/>
  </r>
  <r>
    <x v="997"/>
    <s v="2024-11-22 12:53:05"/>
    <x v="7"/>
    <s v="2024-11-30 01:29:05"/>
    <x v="870"/>
    <n v="8.5"/>
    <x v="7"/>
    <s v="MS Office"/>
    <s v="Medium"/>
    <n v="240"/>
    <x v="1"/>
    <s v="Phone"/>
    <s v="Tier 1"/>
    <x v="9"/>
    <x v="2"/>
    <s v="Yes"/>
    <s v="No"/>
    <n v="0"/>
    <s v="No"/>
    <n v="10"/>
    <n v="3.7"/>
    <n v="36.799999999999997"/>
    <s v="No"/>
    <s v="Poor"/>
    <s v="Yes"/>
    <s v="Operations"/>
    <s v="Monday"/>
    <s v="Afternoon"/>
  </r>
  <r>
    <x v="998"/>
    <s v="2024-02-19 18:43:31"/>
    <x v="6"/>
    <s v="2024-03-15 03:13:31"/>
    <x v="871"/>
    <n v="24.4"/>
    <x v="1"/>
    <s v="Keyboard/Mouse"/>
    <s v="Medium"/>
    <n v="240"/>
    <x v="0"/>
    <s v="Email"/>
    <s v="Tier 2"/>
    <x v="14"/>
    <x v="0"/>
    <s v="No"/>
    <s v="Yes"/>
    <n v="1"/>
    <s v="No"/>
    <n v="8"/>
    <n v="1.8"/>
    <n v="9.6999999999999993"/>
    <s v="Yes"/>
    <s v="Fair"/>
    <s v="No"/>
    <s v="Sales"/>
    <s v="Thursday"/>
    <s v="Morning"/>
  </r>
  <r>
    <x v="999"/>
    <s v="2024-05-22 20:29:27"/>
    <x v="8"/>
    <s v="2024-05-31 13:47:27"/>
    <x v="872"/>
    <n v="8.6999999999999993"/>
    <x v="4"/>
    <s v="Features Not Working"/>
    <s v="Medium"/>
    <n v="240"/>
    <x v="1"/>
    <s v="Walk-in"/>
    <s v="Tier 1"/>
    <x v="18"/>
    <x v="2"/>
    <s v="Yes"/>
    <s v="No"/>
    <n v="0"/>
    <s v="No"/>
    <n v="10"/>
    <n v="0.1"/>
    <n v="17"/>
    <s v="Yes"/>
    <s v="Fair"/>
    <s v="Yes"/>
    <s v="Executive"/>
    <s v="Monday"/>
    <s v="Afternoon"/>
  </r>
  <r>
    <x v="1000"/>
    <s v="2024-04-16 16:48:06"/>
    <x v="11"/>
    <s v="2024-04-26 08:12:06"/>
    <x v="873"/>
    <n v="9.6"/>
    <x v="5"/>
    <s v="Documentation"/>
    <s v="Low"/>
    <n v="360"/>
    <x v="1"/>
    <s v="Portal"/>
    <s v="Tier 1"/>
    <x v="10"/>
    <x v="2"/>
    <s v="No"/>
    <s v="No"/>
    <n v="1"/>
    <s v="No"/>
    <n v="9"/>
    <n v="0.1"/>
    <n v="23"/>
    <s v="Yes"/>
    <s v="Excellent"/>
    <s v="Yes"/>
    <s v="Finance"/>
    <s v="Thursday"/>
    <s v="Morning"/>
  </r>
  <r>
    <x v="1001"/>
    <s v="2024-02-29 03:58:51"/>
    <x v="6"/>
    <s v="2024-03-08 09:46:51"/>
    <x v="183"/>
    <n v="8.1999999999999993"/>
    <x v="6"/>
    <s v="Calendar Sync"/>
    <s v="High"/>
    <n v="120"/>
    <x v="0"/>
    <s v="Phone"/>
    <s v="Tier 1"/>
    <x v="16"/>
    <x v="0"/>
    <s v="No"/>
    <s v="No"/>
    <n v="1"/>
    <s v="Yes"/>
    <n v="7"/>
    <n v="1.9"/>
    <n v="15.2"/>
    <s v="Yes"/>
    <s v="Fair"/>
    <s v="No"/>
    <s v="Legal"/>
    <s v="Thursday"/>
    <s v="Evening"/>
  </r>
  <r>
    <x v="1002"/>
    <s v="2024-05-05 18:54:38"/>
    <x v="8"/>
    <s v="2024-05-08 10:36:38"/>
    <x v="874"/>
    <n v="2.7"/>
    <x v="4"/>
    <s v="Crash"/>
    <s v="Critical"/>
    <n v="48"/>
    <x v="0"/>
    <s v="Email"/>
    <s v="Tier 1"/>
    <x v="19"/>
    <x v="1"/>
    <s v="No"/>
    <s v="No"/>
    <n v="1"/>
    <s v="Yes"/>
    <n v="1"/>
    <n v="5.8"/>
    <n v="21.9"/>
    <s v="No"/>
    <s v="Good"/>
    <s v="Yes"/>
    <s v="Sales"/>
    <s v="Thursday"/>
    <s v="Morning"/>
  </r>
  <r>
    <x v="1003"/>
    <s v="2024-07-14 16:28:04"/>
    <x v="4"/>
    <s v="2024-07-22 02:52:04"/>
    <x v="875"/>
    <n v="8.4"/>
    <x v="7"/>
    <s v="MS Office"/>
    <s v="Medium"/>
    <n v="240"/>
    <x v="1"/>
    <s v="Phone"/>
    <s v="Tier 1"/>
    <x v="10"/>
    <x v="1"/>
    <s v="Yes"/>
    <s v="No"/>
    <n v="0"/>
    <s v="No"/>
    <n v="7"/>
    <n v="4.3"/>
    <n v="11.5"/>
    <s v="No"/>
    <s v="Good"/>
    <s v="No"/>
    <s v="Finance"/>
    <s v="Monday"/>
    <s v="Morning"/>
  </r>
  <r>
    <x v="1004"/>
    <s v="2024-12-20 20:40:02"/>
    <x v="0"/>
    <s v="2024-12-30 10:28:02"/>
    <x v="876"/>
    <n v="9.6"/>
    <x v="3"/>
    <s v="Email Password"/>
    <s v="Low"/>
    <n v="360"/>
    <x v="1"/>
    <s v="Phone"/>
    <s v="Tier 1"/>
    <x v="13"/>
    <x v="1"/>
    <s v="No"/>
    <s v="No"/>
    <n v="1"/>
    <s v="No"/>
    <n v="7"/>
    <n v="4.7"/>
    <n v="28"/>
    <s v="Yes"/>
    <s v="Good"/>
    <s v="Yes"/>
    <s v="HR"/>
    <s v="Monday"/>
    <s v="Afternoon"/>
  </r>
  <r>
    <x v="1005"/>
    <s v="2024-08-20 18:06:25"/>
    <x v="1"/>
    <s v="2024-09-04 12:48:25"/>
    <x v="877"/>
    <n v="14.8"/>
    <x v="2"/>
    <s v="VPN Connection"/>
    <s v="High"/>
    <n v="120"/>
    <x v="0"/>
    <s v="Email"/>
    <s v="Tier 1"/>
    <x v="20"/>
    <x v="2"/>
    <s v="No"/>
    <s v="No"/>
    <n v="1"/>
    <s v="No"/>
    <n v="5"/>
    <n v="1"/>
    <n v="42.8"/>
    <s v="No"/>
    <s v="Fair"/>
    <s v="No"/>
    <s v="Marketing"/>
    <s v="Monday"/>
    <s v="Morning"/>
  </r>
  <r>
    <x v="1006"/>
    <s v="2024-09-29 21:39:34"/>
    <x v="9"/>
    <s v="2024-10-12 11:03:34"/>
    <x v="878"/>
    <n v="12.6"/>
    <x v="3"/>
    <s v="Account Unlock"/>
    <s v="Low"/>
    <n v="360"/>
    <x v="1"/>
    <s v="Portal"/>
    <s v="Tier 1"/>
    <x v="11"/>
    <x v="0"/>
    <s v="Yes"/>
    <s v="No"/>
    <n v="0"/>
    <s v="No"/>
    <n v="8"/>
    <n v="1.7"/>
    <n v="0"/>
    <s v="Yes"/>
    <s v="Fair"/>
    <s v="Yes"/>
    <s v="Operations"/>
    <s v="Thursday"/>
    <s v="Morning"/>
  </r>
  <r>
    <x v="1007"/>
    <s v="2024-05-21 20:35:39"/>
    <x v="8"/>
    <s v="2024-05-29 07:47:39"/>
    <x v="247"/>
    <n v="7.5"/>
    <x v="7"/>
    <s v="Adobe Suite"/>
    <s v="Medium"/>
    <n v="240"/>
    <x v="1"/>
    <s v="Portal"/>
    <s v="Tier 1"/>
    <x v="22"/>
    <x v="2"/>
    <s v="Yes"/>
    <s v="No"/>
    <n v="0"/>
    <s v="No"/>
    <n v="8"/>
    <n v="2.5"/>
    <n v="2.2999999999999998"/>
    <s v="Yes"/>
    <s v="Good"/>
    <s v="Yes"/>
    <s v="IT"/>
    <s v="Friday"/>
    <s v="Evening"/>
  </r>
  <r>
    <x v="1008"/>
    <s v="2024-03-02 19:38:16"/>
    <x v="5"/>
    <s v="2024-03-06 19:02:16"/>
    <x v="879"/>
    <n v="4"/>
    <x v="5"/>
    <s v="Documentation"/>
    <s v="High"/>
    <n v="120"/>
    <x v="1"/>
    <s v="Email"/>
    <s v="Tier 2"/>
    <x v="1"/>
    <x v="2"/>
    <s v="No"/>
    <s v="Yes"/>
    <n v="3"/>
    <s v="Yes"/>
    <n v="7"/>
    <n v="5"/>
    <n v="18"/>
    <s v="Yes"/>
    <s v="Fair"/>
    <s v="No"/>
    <s v="Finance"/>
    <s v="Wednesday"/>
    <s v="Afternoon"/>
  </r>
  <r>
    <x v="1009"/>
    <s v="2024-04-06 03:40:38"/>
    <x v="11"/>
    <s v="2024-04-13 14:46:38"/>
    <x v="880"/>
    <n v="7.5"/>
    <x v="3"/>
    <s v="Windows Password"/>
    <s v="Medium"/>
    <n v="240"/>
    <x v="1"/>
    <s v="Email"/>
    <s v="Tier 1"/>
    <x v="21"/>
    <x v="2"/>
    <s v="Yes"/>
    <s v="No"/>
    <n v="0"/>
    <s v="No"/>
    <n v="10"/>
    <n v="5.4"/>
    <n v="14.8"/>
    <s v="No"/>
    <s v="Poor"/>
    <s v="Yes"/>
    <s v="Sales"/>
    <s v="Wednesday"/>
    <s v="Morning"/>
  </r>
  <r>
    <x v="1010"/>
    <s v="2024-06-01 14:56:20"/>
    <x v="10"/>
    <s v="2024-06-08 00:38:20"/>
    <x v="881"/>
    <n v="7.4"/>
    <x v="2"/>
    <s v="Slow Network"/>
    <s v="Medium"/>
    <n v="240"/>
    <x v="1"/>
    <s v="Email"/>
    <s v="Tier 2"/>
    <x v="10"/>
    <x v="2"/>
    <s v="No"/>
    <s v="Yes"/>
    <n v="3"/>
    <s v="No"/>
    <n v="8"/>
    <n v="0.3"/>
    <n v="0"/>
    <s v="No"/>
    <s v="Fair"/>
    <s v="Yes"/>
    <s v="IT"/>
    <s v="Friday"/>
    <s v="Evening"/>
  </r>
  <r>
    <x v="1011"/>
    <s v="2024-11-29 20:08:33"/>
    <x v="7"/>
    <s v="2024-12-03 09:02:33"/>
    <x v="882"/>
    <n v="3.5"/>
    <x v="1"/>
    <s v="Printer"/>
    <s v="High"/>
    <n v="120"/>
    <x v="1"/>
    <s v="Phone"/>
    <s v="Tier 2"/>
    <x v="4"/>
    <x v="1"/>
    <s v="No"/>
    <s v="Yes"/>
    <n v="2"/>
    <s v="No"/>
    <n v="7"/>
    <n v="1.3"/>
    <n v="1.7"/>
    <s v="No"/>
    <s v="Fair"/>
    <s v="No"/>
    <s v="Finance"/>
    <s v="Wednesday"/>
    <s v="Morning"/>
  </r>
  <r>
    <x v="1012"/>
    <s v="2024-11-30 10:50:24"/>
    <x v="7"/>
    <s v="2024-12-05 11:38:24"/>
    <x v="883"/>
    <n v="5"/>
    <x v="1"/>
    <s v="Keyboard/Mouse"/>
    <s v="High"/>
    <n v="120"/>
    <x v="0"/>
    <s v="Phone"/>
    <s v="Tier 2"/>
    <x v="16"/>
    <x v="1"/>
    <s v="No"/>
    <s v="Yes"/>
    <n v="1"/>
    <s v="Yes"/>
    <n v="2"/>
    <n v="3.7"/>
    <n v="2.8"/>
    <s v="No"/>
    <s v="Good"/>
    <s v="Yes"/>
    <s v="Legal"/>
    <s v="Wednesday"/>
    <s v="Evening"/>
  </r>
  <r>
    <x v="1013"/>
    <s v="2024-09-29 14:17:44"/>
    <x v="9"/>
    <s v="2024-10-14 13:59:44"/>
    <x v="884"/>
    <n v="15"/>
    <x v="3"/>
    <s v="Email Password"/>
    <s v="Medium"/>
    <n v="240"/>
    <x v="0"/>
    <s v="Email"/>
    <s v="Tier 1"/>
    <x v="13"/>
    <x v="0"/>
    <s v="Yes"/>
    <s v="No"/>
    <n v="0"/>
    <s v="No"/>
    <n v="7"/>
    <n v="6.4"/>
    <n v="29.7"/>
    <s v="Yes"/>
    <s v="Fair"/>
    <s v="No"/>
    <s v="Finance"/>
    <s v="Wednesday"/>
    <s v="Morning"/>
  </r>
  <r>
    <x v="1014"/>
    <s v="2024-06-19 13:58:21"/>
    <x v="10"/>
    <s v="2024-07-04 13:28:21"/>
    <x v="885"/>
    <n v="15"/>
    <x v="4"/>
    <s v="Features Not Working"/>
    <s v="High"/>
    <n v="120"/>
    <x v="0"/>
    <s v="Email"/>
    <s v="Tier 2"/>
    <x v="21"/>
    <x v="1"/>
    <s v="No"/>
    <s v="Yes"/>
    <n v="4"/>
    <s v="No"/>
    <n v="6"/>
    <n v="3"/>
    <n v="21.2"/>
    <s v="Yes"/>
    <s v="Excellent"/>
    <s v="No"/>
    <s v="HR"/>
    <s v="Tuesday"/>
    <s v="Morning"/>
  </r>
  <r>
    <x v="1015"/>
    <s v="2024-09-28 22:29:51"/>
    <x v="9"/>
    <s v="2024-10-10 18:53:51"/>
    <x v="886"/>
    <n v="11.9"/>
    <x v="6"/>
    <s v="Calendar Sync"/>
    <s v="Low"/>
    <n v="360"/>
    <x v="1"/>
    <s v="Email"/>
    <s v="Tier 1"/>
    <x v="12"/>
    <x v="2"/>
    <s v="No"/>
    <s v="No"/>
    <n v="1"/>
    <s v="Yes"/>
    <n v="8"/>
    <n v="0.1"/>
    <n v="38.700000000000003"/>
    <s v="Yes"/>
    <s v="Poor"/>
    <s v="Yes"/>
    <s v="Finance"/>
    <s v="Monday"/>
    <s v="Morning"/>
  </r>
  <r>
    <x v="1016"/>
    <s v="2024-06-20 12:26:21"/>
    <x v="10"/>
    <s v="2024-06-23 02:26:21"/>
    <x v="887"/>
    <n v="3.6"/>
    <x v="1"/>
    <s v="Docking Station"/>
    <s v="High"/>
    <n v="120"/>
    <x v="1"/>
    <s v="Email"/>
    <s v="Tier 1"/>
    <x v="13"/>
    <x v="1"/>
    <s v="No"/>
    <s v="No"/>
    <n v="1"/>
    <s v="No"/>
    <n v="9"/>
    <n v="6.2"/>
    <n v="18.5"/>
    <s v="Yes"/>
    <s v="Good"/>
    <s v="No"/>
    <s v="Operations"/>
    <s v="Tuesday"/>
    <s v="Evening"/>
  </r>
  <r>
    <x v="1017"/>
    <s v="2024-06-01 14:37:03"/>
    <x v="10"/>
    <s v="2024-06-23 10:31:03"/>
    <x v="888"/>
    <n v="21.8"/>
    <x v="3"/>
    <s v="Application Password"/>
    <s v="Low"/>
    <n v="360"/>
    <x v="0"/>
    <s v="Portal"/>
    <s v="Tier 1"/>
    <x v="17"/>
    <x v="2"/>
    <s v="Yes"/>
    <s v="No"/>
    <n v="0"/>
    <s v="No"/>
    <n v="9"/>
    <n v="0.1"/>
    <n v="3.5"/>
    <s v="No"/>
    <s v="Fair"/>
    <s v="Yes"/>
    <s v="IT"/>
    <s v="Thursday"/>
    <s v="Morning"/>
  </r>
  <r>
    <x v="1018"/>
    <s v="2024-09-23 15:21:59"/>
    <x v="9"/>
    <s v="2024-09-27 01:39:59"/>
    <x v="790"/>
    <n v="4.4000000000000004"/>
    <x v="6"/>
    <s v="Mailbox Full"/>
    <s v="High"/>
    <n v="120"/>
    <x v="1"/>
    <s v="Portal"/>
    <s v="Tier 1"/>
    <x v="3"/>
    <x v="0"/>
    <s v="No"/>
    <s v="No"/>
    <n v="1"/>
    <s v="No"/>
    <n v="6"/>
    <n v="2.1"/>
    <n v="26.9"/>
    <s v="Yes"/>
    <s v="Good"/>
    <s v="No"/>
    <s v="IT"/>
    <s v="Friday"/>
    <s v="Afternoon"/>
  </r>
  <r>
    <x v="1019"/>
    <s v="2024-06-07 21:48:29"/>
    <x v="10"/>
    <s v="2024-06-27 08:48:29"/>
    <x v="889"/>
    <n v="19.5"/>
    <x v="0"/>
    <s v="Application Access"/>
    <s v="Medium"/>
    <n v="240"/>
    <x v="0"/>
    <s v="Email"/>
    <s v="Tier 1"/>
    <x v="21"/>
    <x v="2"/>
    <s v="No"/>
    <s v="No"/>
    <n v="1"/>
    <s v="No"/>
    <n v="4"/>
    <n v="1.3"/>
    <n v="5.5"/>
    <s v="Yes"/>
    <s v="Good"/>
    <s v="Yes"/>
    <s v="Sales"/>
    <s v="Wednesday"/>
    <s v="Afternoon"/>
  </r>
  <r>
    <x v="1020"/>
    <s v="2024-11-04 00:40:14"/>
    <x v="7"/>
    <s v="2024-11-14 04:22:14"/>
    <x v="890"/>
    <n v="9.1999999999999993"/>
    <x v="0"/>
    <s v="VPN Access"/>
    <s v="Medium"/>
    <n v="240"/>
    <x v="1"/>
    <s v="Phone"/>
    <s v="Tier 1"/>
    <x v="3"/>
    <x v="1"/>
    <s v="Yes"/>
    <s v="No"/>
    <n v="0"/>
    <s v="No"/>
    <n v="6"/>
    <n v="5.7"/>
    <n v="21.7"/>
    <s v="Yes"/>
    <s v="Excellent"/>
    <s v="No"/>
    <s v="Finance"/>
    <s v="Thursday"/>
    <s v="Evening"/>
  </r>
  <r>
    <x v="1021"/>
    <s v="2024-06-16 18:45:24"/>
    <x v="10"/>
    <s v="2024-06-28 07:39:24"/>
    <x v="406"/>
    <n v="11.5"/>
    <x v="5"/>
    <s v="Miscellaneous"/>
    <s v="Low"/>
    <n v="360"/>
    <x v="1"/>
    <s v="Phone"/>
    <s v="Tier 1"/>
    <x v="7"/>
    <x v="1"/>
    <s v="No"/>
    <s v="No"/>
    <n v="1"/>
    <s v="No"/>
    <n v="9"/>
    <n v="2.2999999999999998"/>
    <n v="30.2"/>
    <s v="Yes"/>
    <s v="Fair"/>
    <s v="Yes"/>
    <s v="Executive"/>
    <s v="Friday"/>
    <s v="Evening"/>
  </r>
  <r>
    <x v="1022"/>
    <s v="2024-01-10 09:06:43"/>
    <x v="3"/>
    <s v="2024-01-20 21:18:43"/>
    <x v="891"/>
    <n v="10.5"/>
    <x v="7"/>
    <s v="Adobe Suite"/>
    <s v="Medium"/>
    <n v="240"/>
    <x v="0"/>
    <s v="Phone"/>
    <s v="Tier 1"/>
    <x v="1"/>
    <x v="2"/>
    <s v="No"/>
    <s v="No"/>
    <n v="1"/>
    <s v="Yes"/>
    <n v="5"/>
    <n v="1.7"/>
    <n v="42.2"/>
    <s v="No"/>
    <s v="Poor"/>
    <s v="No"/>
    <s v="Marketing"/>
    <s v="Tuesday"/>
    <s v="Morning"/>
  </r>
  <r>
    <x v="1023"/>
    <s v="2024-02-23 01:11:38"/>
    <x v="6"/>
    <s v="2024-03-03 01:29:38"/>
    <x v="892"/>
    <n v="9"/>
    <x v="6"/>
    <s v="Mailbox Full"/>
    <s v="Medium"/>
    <n v="240"/>
    <x v="1"/>
    <s v="Phone"/>
    <s v="Tier 1"/>
    <x v="20"/>
    <x v="0"/>
    <s v="Yes"/>
    <s v="No"/>
    <n v="0"/>
    <s v="No"/>
    <n v="10"/>
    <n v="0.1"/>
    <n v="2"/>
    <s v="Yes"/>
    <s v="Good"/>
    <s v="No"/>
    <s v="IT"/>
    <s v="Thursday"/>
    <s v="Afternoon"/>
  </r>
  <r>
    <x v="1024"/>
    <s v="2024-02-28 05:24:14"/>
    <x v="6"/>
    <s v="2024-03-07 16:24:14"/>
    <x v="893"/>
    <n v="8.5"/>
    <x v="4"/>
    <s v="Crash"/>
    <s v="High"/>
    <n v="120"/>
    <x v="0"/>
    <s v="Portal"/>
    <s v="Tier 2"/>
    <x v="9"/>
    <x v="2"/>
    <s v="No"/>
    <s v="Yes"/>
    <n v="1"/>
    <s v="No"/>
    <n v="7"/>
    <n v="1.2"/>
    <n v="4.0999999999999996"/>
    <s v="Yes"/>
    <s v="Good"/>
    <s v="Yes"/>
    <s v="HR"/>
    <s v="Friday"/>
    <s v="Morning"/>
  </r>
  <r>
    <x v="1025"/>
    <s v="2024-07-01 06:16:57"/>
    <x v="4"/>
    <s v="2024-07-10 10:22:57"/>
    <x v="894"/>
    <n v="9.1999999999999993"/>
    <x v="6"/>
    <s v="Calendar Sync"/>
    <s v="Low"/>
    <n v="360"/>
    <x v="1"/>
    <s v="Phone"/>
    <s v="Tier 1"/>
    <x v="14"/>
    <x v="2"/>
    <s v="No"/>
    <s v="No"/>
    <n v="1"/>
    <s v="No"/>
    <n v="8"/>
    <n v="2.6"/>
    <n v="35.700000000000003"/>
    <s v="Yes"/>
    <s v="Good"/>
    <s v="Yes"/>
    <s v="IT"/>
    <s v="Tuesday"/>
    <s v="Afternoon"/>
  </r>
  <r>
    <x v="1026"/>
    <s v="2024-05-07 00:21:26"/>
    <x v="8"/>
    <s v="2024-05-12 05:33:26"/>
    <x v="895"/>
    <n v="4.2"/>
    <x v="4"/>
    <s v="Crash"/>
    <s v="High"/>
    <n v="120"/>
    <x v="1"/>
    <s v="Walk-in"/>
    <s v="Tier 2"/>
    <x v="2"/>
    <x v="0"/>
    <s v="No"/>
    <s v="Yes"/>
    <n v="1"/>
    <s v="No"/>
    <n v="10"/>
    <n v="3.9"/>
    <n v="44.2"/>
    <s v="Yes"/>
    <s v="Poor"/>
    <s v="No"/>
    <s v="Finance"/>
    <s v="Friday"/>
    <s v="Morning"/>
  </r>
  <r>
    <x v="1027"/>
    <s v="2024-08-08 08:55:06"/>
    <x v="1"/>
    <s v="2024-08-15 05:43:06"/>
    <x v="896"/>
    <n v="6.9"/>
    <x v="6"/>
    <s v="Cannot Send/Receive"/>
    <s v="Medium"/>
    <n v="240"/>
    <x v="1"/>
    <s v="Phone"/>
    <s v="Tier 1"/>
    <x v="24"/>
    <x v="2"/>
    <s v="Yes"/>
    <s v="No"/>
    <n v="0"/>
    <s v="Yes"/>
    <n v="9"/>
    <n v="0.1"/>
    <n v="8.1999999999999993"/>
    <s v="Yes"/>
    <s v="Fair"/>
    <s v="No"/>
    <s v="Executive"/>
    <s v="Monday"/>
    <s v="Morning"/>
  </r>
  <r>
    <x v="1028"/>
    <s v="2024-02-20 00:02:05"/>
    <x v="6"/>
    <s v="2024-02-29 09:14:05"/>
    <x v="591"/>
    <n v="8.4"/>
    <x v="3"/>
    <s v="Windows Password"/>
    <s v="Medium"/>
    <n v="240"/>
    <x v="1"/>
    <s v="Email"/>
    <s v="Tier 1"/>
    <x v="20"/>
    <x v="0"/>
    <s v="Yes"/>
    <s v="No"/>
    <n v="0"/>
    <s v="No"/>
    <n v="9"/>
    <n v="2.1"/>
    <n v="0.2"/>
    <s v="No"/>
    <s v="Fair"/>
    <s v="Yes"/>
    <s v="Sales"/>
    <s v="Tuesday"/>
    <s v="Afternoon"/>
  </r>
  <r>
    <x v="1029"/>
    <s v="2024-09-18 21:16:35"/>
    <x v="9"/>
    <s v="2024-09-23 07:46:35"/>
    <x v="897"/>
    <n v="4.4000000000000004"/>
    <x v="1"/>
    <s v="Printer"/>
    <s v="High"/>
    <n v="120"/>
    <x v="1"/>
    <s v="Email"/>
    <s v="Tier 2"/>
    <x v="3"/>
    <x v="0"/>
    <s v="No"/>
    <s v="Yes"/>
    <n v="2"/>
    <s v="No"/>
    <n v="10"/>
    <n v="2.9"/>
    <n v="16.2"/>
    <s v="No"/>
    <s v="Fair"/>
    <s v="Yes"/>
    <s v="IT"/>
    <s v="Monday"/>
    <s v="Morning"/>
  </r>
  <r>
    <x v="1030"/>
    <s v="2024-12-19 10:31:38"/>
    <x v="0"/>
    <s v="2024-12-30 16:31:38"/>
    <x v="898"/>
    <n v="11.3"/>
    <x v="0"/>
    <s v="VPN Access"/>
    <s v="Medium"/>
    <n v="240"/>
    <x v="0"/>
    <s v="Phone"/>
    <s v="Tier 1"/>
    <x v="21"/>
    <x v="1"/>
    <s v="Yes"/>
    <s v="No"/>
    <n v="0"/>
    <s v="No"/>
    <n v="5"/>
    <n v="1.1000000000000001"/>
    <n v="4.7"/>
    <s v="Yes"/>
    <s v="Excellent"/>
    <s v="No"/>
    <s v="Executive"/>
    <s v="Thursday"/>
    <s v="Morning"/>
  </r>
  <r>
    <x v="1031"/>
    <s v="2024-04-22 09:41:39"/>
    <x v="11"/>
    <s v="2024-05-01 17:41:39"/>
    <x v="387"/>
    <n v="9.3000000000000007"/>
    <x v="4"/>
    <s v="Features Not Working"/>
    <s v="Medium"/>
    <n v="240"/>
    <x v="1"/>
    <s v="Phone"/>
    <s v="Tier 1"/>
    <x v="24"/>
    <x v="1"/>
    <s v="No"/>
    <s v="No"/>
    <n v="1"/>
    <s v="No"/>
    <n v="7"/>
    <n v="4.8"/>
    <n v="0"/>
    <s v="Yes"/>
    <s v="Good"/>
    <s v="Yes"/>
    <s v="Marketing"/>
    <s v="Tuesday"/>
    <s v="Evening"/>
  </r>
  <r>
    <x v="1032"/>
    <s v="2024-03-16 08:28:36"/>
    <x v="5"/>
    <s v="2024-03-25 10:40:36"/>
    <x v="899"/>
    <n v="9.1"/>
    <x v="4"/>
    <s v="Features Not Working"/>
    <s v="Medium"/>
    <n v="240"/>
    <x v="1"/>
    <s v="Portal"/>
    <s v="Tier 2"/>
    <x v="21"/>
    <x v="1"/>
    <s v="No"/>
    <s v="Yes"/>
    <n v="3"/>
    <s v="Yes"/>
    <n v="9"/>
    <n v="0.8"/>
    <n v="14.9"/>
    <s v="Yes"/>
    <s v="Poor"/>
    <s v="Yes"/>
    <s v="HR"/>
    <s v="Friday"/>
    <s v="Afternoon"/>
  </r>
  <r>
    <x v="1033"/>
    <s v="2024-01-26 06:41:37"/>
    <x v="3"/>
    <s v="2024-01-30 02:47:37"/>
    <x v="900"/>
    <n v="3.8"/>
    <x v="1"/>
    <s v="Monitor"/>
    <s v="High"/>
    <n v="120"/>
    <x v="1"/>
    <s v="Walk-in"/>
    <s v="Tier 1"/>
    <x v="17"/>
    <x v="2"/>
    <s v="Yes"/>
    <s v="No"/>
    <n v="0"/>
    <s v="No"/>
    <n v="9"/>
    <n v="1.6"/>
    <n v="12.6"/>
    <s v="Yes"/>
    <s v="Poor"/>
    <s v="No"/>
    <s v="Operations"/>
    <s v="Monday"/>
    <s v="Morning"/>
  </r>
  <r>
    <x v="1034"/>
    <s v="2024-01-10 05:29:00"/>
    <x v="3"/>
    <s v="2024-01-24 08:41:00"/>
    <x v="901"/>
    <n v="14.1"/>
    <x v="1"/>
    <s v="Laptop"/>
    <s v="Medium"/>
    <n v="240"/>
    <x v="0"/>
    <s v="Phone"/>
    <s v="Tier 2"/>
    <x v="24"/>
    <x v="0"/>
    <s v="No"/>
    <s v="Yes"/>
    <n v="1"/>
    <s v="Yes"/>
    <n v="6"/>
    <n v="1.5"/>
    <n v="6.2"/>
    <s v="No"/>
    <s v="Fair"/>
    <s v="No"/>
    <s v="IT"/>
    <s v="Tuesday"/>
    <s v="Morning"/>
  </r>
  <r>
    <x v="1035"/>
    <s v="2024-11-06 16:13:00"/>
    <x v="7"/>
    <s v="2024-11-17 18:25:00"/>
    <x v="902"/>
    <n v="11.1"/>
    <x v="3"/>
    <s v="Windows Password"/>
    <s v="Low"/>
    <n v="360"/>
    <x v="1"/>
    <s v="Walk-in"/>
    <s v="Tier 1"/>
    <x v="18"/>
    <x v="1"/>
    <s v="Yes"/>
    <s v="No"/>
    <n v="0"/>
    <s v="No"/>
    <n v="8"/>
    <n v="1.5"/>
    <n v="15.2"/>
    <s v="Yes"/>
    <s v="Fair"/>
    <s v="Yes"/>
    <s v="Finance"/>
    <s v="Monday"/>
    <s v="Afternoon"/>
  </r>
  <r>
    <x v="1036"/>
    <s v="2024-05-20 11:49:41"/>
    <x v="8"/>
    <s v="2024-06-28 03:19:41"/>
    <x v="903"/>
    <n v="38.6"/>
    <x v="5"/>
    <s v="General Inquiry"/>
    <s v="Low"/>
    <n v="360"/>
    <x v="0"/>
    <s v="Email"/>
    <s v="Tier 2"/>
    <x v="6"/>
    <x v="2"/>
    <s v="No"/>
    <s v="Yes"/>
    <n v="3"/>
    <s v="No"/>
    <n v="7"/>
    <n v="4.7"/>
    <n v="4.7"/>
    <s v="No"/>
    <s v="Fair"/>
    <s v="No"/>
    <s v="Executive"/>
    <s v="Friday"/>
    <s v="Afternoon"/>
  </r>
  <r>
    <x v="1037"/>
    <s v="2024-04-11 19:54:57"/>
    <x v="11"/>
    <s v="2024-04-17 01:36:57"/>
    <x v="904"/>
    <n v="6.2"/>
    <x v="7"/>
    <s v="Business Apps"/>
    <s v="Medium"/>
    <n v="240"/>
    <x v="1"/>
    <s v="Email"/>
    <s v="Tier 1"/>
    <x v="6"/>
    <x v="0"/>
    <s v="No"/>
    <s v="No"/>
    <n v="1"/>
    <s v="No"/>
    <n v="8"/>
    <n v="2.5"/>
    <n v="29"/>
    <s v="No"/>
    <s v="Fair"/>
    <s v="Yes"/>
    <s v="HR"/>
    <s v="Wednesday"/>
    <s v="Morning"/>
  </r>
  <r>
    <x v="1038"/>
    <s v="2024-05-30 03:36:21"/>
    <x v="8"/>
    <s v="2024-07-09 16:48:21"/>
    <x v="905"/>
    <n v="40.6"/>
    <x v="6"/>
    <s v="Mailbox Full"/>
    <s v="Low"/>
    <n v="360"/>
    <x v="0"/>
    <s v="Phone"/>
    <s v="Tier 2"/>
    <x v="8"/>
    <x v="2"/>
    <s v="No"/>
    <s v="Yes"/>
    <n v="2"/>
    <s v="No"/>
    <n v="6"/>
    <n v="4.5"/>
    <n v="23.2"/>
    <s v="Yes"/>
    <s v="Good"/>
    <s v="No"/>
    <s v="Executive"/>
    <s v="Tuesday"/>
    <s v="Morning"/>
  </r>
  <r>
    <x v="1039"/>
    <s v="2024-04-25 15:24:33"/>
    <x v="11"/>
    <s v="2024-04-28 02:24:33"/>
    <x v="906"/>
    <n v="3.5"/>
    <x v="3"/>
    <s v="Account Unlock"/>
    <s v="High"/>
    <n v="120"/>
    <x v="1"/>
    <s v="Phone"/>
    <s v="Tier 1"/>
    <x v="11"/>
    <x v="2"/>
    <s v="No"/>
    <s v="No"/>
    <n v="1"/>
    <s v="No"/>
    <n v="9"/>
    <n v="2.8"/>
    <n v="13.5"/>
    <s v="Yes"/>
    <s v="Good"/>
    <s v="No"/>
    <s v="Executive"/>
    <s v="Thursday"/>
    <s v="Morning"/>
  </r>
  <r>
    <x v="1040"/>
    <s v="2024-02-07 12:20:12"/>
    <x v="6"/>
    <s v="2024-02-16 15:50:12"/>
    <x v="907"/>
    <n v="9.1"/>
    <x v="6"/>
    <s v="Cannot Send/Receive"/>
    <s v="Medium"/>
    <n v="240"/>
    <x v="1"/>
    <s v="Walk-in"/>
    <s v="Tier 1"/>
    <x v="18"/>
    <x v="1"/>
    <s v="Yes"/>
    <s v="No"/>
    <n v="0"/>
    <s v="No"/>
    <n v="8"/>
    <n v="2.4"/>
    <n v="2.6"/>
    <s v="Yes"/>
    <s v="Fair"/>
    <s v="Yes"/>
    <s v="Sales"/>
    <s v="Friday"/>
    <s v="Evening"/>
  </r>
  <r>
    <x v="1041"/>
    <s v="2024-12-02 17:47:22"/>
    <x v="0"/>
    <s v="2024-12-15 02:17:22"/>
    <x v="908"/>
    <n v="12.4"/>
    <x v="3"/>
    <s v="Account Unlock"/>
    <s v="Low"/>
    <n v="360"/>
    <x v="1"/>
    <s v="Phone"/>
    <s v="Tier 1"/>
    <x v="14"/>
    <x v="0"/>
    <s v="No"/>
    <s v="No"/>
    <n v="1"/>
    <s v="No"/>
    <n v="10"/>
    <n v="0.4"/>
    <n v="8.1"/>
    <s v="Yes"/>
    <s v="Poor"/>
    <s v="Yes"/>
    <s v="Executive"/>
    <s v="Monday"/>
    <s v="Afternoon"/>
  </r>
  <r>
    <x v="1042"/>
    <s v="2024-02-17 16:43:23"/>
    <x v="6"/>
    <s v="2024-02-28 15:25:23"/>
    <x v="909"/>
    <n v="10.9"/>
    <x v="5"/>
    <s v="Miscellaneous"/>
    <s v="Medium"/>
    <n v="240"/>
    <x v="0"/>
    <s v="Portal"/>
    <s v="Tier 1"/>
    <x v="0"/>
    <x v="2"/>
    <s v="No"/>
    <s v="No"/>
    <n v="1"/>
    <s v="Yes"/>
    <n v="7"/>
    <n v="3.6"/>
    <n v="14.1"/>
    <s v="Yes"/>
    <s v="Fair"/>
    <s v="Yes"/>
    <s v="Finance"/>
    <s v="Monday"/>
    <s v="Morning"/>
  </r>
  <r>
    <x v="1043"/>
    <s v="2024-11-11 14:29:43"/>
    <x v="7"/>
    <s v="2024-11-12 20:23:43"/>
    <x v="910"/>
    <n v="1.2"/>
    <x v="2"/>
    <s v="Ethernet"/>
    <s v="Critical"/>
    <n v="48"/>
    <x v="1"/>
    <s v="Phone"/>
    <s v="Tier 1"/>
    <x v="17"/>
    <x v="1"/>
    <s v="No"/>
    <s v="No"/>
    <n v="1"/>
    <s v="No"/>
    <n v="10"/>
    <n v="3.8"/>
    <n v="9.1999999999999993"/>
    <s v="Yes"/>
    <s v="Good"/>
    <s v="No"/>
    <s v="Sales"/>
    <s v="Friday"/>
    <s v="Morning"/>
  </r>
  <r>
    <x v="1044"/>
    <s v="2024-06-23 14:44:13"/>
    <x v="10"/>
    <s v="2024-07-07 04:32:13"/>
    <x v="619"/>
    <n v="13.6"/>
    <x v="2"/>
    <s v="VPN Connection"/>
    <s v="High"/>
    <n v="120"/>
    <x v="0"/>
    <s v="Portal"/>
    <s v="Tier 1"/>
    <x v="15"/>
    <x v="0"/>
    <s v="No"/>
    <s v="No"/>
    <n v="1"/>
    <s v="No"/>
    <n v="4"/>
    <n v="3.4"/>
    <n v="18.600000000000001"/>
    <s v="Yes"/>
    <s v="Excellent"/>
    <s v="No"/>
    <s v="HR"/>
    <s v="Monday"/>
    <s v="Morning"/>
  </r>
  <r>
    <x v="1045"/>
    <s v="2024-05-25 04:09:15"/>
    <x v="8"/>
    <s v="2024-06-04 04:45:15"/>
    <x v="911"/>
    <n v="10"/>
    <x v="3"/>
    <s v="Application Password"/>
    <s v="Low"/>
    <n v="360"/>
    <x v="1"/>
    <s v="Email"/>
    <s v="Tier 1"/>
    <x v="9"/>
    <x v="2"/>
    <s v="No"/>
    <s v="No"/>
    <n v="1"/>
    <s v="No"/>
    <n v="8"/>
    <n v="3.5"/>
    <n v="49.9"/>
    <s v="Yes"/>
    <s v="Good"/>
    <s v="No"/>
    <s v="Legal"/>
    <s v="Wednesday"/>
    <s v="Evening"/>
  </r>
  <r>
    <x v="1046"/>
    <s v="2024-09-12 14:58:02"/>
    <x v="9"/>
    <s v="2024-09-21 23:34:02"/>
    <x v="912"/>
    <n v="9.4"/>
    <x v="0"/>
    <s v="Application Access"/>
    <s v="Medium"/>
    <n v="240"/>
    <x v="1"/>
    <s v="Portal"/>
    <s v="Tier 1"/>
    <x v="15"/>
    <x v="0"/>
    <s v="Yes"/>
    <s v="No"/>
    <n v="0"/>
    <s v="No"/>
    <n v="10"/>
    <n v="0.1"/>
    <n v="16.399999999999999"/>
    <s v="No"/>
    <s v="Poor"/>
    <s v="Yes"/>
    <s v="Operations"/>
    <s v="Thursday"/>
    <s v="Morning"/>
  </r>
  <r>
    <x v="1047"/>
    <s v="2024-08-26 03:51:23"/>
    <x v="1"/>
    <s v="2024-09-16 00:57:23"/>
    <x v="913"/>
    <n v="21.9"/>
    <x v="0"/>
    <s v="File Share"/>
    <s v="Medium"/>
    <n v="240"/>
    <x v="0"/>
    <s v="Phone"/>
    <s v="Tier 1"/>
    <x v="10"/>
    <x v="2"/>
    <s v="No"/>
    <s v="No"/>
    <n v="1"/>
    <s v="No"/>
    <n v="4"/>
    <n v="2"/>
    <n v="1.2"/>
    <s v="Yes"/>
    <s v="Fair"/>
    <s v="Yes"/>
    <s v="Legal"/>
    <s v="Friday"/>
    <s v="Afternoon"/>
  </r>
  <r>
    <x v="1048"/>
    <s v="2024-10-25 22:41:27"/>
    <x v="2"/>
    <s v="2024-11-07 22:41:27"/>
    <x v="914"/>
    <n v="13"/>
    <x v="3"/>
    <s v="Application Password"/>
    <s v="Low"/>
    <n v="360"/>
    <x v="1"/>
    <s v="Portal"/>
    <s v="Tier 1"/>
    <x v="5"/>
    <x v="2"/>
    <s v="Yes"/>
    <s v="No"/>
    <n v="0"/>
    <s v="No"/>
    <n v="10"/>
    <n v="2.2000000000000002"/>
    <n v="22.3"/>
    <s v="Yes"/>
    <s v="Fair"/>
    <s v="Yes"/>
    <s v="Legal"/>
    <s v="Wednesday"/>
    <s v="Morning"/>
  </r>
  <r>
    <x v="1049"/>
    <s v="2024-10-06 03:35:56"/>
    <x v="2"/>
    <s v="2024-10-17 22:05:56"/>
    <x v="915"/>
    <n v="11.8"/>
    <x v="3"/>
    <s v="Email Password"/>
    <s v="Low"/>
    <n v="360"/>
    <x v="1"/>
    <s v="Walk-in"/>
    <s v="Tier 1"/>
    <x v="1"/>
    <x v="2"/>
    <s v="No"/>
    <s v="No"/>
    <n v="1"/>
    <s v="No"/>
    <n v="7"/>
    <n v="0.8"/>
    <n v="0"/>
    <s v="Yes"/>
    <s v="Excellent"/>
    <s v="Yes"/>
    <s v="Marketing"/>
    <s v="Friday"/>
    <s v="Evening"/>
  </r>
  <r>
    <x v="1050"/>
    <s v="2024-12-01 20:21:34"/>
    <x v="0"/>
    <s v="2024-12-11 07:03:34"/>
    <x v="916"/>
    <n v="9.4"/>
    <x v="7"/>
    <s v="Adobe Suite"/>
    <s v="Medium"/>
    <n v="240"/>
    <x v="1"/>
    <s v="Email"/>
    <s v="Tier 2"/>
    <x v="11"/>
    <x v="1"/>
    <s v="No"/>
    <s v="Yes"/>
    <n v="3"/>
    <s v="Yes"/>
    <n v="7"/>
    <n v="3.1"/>
    <n v="21"/>
    <s v="Yes"/>
    <s v="Excellent"/>
    <s v="Yes"/>
    <s v="IT"/>
    <s v="Thursday"/>
    <s v="Afternoon"/>
  </r>
  <r>
    <x v="1051"/>
    <s v="2024-11-09 22:01:15"/>
    <x v="7"/>
    <s v="2024-11-16 23:13:15"/>
    <x v="917"/>
    <n v="7.1"/>
    <x v="1"/>
    <s v="Printer"/>
    <s v="High"/>
    <n v="120"/>
    <x v="0"/>
    <s v="Phone"/>
    <s v="Tier 1"/>
    <x v="20"/>
    <x v="1"/>
    <s v="No"/>
    <s v="No"/>
    <n v="1"/>
    <s v="No"/>
    <n v="4"/>
    <n v="3.8"/>
    <n v="18.3"/>
    <s v="No"/>
    <s v="Excellent"/>
    <s v="No"/>
    <s v="HR"/>
    <s v="Wednesday"/>
    <s v="Morning"/>
  </r>
  <r>
    <x v="1052"/>
    <s v="2024-09-17 01:20:48"/>
    <x v="9"/>
    <s v="2024-09-29 14:38:48"/>
    <x v="918"/>
    <n v="11.6"/>
    <x v="7"/>
    <s v="Business Apps"/>
    <s v="Medium"/>
    <n v="240"/>
    <x v="0"/>
    <s v="Email"/>
    <s v="Tier 1"/>
    <x v="5"/>
    <x v="2"/>
    <s v="No"/>
    <s v="No"/>
    <n v="1"/>
    <s v="No"/>
    <n v="6"/>
    <n v="2.6"/>
    <n v="14.8"/>
    <s v="Yes"/>
    <s v="Fair"/>
    <s v="Yes"/>
    <s v="Operations"/>
    <s v="Thursday"/>
    <s v="Morning"/>
  </r>
  <r>
    <x v="1053"/>
    <s v="2024-10-16 17:29:20"/>
    <x v="2"/>
    <s v="2024-10-29 03:23:20"/>
    <x v="919"/>
    <n v="12.5"/>
    <x v="7"/>
    <s v="Business Apps"/>
    <s v="Low"/>
    <n v="360"/>
    <x v="1"/>
    <s v="Phone"/>
    <s v="Tier 1"/>
    <x v="19"/>
    <x v="1"/>
    <s v="No"/>
    <s v="No"/>
    <n v="1"/>
    <s v="No"/>
    <n v="10"/>
    <n v="2.1"/>
    <n v="27.4"/>
    <s v="Yes"/>
    <s v="Fair"/>
    <s v="Yes"/>
    <s v="Executive"/>
    <s v="Monday"/>
    <s v="Morning"/>
  </r>
  <r>
    <x v="1054"/>
    <s v="2024-08-09 02:34:48"/>
    <x v="1"/>
    <s v="2024-08-13 12:16:48"/>
    <x v="920"/>
    <n v="3.4"/>
    <x v="4"/>
    <s v="Performance"/>
    <s v="High"/>
    <n v="120"/>
    <x v="1"/>
    <s v="Phone"/>
    <s v="Tier 2"/>
    <x v="10"/>
    <x v="2"/>
    <s v="No"/>
    <s v="Yes"/>
    <n v="1"/>
    <s v="No"/>
    <n v="8"/>
    <n v="2.2999999999999998"/>
    <n v="10.9"/>
    <s v="Yes"/>
    <s v="Good"/>
    <s v="Yes"/>
    <s v="Operations"/>
    <s v="Friday"/>
    <s v="Afternoon"/>
  </r>
  <r>
    <x v="1055"/>
    <s v="2024-09-13 20:20:40"/>
    <x v="9"/>
    <s v="2024-10-03 08:26:40"/>
    <x v="921"/>
    <n v="19.5"/>
    <x v="7"/>
    <s v="Drivers"/>
    <s v="Medium"/>
    <n v="240"/>
    <x v="0"/>
    <s v="Portal"/>
    <s v="Tier 1"/>
    <x v="9"/>
    <x v="1"/>
    <s v="Yes"/>
    <s v="No"/>
    <n v="0"/>
    <s v="No"/>
    <n v="5"/>
    <n v="1.7"/>
    <n v="9.3000000000000007"/>
    <s v="Yes"/>
    <s v="Good"/>
    <s v="Yes"/>
    <s v="Marketing"/>
    <s v="Friday"/>
    <s v="Afternoon"/>
  </r>
  <r>
    <x v="1056"/>
    <s v="2024-11-21 10:35:14"/>
    <x v="7"/>
    <s v="2024-11-30 17:35:14"/>
    <x v="922"/>
    <n v="9.3000000000000007"/>
    <x v="1"/>
    <s v="Laptop"/>
    <s v="Medium"/>
    <n v="240"/>
    <x v="1"/>
    <s v="Portal"/>
    <s v="Tier 2"/>
    <x v="10"/>
    <x v="0"/>
    <s v="No"/>
    <s v="Yes"/>
    <n v="4"/>
    <s v="Yes"/>
    <n v="9"/>
    <n v="2.9"/>
    <n v="19.2"/>
    <s v="Yes"/>
    <s v="Fair"/>
    <s v="No"/>
    <s v="Operations"/>
    <s v="Tuesday"/>
    <s v="Morning"/>
  </r>
  <r>
    <x v="1057"/>
    <s v="2024-05-24 16:31:29"/>
    <x v="8"/>
    <s v="2024-06-04 12:25:29"/>
    <x v="923"/>
    <n v="10.8"/>
    <x v="3"/>
    <s v="Windows Password"/>
    <s v="Low"/>
    <n v="360"/>
    <x v="1"/>
    <s v="Phone"/>
    <s v="Tier 1"/>
    <x v="5"/>
    <x v="0"/>
    <s v="Yes"/>
    <s v="No"/>
    <n v="0"/>
    <s v="No"/>
    <n v="10"/>
    <n v="2.4"/>
    <n v="6.1"/>
    <s v="Yes"/>
    <s v="Good"/>
    <s v="No"/>
    <s v="Operations"/>
    <s v="Thursday"/>
    <s v="Morning"/>
  </r>
  <r>
    <x v="1058"/>
    <s v="2024-06-24 13:56:26"/>
    <x v="10"/>
    <s v="2024-07-01 14:08:26"/>
    <x v="924"/>
    <n v="7"/>
    <x v="4"/>
    <s v="Crash"/>
    <s v="Medium"/>
    <n v="240"/>
    <x v="1"/>
    <s v="Phone"/>
    <s v="Tier 1"/>
    <x v="17"/>
    <x v="2"/>
    <s v="No"/>
    <s v="No"/>
    <n v="1"/>
    <s v="No"/>
    <n v="8"/>
    <n v="2.5"/>
    <n v="36.1"/>
    <s v="Yes"/>
    <s v="Fair"/>
    <s v="Yes"/>
    <s v="Legal"/>
    <s v="Friday"/>
    <s v="Evening"/>
  </r>
  <r>
    <x v="1059"/>
    <s v="2024-01-06 11:37:44"/>
    <x v="3"/>
    <s v="2024-01-12 00:37:44"/>
    <x v="323"/>
    <n v="6.5"/>
    <x v="7"/>
    <s v="Business Apps"/>
    <s v="Medium"/>
    <n v="240"/>
    <x v="1"/>
    <s v="Portal"/>
    <s v="Tier 2"/>
    <x v="2"/>
    <x v="1"/>
    <s v="No"/>
    <s v="Yes"/>
    <n v="1"/>
    <s v="No"/>
    <n v="7"/>
    <n v="2.6"/>
    <n v="4.3"/>
    <s v="Yes"/>
    <s v="Fair"/>
    <s v="Yes"/>
    <s v="Executive"/>
    <s v="Thursday"/>
    <s v="Morning"/>
  </r>
  <r>
    <x v="1060"/>
    <s v="2024-02-25 16:52:15"/>
    <x v="6"/>
    <s v="2024-02-28 16:46:15"/>
    <x v="925"/>
    <n v="3"/>
    <x v="7"/>
    <s v="Drivers"/>
    <s v="Critical"/>
    <n v="48"/>
    <x v="0"/>
    <s v="Email"/>
    <s v="Tier 1"/>
    <x v="6"/>
    <x v="2"/>
    <s v="No"/>
    <s v="No"/>
    <n v="1"/>
    <s v="No"/>
    <n v="3"/>
    <n v="2.8"/>
    <n v="41.6"/>
    <s v="Yes"/>
    <s v="Poor"/>
    <s v="Yes"/>
    <s v="Finance"/>
    <s v="Wednesday"/>
    <s v="Morning"/>
  </r>
  <r>
    <x v="1061"/>
    <s v="2024-07-03 01:05:40"/>
    <x v="4"/>
    <s v="2024-07-10 03:29:40"/>
    <x v="926"/>
    <n v="6.1"/>
    <x v="4"/>
    <s v="Performance"/>
    <s v="Medium"/>
    <n v="240"/>
    <x v="1"/>
    <s v="Email"/>
    <s v="Tier 1"/>
    <x v="5"/>
    <x v="0"/>
    <s v="No"/>
    <s v="No"/>
    <n v="1"/>
    <s v="No"/>
    <n v="7"/>
    <n v="2.5"/>
    <n v="42.2"/>
    <s v="Yes"/>
    <s v="Good"/>
    <s v="Yes"/>
    <s v="Finance"/>
    <s v="Friday"/>
    <s v="Afternoon"/>
  </r>
  <r>
    <x v="1062"/>
    <s v="2024-03-02 09:46:34"/>
    <x v="5"/>
    <s v="2024-03-23 10:10:34"/>
    <x v="927"/>
    <n v="21"/>
    <x v="7"/>
    <s v="Business Apps"/>
    <s v="Low"/>
    <n v="360"/>
    <x v="0"/>
    <s v="Phone"/>
    <s v="Tier 1"/>
    <x v="22"/>
    <x v="0"/>
    <s v="No"/>
    <s v="No"/>
    <n v="1"/>
    <s v="No"/>
    <n v="3"/>
    <n v="2.8"/>
    <n v="14"/>
    <s v="Yes"/>
    <s v="Good"/>
    <s v="Yes"/>
    <s v="Finance"/>
    <s v="Friday"/>
    <s v="Morning"/>
  </r>
  <r>
    <x v="1063"/>
    <s v="2024-08-24 19:05:12"/>
    <x v="1"/>
    <s v="2024-09-02 15:47:12"/>
    <x v="928"/>
    <n v="8.9"/>
    <x v="3"/>
    <s v="Email Password"/>
    <s v="Medium"/>
    <n v="240"/>
    <x v="1"/>
    <s v="Phone"/>
    <s v="Tier 1"/>
    <x v="15"/>
    <x v="1"/>
    <s v="No"/>
    <s v="No"/>
    <n v="1"/>
    <s v="No"/>
    <n v="10"/>
    <n v="1.8"/>
    <n v="44.3"/>
    <s v="Yes"/>
    <s v="Good"/>
    <s v="Yes"/>
    <s v="IT"/>
    <s v="Tuesday"/>
    <s v="Afternoon"/>
  </r>
  <r>
    <x v="1064"/>
    <s v="2024-05-11 18:25:12"/>
    <x v="8"/>
    <s v="2024-05-15 15:01:12"/>
    <x v="371"/>
    <n v="3.9"/>
    <x v="2"/>
    <s v="Slow Network"/>
    <s v="High"/>
    <n v="120"/>
    <x v="1"/>
    <s v="Phone"/>
    <s v="Tier 1"/>
    <x v="14"/>
    <x v="1"/>
    <s v="No"/>
    <s v="No"/>
    <n v="1"/>
    <s v="No"/>
    <n v="9"/>
    <n v="2.1"/>
    <n v="24.5"/>
    <s v="Yes"/>
    <s v="Fair"/>
    <s v="No"/>
    <s v="Operations"/>
    <s v="Friday"/>
    <s v="Afternoon"/>
  </r>
  <r>
    <x v="1065"/>
    <s v="2024-09-28 09:04:37"/>
    <x v="9"/>
    <s v="2024-10-06 05:22:37"/>
    <x v="929"/>
    <n v="7.8"/>
    <x v="7"/>
    <s v="Business Apps"/>
    <s v="Medium"/>
    <n v="240"/>
    <x v="1"/>
    <s v="Phone"/>
    <s v="Tier 1"/>
    <x v="24"/>
    <x v="0"/>
    <s v="No"/>
    <s v="No"/>
    <n v="1"/>
    <s v="No"/>
    <n v="7"/>
    <n v="3.6"/>
    <n v="16.100000000000001"/>
    <s v="Yes"/>
    <s v="Good"/>
    <s v="Yes"/>
    <s v="HR"/>
    <s v="Monday"/>
    <s v="Evening"/>
  </r>
  <r>
    <x v="1066"/>
    <s v="2024-01-04 16:05:50"/>
    <x v="3"/>
    <s v="2024-01-11 02:47:50"/>
    <x v="930"/>
    <n v="6.4"/>
    <x v="4"/>
    <s v="Features Not Working"/>
    <s v="High"/>
    <n v="120"/>
    <x v="0"/>
    <s v="Email"/>
    <s v="Tier 2"/>
    <x v="14"/>
    <x v="2"/>
    <s v="No"/>
    <s v="Yes"/>
    <n v="3"/>
    <s v="Yes"/>
    <n v="6"/>
    <n v="1.5"/>
    <n v="2.9"/>
    <s v="Yes"/>
    <s v="Fair"/>
    <s v="No"/>
    <s v="Legal"/>
    <s v="Thursday"/>
    <s v="Morning"/>
  </r>
  <r>
    <x v="1067"/>
    <s v="2024-08-05 03:44:18"/>
    <x v="1"/>
    <s v="2024-08-13 09:50:18"/>
    <x v="528"/>
    <n v="8.3000000000000007"/>
    <x v="2"/>
    <s v="WiFi Issues"/>
    <s v="Medium"/>
    <n v="240"/>
    <x v="1"/>
    <s v="Portal"/>
    <s v="Tier 2"/>
    <x v="6"/>
    <x v="0"/>
    <s v="No"/>
    <s v="Yes"/>
    <n v="4"/>
    <s v="No"/>
    <n v="10"/>
    <n v="3.8"/>
    <n v="9.6999999999999993"/>
    <s v="Yes"/>
    <s v="Fair"/>
    <s v="No"/>
    <s v="Executive"/>
    <s v="Wednesday"/>
    <s v="Afternoon"/>
  </r>
  <r>
    <x v="1068"/>
    <s v="2024-11-02 12:48:06"/>
    <x v="7"/>
    <s v="2024-11-06 22:48:06"/>
    <x v="931"/>
    <n v="4.4000000000000004"/>
    <x v="0"/>
    <s v="File Share"/>
    <s v="High"/>
    <n v="120"/>
    <x v="1"/>
    <s v="Chat"/>
    <s v="Tier 1"/>
    <x v="3"/>
    <x v="2"/>
    <s v="No"/>
    <s v="No"/>
    <n v="1"/>
    <s v="No"/>
    <n v="8"/>
    <n v="1.4"/>
    <n v="39.5"/>
    <s v="Yes"/>
    <s v="Fair"/>
    <s v="No"/>
    <s v="Operations"/>
    <s v="Thursday"/>
    <s v="Afternoon"/>
  </r>
  <r>
    <x v="1069"/>
    <s v="2024-06-01 02:35:44"/>
    <x v="10"/>
    <s v="2024-06-09 16:59:44"/>
    <x v="710"/>
    <n v="7.6"/>
    <x v="7"/>
    <s v="Adobe Suite"/>
    <s v="Medium"/>
    <n v="240"/>
    <x v="1"/>
    <s v="Portal"/>
    <s v="Tier 2"/>
    <x v="17"/>
    <x v="0"/>
    <s v="No"/>
    <s v="Yes"/>
    <n v="4"/>
    <s v="Yes"/>
    <n v="9"/>
    <n v="3.6"/>
    <n v="5.5"/>
    <s v="No"/>
    <s v="Excellent"/>
    <s v="Yes"/>
    <s v="Sales"/>
    <s v="Friday"/>
    <s v="Morning"/>
  </r>
  <r>
    <x v="1070"/>
    <s v="2024-06-13 21:02:18"/>
    <x v="10"/>
    <s v="2024-06-17 14:26:18"/>
    <x v="801"/>
    <n v="3.7"/>
    <x v="6"/>
    <s v="Distribution List"/>
    <s v="High"/>
    <n v="120"/>
    <x v="1"/>
    <s v="Email"/>
    <s v="Tier 1"/>
    <x v="22"/>
    <x v="2"/>
    <s v="No"/>
    <s v="No"/>
    <n v="1"/>
    <s v="No"/>
    <n v="8"/>
    <n v="5.6"/>
    <n v="27.6"/>
    <s v="No"/>
    <s v="Excellent"/>
    <s v="No"/>
    <s v="Executive"/>
    <s v="Monday"/>
    <s v="Evening"/>
  </r>
  <r>
    <x v="1071"/>
    <s v="2024-12-22 04:05:19"/>
    <x v="0"/>
    <s v="2024-12-29 15:59:19"/>
    <x v="932"/>
    <n v="7.5"/>
    <x v="2"/>
    <s v="Slow Network"/>
    <s v="High"/>
    <n v="120"/>
    <x v="0"/>
    <s v="Email"/>
    <s v="Tier 1"/>
    <x v="9"/>
    <x v="0"/>
    <s v="No"/>
    <s v="No"/>
    <n v="1"/>
    <s v="Yes"/>
    <n v="7"/>
    <n v="1.5"/>
    <n v="14.7"/>
    <s v="Yes"/>
    <s v="Poor"/>
    <s v="No"/>
    <s v="Operations"/>
    <s v="Thursday"/>
    <s v="Evening"/>
  </r>
  <r>
    <x v="1072"/>
    <s v="2024-05-23 21:48:56"/>
    <x v="8"/>
    <s v="2024-06-06 20:54:56"/>
    <x v="933"/>
    <n v="14"/>
    <x v="4"/>
    <s v="Login Issues"/>
    <s v="Low"/>
    <n v="360"/>
    <x v="1"/>
    <s v="Email"/>
    <s v="Tier 1"/>
    <x v="11"/>
    <x v="2"/>
    <s v="No"/>
    <s v="No"/>
    <n v="1"/>
    <s v="No"/>
    <n v="9"/>
    <n v="1.4"/>
    <n v="28.3"/>
    <s v="No"/>
    <s v="Fair"/>
    <s v="Yes"/>
    <s v="Sales"/>
    <s v="Thursday"/>
    <s v="Afternoon"/>
  </r>
  <r>
    <x v="1073"/>
    <s v="2024-01-25 14:16:26"/>
    <x v="3"/>
    <s v="2024-02-07 14:34:26"/>
    <x v="934"/>
    <n v="13"/>
    <x v="1"/>
    <s v="Docking Station"/>
    <s v="Low"/>
    <n v="360"/>
    <x v="1"/>
    <s v="Chat"/>
    <s v="Tier 2"/>
    <x v="5"/>
    <x v="1"/>
    <s v="No"/>
    <s v="Yes"/>
    <n v="3"/>
    <s v="No"/>
    <n v="9"/>
    <n v="5"/>
    <n v="25.7"/>
    <s v="Yes"/>
    <s v="Good"/>
    <s v="No"/>
    <s v="IT"/>
    <s v="Wednesday"/>
    <s v="Afternoon"/>
  </r>
  <r>
    <x v="1074"/>
    <s v="2024-09-11 13:27:49"/>
    <x v="9"/>
    <s v="2024-09-22 16:33:49"/>
    <x v="935"/>
    <n v="11.1"/>
    <x v="3"/>
    <s v="Windows Password"/>
    <s v="Low"/>
    <n v="360"/>
    <x v="1"/>
    <s v="Chat"/>
    <s v="Tier 1"/>
    <x v="9"/>
    <x v="2"/>
    <s v="Yes"/>
    <s v="No"/>
    <n v="0"/>
    <s v="No"/>
    <n v="10"/>
    <n v="2.2999999999999998"/>
    <n v="26.2"/>
    <s v="Yes"/>
    <s v="Excellent"/>
    <s v="No"/>
    <s v="IT"/>
    <s v="Wednesday"/>
    <s v="Morning"/>
  </r>
  <r>
    <x v="1075"/>
    <s v="2024-05-25 14:09:17"/>
    <x v="8"/>
    <s v="2024-05-29 22:27:17"/>
    <x v="936"/>
    <n v="4.3"/>
    <x v="1"/>
    <s v="Laptop"/>
    <s v="High"/>
    <n v="120"/>
    <x v="1"/>
    <s v="Chat"/>
    <s v="Tier 1"/>
    <x v="24"/>
    <x v="2"/>
    <s v="No"/>
    <s v="No"/>
    <n v="1"/>
    <s v="No"/>
    <n v="6"/>
    <n v="2.5"/>
    <n v="13.7"/>
    <s v="No"/>
    <s v="Fair"/>
    <s v="Yes"/>
    <s v="Operations"/>
    <s v="Friday"/>
    <s v="Evening"/>
  </r>
  <r>
    <x v="1076"/>
    <s v="2024-07-07 21:02:28"/>
    <x v="4"/>
    <s v="2024-07-20 22:32:28"/>
    <x v="937"/>
    <n v="13.1"/>
    <x v="3"/>
    <s v="Windows Password"/>
    <s v="Low"/>
    <n v="360"/>
    <x v="1"/>
    <s v="Phone"/>
    <s v="Tier 1"/>
    <x v="0"/>
    <x v="1"/>
    <s v="Yes"/>
    <s v="No"/>
    <n v="0"/>
    <s v="No"/>
    <n v="7"/>
    <n v="5.0999999999999996"/>
    <n v="15.2"/>
    <s v="Yes"/>
    <s v="Poor"/>
    <s v="Yes"/>
    <s v="Finance"/>
    <s v="Thursday"/>
    <s v="Afternoon"/>
  </r>
  <r>
    <x v="1077"/>
    <s v="2024-08-04 12:54:00"/>
    <x v="1"/>
    <s v="2024-08-12 20:00:00"/>
    <x v="938"/>
    <n v="8.3000000000000007"/>
    <x v="7"/>
    <s v="MS Office"/>
    <s v="Medium"/>
    <n v="240"/>
    <x v="1"/>
    <s v="Phone"/>
    <s v="Tier 2"/>
    <x v="14"/>
    <x v="1"/>
    <s v="No"/>
    <s v="Yes"/>
    <n v="4"/>
    <s v="No"/>
    <n v="9"/>
    <n v="1"/>
    <n v="38.5"/>
    <s v="Yes"/>
    <s v="Poor"/>
    <s v="No"/>
    <s v="HR"/>
    <s v="Tuesday"/>
    <s v="Afternoon"/>
  </r>
  <r>
    <x v="1078"/>
    <s v="2024-11-27 06:21:58"/>
    <x v="7"/>
    <s v="2024-12-05 17:57:58"/>
    <x v="939"/>
    <n v="8.5"/>
    <x v="7"/>
    <s v="VPN Client"/>
    <s v="Medium"/>
    <n v="240"/>
    <x v="1"/>
    <s v="Walk-in"/>
    <s v="Tier 1"/>
    <x v="3"/>
    <x v="1"/>
    <s v="No"/>
    <s v="No"/>
    <n v="1"/>
    <s v="No"/>
    <n v="9"/>
    <n v="4.0999999999999996"/>
    <n v="14.3"/>
    <s v="Yes"/>
    <s v="Good"/>
    <s v="Yes"/>
    <s v="HR"/>
    <s v="Thursday"/>
    <s v="Morning"/>
  </r>
  <r>
    <x v="1079"/>
    <s v="2024-08-21 08:12:18"/>
    <x v="1"/>
    <s v="2024-08-30 02:12:18"/>
    <x v="940"/>
    <n v="9.8000000000000007"/>
    <x v="2"/>
    <s v="Slow Network"/>
    <s v="High"/>
    <n v="120"/>
    <x v="0"/>
    <s v="Portal"/>
    <s v="Tier 1"/>
    <x v="5"/>
    <x v="0"/>
    <s v="No"/>
    <s v="No"/>
    <n v="1"/>
    <s v="No"/>
    <n v="5"/>
    <n v="4.5999999999999996"/>
    <n v="0"/>
    <s v="Yes"/>
    <s v="Fair"/>
    <s v="Yes"/>
    <s v="Sales"/>
    <s v="Friday"/>
    <s v="Afternoon"/>
  </r>
  <r>
    <x v="1080"/>
    <s v="2024-10-29 07:40:34"/>
    <x v="2"/>
    <s v="2024-11-02 12:04:34"/>
    <x v="126"/>
    <n v="4.2"/>
    <x v="6"/>
    <s v="Mailbox Full"/>
    <s v="High"/>
    <n v="120"/>
    <x v="1"/>
    <s v="Portal"/>
    <s v="Tier 1"/>
    <x v="23"/>
    <x v="0"/>
    <s v="Yes"/>
    <s v="No"/>
    <n v="0"/>
    <s v="No"/>
    <n v="10"/>
    <n v="2.8"/>
    <n v="10.5"/>
    <s v="Yes"/>
    <s v="Fair"/>
    <s v="No"/>
    <s v="Operations"/>
    <s v="Monday"/>
    <s v="Afternoon"/>
  </r>
  <r>
    <x v="1081"/>
    <s v="2024-03-27 20:10:14"/>
    <x v="5"/>
    <s v="2024-04-04 12:28:14"/>
    <x v="941"/>
    <n v="7.6"/>
    <x v="7"/>
    <s v="MS Office"/>
    <s v="Medium"/>
    <n v="240"/>
    <x v="1"/>
    <s v="Email"/>
    <s v="Tier 1"/>
    <x v="19"/>
    <x v="2"/>
    <s v="No"/>
    <s v="No"/>
    <n v="1"/>
    <s v="No"/>
    <n v="10"/>
    <n v="0.3"/>
    <n v="16.899999999999999"/>
    <s v="Yes"/>
    <s v="Good"/>
    <s v="Yes"/>
    <s v="Legal"/>
    <s v="Thursday"/>
    <s v="Morning"/>
  </r>
  <r>
    <x v="1082"/>
    <s v="2024-03-26 03:30:46"/>
    <x v="5"/>
    <s v="2024-04-04 02:36:46"/>
    <x v="942"/>
    <n v="9.9"/>
    <x v="3"/>
    <s v="Windows Password"/>
    <s v="Low"/>
    <n v="360"/>
    <x v="1"/>
    <s v="Portal"/>
    <s v="Tier 1"/>
    <x v="22"/>
    <x v="0"/>
    <s v="No"/>
    <s v="No"/>
    <n v="1"/>
    <s v="Yes"/>
    <n v="7"/>
    <n v="0.6"/>
    <n v="0"/>
    <s v="Yes"/>
    <s v="Fair"/>
    <s v="No"/>
    <s v="IT"/>
    <s v="Wednesday"/>
    <s v="Morning"/>
  </r>
  <r>
    <x v="1083"/>
    <s v="2024-09-19 08:50:19"/>
    <x v="9"/>
    <s v="2024-09-26 00:38:19"/>
    <x v="943"/>
    <n v="7.7"/>
    <x v="6"/>
    <s v="Distribution List"/>
    <s v="Medium"/>
    <n v="240"/>
    <x v="1"/>
    <s v="Email"/>
    <s v="Tier 1"/>
    <x v="3"/>
    <x v="2"/>
    <s v="Yes"/>
    <s v="No"/>
    <n v="0"/>
    <s v="Yes"/>
    <n v="10"/>
    <n v="2.2999999999999998"/>
    <n v="11"/>
    <s v="Yes"/>
    <s v="Good"/>
    <s v="No"/>
    <s v="HR"/>
    <s v="Monday"/>
    <s v="Afternoon"/>
  </r>
  <r>
    <x v="1084"/>
    <s v="2024-02-12 12:01:49"/>
    <x v="6"/>
    <s v="2024-02-16 14:13:49"/>
    <x v="944"/>
    <n v="4.0999999999999996"/>
    <x v="1"/>
    <s v="Laptop"/>
    <s v="High"/>
    <n v="120"/>
    <x v="1"/>
    <s v="Email"/>
    <s v="Tier 1"/>
    <x v="17"/>
    <x v="2"/>
    <s v="No"/>
    <s v="No"/>
    <n v="1"/>
    <s v="No"/>
    <n v="4"/>
    <n v="2.2999999999999998"/>
    <n v="0"/>
    <s v="Yes"/>
    <s v="Fair"/>
    <s v="Yes"/>
    <s v="Legal"/>
    <s v="Friday"/>
    <s v="Afternoon"/>
  </r>
  <r>
    <x v="1085"/>
    <s v="2024-03-14 19:14:15"/>
    <x v="5"/>
    <s v="2024-03-19 09:44:15"/>
    <x v="945"/>
    <n v="4.5999999999999996"/>
    <x v="3"/>
    <s v="Account Unlock"/>
    <s v="High"/>
    <n v="120"/>
    <x v="1"/>
    <s v="Phone"/>
    <s v="Tier 1"/>
    <x v="4"/>
    <x v="1"/>
    <s v="Yes"/>
    <s v="No"/>
    <n v="0"/>
    <s v="Yes"/>
    <n v="8"/>
    <n v="2.7"/>
    <n v="14.1"/>
    <s v="No"/>
    <s v="Good"/>
    <s v="No"/>
    <s v="Marketing"/>
    <s v="Friday"/>
    <s v="Afternoon"/>
  </r>
  <r>
    <x v="1086"/>
    <s v="2024-01-08 15:50:32"/>
    <x v="3"/>
    <s v="2024-01-12 18:02:32"/>
    <x v="944"/>
    <n v="4.0999999999999996"/>
    <x v="1"/>
    <s v="Printer"/>
    <s v="High"/>
    <n v="120"/>
    <x v="1"/>
    <s v="Chat"/>
    <s v="Tier 1"/>
    <x v="1"/>
    <x v="1"/>
    <s v="No"/>
    <s v="No"/>
    <n v="1"/>
    <s v="No"/>
    <n v="8"/>
    <n v="4.3"/>
    <n v="35.299999999999997"/>
    <s v="Yes"/>
    <s v="Fair"/>
    <s v="Yes"/>
    <s v="IT"/>
    <s v="Monday"/>
    <s v="Evening"/>
  </r>
  <r>
    <x v="1087"/>
    <s v="2024-08-20 11:50:05"/>
    <x v="1"/>
    <s v="2024-09-02 21:38:05"/>
    <x v="946"/>
    <n v="13.4"/>
    <x v="3"/>
    <s v="Application Password"/>
    <s v="Low"/>
    <n v="360"/>
    <x v="1"/>
    <s v="Phone"/>
    <s v="Tier 1"/>
    <x v="6"/>
    <x v="0"/>
    <s v="No"/>
    <s v="No"/>
    <n v="1"/>
    <s v="No"/>
    <n v="9"/>
    <n v="3"/>
    <n v="4.8"/>
    <s v="Yes"/>
    <s v="Fair"/>
    <s v="No"/>
    <s v="Marketing"/>
    <s v="Monday"/>
    <s v="Evening"/>
  </r>
  <r>
    <x v="1088"/>
    <s v="2024-09-17 15:52:28"/>
    <x v="9"/>
    <s v="2024-09-18 02:10:28"/>
    <x v="947"/>
    <n v="1.4"/>
    <x v="2"/>
    <s v="VPN Connection"/>
    <s v="Critical"/>
    <n v="48"/>
    <x v="1"/>
    <s v="Portal"/>
    <s v="Tier 1"/>
    <x v="18"/>
    <x v="2"/>
    <s v="No"/>
    <s v="No"/>
    <n v="1"/>
    <s v="No"/>
    <n v="8"/>
    <n v="1.1000000000000001"/>
    <n v="23.6"/>
    <s v="No"/>
    <s v="Poor"/>
    <s v="No"/>
    <s v="Executive"/>
    <s v="Tuesday"/>
    <s v="Afternoon"/>
  </r>
  <r>
    <x v="1089"/>
    <s v="2024-10-03 14:11:50"/>
    <x v="2"/>
    <s v="2024-10-11 02:11:50"/>
    <x v="948"/>
    <n v="8.5"/>
    <x v="5"/>
    <s v="Training Request"/>
    <s v="Medium"/>
    <n v="240"/>
    <x v="1"/>
    <s v="Phone"/>
    <s v="Tier 2"/>
    <x v="16"/>
    <x v="1"/>
    <s v="No"/>
    <s v="Yes"/>
    <n v="2"/>
    <s v="No"/>
    <n v="8"/>
    <n v="2.9"/>
    <n v="14.3"/>
    <s v="Yes"/>
    <s v="Poor"/>
    <s v="No"/>
    <s v="Legal"/>
    <s v="Tuesday"/>
    <s v="Afternoon"/>
  </r>
  <r>
    <x v="1090"/>
    <s v="2024-06-04 23:43:36"/>
    <x v="10"/>
    <s v="2024-06-17 08:07:36"/>
    <x v="949"/>
    <n v="12.4"/>
    <x v="3"/>
    <s v="Windows Password"/>
    <s v="Low"/>
    <n v="360"/>
    <x v="1"/>
    <s v="Phone"/>
    <s v="Tier 1"/>
    <x v="19"/>
    <x v="2"/>
    <s v="No"/>
    <s v="No"/>
    <n v="1"/>
    <s v="No"/>
    <n v="8"/>
    <n v="1.7"/>
    <n v="9.1"/>
    <s v="No"/>
    <s v="Good"/>
    <s v="No"/>
    <s v="Operations"/>
    <s v="Wednesday"/>
    <s v="Afternoon"/>
  </r>
  <r>
    <x v="1091"/>
    <s v="2024-10-29 22:59:39"/>
    <x v="2"/>
    <s v="2024-11-08 03:47:39"/>
    <x v="649"/>
    <n v="9.1999999999999993"/>
    <x v="7"/>
    <s v="VPN Client"/>
    <s v="Medium"/>
    <n v="240"/>
    <x v="1"/>
    <s v="Email"/>
    <s v="Tier 1"/>
    <x v="15"/>
    <x v="1"/>
    <s v="Yes"/>
    <s v="No"/>
    <n v="0"/>
    <s v="No"/>
    <n v="8"/>
    <n v="1.9"/>
    <n v="48"/>
    <s v="Yes"/>
    <s v="Fair"/>
    <s v="Yes"/>
    <s v="HR"/>
    <s v="Tuesday"/>
    <s v="Evening"/>
  </r>
  <r>
    <x v="1092"/>
    <s v="2024-02-14 18:30:33"/>
    <x v="6"/>
    <s v="2024-02-26 21:18:33"/>
    <x v="950"/>
    <n v="12.1"/>
    <x v="3"/>
    <s v="Email Password"/>
    <s v="Low"/>
    <n v="360"/>
    <x v="1"/>
    <s v="Phone"/>
    <s v="Tier 1"/>
    <x v="7"/>
    <x v="1"/>
    <s v="No"/>
    <s v="No"/>
    <n v="1"/>
    <s v="No"/>
    <n v="8"/>
    <n v="3.5"/>
    <n v="27.4"/>
    <s v="Yes"/>
    <s v="Excellent"/>
    <s v="Yes"/>
    <s v="Legal"/>
    <s v="Wednesday"/>
    <s v="Morning"/>
  </r>
  <r>
    <x v="1093"/>
    <s v="2024-10-02 19:27:21"/>
    <x v="2"/>
    <s v="2024-10-16 06:39:21"/>
    <x v="951"/>
    <n v="13.5"/>
    <x v="5"/>
    <s v="General Inquiry"/>
    <s v="Low"/>
    <n v="360"/>
    <x v="1"/>
    <s v="Phone"/>
    <s v="Tier 1"/>
    <x v="15"/>
    <x v="2"/>
    <s v="Yes"/>
    <s v="No"/>
    <n v="0"/>
    <s v="No"/>
    <n v="8"/>
    <n v="2.8"/>
    <n v="30.8"/>
    <s v="No"/>
    <s v="Fair"/>
    <s v="Yes"/>
    <s v="Sales"/>
    <s v="Wednesday"/>
    <s v="Evening"/>
  </r>
  <r>
    <x v="1094"/>
    <s v="2024-11-01 11:25:38"/>
    <x v="7"/>
    <s v="2024-11-10 03:13:38"/>
    <x v="952"/>
    <n v="8.6999999999999993"/>
    <x v="1"/>
    <s v="Keyboard/Mouse"/>
    <s v="Medium"/>
    <n v="240"/>
    <x v="1"/>
    <s v="Phone"/>
    <s v="Tier 2"/>
    <x v="23"/>
    <x v="0"/>
    <s v="No"/>
    <s v="Yes"/>
    <n v="2"/>
    <s v="No"/>
    <n v="8"/>
    <n v="0.6"/>
    <n v="10.199999999999999"/>
    <s v="No"/>
    <s v="Poor"/>
    <s v="No"/>
    <s v="Finance"/>
    <s v="Friday"/>
    <s v="Morning"/>
  </r>
  <r>
    <x v="1095"/>
    <s v="2024-04-09 21:36:35"/>
    <x v="11"/>
    <s v="2024-05-05 16:06:35"/>
    <x v="647"/>
    <n v="25.8"/>
    <x v="7"/>
    <s v="Drivers"/>
    <s v="Medium"/>
    <n v="240"/>
    <x v="0"/>
    <s v="Phone"/>
    <s v="Tier 2"/>
    <x v="23"/>
    <x v="1"/>
    <s v="No"/>
    <s v="Yes"/>
    <n v="1"/>
    <s v="No"/>
    <n v="10"/>
    <n v="4.9000000000000004"/>
    <n v="19.8"/>
    <s v="Yes"/>
    <s v="Fair"/>
    <s v="Yes"/>
    <s v="Legal"/>
    <s v="Monday"/>
    <s v="Afternoon"/>
  </r>
  <r>
    <x v="1096"/>
    <s v="2024-05-14 22:45:06"/>
    <x v="8"/>
    <s v="2024-05-25 13:27:06"/>
    <x v="953"/>
    <n v="10.6"/>
    <x v="1"/>
    <s v="Printer"/>
    <s v="Low"/>
    <n v="360"/>
    <x v="1"/>
    <s v="Email"/>
    <s v="Tier 1"/>
    <x v="15"/>
    <x v="0"/>
    <s v="No"/>
    <s v="No"/>
    <n v="1"/>
    <s v="No"/>
    <n v="7"/>
    <n v="3.3"/>
    <n v="9.6999999999999993"/>
    <s v="Yes"/>
    <s v="Good"/>
    <s v="No"/>
    <s v="Executive"/>
    <s v="Thursday"/>
    <s v="Afternoon"/>
  </r>
  <r>
    <x v="1097"/>
    <s v="2024-01-04 18:37:48"/>
    <x v="3"/>
    <s v="2024-01-18 20:49:48"/>
    <x v="954"/>
    <n v="14.1"/>
    <x v="3"/>
    <s v="Account Unlock"/>
    <s v="Low"/>
    <n v="360"/>
    <x v="1"/>
    <s v="Walk-in"/>
    <s v="Tier 1"/>
    <x v="6"/>
    <x v="0"/>
    <s v="No"/>
    <s v="No"/>
    <n v="1"/>
    <s v="Yes"/>
    <n v="8"/>
    <n v="5"/>
    <n v="34.700000000000003"/>
    <s v="Yes"/>
    <s v="Poor"/>
    <s v="No"/>
    <s v="Sales"/>
    <s v="Tuesday"/>
    <s v="Afternoon"/>
  </r>
  <r>
    <x v="1098"/>
    <s v="2024-12-05 17:31:27"/>
    <x v="0"/>
    <s v="2024-12-18 17:49:27"/>
    <x v="934"/>
    <n v="13"/>
    <x v="3"/>
    <s v="Email Password"/>
    <s v="Low"/>
    <n v="360"/>
    <x v="1"/>
    <s v="Phone"/>
    <s v="Tier 1"/>
    <x v="8"/>
    <x v="2"/>
    <s v="Yes"/>
    <s v="No"/>
    <n v="0"/>
    <s v="No"/>
    <n v="10"/>
    <n v="4.5"/>
    <n v="26"/>
    <s v="Yes"/>
    <s v="Poor"/>
    <s v="No"/>
    <s v="Marketing"/>
    <s v="Monday"/>
    <s v="Afternoon"/>
  </r>
  <r>
    <x v="1099"/>
    <s v="2024-06-08 08:34:05"/>
    <x v="10"/>
    <s v="2024-06-12 10:34:05"/>
    <x v="451"/>
    <n v="4.0999999999999996"/>
    <x v="7"/>
    <s v="MS Office"/>
    <s v="High"/>
    <n v="120"/>
    <x v="1"/>
    <s v="Portal"/>
    <s v="Tier 1"/>
    <x v="8"/>
    <x v="1"/>
    <s v="No"/>
    <s v="No"/>
    <n v="1"/>
    <s v="No"/>
    <n v="8"/>
    <n v="0.7"/>
    <n v="18.100000000000001"/>
    <s v="No"/>
    <s v="Poor"/>
    <s v="Yes"/>
    <s v="HR"/>
    <s v="Tuesday"/>
    <s v="Afternoon"/>
  </r>
  <r>
    <x v="1100"/>
    <s v="2024-06-02 12:02:59"/>
    <x v="10"/>
    <s v="2024-06-14 17:44:59"/>
    <x v="955"/>
    <n v="12.2"/>
    <x v="0"/>
    <s v="Admin Rights"/>
    <s v="Medium"/>
    <n v="240"/>
    <x v="0"/>
    <s v="Phone"/>
    <s v="Tier 1"/>
    <x v="22"/>
    <x v="0"/>
    <s v="No"/>
    <s v="No"/>
    <n v="1"/>
    <s v="No"/>
    <n v="4"/>
    <n v="3.4"/>
    <n v="0"/>
    <s v="No"/>
    <s v="Poor"/>
    <s v="No"/>
    <s v="Operations"/>
    <s v="Wednesday"/>
    <s v="Afternoon"/>
  </r>
  <r>
    <x v="1101"/>
    <s v="2024-04-17 14:34:49"/>
    <x v="11"/>
    <s v="2024-05-13 12:34:49"/>
    <x v="956"/>
    <n v="25.9"/>
    <x v="6"/>
    <s v="Mailbox Full"/>
    <s v="Low"/>
    <n v="360"/>
    <x v="0"/>
    <s v="Chat"/>
    <s v="Tier 1"/>
    <x v="16"/>
    <x v="0"/>
    <s v="No"/>
    <s v="No"/>
    <n v="1"/>
    <s v="No"/>
    <n v="3"/>
    <n v="4.3"/>
    <n v="10.1"/>
    <s v="No"/>
    <s v="Good"/>
    <s v="No"/>
    <s v="Operations"/>
    <s v="Thursday"/>
    <s v="Morning"/>
  </r>
  <r>
    <x v="1102"/>
    <s v="2024-10-24 15:33:21"/>
    <x v="2"/>
    <s v="2024-11-03 15:51:21"/>
    <x v="957"/>
    <n v="10.1"/>
    <x v="5"/>
    <s v="General Inquiry"/>
    <s v="Low"/>
    <n v="360"/>
    <x v="1"/>
    <s v="Portal"/>
    <s v="Tier 1"/>
    <x v="5"/>
    <x v="2"/>
    <s v="No"/>
    <s v="No"/>
    <n v="1"/>
    <s v="Yes"/>
    <n v="6"/>
    <n v="3.4"/>
    <n v="29.6"/>
    <s v="Yes"/>
    <s v="Poor"/>
    <s v="Yes"/>
    <s v="Finance"/>
    <s v="Friday"/>
    <s v="Afternoon"/>
  </r>
  <r>
    <x v="1103"/>
    <s v="2024-03-27 23:30:16"/>
    <x v="5"/>
    <s v="2024-04-08 11:48:16"/>
    <x v="958"/>
    <n v="11.5"/>
    <x v="3"/>
    <s v="Application Password"/>
    <s v="Low"/>
    <n v="360"/>
    <x v="1"/>
    <s v="Walk-in"/>
    <s v="Tier 1"/>
    <x v="24"/>
    <x v="2"/>
    <s v="No"/>
    <s v="No"/>
    <n v="1"/>
    <s v="No"/>
    <n v="6"/>
    <n v="3.1"/>
    <n v="33.4"/>
    <s v="No"/>
    <s v="Good"/>
    <s v="Yes"/>
    <s v="Marketing"/>
    <s v="Monday"/>
    <s v="Afternoon"/>
  </r>
  <r>
    <x v="1104"/>
    <s v="2024-10-31 06:19:19"/>
    <x v="2"/>
    <s v="2024-11-11 21:19:19"/>
    <x v="709"/>
    <n v="11.6"/>
    <x v="0"/>
    <s v="File Share"/>
    <s v="Medium"/>
    <n v="240"/>
    <x v="0"/>
    <s v="Portal"/>
    <s v="Tier 1"/>
    <x v="17"/>
    <x v="0"/>
    <s v="Yes"/>
    <s v="No"/>
    <n v="0"/>
    <s v="No"/>
    <n v="3"/>
    <n v="2"/>
    <n v="18.3"/>
    <s v="Yes"/>
    <s v="Good"/>
    <s v="Yes"/>
    <s v="Executive"/>
    <s v="Monday"/>
    <s v="Afternoon"/>
  </r>
  <r>
    <x v="1105"/>
    <s v="2024-11-07 13:27:41"/>
    <x v="7"/>
    <s v="2024-11-11 06:03:41"/>
    <x v="769"/>
    <n v="3.7"/>
    <x v="2"/>
    <s v="VPN Connection"/>
    <s v="High"/>
    <n v="120"/>
    <x v="1"/>
    <s v="Phone"/>
    <s v="Tier 1"/>
    <x v="23"/>
    <x v="2"/>
    <s v="No"/>
    <s v="No"/>
    <n v="1"/>
    <s v="No"/>
    <n v="10"/>
    <n v="4.4000000000000004"/>
    <n v="3"/>
    <s v="No"/>
    <s v="Good"/>
    <s v="Yes"/>
    <s v="Marketing"/>
    <s v="Monday"/>
    <s v="Evening"/>
  </r>
  <r>
    <x v="1106"/>
    <s v="2024-05-23 13:39:21"/>
    <x v="8"/>
    <s v="2024-05-29 15:33:21"/>
    <x v="959"/>
    <n v="6.1"/>
    <x v="4"/>
    <s v="Features Not Working"/>
    <s v="Medium"/>
    <n v="240"/>
    <x v="1"/>
    <s v="Email"/>
    <s v="Tier 1"/>
    <x v="16"/>
    <x v="0"/>
    <s v="No"/>
    <s v="No"/>
    <n v="1"/>
    <s v="Yes"/>
    <n v="7"/>
    <n v="0.1"/>
    <n v="0"/>
    <s v="Yes"/>
    <s v="Poor"/>
    <s v="Yes"/>
    <s v="Operations"/>
    <s v="Tuesday"/>
    <s v="Afternoon"/>
  </r>
  <r>
    <x v="1107"/>
    <s v="2024-05-06 19:12:51"/>
    <x v="8"/>
    <s v="2024-05-16 17:06:51"/>
    <x v="960"/>
    <n v="9.9"/>
    <x v="5"/>
    <s v="Documentation"/>
    <s v="Low"/>
    <n v="360"/>
    <x v="1"/>
    <s v="Walk-in"/>
    <s v="Tier 1"/>
    <x v="24"/>
    <x v="0"/>
    <s v="No"/>
    <s v="No"/>
    <n v="1"/>
    <s v="No"/>
    <n v="9"/>
    <n v="2.2999999999999998"/>
    <n v="30.9"/>
    <s v="Yes"/>
    <s v="Good"/>
    <s v="Yes"/>
    <s v="Executive"/>
    <s v="Friday"/>
    <s v="Afternoon"/>
  </r>
  <r>
    <x v="1108"/>
    <s v="2024-02-05 05:26:09"/>
    <x v="6"/>
    <s v="2024-02-08 22:50:09"/>
    <x v="801"/>
    <n v="3.7"/>
    <x v="7"/>
    <s v="Business Apps"/>
    <s v="High"/>
    <n v="120"/>
    <x v="1"/>
    <s v="Phone"/>
    <s v="Tier 2"/>
    <x v="12"/>
    <x v="2"/>
    <s v="No"/>
    <s v="Yes"/>
    <n v="4"/>
    <s v="No"/>
    <n v="7"/>
    <n v="5"/>
    <n v="15.8"/>
    <s v="Yes"/>
    <s v="Fair"/>
    <s v="Yes"/>
    <s v="Legal"/>
    <s v="Tuesday"/>
    <s v="Evening"/>
  </r>
  <r>
    <x v="1109"/>
    <s v="2024-05-22 21:06:58"/>
    <x v="8"/>
    <s v="2024-06-06 09:18:58"/>
    <x v="961"/>
    <n v="14.5"/>
    <x v="4"/>
    <s v="Crash"/>
    <s v="Medium"/>
    <n v="240"/>
    <x v="0"/>
    <s v="Walk-in"/>
    <s v="Tier 2"/>
    <x v="13"/>
    <x v="2"/>
    <s v="No"/>
    <s v="Yes"/>
    <n v="3"/>
    <s v="Yes"/>
    <n v="8"/>
    <n v="3.9"/>
    <n v="25.1"/>
    <s v="No"/>
    <s v="Excellent"/>
    <s v="Yes"/>
    <s v="Marketing"/>
    <s v="Friday"/>
    <s v="Morning"/>
  </r>
  <r>
    <x v="1110"/>
    <s v="2024-09-13 17:15:57"/>
    <x v="9"/>
    <s v="2024-09-22 11:45:57"/>
    <x v="962"/>
    <n v="8.8000000000000007"/>
    <x v="3"/>
    <s v="Application Password"/>
    <s v="Medium"/>
    <n v="240"/>
    <x v="1"/>
    <s v="Phone"/>
    <s v="Tier 1"/>
    <x v="3"/>
    <x v="1"/>
    <s v="No"/>
    <s v="No"/>
    <n v="1"/>
    <s v="Yes"/>
    <n v="8"/>
    <n v="1.1000000000000001"/>
    <n v="12"/>
    <s v="Yes"/>
    <s v="Poor"/>
    <s v="No"/>
    <s v="Sales"/>
    <s v="Wednesday"/>
    <s v="Morning"/>
  </r>
  <r>
    <x v="1111"/>
    <s v="2024-04-10 18:43:05"/>
    <x v="11"/>
    <s v="2024-04-19 20:25:05"/>
    <x v="256"/>
    <n v="9.1"/>
    <x v="5"/>
    <s v="Miscellaneous"/>
    <s v="Low"/>
    <n v="360"/>
    <x v="1"/>
    <s v="Walk-in"/>
    <s v="Tier 1"/>
    <x v="19"/>
    <x v="0"/>
    <s v="Yes"/>
    <s v="No"/>
    <n v="0"/>
    <s v="No"/>
    <n v="10"/>
    <n v="3.8"/>
    <n v="1.6"/>
    <s v="Yes"/>
    <s v="Good"/>
    <s v="Yes"/>
    <s v="IT"/>
    <s v="Thursday"/>
    <s v="Evening"/>
  </r>
  <r>
    <x v="1112"/>
    <s v="2024-07-11 12:26:25"/>
    <x v="4"/>
    <s v="2024-07-18 21:38:25"/>
    <x v="140"/>
    <n v="7.4"/>
    <x v="2"/>
    <s v="Ethernet"/>
    <s v="High"/>
    <n v="120"/>
    <x v="0"/>
    <s v="Portal"/>
    <s v="Tier 1"/>
    <x v="18"/>
    <x v="0"/>
    <s v="No"/>
    <s v="No"/>
    <n v="1"/>
    <s v="No"/>
    <n v="4"/>
    <n v="4.7"/>
    <n v="11.5"/>
    <s v="Yes"/>
    <s v="Good"/>
    <s v="Yes"/>
    <s v="Legal"/>
    <s v="Monday"/>
    <s v="Evening"/>
  </r>
  <r>
    <x v="1113"/>
    <s v="2024-01-28 23:56:20"/>
    <x v="3"/>
    <s v="2024-02-04 23:14:20"/>
    <x v="963"/>
    <n v="7"/>
    <x v="0"/>
    <s v="Admin Rights"/>
    <s v="Medium"/>
    <n v="240"/>
    <x v="1"/>
    <s v="Phone"/>
    <s v="Tier 2"/>
    <x v="2"/>
    <x v="1"/>
    <s v="No"/>
    <s v="Yes"/>
    <n v="4"/>
    <s v="No"/>
    <n v="7"/>
    <n v="1.8"/>
    <n v="15.9"/>
    <s v="Yes"/>
    <s v="Good"/>
    <s v="Yes"/>
    <s v="IT"/>
    <s v="Wednesday"/>
    <s v="Morning"/>
  </r>
  <r>
    <x v="1114"/>
    <s v="2024-05-23 18:29:37"/>
    <x v="8"/>
    <s v="2024-05-29 14:11:37"/>
    <x v="964"/>
    <n v="5.8"/>
    <x v="1"/>
    <s v="Printer"/>
    <s v="High"/>
    <n v="120"/>
    <x v="0"/>
    <s v="Phone"/>
    <s v="Tier 1"/>
    <x v="17"/>
    <x v="0"/>
    <s v="No"/>
    <s v="No"/>
    <n v="1"/>
    <s v="No"/>
    <n v="3"/>
    <n v="4.7"/>
    <n v="25.2"/>
    <s v="Yes"/>
    <s v="Poor"/>
    <s v="Yes"/>
    <s v="IT"/>
    <s v="Friday"/>
    <s v="Afternoon"/>
  </r>
  <r>
    <x v="1115"/>
    <s v="2024-01-06 21:34:36"/>
    <x v="3"/>
    <s v="2024-01-10 01:40:36"/>
    <x v="965"/>
    <n v="4.2"/>
    <x v="2"/>
    <s v="Slow Network"/>
    <s v="High"/>
    <n v="120"/>
    <x v="1"/>
    <s v="Portal"/>
    <s v="Tier 1"/>
    <x v="19"/>
    <x v="2"/>
    <s v="No"/>
    <s v="No"/>
    <n v="1"/>
    <s v="No"/>
    <n v="6"/>
    <n v="1.3"/>
    <n v="10"/>
    <s v="No"/>
    <s v="Fair"/>
    <s v="Yes"/>
    <s v="Marketing"/>
    <s v="Monday"/>
    <s v="Afternoon"/>
  </r>
  <r>
    <x v="1116"/>
    <s v="2024-11-25 06:00:54"/>
    <x v="7"/>
    <s v="2024-12-07 10:36:54"/>
    <x v="43"/>
    <n v="12.2"/>
    <x v="3"/>
    <s v="Application Password"/>
    <s v="Low"/>
    <n v="360"/>
    <x v="1"/>
    <s v="Walk-in"/>
    <s v="Tier 1"/>
    <x v="23"/>
    <x v="1"/>
    <s v="No"/>
    <s v="No"/>
    <n v="1"/>
    <s v="No"/>
    <n v="9"/>
    <n v="2.2000000000000002"/>
    <n v="20.6"/>
    <s v="Yes"/>
    <s v="Poor"/>
    <s v="Yes"/>
    <s v="Executive"/>
    <s v="Friday"/>
    <s v="Morning"/>
  </r>
  <r>
    <x v="1117"/>
    <s v="2024-07-21 12:25:46"/>
    <x v="4"/>
    <s v="2024-07-25 18:37:46"/>
    <x v="966"/>
    <n v="4.3"/>
    <x v="1"/>
    <s v="Docking Station"/>
    <s v="High"/>
    <n v="120"/>
    <x v="1"/>
    <s v="Email"/>
    <s v="Tier 2"/>
    <x v="14"/>
    <x v="0"/>
    <s v="No"/>
    <s v="Yes"/>
    <n v="2"/>
    <s v="No"/>
    <n v="10"/>
    <n v="3.7"/>
    <n v="27.4"/>
    <s v="No"/>
    <s v="Good"/>
    <s v="Yes"/>
    <s v="Legal"/>
    <s v="Wednesday"/>
    <s v="Evening"/>
  </r>
  <r>
    <x v="1118"/>
    <s v="2024-06-08 02:12:24"/>
    <x v="10"/>
    <s v="2024-06-12 13:00:24"/>
    <x v="967"/>
    <n v="3.5"/>
    <x v="1"/>
    <s v="Printer"/>
    <s v="High"/>
    <n v="120"/>
    <x v="1"/>
    <s v="Phone"/>
    <s v="Tier 1"/>
    <x v="8"/>
    <x v="2"/>
    <s v="No"/>
    <s v="No"/>
    <n v="1"/>
    <s v="No"/>
    <n v="8"/>
    <n v="2.9"/>
    <n v="10.199999999999999"/>
    <s v="Yes"/>
    <s v="Excellent"/>
    <s v="No"/>
    <s v="Operations"/>
    <s v="Friday"/>
    <s v="Morning"/>
  </r>
  <r>
    <x v="1119"/>
    <s v="2024-11-16 14:10:52"/>
    <x v="7"/>
    <s v="2024-11-20 06:40:52"/>
    <x v="968"/>
    <n v="3.7"/>
    <x v="6"/>
    <s v="Distribution List"/>
    <s v="High"/>
    <n v="120"/>
    <x v="1"/>
    <s v="Phone"/>
    <s v="Tier 2"/>
    <x v="24"/>
    <x v="0"/>
    <s v="No"/>
    <s v="Yes"/>
    <n v="4"/>
    <s v="No"/>
    <n v="10"/>
    <n v="4.2"/>
    <n v="12.7"/>
    <s v="No"/>
    <s v="Fair"/>
    <s v="Yes"/>
    <s v="Executive"/>
    <s v="Monday"/>
    <s v="Afternoon"/>
  </r>
  <r>
    <x v="1120"/>
    <s v="2024-11-18 04:25:16"/>
    <x v="7"/>
    <s v="2024-11-24 12:19:16"/>
    <x v="969"/>
    <n v="6.3"/>
    <x v="1"/>
    <s v="Printer"/>
    <s v="Medium"/>
    <n v="240"/>
    <x v="1"/>
    <s v="Walk-in"/>
    <s v="Tier 2"/>
    <x v="18"/>
    <x v="0"/>
    <s v="No"/>
    <s v="Yes"/>
    <n v="4"/>
    <s v="Yes"/>
    <n v="9"/>
    <n v="4.2"/>
    <n v="16.600000000000001"/>
    <s v="Yes"/>
    <s v="Excellent"/>
    <s v="Yes"/>
    <s v="Finance"/>
    <s v="Thursday"/>
    <s v="Afternoon"/>
  </r>
  <r>
    <x v="1121"/>
    <s v="2024-10-23 03:14:15"/>
    <x v="2"/>
    <s v="2024-10-30 08:32:15"/>
    <x v="970"/>
    <n v="7.3"/>
    <x v="4"/>
    <s v="Performance"/>
    <s v="Medium"/>
    <n v="240"/>
    <x v="1"/>
    <s v="Walk-in"/>
    <s v="Tier 2"/>
    <x v="9"/>
    <x v="0"/>
    <s v="No"/>
    <s v="Yes"/>
    <n v="3"/>
    <s v="No"/>
    <n v="10"/>
    <n v="2.2000000000000002"/>
    <n v="33.4"/>
    <s v="No"/>
    <s v="Good"/>
    <s v="Yes"/>
    <s v="Finance"/>
    <s v="Friday"/>
    <s v="Evening"/>
  </r>
  <r>
    <x v="1122"/>
    <s v="2024-04-01 15:59:30"/>
    <x v="11"/>
    <s v="2024-04-08 05:23:30"/>
    <x v="971"/>
    <n v="6.6"/>
    <x v="4"/>
    <s v="Performance"/>
    <s v="Medium"/>
    <n v="240"/>
    <x v="1"/>
    <s v="Portal"/>
    <s v="Tier 2"/>
    <x v="10"/>
    <x v="1"/>
    <s v="No"/>
    <s v="Yes"/>
    <n v="3"/>
    <s v="No"/>
    <n v="6"/>
    <n v="3.7"/>
    <n v="20.9"/>
    <s v="Yes"/>
    <s v="Fair"/>
    <s v="Yes"/>
    <s v="IT"/>
    <s v="Thursday"/>
    <s v="Evening"/>
  </r>
  <r>
    <x v="1123"/>
    <s v="2024-01-05 21:50:42"/>
    <x v="3"/>
    <s v="2024-01-14 21:14:42"/>
    <x v="118"/>
    <n v="9"/>
    <x v="7"/>
    <s v="Adobe Suite"/>
    <s v="Medium"/>
    <n v="240"/>
    <x v="1"/>
    <s v="Email"/>
    <s v="Tier 1"/>
    <x v="19"/>
    <x v="2"/>
    <s v="Yes"/>
    <s v="No"/>
    <n v="0"/>
    <s v="No"/>
    <n v="9"/>
    <n v="0.3"/>
    <n v="28.8"/>
    <s v="Yes"/>
    <s v="Poor"/>
    <s v="Yes"/>
    <s v="IT"/>
    <s v="Monday"/>
    <s v="Afternoon"/>
  </r>
  <r>
    <x v="1124"/>
    <s v="2024-08-29 01:12:07"/>
    <x v="1"/>
    <s v="2024-09-25 23:24:07"/>
    <x v="972"/>
    <n v="26.9"/>
    <x v="5"/>
    <s v="General Inquiry"/>
    <s v="Low"/>
    <n v="360"/>
    <x v="0"/>
    <s v="Email"/>
    <s v="Tier 2"/>
    <x v="23"/>
    <x v="2"/>
    <s v="No"/>
    <s v="Yes"/>
    <n v="1"/>
    <s v="No"/>
    <n v="5"/>
    <n v="4"/>
    <n v="13.2"/>
    <s v="Yes"/>
    <s v="Excellent"/>
    <s v="No"/>
    <s v="Legal"/>
    <s v="Wednesday"/>
    <s v="Morning"/>
  </r>
  <r>
    <x v="1125"/>
    <s v="2024-09-29 03:32:15"/>
    <x v="9"/>
    <s v="2024-10-12 08:32:15"/>
    <x v="973"/>
    <n v="13.2"/>
    <x v="5"/>
    <s v="Miscellaneous"/>
    <s v="Low"/>
    <n v="360"/>
    <x v="1"/>
    <s v="Walk-in"/>
    <s v="Tier 1"/>
    <x v="20"/>
    <x v="2"/>
    <s v="No"/>
    <s v="No"/>
    <n v="1"/>
    <s v="Yes"/>
    <n v="8"/>
    <n v="1"/>
    <n v="23.3"/>
    <s v="No"/>
    <s v="Poor"/>
    <s v="Yes"/>
    <s v="Legal"/>
    <s v="Tuesday"/>
    <s v="Afternoon"/>
  </r>
  <r>
    <x v="1126"/>
    <s v="2024-05-20 02:51:23"/>
    <x v="8"/>
    <s v="2024-05-29 09:27:23"/>
    <x v="974"/>
    <n v="8.3000000000000007"/>
    <x v="0"/>
    <s v="Application Access"/>
    <s v="Medium"/>
    <n v="240"/>
    <x v="1"/>
    <s v="Portal"/>
    <s v="Tier 1"/>
    <x v="0"/>
    <x v="1"/>
    <s v="Yes"/>
    <s v="No"/>
    <n v="0"/>
    <s v="No"/>
    <n v="10"/>
    <n v="2.8"/>
    <n v="21"/>
    <s v="Yes"/>
    <s v="Excellent"/>
    <s v="No"/>
    <s v="HR"/>
    <s v="Monday"/>
    <s v="Morning"/>
  </r>
  <r>
    <x v="1127"/>
    <s v="2024-03-01 23:57:31"/>
    <x v="5"/>
    <s v="2024-03-05 17:03:31"/>
    <x v="828"/>
    <n v="3.7"/>
    <x v="4"/>
    <s v="Performance"/>
    <s v="High"/>
    <n v="120"/>
    <x v="1"/>
    <s v="Chat"/>
    <s v="Tier 1"/>
    <x v="11"/>
    <x v="2"/>
    <s v="Yes"/>
    <s v="No"/>
    <n v="0"/>
    <s v="Yes"/>
    <n v="9"/>
    <n v="0.7"/>
    <n v="38.299999999999997"/>
    <s v="Yes"/>
    <s v="Poor"/>
    <s v="No"/>
    <s v="Marketing"/>
    <s v="Wednesday"/>
    <s v="Evening"/>
  </r>
  <r>
    <x v="1128"/>
    <s v="2024-01-11 10:58:12"/>
    <x v="3"/>
    <s v="2024-01-12 18:16:12"/>
    <x v="975"/>
    <n v="1.3"/>
    <x v="0"/>
    <s v="Application Access"/>
    <s v="Critical"/>
    <n v="48"/>
    <x v="1"/>
    <s v="Walk-in"/>
    <s v="Tier 1"/>
    <x v="12"/>
    <x v="0"/>
    <s v="Yes"/>
    <s v="No"/>
    <n v="0"/>
    <s v="No"/>
    <n v="10"/>
    <n v="2.6"/>
    <n v="16.2"/>
    <s v="Yes"/>
    <s v="Good"/>
    <s v="Yes"/>
    <s v="Sales"/>
    <s v="Monday"/>
    <s v="Afternoon"/>
  </r>
  <r>
    <x v="1129"/>
    <s v="2024-10-04 06:42:54"/>
    <x v="2"/>
    <s v="2024-10-17 23:36:54"/>
    <x v="976"/>
    <n v="13.7"/>
    <x v="0"/>
    <s v="Application Access"/>
    <s v="Low"/>
    <n v="360"/>
    <x v="1"/>
    <s v="Phone"/>
    <s v="Tier 1"/>
    <x v="7"/>
    <x v="2"/>
    <s v="Yes"/>
    <s v="No"/>
    <n v="0"/>
    <s v="No"/>
    <n v="10"/>
    <n v="0.6"/>
    <n v="12.3"/>
    <s v="Yes"/>
    <s v="Good"/>
    <s v="No"/>
    <s v="HR"/>
    <s v="Tuesday"/>
    <s v="Morning"/>
  </r>
  <r>
    <x v="1130"/>
    <s v="2024-03-29 02:35:21"/>
    <x v="5"/>
    <s v="2024-04-05 17:59:21"/>
    <x v="710"/>
    <n v="7.6"/>
    <x v="1"/>
    <s v="Docking Station"/>
    <s v="Medium"/>
    <n v="240"/>
    <x v="1"/>
    <s v="Email"/>
    <s v="Tier 1"/>
    <x v="4"/>
    <x v="0"/>
    <s v="No"/>
    <s v="No"/>
    <n v="1"/>
    <s v="No"/>
    <n v="8"/>
    <n v="0.1"/>
    <n v="11.5"/>
    <s v="Yes"/>
    <s v="Excellent"/>
    <s v="Yes"/>
    <s v="Sales"/>
    <s v="Thursday"/>
    <s v="Afternoon"/>
  </r>
  <r>
    <x v="1131"/>
    <s v="2024-08-20 03:52:39"/>
    <x v="1"/>
    <s v="2024-08-23 11:40:39"/>
    <x v="508"/>
    <n v="3.3"/>
    <x v="1"/>
    <s v="Keyboard/Mouse"/>
    <s v="High"/>
    <n v="120"/>
    <x v="1"/>
    <s v="Email"/>
    <s v="Tier 1"/>
    <x v="2"/>
    <x v="2"/>
    <s v="No"/>
    <s v="No"/>
    <n v="1"/>
    <s v="No"/>
    <n v="8"/>
    <n v="2.8"/>
    <n v="24.9"/>
    <s v="No"/>
    <s v="Excellent"/>
    <s v="No"/>
    <s v="HR"/>
    <s v="Tuesday"/>
    <s v="Morning"/>
  </r>
  <r>
    <x v="1132"/>
    <s v="2024-09-25 17:00:07"/>
    <x v="9"/>
    <s v="2024-10-03 16:00:07"/>
    <x v="99"/>
    <n v="8"/>
    <x v="3"/>
    <s v="Application Password"/>
    <s v="Medium"/>
    <n v="240"/>
    <x v="1"/>
    <s v="Phone"/>
    <s v="Tier 1"/>
    <x v="22"/>
    <x v="2"/>
    <s v="Yes"/>
    <s v="No"/>
    <n v="0"/>
    <s v="No"/>
    <n v="10"/>
    <n v="3.8"/>
    <n v="28.3"/>
    <s v="Yes"/>
    <s v="Poor"/>
    <s v="No"/>
    <s v="HR"/>
    <s v="Monday"/>
    <s v="Afternoon"/>
  </r>
  <r>
    <x v="1133"/>
    <s v="2024-11-20 04:45:49"/>
    <x v="7"/>
    <s v="2024-12-02 18:33:49"/>
    <x v="977"/>
    <n v="12.6"/>
    <x v="7"/>
    <s v="Drivers"/>
    <s v="Medium"/>
    <n v="240"/>
    <x v="0"/>
    <s v="Walk-in"/>
    <s v="Tier 1"/>
    <x v="15"/>
    <x v="1"/>
    <s v="No"/>
    <s v="No"/>
    <n v="1"/>
    <s v="No"/>
    <n v="6"/>
    <n v="4"/>
    <n v="47.3"/>
    <s v="Yes"/>
    <s v="Good"/>
    <s v="Yes"/>
    <s v="Legal"/>
    <s v="Tuesday"/>
    <s v="Morning"/>
  </r>
  <r>
    <x v="1134"/>
    <s v="2024-05-13 01:45:16"/>
    <x v="8"/>
    <s v="2024-05-26 22:39:16"/>
    <x v="468"/>
    <n v="12.9"/>
    <x v="3"/>
    <s v="Account Unlock"/>
    <s v="Low"/>
    <n v="360"/>
    <x v="1"/>
    <s v="Phone"/>
    <s v="Tier 1"/>
    <x v="20"/>
    <x v="2"/>
    <s v="No"/>
    <s v="No"/>
    <n v="1"/>
    <s v="No"/>
    <n v="4"/>
    <n v="2.6"/>
    <n v="15.2"/>
    <s v="Yes"/>
    <s v="Fair"/>
    <s v="Yes"/>
    <s v="Executive"/>
    <s v="Tuesday"/>
    <s v="Morning"/>
  </r>
  <r>
    <x v="1135"/>
    <s v="2024-12-25 06:40:11"/>
    <x v="0"/>
    <s v="2025-01-23 09:22:11"/>
    <x v="978"/>
    <n v="29.1"/>
    <x v="4"/>
    <s v="Login Issues"/>
    <s v="Medium"/>
    <n v="240"/>
    <x v="0"/>
    <s v="Phone"/>
    <s v="Tier 1"/>
    <x v="1"/>
    <x v="2"/>
    <s v="No"/>
    <s v="No"/>
    <n v="1"/>
    <s v="No"/>
    <n v="4"/>
    <n v="3.2"/>
    <n v="7.7"/>
    <s v="Yes"/>
    <s v="Fair"/>
    <s v="Yes"/>
    <s v="HR"/>
    <s v="Thursday"/>
    <s v="Afternoon"/>
  </r>
  <r>
    <x v="1136"/>
    <s v="2024-06-20 14:52:53"/>
    <x v="10"/>
    <s v="2024-06-23 01:04:53"/>
    <x v="740"/>
    <n v="3.4"/>
    <x v="1"/>
    <s v="Laptop"/>
    <s v="High"/>
    <n v="120"/>
    <x v="1"/>
    <s v="Walk-in"/>
    <s v="Tier 2"/>
    <x v="7"/>
    <x v="2"/>
    <s v="No"/>
    <s v="Yes"/>
    <n v="4"/>
    <s v="Yes"/>
    <n v="9"/>
    <n v="3.1"/>
    <n v="6.8"/>
    <s v="Yes"/>
    <s v="Fair"/>
    <s v="Yes"/>
    <s v="Executive"/>
    <s v="Wednesday"/>
    <s v="Afternoon"/>
  </r>
  <r>
    <x v="1137"/>
    <s v="2024-04-26 01:38:06"/>
    <x v="11"/>
    <s v="2024-04-30 05:50:06"/>
    <x v="979"/>
    <n v="3.2"/>
    <x v="2"/>
    <s v="Ethernet"/>
    <s v="High"/>
    <n v="120"/>
    <x v="1"/>
    <s v="Phone"/>
    <s v="Tier 2"/>
    <x v="11"/>
    <x v="1"/>
    <s v="No"/>
    <s v="Yes"/>
    <n v="1"/>
    <s v="No"/>
    <n v="8"/>
    <n v="3.6"/>
    <n v="0.6"/>
    <s v="No"/>
    <s v="Fair"/>
    <s v="Yes"/>
    <s v="Finance"/>
    <s v="Wednesday"/>
    <s v="Morning"/>
  </r>
  <r>
    <x v="1138"/>
    <s v="2024-11-01 04:54:05"/>
    <x v="7"/>
    <s v="2024-11-08 03:30:05"/>
    <x v="980"/>
    <n v="6.9"/>
    <x v="7"/>
    <s v="Drivers"/>
    <s v="Medium"/>
    <n v="240"/>
    <x v="1"/>
    <s v="Email"/>
    <s v="Tier 1"/>
    <x v="10"/>
    <x v="2"/>
    <s v="No"/>
    <s v="No"/>
    <n v="1"/>
    <s v="No"/>
    <n v="9"/>
    <n v="5.8"/>
    <n v="27.2"/>
    <s v="Yes"/>
    <s v="Fair"/>
    <s v="Yes"/>
    <s v="Marketing"/>
    <s v="Tuesday"/>
    <s v="Afternoon"/>
  </r>
  <r>
    <x v="1139"/>
    <s v="2024-03-16 14:16:27"/>
    <x v="5"/>
    <s v="2024-03-23 02:22:27"/>
    <x v="981"/>
    <n v="6.5"/>
    <x v="7"/>
    <s v="MS Office"/>
    <s v="Medium"/>
    <n v="240"/>
    <x v="1"/>
    <s v="Phone"/>
    <s v="Tier 1"/>
    <x v="20"/>
    <x v="2"/>
    <s v="No"/>
    <s v="No"/>
    <n v="1"/>
    <s v="No"/>
    <n v="5"/>
    <n v="1.5"/>
    <n v="6.8"/>
    <s v="Yes"/>
    <s v="Poor"/>
    <s v="Yes"/>
    <s v="Operations"/>
    <s v="Monday"/>
    <s v="Evening"/>
  </r>
  <r>
    <x v="1140"/>
    <s v="2024-04-07 07:30:33"/>
    <x v="11"/>
    <s v="2024-04-10 08:24:33"/>
    <x v="527"/>
    <n v="3"/>
    <x v="4"/>
    <s v="Features Not Working"/>
    <s v="High"/>
    <n v="120"/>
    <x v="1"/>
    <s v="Phone"/>
    <s v="Tier 1"/>
    <x v="19"/>
    <x v="2"/>
    <s v="Yes"/>
    <s v="No"/>
    <n v="0"/>
    <s v="No"/>
    <n v="10"/>
    <n v="1.3"/>
    <n v="29.4"/>
    <s v="No"/>
    <s v="Poor"/>
    <s v="No"/>
    <s v="Marketing"/>
    <s v="Tuesday"/>
    <s v="Afternoon"/>
  </r>
  <r>
    <x v="1141"/>
    <s v="2024-06-19 10:02:15"/>
    <x v="10"/>
    <s v="2024-06-24 03:26:15"/>
    <x v="982"/>
    <n v="4.7"/>
    <x v="3"/>
    <s v="Windows Password"/>
    <s v="High"/>
    <n v="120"/>
    <x v="1"/>
    <s v="Walk-in"/>
    <s v="Tier 1"/>
    <x v="10"/>
    <x v="2"/>
    <s v="Yes"/>
    <s v="No"/>
    <n v="0"/>
    <s v="No"/>
    <n v="10"/>
    <n v="0.8"/>
    <n v="34.700000000000003"/>
    <s v="No"/>
    <s v="Fair"/>
    <s v="Yes"/>
    <s v="Legal"/>
    <s v="Monday"/>
    <s v="Afternoon"/>
  </r>
  <r>
    <x v="1142"/>
    <s v="2024-05-19 09:11:47"/>
    <x v="8"/>
    <s v="2024-05-31 18:59:47"/>
    <x v="983"/>
    <n v="12.4"/>
    <x v="0"/>
    <s v="VPN Access"/>
    <s v="Medium"/>
    <n v="240"/>
    <x v="0"/>
    <s v="Email"/>
    <s v="Tier 1"/>
    <x v="4"/>
    <x v="2"/>
    <s v="Yes"/>
    <s v="No"/>
    <n v="0"/>
    <s v="No"/>
    <n v="7"/>
    <n v="1.8"/>
    <n v="24.6"/>
    <s v="Yes"/>
    <s v="Good"/>
    <s v="Yes"/>
    <s v="Executive"/>
    <s v="Monday"/>
    <s v="Evening"/>
  </r>
  <r>
    <x v="1143"/>
    <s v="2024-05-16 22:24:32"/>
    <x v="8"/>
    <s v="2024-05-25 06:54:32"/>
    <x v="984"/>
    <n v="8.4"/>
    <x v="7"/>
    <s v="Adobe Suite"/>
    <s v="Medium"/>
    <n v="240"/>
    <x v="1"/>
    <s v="Chat"/>
    <s v="Tier 2"/>
    <x v="7"/>
    <x v="0"/>
    <s v="No"/>
    <s v="Yes"/>
    <n v="4"/>
    <s v="No"/>
    <n v="8"/>
    <n v="2.7"/>
    <n v="17.399999999999999"/>
    <s v="No"/>
    <s v="Fair"/>
    <s v="No"/>
    <s v="Executive"/>
    <s v="Tuesday"/>
    <s v="Morning"/>
  </r>
  <r>
    <x v="1144"/>
    <s v="2024-11-14 20:50:01"/>
    <x v="7"/>
    <s v="2024-11-25 15:20:01"/>
    <x v="985"/>
    <n v="10.8"/>
    <x v="0"/>
    <s v="VPN Access"/>
    <s v="Medium"/>
    <n v="240"/>
    <x v="0"/>
    <s v="Phone"/>
    <s v="Tier 1"/>
    <x v="24"/>
    <x v="2"/>
    <s v="Yes"/>
    <s v="No"/>
    <n v="0"/>
    <s v="No"/>
    <n v="5"/>
    <n v="4.5999999999999996"/>
    <n v="24.2"/>
    <s v="No"/>
    <s v="Poor"/>
    <s v="No"/>
    <s v="Executive"/>
    <s v="Friday"/>
    <s v="Morning"/>
  </r>
  <r>
    <x v="1145"/>
    <s v="2024-01-17 09:07:54"/>
    <x v="3"/>
    <s v="2024-01-24 03:31:54"/>
    <x v="582"/>
    <n v="6.8"/>
    <x v="1"/>
    <s v="Keyboard/Mouse"/>
    <s v="Medium"/>
    <n v="240"/>
    <x v="1"/>
    <s v="Phone"/>
    <s v="Tier 2"/>
    <x v="20"/>
    <x v="0"/>
    <s v="No"/>
    <s v="Yes"/>
    <n v="1"/>
    <s v="No"/>
    <n v="7"/>
    <n v="0.5"/>
    <n v="26.7"/>
    <s v="No"/>
    <s v="Fair"/>
    <s v="Yes"/>
    <s v="Finance"/>
    <s v="Wednesday"/>
    <s v="Morning"/>
  </r>
  <r>
    <x v="1146"/>
    <s v="2024-11-18 11:35:56"/>
    <x v="7"/>
    <s v="2024-12-04 18:53:56"/>
    <x v="986"/>
    <n v="16.3"/>
    <x v="0"/>
    <s v="File Share"/>
    <s v="Low"/>
    <n v="360"/>
    <x v="0"/>
    <s v="Email"/>
    <s v="Tier 1"/>
    <x v="2"/>
    <x v="1"/>
    <s v="Yes"/>
    <s v="No"/>
    <n v="0"/>
    <s v="Yes"/>
    <n v="5"/>
    <n v="1.1000000000000001"/>
    <n v="19.399999999999999"/>
    <s v="Yes"/>
    <s v="Poor"/>
    <s v="No"/>
    <s v="HR"/>
    <s v="Wednesday"/>
    <s v="Afternoon"/>
  </r>
  <r>
    <x v="1147"/>
    <s v="2024-05-30 16:36:26"/>
    <x v="8"/>
    <s v="2024-06-07 01:48:26"/>
    <x v="591"/>
    <n v="8.4"/>
    <x v="6"/>
    <s v="Mailbox Full"/>
    <s v="Medium"/>
    <n v="240"/>
    <x v="1"/>
    <s v="Phone"/>
    <s v="Tier 1"/>
    <x v="11"/>
    <x v="2"/>
    <s v="No"/>
    <s v="No"/>
    <n v="1"/>
    <s v="No"/>
    <n v="10"/>
    <n v="0.3"/>
    <n v="18.5"/>
    <s v="Yes"/>
    <s v="Fair"/>
    <s v="No"/>
    <s v="IT"/>
    <s v="Wednesday"/>
    <s v="Afternoon"/>
  </r>
  <r>
    <x v="1148"/>
    <s v="2024-12-10 15:26:10"/>
    <x v="0"/>
    <s v="2024-12-17 07:08:10"/>
    <x v="987"/>
    <n v="6.7"/>
    <x v="0"/>
    <s v="VPN Access"/>
    <s v="Medium"/>
    <n v="240"/>
    <x v="1"/>
    <s v="Email"/>
    <s v="Tier 1"/>
    <x v="0"/>
    <x v="1"/>
    <s v="No"/>
    <s v="No"/>
    <n v="1"/>
    <s v="No"/>
    <n v="10"/>
    <n v="4.7"/>
    <n v="17.600000000000001"/>
    <s v="Yes"/>
    <s v="Fair"/>
    <s v="No"/>
    <s v="Operations"/>
    <s v="Friday"/>
    <s v="Evening"/>
  </r>
  <r>
    <x v="1149"/>
    <s v="2024-10-30 02:03:34"/>
    <x v="2"/>
    <s v="2024-11-11 04:33:34"/>
    <x v="302"/>
    <n v="12.1"/>
    <x v="7"/>
    <s v="Business Apps"/>
    <s v="High"/>
    <n v="120"/>
    <x v="0"/>
    <s v="Email"/>
    <s v="Tier 2"/>
    <x v="22"/>
    <x v="0"/>
    <s v="No"/>
    <s v="Yes"/>
    <n v="3"/>
    <s v="No"/>
    <n v="7"/>
    <n v="1.7"/>
    <n v="33.5"/>
    <s v="Yes"/>
    <s v="Fair"/>
    <s v="Yes"/>
    <s v="Finance"/>
    <s v="Wednesday"/>
    <s v="Morning"/>
  </r>
  <r>
    <x v="1150"/>
    <s v="2024-08-30 02:02:52"/>
    <x v="1"/>
    <s v="2024-09-19 16:44:52"/>
    <x v="988"/>
    <n v="19.600000000000001"/>
    <x v="3"/>
    <s v="Account Unlock"/>
    <s v="Low"/>
    <n v="360"/>
    <x v="0"/>
    <s v="Portal"/>
    <s v="Tier 1"/>
    <x v="18"/>
    <x v="1"/>
    <s v="No"/>
    <s v="No"/>
    <n v="1"/>
    <s v="No"/>
    <n v="3"/>
    <n v="5.0999999999999996"/>
    <n v="34.4"/>
    <s v="Yes"/>
    <s v="Fair"/>
    <s v="Yes"/>
    <s v="Sales"/>
    <s v="Tuesday"/>
    <s v="Evening"/>
  </r>
  <r>
    <x v="1151"/>
    <s v="2024-02-06 11:51:57"/>
    <x v="6"/>
    <s v="2024-02-17 00:09:57"/>
    <x v="695"/>
    <n v="11.5"/>
    <x v="3"/>
    <s v="Email Password"/>
    <s v="Low"/>
    <n v="360"/>
    <x v="1"/>
    <s v="Email"/>
    <s v="Tier 1"/>
    <x v="0"/>
    <x v="2"/>
    <s v="Yes"/>
    <s v="No"/>
    <n v="0"/>
    <s v="No"/>
    <n v="10"/>
    <n v="3.5"/>
    <n v="36.200000000000003"/>
    <s v="No"/>
    <s v="Poor"/>
    <s v="Yes"/>
    <s v="HR"/>
    <s v="Friday"/>
    <s v="Morning"/>
  </r>
  <r>
    <x v="1152"/>
    <s v="2024-09-05 23:50:35"/>
    <x v="9"/>
    <s v="2024-09-13 14:38:35"/>
    <x v="989"/>
    <n v="7.6"/>
    <x v="4"/>
    <s v="Crash"/>
    <s v="Medium"/>
    <n v="240"/>
    <x v="1"/>
    <s v="Chat"/>
    <s v="Tier 2"/>
    <x v="13"/>
    <x v="2"/>
    <s v="No"/>
    <s v="Yes"/>
    <n v="2"/>
    <s v="No"/>
    <n v="10"/>
    <n v="4.5"/>
    <n v="23.5"/>
    <s v="No"/>
    <s v="Fair"/>
    <s v="Yes"/>
    <s v="HR"/>
    <s v="Friday"/>
    <s v="Morning"/>
  </r>
  <r>
    <x v="1153"/>
    <s v="2024-04-01 12:31:13"/>
    <x v="11"/>
    <s v="2024-04-15 15:19:13"/>
    <x v="990"/>
    <n v="14.1"/>
    <x v="3"/>
    <s v="Windows Password"/>
    <s v="Low"/>
    <n v="360"/>
    <x v="1"/>
    <s v="Walk-in"/>
    <s v="Tier 1"/>
    <x v="0"/>
    <x v="0"/>
    <s v="Yes"/>
    <s v="No"/>
    <n v="0"/>
    <s v="No"/>
    <n v="8"/>
    <n v="5.8"/>
    <n v="32.1"/>
    <s v="No"/>
    <s v="Fair"/>
    <s v="No"/>
    <s v="Sales"/>
    <s v="Monday"/>
    <s v="Morning"/>
  </r>
  <r>
    <x v="1154"/>
    <s v="2024-09-16 09:44:52"/>
    <x v="9"/>
    <s v="2024-09-20 11:56:52"/>
    <x v="944"/>
    <n v="4.0999999999999996"/>
    <x v="1"/>
    <s v="Keyboard/Mouse"/>
    <s v="High"/>
    <n v="120"/>
    <x v="1"/>
    <s v="Phone"/>
    <s v="Tier 1"/>
    <x v="15"/>
    <x v="2"/>
    <s v="No"/>
    <s v="No"/>
    <n v="1"/>
    <s v="No"/>
    <n v="8"/>
    <n v="2.6"/>
    <n v="41.2"/>
    <s v="No"/>
    <s v="Fair"/>
    <s v="Yes"/>
    <s v="IT"/>
    <s v="Monday"/>
    <s v="Afternoon"/>
  </r>
  <r>
    <x v="1155"/>
    <s v="2024-01-11 19:24:35"/>
    <x v="3"/>
    <s v="2024-01-31 21:18:35"/>
    <x v="991"/>
    <n v="20.100000000000001"/>
    <x v="3"/>
    <s v="Account Unlock"/>
    <s v="Medium"/>
    <n v="240"/>
    <x v="0"/>
    <s v="Email"/>
    <s v="Tier 1"/>
    <x v="17"/>
    <x v="2"/>
    <s v="Yes"/>
    <s v="No"/>
    <n v="0"/>
    <s v="No"/>
    <n v="9"/>
    <n v="2.7"/>
    <n v="11.1"/>
    <s v="No"/>
    <s v="Poor"/>
    <s v="Yes"/>
    <s v="Sales"/>
    <s v="Tuesday"/>
    <s v="Morning"/>
  </r>
  <r>
    <x v="1156"/>
    <s v="2024-09-30 12:44:59"/>
    <x v="9"/>
    <s v="2024-10-29 11:08:59"/>
    <x v="992"/>
    <n v="29"/>
    <x v="7"/>
    <s v="Business Apps"/>
    <s v="Medium"/>
    <n v="240"/>
    <x v="0"/>
    <s v="Email"/>
    <s v="Tier 2"/>
    <x v="3"/>
    <x v="0"/>
    <s v="No"/>
    <s v="Yes"/>
    <n v="2"/>
    <s v="No"/>
    <n v="5"/>
    <n v="1"/>
    <n v="8.6"/>
    <s v="Yes"/>
    <s v="Good"/>
    <s v="Yes"/>
    <s v="IT"/>
    <s v="Monday"/>
    <s v="Afternoon"/>
  </r>
  <r>
    <x v="1157"/>
    <s v="2024-11-12 16:54:32"/>
    <x v="7"/>
    <s v="2024-11-16 07:54:32"/>
    <x v="993"/>
    <n v="3.6"/>
    <x v="2"/>
    <s v="VPN Connection"/>
    <s v="High"/>
    <n v="120"/>
    <x v="1"/>
    <s v="Email"/>
    <s v="Tier 2"/>
    <x v="14"/>
    <x v="2"/>
    <s v="No"/>
    <s v="Yes"/>
    <n v="1"/>
    <s v="No"/>
    <n v="8"/>
    <n v="6.4"/>
    <n v="5.9"/>
    <s v="Yes"/>
    <s v="Good"/>
    <s v="Yes"/>
    <s v="HR"/>
    <s v="Thursday"/>
    <s v="Afternoon"/>
  </r>
  <r>
    <x v="1158"/>
    <s v="2024-05-25 21:45:12"/>
    <x v="8"/>
    <s v="2024-06-07 12:21:12"/>
    <x v="994"/>
    <n v="12.6"/>
    <x v="7"/>
    <s v="Adobe Suite"/>
    <s v="Medium"/>
    <n v="240"/>
    <x v="0"/>
    <s v="Portal"/>
    <s v="Tier 2"/>
    <x v="15"/>
    <x v="1"/>
    <s v="No"/>
    <s v="Yes"/>
    <n v="1"/>
    <s v="No"/>
    <n v="4"/>
    <n v="1.3"/>
    <n v="10.1"/>
    <s v="No"/>
    <s v="Poor"/>
    <s v="No"/>
    <s v="Operations"/>
    <s v="Friday"/>
    <s v="Morning"/>
  </r>
  <r>
    <x v="1159"/>
    <s v="2024-12-06 18:19:39"/>
    <x v="0"/>
    <s v="2024-12-14 18:07:39"/>
    <x v="834"/>
    <n v="8"/>
    <x v="6"/>
    <s v="Distribution List"/>
    <s v="Medium"/>
    <n v="240"/>
    <x v="1"/>
    <s v="Email"/>
    <s v="Tier 1"/>
    <x v="4"/>
    <x v="2"/>
    <s v="Yes"/>
    <s v="No"/>
    <n v="0"/>
    <s v="No"/>
    <n v="10"/>
    <n v="1.5"/>
    <n v="9.6"/>
    <s v="No"/>
    <s v="Fair"/>
    <s v="Yes"/>
    <s v="Sales"/>
    <s v="Thursday"/>
    <s v="Morning"/>
  </r>
  <r>
    <x v="1160"/>
    <s v="2024-11-14 20:45:49"/>
    <x v="7"/>
    <s v="2024-11-17 22:45:49"/>
    <x v="995"/>
    <n v="3.1"/>
    <x v="7"/>
    <s v="MS Office"/>
    <s v="High"/>
    <n v="120"/>
    <x v="1"/>
    <s v="Portal"/>
    <s v="Tier 1"/>
    <x v="21"/>
    <x v="1"/>
    <s v="No"/>
    <s v="No"/>
    <n v="1"/>
    <s v="No"/>
    <n v="10"/>
    <n v="1.3"/>
    <n v="6.2"/>
    <s v="Yes"/>
    <s v="Good"/>
    <s v="No"/>
    <s v="IT"/>
    <s v="Wednesday"/>
    <s v="Morning"/>
  </r>
  <r>
    <x v="1161"/>
    <s v="2024-12-27 06:46:25"/>
    <x v="0"/>
    <s v="2025-01-06 09:46:25"/>
    <x v="775"/>
    <n v="10.1"/>
    <x v="6"/>
    <s v="Cannot Send/Receive"/>
    <s v="Low"/>
    <n v="360"/>
    <x v="1"/>
    <s v="Email"/>
    <s v="Tier 2"/>
    <x v="9"/>
    <x v="0"/>
    <s v="No"/>
    <s v="Yes"/>
    <n v="1"/>
    <s v="No"/>
    <n v="8"/>
    <n v="1.8"/>
    <n v="19.600000000000001"/>
    <s v="Yes"/>
    <s v="Poor"/>
    <s v="No"/>
    <s v="Executive"/>
    <s v="Tuesday"/>
    <s v="Morning"/>
  </r>
  <r>
    <x v="1162"/>
    <s v="2024-06-22 01:26:19"/>
    <x v="10"/>
    <s v="2024-07-01 09:38:19"/>
    <x v="996"/>
    <n v="8.3000000000000007"/>
    <x v="6"/>
    <s v="Distribution List"/>
    <s v="Medium"/>
    <n v="240"/>
    <x v="1"/>
    <s v="Phone"/>
    <s v="Tier 1"/>
    <x v="4"/>
    <x v="2"/>
    <s v="Yes"/>
    <s v="No"/>
    <n v="0"/>
    <s v="No"/>
    <n v="10"/>
    <n v="4.2"/>
    <n v="11.6"/>
    <s v="Yes"/>
    <s v="Fair"/>
    <s v="Yes"/>
    <s v="Finance"/>
    <s v="Tuesday"/>
    <s v="Morning"/>
  </r>
  <r>
    <x v="1163"/>
    <s v="2024-12-28 04:50:24"/>
    <x v="0"/>
    <s v="2025-01-12 07:20:24"/>
    <x v="997"/>
    <n v="15.1"/>
    <x v="6"/>
    <s v="Calendar Sync"/>
    <s v="Low"/>
    <n v="360"/>
    <x v="0"/>
    <s v="Phone"/>
    <s v="Tier 1"/>
    <x v="16"/>
    <x v="1"/>
    <s v="No"/>
    <s v="No"/>
    <n v="1"/>
    <s v="Yes"/>
    <n v="4"/>
    <n v="1"/>
    <n v="29.4"/>
    <s v="Yes"/>
    <s v="Poor"/>
    <s v="Yes"/>
    <s v="Sales"/>
    <s v="Friday"/>
    <s v="Morning"/>
  </r>
  <r>
    <x v="1164"/>
    <s v="2024-11-24 20:15:59"/>
    <x v="7"/>
    <s v="2024-12-03 02:39:59"/>
    <x v="998"/>
    <n v="8.3000000000000007"/>
    <x v="7"/>
    <s v="MS Office"/>
    <s v="Medium"/>
    <n v="240"/>
    <x v="1"/>
    <s v="Walk-in"/>
    <s v="Tier 2"/>
    <x v="17"/>
    <x v="1"/>
    <s v="No"/>
    <s v="Yes"/>
    <n v="4"/>
    <s v="No"/>
    <n v="8"/>
    <n v="1.4"/>
    <n v="17.7"/>
    <s v="Yes"/>
    <s v="Excellent"/>
    <s v="Yes"/>
    <s v="HR"/>
    <s v="Thursday"/>
    <s v="Afternoon"/>
  </r>
  <r>
    <x v="1165"/>
    <s v="2024-10-12 07:39:36"/>
    <x v="2"/>
    <s v="2024-10-24 08:27:36"/>
    <x v="753"/>
    <n v="12"/>
    <x v="5"/>
    <s v="Documentation"/>
    <s v="Medium"/>
    <n v="240"/>
    <x v="0"/>
    <s v="Phone"/>
    <s v="Tier 1"/>
    <x v="13"/>
    <x v="1"/>
    <s v="No"/>
    <s v="No"/>
    <n v="1"/>
    <s v="No"/>
    <n v="3"/>
    <n v="0.1"/>
    <n v="15.5"/>
    <s v="No"/>
    <s v="Fair"/>
    <s v="No"/>
    <s v="HR"/>
    <s v="Thursday"/>
    <s v="Afternoon"/>
  </r>
  <r>
    <x v="1166"/>
    <s v="2024-06-19 07:35:19"/>
    <x v="10"/>
    <s v="2024-07-26 21:35:19"/>
    <x v="999"/>
    <n v="37.6"/>
    <x v="5"/>
    <s v="General Inquiry"/>
    <s v="Low"/>
    <n v="360"/>
    <x v="0"/>
    <s v="Email"/>
    <s v="Tier 1"/>
    <x v="10"/>
    <x v="1"/>
    <s v="No"/>
    <s v="No"/>
    <n v="1"/>
    <s v="No"/>
    <n v="7"/>
    <n v="0.1"/>
    <n v="28.1"/>
    <s v="No"/>
    <s v="Good"/>
    <s v="Yes"/>
    <s v="Marketing"/>
    <s v="Friday"/>
    <s v="Morning"/>
  </r>
  <r>
    <x v="1167"/>
    <s v="2024-02-21 00:17:59"/>
    <x v="6"/>
    <s v="2024-04-05 19:29:59"/>
    <x v="1000"/>
    <n v="43.8"/>
    <x v="3"/>
    <s v="Email Password"/>
    <s v="Low"/>
    <n v="360"/>
    <x v="0"/>
    <s v="Email"/>
    <s v="Tier 1"/>
    <x v="15"/>
    <x v="0"/>
    <s v="Yes"/>
    <s v="No"/>
    <n v="0"/>
    <s v="No"/>
    <n v="6"/>
    <n v="3.4"/>
    <n v="24.5"/>
    <s v="No"/>
    <s v="Fair"/>
    <s v="Yes"/>
    <s v="HR"/>
    <s v="Monday"/>
    <s v="Morning"/>
  </r>
  <r>
    <x v="1168"/>
    <s v="2024-11-05 22:22:57"/>
    <x v="7"/>
    <s v="2024-11-13 07:46:57"/>
    <x v="1001"/>
    <n v="7.4"/>
    <x v="0"/>
    <s v="Application Access"/>
    <s v="Medium"/>
    <n v="240"/>
    <x v="1"/>
    <s v="Email"/>
    <s v="Tier 1"/>
    <x v="1"/>
    <x v="1"/>
    <s v="Yes"/>
    <s v="No"/>
    <n v="0"/>
    <s v="No"/>
    <n v="10"/>
    <n v="3.1"/>
    <n v="11"/>
    <s v="Yes"/>
    <s v="Poor"/>
    <s v="No"/>
    <s v="Sales"/>
    <s v="Wednesday"/>
    <s v="Morning"/>
  </r>
  <r>
    <x v="1169"/>
    <s v="2024-09-09 23:42:10"/>
    <x v="9"/>
    <s v="2024-09-19 06:48:10"/>
    <x v="1002"/>
    <n v="9.3000000000000007"/>
    <x v="0"/>
    <s v="Admin Rights"/>
    <s v="Medium"/>
    <n v="240"/>
    <x v="1"/>
    <s v="Portal"/>
    <s v="Tier 1"/>
    <x v="6"/>
    <x v="2"/>
    <s v="Yes"/>
    <s v="No"/>
    <n v="0"/>
    <s v="No"/>
    <n v="10"/>
    <n v="2.6"/>
    <n v="22.6"/>
    <s v="Yes"/>
    <s v="Good"/>
    <s v="Yes"/>
    <s v="Executive"/>
    <s v="Thursday"/>
    <s v="Morning"/>
  </r>
  <r>
    <x v="1170"/>
    <s v="2024-04-15 03:33:26"/>
    <x v="11"/>
    <s v="2024-04-25 10:57:26"/>
    <x v="1003"/>
    <n v="10.3"/>
    <x v="4"/>
    <s v="Performance"/>
    <s v="Medium"/>
    <n v="240"/>
    <x v="0"/>
    <s v="Walk-in"/>
    <s v="Tier 2"/>
    <x v="8"/>
    <x v="1"/>
    <s v="No"/>
    <s v="Yes"/>
    <n v="3"/>
    <s v="No"/>
    <n v="5"/>
    <n v="2.4"/>
    <n v="33"/>
    <s v="Yes"/>
    <s v="Good"/>
    <s v="Yes"/>
    <s v="Operations"/>
    <s v="Tuesday"/>
    <s v="Morning"/>
  </r>
  <r>
    <x v="1171"/>
    <s v="2024-05-30 14:03:58"/>
    <x v="8"/>
    <s v="2024-06-02 20:39:58"/>
    <x v="301"/>
    <n v="3.3"/>
    <x v="0"/>
    <s v="VPN Access"/>
    <s v="High"/>
    <n v="120"/>
    <x v="1"/>
    <s v="Phone"/>
    <s v="Tier 2"/>
    <x v="6"/>
    <x v="2"/>
    <s v="No"/>
    <s v="Yes"/>
    <n v="1"/>
    <s v="No"/>
    <n v="5"/>
    <n v="1.5"/>
    <n v="33.200000000000003"/>
    <s v="No"/>
    <s v="Fair"/>
    <s v="Yes"/>
    <s v="Finance"/>
    <s v="Friday"/>
    <s v="Morning"/>
  </r>
  <r>
    <x v="1172"/>
    <s v="2024-08-25 01:41:18"/>
    <x v="1"/>
    <s v="2024-09-07 16:05:18"/>
    <x v="515"/>
    <n v="12.6"/>
    <x v="3"/>
    <s v="Account Unlock"/>
    <s v="Low"/>
    <n v="360"/>
    <x v="1"/>
    <s v="Portal"/>
    <s v="Tier 1"/>
    <x v="21"/>
    <x v="0"/>
    <s v="Yes"/>
    <s v="No"/>
    <n v="0"/>
    <s v="No"/>
    <n v="6"/>
    <n v="5.4"/>
    <n v="7.1"/>
    <s v="Yes"/>
    <s v="Good"/>
    <s v="Yes"/>
    <s v="HR"/>
    <s v="Thursday"/>
    <s v="Evening"/>
  </r>
  <r>
    <x v="1173"/>
    <s v="2024-11-26 08:52:33"/>
    <x v="7"/>
    <s v="2024-11-30 10:52:33"/>
    <x v="451"/>
    <n v="4.0999999999999996"/>
    <x v="6"/>
    <s v="Mailbox Full"/>
    <s v="High"/>
    <n v="120"/>
    <x v="1"/>
    <s v="Phone"/>
    <s v="Tier 1"/>
    <x v="13"/>
    <x v="1"/>
    <s v="No"/>
    <s v="No"/>
    <n v="1"/>
    <s v="No"/>
    <n v="8"/>
    <n v="5.2"/>
    <n v="0"/>
    <s v="No"/>
    <s v="Excellent"/>
    <s v="No"/>
    <s v="IT"/>
    <s v="Thursday"/>
    <s v="Afternoon"/>
  </r>
  <r>
    <x v="1174"/>
    <s v="2024-03-08 08:15:01"/>
    <x v="5"/>
    <s v="2024-03-17 14:39:01"/>
    <x v="463"/>
    <n v="9.3000000000000007"/>
    <x v="3"/>
    <s v="Email Password"/>
    <s v="Low"/>
    <n v="360"/>
    <x v="1"/>
    <s v="Email"/>
    <s v="Tier 1"/>
    <x v="4"/>
    <x v="0"/>
    <s v="Yes"/>
    <s v="No"/>
    <n v="0"/>
    <s v="No"/>
    <n v="10"/>
    <n v="1.6"/>
    <n v="0.8"/>
    <s v="Yes"/>
    <s v="Poor"/>
    <s v="Yes"/>
    <s v="HR"/>
    <s v="Wednesday"/>
    <s v="Afternoon"/>
  </r>
  <r>
    <x v="1175"/>
    <s v="2024-03-28 13:31:37"/>
    <x v="5"/>
    <s v="2024-04-02 04:25:37"/>
    <x v="1004"/>
    <n v="4.5999999999999996"/>
    <x v="1"/>
    <s v="Keyboard/Mouse"/>
    <s v="High"/>
    <n v="120"/>
    <x v="1"/>
    <s v="Phone"/>
    <s v="Tier 1"/>
    <x v="10"/>
    <x v="2"/>
    <s v="No"/>
    <s v="No"/>
    <n v="1"/>
    <s v="Yes"/>
    <n v="5"/>
    <n v="2.4"/>
    <n v="14.6"/>
    <s v="No"/>
    <s v="Good"/>
    <s v="Yes"/>
    <s v="Marketing"/>
    <s v="Thursday"/>
    <s v="Afternoon"/>
  </r>
  <r>
    <x v="1176"/>
    <s v="2024-12-14 23:34:42"/>
    <x v="0"/>
    <s v="2024-12-27 02:34:42"/>
    <x v="1005"/>
    <n v="12.1"/>
    <x v="7"/>
    <s v="Drivers"/>
    <s v="Medium"/>
    <n v="240"/>
    <x v="0"/>
    <s v="Email"/>
    <s v="Tier 1"/>
    <x v="9"/>
    <x v="2"/>
    <s v="No"/>
    <s v="No"/>
    <n v="1"/>
    <s v="Yes"/>
    <n v="7"/>
    <n v="3.4"/>
    <n v="0"/>
    <s v="Yes"/>
    <s v="Good"/>
    <s v="Yes"/>
    <s v="Executive"/>
    <s v="Thursday"/>
    <s v="Evening"/>
  </r>
  <r>
    <x v="1177"/>
    <s v="2024-11-20 02:02:47"/>
    <x v="7"/>
    <s v="2024-11-25 12:50:47"/>
    <x v="532"/>
    <n v="5.5"/>
    <x v="2"/>
    <s v="Ethernet"/>
    <s v="High"/>
    <n v="120"/>
    <x v="0"/>
    <s v="Email"/>
    <s v="Tier 2"/>
    <x v="8"/>
    <x v="0"/>
    <s v="No"/>
    <s v="Yes"/>
    <n v="3"/>
    <s v="No"/>
    <n v="8"/>
    <n v="3.1"/>
    <n v="36.1"/>
    <s v="No"/>
    <s v="Poor"/>
    <s v="Yes"/>
    <s v="IT"/>
    <s v="Thursday"/>
    <s v="Afternoon"/>
  </r>
  <r>
    <x v="1178"/>
    <s v="2024-03-09 07:26:51"/>
    <x v="5"/>
    <s v="2024-03-12 21:44:51"/>
    <x v="1006"/>
    <n v="3.6"/>
    <x v="2"/>
    <s v="Ethernet"/>
    <s v="High"/>
    <n v="120"/>
    <x v="1"/>
    <s v="Phone"/>
    <s v="Tier 1"/>
    <x v="12"/>
    <x v="1"/>
    <s v="Yes"/>
    <s v="No"/>
    <n v="0"/>
    <s v="No"/>
    <n v="8"/>
    <n v="1.2"/>
    <n v="26.4"/>
    <s v="Yes"/>
    <s v="Poor"/>
    <s v="No"/>
    <s v="IT"/>
    <s v="Wednesday"/>
    <s v="Afternoon"/>
  </r>
  <r>
    <x v="1179"/>
    <s v="2024-02-01 11:53:25"/>
    <x v="6"/>
    <s v="2024-02-05 19:17:25"/>
    <x v="854"/>
    <n v="4.3"/>
    <x v="5"/>
    <s v="Training Request"/>
    <s v="High"/>
    <n v="120"/>
    <x v="1"/>
    <s v="Email"/>
    <s v="Tier 1"/>
    <x v="8"/>
    <x v="0"/>
    <s v="No"/>
    <s v="No"/>
    <n v="1"/>
    <s v="No"/>
    <n v="7"/>
    <n v="0.9"/>
    <n v="34.200000000000003"/>
    <s v="Yes"/>
    <s v="Poor"/>
    <s v="No"/>
    <s v="Operations"/>
    <s v="Friday"/>
    <s v="Afternoon"/>
  </r>
  <r>
    <x v="1180"/>
    <s v="2024-04-08 04:39:11"/>
    <x v="11"/>
    <s v="2024-04-12 19:27:11"/>
    <x v="633"/>
    <n v="4.5999999999999996"/>
    <x v="6"/>
    <s v="Calendar Sync"/>
    <s v="High"/>
    <n v="120"/>
    <x v="1"/>
    <s v="Phone"/>
    <s v="Tier 1"/>
    <x v="24"/>
    <x v="2"/>
    <s v="No"/>
    <s v="No"/>
    <n v="1"/>
    <s v="No"/>
    <n v="7"/>
    <n v="2.2000000000000002"/>
    <n v="30.5"/>
    <s v="No"/>
    <s v="Poor"/>
    <s v="No"/>
    <s v="Operations"/>
    <s v="Tuesday"/>
    <s v="Afternoon"/>
  </r>
  <r>
    <x v="1181"/>
    <s v="2024-05-23 10:08:36"/>
    <x v="8"/>
    <s v="2024-05-26 16:38:36"/>
    <x v="630"/>
    <n v="3.3"/>
    <x v="4"/>
    <s v="Login Issues"/>
    <s v="High"/>
    <n v="120"/>
    <x v="1"/>
    <s v="Chat"/>
    <s v="Tier 2"/>
    <x v="15"/>
    <x v="1"/>
    <s v="No"/>
    <s v="Yes"/>
    <n v="3"/>
    <s v="No"/>
    <n v="7"/>
    <n v="5.6"/>
    <n v="18"/>
    <s v="Yes"/>
    <s v="Excellent"/>
    <s v="Yes"/>
    <s v="HR"/>
    <s v="Friday"/>
    <s v="Morning"/>
  </r>
  <r>
    <x v="1182"/>
    <s v="2024-07-26 21:21:50"/>
    <x v="4"/>
    <s v="2024-08-08 21:03:50"/>
    <x v="1007"/>
    <n v="13"/>
    <x v="2"/>
    <s v="WiFi Issues"/>
    <s v="Low"/>
    <n v="360"/>
    <x v="1"/>
    <s v="Walk-in"/>
    <s v="Tier 1"/>
    <x v="22"/>
    <x v="1"/>
    <s v="Yes"/>
    <s v="No"/>
    <n v="0"/>
    <s v="No"/>
    <n v="9"/>
    <n v="1.4"/>
    <n v="18.7"/>
    <s v="No"/>
    <s v="Poor"/>
    <s v="No"/>
    <s v="Operations"/>
    <s v="Friday"/>
    <s v="Afternoon"/>
  </r>
  <r>
    <x v="1183"/>
    <s v="2024-11-13 03:08:21"/>
    <x v="7"/>
    <s v="2024-11-27 03:38:21"/>
    <x v="1008"/>
    <n v="14"/>
    <x v="4"/>
    <s v="Performance"/>
    <s v="Medium"/>
    <n v="240"/>
    <x v="0"/>
    <s v="Phone"/>
    <s v="Tier 2"/>
    <x v="8"/>
    <x v="0"/>
    <s v="No"/>
    <s v="Yes"/>
    <n v="2"/>
    <s v="No"/>
    <n v="5"/>
    <n v="1.7"/>
    <n v="41"/>
    <s v="Yes"/>
    <s v="Fair"/>
    <s v="Yes"/>
    <s v="Sales"/>
    <s v="Friday"/>
    <s v="Afternoon"/>
  </r>
  <r>
    <x v="1184"/>
    <s v="2024-01-15 18:01:41"/>
    <x v="3"/>
    <s v="2024-01-22 01:01:41"/>
    <x v="1009"/>
    <n v="7.3"/>
    <x v="6"/>
    <s v="Distribution List"/>
    <s v="Medium"/>
    <n v="240"/>
    <x v="1"/>
    <s v="Email"/>
    <s v="Tier 1"/>
    <x v="11"/>
    <x v="2"/>
    <s v="No"/>
    <s v="No"/>
    <n v="1"/>
    <s v="No"/>
    <n v="10"/>
    <n v="1.4"/>
    <n v="24.1"/>
    <s v="Yes"/>
    <s v="Poor"/>
    <s v="Yes"/>
    <s v="Legal"/>
    <s v="Monday"/>
    <s v="Afternoon"/>
  </r>
  <r>
    <x v="1185"/>
    <s v="2024-12-25 05:17:17"/>
    <x v="0"/>
    <s v="2024-12-28 02:35:17"/>
    <x v="37"/>
    <n v="2.9"/>
    <x v="0"/>
    <s v="Admin Rights"/>
    <s v="Critical"/>
    <n v="48"/>
    <x v="0"/>
    <s v="Phone"/>
    <s v="Tier 1"/>
    <x v="23"/>
    <x v="1"/>
    <s v="Yes"/>
    <s v="No"/>
    <n v="0"/>
    <s v="Yes"/>
    <n v="6"/>
    <n v="2.8"/>
    <n v="19.8"/>
    <s v="Yes"/>
    <s v="Poor"/>
    <s v="Yes"/>
    <s v="Sales"/>
    <s v="Thursday"/>
    <s v="Morning"/>
  </r>
  <r>
    <x v="1186"/>
    <s v="2024-06-27 11:43:07"/>
    <x v="10"/>
    <s v="2024-07-05 05:13:07"/>
    <x v="1010"/>
    <n v="7.7"/>
    <x v="0"/>
    <s v="VPN Access"/>
    <s v="Medium"/>
    <n v="240"/>
    <x v="1"/>
    <s v="Portal"/>
    <s v="Tier 1"/>
    <x v="13"/>
    <x v="2"/>
    <s v="Yes"/>
    <s v="No"/>
    <n v="0"/>
    <s v="No"/>
    <n v="10"/>
    <n v="1.5"/>
    <n v="9.1"/>
    <s v="Yes"/>
    <s v="Fair"/>
    <s v="Yes"/>
    <s v="HR"/>
    <s v="Wednesday"/>
    <s v="Afternoon"/>
  </r>
  <r>
    <x v="1187"/>
    <s v="2024-03-17 02:48:42"/>
    <x v="5"/>
    <s v="2024-03-26 09:42:42"/>
    <x v="1011"/>
    <n v="9.3000000000000007"/>
    <x v="1"/>
    <s v="Monitor"/>
    <s v="Low"/>
    <n v="360"/>
    <x v="1"/>
    <s v="Phone"/>
    <s v="Tier 2"/>
    <x v="19"/>
    <x v="1"/>
    <s v="No"/>
    <s v="Yes"/>
    <n v="1"/>
    <s v="No"/>
    <n v="8"/>
    <n v="2.5"/>
    <n v="24.7"/>
    <s v="Yes"/>
    <s v="Good"/>
    <s v="No"/>
    <s v="Legal"/>
    <s v="Friday"/>
    <s v="Afternoon"/>
  </r>
  <r>
    <x v="1188"/>
    <s v="2024-11-28 09:33:43"/>
    <x v="7"/>
    <s v="2024-12-16 15:33:43"/>
    <x v="1012"/>
    <n v="18.3"/>
    <x v="7"/>
    <s v="MS Office"/>
    <s v="Low"/>
    <n v="360"/>
    <x v="0"/>
    <s v="Portal"/>
    <s v="Tier 1"/>
    <x v="12"/>
    <x v="2"/>
    <s v="No"/>
    <s v="No"/>
    <n v="1"/>
    <s v="No"/>
    <n v="4"/>
    <n v="1.4"/>
    <n v="18.600000000000001"/>
    <s v="Yes"/>
    <s v="Good"/>
    <s v="Yes"/>
    <s v="Operations"/>
    <s v="Tuesday"/>
    <s v="Afternoon"/>
  </r>
  <r>
    <x v="1189"/>
    <s v="2024-10-15 07:14:17"/>
    <x v="2"/>
    <s v="2024-10-18 21:08:17"/>
    <x v="1013"/>
    <n v="3.6"/>
    <x v="4"/>
    <s v="Crash"/>
    <s v="High"/>
    <n v="120"/>
    <x v="1"/>
    <s v="Phone"/>
    <s v="Tier 1"/>
    <x v="20"/>
    <x v="0"/>
    <s v="No"/>
    <s v="No"/>
    <n v="1"/>
    <s v="Yes"/>
    <n v="7"/>
    <n v="3.5"/>
    <n v="8.4"/>
    <s v="No"/>
    <s v="Poor"/>
    <s v="No"/>
    <s v="HR"/>
    <s v="Thursday"/>
    <s v="Morning"/>
  </r>
  <r>
    <x v="1190"/>
    <s v="2024-12-10 06:46:07"/>
    <x v="0"/>
    <s v="2024-12-23 21:28:07"/>
    <x v="1014"/>
    <n v="13.6"/>
    <x v="0"/>
    <s v="Admin Rights"/>
    <s v="Low"/>
    <n v="360"/>
    <x v="1"/>
    <s v="Phone"/>
    <s v="Tier 1"/>
    <x v="13"/>
    <x v="0"/>
    <s v="Yes"/>
    <s v="No"/>
    <n v="0"/>
    <s v="Yes"/>
    <n v="7"/>
    <n v="0.1"/>
    <n v="7.7"/>
    <s v="Yes"/>
    <s v="Fair"/>
    <s v="No"/>
    <s v="IT"/>
    <s v="Friday"/>
    <s v="Afternoon"/>
  </r>
  <r>
    <x v="1191"/>
    <s v="2024-01-18 13:49:00"/>
    <x v="3"/>
    <s v="2024-01-29 18:49:00"/>
    <x v="137"/>
    <n v="11.2"/>
    <x v="3"/>
    <s v="Application Password"/>
    <s v="Low"/>
    <n v="360"/>
    <x v="1"/>
    <s v="Phone"/>
    <s v="Tier 1"/>
    <x v="13"/>
    <x v="2"/>
    <s v="No"/>
    <s v="No"/>
    <n v="1"/>
    <s v="No"/>
    <n v="8"/>
    <n v="4"/>
    <n v="7.4"/>
    <s v="No"/>
    <s v="Poor"/>
    <s v="No"/>
    <s v="Legal"/>
    <s v="Monday"/>
    <s v="Evening"/>
  </r>
  <r>
    <x v="1192"/>
    <s v="2024-12-05 19:21:35"/>
    <x v="0"/>
    <s v="2024-12-10 03:33:35"/>
    <x v="1015"/>
    <n v="4.3"/>
    <x v="3"/>
    <s v="Email Password"/>
    <s v="High"/>
    <n v="120"/>
    <x v="1"/>
    <s v="Email"/>
    <s v="Tier 1"/>
    <x v="19"/>
    <x v="1"/>
    <s v="Yes"/>
    <s v="No"/>
    <n v="0"/>
    <s v="Yes"/>
    <n v="10"/>
    <n v="0.1"/>
    <n v="23.1"/>
    <s v="No"/>
    <s v="Good"/>
    <s v="Yes"/>
    <s v="Finance"/>
    <s v="Friday"/>
    <s v="Morning"/>
  </r>
  <r>
    <x v="1193"/>
    <s v="2024-08-20 07:14:17"/>
    <x v="1"/>
    <s v="2024-08-31 11:26:17"/>
    <x v="1016"/>
    <n v="11.2"/>
    <x v="5"/>
    <s v="Miscellaneous"/>
    <s v="Low"/>
    <n v="360"/>
    <x v="1"/>
    <s v="Portal"/>
    <s v="Tier 1"/>
    <x v="2"/>
    <x v="0"/>
    <s v="No"/>
    <s v="No"/>
    <n v="1"/>
    <s v="No"/>
    <n v="8"/>
    <n v="3.7"/>
    <n v="18.399999999999999"/>
    <s v="Yes"/>
    <s v="Poor"/>
    <s v="No"/>
    <s v="HR"/>
    <s v="Thursday"/>
    <s v="Morning"/>
  </r>
  <r>
    <x v="1194"/>
    <s v="2024-12-04 05:31:07"/>
    <x v="0"/>
    <s v="2024-12-17 18:13:07"/>
    <x v="555"/>
    <n v="13.5"/>
    <x v="0"/>
    <s v="Application Access"/>
    <s v="Low"/>
    <n v="360"/>
    <x v="1"/>
    <s v="Email"/>
    <s v="Tier 1"/>
    <x v="8"/>
    <x v="1"/>
    <s v="Yes"/>
    <s v="No"/>
    <n v="0"/>
    <s v="No"/>
    <n v="10"/>
    <n v="3.2"/>
    <n v="26.5"/>
    <s v="Yes"/>
    <s v="Fair"/>
    <s v="Yes"/>
    <s v="IT"/>
    <s v="Friday"/>
    <s v="Morning"/>
  </r>
  <r>
    <x v="1195"/>
    <s v="2024-02-22 02:10:09"/>
    <x v="6"/>
    <s v="2024-02-26 13:10:09"/>
    <x v="284"/>
    <n v="4.5"/>
    <x v="2"/>
    <s v="WiFi Issues"/>
    <s v="High"/>
    <n v="120"/>
    <x v="1"/>
    <s v="Phone"/>
    <s v="Tier 2"/>
    <x v="9"/>
    <x v="2"/>
    <s v="No"/>
    <s v="Yes"/>
    <n v="4"/>
    <s v="No"/>
    <n v="8"/>
    <n v="2.9"/>
    <n v="22.5"/>
    <s v="Yes"/>
    <s v="Good"/>
    <s v="No"/>
    <s v="IT"/>
    <s v="Friday"/>
    <s v="Morning"/>
  </r>
  <r>
    <x v="1196"/>
    <s v="2024-09-22 01:19:49"/>
    <x v="9"/>
    <s v="2024-10-07 21:37:49"/>
    <x v="1017"/>
    <n v="14.8"/>
    <x v="4"/>
    <s v="Features Not Working"/>
    <s v="Medium"/>
    <n v="240"/>
    <x v="0"/>
    <s v="Portal"/>
    <s v="Tier 2"/>
    <x v="10"/>
    <x v="2"/>
    <s v="No"/>
    <s v="Yes"/>
    <n v="3"/>
    <s v="No"/>
    <n v="7"/>
    <n v="4.8"/>
    <n v="20.8"/>
    <s v="No"/>
    <s v="Fair"/>
    <s v="No"/>
    <s v="Marketing"/>
    <s v="Wednesday"/>
    <s v="Afternoon"/>
  </r>
  <r>
    <x v="1197"/>
    <s v="2024-09-15 06:34:06"/>
    <x v="9"/>
    <s v="2024-09-19 04:58:06"/>
    <x v="1018"/>
    <n v="3.9"/>
    <x v="7"/>
    <s v="Business Apps"/>
    <s v="High"/>
    <n v="120"/>
    <x v="1"/>
    <s v="Email"/>
    <s v="Tier 2"/>
    <x v="17"/>
    <x v="0"/>
    <s v="No"/>
    <s v="Yes"/>
    <n v="1"/>
    <s v="No"/>
    <n v="9"/>
    <n v="2"/>
    <n v="9.9"/>
    <s v="Yes"/>
    <s v="Fair"/>
    <s v="No"/>
    <s v="Sales"/>
    <s v="Tuesday"/>
    <s v="Morning"/>
  </r>
  <r>
    <x v="1198"/>
    <s v="2024-03-02 05:01:14"/>
    <x v="5"/>
    <s v="2024-03-15 05:55:14"/>
    <x v="153"/>
    <n v="13"/>
    <x v="0"/>
    <s v="File Share"/>
    <s v="Medium"/>
    <n v="240"/>
    <x v="0"/>
    <s v="Phone"/>
    <s v="Tier 1"/>
    <x v="14"/>
    <x v="2"/>
    <s v="Yes"/>
    <s v="No"/>
    <n v="0"/>
    <s v="No"/>
    <n v="6"/>
    <n v="3.6"/>
    <n v="29"/>
    <s v="Yes"/>
    <s v="Poor"/>
    <s v="No"/>
    <s v="Finance"/>
    <s v="Tuesday"/>
    <s v="Afternoon"/>
  </r>
  <r>
    <x v="1199"/>
    <s v="2024-07-28 08:16:27"/>
    <x v="4"/>
    <s v="2024-07-31 21:28:27"/>
    <x v="216"/>
    <n v="3.6"/>
    <x v="7"/>
    <s v="VPN Client"/>
    <s v="High"/>
    <n v="120"/>
    <x v="1"/>
    <s v="Portal"/>
    <s v="Tier 1"/>
    <x v="23"/>
    <x v="1"/>
    <s v="Yes"/>
    <s v="No"/>
    <n v="0"/>
    <s v="No"/>
    <n v="8"/>
    <n v="1.5"/>
    <n v="22.2"/>
    <s v="Yes"/>
    <s v="Fair"/>
    <s v="Yes"/>
    <s v="Marketing"/>
    <s v="Monday"/>
    <s v="Morning"/>
  </r>
  <r>
    <x v="1200"/>
    <s v="2024-03-09 23:09:45"/>
    <x v="5"/>
    <s v="2024-03-16 10:15:45"/>
    <x v="812"/>
    <n v="6.5"/>
    <x v="0"/>
    <s v="Admin Rights"/>
    <s v="Medium"/>
    <n v="240"/>
    <x v="1"/>
    <s v="Email"/>
    <s v="Tier 1"/>
    <x v="9"/>
    <x v="2"/>
    <s v="No"/>
    <s v="No"/>
    <n v="1"/>
    <s v="No"/>
    <n v="7"/>
    <n v="2.2000000000000002"/>
    <n v="6.6"/>
    <s v="No"/>
    <s v="Fair"/>
    <s v="No"/>
    <s v="Operations"/>
    <s v="Thursday"/>
    <s v="Afternoon"/>
  </r>
  <r>
    <x v="1201"/>
    <s v="2024-10-19 18:29:59"/>
    <x v="2"/>
    <s v="2024-11-02 19:17:59"/>
    <x v="1019"/>
    <n v="14.1"/>
    <x v="3"/>
    <s v="Windows Password"/>
    <s v="Low"/>
    <n v="360"/>
    <x v="1"/>
    <s v="Chat"/>
    <s v="Tier 1"/>
    <x v="6"/>
    <x v="0"/>
    <s v="Yes"/>
    <s v="No"/>
    <n v="0"/>
    <s v="No"/>
    <n v="10"/>
    <n v="1.5"/>
    <n v="12.2"/>
    <s v="Yes"/>
    <s v="Poor"/>
    <s v="No"/>
    <s v="Legal"/>
    <s v="Wednesday"/>
    <s v="Morning"/>
  </r>
  <r>
    <x v="1202"/>
    <s v="2024-12-01 23:43:48"/>
    <x v="0"/>
    <s v="2024-12-05 23:49:48"/>
    <x v="1020"/>
    <n v="4"/>
    <x v="4"/>
    <s v="Performance"/>
    <s v="High"/>
    <n v="120"/>
    <x v="1"/>
    <s v="Portal"/>
    <s v="Tier 1"/>
    <x v="17"/>
    <x v="2"/>
    <s v="No"/>
    <s v="No"/>
    <n v="1"/>
    <s v="No"/>
    <n v="8"/>
    <n v="2.9"/>
    <n v="0"/>
    <s v="Yes"/>
    <s v="Poor"/>
    <s v="Yes"/>
    <s v="Marketing"/>
    <s v="Monday"/>
    <s v="Afternoon"/>
  </r>
  <r>
    <x v="1203"/>
    <s v="2024-02-28 10:08:14"/>
    <x v="6"/>
    <s v="2024-03-02 13:02:14"/>
    <x v="781"/>
    <n v="3.1"/>
    <x v="7"/>
    <s v="VPN Client"/>
    <s v="High"/>
    <n v="120"/>
    <x v="1"/>
    <s v="Email"/>
    <s v="Tier 1"/>
    <x v="15"/>
    <x v="1"/>
    <s v="Yes"/>
    <s v="No"/>
    <n v="0"/>
    <s v="No"/>
    <n v="10"/>
    <n v="1.4"/>
    <n v="26.7"/>
    <s v="No"/>
    <s v="Good"/>
    <s v="Yes"/>
    <s v="Sales"/>
    <s v="Friday"/>
    <s v="Evening"/>
  </r>
  <r>
    <x v="1204"/>
    <s v="2024-01-28 18:16:52"/>
    <x v="3"/>
    <s v="2024-02-05 23:22:52"/>
    <x v="1021"/>
    <n v="8.1999999999999993"/>
    <x v="6"/>
    <s v="Cannot Send/Receive"/>
    <s v="Medium"/>
    <n v="240"/>
    <x v="1"/>
    <s v="Portal"/>
    <s v="Tier 2"/>
    <x v="13"/>
    <x v="0"/>
    <s v="No"/>
    <s v="Yes"/>
    <n v="3"/>
    <s v="No"/>
    <n v="6"/>
    <n v="0.4"/>
    <n v="9.1"/>
    <s v="Yes"/>
    <s v="Excellent"/>
    <s v="Yes"/>
    <s v="IT"/>
    <s v="Friday"/>
    <s v="Morning"/>
  </r>
  <r>
    <x v="1205"/>
    <s v="2024-12-07 10:37:04"/>
    <x v="0"/>
    <s v="2024-12-16 20:55:04"/>
    <x v="767"/>
    <n v="9.4"/>
    <x v="3"/>
    <s v="Account Unlock"/>
    <s v="Low"/>
    <n v="360"/>
    <x v="1"/>
    <s v="Phone"/>
    <s v="Tier 1"/>
    <x v="18"/>
    <x v="2"/>
    <s v="Yes"/>
    <s v="No"/>
    <n v="0"/>
    <s v="No"/>
    <n v="10"/>
    <n v="0.5"/>
    <n v="0"/>
    <s v="Yes"/>
    <s v="Good"/>
    <s v="Yes"/>
    <s v="HR"/>
    <s v="Thursday"/>
    <s v="Afternoon"/>
  </r>
  <r>
    <x v="1206"/>
    <s v="2024-02-19 22:20:52"/>
    <x v="6"/>
    <s v="2024-03-01 17:50:52"/>
    <x v="312"/>
    <n v="10.8"/>
    <x v="3"/>
    <s v="Application Password"/>
    <s v="Low"/>
    <n v="360"/>
    <x v="1"/>
    <s v="Phone"/>
    <s v="Tier 1"/>
    <x v="16"/>
    <x v="2"/>
    <s v="Yes"/>
    <s v="No"/>
    <n v="0"/>
    <s v="No"/>
    <n v="10"/>
    <n v="4.3"/>
    <n v="6.1"/>
    <s v="Yes"/>
    <s v="Fair"/>
    <s v="No"/>
    <s v="HR"/>
    <s v="Thursday"/>
    <s v="Morning"/>
  </r>
  <r>
    <x v="1207"/>
    <s v="2024-11-03 00:43:05"/>
    <x v="7"/>
    <s v="2024-11-07 18:13:05"/>
    <x v="1022"/>
    <n v="3.7"/>
    <x v="6"/>
    <s v="Mailbox Full"/>
    <s v="High"/>
    <n v="120"/>
    <x v="1"/>
    <s v="Email"/>
    <s v="Tier 1"/>
    <x v="5"/>
    <x v="1"/>
    <s v="Yes"/>
    <s v="No"/>
    <n v="0"/>
    <s v="No"/>
    <n v="10"/>
    <n v="1.7"/>
    <n v="35.299999999999997"/>
    <s v="Yes"/>
    <s v="Good"/>
    <s v="Yes"/>
    <s v="HR"/>
    <s v="Thursday"/>
    <s v="Afternoon"/>
  </r>
  <r>
    <x v="1208"/>
    <s v="2024-10-13 17:33:50"/>
    <x v="2"/>
    <s v="2024-10-27 07:57:50"/>
    <x v="1023"/>
    <n v="13.6"/>
    <x v="3"/>
    <s v="Windows Password"/>
    <s v="Low"/>
    <n v="360"/>
    <x v="1"/>
    <s v="Email"/>
    <s v="Tier 1"/>
    <x v="22"/>
    <x v="1"/>
    <s v="No"/>
    <s v="No"/>
    <n v="1"/>
    <s v="Yes"/>
    <n v="6"/>
    <n v="3.7"/>
    <n v="10"/>
    <s v="No"/>
    <s v="Poor"/>
    <s v="Yes"/>
    <s v="Operations"/>
    <s v="Friday"/>
    <s v="Morning"/>
  </r>
  <r>
    <x v="1209"/>
    <s v="2024-01-12 06:48:34"/>
    <x v="3"/>
    <s v="2024-01-21 10:54:34"/>
    <x v="894"/>
    <n v="9.1999999999999993"/>
    <x v="0"/>
    <s v="Admin Rights"/>
    <s v="Medium"/>
    <n v="240"/>
    <x v="1"/>
    <s v="Portal"/>
    <s v="Tier 1"/>
    <x v="14"/>
    <x v="2"/>
    <s v="No"/>
    <s v="No"/>
    <n v="1"/>
    <s v="No"/>
    <n v="9"/>
    <n v="1.8"/>
    <n v="12.1"/>
    <s v="Yes"/>
    <s v="Fair"/>
    <s v="Yes"/>
    <s v="Operations"/>
    <s v="Wednesday"/>
    <s v="Morning"/>
  </r>
  <r>
    <x v="1210"/>
    <s v="2024-12-18 04:45:21"/>
    <x v="0"/>
    <s v="2024-12-22 12:45:21"/>
    <x v="1024"/>
    <n v="4.3"/>
    <x v="2"/>
    <s v="Slow Network"/>
    <s v="High"/>
    <n v="120"/>
    <x v="1"/>
    <s v="Email"/>
    <s v="Tier 2"/>
    <x v="23"/>
    <x v="1"/>
    <s v="No"/>
    <s v="Yes"/>
    <n v="4"/>
    <s v="No"/>
    <n v="10"/>
    <n v="1"/>
    <n v="20"/>
    <s v="No"/>
    <s v="Fair"/>
    <s v="Yes"/>
    <s v="HR"/>
    <s v="Wednesday"/>
    <s v="Afternoon"/>
  </r>
  <r>
    <x v="1211"/>
    <s v="2024-04-15 09:42:16"/>
    <x v="11"/>
    <s v="2024-04-29 07:54:16"/>
    <x v="1025"/>
    <n v="13.9"/>
    <x v="5"/>
    <s v="Training Request"/>
    <s v="Low"/>
    <n v="360"/>
    <x v="1"/>
    <s v="Portal"/>
    <s v="Tier 1"/>
    <x v="6"/>
    <x v="1"/>
    <s v="Yes"/>
    <s v="No"/>
    <n v="0"/>
    <s v="No"/>
    <n v="10"/>
    <n v="4.3"/>
    <n v="18.399999999999999"/>
    <s v="Yes"/>
    <s v="Good"/>
    <s v="Yes"/>
    <s v="HR"/>
    <s v="Wednesday"/>
    <s v="Afternoon"/>
  </r>
  <r>
    <x v="1212"/>
    <s v="2024-02-28 07:04:48"/>
    <x v="6"/>
    <s v="2024-03-07 20:16:48"/>
    <x v="1026"/>
    <n v="8.5"/>
    <x v="0"/>
    <s v="VPN Access"/>
    <s v="Medium"/>
    <n v="240"/>
    <x v="1"/>
    <s v="Portal"/>
    <s v="Tier 1"/>
    <x v="6"/>
    <x v="2"/>
    <s v="No"/>
    <s v="No"/>
    <n v="1"/>
    <s v="No"/>
    <n v="9"/>
    <n v="3.7"/>
    <n v="26.9"/>
    <s v="Yes"/>
    <s v="Fair"/>
    <s v="No"/>
    <s v="HR"/>
    <s v="Tuesday"/>
    <s v="Afternoon"/>
  </r>
  <r>
    <x v="1213"/>
    <s v="2024-09-15 06:30:25"/>
    <x v="9"/>
    <s v="2024-09-19 03:36:25"/>
    <x v="1027"/>
    <n v="3.9"/>
    <x v="2"/>
    <s v="VPN Connection"/>
    <s v="High"/>
    <n v="120"/>
    <x v="1"/>
    <s v="Walk-in"/>
    <s v="Tier 1"/>
    <x v="24"/>
    <x v="0"/>
    <s v="Yes"/>
    <s v="No"/>
    <n v="0"/>
    <s v="No"/>
    <n v="8"/>
    <n v="1"/>
    <n v="15.4"/>
    <s v="Yes"/>
    <s v="Poor"/>
    <s v="Yes"/>
    <s v="Marketing"/>
    <s v="Tuesday"/>
    <s v="Evening"/>
  </r>
  <r>
    <x v="1214"/>
    <s v="2024-06-05 08:46:37"/>
    <x v="10"/>
    <s v="2024-06-12 18:52:37"/>
    <x v="1028"/>
    <n v="7.4"/>
    <x v="2"/>
    <s v="Ethernet"/>
    <s v="Medium"/>
    <n v="240"/>
    <x v="1"/>
    <s v="Walk-in"/>
    <s v="Tier 1"/>
    <x v="11"/>
    <x v="0"/>
    <s v="No"/>
    <s v="No"/>
    <n v="1"/>
    <s v="No"/>
    <n v="8"/>
    <n v="0.1"/>
    <n v="33.799999999999997"/>
    <s v="Yes"/>
    <s v="Good"/>
    <s v="Yes"/>
    <s v="Operations"/>
    <s v="Thursday"/>
    <s v="Morning"/>
  </r>
  <r>
    <x v="1215"/>
    <s v="2024-09-03 11:52:46"/>
    <x v="9"/>
    <s v="2024-09-28 09:46:46"/>
    <x v="1029"/>
    <n v="24.9"/>
    <x v="1"/>
    <s v="Docking Station"/>
    <s v="Medium"/>
    <n v="240"/>
    <x v="0"/>
    <s v="Email"/>
    <s v="Tier 1"/>
    <x v="6"/>
    <x v="2"/>
    <s v="No"/>
    <s v="No"/>
    <n v="1"/>
    <s v="No"/>
    <n v="5"/>
    <n v="2.5"/>
    <n v="20.5"/>
    <s v="Yes"/>
    <s v="Fair"/>
    <s v="Yes"/>
    <s v="IT"/>
    <s v="Wednesday"/>
    <s v="Morning"/>
  </r>
  <r>
    <x v="1216"/>
    <s v="2024-01-03 11:45:42"/>
    <x v="3"/>
    <s v="2024-01-20 18:15:42"/>
    <x v="1030"/>
    <n v="17.3"/>
    <x v="3"/>
    <s v="Application Password"/>
    <s v="Low"/>
    <n v="360"/>
    <x v="0"/>
    <s v="Walk-in"/>
    <s v="Tier 1"/>
    <x v="13"/>
    <x v="2"/>
    <s v="Yes"/>
    <s v="No"/>
    <n v="0"/>
    <s v="Yes"/>
    <n v="5"/>
    <n v="0.1"/>
    <n v="5.9"/>
    <s v="Yes"/>
    <s v="Excellent"/>
    <s v="Yes"/>
    <s v="Sales"/>
    <s v="Monday"/>
    <s v="Afternoon"/>
  </r>
  <r>
    <x v="1217"/>
    <s v="2024-01-28 06:54:15"/>
    <x v="3"/>
    <s v="2024-02-03 10:00:15"/>
    <x v="1031"/>
    <n v="6.1"/>
    <x v="0"/>
    <s v="File Share"/>
    <s v="Medium"/>
    <n v="240"/>
    <x v="1"/>
    <s v="Phone"/>
    <s v="Tier 2"/>
    <x v="10"/>
    <x v="2"/>
    <s v="No"/>
    <s v="Yes"/>
    <n v="2"/>
    <s v="No"/>
    <n v="5"/>
    <n v="1.4"/>
    <n v="36.200000000000003"/>
    <s v="Yes"/>
    <s v="Good"/>
    <s v="No"/>
    <s v="Marketing"/>
    <s v="Thursday"/>
    <s v="Afternoon"/>
  </r>
  <r>
    <x v="1218"/>
    <s v="2024-11-14 14:19:25"/>
    <x v="7"/>
    <s v="2024-12-05 02:13:25"/>
    <x v="1032"/>
    <n v="20.5"/>
    <x v="1"/>
    <s v="Desktop"/>
    <s v="Medium"/>
    <n v="240"/>
    <x v="0"/>
    <s v="Walk-in"/>
    <s v="Tier 2"/>
    <x v="18"/>
    <x v="1"/>
    <s v="No"/>
    <s v="Yes"/>
    <n v="1"/>
    <s v="No"/>
    <n v="7"/>
    <n v="0.1"/>
    <n v="28"/>
    <s v="No"/>
    <s v="Fair"/>
    <s v="No"/>
    <s v="HR"/>
    <s v="Tuesday"/>
    <s v="Morning"/>
  </r>
  <r>
    <x v="1219"/>
    <s v="2024-10-20 17:37:47"/>
    <x v="2"/>
    <s v="2024-10-25 03:55:47"/>
    <x v="790"/>
    <n v="4.4000000000000004"/>
    <x v="4"/>
    <s v="Login Issues"/>
    <s v="High"/>
    <n v="120"/>
    <x v="1"/>
    <s v="Portal"/>
    <s v="Tier 1"/>
    <x v="8"/>
    <x v="0"/>
    <s v="No"/>
    <s v="No"/>
    <n v="1"/>
    <s v="No"/>
    <n v="7"/>
    <n v="5.4"/>
    <n v="8.3000000000000007"/>
    <s v="No"/>
    <s v="Poor"/>
    <s v="No"/>
    <s v="HR"/>
    <s v="Thursday"/>
    <s v="Morning"/>
  </r>
  <r>
    <x v="1220"/>
    <s v="2024-05-20 20:17:23"/>
    <x v="8"/>
    <s v="2024-05-31 13:35:23"/>
    <x v="1033"/>
    <n v="10.7"/>
    <x v="4"/>
    <s v="Features Not Working"/>
    <s v="High"/>
    <n v="120"/>
    <x v="0"/>
    <s v="Phone"/>
    <s v="Tier 1"/>
    <x v="16"/>
    <x v="0"/>
    <s v="Yes"/>
    <s v="No"/>
    <n v="0"/>
    <s v="No"/>
    <n v="6"/>
    <n v="2.2999999999999998"/>
    <n v="32.299999999999997"/>
    <s v="No"/>
    <s v="Fair"/>
    <s v="Yes"/>
    <s v="Marketing"/>
    <s v="Wednesday"/>
    <s v="Evening"/>
  </r>
  <r>
    <x v="1221"/>
    <s v="2024-05-07 20:51:49"/>
    <x v="8"/>
    <s v="2024-05-11 09:45:49"/>
    <x v="882"/>
    <n v="3.5"/>
    <x v="1"/>
    <s v="Keyboard/Mouse"/>
    <s v="High"/>
    <n v="120"/>
    <x v="1"/>
    <s v="Email"/>
    <s v="Tier 2"/>
    <x v="21"/>
    <x v="1"/>
    <s v="No"/>
    <s v="Yes"/>
    <n v="3"/>
    <s v="No"/>
    <n v="8"/>
    <n v="2.6"/>
    <n v="39.6"/>
    <s v="No"/>
    <s v="Good"/>
    <s v="Yes"/>
    <s v="IT"/>
    <s v="Friday"/>
    <s v="Evening"/>
  </r>
  <r>
    <x v="1222"/>
    <s v="2024-02-20 16:31:58"/>
    <x v="6"/>
    <s v="2024-02-26 03:13:58"/>
    <x v="1034"/>
    <n v="5.4"/>
    <x v="2"/>
    <s v="VPN Connection"/>
    <s v="Critical"/>
    <n v="48"/>
    <x v="0"/>
    <s v="Email"/>
    <s v="Tier 1"/>
    <x v="19"/>
    <x v="1"/>
    <s v="No"/>
    <s v="No"/>
    <n v="1"/>
    <s v="No"/>
    <n v="4"/>
    <n v="2.2999999999999998"/>
    <n v="36.1"/>
    <s v="Yes"/>
    <s v="Poor"/>
    <s v="Yes"/>
    <s v="Legal"/>
    <s v="Monday"/>
    <s v="Afternoon"/>
  </r>
  <r>
    <x v="1223"/>
    <s v="2024-07-15 21:01:57"/>
    <x v="4"/>
    <s v="2024-07-23 10:31:57"/>
    <x v="187"/>
    <n v="7.6"/>
    <x v="7"/>
    <s v="Adobe Suite"/>
    <s v="Medium"/>
    <n v="240"/>
    <x v="1"/>
    <s v="Phone"/>
    <s v="Tier 2"/>
    <x v="21"/>
    <x v="2"/>
    <s v="No"/>
    <s v="Yes"/>
    <n v="3"/>
    <s v="Yes"/>
    <n v="9"/>
    <n v="1"/>
    <n v="11.8"/>
    <s v="No"/>
    <s v="Excellent"/>
    <s v="No"/>
    <s v="Legal"/>
    <s v="Tuesday"/>
    <s v="Afternoon"/>
  </r>
  <r>
    <x v="1224"/>
    <s v="2024-09-14 05:06:24"/>
    <x v="9"/>
    <s v="2024-09-25 09:36:24"/>
    <x v="1035"/>
    <n v="11.2"/>
    <x v="3"/>
    <s v="Application Password"/>
    <s v="Low"/>
    <n v="360"/>
    <x v="1"/>
    <s v="Email"/>
    <s v="Tier 1"/>
    <x v="3"/>
    <x v="0"/>
    <s v="Yes"/>
    <s v="No"/>
    <n v="0"/>
    <s v="No"/>
    <n v="7"/>
    <n v="0.4"/>
    <n v="5"/>
    <s v="Yes"/>
    <s v="Excellent"/>
    <s v="No"/>
    <s v="Marketing"/>
    <s v="Wednesday"/>
    <s v="Evening"/>
  </r>
  <r>
    <x v="1225"/>
    <s v="2024-10-21 21:03:37"/>
    <x v="2"/>
    <s v="2024-10-30 22:21:37"/>
    <x v="389"/>
    <n v="9.1"/>
    <x v="0"/>
    <s v="Application Access"/>
    <s v="Medium"/>
    <n v="240"/>
    <x v="1"/>
    <s v="Phone"/>
    <s v="Tier 1"/>
    <x v="0"/>
    <x v="1"/>
    <s v="No"/>
    <s v="No"/>
    <n v="1"/>
    <s v="Yes"/>
    <n v="8"/>
    <n v="2.4"/>
    <n v="12.7"/>
    <s v="Yes"/>
    <s v="Good"/>
    <s v="Yes"/>
    <s v="Finance"/>
    <s v="Thursday"/>
    <s v="Morning"/>
  </r>
  <r>
    <x v="1226"/>
    <s v="2024-10-30 13:07:10"/>
    <x v="2"/>
    <s v="2024-11-05 22:31:10"/>
    <x v="1036"/>
    <n v="6.4"/>
    <x v="0"/>
    <s v="Admin Rights"/>
    <s v="High"/>
    <n v="120"/>
    <x v="0"/>
    <s v="Portal"/>
    <s v="Tier 1"/>
    <x v="9"/>
    <x v="1"/>
    <s v="Yes"/>
    <s v="No"/>
    <n v="0"/>
    <s v="No"/>
    <n v="6"/>
    <n v="0.4"/>
    <n v="1.2"/>
    <s v="Yes"/>
    <s v="Fair"/>
    <s v="No"/>
    <s v="Sales"/>
    <s v="Friday"/>
    <s v="Morning"/>
  </r>
  <r>
    <x v="1227"/>
    <s v="2024-12-30 21:47:32"/>
    <x v="0"/>
    <s v="2025-01-14 11:05:32"/>
    <x v="1037"/>
    <n v="14.6"/>
    <x v="6"/>
    <s v="Mailbox Full"/>
    <s v="Medium"/>
    <n v="240"/>
    <x v="0"/>
    <s v="Phone"/>
    <s v="Tier 1"/>
    <x v="10"/>
    <x v="2"/>
    <s v="No"/>
    <s v="No"/>
    <n v="1"/>
    <s v="No"/>
    <n v="6"/>
    <n v="3.1"/>
    <n v="15.1"/>
    <s v="Yes"/>
    <s v="Fair"/>
    <s v="Yes"/>
    <s v="Executive"/>
    <s v="Thursday"/>
    <s v="Afternoon"/>
  </r>
  <r>
    <x v="1228"/>
    <s v="2024-04-02 21:56:00"/>
    <x v="11"/>
    <s v="2024-04-11 13:32:00"/>
    <x v="1038"/>
    <n v="8.6999999999999993"/>
    <x v="0"/>
    <s v="Admin Rights"/>
    <s v="Medium"/>
    <n v="240"/>
    <x v="1"/>
    <s v="Phone"/>
    <s v="Tier 1"/>
    <x v="20"/>
    <x v="0"/>
    <s v="Yes"/>
    <s v="No"/>
    <n v="0"/>
    <s v="No"/>
    <n v="10"/>
    <n v="0.2"/>
    <n v="32.299999999999997"/>
    <s v="Yes"/>
    <s v="Good"/>
    <s v="No"/>
    <s v="Legal"/>
    <s v="Thursday"/>
    <s v="Afternoon"/>
  </r>
  <r>
    <x v="1229"/>
    <s v="2024-04-25 00:14:26"/>
    <x v="11"/>
    <s v="2024-04-29 18:44:26"/>
    <x v="501"/>
    <n v="3.8"/>
    <x v="4"/>
    <s v="Login Issues"/>
    <s v="High"/>
    <n v="120"/>
    <x v="1"/>
    <s v="Email"/>
    <s v="Tier 2"/>
    <x v="11"/>
    <x v="2"/>
    <s v="No"/>
    <s v="Yes"/>
    <n v="4"/>
    <s v="No"/>
    <n v="6"/>
    <n v="0.1"/>
    <n v="16.600000000000001"/>
    <s v="No"/>
    <s v="Good"/>
    <s v="No"/>
    <s v="Sales"/>
    <s v="Friday"/>
    <s v="Afternoon"/>
  </r>
  <r>
    <x v="1230"/>
    <s v="2024-08-10 17:24:41"/>
    <x v="1"/>
    <s v="2024-09-14 01:54:41"/>
    <x v="1039"/>
    <n v="35.4"/>
    <x v="5"/>
    <s v="General Inquiry"/>
    <s v="Low"/>
    <n v="360"/>
    <x v="0"/>
    <s v="Email"/>
    <s v="Tier 1"/>
    <x v="20"/>
    <x v="1"/>
    <s v="No"/>
    <s v="No"/>
    <n v="1"/>
    <s v="No"/>
    <n v="5"/>
    <n v="0.6"/>
    <n v="33"/>
    <s v="Yes"/>
    <s v="Poor"/>
    <s v="No"/>
    <s v="Sales"/>
    <s v="Tuesday"/>
    <s v="Morning"/>
  </r>
  <r>
    <x v="1231"/>
    <s v="2024-08-23 11:01:26"/>
    <x v="1"/>
    <s v="2024-09-18 18:43:26"/>
    <x v="1040"/>
    <n v="26.3"/>
    <x v="2"/>
    <s v="Ethernet"/>
    <s v="Medium"/>
    <n v="240"/>
    <x v="0"/>
    <s v="Phone"/>
    <s v="Tier 1"/>
    <x v="17"/>
    <x v="0"/>
    <s v="No"/>
    <s v="No"/>
    <n v="1"/>
    <s v="No"/>
    <n v="3"/>
    <n v="2.4"/>
    <n v="20.3"/>
    <s v="Yes"/>
    <s v="Good"/>
    <s v="No"/>
    <s v="IT"/>
    <s v="Friday"/>
    <s v="Evening"/>
  </r>
  <r>
    <x v="1232"/>
    <s v="2024-12-30 16:22:57"/>
    <x v="0"/>
    <s v="2025-01-06 02:10:57"/>
    <x v="445"/>
    <n v="6.4"/>
    <x v="1"/>
    <s v="Docking Station"/>
    <s v="Medium"/>
    <n v="240"/>
    <x v="1"/>
    <s v="Portal"/>
    <s v="Tier 1"/>
    <x v="10"/>
    <x v="0"/>
    <s v="Yes"/>
    <s v="No"/>
    <n v="0"/>
    <s v="No"/>
    <n v="8"/>
    <n v="4.2"/>
    <n v="48"/>
    <s v="Yes"/>
    <s v="Fair"/>
    <s v="Yes"/>
    <s v="Finance"/>
    <s v="Tuesday"/>
    <s v="Morning"/>
  </r>
  <r>
    <x v="1233"/>
    <s v="2024-04-25 14:37:28"/>
    <x v="11"/>
    <s v="2024-04-29 20:25:28"/>
    <x v="578"/>
    <n v="4.2"/>
    <x v="6"/>
    <s v="Distribution List"/>
    <s v="High"/>
    <n v="120"/>
    <x v="1"/>
    <s v="Chat"/>
    <s v="Tier 1"/>
    <x v="13"/>
    <x v="2"/>
    <s v="No"/>
    <s v="No"/>
    <n v="1"/>
    <s v="No"/>
    <n v="9"/>
    <n v="2.8"/>
    <n v="15.9"/>
    <s v="Yes"/>
    <s v="Fair"/>
    <s v="No"/>
    <s v="Operations"/>
    <s v="Thursday"/>
    <s v="Afternoon"/>
  </r>
  <r>
    <x v="1234"/>
    <s v="2024-08-05 21:41:11"/>
    <x v="1"/>
    <s v="2024-08-09 03:41:11"/>
    <x v="1041"/>
    <n v="3.3"/>
    <x v="7"/>
    <s v="MS Office"/>
    <s v="High"/>
    <n v="120"/>
    <x v="1"/>
    <s v="Chat"/>
    <s v="Tier 1"/>
    <x v="8"/>
    <x v="2"/>
    <s v="No"/>
    <s v="No"/>
    <n v="1"/>
    <s v="No"/>
    <n v="4"/>
    <n v="3.3"/>
    <n v="13.8"/>
    <s v="No"/>
    <s v="Poor"/>
    <s v="No"/>
    <s v="Executive"/>
    <s v="Tuesday"/>
    <s v="Afternoon"/>
  </r>
  <r>
    <x v="1235"/>
    <s v="2024-10-18 16:23:16"/>
    <x v="2"/>
    <s v="2024-10-29 22:59:16"/>
    <x v="1042"/>
    <n v="11.3"/>
    <x v="5"/>
    <s v="Training Request"/>
    <s v="Low"/>
    <n v="360"/>
    <x v="1"/>
    <s v="Portal"/>
    <s v="Tier 1"/>
    <x v="0"/>
    <x v="0"/>
    <s v="Yes"/>
    <s v="No"/>
    <n v="0"/>
    <s v="No"/>
    <n v="7"/>
    <n v="2.4"/>
    <n v="12.5"/>
    <s v="Yes"/>
    <s v="Fair"/>
    <s v="Yes"/>
    <s v="Legal"/>
    <s v="Monday"/>
    <s v="Afternoon"/>
  </r>
  <r>
    <x v="1236"/>
    <s v="2024-03-26 03:09:50"/>
    <x v="5"/>
    <s v="2024-04-02 23:03:50"/>
    <x v="1043"/>
    <n v="7.8"/>
    <x v="6"/>
    <s v="Calendar Sync"/>
    <s v="Medium"/>
    <n v="240"/>
    <x v="1"/>
    <s v="Phone"/>
    <s v="Tier 1"/>
    <x v="18"/>
    <x v="0"/>
    <s v="Yes"/>
    <s v="No"/>
    <n v="0"/>
    <s v="No"/>
    <n v="8"/>
    <n v="2.9"/>
    <n v="19.7"/>
    <s v="Yes"/>
    <s v="Poor"/>
    <s v="No"/>
    <s v="Operations"/>
    <s v="Friday"/>
    <s v="Afternoon"/>
  </r>
  <r>
    <x v="1237"/>
    <s v="2024-05-02 04:44:34"/>
    <x v="8"/>
    <s v="2024-05-20 13:26:34"/>
    <x v="1044"/>
    <n v="18.399999999999999"/>
    <x v="6"/>
    <s v="Cannot Send/Receive"/>
    <s v="Medium"/>
    <n v="240"/>
    <x v="0"/>
    <s v="Phone"/>
    <s v="Tier 1"/>
    <x v="7"/>
    <x v="2"/>
    <s v="No"/>
    <s v="No"/>
    <n v="1"/>
    <s v="No"/>
    <n v="7"/>
    <n v="2.8"/>
    <n v="13.7"/>
    <s v="Yes"/>
    <s v="Good"/>
    <s v="Yes"/>
    <s v="Operations"/>
    <s v="Friday"/>
    <s v="Morning"/>
  </r>
  <r>
    <x v="1238"/>
    <s v="2024-10-04 11:16:33"/>
    <x v="2"/>
    <s v="2024-10-09 22:04:33"/>
    <x v="532"/>
    <n v="5.5"/>
    <x v="6"/>
    <s v="Mailbox Full"/>
    <s v="High"/>
    <n v="120"/>
    <x v="0"/>
    <s v="Email"/>
    <s v="Tier 2"/>
    <x v="20"/>
    <x v="0"/>
    <s v="No"/>
    <s v="Yes"/>
    <n v="2"/>
    <s v="Yes"/>
    <n v="5"/>
    <n v="5.2"/>
    <n v="27.5"/>
    <s v="Yes"/>
    <s v="Poor"/>
    <s v="Yes"/>
    <s v="Legal"/>
    <s v="Tuesday"/>
    <s v="Morning"/>
  </r>
  <r>
    <x v="1239"/>
    <s v="2024-02-11 17:40:03"/>
    <x v="6"/>
    <s v="2024-02-24 21:04:03"/>
    <x v="1045"/>
    <n v="13.1"/>
    <x v="7"/>
    <s v="Drivers"/>
    <s v="Medium"/>
    <n v="240"/>
    <x v="0"/>
    <s v="Chat"/>
    <s v="Tier 1"/>
    <x v="15"/>
    <x v="2"/>
    <s v="No"/>
    <s v="No"/>
    <n v="1"/>
    <s v="Yes"/>
    <n v="5"/>
    <n v="3.2"/>
    <n v="27.7"/>
    <s v="Yes"/>
    <s v="Fair"/>
    <s v="No"/>
    <s v="Sales"/>
    <s v="Monday"/>
    <s v="Morning"/>
  </r>
  <r>
    <x v="1240"/>
    <s v="2024-06-12 06:58:28"/>
    <x v="10"/>
    <s v="2024-06-22 15:34:28"/>
    <x v="1046"/>
    <n v="10.4"/>
    <x v="3"/>
    <s v="Windows Password"/>
    <s v="Medium"/>
    <n v="240"/>
    <x v="0"/>
    <s v="Phone"/>
    <s v="Tier 1"/>
    <x v="15"/>
    <x v="2"/>
    <s v="Yes"/>
    <s v="No"/>
    <n v="0"/>
    <s v="No"/>
    <n v="8"/>
    <n v="2.1"/>
    <n v="0"/>
    <s v="Yes"/>
    <s v="Fair"/>
    <s v="No"/>
    <s v="Executive"/>
    <s v="Thursday"/>
    <s v="Morning"/>
  </r>
  <r>
    <x v="1241"/>
    <s v="2024-10-09 07:33:33"/>
    <x v="2"/>
    <s v="2024-10-10 19:21:33"/>
    <x v="1047"/>
    <n v="1.5"/>
    <x v="4"/>
    <s v="Features Not Working"/>
    <s v="Critical"/>
    <n v="48"/>
    <x v="1"/>
    <s v="Email"/>
    <s v="Tier 2"/>
    <x v="1"/>
    <x v="2"/>
    <s v="No"/>
    <s v="Yes"/>
    <n v="2"/>
    <s v="No"/>
    <n v="9"/>
    <n v="3.8"/>
    <n v="4.9000000000000004"/>
    <s v="Yes"/>
    <s v="Poor"/>
    <s v="Yes"/>
    <s v="Executive"/>
    <s v="Thursday"/>
    <s v="Afternoon"/>
  </r>
  <r>
    <x v="1242"/>
    <s v="2024-11-06 12:44:01"/>
    <x v="7"/>
    <s v="2024-11-09 15:08:01"/>
    <x v="1048"/>
    <n v="3.1"/>
    <x v="1"/>
    <s v="Printer"/>
    <s v="High"/>
    <n v="120"/>
    <x v="1"/>
    <s v="Phone"/>
    <s v="Tier 1"/>
    <x v="18"/>
    <x v="2"/>
    <s v="No"/>
    <s v="No"/>
    <n v="1"/>
    <s v="No"/>
    <n v="6"/>
    <n v="2.5"/>
    <n v="0"/>
    <s v="Yes"/>
    <s v="Fair"/>
    <s v="Yes"/>
    <s v="IT"/>
    <s v="Wednesday"/>
    <s v="Afternoon"/>
  </r>
  <r>
    <x v="1243"/>
    <s v="2024-02-19 06:15:52"/>
    <x v="6"/>
    <s v="2024-02-27 09:27:52"/>
    <x v="1049"/>
    <n v="8.1"/>
    <x v="4"/>
    <s v="Crash"/>
    <s v="Medium"/>
    <n v="240"/>
    <x v="1"/>
    <s v="Phone"/>
    <s v="Tier 2"/>
    <x v="14"/>
    <x v="1"/>
    <s v="No"/>
    <s v="Yes"/>
    <n v="4"/>
    <s v="Yes"/>
    <n v="6"/>
    <n v="2.5"/>
    <n v="30.6"/>
    <s v="No"/>
    <s v="Fair"/>
    <s v="Yes"/>
    <s v="Executive"/>
    <s v="Thursday"/>
    <s v="Afternoon"/>
  </r>
  <r>
    <x v="1244"/>
    <s v="2024-01-12 21:09:46"/>
    <x v="3"/>
    <s v="2024-01-19 18:57:46"/>
    <x v="1050"/>
    <n v="6.9"/>
    <x v="7"/>
    <s v="VPN Client"/>
    <s v="Medium"/>
    <n v="240"/>
    <x v="1"/>
    <s v="Phone"/>
    <s v="Tier 1"/>
    <x v="17"/>
    <x v="1"/>
    <s v="No"/>
    <s v="No"/>
    <n v="1"/>
    <s v="No"/>
    <n v="7"/>
    <n v="5.5"/>
    <n v="12.1"/>
    <s v="Yes"/>
    <s v="Poor"/>
    <s v="No"/>
    <s v="Marketing"/>
    <s v="Tuesday"/>
    <s v="Afternoon"/>
  </r>
  <r>
    <x v="1245"/>
    <s v="2024-06-23 16:37:35"/>
    <x v="10"/>
    <s v="2024-07-05 05:31:35"/>
    <x v="406"/>
    <n v="11.5"/>
    <x v="3"/>
    <s v="Application Password"/>
    <s v="Low"/>
    <n v="360"/>
    <x v="1"/>
    <s v="Phone"/>
    <s v="Tier 1"/>
    <x v="5"/>
    <x v="2"/>
    <s v="Yes"/>
    <s v="No"/>
    <n v="0"/>
    <s v="No"/>
    <n v="6"/>
    <n v="1"/>
    <n v="7.3"/>
    <s v="Yes"/>
    <s v="Fair"/>
    <s v="No"/>
    <s v="Finance"/>
    <s v="Friday"/>
    <s v="Afternoon"/>
  </r>
  <r>
    <x v="1246"/>
    <s v="2024-09-29 10:03:46"/>
    <x v="9"/>
    <s v="2024-10-01 03:27:46"/>
    <x v="1051"/>
    <n v="1.7"/>
    <x v="1"/>
    <s v="Printer"/>
    <s v="Critical"/>
    <n v="48"/>
    <x v="1"/>
    <s v="Phone"/>
    <s v="Tier 2"/>
    <x v="12"/>
    <x v="2"/>
    <s v="No"/>
    <s v="Yes"/>
    <n v="3"/>
    <s v="No"/>
    <n v="8"/>
    <n v="0.1"/>
    <n v="26.3"/>
    <s v="Yes"/>
    <s v="Poor"/>
    <s v="No"/>
    <s v="Operations"/>
    <s v="Thursday"/>
    <s v="Morning"/>
  </r>
  <r>
    <x v="1247"/>
    <s v="2024-09-30 15:58:26"/>
    <x v="9"/>
    <s v="2024-10-06 21:46:26"/>
    <x v="274"/>
    <n v="6.2"/>
    <x v="0"/>
    <s v="Admin Rights"/>
    <s v="High"/>
    <n v="120"/>
    <x v="0"/>
    <s v="Portal"/>
    <s v="Tier 1"/>
    <x v="7"/>
    <x v="2"/>
    <s v="Yes"/>
    <s v="No"/>
    <n v="0"/>
    <s v="No"/>
    <n v="6"/>
    <n v="0.3"/>
    <n v="6.7"/>
    <s v="No"/>
    <s v="Fair"/>
    <s v="Yes"/>
    <s v="Executive"/>
    <s v="Friday"/>
    <s v="Morning"/>
  </r>
  <r>
    <x v="1248"/>
    <s v="2024-08-04 11:33:53"/>
    <x v="1"/>
    <s v="2024-08-10 16:33:53"/>
    <x v="1052"/>
    <n v="6.2"/>
    <x v="0"/>
    <s v="File Share"/>
    <s v="Medium"/>
    <n v="240"/>
    <x v="1"/>
    <s v="Phone"/>
    <s v="Tier 1"/>
    <x v="10"/>
    <x v="2"/>
    <s v="Yes"/>
    <s v="No"/>
    <n v="0"/>
    <s v="No"/>
    <n v="7"/>
    <n v="0.1"/>
    <n v="3.6"/>
    <s v="Yes"/>
    <s v="Excellent"/>
    <s v="Yes"/>
    <s v="Marketing"/>
    <s v="Friday"/>
    <s v="Morning"/>
  </r>
  <r>
    <x v="1249"/>
    <s v="2024-03-28 16:49:55"/>
    <x v="5"/>
    <s v="2024-04-11 10:19:55"/>
    <x v="1053"/>
    <n v="13.7"/>
    <x v="6"/>
    <s v="Cannot Send/Receive"/>
    <s v="Low"/>
    <n v="360"/>
    <x v="1"/>
    <s v="Email"/>
    <s v="Tier 2"/>
    <x v="7"/>
    <x v="2"/>
    <s v="No"/>
    <s v="Yes"/>
    <n v="2"/>
    <s v="No"/>
    <n v="8"/>
    <n v="0.1"/>
    <n v="35.6"/>
    <s v="No"/>
    <s v="Fair"/>
    <s v="No"/>
    <s v="HR"/>
    <s v="Monday"/>
    <s v="Afternoon"/>
  </r>
  <r>
    <x v="1250"/>
    <s v="2024-08-18 19:08:28"/>
    <x v="1"/>
    <s v="2024-09-04 19:44:28"/>
    <x v="1054"/>
    <n v="17"/>
    <x v="3"/>
    <s v="Email Password"/>
    <s v="Low"/>
    <n v="360"/>
    <x v="0"/>
    <s v="Portal"/>
    <s v="Tier 1"/>
    <x v="21"/>
    <x v="2"/>
    <s v="Yes"/>
    <s v="No"/>
    <n v="0"/>
    <s v="No"/>
    <n v="8"/>
    <n v="0.1"/>
    <n v="7"/>
    <s v="Yes"/>
    <s v="Fair"/>
    <s v="No"/>
    <s v="Finance"/>
    <s v="Thursday"/>
    <s v="Morning"/>
  </r>
  <r>
    <x v="1251"/>
    <s v="2024-07-24 01:43:16"/>
    <x v="4"/>
    <s v="2024-08-01 13:19:16"/>
    <x v="1055"/>
    <n v="7.5"/>
    <x v="5"/>
    <s v="Training Request"/>
    <s v="Medium"/>
    <n v="240"/>
    <x v="1"/>
    <s v="Email"/>
    <s v="Tier 1"/>
    <x v="8"/>
    <x v="2"/>
    <s v="No"/>
    <s v="No"/>
    <n v="1"/>
    <s v="No"/>
    <n v="8"/>
    <n v="5"/>
    <n v="23.5"/>
    <s v="Yes"/>
    <s v="Fair"/>
    <s v="Yes"/>
    <s v="HR"/>
    <s v="Tuesday"/>
    <s v="Morning"/>
  </r>
  <r>
    <x v="1252"/>
    <s v="2024-08-30 15:09:23"/>
    <x v="1"/>
    <s v="2024-09-04 00:03:23"/>
    <x v="1056"/>
    <n v="5.4"/>
    <x v="2"/>
    <s v="Ethernet"/>
    <s v="High"/>
    <n v="120"/>
    <x v="0"/>
    <s v="Chat"/>
    <s v="Tier 2"/>
    <x v="22"/>
    <x v="1"/>
    <s v="No"/>
    <s v="Yes"/>
    <n v="3"/>
    <s v="No"/>
    <n v="7"/>
    <n v="0.1"/>
    <n v="10.199999999999999"/>
    <s v="Yes"/>
    <s v="Poor"/>
    <s v="Yes"/>
    <s v="Marketing"/>
    <s v="Monday"/>
    <s v="Morning"/>
  </r>
  <r>
    <x v="1253"/>
    <s v="2024-10-28 18:20:05"/>
    <x v="2"/>
    <s v="2024-11-05 14:20:05"/>
    <x v="1057"/>
    <n v="7.8"/>
    <x v="1"/>
    <s v="Printer"/>
    <s v="Medium"/>
    <n v="240"/>
    <x v="1"/>
    <s v="Chat"/>
    <s v="Tier 2"/>
    <x v="15"/>
    <x v="1"/>
    <s v="No"/>
    <s v="Yes"/>
    <n v="3"/>
    <s v="No"/>
    <n v="9"/>
    <n v="3.3"/>
    <n v="1.1000000000000001"/>
    <s v="No"/>
    <s v="Poor"/>
    <s v="Yes"/>
    <s v="IT"/>
    <s v="Friday"/>
    <s v="Afternoon"/>
  </r>
  <r>
    <x v="1254"/>
    <s v="2024-05-19 07:49:48"/>
    <x v="8"/>
    <s v="2024-05-26 16:55:48"/>
    <x v="835"/>
    <n v="7.4"/>
    <x v="0"/>
    <s v="Application Access"/>
    <s v="Medium"/>
    <n v="240"/>
    <x v="1"/>
    <s v="Email"/>
    <s v="Tier 1"/>
    <x v="20"/>
    <x v="0"/>
    <s v="Yes"/>
    <s v="No"/>
    <n v="0"/>
    <s v="Yes"/>
    <n v="10"/>
    <n v="2.5"/>
    <n v="0"/>
    <s v="Yes"/>
    <s v="Poor"/>
    <s v="No"/>
    <s v="HR"/>
    <s v="Monday"/>
    <s v="Evening"/>
  </r>
  <r>
    <x v="1255"/>
    <s v="2024-05-17 13:51:30"/>
    <x v="8"/>
    <s v="2024-05-29 20:21:30"/>
    <x v="1058"/>
    <n v="12.3"/>
    <x v="3"/>
    <s v="Windows Password"/>
    <s v="Low"/>
    <n v="360"/>
    <x v="1"/>
    <s v="Portal"/>
    <s v="Tier 1"/>
    <x v="24"/>
    <x v="1"/>
    <s v="Yes"/>
    <s v="No"/>
    <n v="0"/>
    <s v="No"/>
    <n v="10"/>
    <n v="3.8"/>
    <n v="6.6"/>
    <s v="No"/>
    <s v="Good"/>
    <s v="Yes"/>
    <s v="IT"/>
    <s v="Friday"/>
    <s v="Evening"/>
  </r>
  <r>
    <x v="1256"/>
    <s v="2024-05-14 16:52:07"/>
    <x v="8"/>
    <s v="2024-05-20 00:28:07"/>
    <x v="1059"/>
    <n v="6.3"/>
    <x v="0"/>
    <s v="Admin Rights"/>
    <s v="Medium"/>
    <n v="240"/>
    <x v="1"/>
    <s v="Walk-in"/>
    <s v="Tier 1"/>
    <x v="15"/>
    <x v="2"/>
    <s v="No"/>
    <s v="No"/>
    <n v="1"/>
    <s v="No"/>
    <n v="8"/>
    <n v="3.5"/>
    <n v="21.8"/>
    <s v="Yes"/>
    <s v="Fair"/>
    <s v="Yes"/>
    <s v="Sales"/>
    <s v="Wednesday"/>
    <s v="Morning"/>
  </r>
  <r>
    <x v="1257"/>
    <s v="2024-11-09 16:21:15"/>
    <x v="7"/>
    <s v="2024-11-18 11:27:15"/>
    <x v="810"/>
    <n v="8.8000000000000007"/>
    <x v="0"/>
    <s v="Admin Rights"/>
    <s v="Medium"/>
    <n v="240"/>
    <x v="1"/>
    <s v="Email"/>
    <s v="Tier 1"/>
    <x v="23"/>
    <x v="2"/>
    <s v="Yes"/>
    <s v="No"/>
    <n v="0"/>
    <s v="No"/>
    <n v="10"/>
    <n v="0.1"/>
    <n v="0"/>
    <s v="Yes"/>
    <s v="Fair"/>
    <s v="Yes"/>
    <s v="Sales"/>
    <s v="Friday"/>
    <s v="Evening"/>
  </r>
  <r>
    <x v="1258"/>
    <s v="2024-08-14 10:45:02"/>
    <x v="1"/>
    <s v="2024-08-24 11:39:02"/>
    <x v="1060"/>
    <n v="10"/>
    <x v="3"/>
    <s v="Email Password"/>
    <s v="Low"/>
    <n v="360"/>
    <x v="1"/>
    <s v="Phone"/>
    <s v="Tier 1"/>
    <x v="2"/>
    <x v="2"/>
    <s v="Yes"/>
    <s v="No"/>
    <n v="0"/>
    <s v="No"/>
    <n v="10"/>
    <n v="4.9000000000000004"/>
    <n v="18"/>
    <s v="No"/>
    <s v="Poor"/>
    <s v="Yes"/>
    <s v="IT"/>
    <s v="Tuesday"/>
    <s v="Afternoon"/>
  </r>
  <r>
    <x v="1259"/>
    <s v="2024-09-02 13:08:52"/>
    <x v="9"/>
    <s v="2024-09-09 05:20:52"/>
    <x v="342"/>
    <n v="6.7"/>
    <x v="7"/>
    <s v="Business Apps"/>
    <s v="Medium"/>
    <n v="240"/>
    <x v="1"/>
    <s v="Phone"/>
    <s v="Tier 2"/>
    <x v="9"/>
    <x v="1"/>
    <s v="No"/>
    <s v="Yes"/>
    <n v="1"/>
    <s v="Yes"/>
    <n v="8"/>
    <n v="6.9"/>
    <n v="21.7"/>
    <s v="No"/>
    <s v="Poor"/>
    <s v="Yes"/>
    <s v="Sales"/>
    <s v="Tuesday"/>
    <s v="Morning"/>
  </r>
  <r>
    <x v="1260"/>
    <s v="2024-07-28 06:34:15"/>
    <x v="4"/>
    <s v="2024-08-04 18:22:15"/>
    <x v="1061"/>
    <n v="7.5"/>
    <x v="7"/>
    <s v="Adobe Suite"/>
    <s v="Medium"/>
    <n v="240"/>
    <x v="1"/>
    <s v="Phone"/>
    <s v="Tier 1"/>
    <x v="6"/>
    <x v="2"/>
    <s v="Yes"/>
    <s v="No"/>
    <n v="0"/>
    <s v="No"/>
    <n v="10"/>
    <n v="0.1"/>
    <n v="14.6"/>
    <s v="No"/>
    <s v="Poor"/>
    <s v="No"/>
    <s v="Finance"/>
    <s v="Thursday"/>
    <s v="Morning"/>
  </r>
  <r>
    <x v="1261"/>
    <s v="2024-04-09 13:24:06"/>
    <x v="11"/>
    <s v="2024-04-13 08:12:06"/>
    <x v="1062"/>
    <n v="3.8"/>
    <x v="1"/>
    <s v="Monitor"/>
    <s v="High"/>
    <n v="120"/>
    <x v="1"/>
    <s v="Email"/>
    <s v="Tier 2"/>
    <x v="9"/>
    <x v="1"/>
    <s v="No"/>
    <s v="Yes"/>
    <n v="2"/>
    <s v="No"/>
    <n v="6"/>
    <n v="2"/>
    <n v="25.4"/>
    <s v="No"/>
    <s v="Good"/>
    <s v="No"/>
    <s v="Legal"/>
    <s v="Wednesday"/>
    <s v="Afternoon"/>
  </r>
  <r>
    <x v="1262"/>
    <s v="2024-06-30 10:23:01"/>
    <x v="10"/>
    <s v="2024-07-06 13:17:01"/>
    <x v="1063"/>
    <n v="6.1"/>
    <x v="7"/>
    <s v="VPN Client"/>
    <s v="Medium"/>
    <n v="240"/>
    <x v="1"/>
    <s v="Email"/>
    <s v="Tier 1"/>
    <x v="2"/>
    <x v="2"/>
    <s v="No"/>
    <s v="No"/>
    <n v="1"/>
    <s v="No"/>
    <n v="8"/>
    <n v="0.2"/>
    <n v="10.4"/>
    <s v="Yes"/>
    <s v="Good"/>
    <s v="Yes"/>
    <s v="Operations"/>
    <s v="Thursday"/>
    <s v="Afternoon"/>
  </r>
  <r>
    <x v="1263"/>
    <s v="2024-04-14 10:31:15"/>
    <x v="11"/>
    <s v="2024-04-29 17:49:15"/>
    <x v="1064"/>
    <n v="15.3"/>
    <x v="7"/>
    <s v="Adobe Suite"/>
    <s v="Medium"/>
    <n v="240"/>
    <x v="0"/>
    <s v="Email"/>
    <s v="Tier 1"/>
    <x v="17"/>
    <x v="2"/>
    <s v="Yes"/>
    <s v="No"/>
    <n v="0"/>
    <s v="No"/>
    <n v="7"/>
    <n v="1.8"/>
    <n v="22.4"/>
    <s v="No"/>
    <s v="Poor"/>
    <s v="No"/>
    <s v="IT"/>
    <s v="Wednesday"/>
    <s v="Afternoon"/>
  </r>
  <r>
    <x v="1264"/>
    <s v="2024-05-28 09:38:24"/>
    <x v="8"/>
    <s v="2024-06-11 13:08:24"/>
    <x v="1065"/>
    <n v="14.1"/>
    <x v="5"/>
    <s v="Documentation"/>
    <s v="Low"/>
    <n v="360"/>
    <x v="1"/>
    <s v="Phone"/>
    <s v="Tier 1"/>
    <x v="12"/>
    <x v="0"/>
    <s v="No"/>
    <s v="No"/>
    <n v="1"/>
    <s v="No"/>
    <n v="7"/>
    <n v="2.2999999999999998"/>
    <n v="0"/>
    <s v="Yes"/>
    <s v="Good"/>
    <s v="Yes"/>
    <s v="Executive"/>
    <s v="Monday"/>
    <s v="Morning"/>
  </r>
  <r>
    <x v="1265"/>
    <s v="2024-02-27 13:16:23"/>
    <x v="6"/>
    <s v="2024-03-13 03:28:23"/>
    <x v="1066"/>
    <n v="14.6"/>
    <x v="3"/>
    <s v="Account Unlock"/>
    <s v="Medium"/>
    <n v="240"/>
    <x v="0"/>
    <s v="Phone"/>
    <s v="Tier 1"/>
    <x v="0"/>
    <x v="2"/>
    <s v="Yes"/>
    <s v="No"/>
    <n v="0"/>
    <s v="No"/>
    <n v="5"/>
    <n v="4.5999999999999996"/>
    <n v="26.9"/>
    <s v="No"/>
    <s v="Excellent"/>
    <s v="Yes"/>
    <s v="Finance"/>
    <s v="Friday"/>
    <s v="Afternoon"/>
  </r>
  <r>
    <x v="1266"/>
    <s v="2024-04-10 18:32:04"/>
    <x v="11"/>
    <s v="2024-04-18 16:32:04"/>
    <x v="1067"/>
    <n v="7.9"/>
    <x v="4"/>
    <s v="Login Issues"/>
    <s v="Medium"/>
    <n v="240"/>
    <x v="1"/>
    <s v="Phone"/>
    <s v="Tier 1"/>
    <x v="19"/>
    <x v="1"/>
    <s v="No"/>
    <s v="No"/>
    <n v="1"/>
    <s v="No"/>
    <n v="7"/>
    <n v="2"/>
    <n v="39.299999999999997"/>
    <s v="Yes"/>
    <s v="Good"/>
    <s v="No"/>
    <s v="IT"/>
    <s v="Friday"/>
    <s v="Afternoon"/>
  </r>
  <r>
    <x v="1267"/>
    <s v="2024-11-26 00:49:24"/>
    <x v="7"/>
    <s v="2024-11-30 05:31:24"/>
    <x v="498"/>
    <n v="3.2"/>
    <x v="1"/>
    <s v="Monitor"/>
    <s v="High"/>
    <n v="120"/>
    <x v="1"/>
    <s v="Portal"/>
    <s v="Tier 1"/>
    <x v="4"/>
    <x v="2"/>
    <s v="Yes"/>
    <s v="No"/>
    <n v="0"/>
    <s v="No"/>
    <n v="8"/>
    <n v="3"/>
    <n v="3.9"/>
    <s v="Yes"/>
    <s v="Good"/>
    <s v="Yes"/>
    <s v="IT"/>
    <s v="Wednesday"/>
    <s v="Afternoon"/>
  </r>
  <r>
    <x v="1268"/>
    <s v="2024-03-08 23:07:11"/>
    <x v="5"/>
    <s v="2024-03-10 11:19:11"/>
    <x v="1068"/>
    <n v="1.5"/>
    <x v="4"/>
    <s v="Features Not Working"/>
    <s v="Critical"/>
    <n v="48"/>
    <x v="1"/>
    <s v="Walk-in"/>
    <s v="Tier 2"/>
    <x v="20"/>
    <x v="1"/>
    <s v="No"/>
    <s v="Yes"/>
    <n v="3"/>
    <s v="No"/>
    <n v="9"/>
    <n v="1.3"/>
    <n v="8.5"/>
    <s v="Yes"/>
    <s v="Good"/>
    <s v="Yes"/>
    <s v="Finance"/>
    <s v="Tuesday"/>
    <s v="Afternoon"/>
  </r>
  <r>
    <x v="1269"/>
    <s v="2024-07-27 14:15:38"/>
    <x v="4"/>
    <s v="2024-07-31 19:51:38"/>
    <x v="1069"/>
    <n v="4.2"/>
    <x v="3"/>
    <s v="Email Password"/>
    <s v="High"/>
    <n v="120"/>
    <x v="1"/>
    <s v="Chat"/>
    <s v="Tier 1"/>
    <x v="21"/>
    <x v="1"/>
    <s v="Yes"/>
    <s v="No"/>
    <n v="0"/>
    <s v="No"/>
    <n v="6"/>
    <n v="2"/>
    <n v="17.100000000000001"/>
    <s v="No"/>
    <s v="Good"/>
    <s v="Yes"/>
    <s v="Legal"/>
    <s v="Monday"/>
    <s v="Morning"/>
  </r>
  <r>
    <x v="1270"/>
    <s v="2024-06-08 18:26:27"/>
    <x v="10"/>
    <s v="2024-07-08 01:50:27"/>
    <x v="1070"/>
    <n v="30.3"/>
    <x v="4"/>
    <s v="Performance"/>
    <s v="Low"/>
    <n v="360"/>
    <x v="0"/>
    <s v="Chat"/>
    <s v="Tier 2"/>
    <x v="2"/>
    <x v="0"/>
    <s v="No"/>
    <s v="Yes"/>
    <n v="2"/>
    <s v="No"/>
    <n v="3"/>
    <n v="5.2"/>
    <n v="19.3"/>
    <s v="Yes"/>
    <s v="Poor"/>
    <s v="No"/>
    <s v="Finance"/>
    <s v="Monday"/>
    <s v="Afternoon"/>
  </r>
  <r>
    <x v="1271"/>
    <s v="2024-05-27 03:03:11"/>
    <x v="8"/>
    <s v="2024-05-30 00:57:11"/>
    <x v="1071"/>
    <n v="3.9"/>
    <x v="1"/>
    <s v="Laptop"/>
    <s v="High"/>
    <n v="120"/>
    <x v="1"/>
    <s v="Walk-in"/>
    <s v="Tier 1"/>
    <x v="15"/>
    <x v="1"/>
    <s v="No"/>
    <s v="No"/>
    <n v="1"/>
    <s v="Yes"/>
    <n v="7"/>
    <n v="0.1"/>
    <n v="14"/>
    <s v="No"/>
    <s v="Good"/>
    <s v="Yes"/>
    <s v="Finance"/>
    <s v="Thursday"/>
    <s v="Afternoon"/>
  </r>
  <r>
    <x v="1272"/>
    <s v="2024-07-12 17:41:06"/>
    <x v="4"/>
    <s v="2024-07-27 13:23:06"/>
    <x v="1072"/>
    <n v="14.8"/>
    <x v="0"/>
    <s v="VPN Access"/>
    <s v="Medium"/>
    <n v="240"/>
    <x v="0"/>
    <s v="Phone"/>
    <s v="Tier 1"/>
    <x v="24"/>
    <x v="1"/>
    <s v="Yes"/>
    <s v="No"/>
    <n v="0"/>
    <s v="No"/>
    <n v="3"/>
    <n v="3.9"/>
    <n v="0"/>
    <s v="Yes"/>
    <s v="Fair"/>
    <s v="Yes"/>
    <s v="Executive"/>
    <s v="Tuesday"/>
    <s v="Morning"/>
  </r>
  <r>
    <x v="1273"/>
    <s v="2024-08-02 18:42:32"/>
    <x v="1"/>
    <s v="2024-08-09 18:48:32"/>
    <x v="232"/>
    <n v="7"/>
    <x v="7"/>
    <s v="Drivers"/>
    <s v="Medium"/>
    <n v="240"/>
    <x v="1"/>
    <s v="Phone"/>
    <s v="Tier 1"/>
    <x v="21"/>
    <x v="2"/>
    <s v="No"/>
    <s v="No"/>
    <n v="1"/>
    <s v="No"/>
    <n v="10"/>
    <n v="4.5999999999999996"/>
    <n v="0.8"/>
    <s v="Yes"/>
    <s v="Poor"/>
    <s v="Yes"/>
    <s v="Operations"/>
    <s v="Thursday"/>
    <s v="Afternoon"/>
  </r>
  <r>
    <x v="1274"/>
    <s v="2024-05-15 16:36:53"/>
    <x v="8"/>
    <s v="2024-05-28 04:42:53"/>
    <x v="55"/>
    <n v="12.5"/>
    <x v="3"/>
    <s v="Application Password"/>
    <s v="Low"/>
    <n v="360"/>
    <x v="1"/>
    <s v="Phone"/>
    <s v="Tier 1"/>
    <x v="14"/>
    <x v="2"/>
    <s v="Yes"/>
    <s v="No"/>
    <n v="0"/>
    <s v="Yes"/>
    <n v="10"/>
    <n v="0.1"/>
    <n v="25.6"/>
    <s v="Yes"/>
    <s v="Fair"/>
    <s v="No"/>
    <s v="HR"/>
    <s v="Friday"/>
    <s v="Afternoon"/>
  </r>
  <r>
    <x v="1275"/>
    <s v="2024-10-22 00:39:06"/>
    <x v="2"/>
    <s v="2024-11-05 16:15:06"/>
    <x v="1073"/>
    <n v="13.7"/>
    <x v="6"/>
    <s v="Cannot Send/Receive"/>
    <s v="Medium"/>
    <n v="240"/>
    <x v="0"/>
    <s v="Email"/>
    <s v="Tier 1"/>
    <x v="6"/>
    <x v="0"/>
    <s v="No"/>
    <s v="No"/>
    <n v="1"/>
    <s v="No"/>
    <n v="4"/>
    <n v="1"/>
    <n v="0"/>
    <s v="Yes"/>
    <s v="Good"/>
    <s v="Yes"/>
    <s v="HR"/>
    <s v="Monday"/>
    <s v="Morning"/>
  </r>
  <r>
    <x v="1276"/>
    <s v="2024-07-01 07:58:23"/>
    <x v="4"/>
    <s v="2024-07-04 09:40:23"/>
    <x v="109"/>
    <n v="3.1"/>
    <x v="0"/>
    <s v="Application Access"/>
    <s v="High"/>
    <n v="120"/>
    <x v="1"/>
    <s v="Email"/>
    <s v="Tier 1"/>
    <x v="8"/>
    <x v="1"/>
    <s v="No"/>
    <s v="No"/>
    <n v="1"/>
    <s v="No"/>
    <n v="9"/>
    <n v="5.3"/>
    <n v="31.2"/>
    <s v="Yes"/>
    <s v="Poor"/>
    <s v="Yes"/>
    <s v="Marketing"/>
    <s v="Thursday"/>
    <s v="Afternoon"/>
  </r>
  <r>
    <x v="1277"/>
    <s v="2024-02-12 01:32:38"/>
    <x v="6"/>
    <s v="2024-02-26 06:14:38"/>
    <x v="1074"/>
    <n v="13.2"/>
    <x v="3"/>
    <s v="Application Password"/>
    <s v="Medium"/>
    <n v="240"/>
    <x v="0"/>
    <s v="Chat"/>
    <s v="Tier 1"/>
    <x v="21"/>
    <x v="0"/>
    <s v="Yes"/>
    <s v="No"/>
    <n v="0"/>
    <s v="No"/>
    <n v="4"/>
    <n v="3.4"/>
    <n v="35.700000000000003"/>
    <s v="No"/>
    <s v="Poor"/>
    <s v="Yes"/>
    <s v="Executive"/>
    <s v="Friday"/>
    <s v="Afternoon"/>
  </r>
  <r>
    <x v="1278"/>
    <s v="2024-07-18 08:33:42"/>
    <x v="4"/>
    <s v="2024-07-26 14:27:42"/>
    <x v="127"/>
    <n v="8.1999999999999993"/>
    <x v="7"/>
    <s v="Adobe Suite"/>
    <s v="Medium"/>
    <n v="240"/>
    <x v="1"/>
    <s v="Portal"/>
    <s v="Tier 1"/>
    <x v="10"/>
    <x v="0"/>
    <s v="No"/>
    <s v="No"/>
    <n v="1"/>
    <s v="No"/>
    <n v="7"/>
    <n v="1.2"/>
    <n v="42"/>
    <s v="No"/>
    <s v="Good"/>
    <s v="Yes"/>
    <s v="HR"/>
    <s v="Friday"/>
    <s v="Morning"/>
  </r>
  <r>
    <x v="1279"/>
    <s v="2024-09-15 10:33:23"/>
    <x v="9"/>
    <s v="2024-09-27 09:39:23"/>
    <x v="734"/>
    <n v="12"/>
    <x v="6"/>
    <s v="Distribution List"/>
    <s v="Low"/>
    <n v="360"/>
    <x v="1"/>
    <s v="Email"/>
    <s v="Tier 1"/>
    <x v="18"/>
    <x v="0"/>
    <s v="No"/>
    <s v="No"/>
    <n v="1"/>
    <s v="No"/>
    <n v="8"/>
    <n v="2.9"/>
    <n v="48.7"/>
    <s v="Yes"/>
    <s v="Poor"/>
    <s v="Yes"/>
    <s v="Finance"/>
    <s v="Thursday"/>
    <s v="Morning"/>
  </r>
  <r>
    <x v="1280"/>
    <s v="2024-12-02 15:53:53"/>
    <x v="0"/>
    <s v="2024-12-06 07:53:53"/>
    <x v="1075"/>
    <n v="3.7"/>
    <x v="1"/>
    <s v="Laptop"/>
    <s v="High"/>
    <n v="120"/>
    <x v="1"/>
    <s v="Email"/>
    <s v="Tier 2"/>
    <x v="15"/>
    <x v="2"/>
    <s v="No"/>
    <s v="Yes"/>
    <n v="1"/>
    <s v="No"/>
    <n v="8"/>
    <n v="2.2999999999999998"/>
    <n v="2.2999999999999998"/>
    <s v="Yes"/>
    <s v="Fair"/>
    <s v="Yes"/>
    <s v="Legal"/>
    <s v="Tuesday"/>
    <s v="Evening"/>
  </r>
  <r>
    <x v="1281"/>
    <s v="2024-06-25 00:48:14"/>
    <x v="10"/>
    <s v="2024-06-30 06:06:14"/>
    <x v="14"/>
    <n v="4.2"/>
    <x v="1"/>
    <s v="Monitor"/>
    <s v="High"/>
    <n v="120"/>
    <x v="1"/>
    <s v="Walk-in"/>
    <s v="Tier 1"/>
    <x v="18"/>
    <x v="0"/>
    <s v="No"/>
    <s v="No"/>
    <n v="1"/>
    <s v="No"/>
    <n v="7"/>
    <n v="0.1"/>
    <n v="22.7"/>
    <s v="Yes"/>
    <s v="Good"/>
    <s v="No"/>
    <s v="Finance"/>
    <s v="Monday"/>
    <s v="Morning"/>
  </r>
  <r>
    <x v="1282"/>
    <s v="2024-05-30 10:31:19"/>
    <x v="8"/>
    <s v="2024-06-14 06:37:19"/>
    <x v="1076"/>
    <n v="14.8"/>
    <x v="6"/>
    <s v="Calendar Sync"/>
    <s v="Medium"/>
    <n v="240"/>
    <x v="0"/>
    <s v="Email"/>
    <s v="Tier 2"/>
    <x v="8"/>
    <x v="0"/>
    <s v="No"/>
    <s v="Yes"/>
    <n v="2"/>
    <s v="No"/>
    <n v="4"/>
    <n v="2.2000000000000002"/>
    <n v="46.5"/>
    <s v="Yes"/>
    <s v="Good"/>
    <s v="No"/>
    <s v="Sales"/>
    <s v="Thursday"/>
    <s v="Afternoon"/>
  </r>
  <r>
    <x v="1283"/>
    <s v="2024-05-13 09:14:02"/>
    <x v="8"/>
    <s v="2024-05-15 10:56:02"/>
    <x v="1077"/>
    <n v="2.1"/>
    <x v="0"/>
    <s v="Admin Rights"/>
    <s v="Critical"/>
    <n v="48"/>
    <x v="0"/>
    <s v="Portal"/>
    <s v="Tier 1"/>
    <x v="18"/>
    <x v="1"/>
    <s v="Yes"/>
    <s v="No"/>
    <n v="0"/>
    <s v="No"/>
    <n v="3"/>
    <n v="2"/>
    <n v="0"/>
    <s v="Yes"/>
    <s v="Fair"/>
    <s v="Yes"/>
    <s v="Operations"/>
    <s v="Monday"/>
    <s v="Morning"/>
  </r>
  <r>
    <x v="1284"/>
    <s v="2024-04-07 22:59:47"/>
    <x v="11"/>
    <s v="2024-04-16 21:53:47"/>
    <x v="1078"/>
    <n v="9"/>
    <x v="0"/>
    <s v="VPN Access"/>
    <s v="Medium"/>
    <n v="240"/>
    <x v="1"/>
    <s v="Phone"/>
    <s v="Tier 2"/>
    <x v="21"/>
    <x v="1"/>
    <s v="No"/>
    <s v="Yes"/>
    <n v="3"/>
    <s v="Yes"/>
    <n v="7"/>
    <n v="0.8"/>
    <n v="11.6"/>
    <s v="Yes"/>
    <s v="Fair"/>
    <s v="No"/>
    <s v="Legal"/>
    <s v="Friday"/>
    <s v="Morning"/>
  </r>
  <r>
    <x v="1285"/>
    <s v="2024-03-23 14:11:30"/>
    <x v="5"/>
    <s v="2024-03-30 17:53:30"/>
    <x v="1079"/>
    <n v="7.2"/>
    <x v="0"/>
    <s v="Application Access"/>
    <s v="Medium"/>
    <n v="240"/>
    <x v="1"/>
    <s v="Email"/>
    <s v="Tier 1"/>
    <x v="16"/>
    <x v="2"/>
    <s v="No"/>
    <s v="No"/>
    <n v="1"/>
    <s v="Yes"/>
    <n v="10"/>
    <n v="4"/>
    <n v="23"/>
    <s v="No"/>
    <s v="Good"/>
    <s v="No"/>
    <s v="Legal"/>
    <s v="Tuesday"/>
    <s v="Afternoon"/>
  </r>
  <r>
    <x v="1286"/>
    <s v="2024-06-22 11:54:38"/>
    <x v="10"/>
    <s v="2024-06-29 17:54:38"/>
    <x v="1080"/>
    <n v="7.3"/>
    <x v="0"/>
    <s v="VPN Access"/>
    <s v="Medium"/>
    <n v="240"/>
    <x v="1"/>
    <s v="Walk-in"/>
    <s v="Tier 1"/>
    <x v="0"/>
    <x v="0"/>
    <s v="Yes"/>
    <s v="No"/>
    <n v="0"/>
    <s v="No"/>
    <n v="10"/>
    <n v="3.7"/>
    <n v="26.2"/>
    <s v="Yes"/>
    <s v="Poor"/>
    <s v="Yes"/>
    <s v="Finance"/>
    <s v="Tuesday"/>
    <s v="Morning"/>
  </r>
  <r>
    <x v="1287"/>
    <s v="2024-09-03 15:23:50"/>
    <x v="9"/>
    <s v="2024-09-10 12:53:50"/>
    <x v="1081"/>
    <n v="6.9"/>
    <x v="7"/>
    <s v="Adobe Suite"/>
    <s v="Medium"/>
    <n v="240"/>
    <x v="1"/>
    <s v="Portal"/>
    <s v="Tier 1"/>
    <x v="20"/>
    <x v="2"/>
    <s v="Yes"/>
    <s v="No"/>
    <n v="0"/>
    <s v="No"/>
    <n v="9"/>
    <n v="0.8"/>
    <n v="24.3"/>
    <s v="Yes"/>
    <s v="Good"/>
    <s v="No"/>
    <s v="Sales"/>
    <s v="Monday"/>
    <s v="Afternoon"/>
  </r>
  <r>
    <x v="1288"/>
    <s v="2024-02-24 13:56:27"/>
    <x v="6"/>
    <s v="2024-03-17 22:50:27"/>
    <x v="1082"/>
    <n v="22.4"/>
    <x v="3"/>
    <s v="Email Password"/>
    <s v="Low"/>
    <n v="360"/>
    <x v="0"/>
    <s v="Email"/>
    <s v="Tier 1"/>
    <x v="4"/>
    <x v="1"/>
    <s v="Yes"/>
    <s v="No"/>
    <n v="0"/>
    <s v="Yes"/>
    <n v="8"/>
    <n v="4.5"/>
    <n v="18"/>
    <s v="Yes"/>
    <s v="Poor"/>
    <s v="Yes"/>
    <s v="Executive"/>
    <s v="Monday"/>
    <s v="Afternoon"/>
  </r>
  <r>
    <x v="1289"/>
    <s v="2024-03-07 05:06:25"/>
    <x v="5"/>
    <s v="2024-03-13 17:36:25"/>
    <x v="1083"/>
    <n v="6.5"/>
    <x v="7"/>
    <s v="Adobe Suite"/>
    <s v="Medium"/>
    <n v="240"/>
    <x v="1"/>
    <s v="Email"/>
    <s v="Tier 1"/>
    <x v="13"/>
    <x v="1"/>
    <s v="No"/>
    <s v="No"/>
    <n v="1"/>
    <s v="No"/>
    <n v="9"/>
    <n v="2.4"/>
    <n v="33.6"/>
    <s v="Yes"/>
    <s v="Poor"/>
    <s v="Yes"/>
    <s v="Legal"/>
    <s v="Monday"/>
    <s v="Morning"/>
  </r>
  <r>
    <x v="1290"/>
    <s v="2024-04-19 07:54:12"/>
    <x v="11"/>
    <s v="2024-04-20 01:18:12"/>
    <x v="1051"/>
    <n v="1.7"/>
    <x v="7"/>
    <s v="Adobe Suite"/>
    <s v="Critical"/>
    <n v="48"/>
    <x v="1"/>
    <s v="Walk-in"/>
    <s v="Tier 1"/>
    <x v="5"/>
    <x v="0"/>
    <s v="No"/>
    <s v="No"/>
    <n v="1"/>
    <s v="No"/>
    <n v="8"/>
    <n v="3.7"/>
    <n v="45.2"/>
    <s v="Yes"/>
    <s v="Fair"/>
    <s v="Yes"/>
    <s v="Executive"/>
    <s v="Thursday"/>
    <s v="Afternoon"/>
  </r>
  <r>
    <x v="1291"/>
    <s v="2024-06-03 17:45:23"/>
    <x v="10"/>
    <s v="2024-06-07 10:39:23"/>
    <x v="811"/>
    <n v="3.7"/>
    <x v="4"/>
    <s v="Features Not Working"/>
    <s v="High"/>
    <n v="120"/>
    <x v="1"/>
    <s v="Phone"/>
    <s v="Tier 1"/>
    <x v="13"/>
    <x v="1"/>
    <s v="No"/>
    <s v="No"/>
    <n v="1"/>
    <s v="No"/>
    <n v="9"/>
    <n v="2.6"/>
    <n v="30.3"/>
    <s v="Yes"/>
    <s v="Fair"/>
    <s v="Yes"/>
    <s v="Legal"/>
    <s v="Monday"/>
    <s v="Afternoon"/>
  </r>
  <r>
    <x v="1292"/>
    <s v="2024-04-17 11:21:55"/>
    <x v="11"/>
    <s v="2024-05-13 08:27:55"/>
    <x v="1084"/>
    <n v="25.9"/>
    <x v="5"/>
    <s v="Training Request"/>
    <s v="Medium"/>
    <n v="240"/>
    <x v="0"/>
    <s v="Phone"/>
    <s v="Tier 2"/>
    <x v="17"/>
    <x v="0"/>
    <s v="No"/>
    <s v="Yes"/>
    <n v="4"/>
    <s v="No"/>
    <n v="6"/>
    <n v="4.5999999999999996"/>
    <n v="7.8"/>
    <s v="Yes"/>
    <s v="Fair"/>
    <s v="No"/>
    <s v="Executive"/>
    <s v="Thursday"/>
    <s v="Afternoon"/>
  </r>
  <r>
    <x v="1293"/>
    <s v="2024-04-07 12:02:26"/>
    <x v="11"/>
    <s v="2024-04-13 10:50:26"/>
    <x v="1085"/>
    <n v="6"/>
    <x v="4"/>
    <s v="Performance"/>
    <s v="High"/>
    <n v="120"/>
    <x v="0"/>
    <s v="Portal"/>
    <s v="Tier 2"/>
    <x v="23"/>
    <x v="0"/>
    <s v="No"/>
    <s v="Yes"/>
    <n v="2"/>
    <s v="No"/>
    <n v="3"/>
    <n v="0.7"/>
    <n v="26.8"/>
    <s v="No"/>
    <s v="Good"/>
    <s v="Yes"/>
    <s v="Legal"/>
    <s v="Tuesday"/>
    <s v="Morning"/>
  </r>
  <r>
    <x v="1294"/>
    <s v="2024-06-22 03:34:05"/>
    <x v="10"/>
    <s v="2024-07-02 00:34:05"/>
    <x v="590"/>
    <n v="10.9"/>
    <x v="3"/>
    <s v="Application Password"/>
    <s v="Low"/>
    <n v="360"/>
    <x v="1"/>
    <s v="Email"/>
    <s v="Tier 1"/>
    <x v="22"/>
    <x v="2"/>
    <s v="Yes"/>
    <s v="No"/>
    <n v="0"/>
    <s v="No"/>
    <n v="8"/>
    <n v="0.8"/>
    <n v="18.100000000000001"/>
    <s v="Yes"/>
    <s v="Excellent"/>
    <s v="No"/>
    <s v="IT"/>
    <s v="Monday"/>
    <s v="Afternoon"/>
  </r>
  <r>
    <x v="1295"/>
    <s v="2024-10-26 13:14:22"/>
    <x v="2"/>
    <s v="2024-11-08 15:38:22"/>
    <x v="1045"/>
    <n v="13.1"/>
    <x v="3"/>
    <s v="Windows Password"/>
    <s v="Low"/>
    <n v="360"/>
    <x v="1"/>
    <s v="Email"/>
    <s v="Tier 1"/>
    <x v="0"/>
    <x v="2"/>
    <s v="Yes"/>
    <s v="No"/>
    <n v="0"/>
    <s v="No"/>
    <n v="10"/>
    <n v="0.8"/>
    <n v="18"/>
    <s v="Yes"/>
    <s v="Poor"/>
    <s v="No"/>
    <s v="Marketing"/>
    <s v="Monday"/>
    <s v="Morning"/>
  </r>
  <r>
    <x v="1296"/>
    <s v="2024-01-21 01:51:23"/>
    <x v="3"/>
    <s v="2024-01-26 06:39:23"/>
    <x v="822"/>
    <n v="4.2"/>
    <x v="4"/>
    <s v="Performance"/>
    <s v="High"/>
    <n v="120"/>
    <x v="1"/>
    <s v="Walk-in"/>
    <s v="Tier 1"/>
    <x v="11"/>
    <x v="1"/>
    <s v="Yes"/>
    <s v="No"/>
    <n v="0"/>
    <s v="No"/>
    <n v="10"/>
    <n v="4.8"/>
    <n v="13.2"/>
    <s v="Yes"/>
    <s v="Good"/>
    <s v="No"/>
    <s v="HR"/>
    <s v="Thursday"/>
    <s v="Morning"/>
  </r>
  <r>
    <x v="1297"/>
    <s v="2024-10-04 10:09:39"/>
    <x v="2"/>
    <s v="2024-10-30 06:45:39"/>
    <x v="1086"/>
    <n v="25.9"/>
    <x v="7"/>
    <s v="Business Apps"/>
    <s v="Medium"/>
    <n v="240"/>
    <x v="0"/>
    <s v="Portal"/>
    <s v="Tier 1"/>
    <x v="15"/>
    <x v="2"/>
    <s v="Yes"/>
    <s v="No"/>
    <n v="0"/>
    <s v="Yes"/>
    <n v="4"/>
    <n v="2.8"/>
    <n v="0"/>
    <s v="Yes"/>
    <s v="Good"/>
    <s v="Yes"/>
    <s v="IT"/>
    <s v="Wednesday"/>
    <s v="Morning"/>
  </r>
  <r>
    <x v="1298"/>
    <s v="2024-08-02 16:04:54"/>
    <x v="1"/>
    <s v="2024-08-09 23:16:54"/>
    <x v="1087"/>
    <n v="7.3"/>
    <x v="0"/>
    <s v="VPN Access"/>
    <s v="High"/>
    <n v="120"/>
    <x v="0"/>
    <s v="Portal"/>
    <s v="Tier 1"/>
    <x v="13"/>
    <x v="1"/>
    <s v="Yes"/>
    <s v="No"/>
    <n v="0"/>
    <s v="Yes"/>
    <n v="6"/>
    <n v="3"/>
    <n v="19.3"/>
    <s v="Yes"/>
    <s v="Poor"/>
    <s v="No"/>
    <s v="Sales"/>
    <s v="Wednesday"/>
    <s v="Morning"/>
  </r>
  <r>
    <x v="1299"/>
    <s v="2024-09-27 18:06:34"/>
    <x v="9"/>
    <s v="2024-10-07 17:18:34"/>
    <x v="1088"/>
    <n v="10"/>
    <x v="3"/>
    <s v="Application Password"/>
    <s v="Low"/>
    <n v="360"/>
    <x v="1"/>
    <s v="Chat"/>
    <s v="Tier 1"/>
    <x v="17"/>
    <x v="2"/>
    <s v="No"/>
    <s v="No"/>
    <n v="1"/>
    <s v="No"/>
    <n v="8"/>
    <n v="2.7"/>
    <n v="26.2"/>
    <s v="No"/>
    <s v="Excellent"/>
    <s v="Yes"/>
    <s v="Operations"/>
    <s v="Thursday"/>
    <s v="Afternoon"/>
  </r>
  <r>
    <x v="1300"/>
    <s v="2024-11-21 23:26:09"/>
    <x v="7"/>
    <s v="2024-11-28 13:02:09"/>
    <x v="469"/>
    <n v="6.6"/>
    <x v="2"/>
    <s v="VPN Connection"/>
    <s v="High"/>
    <n v="120"/>
    <x v="0"/>
    <s v="Phone"/>
    <s v="Tier 2"/>
    <x v="22"/>
    <x v="1"/>
    <s v="No"/>
    <s v="Yes"/>
    <n v="3"/>
    <s v="No"/>
    <n v="5"/>
    <n v="4.5"/>
    <n v="19.600000000000001"/>
    <s v="Yes"/>
    <s v="Fair"/>
    <s v="No"/>
    <s v="Sales"/>
    <s v="Thursday"/>
    <s v="Morning"/>
  </r>
  <r>
    <x v="1301"/>
    <s v="2024-11-09 12:43:29"/>
    <x v="7"/>
    <s v="2024-11-23 18:19:29"/>
    <x v="1089"/>
    <n v="14.2"/>
    <x v="1"/>
    <s v="Monitor"/>
    <s v="Medium"/>
    <n v="240"/>
    <x v="0"/>
    <s v="Portal"/>
    <s v="Tier 1"/>
    <x v="24"/>
    <x v="2"/>
    <s v="No"/>
    <s v="No"/>
    <n v="1"/>
    <s v="No"/>
    <n v="7"/>
    <n v="4.4000000000000004"/>
    <n v="4.4000000000000004"/>
    <s v="Yes"/>
    <s v="Fair"/>
    <s v="Yes"/>
    <s v="Legal"/>
    <s v="Monday"/>
    <s v="Morning"/>
  </r>
  <r>
    <x v="1302"/>
    <s v="2024-04-14 03:22:20"/>
    <x v="11"/>
    <s v="2024-04-20 07:28:20"/>
    <x v="1090"/>
    <n v="6.2"/>
    <x v="4"/>
    <s v="Crash"/>
    <s v="Medium"/>
    <n v="240"/>
    <x v="1"/>
    <s v="Phone"/>
    <s v="Tier 2"/>
    <x v="22"/>
    <x v="0"/>
    <s v="No"/>
    <s v="Yes"/>
    <n v="3"/>
    <s v="No"/>
    <n v="9"/>
    <n v="3.4"/>
    <n v="20.3"/>
    <s v="No"/>
    <s v="Fair"/>
    <s v="No"/>
    <s v="Operations"/>
    <s v="Tuesday"/>
    <s v="Evening"/>
  </r>
  <r>
    <x v="1303"/>
    <s v="2024-03-19 09:46:54"/>
    <x v="5"/>
    <s v="2024-03-25 14:04:54"/>
    <x v="690"/>
    <n v="6.2"/>
    <x v="7"/>
    <s v="Adobe Suite"/>
    <s v="Medium"/>
    <n v="240"/>
    <x v="1"/>
    <s v="Phone"/>
    <s v="Tier 1"/>
    <x v="23"/>
    <x v="1"/>
    <s v="Yes"/>
    <s v="No"/>
    <n v="0"/>
    <s v="Yes"/>
    <n v="10"/>
    <n v="0.1"/>
    <n v="10"/>
    <s v="Yes"/>
    <s v="Good"/>
    <s v="Yes"/>
    <s v="Sales"/>
    <s v="Monday"/>
    <s v="Evening"/>
  </r>
  <r>
    <x v="1304"/>
    <s v="2024-07-05 19:49:18"/>
    <x v="4"/>
    <s v="2024-07-10 12:19:18"/>
    <x v="1091"/>
    <n v="4.7"/>
    <x v="2"/>
    <s v="Slow Network"/>
    <s v="High"/>
    <n v="120"/>
    <x v="1"/>
    <s v="Email"/>
    <s v="Tier 2"/>
    <x v="17"/>
    <x v="1"/>
    <s v="No"/>
    <s v="Yes"/>
    <n v="1"/>
    <s v="No"/>
    <n v="10"/>
    <n v="1.6"/>
    <n v="15.5"/>
    <s v="Yes"/>
    <s v="Good"/>
    <s v="No"/>
    <s v="Sales"/>
    <s v="Friday"/>
    <s v="Morning"/>
  </r>
  <r>
    <x v="1305"/>
    <s v="2024-07-25 21:31:51"/>
    <x v="4"/>
    <s v="2024-08-03 22:55:51"/>
    <x v="1092"/>
    <n v="9.1"/>
    <x v="3"/>
    <s v="Account Unlock"/>
    <s v="Low"/>
    <n v="360"/>
    <x v="1"/>
    <s v="Email"/>
    <s v="Tier 1"/>
    <x v="20"/>
    <x v="2"/>
    <s v="Yes"/>
    <s v="No"/>
    <n v="0"/>
    <s v="No"/>
    <n v="9"/>
    <n v="2.2000000000000002"/>
    <n v="3.6"/>
    <s v="Yes"/>
    <s v="Fair"/>
    <s v="Yes"/>
    <s v="Finance"/>
    <s v="Wednesday"/>
    <s v="Morning"/>
  </r>
  <r>
    <x v="1306"/>
    <s v="2024-05-24 12:24:06"/>
    <x v="8"/>
    <s v="2024-05-28 02:30:06"/>
    <x v="279"/>
    <n v="4.5999999999999996"/>
    <x v="4"/>
    <s v="Crash"/>
    <s v="High"/>
    <n v="120"/>
    <x v="1"/>
    <s v="Email"/>
    <s v="Tier 1"/>
    <x v="20"/>
    <x v="1"/>
    <s v="No"/>
    <s v="No"/>
    <n v="1"/>
    <s v="No"/>
    <n v="9"/>
    <n v="0.5"/>
    <n v="21"/>
    <s v="Yes"/>
    <s v="Good"/>
    <s v="Yes"/>
    <s v="Executive"/>
    <s v="Tuesday"/>
    <s v="Morning"/>
  </r>
  <r>
    <x v="1307"/>
    <s v="2024-03-09 10:45:46"/>
    <x v="5"/>
    <s v="2024-03-14 16:03:46"/>
    <x v="1093"/>
    <n v="5.2"/>
    <x v="5"/>
    <s v="Miscellaneous"/>
    <s v="High"/>
    <n v="120"/>
    <x v="0"/>
    <s v="Email"/>
    <s v="Tier 2"/>
    <x v="22"/>
    <x v="2"/>
    <s v="No"/>
    <s v="Yes"/>
    <n v="4"/>
    <s v="Yes"/>
    <n v="4"/>
    <n v="2.9"/>
    <n v="2.2000000000000002"/>
    <s v="No"/>
    <s v="Good"/>
    <s v="No"/>
    <s v="IT"/>
    <s v="Tuesday"/>
    <s v="Afternoon"/>
  </r>
  <r>
    <x v="1308"/>
    <s v="2024-02-10 02:49:25"/>
    <x v="6"/>
    <s v="2024-02-17 08:19:25"/>
    <x v="1094"/>
    <n v="7.2"/>
    <x v="1"/>
    <s v="Printer"/>
    <s v="High"/>
    <n v="120"/>
    <x v="0"/>
    <s v="Phone"/>
    <s v="Tier 1"/>
    <x v="12"/>
    <x v="1"/>
    <s v="No"/>
    <s v="No"/>
    <n v="1"/>
    <s v="No"/>
    <n v="3"/>
    <n v="0.1"/>
    <n v="6.6"/>
    <s v="Yes"/>
    <s v="Good"/>
    <s v="No"/>
    <s v="IT"/>
    <s v="Friday"/>
    <s v="Afternoon"/>
  </r>
  <r>
    <x v="1309"/>
    <s v="2024-10-09 02:48:46"/>
    <x v="2"/>
    <s v="2024-10-16 16:30:46"/>
    <x v="1095"/>
    <n v="6.6"/>
    <x v="7"/>
    <s v="MS Office"/>
    <s v="Medium"/>
    <n v="240"/>
    <x v="1"/>
    <s v="Email"/>
    <s v="Tier 2"/>
    <x v="8"/>
    <x v="2"/>
    <s v="No"/>
    <s v="Yes"/>
    <n v="4"/>
    <s v="No"/>
    <n v="8"/>
    <n v="2"/>
    <n v="0"/>
    <s v="No"/>
    <s v="Fair"/>
    <s v="Yes"/>
    <s v="IT"/>
    <s v="Monday"/>
    <s v="Afternoon"/>
  </r>
  <r>
    <x v="1310"/>
    <s v="2024-07-06 18:53:05"/>
    <x v="4"/>
    <s v="2024-07-13 19:53:05"/>
    <x v="1096"/>
    <n v="7"/>
    <x v="4"/>
    <s v="Performance"/>
    <s v="High"/>
    <n v="120"/>
    <x v="0"/>
    <s v="Email"/>
    <s v="Tier 1"/>
    <x v="2"/>
    <x v="0"/>
    <s v="No"/>
    <s v="No"/>
    <n v="1"/>
    <s v="No"/>
    <n v="6"/>
    <n v="4.4000000000000004"/>
    <n v="2.7"/>
    <s v="No"/>
    <s v="Poor"/>
    <s v="Yes"/>
    <s v="HR"/>
    <s v="Friday"/>
    <s v="Afternoon"/>
  </r>
  <r>
    <x v="1311"/>
    <s v="2024-01-23 10:12:27"/>
    <x v="3"/>
    <s v="2024-02-01 15:30:27"/>
    <x v="1097"/>
    <n v="9.1999999999999993"/>
    <x v="6"/>
    <s v="Distribution List"/>
    <s v="Medium"/>
    <n v="240"/>
    <x v="1"/>
    <s v="Portal"/>
    <s v="Tier 2"/>
    <x v="4"/>
    <x v="0"/>
    <s v="No"/>
    <s v="Yes"/>
    <n v="3"/>
    <s v="No"/>
    <n v="7"/>
    <n v="0.1"/>
    <n v="0"/>
    <s v="Yes"/>
    <s v="Fair"/>
    <s v="No"/>
    <s v="Executive"/>
    <s v="Wednesday"/>
    <s v="Evening"/>
  </r>
  <r>
    <x v="1312"/>
    <s v="2024-06-25 11:44:34"/>
    <x v="10"/>
    <s v="2024-07-02 06:26:34"/>
    <x v="1098"/>
    <n v="6.8"/>
    <x v="6"/>
    <s v="Cannot Send/Receive"/>
    <s v="Medium"/>
    <n v="240"/>
    <x v="1"/>
    <s v="Phone"/>
    <s v="Tier 1"/>
    <x v="22"/>
    <x v="2"/>
    <s v="Yes"/>
    <s v="No"/>
    <n v="0"/>
    <s v="Yes"/>
    <n v="10"/>
    <n v="1.6"/>
    <n v="9.1999999999999993"/>
    <s v="Yes"/>
    <s v="Good"/>
    <s v="Yes"/>
    <s v="IT"/>
    <s v="Tuesday"/>
    <s v="Afternoon"/>
  </r>
  <r>
    <x v="1313"/>
    <s v="2024-07-24 02:23:13"/>
    <x v="4"/>
    <s v="2024-08-02 10:47:13"/>
    <x v="1099"/>
    <n v="8.4"/>
    <x v="3"/>
    <s v="Account Unlock"/>
    <s v="Medium"/>
    <n v="240"/>
    <x v="1"/>
    <s v="Email"/>
    <s v="Tier 1"/>
    <x v="0"/>
    <x v="1"/>
    <s v="Yes"/>
    <s v="No"/>
    <n v="0"/>
    <s v="No"/>
    <n v="10"/>
    <n v="0.5"/>
    <n v="23.8"/>
    <s v="Yes"/>
    <s v="Poor"/>
    <s v="Yes"/>
    <s v="Sales"/>
    <s v="Tuesday"/>
    <s v="Afternoon"/>
  </r>
  <r>
    <x v="1314"/>
    <s v="2024-11-05 05:47:34"/>
    <x v="7"/>
    <s v="2024-11-17 15:53:34"/>
    <x v="1100"/>
    <n v="12.4"/>
    <x v="5"/>
    <s v="Training Request"/>
    <s v="Low"/>
    <n v="360"/>
    <x v="1"/>
    <s v="Email"/>
    <s v="Tier 1"/>
    <x v="16"/>
    <x v="2"/>
    <s v="No"/>
    <s v="No"/>
    <n v="1"/>
    <s v="No"/>
    <n v="7"/>
    <n v="4.4000000000000004"/>
    <n v="8.1999999999999993"/>
    <s v="No"/>
    <s v="Excellent"/>
    <s v="Yes"/>
    <s v="HR"/>
    <s v="Tuesday"/>
    <s v="Morning"/>
  </r>
  <r>
    <x v="1315"/>
    <s v="2024-04-09 15:08:12"/>
    <x v="11"/>
    <s v="2024-04-13 12:38:12"/>
    <x v="1101"/>
    <n v="3.9"/>
    <x v="1"/>
    <s v="Desktop"/>
    <s v="High"/>
    <n v="120"/>
    <x v="1"/>
    <s v="Phone"/>
    <s v="Tier 1"/>
    <x v="1"/>
    <x v="1"/>
    <s v="Yes"/>
    <s v="No"/>
    <n v="0"/>
    <s v="No"/>
    <n v="10"/>
    <n v="1.2"/>
    <n v="28.1"/>
    <s v="Yes"/>
    <s v="Fair"/>
    <s v="Yes"/>
    <s v="Executive"/>
    <s v="Thursday"/>
    <s v="Morning"/>
  </r>
  <r>
    <x v="1316"/>
    <s v="2024-09-27 16:54:04"/>
    <x v="9"/>
    <s v="2024-10-07 10:24:04"/>
    <x v="1102"/>
    <n v="9.6999999999999993"/>
    <x v="2"/>
    <s v="Ethernet"/>
    <s v="Low"/>
    <n v="360"/>
    <x v="1"/>
    <s v="Portal"/>
    <s v="Tier 1"/>
    <x v="10"/>
    <x v="0"/>
    <s v="No"/>
    <s v="No"/>
    <n v="1"/>
    <s v="No"/>
    <n v="7"/>
    <n v="0.1"/>
    <n v="19.899999999999999"/>
    <s v="Yes"/>
    <s v="Fair"/>
    <s v="No"/>
    <s v="Finance"/>
    <s v="Thursday"/>
    <s v="Morning"/>
  </r>
  <r>
    <x v="1317"/>
    <s v="2024-07-12 01:50:41"/>
    <x v="4"/>
    <s v="2024-07-17 13:32:41"/>
    <x v="1103"/>
    <n v="4.5"/>
    <x v="6"/>
    <s v="Mailbox Full"/>
    <s v="High"/>
    <n v="120"/>
    <x v="1"/>
    <s v="Portal"/>
    <s v="Tier 1"/>
    <x v="19"/>
    <x v="1"/>
    <s v="No"/>
    <s v="No"/>
    <n v="1"/>
    <s v="No"/>
    <n v="8"/>
    <n v="0.7"/>
    <n v="21.5"/>
    <s v="No"/>
    <s v="Fair"/>
    <s v="Yes"/>
    <s v="IT"/>
    <s v="Friday"/>
    <s v="Morning"/>
  </r>
  <r>
    <x v="1318"/>
    <s v="2024-05-21 20:25:21"/>
    <x v="8"/>
    <s v="2024-05-24 23:31:21"/>
    <x v="762"/>
    <n v="3.1"/>
    <x v="2"/>
    <s v="WiFi Issues"/>
    <s v="High"/>
    <n v="120"/>
    <x v="1"/>
    <s v="Phone"/>
    <s v="Tier 1"/>
    <x v="9"/>
    <x v="2"/>
    <s v="Yes"/>
    <s v="No"/>
    <n v="0"/>
    <s v="No"/>
    <n v="10"/>
    <n v="1.1000000000000001"/>
    <n v="0.4"/>
    <s v="Yes"/>
    <s v="Fair"/>
    <s v="No"/>
    <s v="Marketing"/>
    <s v="Tuesday"/>
    <s v="Morning"/>
  </r>
  <r>
    <x v="1319"/>
    <s v="2024-11-11 22:41:21"/>
    <x v="7"/>
    <s v="2024-11-15 06:41:21"/>
    <x v="1104"/>
    <n v="3.3"/>
    <x v="7"/>
    <s v="MS Office"/>
    <s v="High"/>
    <n v="120"/>
    <x v="1"/>
    <s v="Phone"/>
    <s v="Tier 1"/>
    <x v="20"/>
    <x v="1"/>
    <s v="No"/>
    <s v="No"/>
    <n v="1"/>
    <s v="No"/>
    <n v="10"/>
    <n v="0.9"/>
    <n v="15.2"/>
    <s v="Yes"/>
    <s v="Good"/>
    <s v="No"/>
    <s v="IT"/>
    <s v="Thursday"/>
    <s v="Morning"/>
  </r>
  <r>
    <x v="1320"/>
    <s v="2024-04-29 17:54:01"/>
    <x v="11"/>
    <s v="2024-05-04 03:54:01"/>
    <x v="931"/>
    <n v="4.4000000000000004"/>
    <x v="1"/>
    <s v="Docking Station"/>
    <s v="High"/>
    <n v="120"/>
    <x v="1"/>
    <s v="Phone"/>
    <s v="Tier 2"/>
    <x v="17"/>
    <x v="1"/>
    <s v="No"/>
    <s v="Yes"/>
    <n v="3"/>
    <s v="No"/>
    <n v="9"/>
    <n v="3"/>
    <n v="15"/>
    <s v="Yes"/>
    <s v="Good"/>
    <s v="Yes"/>
    <s v="Marketing"/>
    <s v="Wednesday"/>
    <s v="Afternoon"/>
  </r>
  <r>
    <x v="1321"/>
    <s v="2024-04-11 07:49:03"/>
    <x v="11"/>
    <s v="2024-04-15 13:55:03"/>
    <x v="263"/>
    <n v="4.3"/>
    <x v="4"/>
    <s v="Features Not Working"/>
    <s v="High"/>
    <n v="120"/>
    <x v="1"/>
    <s v="Portal"/>
    <s v="Tier 1"/>
    <x v="8"/>
    <x v="0"/>
    <s v="No"/>
    <s v="No"/>
    <n v="1"/>
    <s v="No"/>
    <n v="9"/>
    <n v="3"/>
    <n v="26"/>
    <s v="No"/>
    <s v="Poor"/>
    <s v="Yes"/>
    <s v="IT"/>
    <s v="Monday"/>
    <s v="Evening"/>
  </r>
  <r>
    <x v="1322"/>
    <s v="2024-03-21 08:04:18"/>
    <x v="5"/>
    <s v="2024-03-25 23:22:18"/>
    <x v="51"/>
    <n v="4.5999999999999996"/>
    <x v="2"/>
    <s v="Slow Network"/>
    <s v="High"/>
    <n v="120"/>
    <x v="1"/>
    <s v="Phone"/>
    <s v="Tier 1"/>
    <x v="6"/>
    <x v="2"/>
    <s v="No"/>
    <s v="No"/>
    <n v="1"/>
    <s v="No"/>
    <n v="8"/>
    <n v="0.5"/>
    <n v="30.5"/>
    <s v="Yes"/>
    <s v="Fair"/>
    <s v="No"/>
    <s v="Legal"/>
    <s v="Wednesday"/>
    <s v="Evening"/>
  </r>
  <r>
    <x v="1323"/>
    <s v="2024-11-18 15:05:07"/>
    <x v="7"/>
    <s v="2024-11-26 06:59:07"/>
    <x v="1105"/>
    <n v="7.7"/>
    <x v="7"/>
    <s v="Adobe Suite"/>
    <s v="Medium"/>
    <n v="240"/>
    <x v="1"/>
    <s v="Phone"/>
    <s v="Tier 1"/>
    <x v="13"/>
    <x v="2"/>
    <s v="No"/>
    <s v="No"/>
    <n v="1"/>
    <s v="No"/>
    <n v="8"/>
    <n v="2.9"/>
    <n v="23.7"/>
    <s v="No"/>
    <s v="Excellent"/>
    <s v="No"/>
    <s v="Sales"/>
    <s v="Monday"/>
    <s v="Morning"/>
  </r>
  <r>
    <x v="1324"/>
    <s v="2024-08-26 00:58:35"/>
    <x v="1"/>
    <s v="2024-08-31 18:16:35"/>
    <x v="174"/>
    <n v="4.7"/>
    <x v="4"/>
    <s v="Performance"/>
    <s v="High"/>
    <n v="120"/>
    <x v="1"/>
    <s v="Email"/>
    <s v="Tier 2"/>
    <x v="24"/>
    <x v="2"/>
    <s v="No"/>
    <s v="Yes"/>
    <n v="1"/>
    <s v="No"/>
    <n v="7"/>
    <n v="1.3"/>
    <n v="21.4"/>
    <s v="Yes"/>
    <s v="Fair"/>
    <s v="Yes"/>
    <s v="IT"/>
    <s v="Thursday"/>
    <s v="Morning"/>
  </r>
  <r>
    <x v="1325"/>
    <s v="2024-07-29 20:27:43"/>
    <x v="4"/>
    <s v="2024-07-31 09:45:43"/>
    <x v="1106"/>
    <n v="1.6"/>
    <x v="1"/>
    <s v="Laptop"/>
    <s v="Critical"/>
    <n v="48"/>
    <x v="1"/>
    <s v="Phone"/>
    <s v="Tier 1"/>
    <x v="4"/>
    <x v="0"/>
    <s v="No"/>
    <s v="No"/>
    <n v="1"/>
    <s v="No"/>
    <n v="9"/>
    <n v="4.9000000000000004"/>
    <n v="32.5"/>
    <s v="Yes"/>
    <s v="Poor"/>
    <s v="Yes"/>
    <s v="Legal"/>
    <s v="Monday"/>
    <s v="Afternoon"/>
  </r>
  <r>
    <x v="1326"/>
    <s v="2024-08-30 01:56:59"/>
    <x v="1"/>
    <s v="2024-10-06 02:02:59"/>
    <x v="1107"/>
    <n v="37"/>
    <x v="5"/>
    <s v="Documentation"/>
    <s v="Low"/>
    <n v="360"/>
    <x v="0"/>
    <s v="Phone"/>
    <s v="Tier 1"/>
    <x v="2"/>
    <x v="2"/>
    <s v="Yes"/>
    <s v="No"/>
    <n v="0"/>
    <s v="No"/>
    <n v="5"/>
    <n v="0.5"/>
    <n v="32.299999999999997"/>
    <s v="Yes"/>
    <s v="Fair"/>
    <s v="Yes"/>
    <s v="HR"/>
    <s v="Thursday"/>
    <s v="Morning"/>
  </r>
  <r>
    <x v="1327"/>
    <s v="2024-03-01 15:19:14"/>
    <x v="5"/>
    <s v="2024-03-06 01:31:14"/>
    <x v="327"/>
    <n v="5.4"/>
    <x v="4"/>
    <s v="Login Issues"/>
    <s v="Critical"/>
    <n v="48"/>
    <x v="0"/>
    <s v="Email"/>
    <s v="Tier 1"/>
    <x v="16"/>
    <x v="2"/>
    <s v="No"/>
    <s v="No"/>
    <n v="1"/>
    <s v="No"/>
    <n v="6"/>
    <n v="2.1"/>
    <n v="30.8"/>
    <s v="No"/>
    <s v="Poor"/>
    <s v="Yes"/>
    <s v="Legal"/>
    <s v="Monday"/>
    <s v="Morning"/>
  </r>
  <r>
    <x v="1328"/>
    <s v="2024-11-10 09:48:44"/>
    <x v="7"/>
    <s v="2024-11-26 00:18:44"/>
    <x v="1108"/>
    <n v="16.600000000000001"/>
    <x v="3"/>
    <s v="Email Password"/>
    <s v="Low"/>
    <n v="360"/>
    <x v="0"/>
    <s v="Email"/>
    <s v="Tier 1"/>
    <x v="1"/>
    <x v="1"/>
    <s v="No"/>
    <s v="No"/>
    <n v="1"/>
    <s v="No"/>
    <n v="7"/>
    <n v="4.2"/>
    <n v="11.1"/>
    <s v="No"/>
    <s v="Poor"/>
    <s v="No"/>
    <s v="Executive"/>
    <s v="Tuesday"/>
    <s v="Morning"/>
  </r>
  <r>
    <x v="1329"/>
    <s v="2024-10-23 07:45:25"/>
    <x v="2"/>
    <s v="2024-11-02 20:33:25"/>
    <x v="1109"/>
    <n v="10.6"/>
    <x v="3"/>
    <s v="Windows Password"/>
    <s v="Low"/>
    <n v="360"/>
    <x v="1"/>
    <s v="Email"/>
    <s v="Tier 1"/>
    <x v="13"/>
    <x v="2"/>
    <s v="Yes"/>
    <s v="No"/>
    <n v="0"/>
    <s v="No"/>
    <n v="8"/>
    <n v="3.6"/>
    <n v="11"/>
    <s v="No"/>
    <s v="Fair"/>
    <s v="Yes"/>
    <s v="Legal"/>
    <s v="Wednesday"/>
    <s v="Morning"/>
  </r>
  <r>
    <x v="1330"/>
    <s v="2024-03-20 07:09:19"/>
    <x v="5"/>
    <s v="2024-03-29 14:27:19"/>
    <x v="1110"/>
    <n v="9.3000000000000007"/>
    <x v="7"/>
    <s v="VPN Client"/>
    <s v="Medium"/>
    <n v="240"/>
    <x v="1"/>
    <s v="Chat"/>
    <s v="Tier 2"/>
    <x v="4"/>
    <x v="2"/>
    <s v="No"/>
    <s v="Yes"/>
    <n v="1"/>
    <s v="No"/>
    <n v="7"/>
    <n v="0.1"/>
    <n v="8.4"/>
    <s v="No"/>
    <s v="Good"/>
    <s v="No"/>
    <s v="Executive"/>
    <s v="Monday"/>
    <s v="Evening"/>
  </r>
  <r>
    <x v="1331"/>
    <s v="2024-12-02 05:58:24"/>
    <x v="0"/>
    <s v="2024-12-06 13:28:24"/>
    <x v="217"/>
    <n v="4.3"/>
    <x v="7"/>
    <s v="Adobe Suite"/>
    <s v="High"/>
    <n v="120"/>
    <x v="1"/>
    <s v="Walk-in"/>
    <s v="Tier 1"/>
    <x v="14"/>
    <x v="2"/>
    <s v="No"/>
    <s v="No"/>
    <n v="1"/>
    <s v="No"/>
    <n v="6"/>
    <n v="3.3"/>
    <n v="30.5"/>
    <s v="No"/>
    <s v="Fair"/>
    <s v="Yes"/>
    <s v="HR"/>
    <s v="Wednesday"/>
    <s v="Evening"/>
  </r>
  <r>
    <x v="1332"/>
    <s v="2024-09-13 09:24:23"/>
    <x v="9"/>
    <s v="2024-10-03 22:06:23"/>
    <x v="1111"/>
    <n v="20.5"/>
    <x v="0"/>
    <s v="VPN Access"/>
    <s v="Low"/>
    <n v="360"/>
    <x v="0"/>
    <s v="Portal"/>
    <s v="Tier 1"/>
    <x v="11"/>
    <x v="2"/>
    <s v="No"/>
    <s v="No"/>
    <n v="1"/>
    <s v="No"/>
    <n v="4"/>
    <n v="3.6"/>
    <n v="17.5"/>
    <s v="No"/>
    <s v="Fair"/>
    <s v="Yes"/>
    <s v="Executive"/>
    <s v="Monday"/>
    <s v="Afternoon"/>
  </r>
  <r>
    <x v="1333"/>
    <s v="2024-01-13 19:27:29"/>
    <x v="3"/>
    <s v="2024-01-23 21:51:29"/>
    <x v="1112"/>
    <n v="10.1"/>
    <x v="5"/>
    <s v="Training Request"/>
    <s v="Medium"/>
    <n v="240"/>
    <x v="0"/>
    <s v="Phone"/>
    <s v="Tier 2"/>
    <x v="13"/>
    <x v="0"/>
    <s v="No"/>
    <s v="Yes"/>
    <n v="2"/>
    <s v="No"/>
    <n v="2"/>
    <n v="2.6"/>
    <n v="32.1"/>
    <s v="Yes"/>
    <s v="Excellent"/>
    <s v="Yes"/>
    <s v="Executive"/>
    <s v="Wednesday"/>
    <s v="Morning"/>
  </r>
  <r>
    <x v="1334"/>
    <s v="2024-05-05 10:15:09"/>
    <x v="8"/>
    <s v="2024-05-18 17:21:09"/>
    <x v="1113"/>
    <n v="13.3"/>
    <x v="5"/>
    <s v="Miscellaneous"/>
    <s v="Low"/>
    <n v="360"/>
    <x v="1"/>
    <s v="Email"/>
    <s v="Tier 2"/>
    <x v="20"/>
    <x v="2"/>
    <s v="No"/>
    <s v="Yes"/>
    <n v="1"/>
    <s v="No"/>
    <n v="5"/>
    <n v="2.4"/>
    <n v="7.3"/>
    <s v="No"/>
    <s v="Good"/>
    <s v="Yes"/>
    <s v="Marketing"/>
    <s v="Wednesday"/>
    <s v="Morning"/>
  </r>
  <r>
    <x v="1335"/>
    <s v="2024-10-30 20:00:00"/>
    <x v="2"/>
    <s v="2024-11-12 04:12:00"/>
    <x v="1114"/>
    <n v="12.3"/>
    <x v="3"/>
    <s v="Email Password"/>
    <s v="Low"/>
    <n v="360"/>
    <x v="1"/>
    <s v="Walk-in"/>
    <s v="Tier 1"/>
    <x v="10"/>
    <x v="0"/>
    <s v="Yes"/>
    <s v="No"/>
    <n v="0"/>
    <s v="No"/>
    <n v="10"/>
    <n v="3.7"/>
    <n v="11.6"/>
    <s v="No"/>
    <s v="Excellent"/>
    <s v="No"/>
    <s v="Sales"/>
    <s v="Monday"/>
    <s v="Morning"/>
  </r>
  <r>
    <x v="1336"/>
    <s v="2024-05-19 18:37:23"/>
    <x v="8"/>
    <s v="2024-05-26 22:13:23"/>
    <x v="346"/>
    <n v="7.2"/>
    <x v="0"/>
    <s v="Application Access"/>
    <s v="Medium"/>
    <n v="240"/>
    <x v="1"/>
    <s v="Portal"/>
    <s v="Tier 1"/>
    <x v="8"/>
    <x v="2"/>
    <s v="Yes"/>
    <s v="No"/>
    <n v="0"/>
    <s v="No"/>
    <n v="10"/>
    <n v="1.8"/>
    <n v="30.3"/>
    <s v="No"/>
    <s v="Excellent"/>
    <s v="Yes"/>
    <s v="HR"/>
    <s v="Thursday"/>
    <s v="Afternoon"/>
  </r>
  <r>
    <x v="1337"/>
    <s v="2024-08-11 06:18:16"/>
    <x v="1"/>
    <s v="2024-08-21 23:12:16"/>
    <x v="1115"/>
    <n v="10.7"/>
    <x v="3"/>
    <s v="Account Unlock"/>
    <s v="Low"/>
    <n v="360"/>
    <x v="1"/>
    <s v="Email"/>
    <s v="Tier 1"/>
    <x v="23"/>
    <x v="2"/>
    <s v="Yes"/>
    <s v="No"/>
    <n v="0"/>
    <s v="No"/>
    <n v="9"/>
    <n v="5.6"/>
    <n v="23.2"/>
    <s v="Yes"/>
    <s v="Poor"/>
    <s v="Yes"/>
    <s v="Executive"/>
    <s v="Monday"/>
    <s v="Afternoon"/>
  </r>
  <r>
    <x v="1338"/>
    <s v="2024-08-08 04:44:50"/>
    <x v="1"/>
    <s v="2024-08-09 16:26:50"/>
    <x v="167"/>
    <n v="1.5"/>
    <x v="4"/>
    <s v="Login Issues"/>
    <s v="Critical"/>
    <n v="48"/>
    <x v="1"/>
    <s v="Phone"/>
    <s v="Tier 1"/>
    <x v="2"/>
    <x v="1"/>
    <s v="No"/>
    <s v="No"/>
    <n v="1"/>
    <s v="No"/>
    <n v="7"/>
    <n v="5"/>
    <n v="11.9"/>
    <s v="No"/>
    <s v="Poor"/>
    <s v="Yes"/>
    <s v="Operations"/>
    <s v="Friday"/>
    <s v="Morning"/>
  </r>
  <r>
    <x v="1339"/>
    <s v="2024-03-15 04:48:55"/>
    <x v="5"/>
    <s v="2024-03-22 18:24:55"/>
    <x v="853"/>
    <n v="7.6"/>
    <x v="4"/>
    <s v="Performance"/>
    <s v="Medium"/>
    <n v="240"/>
    <x v="1"/>
    <s v="Email"/>
    <s v="Tier 1"/>
    <x v="20"/>
    <x v="2"/>
    <s v="No"/>
    <s v="No"/>
    <n v="1"/>
    <s v="Yes"/>
    <n v="8"/>
    <n v="4.5999999999999996"/>
    <n v="27.4"/>
    <s v="Yes"/>
    <s v="Good"/>
    <s v="No"/>
    <s v="HR"/>
    <s v="Wednesday"/>
    <s v="Afternoon"/>
  </r>
  <r>
    <x v="1340"/>
    <s v="2024-02-04 00:35:30"/>
    <x v="6"/>
    <s v="2024-02-14 04:23:30"/>
    <x v="549"/>
    <n v="9.1999999999999993"/>
    <x v="0"/>
    <s v="File Share"/>
    <s v="Medium"/>
    <n v="240"/>
    <x v="1"/>
    <s v="Phone"/>
    <s v="Tier 1"/>
    <x v="2"/>
    <x v="2"/>
    <s v="Yes"/>
    <s v="No"/>
    <n v="0"/>
    <s v="No"/>
    <n v="8"/>
    <n v="4.2"/>
    <n v="11.8"/>
    <s v="Yes"/>
    <s v="Fair"/>
    <s v="Yes"/>
    <s v="Executive"/>
    <s v="Wednesday"/>
    <s v="Afternoon"/>
  </r>
  <r>
    <x v="1341"/>
    <s v="2024-05-02 18:17:16"/>
    <x v="8"/>
    <s v="2024-05-25 17:05:16"/>
    <x v="1116"/>
    <n v="23"/>
    <x v="4"/>
    <s v="Crash"/>
    <s v="Medium"/>
    <n v="240"/>
    <x v="0"/>
    <s v="Portal"/>
    <s v="Tier 1"/>
    <x v="18"/>
    <x v="2"/>
    <s v="No"/>
    <s v="No"/>
    <n v="1"/>
    <s v="No"/>
    <n v="7"/>
    <n v="1.5"/>
    <n v="7.2"/>
    <s v="Yes"/>
    <s v="Good"/>
    <s v="Yes"/>
    <s v="Sales"/>
    <s v="Monday"/>
    <s v="Afternoon"/>
  </r>
  <r>
    <x v="1342"/>
    <s v="2024-09-21 21:21:03"/>
    <x v="9"/>
    <s v="2024-10-12 05:51:03"/>
    <x v="1117"/>
    <n v="20.399999999999999"/>
    <x v="3"/>
    <s v="Application Password"/>
    <s v="Low"/>
    <n v="360"/>
    <x v="0"/>
    <s v="Email"/>
    <s v="Tier 1"/>
    <x v="9"/>
    <x v="1"/>
    <s v="Yes"/>
    <s v="No"/>
    <n v="0"/>
    <s v="No"/>
    <n v="6"/>
    <n v="2"/>
    <n v="14.7"/>
    <s v="Yes"/>
    <s v="Fair"/>
    <s v="No"/>
    <s v="Finance"/>
    <s v="Thursday"/>
    <s v="Morning"/>
  </r>
  <r>
    <x v="1343"/>
    <s v="2024-04-02 00:31:25"/>
    <x v="11"/>
    <s v="2024-04-08 02:55:25"/>
    <x v="926"/>
    <n v="6.1"/>
    <x v="6"/>
    <s v="Calendar Sync"/>
    <s v="Medium"/>
    <n v="240"/>
    <x v="1"/>
    <s v="Phone"/>
    <s v="Tier 1"/>
    <x v="10"/>
    <x v="1"/>
    <s v="No"/>
    <s v="No"/>
    <n v="1"/>
    <s v="No"/>
    <n v="8"/>
    <n v="1.1000000000000001"/>
    <n v="19"/>
    <s v="No"/>
    <s v="Fair"/>
    <s v="Yes"/>
    <s v="Operations"/>
    <s v="Thursday"/>
    <s v="Evening"/>
  </r>
  <r>
    <x v="1344"/>
    <s v="2024-03-20 19:10:58"/>
    <x v="5"/>
    <s v="2024-03-27 00:16:58"/>
    <x v="1118"/>
    <n v="7.2"/>
    <x v="0"/>
    <s v="Admin Rights"/>
    <s v="Medium"/>
    <n v="240"/>
    <x v="1"/>
    <s v="Email"/>
    <s v="Tier 1"/>
    <x v="10"/>
    <x v="2"/>
    <s v="No"/>
    <s v="No"/>
    <n v="1"/>
    <s v="No"/>
    <n v="10"/>
    <n v="2.2000000000000002"/>
    <n v="2.8"/>
    <s v="Yes"/>
    <s v="Fair"/>
    <s v="Yes"/>
    <s v="Marketing"/>
    <s v="Thursday"/>
    <s v="Evening"/>
  </r>
  <r>
    <x v="1345"/>
    <s v="2024-04-29 08:19:20"/>
    <x v="11"/>
    <s v="2024-05-02 09:07:20"/>
    <x v="1119"/>
    <n v="3"/>
    <x v="2"/>
    <s v="Ethernet"/>
    <s v="High"/>
    <n v="120"/>
    <x v="1"/>
    <s v="Phone"/>
    <s v="Tier 2"/>
    <x v="24"/>
    <x v="2"/>
    <s v="No"/>
    <s v="Yes"/>
    <n v="4"/>
    <s v="No"/>
    <n v="7"/>
    <n v="1.3"/>
    <n v="1.9"/>
    <s v="Yes"/>
    <s v="Excellent"/>
    <s v="Yes"/>
    <s v="Executive"/>
    <s v="Thursday"/>
    <s v="Morning"/>
  </r>
  <r>
    <x v="1346"/>
    <s v="2024-03-06 16:34:01"/>
    <x v="5"/>
    <s v="2024-03-20 08:04:01"/>
    <x v="157"/>
    <n v="13.6"/>
    <x v="3"/>
    <s v="Windows Password"/>
    <s v="Medium"/>
    <n v="240"/>
    <x v="0"/>
    <s v="Phone"/>
    <s v="Tier 1"/>
    <x v="4"/>
    <x v="0"/>
    <s v="Yes"/>
    <s v="No"/>
    <n v="0"/>
    <s v="No"/>
    <n v="8"/>
    <n v="2.7"/>
    <n v="27.6"/>
    <s v="Yes"/>
    <s v="Fair"/>
    <s v="No"/>
    <s v="Marketing"/>
    <s v="Friday"/>
    <s v="Afternoon"/>
  </r>
  <r>
    <x v="1347"/>
    <s v="2024-02-21 09:44:55"/>
    <x v="6"/>
    <s v="2024-02-28 21:44:55"/>
    <x v="1120"/>
    <n v="7.5"/>
    <x v="6"/>
    <s v="Cannot Send/Receive"/>
    <s v="High"/>
    <n v="120"/>
    <x v="0"/>
    <s v="Walk-in"/>
    <s v="Tier 1"/>
    <x v="17"/>
    <x v="1"/>
    <s v="No"/>
    <s v="No"/>
    <n v="1"/>
    <s v="Yes"/>
    <n v="6"/>
    <n v="0.1"/>
    <n v="26.4"/>
    <s v="Yes"/>
    <s v="Fair"/>
    <s v="Yes"/>
    <s v="Operations"/>
    <s v="Thursday"/>
    <s v="Afternoon"/>
  </r>
  <r>
    <x v="1348"/>
    <s v="2024-06-20 02:18:03"/>
    <x v="10"/>
    <s v="2024-06-28 04:12:03"/>
    <x v="684"/>
    <n v="7.1"/>
    <x v="2"/>
    <s v="Ethernet"/>
    <s v="High"/>
    <n v="120"/>
    <x v="0"/>
    <s v="Chat"/>
    <s v="Tier 1"/>
    <x v="15"/>
    <x v="2"/>
    <s v="No"/>
    <s v="No"/>
    <n v="1"/>
    <s v="No"/>
    <n v="9"/>
    <n v="2.6"/>
    <n v="32.5"/>
    <s v="No"/>
    <s v="Fair"/>
    <s v="Yes"/>
    <s v="Marketing"/>
    <s v="Wednesday"/>
    <s v="Afternoon"/>
  </r>
  <r>
    <x v="1349"/>
    <s v="2024-08-18 11:28:08"/>
    <x v="1"/>
    <s v="2024-08-29 15:04:08"/>
    <x v="1121"/>
    <n v="11.2"/>
    <x v="7"/>
    <s v="Drivers"/>
    <s v="Medium"/>
    <n v="240"/>
    <x v="0"/>
    <s v="Phone"/>
    <s v="Tier 1"/>
    <x v="20"/>
    <x v="1"/>
    <s v="No"/>
    <s v="No"/>
    <n v="1"/>
    <s v="No"/>
    <n v="4"/>
    <n v="4.9000000000000004"/>
    <n v="24.5"/>
    <s v="No"/>
    <s v="Fair"/>
    <s v="No"/>
    <s v="Finance"/>
    <s v="Wednesday"/>
    <s v="Morning"/>
  </r>
  <r>
    <x v="1350"/>
    <s v="2024-04-04 23:10:58"/>
    <x v="11"/>
    <s v="2024-04-14 10:52:58"/>
    <x v="1122"/>
    <n v="9.5"/>
    <x v="3"/>
    <s v="Account Unlock"/>
    <s v="Low"/>
    <n v="360"/>
    <x v="1"/>
    <s v="Chat"/>
    <s v="Tier 1"/>
    <x v="12"/>
    <x v="2"/>
    <s v="Yes"/>
    <s v="No"/>
    <n v="0"/>
    <s v="No"/>
    <n v="7"/>
    <n v="2.8"/>
    <n v="20.3"/>
    <s v="Yes"/>
    <s v="Poor"/>
    <s v="Yes"/>
    <s v="Executive"/>
    <s v="Friday"/>
    <s v="Afternoon"/>
  </r>
  <r>
    <x v="1351"/>
    <s v="2024-08-17 05:45:37"/>
    <x v="1"/>
    <s v="2024-09-05 23:09:37"/>
    <x v="1123"/>
    <n v="19.7"/>
    <x v="7"/>
    <s v="Drivers"/>
    <s v="Medium"/>
    <n v="240"/>
    <x v="0"/>
    <s v="Email"/>
    <s v="Tier 1"/>
    <x v="21"/>
    <x v="2"/>
    <s v="No"/>
    <s v="No"/>
    <n v="1"/>
    <s v="No"/>
    <n v="5"/>
    <n v="2.1"/>
    <n v="29"/>
    <s v="No"/>
    <s v="Excellent"/>
    <s v="Yes"/>
    <s v="Operations"/>
    <s v="Wednesday"/>
    <s v="Morning"/>
  </r>
  <r>
    <x v="1352"/>
    <s v="2024-02-04 16:44:12"/>
    <x v="6"/>
    <s v="2024-02-12 19:08:12"/>
    <x v="848"/>
    <n v="8.1"/>
    <x v="2"/>
    <s v="Slow Network"/>
    <s v="Medium"/>
    <n v="240"/>
    <x v="1"/>
    <s v="Email"/>
    <s v="Tier 1"/>
    <x v="9"/>
    <x v="2"/>
    <s v="No"/>
    <s v="No"/>
    <n v="1"/>
    <s v="No"/>
    <n v="10"/>
    <n v="0.4"/>
    <n v="0"/>
    <s v="No"/>
    <s v="Good"/>
    <s v="Yes"/>
    <s v="IT"/>
    <s v="Wednesday"/>
    <s v="Afternoon"/>
  </r>
  <r>
    <x v="1353"/>
    <s v="2024-07-03 18:49:09"/>
    <x v="4"/>
    <s v="2024-07-07 09:07:09"/>
    <x v="1006"/>
    <n v="3.6"/>
    <x v="4"/>
    <s v="Performance"/>
    <s v="High"/>
    <n v="120"/>
    <x v="1"/>
    <s v="Email"/>
    <s v="Tier 2"/>
    <x v="4"/>
    <x v="2"/>
    <s v="No"/>
    <s v="Yes"/>
    <n v="2"/>
    <s v="No"/>
    <n v="8"/>
    <n v="2"/>
    <n v="15.3"/>
    <s v="No"/>
    <s v="Good"/>
    <s v="No"/>
    <s v="Operations"/>
    <s v="Thursday"/>
    <s v="Morning"/>
  </r>
  <r>
    <x v="1354"/>
    <s v="2024-03-02 23:58:36"/>
    <x v="5"/>
    <s v="2024-03-12 04:52:36"/>
    <x v="1124"/>
    <n v="9.1999999999999993"/>
    <x v="0"/>
    <s v="Application Access"/>
    <s v="Medium"/>
    <n v="240"/>
    <x v="1"/>
    <s v="Email"/>
    <s v="Tier 1"/>
    <x v="21"/>
    <x v="2"/>
    <s v="Yes"/>
    <s v="No"/>
    <n v="0"/>
    <s v="Yes"/>
    <n v="9"/>
    <n v="1.2"/>
    <n v="44.4"/>
    <s v="Yes"/>
    <s v="Fair"/>
    <s v="Yes"/>
    <s v="Operations"/>
    <s v="Tuesday"/>
    <s v="Morning"/>
  </r>
  <r>
    <x v="1355"/>
    <s v="2024-11-06 06:08:56"/>
    <x v="7"/>
    <s v="2024-11-15 03:14:56"/>
    <x v="1125"/>
    <n v="8.9"/>
    <x v="7"/>
    <s v="Adobe Suite"/>
    <s v="Medium"/>
    <n v="240"/>
    <x v="1"/>
    <s v="Walk-in"/>
    <s v="Tier 2"/>
    <x v="4"/>
    <x v="1"/>
    <s v="No"/>
    <s v="Yes"/>
    <n v="4"/>
    <s v="Yes"/>
    <n v="7"/>
    <n v="4.4000000000000004"/>
    <n v="9.6"/>
    <s v="No"/>
    <s v="Fair"/>
    <s v="Yes"/>
    <s v="Sales"/>
    <s v="Friday"/>
    <s v="Morning"/>
  </r>
  <r>
    <x v="1356"/>
    <s v="2024-09-09 10:46:32"/>
    <x v="9"/>
    <s v="2024-09-22 19:52:32"/>
    <x v="1126"/>
    <n v="13.4"/>
    <x v="3"/>
    <s v="Application Password"/>
    <s v="Low"/>
    <n v="360"/>
    <x v="1"/>
    <s v="Chat"/>
    <s v="Tier 1"/>
    <x v="2"/>
    <x v="1"/>
    <s v="Yes"/>
    <s v="No"/>
    <n v="0"/>
    <s v="No"/>
    <n v="9"/>
    <n v="2.2999999999999998"/>
    <n v="22"/>
    <s v="Yes"/>
    <s v="Fair"/>
    <s v="No"/>
    <s v="IT"/>
    <s v="Monday"/>
    <s v="Afternoon"/>
  </r>
  <r>
    <x v="1357"/>
    <s v="2024-11-12 04:01:33"/>
    <x v="7"/>
    <s v="2024-11-17 20:01:33"/>
    <x v="1127"/>
    <n v="5.7"/>
    <x v="2"/>
    <s v="Ethernet"/>
    <s v="High"/>
    <n v="120"/>
    <x v="0"/>
    <s v="Portal"/>
    <s v="Tier 2"/>
    <x v="4"/>
    <x v="1"/>
    <s v="No"/>
    <s v="Yes"/>
    <n v="3"/>
    <s v="No"/>
    <n v="7"/>
    <n v="0.1"/>
    <n v="18.399999999999999"/>
    <s v="Yes"/>
    <s v="Good"/>
    <s v="Yes"/>
    <s v="Operations"/>
    <s v="Thursday"/>
    <s v="Morning"/>
  </r>
  <r>
    <x v="1358"/>
    <s v="2024-08-22 08:46:13"/>
    <x v="1"/>
    <s v="2024-08-28 16:22:13"/>
    <x v="1059"/>
    <n v="6.3"/>
    <x v="7"/>
    <s v="Business Apps"/>
    <s v="Medium"/>
    <n v="240"/>
    <x v="1"/>
    <s v="Email"/>
    <s v="Tier 2"/>
    <x v="16"/>
    <x v="2"/>
    <s v="No"/>
    <s v="Yes"/>
    <n v="1"/>
    <s v="No"/>
    <n v="10"/>
    <n v="3.8"/>
    <n v="44"/>
    <s v="No"/>
    <s v="Good"/>
    <s v="Yes"/>
    <s v="Legal"/>
    <s v="Thursday"/>
    <s v="Morning"/>
  </r>
  <r>
    <x v="1359"/>
    <s v="2024-11-05 19:34:39"/>
    <x v="7"/>
    <s v="2024-11-13 23:28:39"/>
    <x v="294"/>
    <n v="8.1999999999999993"/>
    <x v="3"/>
    <s v="Account Unlock"/>
    <s v="Medium"/>
    <n v="240"/>
    <x v="1"/>
    <s v="Walk-in"/>
    <s v="Tier 1"/>
    <x v="24"/>
    <x v="2"/>
    <s v="Yes"/>
    <s v="No"/>
    <n v="0"/>
    <s v="No"/>
    <n v="9"/>
    <n v="2.4"/>
    <n v="49.4"/>
    <s v="Yes"/>
    <s v="Fair"/>
    <s v="No"/>
    <s v="Sales"/>
    <s v="Thursday"/>
    <s v="Morning"/>
  </r>
  <r>
    <x v="1360"/>
    <s v="2024-08-06 01:48:52"/>
    <x v="1"/>
    <s v="2024-08-11 06:12:52"/>
    <x v="126"/>
    <n v="4.2"/>
    <x v="4"/>
    <s v="Crash"/>
    <s v="High"/>
    <n v="120"/>
    <x v="1"/>
    <s v="Phone"/>
    <s v="Tier 1"/>
    <x v="13"/>
    <x v="0"/>
    <s v="No"/>
    <s v="No"/>
    <n v="1"/>
    <s v="No"/>
    <n v="8"/>
    <n v="0.1"/>
    <n v="24.1"/>
    <s v="Yes"/>
    <s v="Excellent"/>
    <s v="No"/>
    <s v="Executive"/>
    <s v="Thursday"/>
    <s v="Morning"/>
  </r>
  <r>
    <x v="1361"/>
    <s v="2024-06-29 06:03:20"/>
    <x v="10"/>
    <s v="2024-07-12 08:03:20"/>
    <x v="266"/>
    <n v="13.1"/>
    <x v="3"/>
    <s v="Application Password"/>
    <s v="Low"/>
    <n v="360"/>
    <x v="1"/>
    <s v="Portal"/>
    <s v="Tier 1"/>
    <x v="22"/>
    <x v="2"/>
    <s v="No"/>
    <s v="No"/>
    <n v="1"/>
    <s v="Yes"/>
    <n v="7"/>
    <n v="0.1"/>
    <n v="18.5"/>
    <s v="No"/>
    <s v="Fair"/>
    <s v="Yes"/>
    <s v="HR"/>
    <s v="Tuesday"/>
    <s v="Afternoon"/>
  </r>
  <r>
    <x v="1362"/>
    <s v="2024-12-20 18:33:08"/>
    <x v="0"/>
    <s v="2025-01-16 00:15:08"/>
    <x v="1128"/>
    <n v="27.2"/>
    <x v="3"/>
    <s v="Windows Password"/>
    <s v="Low"/>
    <n v="360"/>
    <x v="0"/>
    <s v="Phone"/>
    <s v="Tier 2"/>
    <x v="19"/>
    <x v="2"/>
    <s v="No"/>
    <s v="Yes"/>
    <n v="3"/>
    <s v="No"/>
    <n v="4"/>
    <n v="6"/>
    <n v="0"/>
    <s v="Yes"/>
    <s v="Poor"/>
    <s v="Yes"/>
    <s v="Sales"/>
    <s v="Wednesday"/>
    <s v="Morning"/>
  </r>
  <r>
    <x v="1363"/>
    <s v="2024-06-03 16:51:31"/>
    <x v="10"/>
    <s v="2024-06-11 02:57:31"/>
    <x v="1129"/>
    <n v="8.4"/>
    <x v="2"/>
    <s v="VPN Connection"/>
    <s v="Medium"/>
    <n v="240"/>
    <x v="1"/>
    <s v="Phone"/>
    <s v="Tier 2"/>
    <x v="8"/>
    <x v="1"/>
    <s v="No"/>
    <s v="Yes"/>
    <n v="3"/>
    <s v="Yes"/>
    <n v="9"/>
    <n v="3"/>
    <n v="2.2000000000000002"/>
    <s v="Yes"/>
    <s v="Poor"/>
    <s v="Yes"/>
    <s v="Operations"/>
    <s v="Wednesday"/>
    <s v="Afternoon"/>
  </r>
  <r>
    <x v="1364"/>
    <s v="2024-08-08 01:44:40"/>
    <x v="1"/>
    <s v="2024-08-12 08:02:40"/>
    <x v="1130"/>
    <n v="3.3"/>
    <x v="4"/>
    <s v="Performance"/>
    <s v="High"/>
    <n v="120"/>
    <x v="1"/>
    <s v="Walk-in"/>
    <s v="Tier 1"/>
    <x v="12"/>
    <x v="1"/>
    <s v="No"/>
    <s v="No"/>
    <n v="1"/>
    <s v="Yes"/>
    <n v="10"/>
    <n v="3.5"/>
    <n v="37.700000000000003"/>
    <s v="No"/>
    <s v="Excellent"/>
    <s v="No"/>
    <s v="Finance"/>
    <s v="Friday"/>
    <s v="Evening"/>
  </r>
  <r>
    <x v="1365"/>
    <s v="2024-04-05 11:27:55"/>
    <x v="11"/>
    <s v="2024-04-16 19:03:55"/>
    <x v="1042"/>
    <n v="11.3"/>
    <x v="5"/>
    <s v="General Inquiry"/>
    <s v="Medium"/>
    <n v="240"/>
    <x v="0"/>
    <s v="Walk-in"/>
    <s v="Tier 1"/>
    <x v="13"/>
    <x v="1"/>
    <s v="No"/>
    <s v="No"/>
    <n v="1"/>
    <s v="No"/>
    <n v="5"/>
    <n v="5.6"/>
    <n v="2.2000000000000002"/>
    <s v="Yes"/>
    <s v="Good"/>
    <s v="Yes"/>
    <s v="Finance"/>
    <s v="Monday"/>
    <s v="Morning"/>
  </r>
  <r>
    <x v="1366"/>
    <s v="2024-11-25 14:11:01"/>
    <x v="7"/>
    <s v="2024-11-30 07:17:01"/>
    <x v="1131"/>
    <n v="4.7"/>
    <x v="1"/>
    <s v="Printer"/>
    <s v="High"/>
    <n v="120"/>
    <x v="1"/>
    <s v="Email"/>
    <s v="Tier 1"/>
    <x v="1"/>
    <x v="0"/>
    <s v="No"/>
    <s v="No"/>
    <n v="1"/>
    <s v="No"/>
    <n v="6"/>
    <n v="2.8"/>
    <n v="11.1"/>
    <s v="Yes"/>
    <s v="Fair"/>
    <s v="No"/>
    <s v="Legal"/>
    <s v="Thursday"/>
    <s v="Morning"/>
  </r>
  <r>
    <x v="1367"/>
    <s v="2024-10-24 22:09:34"/>
    <x v="2"/>
    <s v="2024-11-02 00:45:34"/>
    <x v="751"/>
    <n v="9.1999999999999993"/>
    <x v="7"/>
    <s v="Drivers"/>
    <s v="Medium"/>
    <n v="240"/>
    <x v="1"/>
    <s v="Portal"/>
    <s v="Tier 1"/>
    <x v="12"/>
    <x v="1"/>
    <s v="No"/>
    <s v="No"/>
    <n v="1"/>
    <s v="Yes"/>
    <n v="7"/>
    <n v="2.6"/>
    <n v="29"/>
    <s v="Yes"/>
    <s v="Good"/>
    <s v="Yes"/>
    <s v="HR"/>
    <s v="Thursday"/>
    <s v="Morning"/>
  </r>
  <r>
    <x v="1368"/>
    <s v="2024-11-06 08:45:42"/>
    <x v="7"/>
    <s v="2024-11-18 08:21:42"/>
    <x v="1132"/>
    <n v="12"/>
    <x v="5"/>
    <s v="General Inquiry"/>
    <s v="Low"/>
    <n v="360"/>
    <x v="1"/>
    <s v="Email"/>
    <s v="Tier 1"/>
    <x v="22"/>
    <x v="1"/>
    <s v="No"/>
    <s v="No"/>
    <n v="1"/>
    <s v="No"/>
    <n v="5"/>
    <n v="1.2"/>
    <n v="27.4"/>
    <s v="Yes"/>
    <s v="Poor"/>
    <s v="No"/>
    <s v="Finance"/>
    <s v="Tuesday"/>
    <s v="Morning"/>
  </r>
  <r>
    <x v="1369"/>
    <s v="2024-06-04 13:56:58"/>
    <x v="10"/>
    <s v="2024-06-12 02:02:58"/>
    <x v="1133"/>
    <n v="8.5"/>
    <x v="0"/>
    <s v="File Share"/>
    <s v="Medium"/>
    <n v="240"/>
    <x v="1"/>
    <s v="Email"/>
    <s v="Tier 1"/>
    <x v="19"/>
    <x v="2"/>
    <s v="No"/>
    <s v="No"/>
    <n v="1"/>
    <s v="No"/>
    <n v="7"/>
    <n v="3.5"/>
    <n v="12.2"/>
    <s v="Yes"/>
    <s v="Poor"/>
    <s v="Yes"/>
    <s v="IT"/>
    <s v="Friday"/>
    <s v="Morning"/>
  </r>
  <r>
    <x v="1370"/>
    <s v="2024-06-24 00:07:24"/>
    <x v="10"/>
    <s v="2024-07-21 13:01:24"/>
    <x v="1134"/>
    <n v="26.5"/>
    <x v="4"/>
    <s v="Login Issues"/>
    <s v="Medium"/>
    <n v="240"/>
    <x v="0"/>
    <s v="Email"/>
    <s v="Tier 1"/>
    <x v="19"/>
    <x v="1"/>
    <s v="No"/>
    <s v="No"/>
    <n v="1"/>
    <s v="No"/>
    <n v="6"/>
    <n v="0.4"/>
    <n v="43.8"/>
    <s v="Yes"/>
    <s v="Good"/>
    <s v="No"/>
    <s v="Executive"/>
    <s v="Monday"/>
    <s v="Afternoon"/>
  </r>
  <r>
    <x v="1371"/>
    <s v="2024-06-01 08:33:09"/>
    <x v="10"/>
    <s v="2024-06-05 02:27:09"/>
    <x v="1135"/>
    <n v="4.7"/>
    <x v="0"/>
    <s v="File Share"/>
    <s v="High"/>
    <n v="120"/>
    <x v="1"/>
    <s v="Email"/>
    <s v="Tier 1"/>
    <x v="10"/>
    <x v="0"/>
    <s v="No"/>
    <s v="No"/>
    <n v="1"/>
    <s v="Yes"/>
    <n v="7"/>
    <n v="0.7"/>
    <n v="9.6"/>
    <s v="Yes"/>
    <s v="Fair"/>
    <s v="Yes"/>
    <s v="Marketing"/>
    <s v="Tuesday"/>
    <s v="Afternoon"/>
  </r>
  <r>
    <x v="1372"/>
    <s v="2024-09-09 05:46:16"/>
    <x v="9"/>
    <s v="2024-09-16 22:22:16"/>
    <x v="1136"/>
    <n v="7.7"/>
    <x v="1"/>
    <s v="Desktop"/>
    <s v="Medium"/>
    <n v="240"/>
    <x v="1"/>
    <s v="Email"/>
    <s v="Tier 2"/>
    <x v="16"/>
    <x v="2"/>
    <s v="No"/>
    <s v="Yes"/>
    <n v="1"/>
    <s v="No"/>
    <n v="9"/>
    <n v="0.8"/>
    <n v="14.3"/>
    <s v="Yes"/>
    <s v="Poor"/>
    <s v="Yes"/>
    <s v="Executive"/>
    <s v="Tuesday"/>
    <s v="Morning"/>
  </r>
  <r>
    <x v="1373"/>
    <s v="2024-11-19 19:44:51"/>
    <x v="7"/>
    <s v="2024-11-24 11:50:51"/>
    <x v="192"/>
    <n v="4.7"/>
    <x v="1"/>
    <s v="Printer"/>
    <s v="High"/>
    <n v="120"/>
    <x v="1"/>
    <s v="Email"/>
    <s v="Tier 2"/>
    <x v="9"/>
    <x v="0"/>
    <s v="No"/>
    <s v="Yes"/>
    <n v="3"/>
    <s v="No"/>
    <n v="8"/>
    <n v="1.5"/>
    <n v="3.4"/>
    <s v="Yes"/>
    <s v="Fair"/>
    <s v="No"/>
    <s v="IT"/>
    <s v="Friday"/>
    <s v="Morning"/>
  </r>
  <r>
    <x v="1374"/>
    <s v="2024-04-26 19:58:33"/>
    <x v="11"/>
    <s v="2024-05-08 22:58:33"/>
    <x v="1005"/>
    <n v="12.1"/>
    <x v="6"/>
    <s v="Distribution List"/>
    <s v="Medium"/>
    <n v="240"/>
    <x v="0"/>
    <s v="Walk-in"/>
    <s v="Tier 1"/>
    <x v="10"/>
    <x v="2"/>
    <s v="No"/>
    <s v="No"/>
    <n v="1"/>
    <s v="No"/>
    <n v="5"/>
    <n v="5"/>
    <n v="0.6"/>
    <s v="Yes"/>
    <s v="Good"/>
    <s v="Yes"/>
    <s v="Sales"/>
    <s v="Tuesday"/>
    <s v="Morning"/>
  </r>
  <r>
    <x v="1375"/>
    <s v="2024-05-08 06:13:01"/>
    <x v="8"/>
    <s v="2024-05-12 18:25:01"/>
    <x v="1137"/>
    <n v="4.5"/>
    <x v="2"/>
    <s v="WiFi Issues"/>
    <s v="High"/>
    <n v="120"/>
    <x v="1"/>
    <s v="Phone"/>
    <s v="Tier 2"/>
    <x v="2"/>
    <x v="0"/>
    <s v="No"/>
    <s v="Yes"/>
    <n v="1"/>
    <s v="No"/>
    <n v="9"/>
    <n v="0.9"/>
    <n v="0"/>
    <s v="No"/>
    <s v="Good"/>
    <s v="No"/>
    <s v="Marketing"/>
    <s v="Monday"/>
    <s v="Morning"/>
  </r>
  <r>
    <x v="1376"/>
    <s v="2024-08-11 05:03:11"/>
    <x v="1"/>
    <s v="2024-08-17 21:39:11"/>
    <x v="1138"/>
    <n v="6.7"/>
    <x v="0"/>
    <s v="VPN Access"/>
    <s v="Medium"/>
    <n v="240"/>
    <x v="1"/>
    <s v="Email"/>
    <s v="Tier 1"/>
    <x v="9"/>
    <x v="2"/>
    <s v="Yes"/>
    <s v="No"/>
    <n v="0"/>
    <s v="No"/>
    <n v="10"/>
    <n v="3.1"/>
    <n v="0"/>
    <s v="No"/>
    <s v="Good"/>
    <s v="Yes"/>
    <s v="Executive"/>
    <s v="Wednesday"/>
    <s v="Afternoon"/>
  </r>
  <r>
    <x v="1377"/>
    <s v="2024-12-23 13:25:08"/>
    <x v="0"/>
    <s v="2025-01-02 11:25:08"/>
    <x v="1139"/>
    <n v="9.9"/>
    <x v="3"/>
    <s v="Application Password"/>
    <s v="Low"/>
    <n v="360"/>
    <x v="1"/>
    <s v="Portal"/>
    <s v="Tier 1"/>
    <x v="7"/>
    <x v="2"/>
    <s v="Yes"/>
    <s v="No"/>
    <n v="0"/>
    <s v="No"/>
    <n v="10"/>
    <n v="5.3"/>
    <n v="18.399999999999999"/>
    <s v="Yes"/>
    <s v="Good"/>
    <s v="No"/>
    <s v="Legal"/>
    <s v="Wednesday"/>
    <s v="Morning"/>
  </r>
  <r>
    <x v="1378"/>
    <s v="2024-11-16 05:30:31"/>
    <x v="7"/>
    <s v="2024-11-22 08:06:31"/>
    <x v="682"/>
    <n v="6.1"/>
    <x v="7"/>
    <s v="Adobe Suite"/>
    <s v="High"/>
    <n v="120"/>
    <x v="0"/>
    <s v="Chat"/>
    <s v="Tier 1"/>
    <x v="0"/>
    <x v="0"/>
    <s v="Yes"/>
    <s v="No"/>
    <n v="0"/>
    <s v="No"/>
    <n v="7"/>
    <n v="0.1"/>
    <n v="30.9"/>
    <s v="No"/>
    <s v="Poor"/>
    <s v="Yes"/>
    <s v="Executive"/>
    <s v="Tuesday"/>
    <s v="Morning"/>
  </r>
  <r>
    <x v="1379"/>
    <s v="2024-12-19 08:56:46"/>
    <x v="0"/>
    <s v="2025-01-16 06:08:46"/>
    <x v="1140"/>
    <n v="27.9"/>
    <x v="7"/>
    <s v="MS Office"/>
    <s v="Medium"/>
    <n v="240"/>
    <x v="0"/>
    <s v="Email"/>
    <s v="Tier 1"/>
    <x v="13"/>
    <x v="2"/>
    <s v="Yes"/>
    <s v="No"/>
    <n v="0"/>
    <s v="No"/>
    <n v="8"/>
    <n v="4"/>
    <n v="29"/>
    <s v="Yes"/>
    <s v="Fair"/>
    <s v="Yes"/>
    <s v="Finance"/>
    <s v="Thursday"/>
    <s v="Morning"/>
  </r>
  <r>
    <x v="1380"/>
    <s v="2024-08-26 04:42:50"/>
    <x v="1"/>
    <s v="2024-09-02 07:12:50"/>
    <x v="1141"/>
    <n v="7.1"/>
    <x v="0"/>
    <s v="File Share"/>
    <s v="Medium"/>
    <n v="240"/>
    <x v="1"/>
    <s v="Portal"/>
    <s v="Tier 1"/>
    <x v="11"/>
    <x v="1"/>
    <s v="No"/>
    <s v="No"/>
    <n v="1"/>
    <s v="No"/>
    <n v="8"/>
    <n v="2"/>
    <n v="19.8"/>
    <s v="Yes"/>
    <s v="Fair"/>
    <s v="No"/>
    <s v="Finance"/>
    <s v="Friday"/>
    <s v="Afternoon"/>
  </r>
  <r>
    <x v="1381"/>
    <s v="2024-12-02 23:17:44"/>
    <x v="0"/>
    <s v="2024-12-10 09:17:44"/>
    <x v="1142"/>
    <n v="7.4"/>
    <x v="6"/>
    <s v="Mailbox Full"/>
    <s v="Medium"/>
    <n v="240"/>
    <x v="1"/>
    <s v="Walk-in"/>
    <s v="Tier 1"/>
    <x v="14"/>
    <x v="0"/>
    <s v="No"/>
    <s v="No"/>
    <n v="1"/>
    <s v="Yes"/>
    <n v="7"/>
    <n v="3.9"/>
    <n v="20.6"/>
    <s v="Yes"/>
    <s v="Fair"/>
    <s v="Yes"/>
    <s v="Marketing"/>
    <s v="Wednesday"/>
    <s v="Afternoon"/>
  </r>
  <r>
    <x v="1382"/>
    <s v="2024-06-23 22:52:11"/>
    <x v="10"/>
    <s v="2024-06-27 20:58:11"/>
    <x v="1143"/>
    <n v="3.9"/>
    <x v="4"/>
    <s v="Features Not Working"/>
    <s v="High"/>
    <n v="120"/>
    <x v="1"/>
    <s v="Phone"/>
    <s v="Tier 2"/>
    <x v="5"/>
    <x v="0"/>
    <s v="No"/>
    <s v="Yes"/>
    <n v="4"/>
    <s v="Yes"/>
    <n v="10"/>
    <n v="1.1000000000000001"/>
    <n v="12.5"/>
    <s v="Yes"/>
    <s v="Good"/>
    <s v="Yes"/>
    <s v="Legal"/>
    <s v="Thursday"/>
    <s v="Afternoon"/>
  </r>
  <r>
    <x v="1383"/>
    <s v="2024-04-10 18:12:34"/>
    <x v="11"/>
    <s v="2024-04-26 23:24:34"/>
    <x v="1144"/>
    <n v="16.2"/>
    <x v="3"/>
    <s v="Email Password"/>
    <s v="Low"/>
    <n v="360"/>
    <x v="0"/>
    <s v="Email"/>
    <s v="Tier 1"/>
    <x v="23"/>
    <x v="1"/>
    <s v="Yes"/>
    <s v="No"/>
    <n v="0"/>
    <s v="No"/>
    <n v="10"/>
    <n v="3.1"/>
    <n v="9"/>
    <s v="Yes"/>
    <s v="Good"/>
    <s v="Yes"/>
    <s v="Marketing"/>
    <s v="Wednesday"/>
    <s v="Afternoon"/>
  </r>
  <r>
    <x v="1384"/>
    <s v="2024-10-25 17:46:53"/>
    <x v="2"/>
    <s v="2024-10-29 13:46:53"/>
    <x v="1145"/>
    <n v="3.9"/>
    <x v="1"/>
    <s v="Docking Station"/>
    <s v="High"/>
    <n v="120"/>
    <x v="1"/>
    <s v="Phone"/>
    <s v="Tier 1"/>
    <x v="12"/>
    <x v="1"/>
    <s v="No"/>
    <s v="No"/>
    <n v="1"/>
    <s v="No"/>
    <n v="10"/>
    <n v="4.8"/>
    <n v="22.8"/>
    <s v="No"/>
    <s v="Fair"/>
    <s v="No"/>
    <s v="HR"/>
    <s v="Friday"/>
    <s v="Afternoon"/>
  </r>
  <r>
    <x v="1385"/>
    <s v="2024-03-29 05:55:11"/>
    <x v="5"/>
    <s v="2024-04-08 17:55:11"/>
    <x v="1146"/>
    <n v="10.5"/>
    <x v="3"/>
    <s v="Windows Password"/>
    <s v="Low"/>
    <n v="360"/>
    <x v="1"/>
    <s v="Email"/>
    <s v="Tier 1"/>
    <x v="10"/>
    <x v="0"/>
    <s v="Yes"/>
    <s v="No"/>
    <n v="0"/>
    <s v="No"/>
    <n v="10"/>
    <n v="3.2"/>
    <n v="16.5"/>
    <s v="No"/>
    <s v="Fair"/>
    <s v="No"/>
    <s v="Executive"/>
    <s v="Monday"/>
    <s v="Morning"/>
  </r>
  <r>
    <x v="1386"/>
    <s v="2024-02-27 22:55:20"/>
    <x v="6"/>
    <s v="2024-03-06 15:19:20"/>
    <x v="1147"/>
    <n v="7.7"/>
    <x v="7"/>
    <s v="Adobe Suite"/>
    <s v="Medium"/>
    <n v="240"/>
    <x v="1"/>
    <s v="Phone"/>
    <s v="Tier 1"/>
    <x v="11"/>
    <x v="2"/>
    <s v="Yes"/>
    <s v="No"/>
    <n v="0"/>
    <s v="No"/>
    <n v="10"/>
    <n v="0.1"/>
    <n v="1.9"/>
    <s v="Yes"/>
    <s v="Good"/>
    <s v="Yes"/>
    <s v="HR"/>
    <s v="Thursday"/>
    <s v="Morning"/>
  </r>
  <r>
    <x v="1387"/>
    <s v="2024-06-25 07:59:57"/>
    <x v="10"/>
    <s v="2024-07-02 04:29:57"/>
    <x v="671"/>
    <n v="6.9"/>
    <x v="7"/>
    <s v="Adobe Suite"/>
    <s v="Medium"/>
    <n v="240"/>
    <x v="1"/>
    <s v="Email"/>
    <s v="Tier 1"/>
    <x v="20"/>
    <x v="1"/>
    <s v="Yes"/>
    <s v="No"/>
    <n v="0"/>
    <s v="No"/>
    <n v="8"/>
    <n v="3.5"/>
    <n v="15.3"/>
    <s v="No"/>
    <s v="Fair"/>
    <s v="Yes"/>
    <s v="Operations"/>
    <s v="Tuesday"/>
    <s v="Morning"/>
  </r>
  <r>
    <x v="1388"/>
    <s v="2024-06-28 11:34:51"/>
    <x v="10"/>
    <s v="2024-07-11 04:46:51"/>
    <x v="1148"/>
    <n v="12.7"/>
    <x v="3"/>
    <s v="Account Unlock"/>
    <s v="Low"/>
    <n v="360"/>
    <x v="1"/>
    <s v="Email"/>
    <s v="Tier 1"/>
    <x v="24"/>
    <x v="2"/>
    <s v="No"/>
    <s v="No"/>
    <n v="1"/>
    <s v="No"/>
    <n v="8"/>
    <n v="2.8"/>
    <n v="5.5"/>
    <s v="No"/>
    <s v="Good"/>
    <s v="No"/>
    <s v="Legal"/>
    <s v="Friday"/>
    <s v="Afternoon"/>
  </r>
  <r>
    <x v="1389"/>
    <s v="2024-01-18 13:20:41"/>
    <x v="3"/>
    <s v="2024-01-25 07:02:41"/>
    <x v="340"/>
    <n v="6.7"/>
    <x v="5"/>
    <s v="Training Request"/>
    <s v="Medium"/>
    <n v="240"/>
    <x v="1"/>
    <s v="Email"/>
    <s v="Tier 1"/>
    <x v="14"/>
    <x v="2"/>
    <s v="No"/>
    <s v="No"/>
    <n v="1"/>
    <s v="No"/>
    <n v="9"/>
    <n v="2.8"/>
    <n v="18.100000000000001"/>
    <s v="No"/>
    <s v="Fair"/>
    <s v="Yes"/>
    <s v="Marketing"/>
    <s v="Monday"/>
    <s v="Morning"/>
  </r>
  <r>
    <x v="1390"/>
    <s v="2024-10-11 16:34:40"/>
    <x v="2"/>
    <s v="2024-10-20 19:10:40"/>
    <x v="594"/>
    <n v="9.1"/>
    <x v="7"/>
    <s v="Drivers"/>
    <s v="Low"/>
    <n v="360"/>
    <x v="1"/>
    <s v="Phone"/>
    <s v="Tier 1"/>
    <x v="24"/>
    <x v="1"/>
    <s v="Yes"/>
    <s v="No"/>
    <n v="0"/>
    <s v="No"/>
    <n v="7"/>
    <n v="2.2999999999999998"/>
    <n v="30.3"/>
    <s v="Yes"/>
    <s v="Excellent"/>
    <s v="No"/>
    <s v="Marketing"/>
    <s v="Tuesday"/>
    <s v="Evening"/>
  </r>
  <r>
    <x v="1391"/>
    <s v="2024-04-18 13:50:13"/>
    <x v="11"/>
    <s v="2024-05-01 18:14:13"/>
    <x v="487"/>
    <n v="13.2"/>
    <x v="4"/>
    <s v="Login Issues"/>
    <s v="Medium"/>
    <n v="240"/>
    <x v="0"/>
    <s v="Email"/>
    <s v="Tier 2"/>
    <x v="16"/>
    <x v="0"/>
    <s v="No"/>
    <s v="Yes"/>
    <n v="1"/>
    <s v="No"/>
    <n v="4"/>
    <n v="2.6"/>
    <n v="5.4"/>
    <s v="Yes"/>
    <s v="Poor"/>
    <s v="Yes"/>
    <s v="Legal"/>
    <s v="Monday"/>
    <s v="Afternoon"/>
  </r>
  <r>
    <x v="1392"/>
    <s v="2024-11-11 05:47:10"/>
    <x v="7"/>
    <s v="2024-11-19 00:41:10"/>
    <x v="100"/>
    <n v="8.8000000000000007"/>
    <x v="5"/>
    <s v="General Inquiry"/>
    <s v="Medium"/>
    <n v="240"/>
    <x v="1"/>
    <s v="Email"/>
    <s v="Tier 1"/>
    <x v="15"/>
    <x v="0"/>
    <s v="Yes"/>
    <s v="No"/>
    <n v="0"/>
    <s v="No"/>
    <n v="10"/>
    <n v="4.8"/>
    <n v="13.4"/>
    <s v="No"/>
    <s v="Excellent"/>
    <s v="No"/>
    <s v="IT"/>
    <s v="Monday"/>
    <s v="Evening"/>
  </r>
  <r>
    <x v="1393"/>
    <s v="2024-04-21 20:18:43"/>
    <x v="11"/>
    <s v="2024-05-01 08:06:43"/>
    <x v="1149"/>
    <n v="9.5"/>
    <x v="0"/>
    <s v="Admin Rights"/>
    <s v="Medium"/>
    <n v="240"/>
    <x v="1"/>
    <s v="Email"/>
    <s v="Tier 1"/>
    <x v="19"/>
    <x v="2"/>
    <s v="No"/>
    <s v="No"/>
    <n v="1"/>
    <s v="No"/>
    <n v="9"/>
    <n v="3.2"/>
    <n v="21.7"/>
    <s v="No"/>
    <s v="Fair"/>
    <s v="No"/>
    <s v="Sales"/>
    <s v="Friday"/>
    <s v="Morning"/>
  </r>
  <r>
    <x v="1394"/>
    <s v="2024-12-08 19:40:43"/>
    <x v="0"/>
    <s v="2024-12-12 06:40:43"/>
    <x v="906"/>
    <n v="3.5"/>
    <x v="4"/>
    <s v="Features Not Working"/>
    <s v="High"/>
    <n v="120"/>
    <x v="1"/>
    <s v="Walk-in"/>
    <s v="Tier 1"/>
    <x v="5"/>
    <x v="2"/>
    <s v="No"/>
    <s v="No"/>
    <n v="1"/>
    <s v="Yes"/>
    <n v="7"/>
    <n v="2.6"/>
    <n v="45.5"/>
    <s v="Yes"/>
    <s v="Good"/>
    <s v="No"/>
    <s v="Finance"/>
    <s v="Friday"/>
    <s v="Afternoon"/>
  </r>
  <r>
    <x v="1395"/>
    <s v="2024-04-16 05:19:24"/>
    <x v="11"/>
    <s v="2024-04-26 18:01:24"/>
    <x v="286"/>
    <n v="10.5"/>
    <x v="7"/>
    <s v="Business Apps"/>
    <s v="Medium"/>
    <n v="240"/>
    <x v="0"/>
    <s v="Phone"/>
    <s v="Tier 1"/>
    <x v="13"/>
    <x v="1"/>
    <s v="No"/>
    <s v="No"/>
    <n v="1"/>
    <s v="No"/>
    <n v="7"/>
    <n v="3.1"/>
    <n v="25.6"/>
    <s v="Yes"/>
    <s v="Fair"/>
    <s v="Yes"/>
    <s v="IT"/>
    <s v="Thursday"/>
    <s v="Afternoon"/>
  </r>
  <r>
    <x v="1396"/>
    <s v="2024-12-24 23:17:41"/>
    <x v="0"/>
    <s v="2025-01-02 20:59:41"/>
    <x v="1150"/>
    <n v="8.9"/>
    <x v="7"/>
    <s v="Adobe Suite"/>
    <s v="Medium"/>
    <n v="240"/>
    <x v="1"/>
    <s v="Portal"/>
    <s v="Tier 1"/>
    <x v="24"/>
    <x v="1"/>
    <s v="No"/>
    <s v="No"/>
    <n v="1"/>
    <s v="No"/>
    <n v="9"/>
    <n v="2.2999999999999998"/>
    <n v="30"/>
    <s v="No"/>
    <s v="Fair"/>
    <s v="No"/>
    <s v="Finance"/>
    <s v="Tuesday"/>
    <s v="Morning"/>
  </r>
  <r>
    <x v="1397"/>
    <s v="2024-12-29 01:31:09"/>
    <x v="0"/>
    <s v="2025-01-07 12:07:09"/>
    <x v="1151"/>
    <n v="8.4"/>
    <x v="0"/>
    <s v="Admin Rights"/>
    <s v="Medium"/>
    <n v="240"/>
    <x v="1"/>
    <s v="Email"/>
    <s v="Tier 1"/>
    <x v="15"/>
    <x v="0"/>
    <s v="No"/>
    <s v="No"/>
    <n v="1"/>
    <s v="No"/>
    <n v="5"/>
    <n v="3.6"/>
    <n v="20.8"/>
    <s v="Yes"/>
    <s v="Good"/>
    <s v="Yes"/>
    <s v="Marketing"/>
    <s v="Monday"/>
    <s v="Morning"/>
  </r>
  <r>
    <x v="1398"/>
    <s v="2024-01-05 17:01:03"/>
    <x v="3"/>
    <s v="2024-01-09 17:31:03"/>
    <x v="1152"/>
    <n v="4"/>
    <x v="4"/>
    <s v="Performance"/>
    <s v="High"/>
    <n v="120"/>
    <x v="1"/>
    <s v="Portal"/>
    <s v="Tier 1"/>
    <x v="17"/>
    <x v="1"/>
    <s v="No"/>
    <s v="No"/>
    <n v="1"/>
    <s v="Yes"/>
    <n v="8"/>
    <n v="5.8"/>
    <n v="4"/>
    <s v="No"/>
    <s v="Excellent"/>
    <s v="No"/>
    <s v="Sales"/>
    <s v="Friday"/>
    <s v="Afternoon"/>
  </r>
  <r>
    <x v="1399"/>
    <s v="2024-04-16 22:01:18"/>
    <x v="11"/>
    <s v="2024-04-25 17:43:18"/>
    <x v="1153"/>
    <n v="8.8000000000000007"/>
    <x v="2"/>
    <s v="WiFi Issues"/>
    <s v="Medium"/>
    <n v="240"/>
    <x v="1"/>
    <s v="Phone"/>
    <s v="Tier 2"/>
    <x v="18"/>
    <x v="0"/>
    <s v="No"/>
    <s v="Yes"/>
    <n v="2"/>
    <s v="No"/>
    <n v="9"/>
    <n v="2.5"/>
    <n v="35.1"/>
    <s v="No"/>
    <s v="Poor"/>
    <s v="Yes"/>
    <s v="Executive"/>
    <s v="Monday"/>
    <s v="Afternoon"/>
  </r>
  <r>
    <x v="1400"/>
    <s v="2024-01-04 11:07:21"/>
    <x v="3"/>
    <s v="2024-01-11 00:31:21"/>
    <x v="1154"/>
    <n v="7.6"/>
    <x v="4"/>
    <s v="Crash"/>
    <s v="Medium"/>
    <n v="240"/>
    <x v="1"/>
    <s v="Phone"/>
    <s v="Tier 2"/>
    <x v="12"/>
    <x v="1"/>
    <s v="No"/>
    <s v="Yes"/>
    <n v="4"/>
    <s v="No"/>
    <n v="9"/>
    <n v="0.1"/>
    <n v="29.6"/>
    <s v="No"/>
    <s v="Excellent"/>
    <s v="Yes"/>
    <s v="Legal"/>
    <s v="Thursday"/>
    <s v="Morning"/>
  </r>
  <r>
    <x v="1401"/>
    <s v="2024-06-12 16:46:08"/>
    <x v="10"/>
    <s v="2024-06-14 09:16:08"/>
    <x v="1155"/>
    <n v="1.7"/>
    <x v="4"/>
    <s v="Features Not Working"/>
    <s v="Critical"/>
    <n v="48"/>
    <x v="1"/>
    <s v="Phone"/>
    <s v="Tier 1"/>
    <x v="21"/>
    <x v="1"/>
    <s v="No"/>
    <s v="No"/>
    <n v="1"/>
    <s v="No"/>
    <n v="5"/>
    <n v="5.0999999999999996"/>
    <n v="17.600000000000001"/>
    <s v="Yes"/>
    <s v="Good"/>
    <s v="Yes"/>
    <s v="Marketing"/>
    <s v="Wednesday"/>
    <s v="Morning"/>
  </r>
  <r>
    <x v="1402"/>
    <s v="2024-06-03 20:23:20"/>
    <x v="10"/>
    <s v="2024-06-10 16:35:20"/>
    <x v="215"/>
    <n v="6.8"/>
    <x v="0"/>
    <s v="Application Access"/>
    <s v="Medium"/>
    <n v="240"/>
    <x v="1"/>
    <s v="Email"/>
    <s v="Tier 1"/>
    <x v="9"/>
    <x v="2"/>
    <s v="No"/>
    <s v="No"/>
    <n v="1"/>
    <s v="No"/>
    <n v="9"/>
    <n v="1.7"/>
    <n v="23.8"/>
    <s v="No"/>
    <s v="Fair"/>
    <s v="No"/>
    <s v="Operations"/>
    <s v="Friday"/>
    <s v="Afternoon"/>
  </r>
  <r>
    <x v="1403"/>
    <s v="2024-01-25 13:40:35"/>
    <x v="3"/>
    <s v="2024-02-07 11:40:35"/>
    <x v="1156"/>
    <n v="12.9"/>
    <x v="7"/>
    <s v="VPN Client"/>
    <s v="Medium"/>
    <n v="240"/>
    <x v="0"/>
    <s v="Email"/>
    <s v="Tier 2"/>
    <x v="13"/>
    <x v="0"/>
    <s v="No"/>
    <s v="Yes"/>
    <n v="4"/>
    <s v="No"/>
    <n v="7"/>
    <n v="3.9"/>
    <n v="43.3"/>
    <s v="Yes"/>
    <s v="Fair"/>
    <s v="No"/>
    <s v="Sales"/>
    <s v="Thursday"/>
    <s v="Afternoon"/>
  </r>
  <r>
    <x v="1404"/>
    <s v="2024-04-23 21:20:13"/>
    <x v="11"/>
    <s v="2024-05-07 15:38:13"/>
    <x v="764"/>
    <n v="13.8"/>
    <x v="0"/>
    <s v="Application Access"/>
    <s v="Low"/>
    <n v="360"/>
    <x v="1"/>
    <s v="Portal"/>
    <s v="Tier 1"/>
    <x v="20"/>
    <x v="2"/>
    <s v="No"/>
    <s v="No"/>
    <n v="1"/>
    <s v="No"/>
    <n v="7"/>
    <n v="0.6"/>
    <n v="28.9"/>
    <s v="Yes"/>
    <s v="Poor"/>
    <s v="Yes"/>
    <s v="IT"/>
    <s v="Monday"/>
    <s v="Evening"/>
  </r>
  <r>
    <x v="1405"/>
    <s v="2024-02-17 12:33:11"/>
    <x v="6"/>
    <s v="2024-02-27 06:51:11"/>
    <x v="1157"/>
    <n v="9.8000000000000007"/>
    <x v="3"/>
    <s v="Application Password"/>
    <s v="Low"/>
    <n v="360"/>
    <x v="1"/>
    <s v="Email"/>
    <s v="Tier 1"/>
    <x v="10"/>
    <x v="2"/>
    <s v="Yes"/>
    <s v="No"/>
    <n v="0"/>
    <s v="Yes"/>
    <n v="7"/>
    <n v="2.4"/>
    <n v="12.6"/>
    <s v="Yes"/>
    <s v="Fair"/>
    <s v="Yes"/>
    <s v="Finance"/>
    <s v="Monday"/>
    <s v="Morning"/>
  </r>
  <r>
    <x v="1406"/>
    <s v="2024-11-10 06:20:15"/>
    <x v="7"/>
    <s v="2024-11-22 11:14:15"/>
    <x v="1158"/>
    <n v="12.2"/>
    <x v="3"/>
    <s v="Account Unlock"/>
    <s v="Low"/>
    <n v="360"/>
    <x v="1"/>
    <s v="Phone"/>
    <s v="Tier 1"/>
    <x v="4"/>
    <x v="0"/>
    <s v="Yes"/>
    <s v="No"/>
    <n v="0"/>
    <s v="No"/>
    <n v="7"/>
    <n v="2.7"/>
    <n v="25.9"/>
    <s v="No"/>
    <s v="Fair"/>
    <s v="Yes"/>
    <s v="Marketing"/>
    <s v="Thursday"/>
    <s v="Morning"/>
  </r>
  <r>
    <x v="1407"/>
    <s v="2024-10-24 06:27:40"/>
    <x v="2"/>
    <s v="2024-11-03 16:39:40"/>
    <x v="628"/>
    <n v="10.5"/>
    <x v="7"/>
    <s v="VPN Client"/>
    <s v="Low"/>
    <n v="360"/>
    <x v="1"/>
    <s v="Email"/>
    <s v="Tier 1"/>
    <x v="2"/>
    <x v="2"/>
    <s v="Yes"/>
    <s v="No"/>
    <n v="0"/>
    <s v="No"/>
    <n v="10"/>
    <n v="0.1"/>
    <n v="40.700000000000003"/>
    <s v="No"/>
    <s v="Poor"/>
    <s v="No"/>
    <s v="HR"/>
    <s v="Monday"/>
    <s v="Evening"/>
  </r>
  <r>
    <x v="1408"/>
    <s v="2024-12-22 03:38:08"/>
    <x v="0"/>
    <s v="2025-01-04 23:14:08"/>
    <x v="1159"/>
    <n v="13.8"/>
    <x v="3"/>
    <s v="Account Unlock"/>
    <s v="Low"/>
    <n v="360"/>
    <x v="1"/>
    <s v="Phone"/>
    <s v="Tier 1"/>
    <x v="17"/>
    <x v="2"/>
    <s v="Yes"/>
    <s v="No"/>
    <n v="0"/>
    <s v="No"/>
    <n v="10"/>
    <n v="1.4"/>
    <n v="0"/>
    <s v="Yes"/>
    <s v="Poor"/>
    <s v="No"/>
    <s v="Sales"/>
    <s v="Thursday"/>
    <s v="Morning"/>
  </r>
  <r>
    <x v="1409"/>
    <s v="2024-02-15 20:12:09"/>
    <x v="6"/>
    <s v="2024-02-24 05:24:09"/>
    <x v="591"/>
    <n v="8.4"/>
    <x v="6"/>
    <s v="Distribution List"/>
    <s v="Medium"/>
    <n v="240"/>
    <x v="1"/>
    <s v="Phone"/>
    <s v="Tier 1"/>
    <x v="3"/>
    <x v="0"/>
    <s v="No"/>
    <s v="No"/>
    <n v="1"/>
    <s v="No"/>
    <n v="10"/>
    <n v="1.8"/>
    <n v="16.8"/>
    <s v="No"/>
    <s v="Fair"/>
    <s v="Yes"/>
    <s v="HR"/>
    <s v="Friday"/>
    <s v="Afternoon"/>
  </r>
  <r>
    <x v="1410"/>
    <s v="2024-02-16 01:09:54"/>
    <x v="6"/>
    <s v="2024-02-21 10:21:54"/>
    <x v="556"/>
    <n v="4.4000000000000004"/>
    <x v="1"/>
    <s v="Laptop"/>
    <s v="High"/>
    <n v="120"/>
    <x v="1"/>
    <s v="Chat"/>
    <s v="Tier 2"/>
    <x v="0"/>
    <x v="2"/>
    <s v="No"/>
    <s v="Yes"/>
    <n v="1"/>
    <s v="No"/>
    <n v="5"/>
    <n v="1"/>
    <n v="30.5"/>
    <s v="Yes"/>
    <s v="Fair"/>
    <s v="Yes"/>
    <s v="HR"/>
    <s v="Wednesday"/>
    <s v="Morning"/>
  </r>
  <r>
    <x v="1411"/>
    <s v="2024-09-03 08:27:31"/>
    <x v="9"/>
    <s v="2024-09-08 08:39:31"/>
    <x v="1160"/>
    <n v="5"/>
    <x v="3"/>
    <s v="Email Password"/>
    <s v="High"/>
    <n v="120"/>
    <x v="0"/>
    <s v="Phone"/>
    <s v="Tier 1"/>
    <x v="4"/>
    <x v="1"/>
    <s v="Yes"/>
    <s v="No"/>
    <n v="0"/>
    <s v="No"/>
    <n v="10"/>
    <n v="3.8"/>
    <n v="22.4"/>
    <s v="No"/>
    <s v="Good"/>
    <s v="Yes"/>
    <s v="Operations"/>
    <s v="Monday"/>
    <s v="Morning"/>
  </r>
  <r>
    <x v="1412"/>
    <s v="2024-08-05 03:16:58"/>
    <x v="1"/>
    <s v="2024-08-08 18:58:58"/>
    <x v="352"/>
    <n v="3.7"/>
    <x v="1"/>
    <s v="Laptop"/>
    <s v="High"/>
    <n v="120"/>
    <x v="1"/>
    <s v="Portal"/>
    <s v="Tier 2"/>
    <x v="11"/>
    <x v="2"/>
    <s v="No"/>
    <s v="Yes"/>
    <n v="1"/>
    <s v="No"/>
    <n v="8"/>
    <n v="1.9"/>
    <n v="27.4"/>
    <s v="Yes"/>
    <s v="Poor"/>
    <s v="Yes"/>
    <s v="HR"/>
    <s v="Friday"/>
    <s v="Morning"/>
  </r>
  <r>
    <x v="1413"/>
    <s v="2024-07-28 22:45:37"/>
    <x v="4"/>
    <s v="2024-08-02 09:21:37"/>
    <x v="1161"/>
    <n v="4.4000000000000004"/>
    <x v="2"/>
    <s v="WiFi Issues"/>
    <s v="High"/>
    <n v="120"/>
    <x v="1"/>
    <s v="Portal"/>
    <s v="Tier 1"/>
    <x v="2"/>
    <x v="1"/>
    <s v="No"/>
    <s v="No"/>
    <n v="1"/>
    <s v="No"/>
    <n v="9"/>
    <n v="0.3"/>
    <n v="9.6999999999999993"/>
    <s v="Yes"/>
    <s v="Good"/>
    <s v="No"/>
    <s v="Sales"/>
    <s v="Tuesday"/>
    <s v="Morning"/>
  </r>
  <r>
    <x v="1414"/>
    <s v="2024-08-29 23:04:14"/>
    <x v="1"/>
    <s v="2024-09-09 08:22:14"/>
    <x v="1162"/>
    <n v="10.4"/>
    <x v="5"/>
    <s v="Documentation"/>
    <s v="Low"/>
    <n v="360"/>
    <x v="1"/>
    <s v="Email"/>
    <s v="Tier 1"/>
    <x v="22"/>
    <x v="1"/>
    <s v="Yes"/>
    <s v="No"/>
    <n v="0"/>
    <s v="No"/>
    <n v="9"/>
    <n v="3"/>
    <n v="47.5"/>
    <s v="Yes"/>
    <s v="Fair"/>
    <s v="No"/>
    <s v="Finance"/>
    <s v="Tuesday"/>
    <s v="Afternoon"/>
  </r>
  <r>
    <x v="1415"/>
    <s v="2024-08-31 16:46:07"/>
    <x v="1"/>
    <s v="2024-09-05 10:40:07"/>
    <x v="1135"/>
    <n v="4.7"/>
    <x v="4"/>
    <s v="Crash"/>
    <s v="High"/>
    <n v="120"/>
    <x v="1"/>
    <s v="Email"/>
    <s v="Tier 2"/>
    <x v="24"/>
    <x v="2"/>
    <s v="No"/>
    <s v="Yes"/>
    <n v="1"/>
    <s v="Yes"/>
    <n v="8"/>
    <n v="1.7"/>
    <n v="14.6"/>
    <s v="No"/>
    <s v="Good"/>
    <s v="Yes"/>
    <s v="HR"/>
    <s v="Monday"/>
    <s v="Afternoon"/>
  </r>
  <r>
    <x v="1416"/>
    <s v="2024-08-18 21:55:49"/>
    <x v="1"/>
    <s v="2024-08-31 04:49:49"/>
    <x v="1163"/>
    <n v="12.3"/>
    <x v="4"/>
    <s v="Crash"/>
    <s v="Medium"/>
    <n v="240"/>
    <x v="0"/>
    <s v="Phone"/>
    <s v="Tier 1"/>
    <x v="19"/>
    <x v="1"/>
    <s v="No"/>
    <s v="No"/>
    <n v="1"/>
    <s v="No"/>
    <n v="5"/>
    <n v="3.2"/>
    <n v="25.5"/>
    <s v="No"/>
    <s v="Fair"/>
    <s v="Yes"/>
    <s v="Legal"/>
    <s v="Monday"/>
    <s v="Morning"/>
  </r>
  <r>
    <x v="1417"/>
    <s v="2024-09-14 18:49:53"/>
    <x v="9"/>
    <s v="2024-09-17 00:13:53"/>
    <x v="67"/>
    <n v="3.2"/>
    <x v="1"/>
    <s v="Printer"/>
    <s v="High"/>
    <n v="120"/>
    <x v="1"/>
    <s v="Portal"/>
    <s v="Tier 2"/>
    <x v="15"/>
    <x v="1"/>
    <s v="No"/>
    <s v="Yes"/>
    <n v="4"/>
    <s v="Yes"/>
    <n v="9"/>
    <n v="1.4"/>
    <n v="22.4"/>
    <s v="No"/>
    <s v="Good"/>
    <s v="No"/>
    <s v="Legal"/>
    <s v="Monday"/>
    <s v="Afternoon"/>
  </r>
  <r>
    <x v="1418"/>
    <s v="2024-06-30 17:21:41"/>
    <x v="10"/>
    <s v="2024-07-04 21:45:41"/>
    <x v="126"/>
    <n v="4.2"/>
    <x v="4"/>
    <s v="Login Issues"/>
    <s v="Critical"/>
    <n v="48"/>
    <x v="0"/>
    <s v="Phone"/>
    <s v="Tier 1"/>
    <x v="4"/>
    <x v="2"/>
    <s v="Yes"/>
    <s v="No"/>
    <n v="0"/>
    <s v="No"/>
    <n v="5"/>
    <n v="2.6"/>
    <n v="16"/>
    <s v="No"/>
    <s v="Fair"/>
    <s v="No"/>
    <s v="Operations"/>
    <s v="Friday"/>
    <s v="Evening"/>
  </r>
  <r>
    <x v="1419"/>
    <s v="2024-11-13 11:05:33"/>
    <x v="7"/>
    <s v="2024-11-18 02:59:33"/>
    <x v="1164"/>
    <n v="4.7"/>
    <x v="7"/>
    <s v="Adobe Suite"/>
    <s v="High"/>
    <n v="120"/>
    <x v="1"/>
    <s v="Phone"/>
    <s v="Tier 1"/>
    <x v="11"/>
    <x v="0"/>
    <s v="No"/>
    <s v="No"/>
    <n v="1"/>
    <s v="No"/>
    <n v="8"/>
    <n v="0.1"/>
    <n v="28.2"/>
    <s v="No"/>
    <s v="Poor"/>
    <s v="No"/>
    <s v="Executive"/>
    <s v="Monday"/>
    <s v="Evening"/>
  </r>
  <r>
    <x v="1420"/>
    <s v="2024-12-18 17:57:17"/>
    <x v="0"/>
    <s v="2024-12-31 23:21:17"/>
    <x v="1165"/>
    <n v="13.2"/>
    <x v="3"/>
    <s v="Account Unlock"/>
    <s v="Low"/>
    <n v="360"/>
    <x v="1"/>
    <s v="Phone"/>
    <s v="Tier 1"/>
    <x v="2"/>
    <x v="1"/>
    <s v="Yes"/>
    <s v="No"/>
    <n v="0"/>
    <s v="No"/>
    <n v="10"/>
    <n v="4.3"/>
    <n v="17.2"/>
    <s v="Yes"/>
    <s v="Fair"/>
    <s v="Yes"/>
    <s v="Finance"/>
    <s v="Wednesday"/>
    <s v="Morning"/>
  </r>
  <r>
    <x v="1421"/>
    <s v="2024-02-13 10:28:39"/>
    <x v="6"/>
    <s v="2024-02-22 11:16:39"/>
    <x v="1166"/>
    <n v="9"/>
    <x v="6"/>
    <s v="Cannot Send/Receive"/>
    <s v="Medium"/>
    <n v="240"/>
    <x v="1"/>
    <s v="Phone"/>
    <s v="Tier 1"/>
    <x v="10"/>
    <x v="1"/>
    <s v="No"/>
    <s v="No"/>
    <n v="1"/>
    <s v="Yes"/>
    <n v="9"/>
    <n v="3.6"/>
    <n v="39.6"/>
    <s v="Yes"/>
    <s v="Excellent"/>
    <s v="Yes"/>
    <s v="Operations"/>
    <s v="Tuesday"/>
    <s v="Afternoon"/>
  </r>
  <r>
    <x v="1422"/>
    <s v="2024-11-11 17:30:06"/>
    <x v="7"/>
    <s v="2024-11-13 01:36:06"/>
    <x v="1167"/>
    <n v="2.2999999999999998"/>
    <x v="4"/>
    <s v="Features Not Working"/>
    <s v="Critical"/>
    <n v="48"/>
    <x v="0"/>
    <s v="Phone"/>
    <s v="Tier 2"/>
    <x v="5"/>
    <x v="2"/>
    <s v="No"/>
    <s v="Yes"/>
    <n v="2"/>
    <s v="No"/>
    <n v="1"/>
    <n v="0.7"/>
    <n v="0"/>
    <s v="Yes"/>
    <s v="Poor"/>
    <s v="No"/>
    <s v="Legal"/>
    <s v="Thursday"/>
    <s v="Morning"/>
  </r>
  <r>
    <x v="1423"/>
    <s v="2024-05-26 09:10:10"/>
    <x v="8"/>
    <s v="2024-06-09 09:10:10"/>
    <x v="1168"/>
    <n v="14"/>
    <x v="7"/>
    <s v="Adobe Suite"/>
    <s v="Low"/>
    <n v="360"/>
    <x v="1"/>
    <s v="Email"/>
    <s v="Tier 2"/>
    <x v="5"/>
    <x v="2"/>
    <s v="No"/>
    <s v="Yes"/>
    <n v="2"/>
    <s v="Yes"/>
    <n v="7"/>
    <n v="1"/>
    <n v="40.200000000000003"/>
    <s v="No"/>
    <s v="Excellent"/>
    <s v="Yes"/>
    <s v="Legal"/>
    <s v="Monday"/>
    <s v="Evening"/>
  </r>
  <r>
    <x v="1424"/>
    <s v="2024-08-22 19:45:04"/>
    <x v="1"/>
    <s v="2024-08-25 22:21:04"/>
    <x v="249"/>
    <n v="3.1"/>
    <x v="0"/>
    <s v="Application Access"/>
    <s v="High"/>
    <n v="120"/>
    <x v="1"/>
    <s v="Email"/>
    <s v="Tier 1"/>
    <x v="22"/>
    <x v="2"/>
    <s v="No"/>
    <s v="No"/>
    <n v="1"/>
    <s v="No"/>
    <n v="7"/>
    <n v="3"/>
    <n v="40"/>
    <s v="No"/>
    <s v="Good"/>
    <s v="Yes"/>
    <s v="HR"/>
    <s v="Friday"/>
    <s v="Morning"/>
  </r>
  <r>
    <x v="1425"/>
    <s v="2024-03-10 09:58:23"/>
    <x v="5"/>
    <s v="2024-03-24 14:16:23"/>
    <x v="1169"/>
    <n v="14.2"/>
    <x v="5"/>
    <s v="Documentation"/>
    <s v="Low"/>
    <n v="360"/>
    <x v="1"/>
    <s v="Email"/>
    <s v="Tier 1"/>
    <x v="19"/>
    <x v="0"/>
    <s v="Yes"/>
    <s v="No"/>
    <n v="0"/>
    <s v="Yes"/>
    <n v="7"/>
    <n v="5.8"/>
    <n v="0"/>
    <s v="Yes"/>
    <s v="Poor"/>
    <s v="No"/>
    <s v="Sales"/>
    <s v="Wednesday"/>
    <s v="Afternoon"/>
  </r>
  <r>
    <x v="1426"/>
    <s v="2024-04-13 23:20:37"/>
    <x v="11"/>
    <s v="2024-05-10 21:14:37"/>
    <x v="1170"/>
    <n v="26.9"/>
    <x v="6"/>
    <s v="Calendar Sync"/>
    <s v="Medium"/>
    <n v="240"/>
    <x v="0"/>
    <s v="Portal"/>
    <s v="Tier 1"/>
    <x v="24"/>
    <x v="1"/>
    <s v="No"/>
    <s v="No"/>
    <n v="1"/>
    <s v="No"/>
    <n v="2"/>
    <n v="1.6"/>
    <n v="0"/>
    <s v="No"/>
    <s v="Good"/>
    <s v="Yes"/>
    <s v="Sales"/>
    <s v="Monday"/>
    <s v="Afternoon"/>
  </r>
  <r>
    <x v="1427"/>
    <s v="2024-02-14 17:33:51"/>
    <x v="6"/>
    <s v="2024-02-24 01:39:51"/>
    <x v="1171"/>
    <n v="10.3"/>
    <x v="6"/>
    <s v="Mailbox Full"/>
    <s v="Medium"/>
    <n v="240"/>
    <x v="0"/>
    <s v="Email"/>
    <s v="Tier 1"/>
    <x v="20"/>
    <x v="1"/>
    <s v="Yes"/>
    <s v="No"/>
    <n v="0"/>
    <s v="Yes"/>
    <n v="5"/>
    <n v="4"/>
    <n v="19.899999999999999"/>
    <s v="No"/>
    <s v="Fair"/>
    <s v="Yes"/>
    <s v="Legal"/>
    <s v="Friday"/>
    <s v="Afternoon"/>
  </r>
  <r>
    <x v="1428"/>
    <s v="2024-06-28 06:34:59"/>
    <x v="10"/>
    <s v="2024-07-10 00:46:59"/>
    <x v="1172"/>
    <n v="12.8"/>
    <x v="0"/>
    <s v="File Share"/>
    <s v="Low"/>
    <n v="360"/>
    <x v="1"/>
    <s v="Phone"/>
    <s v="Tier 1"/>
    <x v="18"/>
    <x v="2"/>
    <s v="No"/>
    <s v="No"/>
    <n v="1"/>
    <s v="No"/>
    <n v="5"/>
    <n v="1.6"/>
    <n v="17.100000000000001"/>
    <s v="Yes"/>
    <s v="Good"/>
    <s v="Yes"/>
    <s v="Executive"/>
    <s v="Thursday"/>
    <s v="Afternoon"/>
  </r>
  <r>
    <x v="1429"/>
    <s v="2024-08-27 23:42:29"/>
    <x v="1"/>
    <s v="2024-09-05 22:18:29"/>
    <x v="694"/>
    <n v="8.9"/>
    <x v="0"/>
    <s v="VPN Access"/>
    <s v="Medium"/>
    <n v="240"/>
    <x v="1"/>
    <s v="Email"/>
    <s v="Tier 2"/>
    <x v="7"/>
    <x v="1"/>
    <s v="No"/>
    <s v="Yes"/>
    <n v="2"/>
    <s v="No"/>
    <n v="7"/>
    <n v="4.7"/>
    <n v="20.2"/>
    <s v="Yes"/>
    <s v="Good"/>
    <s v="Yes"/>
    <s v="Legal"/>
    <s v="Monday"/>
    <s v="Evening"/>
  </r>
  <r>
    <x v="1430"/>
    <s v="2024-04-25 19:35:58"/>
    <x v="11"/>
    <s v="2024-05-02 15:29:58"/>
    <x v="1173"/>
    <n v="6.8"/>
    <x v="2"/>
    <s v="Slow Network"/>
    <s v="Medium"/>
    <n v="240"/>
    <x v="1"/>
    <s v="Email"/>
    <s v="Tier 1"/>
    <x v="8"/>
    <x v="1"/>
    <s v="No"/>
    <s v="No"/>
    <n v="1"/>
    <s v="No"/>
    <n v="9"/>
    <n v="2.8"/>
    <n v="22.2"/>
    <s v="Yes"/>
    <s v="Poor"/>
    <s v="Yes"/>
    <s v="Executive"/>
    <s v="Wednesday"/>
    <s v="Afternoon"/>
  </r>
  <r>
    <x v="1431"/>
    <s v="2024-05-16 10:12:49"/>
    <x v="8"/>
    <s v="2024-05-30 03:06:49"/>
    <x v="976"/>
    <n v="13.7"/>
    <x v="3"/>
    <s v="Application Password"/>
    <s v="Medium"/>
    <n v="240"/>
    <x v="0"/>
    <s v="Portal"/>
    <s v="Tier 2"/>
    <x v="9"/>
    <x v="2"/>
    <s v="No"/>
    <s v="Yes"/>
    <n v="2"/>
    <s v="No"/>
    <n v="4"/>
    <n v="3.5"/>
    <n v="27.2"/>
    <s v="Yes"/>
    <s v="Good"/>
    <s v="Yes"/>
    <s v="Marketing"/>
    <s v="Thursday"/>
    <s v="Morning"/>
  </r>
  <r>
    <x v="1432"/>
    <s v="2024-05-15 20:24:28"/>
    <x v="8"/>
    <s v="2024-05-18 22:36:28"/>
    <x v="375"/>
    <n v="3.1"/>
    <x v="1"/>
    <s v="Docking Station"/>
    <s v="High"/>
    <n v="120"/>
    <x v="1"/>
    <s v="Phone"/>
    <s v="Tier 2"/>
    <x v="15"/>
    <x v="2"/>
    <s v="No"/>
    <s v="Yes"/>
    <n v="1"/>
    <s v="No"/>
    <n v="5"/>
    <n v="5.3"/>
    <n v="5.6"/>
    <s v="Yes"/>
    <s v="Poor"/>
    <s v="Yes"/>
    <s v="HR"/>
    <s v="Wednesday"/>
    <s v="Morning"/>
  </r>
  <r>
    <x v="1433"/>
    <s v="2024-04-27 11:44:46"/>
    <x v="11"/>
    <s v="2024-05-05 15:44:46"/>
    <x v="1174"/>
    <n v="8.1999999999999993"/>
    <x v="6"/>
    <s v="Mailbox Full"/>
    <s v="Medium"/>
    <n v="240"/>
    <x v="1"/>
    <s v="Email"/>
    <s v="Tier 1"/>
    <x v="5"/>
    <x v="2"/>
    <s v="No"/>
    <s v="No"/>
    <n v="1"/>
    <s v="Yes"/>
    <n v="7"/>
    <n v="0.6"/>
    <n v="10.8"/>
    <s v="Yes"/>
    <s v="Good"/>
    <s v="No"/>
    <s v="Finance"/>
    <s v="Monday"/>
    <s v="Morning"/>
  </r>
  <r>
    <x v="1434"/>
    <s v="2024-10-31 12:30:43"/>
    <x v="2"/>
    <s v="2024-11-08 06:12:43"/>
    <x v="1175"/>
    <n v="7.7"/>
    <x v="0"/>
    <s v="Application Access"/>
    <s v="Medium"/>
    <n v="240"/>
    <x v="1"/>
    <s v="Phone"/>
    <s v="Tier 1"/>
    <x v="14"/>
    <x v="0"/>
    <s v="No"/>
    <s v="No"/>
    <n v="1"/>
    <s v="No"/>
    <n v="10"/>
    <n v="4"/>
    <n v="22.1"/>
    <s v="Yes"/>
    <s v="Poor"/>
    <s v="Yes"/>
    <s v="Finance"/>
    <s v="Wednesday"/>
    <s v="Morning"/>
  </r>
  <r>
    <x v="1435"/>
    <s v="2024-04-15 04:08:23"/>
    <x v="11"/>
    <s v="2024-05-01 09:38:23"/>
    <x v="1176"/>
    <n v="16.2"/>
    <x v="3"/>
    <s v="Application Password"/>
    <s v="Low"/>
    <n v="360"/>
    <x v="0"/>
    <s v="Walk-in"/>
    <s v="Tier 1"/>
    <x v="3"/>
    <x v="1"/>
    <s v="Yes"/>
    <s v="No"/>
    <n v="0"/>
    <s v="No"/>
    <n v="6"/>
    <n v="1.3"/>
    <n v="24.9"/>
    <s v="Yes"/>
    <s v="Fair"/>
    <s v="Yes"/>
    <s v="Finance"/>
    <s v="Friday"/>
    <s v="Morning"/>
  </r>
  <r>
    <x v="1436"/>
    <s v="2024-06-20 19:19:48"/>
    <x v="10"/>
    <s v="2024-06-24 16:07:48"/>
    <x v="1177"/>
    <n v="3.9"/>
    <x v="6"/>
    <s v="Calendar Sync"/>
    <s v="High"/>
    <n v="120"/>
    <x v="1"/>
    <s v="Email"/>
    <s v="Tier 2"/>
    <x v="15"/>
    <x v="2"/>
    <s v="No"/>
    <s v="Yes"/>
    <n v="2"/>
    <s v="No"/>
    <n v="7"/>
    <n v="0.4"/>
    <n v="26"/>
    <s v="No"/>
    <s v="Good"/>
    <s v="Yes"/>
    <s v="Executive"/>
    <s v="Thursday"/>
    <s v="Morning"/>
  </r>
  <r>
    <x v="1437"/>
    <s v="2024-08-11 21:30:33"/>
    <x v="1"/>
    <s v="2024-08-15 22:24:33"/>
    <x v="800"/>
    <n v="4"/>
    <x v="2"/>
    <s v="VPN Connection"/>
    <s v="High"/>
    <n v="120"/>
    <x v="1"/>
    <s v="Phone"/>
    <s v="Tier 1"/>
    <x v="20"/>
    <x v="2"/>
    <s v="Yes"/>
    <s v="No"/>
    <n v="0"/>
    <s v="No"/>
    <n v="9"/>
    <n v="1.4"/>
    <n v="19.5"/>
    <s v="No"/>
    <s v="Excellent"/>
    <s v="Yes"/>
    <s v="Marketing"/>
    <s v="Friday"/>
    <s v="Afternoon"/>
  </r>
  <r>
    <x v="1438"/>
    <s v="2024-09-29 21:32:30"/>
    <x v="9"/>
    <s v="2024-10-06 03:44:30"/>
    <x v="1178"/>
    <n v="6.3"/>
    <x v="0"/>
    <s v="File Share"/>
    <s v="Medium"/>
    <n v="240"/>
    <x v="1"/>
    <s v="Email"/>
    <s v="Tier 1"/>
    <x v="14"/>
    <x v="0"/>
    <s v="Yes"/>
    <s v="No"/>
    <n v="0"/>
    <s v="Yes"/>
    <n v="9"/>
    <n v="5.0999999999999996"/>
    <n v="25.2"/>
    <s v="Yes"/>
    <s v="Poor"/>
    <s v="No"/>
    <s v="HR"/>
    <s v="Friday"/>
    <s v="Morning"/>
  </r>
  <r>
    <x v="1439"/>
    <s v="2024-06-16 11:34:53"/>
    <x v="10"/>
    <s v="2024-07-22 10:28:53"/>
    <x v="1179"/>
    <n v="36"/>
    <x v="3"/>
    <s v="Account Unlock"/>
    <s v="Low"/>
    <n v="360"/>
    <x v="0"/>
    <s v="Portal"/>
    <s v="Tier 1"/>
    <x v="20"/>
    <x v="2"/>
    <s v="Yes"/>
    <s v="No"/>
    <n v="0"/>
    <s v="No"/>
    <n v="8"/>
    <n v="4.0999999999999996"/>
    <n v="13.9"/>
    <s v="Yes"/>
    <s v="Fair"/>
    <s v="Yes"/>
    <s v="HR"/>
    <s v="Tuesday"/>
    <s v="Morning"/>
  </r>
  <r>
    <x v="1440"/>
    <s v="2024-02-21 17:55:36"/>
    <x v="6"/>
    <s v="2024-02-25 15:07:36"/>
    <x v="1180"/>
    <n v="3.9"/>
    <x v="0"/>
    <s v="VPN Access"/>
    <s v="High"/>
    <n v="120"/>
    <x v="1"/>
    <s v="Phone"/>
    <s v="Tier 1"/>
    <x v="23"/>
    <x v="1"/>
    <s v="No"/>
    <s v="No"/>
    <n v="1"/>
    <s v="Yes"/>
    <n v="9"/>
    <n v="5.2"/>
    <n v="1.9"/>
    <s v="Yes"/>
    <s v="Fair"/>
    <s v="Yes"/>
    <s v="Executive"/>
    <s v="Thursday"/>
    <s v="Afternoon"/>
  </r>
  <r>
    <x v="1441"/>
    <s v="2024-09-26 21:40:14"/>
    <x v="9"/>
    <s v="2024-10-02 12:16:14"/>
    <x v="1181"/>
    <n v="5.6"/>
    <x v="4"/>
    <s v="Performance"/>
    <s v="High"/>
    <n v="120"/>
    <x v="0"/>
    <s v="Phone"/>
    <s v="Tier 2"/>
    <x v="16"/>
    <x v="1"/>
    <s v="No"/>
    <s v="Yes"/>
    <n v="4"/>
    <s v="No"/>
    <n v="8"/>
    <n v="1.2"/>
    <n v="2.2999999999999998"/>
    <s v="No"/>
    <s v="Good"/>
    <s v="Yes"/>
    <s v="Marketing"/>
    <s v="Friday"/>
    <s v="Morning"/>
  </r>
  <r>
    <x v="1442"/>
    <s v="2024-04-03 21:01:28"/>
    <x v="11"/>
    <s v="2024-04-14 06:49:28"/>
    <x v="1182"/>
    <n v="10.4"/>
    <x v="7"/>
    <s v="MS Office"/>
    <s v="Low"/>
    <n v="360"/>
    <x v="1"/>
    <s v="Phone"/>
    <s v="Tier 2"/>
    <x v="9"/>
    <x v="2"/>
    <s v="No"/>
    <s v="Yes"/>
    <n v="3"/>
    <s v="No"/>
    <n v="9"/>
    <n v="5.0999999999999996"/>
    <n v="30.1"/>
    <s v="Yes"/>
    <s v="Fair"/>
    <s v="Yes"/>
    <s v="Marketing"/>
    <s v="Wednesday"/>
    <s v="Morning"/>
  </r>
  <r>
    <x v="1443"/>
    <s v="2024-08-04 09:58:34"/>
    <x v="1"/>
    <s v="2024-08-23 16:58:34"/>
    <x v="1183"/>
    <n v="19.3"/>
    <x v="3"/>
    <s v="Email Password"/>
    <s v="Low"/>
    <n v="360"/>
    <x v="0"/>
    <s v="Chat"/>
    <s v="Tier 1"/>
    <x v="21"/>
    <x v="0"/>
    <s v="Yes"/>
    <s v="No"/>
    <n v="0"/>
    <s v="No"/>
    <n v="5"/>
    <n v="4.9000000000000004"/>
    <n v="18.3"/>
    <s v="Yes"/>
    <s v="Good"/>
    <s v="Yes"/>
    <s v="Sales"/>
    <s v="Monday"/>
    <s v="Morning"/>
  </r>
  <r>
    <x v="1444"/>
    <s v="2024-11-30 20:37:45"/>
    <x v="7"/>
    <s v="2024-12-08 22:25:45"/>
    <x v="614"/>
    <n v="8.1"/>
    <x v="7"/>
    <s v="Adobe Suite"/>
    <s v="Medium"/>
    <n v="240"/>
    <x v="1"/>
    <s v="Portal"/>
    <s v="Tier 2"/>
    <x v="10"/>
    <x v="2"/>
    <s v="No"/>
    <s v="Yes"/>
    <n v="1"/>
    <s v="No"/>
    <n v="6"/>
    <n v="0.1"/>
    <n v="20.7"/>
    <s v="Yes"/>
    <s v="Good"/>
    <s v="Yes"/>
    <s v="Legal"/>
    <s v="Wednesday"/>
    <s v="Morning"/>
  </r>
  <r>
    <x v="1445"/>
    <s v="2024-05-13 05:08:21"/>
    <x v="8"/>
    <s v="2024-06-02 22:32:21"/>
    <x v="1184"/>
    <n v="20.7"/>
    <x v="6"/>
    <s v="Cannot Send/Receive"/>
    <s v="Low"/>
    <n v="360"/>
    <x v="0"/>
    <s v="Portal"/>
    <s v="Tier 1"/>
    <x v="0"/>
    <x v="1"/>
    <s v="Yes"/>
    <s v="No"/>
    <n v="0"/>
    <s v="No"/>
    <n v="6"/>
    <n v="4.3"/>
    <n v="10"/>
    <s v="Yes"/>
    <s v="Good"/>
    <s v="Yes"/>
    <s v="Operations"/>
    <s v="Wednesday"/>
    <s v="Afternoon"/>
  </r>
  <r>
    <x v="1446"/>
    <s v="2024-09-18 19:41:58"/>
    <x v="9"/>
    <s v="2024-09-22 11:11:58"/>
    <x v="1185"/>
    <n v="3.6"/>
    <x v="4"/>
    <s v="Features Not Working"/>
    <s v="High"/>
    <n v="120"/>
    <x v="1"/>
    <s v="Portal"/>
    <s v="Tier 1"/>
    <x v="19"/>
    <x v="0"/>
    <s v="No"/>
    <s v="No"/>
    <n v="1"/>
    <s v="No"/>
    <n v="8"/>
    <n v="0.3"/>
    <n v="9.4"/>
    <s v="Yes"/>
    <s v="Fair"/>
    <s v="Yes"/>
    <s v="Marketing"/>
    <s v="Thursday"/>
    <s v="Morning"/>
  </r>
  <r>
    <x v="1447"/>
    <s v="2024-10-07 20:03:32"/>
    <x v="2"/>
    <s v="2024-10-18 08:57:32"/>
    <x v="1186"/>
    <n v="10.5"/>
    <x v="1"/>
    <s v="Desktop"/>
    <s v="Medium"/>
    <n v="240"/>
    <x v="0"/>
    <s v="Email"/>
    <s v="Tier 1"/>
    <x v="18"/>
    <x v="2"/>
    <s v="No"/>
    <s v="No"/>
    <n v="1"/>
    <s v="No"/>
    <n v="7"/>
    <n v="4.5999999999999996"/>
    <n v="25"/>
    <s v="Yes"/>
    <s v="Good"/>
    <s v="No"/>
    <s v="Executive"/>
    <s v="Friday"/>
    <s v="Afternoon"/>
  </r>
  <r>
    <x v="1448"/>
    <s v="2024-02-02 19:15:30"/>
    <x v="6"/>
    <s v="2024-02-15 16:15:30"/>
    <x v="636"/>
    <n v="12.9"/>
    <x v="7"/>
    <s v="Drivers"/>
    <s v="Medium"/>
    <n v="240"/>
    <x v="0"/>
    <s v="Chat"/>
    <s v="Tier 1"/>
    <x v="18"/>
    <x v="1"/>
    <s v="No"/>
    <s v="No"/>
    <n v="1"/>
    <s v="No"/>
    <n v="7"/>
    <n v="5.5"/>
    <n v="27.4"/>
    <s v="Yes"/>
    <s v="Fair"/>
    <s v="Yes"/>
    <s v="Sales"/>
    <s v="Tuesday"/>
    <s v="Morning"/>
  </r>
  <r>
    <x v="1449"/>
    <s v="2024-08-05 15:10:11"/>
    <x v="1"/>
    <s v="2024-08-06 20:22:11"/>
    <x v="1187"/>
    <n v="1.2"/>
    <x v="2"/>
    <s v="VPN Connection"/>
    <s v="Critical"/>
    <n v="48"/>
    <x v="1"/>
    <s v="Email"/>
    <s v="Tier 2"/>
    <x v="0"/>
    <x v="1"/>
    <s v="No"/>
    <s v="Yes"/>
    <n v="2"/>
    <s v="Yes"/>
    <n v="10"/>
    <n v="2.2000000000000002"/>
    <n v="23"/>
    <s v="Yes"/>
    <s v="Poor"/>
    <s v="No"/>
    <s v="Finance"/>
    <s v="Tuesday"/>
    <s v="Evening"/>
  </r>
  <r>
    <x v="1450"/>
    <s v="2024-09-22 03:43:05"/>
    <x v="9"/>
    <s v="2024-09-28 13:13:05"/>
    <x v="401"/>
    <n v="6.4"/>
    <x v="1"/>
    <s v="Printer"/>
    <s v="Medium"/>
    <n v="240"/>
    <x v="1"/>
    <s v="Email"/>
    <s v="Tier 2"/>
    <x v="10"/>
    <x v="2"/>
    <s v="No"/>
    <s v="Yes"/>
    <n v="2"/>
    <s v="No"/>
    <n v="5"/>
    <n v="0.1"/>
    <n v="26.8"/>
    <s v="Yes"/>
    <s v="Poor"/>
    <s v="Yes"/>
    <s v="Marketing"/>
    <s v="Tuesday"/>
    <s v="Evening"/>
  </r>
  <r>
    <x v="1451"/>
    <s v="2024-09-01 18:07:08"/>
    <x v="9"/>
    <s v="2024-09-07 22:31:08"/>
    <x v="1188"/>
    <n v="6.2"/>
    <x v="0"/>
    <s v="File Share"/>
    <s v="Medium"/>
    <n v="240"/>
    <x v="1"/>
    <s v="Walk-in"/>
    <s v="Tier 2"/>
    <x v="17"/>
    <x v="2"/>
    <s v="No"/>
    <s v="Yes"/>
    <n v="3"/>
    <s v="No"/>
    <n v="6"/>
    <n v="3.7"/>
    <n v="33.1"/>
    <s v="Yes"/>
    <s v="Good"/>
    <s v="Yes"/>
    <s v="Finance"/>
    <s v="Friday"/>
    <s v="Afternoon"/>
  </r>
  <r>
    <x v="1452"/>
    <s v="2024-10-20 20:21:34"/>
    <x v="2"/>
    <s v="2024-10-28 20:03:34"/>
    <x v="1189"/>
    <n v="8"/>
    <x v="6"/>
    <s v="Cannot Send/Receive"/>
    <s v="Medium"/>
    <n v="240"/>
    <x v="1"/>
    <s v="Email"/>
    <s v="Tier 1"/>
    <x v="21"/>
    <x v="2"/>
    <s v="Yes"/>
    <s v="No"/>
    <n v="0"/>
    <s v="No"/>
    <n v="10"/>
    <n v="1"/>
    <n v="14.6"/>
    <s v="Yes"/>
    <s v="Fair"/>
    <s v="Yes"/>
    <s v="Executive"/>
    <s v="Monday"/>
    <s v="Morning"/>
  </r>
  <r>
    <x v="1453"/>
    <s v="2024-08-19 15:40:10"/>
    <x v="1"/>
    <s v="2024-08-28 12:52:10"/>
    <x v="1190"/>
    <n v="8.9"/>
    <x v="2"/>
    <s v="Slow Network"/>
    <s v="Medium"/>
    <n v="240"/>
    <x v="1"/>
    <s v="Phone"/>
    <s v="Tier 2"/>
    <x v="16"/>
    <x v="1"/>
    <s v="No"/>
    <s v="Yes"/>
    <n v="1"/>
    <s v="No"/>
    <n v="9"/>
    <n v="0.9"/>
    <n v="30.4"/>
    <s v="Yes"/>
    <s v="Good"/>
    <s v="No"/>
    <s v="Finance"/>
    <s v="Thursday"/>
    <s v="Afternoon"/>
  </r>
  <r>
    <x v="1454"/>
    <s v="2024-09-21 10:10:27"/>
    <x v="9"/>
    <s v="2024-09-25 04:22:27"/>
    <x v="1191"/>
    <n v="3.8"/>
    <x v="4"/>
    <s v="Crash"/>
    <s v="High"/>
    <n v="120"/>
    <x v="1"/>
    <s v="Phone"/>
    <s v="Tier 1"/>
    <x v="9"/>
    <x v="0"/>
    <s v="No"/>
    <s v="No"/>
    <n v="1"/>
    <s v="No"/>
    <n v="10"/>
    <n v="1.1000000000000001"/>
    <n v="0"/>
    <s v="No"/>
    <s v="Good"/>
    <s v="Yes"/>
    <s v="Marketing"/>
    <s v="Friday"/>
    <s v="Morning"/>
  </r>
  <r>
    <x v="1455"/>
    <s v="2024-12-20 22:43:00"/>
    <x v="0"/>
    <s v="2024-12-24 22:55:00"/>
    <x v="230"/>
    <n v="4"/>
    <x v="4"/>
    <s v="Crash"/>
    <s v="High"/>
    <n v="120"/>
    <x v="1"/>
    <s v="Email"/>
    <s v="Tier 1"/>
    <x v="17"/>
    <x v="0"/>
    <s v="No"/>
    <s v="No"/>
    <n v="1"/>
    <s v="No"/>
    <n v="7"/>
    <n v="2.4"/>
    <n v="10.8"/>
    <s v="Yes"/>
    <s v="Poor"/>
    <s v="Yes"/>
    <s v="Operations"/>
    <s v="Tuesday"/>
    <s v="Morning"/>
  </r>
  <r>
    <x v="1456"/>
    <s v="2024-10-21 09:33:02"/>
    <x v="2"/>
    <s v="2024-11-01 18:51:02"/>
    <x v="1192"/>
    <n v="11.4"/>
    <x v="6"/>
    <s v="Mailbox Full"/>
    <s v="Medium"/>
    <n v="240"/>
    <x v="0"/>
    <s v="Email"/>
    <s v="Tier 1"/>
    <x v="8"/>
    <x v="1"/>
    <s v="No"/>
    <s v="No"/>
    <n v="1"/>
    <s v="No"/>
    <n v="5"/>
    <n v="2.2000000000000002"/>
    <n v="30.9"/>
    <s v="No"/>
    <s v="Fair"/>
    <s v="Yes"/>
    <s v="Sales"/>
    <s v="Friday"/>
    <s v="Afternoon"/>
  </r>
  <r>
    <x v="1457"/>
    <s v="2024-06-01 03:15:33"/>
    <x v="10"/>
    <s v="2024-06-07 19:33:33"/>
    <x v="322"/>
    <n v="6.7"/>
    <x v="7"/>
    <s v="Adobe Suite"/>
    <s v="Medium"/>
    <n v="240"/>
    <x v="1"/>
    <s v="Portal"/>
    <s v="Tier 1"/>
    <x v="5"/>
    <x v="1"/>
    <s v="Yes"/>
    <s v="No"/>
    <n v="0"/>
    <s v="No"/>
    <n v="8"/>
    <n v="2.9"/>
    <n v="7.4"/>
    <s v="No"/>
    <s v="Fair"/>
    <s v="Yes"/>
    <s v="Operations"/>
    <s v="Monday"/>
    <s v="Afternoon"/>
  </r>
  <r>
    <x v="1458"/>
    <s v="2024-07-22 10:39:41"/>
    <x v="4"/>
    <s v="2024-08-01 14:45:41"/>
    <x v="1193"/>
    <n v="10.199999999999999"/>
    <x v="6"/>
    <s v="Distribution List"/>
    <s v="Low"/>
    <n v="360"/>
    <x v="1"/>
    <s v="Phone"/>
    <s v="Tier 1"/>
    <x v="23"/>
    <x v="0"/>
    <s v="No"/>
    <s v="No"/>
    <n v="1"/>
    <s v="No"/>
    <n v="9"/>
    <n v="2.8"/>
    <n v="18.5"/>
    <s v="No"/>
    <s v="Fair"/>
    <s v="Yes"/>
    <s v="Sales"/>
    <s v="Tuesday"/>
    <s v="Morning"/>
  </r>
  <r>
    <x v="1459"/>
    <s v="2024-08-16 10:23:57"/>
    <x v="1"/>
    <s v="2024-08-22 21:59:57"/>
    <x v="492"/>
    <n v="6.5"/>
    <x v="0"/>
    <s v="Application Access"/>
    <s v="High"/>
    <n v="120"/>
    <x v="0"/>
    <s v="Portal"/>
    <s v="Tier 1"/>
    <x v="24"/>
    <x v="2"/>
    <s v="Yes"/>
    <s v="No"/>
    <n v="0"/>
    <s v="No"/>
    <n v="6"/>
    <n v="4.4000000000000004"/>
    <n v="0"/>
    <s v="Yes"/>
    <s v="Fair"/>
    <s v="Yes"/>
    <s v="Operations"/>
    <s v="Friday"/>
    <s v="Morning"/>
  </r>
  <r>
    <x v="1460"/>
    <s v="2024-10-15 23:28:51"/>
    <x v="2"/>
    <s v="2024-10-24 06:04:51"/>
    <x v="974"/>
    <n v="8.3000000000000007"/>
    <x v="0"/>
    <s v="VPN Access"/>
    <s v="Medium"/>
    <n v="240"/>
    <x v="1"/>
    <s v="Email"/>
    <s v="Tier 1"/>
    <x v="8"/>
    <x v="2"/>
    <s v="No"/>
    <s v="No"/>
    <n v="1"/>
    <s v="No"/>
    <n v="8"/>
    <n v="2.7"/>
    <n v="30.4"/>
    <s v="Yes"/>
    <s v="Excellent"/>
    <s v="No"/>
    <s v="Executive"/>
    <s v="Monday"/>
    <s v="Morning"/>
  </r>
  <r>
    <x v="1461"/>
    <s v="2024-02-11 00:38:08"/>
    <x v="6"/>
    <s v="2024-02-14 08:02:08"/>
    <x v="1194"/>
    <n v="2.2999999999999998"/>
    <x v="6"/>
    <s v="Distribution List"/>
    <s v="Critical"/>
    <n v="48"/>
    <x v="0"/>
    <s v="Phone"/>
    <s v="Tier 1"/>
    <x v="20"/>
    <x v="2"/>
    <s v="Yes"/>
    <s v="No"/>
    <n v="0"/>
    <s v="No"/>
    <n v="5"/>
    <n v="5.3"/>
    <n v="30.6"/>
    <s v="Yes"/>
    <s v="Poor"/>
    <s v="Yes"/>
    <s v="HR"/>
    <s v="Wednesday"/>
    <s v="Afternoon"/>
  </r>
  <r>
    <x v="1462"/>
    <s v="2024-03-07 10:38:20"/>
    <x v="5"/>
    <s v="2024-03-20 01:20:20"/>
    <x v="1014"/>
    <n v="13.6"/>
    <x v="5"/>
    <s v="Training Request"/>
    <s v="Low"/>
    <n v="360"/>
    <x v="1"/>
    <s v="Email"/>
    <s v="Tier 1"/>
    <x v="20"/>
    <x v="1"/>
    <s v="Yes"/>
    <s v="No"/>
    <n v="0"/>
    <s v="No"/>
    <n v="10"/>
    <n v="4.8"/>
    <n v="27.9"/>
    <s v="Yes"/>
    <s v="Excellent"/>
    <s v="Yes"/>
    <s v="Executive"/>
    <s v="Friday"/>
    <s v="Afternoon"/>
  </r>
  <r>
    <x v="1463"/>
    <s v="2024-08-29 20:54:58"/>
    <x v="1"/>
    <s v="2024-09-08 01:24:58"/>
    <x v="1195"/>
    <n v="10.199999999999999"/>
    <x v="0"/>
    <s v="Application Access"/>
    <s v="Low"/>
    <n v="360"/>
    <x v="1"/>
    <s v="Phone"/>
    <s v="Tier 1"/>
    <x v="0"/>
    <x v="2"/>
    <s v="Yes"/>
    <s v="No"/>
    <n v="0"/>
    <s v="No"/>
    <n v="10"/>
    <n v="4.4000000000000004"/>
    <n v="12.4"/>
    <s v="Yes"/>
    <s v="Good"/>
    <s v="No"/>
    <s v="Executive"/>
    <s v="Wednesday"/>
    <s v="Evening"/>
  </r>
  <r>
    <x v="1464"/>
    <s v="2024-03-02 00:17:39"/>
    <x v="5"/>
    <s v="2024-03-06 13:59:39"/>
    <x v="1196"/>
    <n v="3.6"/>
    <x v="2"/>
    <s v="Ethernet"/>
    <s v="High"/>
    <n v="120"/>
    <x v="1"/>
    <s v="Phone"/>
    <s v="Tier 1"/>
    <x v="13"/>
    <x v="0"/>
    <s v="No"/>
    <s v="No"/>
    <n v="1"/>
    <s v="Yes"/>
    <n v="8"/>
    <n v="2.5"/>
    <n v="14.6"/>
    <s v="Yes"/>
    <s v="Good"/>
    <s v="Yes"/>
    <s v="Marketing"/>
    <s v="Monday"/>
    <s v="Morning"/>
  </r>
  <r>
    <x v="1465"/>
    <s v="2024-01-08 16:35:49"/>
    <x v="3"/>
    <s v="2024-01-16 10:53:49"/>
    <x v="1197"/>
    <n v="7.8"/>
    <x v="7"/>
    <s v="VPN Client"/>
    <s v="Medium"/>
    <n v="240"/>
    <x v="1"/>
    <s v="Phone"/>
    <s v="Tier 2"/>
    <x v="23"/>
    <x v="1"/>
    <s v="No"/>
    <s v="Yes"/>
    <n v="4"/>
    <s v="No"/>
    <n v="6"/>
    <n v="2.5"/>
    <n v="17.600000000000001"/>
    <s v="Yes"/>
    <s v="Good"/>
    <s v="Yes"/>
    <s v="Executive"/>
    <s v="Thursday"/>
    <s v="Afternoon"/>
  </r>
  <r>
    <x v="1466"/>
    <s v="2024-08-24 13:59:18"/>
    <x v="1"/>
    <s v="2024-09-01 21:41:18"/>
    <x v="1198"/>
    <n v="8.3000000000000007"/>
    <x v="6"/>
    <s v="Mailbox Full"/>
    <s v="Medium"/>
    <n v="240"/>
    <x v="1"/>
    <s v="Phone"/>
    <s v="Tier 1"/>
    <x v="17"/>
    <x v="1"/>
    <s v="No"/>
    <s v="No"/>
    <n v="1"/>
    <s v="No"/>
    <n v="6"/>
    <n v="4.9000000000000004"/>
    <n v="0"/>
    <s v="No"/>
    <s v="Excellent"/>
    <s v="Yes"/>
    <s v="Executive"/>
    <s v="Monday"/>
    <s v="Morning"/>
  </r>
  <r>
    <x v="1467"/>
    <s v="2024-06-18 02:34:26"/>
    <x v="10"/>
    <s v="2024-06-30 07:52:26"/>
    <x v="1199"/>
    <n v="11.2"/>
    <x v="6"/>
    <s v="Calendar Sync"/>
    <s v="Medium"/>
    <n v="240"/>
    <x v="0"/>
    <s v="Portal"/>
    <s v="Tier 1"/>
    <x v="16"/>
    <x v="2"/>
    <s v="No"/>
    <s v="No"/>
    <n v="1"/>
    <s v="No"/>
    <n v="6"/>
    <n v="2.5"/>
    <n v="26.5"/>
    <s v="Yes"/>
    <s v="Good"/>
    <s v="No"/>
    <s v="IT"/>
    <s v="Thursday"/>
    <s v="Evening"/>
  </r>
  <r>
    <x v="1468"/>
    <s v="2024-10-02 05:53:53"/>
    <x v="2"/>
    <s v="2024-10-14 01:11:53"/>
    <x v="1200"/>
    <n v="12.8"/>
    <x v="5"/>
    <s v="Documentation"/>
    <s v="Low"/>
    <n v="360"/>
    <x v="1"/>
    <s v="Walk-in"/>
    <s v="Tier 1"/>
    <x v="12"/>
    <x v="1"/>
    <s v="Yes"/>
    <s v="No"/>
    <n v="0"/>
    <s v="No"/>
    <n v="9"/>
    <n v="0.3"/>
    <n v="25.1"/>
    <s v="No"/>
    <s v="Poor"/>
    <s v="Yes"/>
    <s v="IT"/>
    <s v="Wednesday"/>
    <s v="Afternoon"/>
  </r>
  <r>
    <x v="1469"/>
    <s v="2024-10-09 20:24:21"/>
    <x v="2"/>
    <s v="2024-10-18 02:36:21"/>
    <x v="752"/>
    <n v="9.3000000000000007"/>
    <x v="1"/>
    <s v="Keyboard/Mouse"/>
    <s v="Medium"/>
    <n v="240"/>
    <x v="1"/>
    <s v="Phone"/>
    <s v="Tier 2"/>
    <x v="12"/>
    <x v="1"/>
    <s v="No"/>
    <s v="Yes"/>
    <n v="2"/>
    <s v="No"/>
    <n v="10"/>
    <n v="2.2999999999999998"/>
    <n v="11.4"/>
    <s v="No"/>
    <s v="Good"/>
    <s v="No"/>
    <s v="Operations"/>
    <s v="Friday"/>
    <s v="Morning"/>
  </r>
  <r>
    <x v="1470"/>
    <s v="2024-09-28 21:50:14"/>
    <x v="9"/>
    <s v="2024-10-10 05:56:14"/>
    <x v="1201"/>
    <n v="11.3"/>
    <x v="7"/>
    <s v="Adobe Suite"/>
    <s v="Low"/>
    <n v="360"/>
    <x v="1"/>
    <s v="Email"/>
    <s v="Tier 2"/>
    <x v="16"/>
    <x v="0"/>
    <s v="No"/>
    <s v="Yes"/>
    <n v="4"/>
    <s v="No"/>
    <n v="9"/>
    <n v="5.4"/>
    <n v="29"/>
    <s v="No"/>
    <s v="Fair"/>
    <s v="Yes"/>
    <s v="Sales"/>
    <s v="Thursday"/>
    <s v="Morning"/>
  </r>
  <r>
    <x v="1471"/>
    <s v="2024-05-13 20:37:42"/>
    <x v="8"/>
    <s v="2024-06-02 01:01:42"/>
    <x v="1202"/>
    <n v="20.2"/>
    <x v="3"/>
    <s v="Email Password"/>
    <s v="Medium"/>
    <n v="240"/>
    <x v="0"/>
    <s v="Chat"/>
    <s v="Tier 1"/>
    <x v="20"/>
    <x v="0"/>
    <s v="No"/>
    <s v="No"/>
    <n v="1"/>
    <s v="Yes"/>
    <n v="6"/>
    <n v="2.2999999999999998"/>
    <n v="31.5"/>
    <s v="Yes"/>
    <s v="Excellent"/>
    <s v="Yes"/>
    <s v="Sales"/>
    <s v="Monday"/>
    <s v="Afternoon"/>
  </r>
  <r>
    <x v="1472"/>
    <s v="2024-03-27 15:22:45"/>
    <x v="5"/>
    <s v="2024-04-10 17:10:45"/>
    <x v="146"/>
    <n v="14"/>
    <x v="7"/>
    <s v="MS Office"/>
    <s v="Medium"/>
    <n v="240"/>
    <x v="0"/>
    <s v="Email"/>
    <s v="Tier 1"/>
    <x v="24"/>
    <x v="1"/>
    <s v="No"/>
    <s v="No"/>
    <n v="1"/>
    <s v="Yes"/>
    <n v="4"/>
    <n v="2.1"/>
    <n v="13.9"/>
    <s v="Yes"/>
    <s v="Poor"/>
    <s v="Yes"/>
    <s v="Marketing"/>
    <s v="Wednesday"/>
    <s v="Afternoon"/>
  </r>
  <r>
    <x v="1473"/>
    <s v="2024-02-13 21:26:35"/>
    <x v="6"/>
    <s v="2024-02-19 01:56:35"/>
    <x v="1203"/>
    <n v="6.2"/>
    <x v="6"/>
    <s v="Calendar Sync"/>
    <s v="Medium"/>
    <n v="240"/>
    <x v="1"/>
    <s v="Phone"/>
    <s v="Tier 1"/>
    <x v="24"/>
    <x v="1"/>
    <s v="No"/>
    <s v="No"/>
    <n v="1"/>
    <s v="No"/>
    <n v="9"/>
    <n v="0.6"/>
    <n v="12.1"/>
    <s v="Yes"/>
    <s v="Fair"/>
    <s v="Yes"/>
    <s v="HR"/>
    <s v="Wednesday"/>
    <s v="Afternoon"/>
  </r>
  <r>
    <x v="1474"/>
    <s v="2024-02-13 04:07:20"/>
    <x v="6"/>
    <s v="2024-02-27 21:49:20"/>
    <x v="1204"/>
    <n v="14.7"/>
    <x v="5"/>
    <s v="Miscellaneous"/>
    <s v="Medium"/>
    <n v="240"/>
    <x v="0"/>
    <s v="Phone"/>
    <s v="Tier 1"/>
    <x v="15"/>
    <x v="1"/>
    <s v="No"/>
    <s v="No"/>
    <n v="1"/>
    <s v="No"/>
    <n v="5"/>
    <n v="3.5"/>
    <n v="0"/>
    <s v="Yes"/>
    <s v="Poor"/>
    <s v="No"/>
    <s v="Executive"/>
    <s v="Friday"/>
    <s v="Morning"/>
  </r>
  <r>
    <x v="1475"/>
    <s v="2024-08-31 13:02:32"/>
    <x v="1"/>
    <s v="2024-09-17 02:08:32"/>
    <x v="1205"/>
    <n v="17.5"/>
    <x v="3"/>
    <s v="Windows Password"/>
    <s v="Low"/>
    <n v="360"/>
    <x v="0"/>
    <s v="Portal"/>
    <s v="Tier 1"/>
    <x v="13"/>
    <x v="0"/>
    <s v="Yes"/>
    <s v="No"/>
    <n v="0"/>
    <s v="No"/>
    <n v="5"/>
    <n v="3.8"/>
    <n v="19.8"/>
    <s v="No"/>
    <s v="Poor"/>
    <s v="Yes"/>
    <s v="Marketing"/>
    <s v="Friday"/>
    <s v="Afternoon"/>
  </r>
  <r>
    <x v="1476"/>
    <s v="2024-08-24 06:55:36"/>
    <x v="1"/>
    <s v="2024-08-27 00:55:36"/>
    <x v="1206"/>
    <n v="3.8"/>
    <x v="6"/>
    <s v="Cannot Send/Receive"/>
    <s v="High"/>
    <n v="120"/>
    <x v="1"/>
    <s v="Chat"/>
    <s v="Tier 1"/>
    <x v="9"/>
    <x v="0"/>
    <s v="No"/>
    <s v="No"/>
    <n v="1"/>
    <s v="Yes"/>
    <n v="9"/>
    <n v="0.1"/>
    <n v="34.4"/>
    <s v="No"/>
    <s v="Fair"/>
    <s v="No"/>
    <s v="Operations"/>
    <s v="Tuesday"/>
    <s v="Morning"/>
  </r>
  <r>
    <x v="1477"/>
    <s v="2024-04-20 06:31:20"/>
    <x v="11"/>
    <s v="2024-04-21 23:01:20"/>
    <x v="1155"/>
    <n v="1.7"/>
    <x v="4"/>
    <s v="Performance"/>
    <s v="Critical"/>
    <n v="48"/>
    <x v="1"/>
    <s v="Portal"/>
    <s v="Tier 2"/>
    <x v="1"/>
    <x v="2"/>
    <s v="No"/>
    <s v="Yes"/>
    <n v="1"/>
    <s v="No"/>
    <n v="6"/>
    <n v="2.2999999999999998"/>
    <n v="12.9"/>
    <s v="Yes"/>
    <s v="Good"/>
    <s v="Yes"/>
    <s v="Marketing"/>
    <s v="Thursday"/>
    <s v="Afternoon"/>
  </r>
  <r>
    <x v="1478"/>
    <s v="2024-01-02 03:00:48"/>
    <x v="3"/>
    <s v="2024-01-09 17:36:48"/>
    <x v="1207"/>
    <n v="7.6"/>
    <x v="7"/>
    <s v="MS Office"/>
    <s v="Medium"/>
    <n v="240"/>
    <x v="1"/>
    <s v="Phone"/>
    <s v="Tier 1"/>
    <x v="21"/>
    <x v="0"/>
    <s v="No"/>
    <s v="No"/>
    <n v="1"/>
    <s v="No"/>
    <n v="7"/>
    <n v="3.3"/>
    <n v="43.5"/>
    <s v="No"/>
    <s v="Fair"/>
    <s v="Yes"/>
    <s v="Legal"/>
    <s v="Tuesday"/>
    <s v="Afternoon"/>
  </r>
  <r>
    <x v="1479"/>
    <s v="2024-03-07 01:49:59"/>
    <x v="5"/>
    <s v="2024-03-09 11:07:59"/>
    <x v="726"/>
    <n v="1.4"/>
    <x v="0"/>
    <s v="File Share"/>
    <s v="Critical"/>
    <n v="48"/>
    <x v="1"/>
    <s v="Walk-in"/>
    <s v="Tier 1"/>
    <x v="11"/>
    <x v="1"/>
    <s v="Yes"/>
    <s v="No"/>
    <n v="0"/>
    <s v="Yes"/>
    <n v="7"/>
    <n v="3.3"/>
    <n v="26.3"/>
    <s v="Yes"/>
    <s v="Fair"/>
    <s v="Yes"/>
    <s v="Executive"/>
    <s v="Friday"/>
    <s v="Afternoon"/>
  </r>
  <r>
    <x v="1480"/>
    <s v="2024-05-28 08:38:36"/>
    <x v="8"/>
    <s v="2024-06-10 06:26:36"/>
    <x v="1208"/>
    <n v="12.9"/>
    <x v="7"/>
    <s v="MS Office"/>
    <s v="Low"/>
    <n v="360"/>
    <x v="1"/>
    <s v="Portal"/>
    <s v="Tier 1"/>
    <x v="16"/>
    <x v="2"/>
    <s v="No"/>
    <s v="No"/>
    <n v="1"/>
    <s v="No"/>
    <n v="9"/>
    <n v="0.5"/>
    <n v="12.1"/>
    <s v="Yes"/>
    <s v="Good"/>
    <s v="Yes"/>
    <s v="Executive"/>
    <s v="Monday"/>
    <s v="Afternoon"/>
  </r>
  <r>
    <x v="1481"/>
    <s v="2024-03-26 01:33:09"/>
    <x v="5"/>
    <s v="2024-04-05 02:45:09"/>
    <x v="1209"/>
    <n v="10"/>
    <x v="3"/>
    <s v="Application Password"/>
    <s v="Low"/>
    <n v="360"/>
    <x v="1"/>
    <s v="Walk-in"/>
    <s v="Tier 1"/>
    <x v="9"/>
    <x v="1"/>
    <s v="Yes"/>
    <s v="No"/>
    <n v="0"/>
    <s v="No"/>
    <n v="10"/>
    <n v="4.8"/>
    <n v="42"/>
    <s v="Yes"/>
    <s v="Good"/>
    <s v="No"/>
    <s v="Marketing"/>
    <s v="Tuesday"/>
    <s v="Morning"/>
  </r>
  <r>
    <x v="1482"/>
    <s v="2024-08-31 06:23:03"/>
    <x v="1"/>
    <s v="2024-09-11 20:29:03"/>
    <x v="1210"/>
    <n v="11.6"/>
    <x v="4"/>
    <s v="Features Not Working"/>
    <s v="Medium"/>
    <n v="240"/>
    <x v="0"/>
    <s v="Phone"/>
    <s v="Tier 1"/>
    <x v="24"/>
    <x v="2"/>
    <s v="No"/>
    <s v="No"/>
    <n v="1"/>
    <s v="No"/>
    <n v="7"/>
    <n v="0.3"/>
    <n v="12.2"/>
    <s v="No"/>
    <s v="Poor"/>
    <s v="Yes"/>
    <s v="Marketing"/>
    <s v="Thursday"/>
    <s v="Evening"/>
  </r>
  <r>
    <x v="1483"/>
    <s v="2024-07-19 00:15:09"/>
    <x v="4"/>
    <s v="2024-07-23 11:09:09"/>
    <x v="1211"/>
    <n v="3.5"/>
    <x v="1"/>
    <s v="Laptop"/>
    <s v="High"/>
    <n v="120"/>
    <x v="1"/>
    <s v="Portal"/>
    <s v="Tier 1"/>
    <x v="21"/>
    <x v="0"/>
    <s v="No"/>
    <s v="No"/>
    <n v="1"/>
    <s v="No"/>
    <n v="7"/>
    <n v="4"/>
    <n v="0"/>
    <s v="Yes"/>
    <s v="Poor"/>
    <s v="Yes"/>
    <s v="Sales"/>
    <s v="Tuesday"/>
    <s v="Afternoon"/>
  </r>
  <r>
    <x v="1484"/>
    <s v="2024-03-18 20:32:36"/>
    <x v="5"/>
    <s v="2024-03-23 05:02:36"/>
    <x v="1212"/>
    <n v="4.4000000000000004"/>
    <x v="6"/>
    <s v="Mailbox Full"/>
    <s v="High"/>
    <n v="120"/>
    <x v="1"/>
    <s v="Phone"/>
    <s v="Tier 2"/>
    <x v="6"/>
    <x v="1"/>
    <s v="No"/>
    <s v="Yes"/>
    <n v="2"/>
    <s v="No"/>
    <n v="8"/>
    <n v="1.4"/>
    <n v="32.9"/>
    <s v="Yes"/>
    <s v="Fair"/>
    <s v="Yes"/>
    <s v="IT"/>
    <s v="Tuesday"/>
    <s v="Morning"/>
  </r>
  <r>
    <x v="1485"/>
    <s v="2024-01-10 09:49:49"/>
    <x v="3"/>
    <s v="2024-01-21 05:37:49"/>
    <x v="1213"/>
    <n v="10.8"/>
    <x v="1"/>
    <s v="Keyboard/Mouse"/>
    <s v="Low"/>
    <n v="360"/>
    <x v="1"/>
    <s v="Email"/>
    <s v="Tier 1"/>
    <x v="21"/>
    <x v="0"/>
    <s v="No"/>
    <s v="No"/>
    <n v="1"/>
    <s v="No"/>
    <n v="7"/>
    <n v="2.7"/>
    <n v="10"/>
    <s v="Yes"/>
    <s v="Fair"/>
    <s v="Yes"/>
    <s v="Legal"/>
    <s v="Wednesday"/>
    <s v="Afternoon"/>
  </r>
  <r>
    <x v="1486"/>
    <s v="2024-01-01 06:27:20"/>
    <x v="3"/>
    <s v="2024-01-05 16:21:20"/>
    <x v="1214"/>
    <n v="4.4000000000000004"/>
    <x v="2"/>
    <s v="Ethernet"/>
    <s v="High"/>
    <n v="120"/>
    <x v="1"/>
    <s v="Walk-in"/>
    <s v="Tier 1"/>
    <x v="13"/>
    <x v="2"/>
    <s v="No"/>
    <s v="No"/>
    <n v="1"/>
    <s v="No"/>
    <n v="8"/>
    <n v="3.4"/>
    <n v="15"/>
    <s v="Yes"/>
    <s v="Good"/>
    <s v="Yes"/>
    <s v="Marketing"/>
    <s v="Monday"/>
    <s v="Morning"/>
  </r>
  <r>
    <x v="1487"/>
    <s v="2024-10-02 22:57:29"/>
    <x v="2"/>
    <s v="2024-10-16 07:09:29"/>
    <x v="1215"/>
    <n v="13.3"/>
    <x v="7"/>
    <s v="Drivers"/>
    <s v="Low"/>
    <n v="360"/>
    <x v="1"/>
    <s v="Phone"/>
    <s v="Tier 2"/>
    <x v="10"/>
    <x v="0"/>
    <s v="No"/>
    <s v="Yes"/>
    <n v="2"/>
    <s v="Yes"/>
    <n v="9"/>
    <n v="0.5"/>
    <n v="24.7"/>
    <s v="Yes"/>
    <s v="Good"/>
    <s v="Yes"/>
    <s v="IT"/>
    <s v="Tuesday"/>
    <s v="Afternoon"/>
  </r>
  <r>
    <x v="1488"/>
    <s v="2024-12-09 11:23:55"/>
    <x v="0"/>
    <s v="2024-12-22 15:47:55"/>
    <x v="487"/>
    <n v="13.2"/>
    <x v="6"/>
    <s v="Mailbox Full"/>
    <s v="Medium"/>
    <n v="240"/>
    <x v="0"/>
    <s v="Email"/>
    <s v="Tier 1"/>
    <x v="0"/>
    <x v="0"/>
    <s v="Yes"/>
    <s v="No"/>
    <n v="0"/>
    <s v="No"/>
    <n v="7"/>
    <n v="1.4"/>
    <n v="27.8"/>
    <s v="No"/>
    <s v="Fair"/>
    <s v="Yes"/>
    <s v="Finance"/>
    <s v="Thursday"/>
    <s v="Evening"/>
  </r>
  <r>
    <x v="1489"/>
    <s v="2024-06-12 10:18:03"/>
    <x v="10"/>
    <s v="2024-06-21 18:30:03"/>
    <x v="1216"/>
    <n v="9.3000000000000007"/>
    <x v="7"/>
    <s v="Business Apps"/>
    <s v="Medium"/>
    <n v="240"/>
    <x v="1"/>
    <s v="Phone"/>
    <s v="Tier 1"/>
    <x v="3"/>
    <x v="1"/>
    <s v="No"/>
    <s v="No"/>
    <n v="1"/>
    <s v="Yes"/>
    <n v="10"/>
    <n v="2.2000000000000002"/>
    <n v="16.7"/>
    <s v="Yes"/>
    <s v="Fair"/>
    <s v="Yes"/>
    <s v="Finance"/>
    <s v="Friday"/>
    <s v="Morning"/>
  </r>
  <r>
    <x v="1490"/>
    <s v="2024-04-14 03:29:49"/>
    <x v="11"/>
    <s v="2024-04-21 21:05:49"/>
    <x v="1217"/>
    <n v="7.7"/>
    <x v="4"/>
    <s v="Crash"/>
    <s v="Medium"/>
    <n v="240"/>
    <x v="1"/>
    <s v="Portal"/>
    <s v="Tier 2"/>
    <x v="8"/>
    <x v="1"/>
    <s v="No"/>
    <s v="Yes"/>
    <n v="4"/>
    <s v="Yes"/>
    <n v="10"/>
    <n v="1.1000000000000001"/>
    <n v="17.600000000000001"/>
    <s v="No"/>
    <s v="Fair"/>
    <s v="No"/>
    <s v="Executive"/>
    <s v="Thursday"/>
    <s v="Afternoon"/>
  </r>
  <r>
    <x v="1491"/>
    <s v="2024-04-28 13:40:04"/>
    <x v="11"/>
    <s v="2024-05-08 08:16:04"/>
    <x v="1218"/>
    <n v="9.8000000000000007"/>
    <x v="3"/>
    <s v="Windows Password"/>
    <s v="Low"/>
    <n v="360"/>
    <x v="1"/>
    <s v="Phone"/>
    <s v="Tier 1"/>
    <x v="4"/>
    <x v="2"/>
    <s v="Yes"/>
    <s v="No"/>
    <n v="0"/>
    <s v="No"/>
    <n v="10"/>
    <n v="2.2999999999999998"/>
    <n v="17.3"/>
    <s v="Yes"/>
    <s v="Fair"/>
    <s v="Yes"/>
    <s v="Marketing"/>
    <s v="Wednesday"/>
    <s v="Morning"/>
  </r>
  <r>
    <x v="1492"/>
    <s v="2024-07-23 04:50:32"/>
    <x v="4"/>
    <s v="2024-08-05 12:32:32"/>
    <x v="1219"/>
    <n v="13.3"/>
    <x v="0"/>
    <s v="Admin Rights"/>
    <s v="Low"/>
    <n v="360"/>
    <x v="1"/>
    <s v="Email"/>
    <s v="Tier 1"/>
    <x v="5"/>
    <x v="1"/>
    <s v="No"/>
    <s v="No"/>
    <n v="1"/>
    <s v="No"/>
    <n v="7"/>
    <n v="2.1"/>
    <n v="16.3"/>
    <s v="Yes"/>
    <s v="Poor"/>
    <s v="No"/>
    <s v="Finance"/>
    <s v="Thursday"/>
    <s v="Morning"/>
  </r>
  <r>
    <x v="1493"/>
    <s v="2024-02-15 21:04:01"/>
    <x v="6"/>
    <s v="2024-02-18 01:10:01"/>
    <x v="1220"/>
    <n v="3.2"/>
    <x v="7"/>
    <s v="Business Apps"/>
    <s v="High"/>
    <n v="120"/>
    <x v="1"/>
    <s v="Email"/>
    <s v="Tier 1"/>
    <x v="2"/>
    <x v="0"/>
    <s v="No"/>
    <s v="No"/>
    <n v="1"/>
    <s v="Yes"/>
    <n v="10"/>
    <n v="3.5"/>
    <n v="2.7"/>
    <s v="Yes"/>
    <s v="Good"/>
    <s v="No"/>
    <s v="Sales"/>
    <s v="Tuesday"/>
    <s v="Afternoon"/>
  </r>
  <r>
    <x v="1494"/>
    <s v="2024-10-16 12:48:46"/>
    <x v="2"/>
    <s v="2024-10-19 13:12:46"/>
    <x v="1221"/>
    <n v="3"/>
    <x v="1"/>
    <s v="Keyboard/Mouse"/>
    <s v="High"/>
    <n v="120"/>
    <x v="1"/>
    <s v="Phone"/>
    <s v="Tier 2"/>
    <x v="15"/>
    <x v="2"/>
    <s v="No"/>
    <s v="Yes"/>
    <n v="4"/>
    <s v="No"/>
    <n v="5"/>
    <n v="1.7"/>
    <n v="2.8"/>
    <s v="Yes"/>
    <s v="Poor"/>
    <s v="Yes"/>
    <s v="Marketing"/>
    <s v="Friday"/>
    <s v="Evening"/>
  </r>
  <r>
    <x v="1495"/>
    <s v="2024-08-03 07:31:05"/>
    <x v="1"/>
    <s v="2024-08-07 05:49:05"/>
    <x v="855"/>
    <n v="3.9"/>
    <x v="4"/>
    <s v="Crash"/>
    <s v="High"/>
    <n v="120"/>
    <x v="1"/>
    <s v="Phone"/>
    <s v="Tier 1"/>
    <x v="17"/>
    <x v="2"/>
    <s v="No"/>
    <s v="No"/>
    <n v="1"/>
    <s v="No"/>
    <n v="7"/>
    <n v="2.4"/>
    <n v="8.3000000000000007"/>
    <s v="Yes"/>
    <s v="Poor"/>
    <s v="Yes"/>
    <s v="Operations"/>
    <s v="Thursday"/>
    <s v="Afternoon"/>
  </r>
  <r>
    <x v="1496"/>
    <s v="2024-05-10 13:16:46"/>
    <x v="8"/>
    <s v="2024-05-16 02:58:46"/>
    <x v="1095"/>
    <n v="6.6"/>
    <x v="7"/>
    <s v="MS Office"/>
    <s v="Medium"/>
    <n v="240"/>
    <x v="1"/>
    <s v="Phone"/>
    <s v="Tier 2"/>
    <x v="18"/>
    <x v="1"/>
    <s v="No"/>
    <s v="Yes"/>
    <n v="3"/>
    <s v="No"/>
    <n v="10"/>
    <n v="1.8"/>
    <n v="19.600000000000001"/>
    <s v="Yes"/>
    <s v="Poor"/>
    <s v="No"/>
    <s v="Sales"/>
    <s v="Thursday"/>
    <s v="Evening"/>
  </r>
  <r>
    <x v="1497"/>
    <s v="2024-02-11 20:25:10"/>
    <x v="6"/>
    <s v="2024-02-20 02:31:10"/>
    <x v="528"/>
    <n v="8.3000000000000007"/>
    <x v="7"/>
    <s v="Drivers"/>
    <s v="Medium"/>
    <n v="240"/>
    <x v="1"/>
    <s v="Phone"/>
    <s v="Tier 1"/>
    <x v="14"/>
    <x v="2"/>
    <s v="No"/>
    <s v="No"/>
    <n v="1"/>
    <s v="No"/>
    <n v="7"/>
    <n v="1.8"/>
    <n v="23.2"/>
    <s v="Yes"/>
    <s v="Poor"/>
    <s v="Yes"/>
    <s v="IT"/>
    <s v="Wednesday"/>
    <s v="Afternoon"/>
  </r>
  <r>
    <x v="1498"/>
    <s v="2024-03-17 08:04:16"/>
    <x v="5"/>
    <s v="2024-03-25 20:16:16"/>
    <x v="1222"/>
    <n v="8.5"/>
    <x v="2"/>
    <s v="Slow Network"/>
    <s v="Medium"/>
    <n v="240"/>
    <x v="1"/>
    <s v="Email"/>
    <s v="Tier 1"/>
    <x v="23"/>
    <x v="0"/>
    <s v="Yes"/>
    <s v="No"/>
    <n v="0"/>
    <s v="No"/>
    <n v="9"/>
    <n v="3.3"/>
    <n v="13.7"/>
    <s v="No"/>
    <s v="Fair"/>
    <s v="Yes"/>
    <s v="IT"/>
    <s v="Friday"/>
    <s v="Morning"/>
  </r>
  <r>
    <x v="1499"/>
    <s v="2024-02-20 18:54:57"/>
    <x v="6"/>
    <s v="2024-02-26 01:36:57"/>
    <x v="817"/>
    <n v="6.3"/>
    <x v="0"/>
    <s v="Admin Rights"/>
    <s v="Medium"/>
    <n v="240"/>
    <x v="1"/>
    <s v="Portal"/>
    <s v="Tier 1"/>
    <x v="4"/>
    <x v="0"/>
    <s v="Yes"/>
    <s v="No"/>
    <n v="0"/>
    <s v="No"/>
    <n v="10"/>
    <n v="6.4"/>
    <n v="46.8"/>
    <s v="Yes"/>
    <s v="Excellent"/>
    <s v="Yes"/>
    <s v="Executive"/>
    <s v="Wednesday"/>
    <s v="Afternoon"/>
  </r>
  <r>
    <x v="1500"/>
    <s v="2024-01-01 13:03:56"/>
    <x v="3"/>
    <s v="2024-01-12 00:39:56"/>
    <x v="1223"/>
    <n v="11.5"/>
    <x v="7"/>
    <s v="VPN Client"/>
    <s v="Medium"/>
    <n v="240"/>
    <x v="0"/>
    <s v="Email"/>
    <s v="Tier 2"/>
    <x v="3"/>
    <x v="2"/>
    <s v="No"/>
    <s v="Yes"/>
    <n v="2"/>
    <s v="No"/>
    <n v="6"/>
    <n v="1.8"/>
    <n v="38"/>
    <s v="Yes"/>
    <s v="Poor"/>
    <s v="Yes"/>
    <s v="Executive"/>
    <s v="Wednesday"/>
    <s v="Morning"/>
  </r>
  <r>
    <x v="1501"/>
    <s v="2024-10-25 19:28:30"/>
    <x v="2"/>
    <s v="2024-11-05 05:04:30"/>
    <x v="464"/>
    <n v="10.4"/>
    <x v="5"/>
    <s v="Miscellaneous"/>
    <s v="Low"/>
    <n v="360"/>
    <x v="1"/>
    <s v="Phone"/>
    <s v="Tier 2"/>
    <x v="19"/>
    <x v="2"/>
    <s v="No"/>
    <s v="Yes"/>
    <n v="2"/>
    <s v="Yes"/>
    <n v="9"/>
    <n v="0.8"/>
    <n v="2.4"/>
    <s v="No"/>
    <s v="Fair"/>
    <s v="Yes"/>
    <s v="Operations"/>
    <s v="Tuesday"/>
    <s v="Afternoon"/>
  </r>
  <r>
    <x v="1502"/>
    <s v="2024-10-15 09:53:40"/>
    <x v="2"/>
    <s v="2024-10-19 09:47:40"/>
    <x v="1224"/>
    <n v="4"/>
    <x v="4"/>
    <s v="Performance"/>
    <s v="High"/>
    <n v="120"/>
    <x v="1"/>
    <s v="Email"/>
    <s v="Tier 1"/>
    <x v="5"/>
    <x v="0"/>
    <s v="Yes"/>
    <s v="No"/>
    <n v="0"/>
    <s v="No"/>
    <n v="10"/>
    <n v="1.4"/>
    <n v="38.5"/>
    <s v="No"/>
    <s v="Poor"/>
    <s v="Yes"/>
    <s v="Finance"/>
    <s v="Wednesday"/>
    <s v="Evening"/>
  </r>
  <r>
    <x v="1503"/>
    <s v="2024-03-14 07:15:35"/>
    <x v="5"/>
    <s v="2024-03-16 08:03:35"/>
    <x v="1225"/>
    <n v="2"/>
    <x v="4"/>
    <s v="Features Not Working"/>
    <s v="Critical"/>
    <n v="48"/>
    <x v="0"/>
    <s v="Phone"/>
    <s v="Tier 2"/>
    <x v="12"/>
    <x v="2"/>
    <s v="No"/>
    <s v="Yes"/>
    <n v="2"/>
    <s v="No"/>
    <n v="3"/>
    <n v="3.4"/>
    <n v="24.8"/>
    <s v="No"/>
    <s v="Poor"/>
    <s v="No"/>
    <s v="Operations"/>
    <s v="Thursday"/>
    <s v="Afternoon"/>
  </r>
  <r>
    <x v="1504"/>
    <s v="2024-12-17 20:11:28"/>
    <x v="0"/>
    <s v="2024-12-21 11:35:28"/>
    <x v="1226"/>
    <n v="3.6"/>
    <x v="2"/>
    <s v="Slow Network"/>
    <s v="High"/>
    <n v="120"/>
    <x v="1"/>
    <s v="Phone"/>
    <s v="Tier 2"/>
    <x v="19"/>
    <x v="2"/>
    <s v="No"/>
    <s v="Yes"/>
    <n v="4"/>
    <s v="No"/>
    <n v="8"/>
    <n v="1.1000000000000001"/>
    <n v="24.7"/>
    <s v="Yes"/>
    <s v="Good"/>
    <s v="Yes"/>
    <s v="Finance"/>
    <s v="Wednesday"/>
    <s v="Afternoon"/>
  </r>
  <r>
    <x v="1505"/>
    <s v="2024-09-28 00:37:50"/>
    <x v="9"/>
    <s v="2024-10-02 03:19:50"/>
    <x v="859"/>
    <n v="3.1"/>
    <x v="4"/>
    <s v="Crash"/>
    <s v="High"/>
    <n v="120"/>
    <x v="1"/>
    <s v="Walk-in"/>
    <s v="Tier 1"/>
    <x v="12"/>
    <x v="1"/>
    <s v="Yes"/>
    <s v="No"/>
    <n v="0"/>
    <s v="No"/>
    <n v="10"/>
    <n v="2.8"/>
    <n v="16.899999999999999"/>
    <s v="No"/>
    <s v="Excellent"/>
    <s v="No"/>
    <s v="Marketing"/>
    <s v="Monday"/>
    <s v="Evening"/>
  </r>
  <r>
    <x v="1506"/>
    <s v="2024-03-03 00:27:19"/>
    <x v="5"/>
    <s v="2024-03-08 12:03:19"/>
    <x v="1227"/>
    <n v="4.5"/>
    <x v="6"/>
    <s v="Cannot Send/Receive"/>
    <s v="High"/>
    <n v="120"/>
    <x v="1"/>
    <s v="Phone"/>
    <s v="Tier 1"/>
    <x v="10"/>
    <x v="1"/>
    <s v="Yes"/>
    <s v="No"/>
    <n v="0"/>
    <s v="Yes"/>
    <n v="10"/>
    <n v="0.9"/>
    <n v="15.6"/>
    <s v="Yes"/>
    <s v="Fair"/>
    <s v="Yes"/>
    <s v="Marketing"/>
    <s v="Wednesday"/>
    <s v="Afternoon"/>
  </r>
  <r>
    <x v="1507"/>
    <s v="2024-10-03 08:07:13"/>
    <x v="2"/>
    <s v="2024-10-10 18:07:13"/>
    <x v="1142"/>
    <n v="7.4"/>
    <x v="6"/>
    <s v="Calendar Sync"/>
    <s v="Medium"/>
    <n v="240"/>
    <x v="1"/>
    <s v="Chat"/>
    <s v="Tier 1"/>
    <x v="11"/>
    <x v="2"/>
    <s v="No"/>
    <s v="No"/>
    <n v="1"/>
    <s v="No"/>
    <n v="10"/>
    <n v="0.7"/>
    <n v="44.1"/>
    <s v="Yes"/>
    <s v="Poor"/>
    <s v="Yes"/>
    <s v="Operations"/>
    <s v="Wednesday"/>
    <s v="Morning"/>
  </r>
  <r>
    <x v="1508"/>
    <s v="2024-08-14 03:21:59"/>
    <x v="1"/>
    <s v="2024-08-20 07:09:59"/>
    <x v="112"/>
    <n v="6.2"/>
    <x v="1"/>
    <s v="Desktop"/>
    <s v="High"/>
    <n v="120"/>
    <x v="0"/>
    <s v="Phone"/>
    <s v="Tier 2"/>
    <x v="19"/>
    <x v="0"/>
    <s v="No"/>
    <s v="Yes"/>
    <n v="1"/>
    <s v="No"/>
    <n v="8"/>
    <n v="1.5"/>
    <n v="5.3"/>
    <s v="No"/>
    <s v="Good"/>
    <s v="Yes"/>
    <s v="Legal"/>
    <s v="Friday"/>
    <s v="Afternoon"/>
  </r>
  <r>
    <x v="1509"/>
    <s v="2024-06-17 23:36:54"/>
    <x v="10"/>
    <s v="2024-06-29 13:12:54"/>
    <x v="1228"/>
    <n v="11.6"/>
    <x v="7"/>
    <s v="Drivers"/>
    <s v="Medium"/>
    <n v="240"/>
    <x v="0"/>
    <s v="Portal"/>
    <s v="Tier 1"/>
    <x v="5"/>
    <x v="0"/>
    <s v="No"/>
    <s v="No"/>
    <n v="1"/>
    <s v="No"/>
    <n v="6"/>
    <n v="3.4"/>
    <n v="35.1"/>
    <s v="No"/>
    <s v="Poor"/>
    <s v="Yes"/>
    <s v="Executive"/>
    <s v="Tuesday"/>
    <s v="Afternoon"/>
  </r>
  <r>
    <x v="1510"/>
    <s v="2024-05-25 04:49:54"/>
    <x v="8"/>
    <s v="2024-05-29 15:13:54"/>
    <x v="1229"/>
    <n v="4.4000000000000004"/>
    <x v="4"/>
    <s v="Login Issues"/>
    <s v="High"/>
    <n v="120"/>
    <x v="1"/>
    <s v="Email"/>
    <s v="Tier 1"/>
    <x v="0"/>
    <x v="1"/>
    <s v="No"/>
    <s v="No"/>
    <n v="1"/>
    <s v="No"/>
    <n v="8"/>
    <n v="2"/>
    <n v="23.8"/>
    <s v="Yes"/>
    <s v="Poor"/>
    <s v="Yes"/>
    <s v="HR"/>
    <s v="Tuesday"/>
    <s v="Morning"/>
  </r>
  <r>
    <x v="1511"/>
    <s v="2024-08-20 21:35:36"/>
    <x v="1"/>
    <s v="2024-09-03 11:11:36"/>
    <x v="1230"/>
    <n v="13.6"/>
    <x v="3"/>
    <s v="Windows Password"/>
    <s v="Low"/>
    <n v="360"/>
    <x v="1"/>
    <s v="Phone"/>
    <s v="Tier 1"/>
    <x v="4"/>
    <x v="1"/>
    <s v="Yes"/>
    <s v="No"/>
    <n v="0"/>
    <s v="No"/>
    <n v="10"/>
    <n v="0.1"/>
    <n v="10.9"/>
    <s v="Yes"/>
    <s v="Fair"/>
    <s v="Yes"/>
    <s v="Finance"/>
    <s v="Monday"/>
    <s v="Afternoon"/>
  </r>
  <r>
    <x v="1512"/>
    <s v="2024-04-27 23:31:26"/>
    <x v="11"/>
    <s v="2024-05-16 04:01:26"/>
    <x v="1231"/>
    <n v="18.2"/>
    <x v="5"/>
    <s v="Documentation"/>
    <s v="Low"/>
    <n v="360"/>
    <x v="0"/>
    <s v="Phone"/>
    <s v="Tier 1"/>
    <x v="8"/>
    <x v="0"/>
    <s v="No"/>
    <s v="No"/>
    <n v="1"/>
    <s v="No"/>
    <n v="4"/>
    <n v="2.7"/>
    <n v="1.5"/>
    <s v="No"/>
    <s v="Fair"/>
    <s v="No"/>
    <s v="Executive"/>
    <s v="Thursday"/>
    <s v="Evening"/>
  </r>
  <r>
    <x v="1513"/>
    <s v="2024-02-11 07:59:58"/>
    <x v="6"/>
    <s v="2024-03-07 04:59:58"/>
    <x v="1232"/>
    <n v="24.9"/>
    <x v="7"/>
    <s v="Drivers"/>
    <s v="Medium"/>
    <n v="240"/>
    <x v="0"/>
    <s v="Phone"/>
    <s v="Tier 1"/>
    <x v="13"/>
    <x v="0"/>
    <s v="Yes"/>
    <s v="No"/>
    <n v="0"/>
    <s v="No"/>
    <n v="8"/>
    <n v="4.2"/>
    <n v="15.1"/>
    <s v="Yes"/>
    <s v="Good"/>
    <s v="No"/>
    <s v="Finance"/>
    <s v="Thursday"/>
    <s v="Afternoon"/>
  </r>
  <r>
    <x v="1514"/>
    <s v="2024-08-29 06:54:37"/>
    <x v="1"/>
    <s v="2024-09-02 17:06:37"/>
    <x v="1233"/>
    <n v="4.4000000000000004"/>
    <x v="5"/>
    <s v="Miscellaneous"/>
    <s v="High"/>
    <n v="120"/>
    <x v="1"/>
    <s v="Walk-in"/>
    <s v="Tier 2"/>
    <x v="20"/>
    <x v="1"/>
    <s v="No"/>
    <s v="Yes"/>
    <n v="4"/>
    <s v="No"/>
    <n v="9"/>
    <n v="2"/>
    <n v="0"/>
    <s v="No"/>
    <s v="Excellent"/>
    <s v="Yes"/>
    <s v="Executive"/>
    <s v="Friday"/>
    <s v="Morning"/>
  </r>
  <r>
    <x v="1515"/>
    <s v="2024-01-23 18:01:16"/>
    <x v="3"/>
    <s v="2024-02-04 17:55:16"/>
    <x v="1234"/>
    <n v="12"/>
    <x v="3"/>
    <s v="Windows Password"/>
    <s v="Low"/>
    <n v="360"/>
    <x v="1"/>
    <s v="Phone"/>
    <s v="Tier 1"/>
    <x v="16"/>
    <x v="2"/>
    <s v="No"/>
    <s v="No"/>
    <n v="1"/>
    <s v="No"/>
    <n v="7"/>
    <n v="3.9"/>
    <n v="18.2"/>
    <s v="Yes"/>
    <s v="Fair"/>
    <s v="No"/>
    <s v="Sales"/>
    <s v="Tuesday"/>
    <s v="Morning"/>
  </r>
  <r>
    <x v="1516"/>
    <s v="2024-11-11 09:27:09"/>
    <x v="7"/>
    <s v="2024-11-29 05:33:09"/>
    <x v="1235"/>
    <n v="17.8"/>
    <x v="0"/>
    <s v="Admin Rights"/>
    <s v="Low"/>
    <n v="360"/>
    <x v="0"/>
    <s v="Portal"/>
    <s v="Tier 1"/>
    <x v="19"/>
    <x v="2"/>
    <s v="Yes"/>
    <s v="No"/>
    <n v="0"/>
    <s v="No"/>
    <n v="10"/>
    <n v="1.6"/>
    <n v="27.1"/>
    <s v="No"/>
    <s v="Good"/>
    <s v="No"/>
    <s v="Executive"/>
    <s v="Wednesday"/>
    <s v="Afternoon"/>
  </r>
  <r>
    <x v="1517"/>
    <s v="2024-08-06 02:30:44"/>
    <x v="1"/>
    <s v="2024-08-12 00:48:44"/>
    <x v="1236"/>
    <n v="5.9"/>
    <x v="1"/>
    <s v="Docking Station"/>
    <s v="High"/>
    <n v="120"/>
    <x v="0"/>
    <s v="Phone"/>
    <s v="Tier 1"/>
    <x v="17"/>
    <x v="2"/>
    <s v="No"/>
    <s v="No"/>
    <n v="1"/>
    <s v="No"/>
    <n v="5"/>
    <n v="1.3"/>
    <n v="25.1"/>
    <s v="Yes"/>
    <s v="Good"/>
    <s v="No"/>
    <s v="Marketing"/>
    <s v="Monday"/>
    <s v="Morning"/>
  </r>
  <r>
    <x v="1518"/>
    <s v="2024-05-03 04:13:40"/>
    <x v="8"/>
    <s v="2024-05-11 06:19:40"/>
    <x v="94"/>
    <n v="8.1"/>
    <x v="1"/>
    <s v="Desktop"/>
    <s v="Medium"/>
    <n v="240"/>
    <x v="1"/>
    <s v="Portal"/>
    <s v="Tier 2"/>
    <x v="21"/>
    <x v="1"/>
    <s v="No"/>
    <s v="Yes"/>
    <n v="3"/>
    <s v="No"/>
    <n v="7"/>
    <n v="1.7"/>
    <n v="5.6"/>
    <s v="Yes"/>
    <s v="Poor"/>
    <s v="Yes"/>
    <s v="Executive"/>
    <s v="Thursday"/>
    <s v="Evening"/>
  </r>
  <r>
    <x v="1519"/>
    <s v="2024-06-15 19:50:09"/>
    <x v="10"/>
    <s v="2024-06-25 22:14:09"/>
    <x v="1112"/>
    <n v="10.1"/>
    <x v="3"/>
    <s v="Email Password"/>
    <s v="Low"/>
    <n v="360"/>
    <x v="1"/>
    <s v="Phone"/>
    <s v="Tier 1"/>
    <x v="3"/>
    <x v="2"/>
    <s v="No"/>
    <s v="No"/>
    <n v="1"/>
    <s v="No"/>
    <n v="6"/>
    <n v="1.8"/>
    <n v="33.1"/>
    <s v="Yes"/>
    <s v="Good"/>
    <s v="Yes"/>
    <s v="Operations"/>
    <s v="Wednesday"/>
    <s v="Morning"/>
  </r>
  <r>
    <x v="1520"/>
    <s v="2024-05-12 07:45:33"/>
    <x v="8"/>
    <s v="2024-05-29 12:09:33"/>
    <x v="1237"/>
    <n v="17.2"/>
    <x v="3"/>
    <s v="Email Password"/>
    <s v="Low"/>
    <n v="360"/>
    <x v="0"/>
    <s v="Walk-in"/>
    <s v="Tier 1"/>
    <x v="16"/>
    <x v="2"/>
    <s v="No"/>
    <s v="No"/>
    <n v="1"/>
    <s v="No"/>
    <n v="8"/>
    <n v="2.2000000000000002"/>
    <n v="16.8"/>
    <s v="Yes"/>
    <s v="Fair"/>
    <s v="No"/>
    <s v="Marketing"/>
    <s v="Monday"/>
    <s v="Morning"/>
  </r>
  <r>
    <x v="1521"/>
    <s v="2024-07-16 15:42:31"/>
    <x v="4"/>
    <s v="2024-07-25 18:18:31"/>
    <x v="594"/>
    <n v="9.1"/>
    <x v="7"/>
    <s v="VPN Client"/>
    <s v="Medium"/>
    <n v="240"/>
    <x v="1"/>
    <s v="Phone"/>
    <s v="Tier 1"/>
    <x v="10"/>
    <x v="2"/>
    <s v="Yes"/>
    <s v="No"/>
    <n v="0"/>
    <s v="No"/>
    <n v="10"/>
    <n v="5.5"/>
    <n v="34.299999999999997"/>
    <s v="Yes"/>
    <s v="Fair"/>
    <s v="Yes"/>
    <s v="IT"/>
    <s v="Friday"/>
    <s v="Morning"/>
  </r>
  <r>
    <x v="1522"/>
    <s v="2024-04-09 10:09:49"/>
    <x v="11"/>
    <s v="2024-04-18 21:51:49"/>
    <x v="1122"/>
    <n v="9.5"/>
    <x v="6"/>
    <s v="Calendar Sync"/>
    <s v="Medium"/>
    <n v="240"/>
    <x v="1"/>
    <s v="Phone"/>
    <s v="Tier 1"/>
    <x v="22"/>
    <x v="1"/>
    <s v="No"/>
    <s v="No"/>
    <n v="1"/>
    <s v="Yes"/>
    <n v="10"/>
    <n v="0.1"/>
    <n v="0"/>
    <s v="Yes"/>
    <s v="Fair"/>
    <s v="No"/>
    <s v="Marketing"/>
    <s v="Wednesday"/>
    <s v="Afternoon"/>
  </r>
  <r>
    <x v="1523"/>
    <s v="2024-05-21 10:28:37"/>
    <x v="8"/>
    <s v="2024-05-31 07:04:37"/>
    <x v="803"/>
    <n v="9.9"/>
    <x v="2"/>
    <s v="WiFi Issues"/>
    <s v="High"/>
    <n v="120"/>
    <x v="0"/>
    <s v="Phone"/>
    <s v="Tier 2"/>
    <x v="18"/>
    <x v="2"/>
    <s v="No"/>
    <s v="Yes"/>
    <n v="4"/>
    <s v="No"/>
    <n v="6"/>
    <n v="1"/>
    <n v="23.4"/>
    <s v="Yes"/>
    <s v="Fair"/>
    <s v="No"/>
    <s v="HR"/>
    <s v="Wednesday"/>
    <s v="Morning"/>
  </r>
  <r>
    <x v="1524"/>
    <s v="2024-03-01 07:32:25"/>
    <x v="5"/>
    <s v="2024-03-17 17:32:25"/>
    <x v="1238"/>
    <n v="16.399999999999999"/>
    <x v="4"/>
    <s v="Crash"/>
    <s v="Medium"/>
    <n v="240"/>
    <x v="0"/>
    <s v="Email"/>
    <s v="Tier 1"/>
    <x v="16"/>
    <x v="2"/>
    <s v="No"/>
    <s v="No"/>
    <n v="1"/>
    <s v="No"/>
    <n v="5"/>
    <n v="2.1"/>
    <n v="35.6"/>
    <s v="Yes"/>
    <s v="Good"/>
    <s v="Yes"/>
    <s v="Operations"/>
    <s v="Friday"/>
    <s v="Evening"/>
  </r>
  <r>
    <x v="1525"/>
    <s v="2024-12-30 01:24:03"/>
    <x v="0"/>
    <s v="2025-01-01 08:36:03"/>
    <x v="1239"/>
    <n v="1.3"/>
    <x v="1"/>
    <s v="Docking Station"/>
    <s v="Critical"/>
    <n v="48"/>
    <x v="1"/>
    <s v="Phone"/>
    <s v="Tier 2"/>
    <x v="6"/>
    <x v="0"/>
    <s v="No"/>
    <s v="Yes"/>
    <n v="2"/>
    <s v="Yes"/>
    <n v="7"/>
    <n v="2.4"/>
    <n v="4.9000000000000004"/>
    <s v="Yes"/>
    <s v="Excellent"/>
    <s v="Yes"/>
    <s v="IT"/>
    <s v="Thursday"/>
    <s v="Morning"/>
  </r>
  <r>
    <x v="1526"/>
    <s v="2024-07-09 17:47:24"/>
    <x v="4"/>
    <s v="2024-07-19 20:29:24"/>
    <x v="1240"/>
    <n v="10.1"/>
    <x v="3"/>
    <s v="Windows Password"/>
    <s v="Low"/>
    <n v="360"/>
    <x v="1"/>
    <s v="Portal"/>
    <s v="Tier 1"/>
    <x v="6"/>
    <x v="1"/>
    <s v="No"/>
    <s v="No"/>
    <n v="1"/>
    <s v="No"/>
    <n v="4"/>
    <n v="1.8"/>
    <n v="44.6"/>
    <s v="Yes"/>
    <s v="Good"/>
    <s v="Yes"/>
    <s v="HR"/>
    <s v="Monday"/>
    <s v="Evening"/>
  </r>
  <r>
    <x v="1527"/>
    <s v="2024-06-21 17:10:07"/>
    <x v="10"/>
    <s v="2024-07-01 14:16:07"/>
    <x v="1241"/>
    <n v="9.9"/>
    <x v="3"/>
    <s v="Application Password"/>
    <s v="Low"/>
    <n v="360"/>
    <x v="1"/>
    <s v="Chat"/>
    <s v="Tier 1"/>
    <x v="4"/>
    <x v="0"/>
    <s v="Yes"/>
    <s v="No"/>
    <n v="0"/>
    <s v="No"/>
    <n v="9"/>
    <n v="2.1"/>
    <n v="25.3"/>
    <s v="Yes"/>
    <s v="Fair"/>
    <s v="Yes"/>
    <s v="Executive"/>
    <s v="Wednesday"/>
    <s v="Afternoon"/>
  </r>
  <r>
    <x v="1528"/>
    <s v="2024-01-15 22:08:07"/>
    <x v="3"/>
    <s v="2024-01-24 22:44:07"/>
    <x v="1242"/>
    <n v="9"/>
    <x v="7"/>
    <s v="Drivers"/>
    <s v="Low"/>
    <n v="360"/>
    <x v="1"/>
    <s v="Chat"/>
    <s v="Tier 2"/>
    <x v="9"/>
    <x v="2"/>
    <s v="No"/>
    <s v="Yes"/>
    <n v="3"/>
    <s v="No"/>
    <n v="8"/>
    <n v="1.5"/>
    <n v="26.8"/>
    <s v="Yes"/>
    <s v="Fair"/>
    <s v="Yes"/>
    <s v="HR"/>
    <s v="Wednesday"/>
    <s v="Morning"/>
  </r>
  <r>
    <x v="1529"/>
    <s v="2024-06-25 04:10:23"/>
    <x v="10"/>
    <s v="2024-07-01 12:34:23"/>
    <x v="1243"/>
    <n v="6.4"/>
    <x v="7"/>
    <s v="Drivers"/>
    <s v="Medium"/>
    <n v="240"/>
    <x v="1"/>
    <s v="Portal"/>
    <s v="Tier 1"/>
    <x v="23"/>
    <x v="2"/>
    <s v="No"/>
    <s v="No"/>
    <n v="1"/>
    <s v="No"/>
    <n v="6"/>
    <n v="1.2"/>
    <n v="0"/>
    <s v="Yes"/>
    <s v="Poor"/>
    <s v="Yes"/>
    <s v="Executive"/>
    <s v="Wednesday"/>
    <s v="Afternoon"/>
  </r>
  <r>
    <x v="1530"/>
    <s v="2024-12-30 08:30:59"/>
    <x v="0"/>
    <s v="2025-01-08 09:06:59"/>
    <x v="1242"/>
    <n v="9"/>
    <x v="3"/>
    <s v="Account Unlock"/>
    <s v="Low"/>
    <n v="360"/>
    <x v="1"/>
    <s v="Phone"/>
    <s v="Tier 1"/>
    <x v="23"/>
    <x v="2"/>
    <s v="Yes"/>
    <s v="No"/>
    <n v="0"/>
    <s v="No"/>
    <n v="10"/>
    <n v="3.1"/>
    <n v="23.2"/>
    <s v="No"/>
    <s v="Good"/>
    <s v="Yes"/>
    <s v="Marketing"/>
    <s v="Tuesday"/>
    <s v="Morning"/>
  </r>
  <r>
    <x v="1531"/>
    <s v="2024-09-13 13:45:20"/>
    <x v="9"/>
    <s v="2024-10-04 22:45:20"/>
    <x v="1244"/>
    <n v="21.4"/>
    <x v="3"/>
    <s v="Account Unlock"/>
    <s v="Low"/>
    <n v="360"/>
    <x v="0"/>
    <s v="Phone"/>
    <s v="Tier 1"/>
    <x v="5"/>
    <x v="2"/>
    <s v="Yes"/>
    <s v="No"/>
    <n v="0"/>
    <s v="No"/>
    <n v="9"/>
    <n v="2.2999999999999998"/>
    <n v="11.3"/>
    <s v="No"/>
    <s v="Excellent"/>
    <s v="Yes"/>
    <s v="Legal"/>
    <s v="Friday"/>
    <s v="Morning"/>
  </r>
  <r>
    <x v="1532"/>
    <s v="2024-09-03 20:25:15"/>
    <x v="9"/>
    <s v="2024-09-15 13:07:15"/>
    <x v="1245"/>
    <n v="11.7"/>
    <x v="4"/>
    <s v="Crash"/>
    <s v="Medium"/>
    <n v="240"/>
    <x v="0"/>
    <s v="Email"/>
    <s v="Tier 1"/>
    <x v="16"/>
    <x v="1"/>
    <s v="No"/>
    <s v="No"/>
    <n v="1"/>
    <s v="Yes"/>
    <n v="5"/>
    <n v="3.1"/>
    <n v="24.5"/>
    <s v="Yes"/>
    <s v="Poor"/>
    <s v="No"/>
    <s v="Legal"/>
    <s v="Thursday"/>
    <s v="Afternoon"/>
  </r>
  <r>
    <x v="1533"/>
    <s v="2024-11-09 00:29:39"/>
    <x v="7"/>
    <s v="2024-11-22 07:41:39"/>
    <x v="1246"/>
    <n v="12.3"/>
    <x v="3"/>
    <s v="Windows Password"/>
    <s v="Low"/>
    <n v="360"/>
    <x v="1"/>
    <s v="Walk-in"/>
    <s v="Tier 1"/>
    <x v="18"/>
    <x v="1"/>
    <s v="Yes"/>
    <s v="No"/>
    <n v="0"/>
    <s v="No"/>
    <n v="9"/>
    <n v="0.8"/>
    <n v="8.5"/>
    <s v="Yes"/>
    <s v="Poor"/>
    <s v="Yes"/>
    <s v="Marketing"/>
    <s v="Wednesday"/>
    <s v="Morning"/>
  </r>
  <r>
    <x v="1534"/>
    <s v="2024-11-22 18:46:36"/>
    <x v="7"/>
    <s v="2024-11-26 08:16:36"/>
    <x v="1247"/>
    <n v="3.6"/>
    <x v="1"/>
    <s v="Laptop"/>
    <s v="High"/>
    <n v="120"/>
    <x v="1"/>
    <s v="Portal"/>
    <s v="Tier 2"/>
    <x v="7"/>
    <x v="0"/>
    <s v="No"/>
    <s v="Yes"/>
    <n v="4"/>
    <s v="Yes"/>
    <n v="9"/>
    <n v="3.4"/>
    <n v="15.4"/>
    <s v="No"/>
    <s v="Good"/>
    <s v="Yes"/>
    <s v="Operations"/>
    <s v="Monday"/>
    <s v="Evening"/>
  </r>
  <r>
    <x v="1535"/>
    <s v="2024-09-12 09:59:56"/>
    <x v="9"/>
    <s v="2024-09-25 19:59:56"/>
    <x v="1248"/>
    <n v="13.4"/>
    <x v="6"/>
    <s v="Calendar Sync"/>
    <s v="High"/>
    <n v="120"/>
    <x v="0"/>
    <s v="Portal"/>
    <s v="Tier 1"/>
    <x v="6"/>
    <x v="1"/>
    <s v="Yes"/>
    <s v="No"/>
    <n v="0"/>
    <s v="No"/>
    <n v="7"/>
    <n v="2"/>
    <n v="15.3"/>
    <s v="Yes"/>
    <s v="Fair"/>
    <s v="Yes"/>
    <s v="Executive"/>
    <s v="Wednesday"/>
    <s v="Morning"/>
  </r>
  <r>
    <x v="1536"/>
    <s v="2024-09-27 01:04:13"/>
    <x v="9"/>
    <s v="2024-10-01 14:22:13"/>
    <x v="431"/>
    <n v="3.6"/>
    <x v="4"/>
    <s v="Features Not Working"/>
    <s v="High"/>
    <n v="120"/>
    <x v="1"/>
    <s v="Chat"/>
    <s v="Tier 1"/>
    <x v="10"/>
    <x v="2"/>
    <s v="No"/>
    <s v="No"/>
    <n v="1"/>
    <s v="No"/>
    <n v="8"/>
    <n v="3.3"/>
    <n v="13"/>
    <s v="Yes"/>
    <s v="Good"/>
    <s v="No"/>
    <s v="Marketing"/>
    <s v="Tuesday"/>
    <s v="Morning"/>
  </r>
  <r>
    <x v="1537"/>
    <s v="2024-11-07 05:15:34"/>
    <x v="7"/>
    <s v="2024-11-14 04:03:34"/>
    <x v="1249"/>
    <n v="7"/>
    <x v="4"/>
    <s v="Crash"/>
    <s v="High"/>
    <n v="120"/>
    <x v="0"/>
    <s v="Email"/>
    <s v="Tier 1"/>
    <x v="1"/>
    <x v="0"/>
    <s v="No"/>
    <s v="No"/>
    <n v="1"/>
    <s v="Yes"/>
    <n v="7"/>
    <n v="4.5"/>
    <n v="18.899999999999999"/>
    <s v="Yes"/>
    <s v="Fair"/>
    <s v="No"/>
    <s v="Finance"/>
    <s v="Friday"/>
    <s v="Afternoon"/>
  </r>
  <r>
    <x v="1538"/>
    <s v="2024-10-08 08:28:25"/>
    <x v="2"/>
    <s v="2024-10-14 18:28:25"/>
    <x v="1250"/>
    <n v="6.4"/>
    <x v="6"/>
    <s v="Cannot Send/Receive"/>
    <s v="Medium"/>
    <n v="240"/>
    <x v="1"/>
    <s v="Portal"/>
    <s v="Tier 1"/>
    <x v="8"/>
    <x v="1"/>
    <s v="Yes"/>
    <s v="No"/>
    <n v="0"/>
    <s v="No"/>
    <n v="10"/>
    <n v="3.5"/>
    <n v="25.2"/>
    <s v="Yes"/>
    <s v="Poor"/>
    <s v="Yes"/>
    <s v="Sales"/>
    <s v="Thursday"/>
    <s v="Afternoon"/>
  </r>
  <r>
    <x v="1539"/>
    <s v="2024-04-03 17:15:28"/>
    <x v="11"/>
    <s v="2024-04-21 05:39:28"/>
    <x v="1251"/>
    <n v="17.5"/>
    <x v="3"/>
    <s v="Application Password"/>
    <s v="Low"/>
    <n v="360"/>
    <x v="0"/>
    <s v="Phone"/>
    <s v="Tier 1"/>
    <x v="0"/>
    <x v="2"/>
    <s v="Yes"/>
    <s v="No"/>
    <n v="0"/>
    <s v="No"/>
    <n v="6"/>
    <n v="1.1000000000000001"/>
    <n v="23.4"/>
    <s v="No"/>
    <s v="Fair"/>
    <s v="Yes"/>
    <s v="IT"/>
    <s v="Thursday"/>
    <s v="Evening"/>
  </r>
  <r>
    <x v="1540"/>
    <s v="2024-02-01 20:17:48"/>
    <x v="6"/>
    <s v="2024-02-09 05:35:48"/>
    <x v="402"/>
    <n v="7.4"/>
    <x v="6"/>
    <s v="Cannot Send/Receive"/>
    <s v="Medium"/>
    <n v="240"/>
    <x v="1"/>
    <s v="Phone"/>
    <s v="Tier 2"/>
    <x v="7"/>
    <x v="2"/>
    <s v="No"/>
    <s v="Yes"/>
    <n v="3"/>
    <s v="Yes"/>
    <n v="8"/>
    <n v="2.2999999999999998"/>
    <n v="8.6999999999999993"/>
    <s v="Yes"/>
    <s v="Excellent"/>
    <s v="Yes"/>
    <s v="Legal"/>
    <s v="Friday"/>
    <s v="Evening"/>
  </r>
  <r>
    <x v="1541"/>
    <s v="2024-04-17 17:33:14"/>
    <x v="11"/>
    <s v="2024-04-25 07:03:14"/>
    <x v="187"/>
    <n v="7.6"/>
    <x v="4"/>
    <s v="Features Not Working"/>
    <s v="Medium"/>
    <n v="240"/>
    <x v="1"/>
    <s v="Portal"/>
    <s v="Tier 1"/>
    <x v="22"/>
    <x v="2"/>
    <s v="No"/>
    <s v="No"/>
    <n v="1"/>
    <s v="No"/>
    <n v="8"/>
    <n v="5"/>
    <n v="35.200000000000003"/>
    <s v="Yes"/>
    <s v="Poor"/>
    <s v="Yes"/>
    <s v="Finance"/>
    <s v="Friday"/>
    <s v="Afternoon"/>
  </r>
  <r>
    <x v="1542"/>
    <s v="2024-04-09 17:43:24"/>
    <x v="11"/>
    <s v="2024-04-12 21:43:24"/>
    <x v="1252"/>
    <n v="3.2"/>
    <x v="1"/>
    <s v="Monitor"/>
    <s v="High"/>
    <n v="120"/>
    <x v="1"/>
    <s v="Email"/>
    <s v="Tier 1"/>
    <x v="21"/>
    <x v="2"/>
    <s v="No"/>
    <s v="No"/>
    <n v="1"/>
    <s v="No"/>
    <n v="9"/>
    <n v="0.9"/>
    <n v="17.2"/>
    <s v="Yes"/>
    <s v="Poor"/>
    <s v="Yes"/>
    <s v="IT"/>
    <s v="Tuesday"/>
    <s v="Morning"/>
  </r>
  <r>
    <x v="1543"/>
    <s v="2024-06-06 12:51:37"/>
    <x v="10"/>
    <s v="2024-06-13 02:27:37"/>
    <x v="853"/>
    <n v="7.6"/>
    <x v="6"/>
    <s v="Mailbox Full"/>
    <s v="Medium"/>
    <n v="240"/>
    <x v="1"/>
    <s v="Phone"/>
    <s v="Tier 1"/>
    <x v="22"/>
    <x v="1"/>
    <s v="No"/>
    <s v="No"/>
    <n v="1"/>
    <s v="Yes"/>
    <n v="8"/>
    <n v="1.4"/>
    <n v="0"/>
    <s v="No"/>
    <s v="Excellent"/>
    <s v="Yes"/>
    <s v="Executive"/>
    <s v="Monday"/>
    <s v="Afternoon"/>
  </r>
  <r>
    <x v="1544"/>
    <s v="2024-09-04 15:21:31"/>
    <x v="9"/>
    <s v="2024-09-13 02:45:31"/>
    <x v="1253"/>
    <n v="9.5"/>
    <x v="0"/>
    <s v="Application Access"/>
    <s v="Medium"/>
    <n v="240"/>
    <x v="1"/>
    <s v="Phone"/>
    <s v="Tier 1"/>
    <x v="24"/>
    <x v="1"/>
    <s v="No"/>
    <s v="No"/>
    <n v="1"/>
    <s v="No"/>
    <n v="9"/>
    <n v="4.8"/>
    <n v="23.5"/>
    <s v="Yes"/>
    <s v="Poor"/>
    <s v="Yes"/>
    <s v="HR"/>
    <s v="Tuesday"/>
    <s v="Evening"/>
  </r>
  <r>
    <x v="1545"/>
    <s v="2024-09-06 20:03:04"/>
    <x v="9"/>
    <s v="2024-09-18 03:57:04"/>
    <x v="1254"/>
    <n v="11.3"/>
    <x v="3"/>
    <s v="Email Password"/>
    <s v="Low"/>
    <n v="360"/>
    <x v="1"/>
    <s v="Phone"/>
    <s v="Tier 1"/>
    <x v="15"/>
    <x v="0"/>
    <s v="Yes"/>
    <s v="No"/>
    <n v="0"/>
    <s v="No"/>
    <n v="10"/>
    <n v="0.1"/>
    <n v="24.7"/>
    <s v="Yes"/>
    <s v="Excellent"/>
    <s v="Yes"/>
    <s v="Finance"/>
    <s v="Tuesday"/>
    <s v="Morning"/>
  </r>
  <r>
    <x v="1546"/>
    <s v="2024-01-21 05:33:55"/>
    <x v="3"/>
    <s v="2024-01-22 23:51:55"/>
    <x v="1255"/>
    <n v="1.8"/>
    <x v="2"/>
    <s v="Ethernet"/>
    <s v="Critical"/>
    <n v="48"/>
    <x v="1"/>
    <s v="Phone"/>
    <s v="Tier 1"/>
    <x v="22"/>
    <x v="2"/>
    <s v="No"/>
    <s v="No"/>
    <n v="1"/>
    <s v="No"/>
    <n v="9"/>
    <n v="2.4"/>
    <n v="34.6"/>
    <s v="No"/>
    <s v="Fair"/>
    <s v="Yes"/>
    <s v="HR"/>
    <s v="Wednesday"/>
    <s v="Afternoon"/>
  </r>
  <r>
    <x v="1547"/>
    <s v="2024-06-01 20:42:27"/>
    <x v="10"/>
    <s v="2024-06-13 22:06:27"/>
    <x v="1256"/>
    <n v="12.1"/>
    <x v="5"/>
    <s v="Training Request"/>
    <s v="Low"/>
    <n v="360"/>
    <x v="1"/>
    <s v="Portal"/>
    <s v="Tier 1"/>
    <x v="18"/>
    <x v="2"/>
    <s v="No"/>
    <s v="No"/>
    <n v="1"/>
    <s v="No"/>
    <n v="8"/>
    <n v="1.3"/>
    <n v="3"/>
    <s v="No"/>
    <s v="Poor"/>
    <s v="Yes"/>
    <s v="Sales"/>
    <s v="Monday"/>
    <s v="Evening"/>
  </r>
  <r>
    <x v="1548"/>
    <s v="2024-01-09 15:51:00"/>
    <x v="3"/>
    <s v="2024-01-22 23:15:00"/>
    <x v="1257"/>
    <n v="13.3"/>
    <x v="3"/>
    <s v="Email Password"/>
    <s v="Low"/>
    <n v="360"/>
    <x v="1"/>
    <s v="Email"/>
    <s v="Tier 1"/>
    <x v="13"/>
    <x v="2"/>
    <s v="Yes"/>
    <s v="No"/>
    <n v="0"/>
    <s v="No"/>
    <n v="9"/>
    <n v="2.9"/>
    <n v="9.5"/>
    <s v="Yes"/>
    <s v="Fair"/>
    <s v="Yes"/>
    <s v="Sales"/>
    <s v="Tuesday"/>
    <s v="Afternoon"/>
  </r>
  <r>
    <x v="1549"/>
    <s v="2024-03-12 02:02:05"/>
    <x v="5"/>
    <s v="2024-04-03 13:08:05"/>
    <x v="1258"/>
    <n v="22.4"/>
    <x v="6"/>
    <s v="Cannot Send/Receive"/>
    <s v="Low"/>
    <n v="360"/>
    <x v="0"/>
    <s v="Walk-in"/>
    <s v="Tier 2"/>
    <x v="11"/>
    <x v="2"/>
    <s v="No"/>
    <s v="Yes"/>
    <n v="2"/>
    <s v="No"/>
    <n v="6"/>
    <n v="0.8"/>
    <n v="22"/>
    <s v="Yes"/>
    <s v="Poor"/>
    <s v="Yes"/>
    <s v="Finance"/>
    <s v="Wednesday"/>
    <s v="Afternoon"/>
  </r>
  <r>
    <x v="1550"/>
    <s v="2024-10-27 14:12:03"/>
    <x v="2"/>
    <s v="2024-11-08 13:42:03"/>
    <x v="1259"/>
    <n v="12"/>
    <x v="4"/>
    <s v="Crash"/>
    <s v="Medium"/>
    <n v="240"/>
    <x v="0"/>
    <s v="Phone"/>
    <s v="Tier 2"/>
    <x v="17"/>
    <x v="2"/>
    <s v="No"/>
    <s v="Yes"/>
    <n v="1"/>
    <s v="No"/>
    <n v="5"/>
    <n v="1.7"/>
    <n v="31.3"/>
    <s v="Yes"/>
    <s v="Good"/>
    <s v="No"/>
    <s v="Legal"/>
    <s v="Wednesday"/>
    <s v="Morning"/>
  </r>
  <r>
    <x v="1551"/>
    <s v="2024-06-16 08:30:19"/>
    <x v="10"/>
    <s v="2024-07-02 21:54:19"/>
    <x v="1260"/>
    <n v="16.600000000000001"/>
    <x v="3"/>
    <s v="Account Unlock"/>
    <s v="Low"/>
    <n v="360"/>
    <x v="0"/>
    <s v="Walk-in"/>
    <s v="Tier 1"/>
    <x v="11"/>
    <x v="2"/>
    <s v="Yes"/>
    <s v="No"/>
    <n v="0"/>
    <s v="No"/>
    <n v="5"/>
    <n v="6.3"/>
    <n v="10.4"/>
    <s v="Yes"/>
    <s v="Poor"/>
    <s v="Yes"/>
    <s v="Legal"/>
    <s v="Thursday"/>
    <s v="Morning"/>
  </r>
  <r>
    <x v="1552"/>
    <s v="2024-06-05 04:21:01"/>
    <x v="10"/>
    <s v="2024-06-08 13:39:01"/>
    <x v="546"/>
    <n v="3.4"/>
    <x v="1"/>
    <s v="Docking Station"/>
    <s v="High"/>
    <n v="120"/>
    <x v="1"/>
    <s v="Phone"/>
    <s v="Tier 1"/>
    <x v="22"/>
    <x v="2"/>
    <s v="No"/>
    <s v="No"/>
    <n v="1"/>
    <s v="No"/>
    <n v="10"/>
    <n v="0.1"/>
    <n v="5.6"/>
    <s v="Yes"/>
    <s v="Fair"/>
    <s v="Yes"/>
    <s v="IT"/>
    <s v="Thursday"/>
    <s v="Morning"/>
  </r>
  <r>
    <x v="1553"/>
    <s v="2024-01-31 13:09:23"/>
    <x v="3"/>
    <s v="2024-02-07 07:51:23"/>
    <x v="1098"/>
    <n v="6.8"/>
    <x v="4"/>
    <s v="Login Issues"/>
    <s v="High"/>
    <n v="120"/>
    <x v="0"/>
    <s v="Phone"/>
    <s v="Tier 2"/>
    <x v="6"/>
    <x v="2"/>
    <s v="No"/>
    <s v="Yes"/>
    <n v="1"/>
    <s v="No"/>
    <n v="6"/>
    <n v="1.7"/>
    <n v="10.199999999999999"/>
    <s v="No"/>
    <s v="Fair"/>
    <s v="Yes"/>
    <s v="Operations"/>
    <s v="Wednesday"/>
    <s v="Afternoon"/>
  </r>
  <r>
    <x v="1554"/>
    <s v="2024-01-18 09:23:30"/>
    <x v="3"/>
    <s v="2024-01-26 18:11:30"/>
    <x v="1261"/>
    <n v="8.4"/>
    <x v="0"/>
    <s v="Application Access"/>
    <s v="Medium"/>
    <n v="240"/>
    <x v="1"/>
    <s v="Email"/>
    <s v="Tier 1"/>
    <x v="6"/>
    <x v="2"/>
    <s v="No"/>
    <s v="No"/>
    <n v="1"/>
    <s v="No"/>
    <n v="8"/>
    <n v="3"/>
    <n v="9"/>
    <s v="Yes"/>
    <s v="Good"/>
    <s v="Yes"/>
    <s v="Legal"/>
    <s v="Wednesday"/>
    <s v="Morning"/>
  </r>
  <r>
    <x v="1555"/>
    <s v="2024-12-18 18:10:15"/>
    <x v="0"/>
    <s v="2024-12-25 19:28:15"/>
    <x v="47"/>
    <n v="7.1"/>
    <x v="2"/>
    <s v="Slow Network"/>
    <s v="High"/>
    <n v="120"/>
    <x v="0"/>
    <s v="Chat"/>
    <s v="Tier 2"/>
    <x v="9"/>
    <x v="0"/>
    <s v="No"/>
    <s v="Yes"/>
    <n v="3"/>
    <s v="No"/>
    <n v="8"/>
    <n v="1.5"/>
    <n v="17"/>
    <s v="No"/>
    <s v="Poor"/>
    <s v="No"/>
    <s v="Sales"/>
    <s v="Wednesday"/>
    <s v="Morning"/>
  </r>
  <r>
    <x v="1556"/>
    <s v="2024-09-08 20:27:31"/>
    <x v="9"/>
    <s v="2024-10-15 18:03:31"/>
    <x v="1262"/>
    <n v="36.9"/>
    <x v="4"/>
    <s v="Login Issues"/>
    <s v="Low"/>
    <n v="360"/>
    <x v="0"/>
    <s v="Phone"/>
    <s v="Tier 1"/>
    <x v="10"/>
    <x v="1"/>
    <s v="Yes"/>
    <s v="No"/>
    <n v="0"/>
    <s v="Yes"/>
    <n v="6"/>
    <n v="2.9"/>
    <n v="30.2"/>
    <s v="Yes"/>
    <s v="Good"/>
    <s v="Yes"/>
    <s v="IT"/>
    <s v="Monday"/>
    <s v="Morning"/>
  </r>
  <r>
    <x v="1557"/>
    <s v="2024-05-26 17:29:09"/>
    <x v="8"/>
    <s v="2024-05-29 02:23:09"/>
    <x v="696"/>
    <n v="3.4"/>
    <x v="4"/>
    <s v="Features Not Working"/>
    <s v="High"/>
    <n v="120"/>
    <x v="1"/>
    <s v="Chat"/>
    <s v="Tier 1"/>
    <x v="18"/>
    <x v="1"/>
    <s v="No"/>
    <s v="No"/>
    <n v="1"/>
    <s v="No"/>
    <n v="8"/>
    <n v="4"/>
    <n v="17"/>
    <s v="No"/>
    <s v="Good"/>
    <s v="Yes"/>
    <s v="Operations"/>
    <s v="Friday"/>
    <s v="Morning"/>
  </r>
  <r>
    <x v="1558"/>
    <s v="2024-11-22 10:23:27"/>
    <x v="7"/>
    <s v="2024-11-28 11:29:27"/>
    <x v="1263"/>
    <n v="6"/>
    <x v="2"/>
    <s v="Slow Network"/>
    <s v="High"/>
    <n v="120"/>
    <x v="0"/>
    <s v="Walk-in"/>
    <s v="Tier 1"/>
    <x v="23"/>
    <x v="2"/>
    <s v="No"/>
    <s v="No"/>
    <n v="1"/>
    <s v="No"/>
    <n v="4"/>
    <n v="7.9"/>
    <n v="10.3"/>
    <s v="Yes"/>
    <s v="Poor"/>
    <s v="Yes"/>
    <s v="IT"/>
    <s v="Thursday"/>
    <s v="Afternoon"/>
  </r>
  <r>
    <x v="1559"/>
    <s v="2024-11-12 21:00:57"/>
    <x v="7"/>
    <s v="2024-11-19 04:06:57"/>
    <x v="1264"/>
    <n v="6.3"/>
    <x v="0"/>
    <s v="File Share"/>
    <s v="Medium"/>
    <n v="240"/>
    <x v="1"/>
    <s v="Phone"/>
    <s v="Tier 1"/>
    <x v="7"/>
    <x v="0"/>
    <s v="No"/>
    <s v="No"/>
    <n v="1"/>
    <s v="No"/>
    <n v="10"/>
    <n v="1.8"/>
    <n v="8.5"/>
    <s v="Yes"/>
    <s v="Fair"/>
    <s v="Yes"/>
    <s v="Executive"/>
    <s v="Wednesday"/>
    <s v="Afternoon"/>
  </r>
  <r>
    <x v="1560"/>
    <s v="2024-09-23 13:39:36"/>
    <x v="9"/>
    <s v="2024-09-26 21:21:36"/>
    <x v="789"/>
    <n v="3.3"/>
    <x v="0"/>
    <s v="VPN Access"/>
    <s v="High"/>
    <n v="120"/>
    <x v="1"/>
    <s v="Portal"/>
    <s v="Tier 1"/>
    <x v="14"/>
    <x v="0"/>
    <s v="No"/>
    <s v="No"/>
    <n v="1"/>
    <s v="Yes"/>
    <n v="9"/>
    <n v="3"/>
    <n v="0"/>
    <s v="Yes"/>
    <s v="Excellent"/>
    <s v="No"/>
    <s v="Sales"/>
    <s v="Tuesday"/>
    <s v="Afternoon"/>
  </r>
  <r>
    <x v="1561"/>
    <s v="2024-07-09 18:12:44"/>
    <x v="4"/>
    <s v="2024-07-21 07:24:44"/>
    <x v="1265"/>
    <n v="11.5"/>
    <x v="0"/>
    <s v="File Share"/>
    <s v="Medium"/>
    <n v="240"/>
    <x v="0"/>
    <s v="Phone"/>
    <s v="Tier 1"/>
    <x v="19"/>
    <x v="2"/>
    <s v="Yes"/>
    <s v="No"/>
    <n v="0"/>
    <s v="No"/>
    <n v="3"/>
    <n v="0.8"/>
    <n v="16.600000000000001"/>
    <s v="No"/>
    <s v="Poor"/>
    <s v="Yes"/>
    <s v="HR"/>
    <s v="Wednesday"/>
    <s v="Morning"/>
  </r>
  <r>
    <x v="1562"/>
    <s v="2024-03-18 21:03:23"/>
    <x v="5"/>
    <s v="2024-04-02 08:03:23"/>
    <x v="1266"/>
    <n v="14.4"/>
    <x v="0"/>
    <s v="Admin Rights"/>
    <s v="Medium"/>
    <n v="240"/>
    <x v="0"/>
    <s v="Phone"/>
    <s v="Tier 1"/>
    <x v="15"/>
    <x v="0"/>
    <s v="No"/>
    <s v="No"/>
    <n v="1"/>
    <s v="Yes"/>
    <n v="7"/>
    <n v="6.8"/>
    <n v="11.6"/>
    <s v="Yes"/>
    <s v="Poor"/>
    <s v="Yes"/>
    <s v="Operations"/>
    <s v="Thursday"/>
    <s v="Afternoon"/>
  </r>
  <r>
    <x v="1563"/>
    <s v="2024-07-23 12:44:39"/>
    <x v="4"/>
    <s v="2024-08-01 23:08:39"/>
    <x v="1267"/>
    <n v="9.4"/>
    <x v="5"/>
    <s v="Miscellaneous"/>
    <s v="Low"/>
    <n v="360"/>
    <x v="1"/>
    <s v="Walk-in"/>
    <s v="Tier 1"/>
    <x v="5"/>
    <x v="2"/>
    <s v="Yes"/>
    <s v="No"/>
    <n v="0"/>
    <s v="No"/>
    <n v="10"/>
    <n v="0.9"/>
    <n v="24.5"/>
    <s v="No"/>
    <s v="Good"/>
    <s v="No"/>
    <s v="Marketing"/>
    <s v="Tuesday"/>
    <s v="Morning"/>
  </r>
  <r>
    <x v="1564"/>
    <s v="2024-03-20 17:53:13"/>
    <x v="5"/>
    <s v="2024-03-29 00:35:13"/>
    <x v="1268"/>
    <n v="9.3000000000000007"/>
    <x v="6"/>
    <s v="Distribution List"/>
    <s v="Medium"/>
    <n v="240"/>
    <x v="1"/>
    <s v="Email"/>
    <s v="Tier 1"/>
    <x v="23"/>
    <x v="2"/>
    <s v="No"/>
    <s v="No"/>
    <n v="1"/>
    <s v="No"/>
    <n v="6"/>
    <n v="4.4000000000000004"/>
    <n v="3.4"/>
    <s v="No"/>
    <s v="Fair"/>
    <s v="Yes"/>
    <s v="Marketing"/>
    <s v="Friday"/>
    <s v="Morning"/>
  </r>
  <r>
    <x v="1565"/>
    <s v="2024-12-22 04:24:03"/>
    <x v="0"/>
    <s v="2024-12-23 14:48:03"/>
    <x v="1269"/>
    <n v="1.4"/>
    <x v="6"/>
    <s v="Mailbox Full"/>
    <s v="Critical"/>
    <n v="48"/>
    <x v="1"/>
    <s v="Chat"/>
    <s v="Tier 1"/>
    <x v="21"/>
    <x v="0"/>
    <s v="No"/>
    <s v="No"/>
    <n v="1"/>
    <s v="No"/>
    <n v="8"/>
    <n v="1.4"/>
    <n v="36.4"/>
    <s v="No"/>
    <s v="Fair"/>
    <s v="No"/>
    <s v="Executive"/>
    <s v="Monday"/>
    <s v="Morning"/>
  </r>
  <r>
    <x v="1566"/>
    <s v="2024-10-20 10:45:21"/>
    <x v="2"/>
    <s v="2024-10-29 03:51:21"/>
    <x v="1270"/>
    <n v="8.8000000000000007"/>
    <x v="7"/>
    <s v="Adobe Suite"/>
    <s v="Medium"/>
    <n v="240"/>
    <x v="1"/>
    <s v="Email"/>
    <s v="Tier 1"/>
    <x v="15"/>
    <x v="1"/>
    <s v="No"/>
    <s v="No"/>
    <n v="1"/>
    <s v="No"/>
    <n v="8"/>
    <n v="1"/>
    <n v="12.6"/>
    <s v="No"/>
    <s v="Excellent"/>
    <s v="No"/>
    <s v="Sales"/>
    <s v="Monday"/>
    <s v="Morning"/>
  </r>
  <r>
    <x v="1567"/>
    <s v="2024-09-09 03:54:50"/>
    <x v="9"/>
    <s v="2024-09-17 03:12:50"/>
    <x v="1271"/>
    <n v="8"/>
    <x v="7"/>
    <s v="Adobe Suite"/>
    <s v="Medium"/>
    <n v="240"/>
    <x v="1"/>
    <s v="Portal"/>
    <s v="Tier 1"/>
    <x v="6"/>
    <x v="0"/>
    <s v="No"/>
    <s v="No"/>
    <n v="1"/>
    <s v="Yes"/>
    <n v="8"/>
    <n v="1.1000000000000001"/>
    <n v="8.6999999999999993"/>
    <s v="Yes"/>
    <s v="Fair"/>
    <s v="No"/>
    <s v="Marketing"/>
    <s v="Thursday"/>
    <s v="Afternoon"/>
  </r>
  <r>
    <x v="1568"/>
    <s v="2024-04-27 15:18:47"/>
    <x v="11"/>
    <s v="2024-05-23 15:12:47"/>
    <x v="1272"/>
    <n v="26"/>
    <x v="1"/>
    <s v="Keyboard/Mouse"/>
    <s v="Medium"/>
    <n v="240"/>
    <x v="0"/>
    <s v="Phone"/>
    <s v="Tier 2"/>
    <x v="18"/>
    <x v="2"/>
    <s v="No"/>
    <s v="Yes"/>
    <n v="2"/>
    <s v="No"/>
    <n v="6"/>
    <n v="0.1"/>
    <n v="23.7"/>
    <s v="Yes"/>
    <s v="Fair"/>
    <s v="Yes"/>
    <s v="Finance"/>
    <s v="Wednesday"/>
    <s v="Afternoon"/>
  </r>
  <r>
    <x v="1569"/>
    <s v="2024-02-16 04:41:19"/>
    <x v="6"/>
    <s v="2024-02-25 00:11:19"/>
    <x v="1273"/>
    <n v="9.8000000000000007"/>
    <x v="5"/>
    <s v="Miscellaneous"/>
    <s v="Low"/>
    <n v="360"/>
    <x v="1"/>
    <s v="Phone"/>
    <s v="Tier 1"/>
    <x v="2"/>
    <x v="2"/>
    <s v="No"/>
    <s v="No"/>
    <n v="1"/>
    <s v="No"/>
    <n v="8"/>
    <n v="2.6"/>
    <n v="5.9"/>
    <s v="Yes"/>
    <s v="Fair"/>
    <s v="Yes"/>
    <s v="IT"/>
    <s v="Monday"/>
    <s v="Morning"/>
  </r>
  <r>
    <x v="1570"/>
    <s v="2024-12-05 08:58:41"/>
    <x v="0"/>
    <s v="2024-12-17 21:28:41"/>
    <x v="1274"/>
    <n v="12.5"/>
    <x v="2"/>
    <s v="WiFi Issues"/>
    <s v="Medium"/>
    <n v="240"/>
    <x v="0"/>
    <s v="Phone"/>
    <s v="Tier 2"/>
    <x v="21"/>
    <x v="2"/>
    <s v="No"/>
    <s v="Yes"/>
    <n v="3"/>
    <s v="No"/>
    <n v="7"/>
    <n v="1.4"/>
    <n v="10.3"/>
    <s v="Yes"/>
    <s v="Good"/>
    <s v="No"/>
    <s v="HR"/>
    <s v="Wednesday"/>
    <s v="Morning"/>
  </r>
  <r>
    <x v="1571"/>
    <s v="2024-09-17 05:34:35"/>
    <x v="9"/>
    <s v="2024-10-01 03:16:35"/>
    <x v="1275"/>
    <n v="13.9"/>
    <x v="5"/>
    <s v="Documentation"/>
    <s v="Low"/>
    <n v="360"/>
    <x v="1"/>
    <s v="Phone"/>
    <s v="Tier 1"/>
    <x v="10"/>
    <x v="1"/>
    <s v="Yes"/>
    <s v="No"/>
    <n v="0"/>
    <s v="No"/>
    <n v="10"/>
    <n v="2.9"/>
    <n v="14.9"/>
    <s v="Yes"/>
    <s v="Poor"/>
    <s v="No"/>
    <s v="Operations"/>
    <s v="Wednesday"/>
    <s v="Evening"/>
  </r>
  <r>
    <x v="1572"/>
    <s v="2024-10-01 01:00:35"/>
    <x v="2"/>
    <s v="2024-10-10 12:36:35"/>
    <x v="939"/>
    <n v="8.5"/>
    <x v="7"/>
    <s v="Business Apps"/>
    <s v="Medium"/>
    <n v="240"/>
    <x v="1"/>
    <s v="Portal"/>
    <s v="Tier 2"/>
    <x v="23"/>
    <x v="2"/>
    <s v="No"/>
    <s v="Yes"/>
    <n v="1"/>
    <s v="No"/>
    <n v="7"/>
    <n v="3.6"/>
    <n v="0"/>
    <s v="Yes"/>
    <s v="Fair"/>
    <s v="Yes"/>
    <s v="Executive"/>
    <s v="Tuesday"/>
    <s v="Morning"/>
  </r>
  <r>
    <x v="1573"/>
    <s v="2024-05-20 12:46:37"/>
    <x v="8"/>
    <s v="2024-05-24 13:16:37"/>
    <x v="1152"/>
    <n v="4"/>
    <x v="1"/>
    <s v="Keyboard/Mouse"/>
    <s v="High"/>
    <n v="120"/>
    <x v="1"/>
    <s v="Email"/>
    <s v="Tier 2"/>
    <x v="5"/>
    <x v="2"/>
    <s v="No"/>
    <s v="Yes"/>
    <n v="4"/>
    <s v="No"/>
    <n v="8"/>
    <n v="3.4"/>
    <n v="13.5"/>
    <s v="Yes"/>
    <s v="Poor"/>
    <s v="No"/>
    <s v="Legal"/>
    <s v="Thursday"/>
    <s v="Morning"/>
  </r>
  <r>
    <x v="1574"/>
    <s v="2024-04-13 01:16:54"/>
    <x v="11"/>
    <s v="2024-05-24 20:10:54"/>
    <x v="1276"/>
    <n v="40.799999999999997"/>
    <x v="3"/>
    <s v="Application Password"/>
    <s v="Low"/>
    <n v="360"/>
    <x v="0"/>
    <s v="Phone"/>
    <s v="Tier 1"/>
    <x v="11"/>
    <x v="2"/>
    <s v="No"/>
    <s v="No"/>
    <n v="1"/>
    <s v="No"/>
    <n v="8"/>
    <n v="0.1"/>
    <n v="15.1"/>
    <s v="Yes"/>
    <s v="Good"/>
    <s v="No"/>
    <s v="Sales"/>
    <s v="Tuesday"/>
    <s v="Morning"/>
  </r>
  <r>
    <x v="1575"/>
    <s v="2024-03-18 01:56:50"/>
    <x v="5"/>
    <s v="2024-03-27 16:26:50"/>
    <x v="1277"/>
    <n v="8.6"/>
    <x v="4"/>
    <s v="Crash"/>
    <s v="Medium"/>
    <n v="240"/>
    <x v="1"/>
    <s v="Portal"/>
    <s v="Tier 1"/>
    <x v="20"/>
    <x v="2"/>
    <s v="No"/>
    <s v="No"/>
    <n v="1"/>
    <s v="No"/>
    <n v="9"/>
    <n v="2.8"/>
    <n v="25.5"/>
    <s v="Yes"/>
    <s v="Good"/>
    <s v="No"/>
    <s v="Finance"/>
    <s v="Wednesday"/>
    <s v="Evening"/>
  </r>
  <r>
    <x v="1576"/>
    <s v="2024-12-13 07:57:49"/>
    <x v="0"/>
    <s v="2024-12-21 16:51:49"/>
    <x v="1278"/>
    <n v="8.4"/>
    <x v="6"/>
    <s v="Cannot Send/Receive"/>
    <s v="Medium"/>
    <n v="240"/>
    <x v="1"/>
    <s v="Chat"/>
    <s v="Tier 1"/>
    <x v="18"/>
    <x v="2"/>
    <s v="Yes"/>
    <s v="No"/>
    <n v="0"/>
    <s v="No"/>
    <n v="10"/>
    <n v="3.4"/>
    <n v="1.2"/>
    <s v="No"/>
    <s v="Excellent"/>
    <s v="No"/>
    <s v="HR"/>
    <s v="Friday"/>
    <s v="Morning"/>
  </r>
  <r>
    <x v="1577"/>
    <s v="2024-11-21 16:42:37"/>
    <x v="7"/>
    <s v="2024-11-29 23:06:37"/>
    <x v="998"/>
    <n v="8.3000000000000007"/>
    <x v="0"/>
    <s v="File Share"/>
    <s v="Medium"/>
    <n v="240"/>
    <x v="1"/>
    <s v="Email"/>
    <s v="Tier 2"/>
    <x v="2"/>
    <x v="2"/>
    <s v="No"/>
    <s v="Yes"/>
    <n v="4"/>
    <s v="Yes"/>
    <n v="8"/>
    <n v="2.9"/>
    <n v="17.100000000000001"/>
    <s v="No"/>
    <s v="Good"/>
    <s v="Yes"/>
    <s v="HR"/>
    <s v="Monday"/>
    <s v="Morning"/>
  </r>
  <r>
    <x v="1578"/>
    <s v="2024-10-05 07:45:34"/>
    <x v="2"/>
    <s v="2024-10-12 03:45:34"/>
    <x v="38"/>
    <n v="6.8"/>
    <x v="1"/>
    <s v="Monitor"/>
    <s v="Medium"/>
    <n v="240"/>
    <x v="1"/>
    <s v="Email"/>
    <s v="Tier 1"/>
    <x v="24"/>
    <x v="0"/>
    <s v="No"/>
    <s v="No"/>
    <n v="1"/>
    <s v="Yes"/>
    <n v="10"/>
    <n v="0.1"/>
    <n v="21.3"/>
    <s v="Yes"/>
    <s v="Fair"/>
    <s v="Yes"/>
    <s v="Sales"/>
    <s v="Friday"/>
    <s v="Afternoon"/>
  </r>
  <r>
    <x v="1579"/>
    <s v="2024-04-27 14:56:18"/>
    <x v="11"/>
    <s v="2024-05-10 05:02:18"/>
    <x v="1279"/>
    <n v="12.6"/>
    <x v="4"/>
    <s v="Performance"/>
    <s v="Low"/>
    <n v="360"/>
    <x v="1"/>
    <s v="Phone"/>
    <s v="Tier 2"/>
    <x v="22"/>
    <x v="2"/>
    <s v="No"/>
    <s v="Yes"/>
    <n v="1"/>
    <s v="No"/>
    <n v="6"/>
    <n v="2.7"/>
    <n v="1"/>
    <s v="Yes"/>
    <s v="Fair"/>
    <s v="No"/>
    <s v="IT"/>
    <s v="Wednesday"/>
    <s v="Morning"/>
  </r>
  <r>
    <x v="1580"/>
    <s v="2024-04-26 08:44:00"/>
    <x v="11"/>
    <s v="2024-04-30 01:14:00"/>
    <x v="1091"/>
    <n v="4.7"/>
    <x v="4"/>
    <s v="Performance"/>
    <s v="High"/>
    <n v="120"/>
    <x v="1"/>
    <s v="Email"/>
    <s v="Tier 2"/>
    <x v="7"/>
    <x v="1"/>
    <s v="No"/>
    <s v="Yes"/>
    <n v="4"/>
    <s v="Yes"/>
    <n v="9"/>
    <n v="3.5"/>
    <n v="18.2"/>
    <s v="No"/>
    <s v="Good"/>
    <s v="No"/>
    <s v="HR"/>
    <s v="Wednesday"/>
    <s v="Afternoon"/>
  </r>
  <r>
    <x v="1581"/>
    <s v="2024-12-13 03:15:37"/>
    <x v="0"/>
    <s v="2024-12-26 05:45:37"/>
    <x v="462"/>
    <n v="13.1"/>
    <x v="3"/>
    <s v="Application Password"/>
    <s v="Low"/>
    <n v="360"/>
    <x v="1"/>
    <s v="Email"/>
    <s v="Tier 1"/>
    <x v="20"/>
    <x v="1"/>
    <s v="No"/>
    <s v="No"/>
    <n v="1"/>
    <s v="No"/>
    <n v="7"/>
    <n v="4.7"/>
    <n v="27.4"/>
    <s v="Yes"/>
    <s v="Excellent"/>
    <s v="No"/>
    <s v="Executive"/>
    <s v="Tuesday"/>
    <s v="Morning"/>
  </r>
  <r>
    <x v="1582"/>
    <s v="2024-09-17 00:19:35"/>
    <x v="9"/>
    <s v="2024-09-27 02:37:35"/>
    <x v="1280"/>
    <n v="10.1"/>
    <x v="3"/>
    <s v="Account Unlock"/>
    <s v="Low"/>
    <n v="360"/>
    <x v="1"/>
    <s v="Email"/>
    <s v="Tier 1"/>
    <x v="19"/>
    <x v="1"/>
    <s v="Yes"/>
    <s v="No"/>
    <n v="0"/>
    <s v="No"/>
    <n v="9"/>
    <n v="2.7"/>
    <n v="32.299999999999997"/>
    <s v="Yes"/>
    <s v="Good"/>
    <s v="No"/>
    <s v="IT"/>
    <s v="Thursday"/>
    <s v="Evening"/>
  </r>
  <r>
    <x v="1583"/>
    <s v="2024-04-03 17:13:43"/>
    <x v="11"/>
    <s v="2024-04-11 12:07:43"/>
    <x v="1043"/>
    <n v="7.8"/>
    <x v="0"/>
    <s v="VPN Access"/>
    <s v="Medium"/>
    <n v="240"/>
    <x v="1"/>
    <s v="Portal"/>
    <s v="Tier 1"/>
    <x v="17"/>
    <x v="1"/>
    <s v="Yes"/>
    <s v="No"/>
    <n v="0"/>
    <s v="No"/>
    <n v="9"/>
    <n v="2.4"/>
    <n v="5.3"/>
    <s v="Yes"/>
    <s v="Fair"/>
    <s v="No"/>
    <s v="Legal"/>
    <s v="Monday"/>
    <s v="Morning"/>
  </r>
  <r>
    <x v="1584"/>
    <s v="2024-06-06 15:05:02"/>
    <x v="10"/>
    <s v="2024-06-14 03:53:02"/>
    <x v="1281"/>
    <n v="7.5"/>
    <x v="7"/>
    <s v="Adobe Suite"/>
    <s v="Medium"/>
    <n v="240"/>
    <x v="1"/>
    <s v="Phone"/>
    <s v="Tier 2"/>
    <x v="16"/>
    <x v="0"/>
    <s v="No"/>
    <s v="Yes"/>
    <n v="1"/>
    <s v="No"/>
    <n v="9"/>
    <n v="4.5"/>
    <n v="1.4"/>
    <s v="Yes"/>
    <s v="Poor"/>
    <s v="Yes"/>
    <s v="Marketing"/>
    <s v="Tuesday"/>
    <s v="Morning"/>
  </r>
  <r>
    <x v="1585"/>
    <s v="2024-09-25 19:49:42"/>
    <x v="9"/>
    <s v="2024-09-29 07:19:42"/>
    <x v="1282"/>
    <n v="3.5"/>
    <x v="1"/>
    <s v="Keyboard/Mouse"/>
    <s v="High"/>
    <n v="120"/>
    <x v="1"/>
    <s v="Phone"/>
    <s v="Tier 1"/>
    <x v="19"/>
    <x v="0"/>
    <s v="No"/>
    <s v="No"/>
    <n v="1"/>
    <s v="No"/>
    <n v="6"/>
    <n v="4"/>
    <n v="14.1"/>
    <s v="Yes"/>
    <s v="Fair"/>
    <s v="Yes"/>
    <s v="Legal"/>
    <s v="Friday"/>
    <s v="Afternoon"/>
  </r>
  <r>
    <x v="1586"/>
    <s v="2024-03-19 11:23:01"/>
    <x v="5"/>
    <s v="2024-03-21 13:35:01"/>
    <x v="659"/>
    <n v="2.1"/>
    <x v="4"/>
    <s v="Features Not Working"/>
    <s v="Critical"/>
    <n v="48"/>
    <x v="0"/>
    <s v="Portal"/>
    <s v="Tier 2"/>
    <x v="19"/>
    <x v="2"/>
    <s v="No"/>
    <s v="Yes"/>
    <n v="4"/>
    <s v="No"/>
    <n v="1"/>
    <n v="1.8"/>
    <n v="10.6"/>
    <s v="Yes"/>
    <s v="Good"/>
    <s v="Yes"/>
    <s v="Executive"/>
    <s v="Monday"/>
    <s v="Morning"/>
  </r>
  <r>
    <x v="1587"/>
    <s v="2024-01-06 14:32:59"/>
    <x v="3"/>
    <s v="2024-01-10 09:38:59"/>
    <x v="1283"/>
    <n v="3.8"/>
    <x v="2"/>
    <s v="Slow Network"/>
    <s v="High"/>
    <n v="120"/>
    <x v="1"/>
    <s v="Phone"/>
    <s v="Tier 1"/>
    <x v="24"/>
    <x v="2"/>
    <s v="No"/>
    <s v="No"/>
    <n v="1"/>
    <s v="No"/>
    <n v="8"/>
    <n v="1.7"/>
    <n v="22.9"/>
    <s v="No"/>
    <s v="Good"/>
    <s v="No"/>
    <s v="HR"/>
    <s v="Tuesday"/>
    <s v="Morning"/>
  </r>
  <r>
    <x v="1588"/>
    <s v="2024-08-20 13:26:11"/>
    <x v="1"/>
    <s v="2024-08-29 16:08:11"/>
    <x v="1284"/>
    <n v="9.1"/>
    <x v="0"/>
    <s v="File Share"/>
    <s v="Medium"/>
    <n v="240"/>
    <x v="1"/>
    <s v="Portal"/>
    <s v="Tier 1"/>
    <x v="15"/>
    <x v="2"/>
    <s v="No"/>
    <s v="No"/>
    <n v="1"/>
    <s v="No"/>
    <n v="9"/>
    <n v="4.8"/>
    <n v="2.2999999999999998"/>
    <s v="No"/>
    <s v="Good"/>
    <s v="Yes"/>
    <s v="Sales"/>
    <s v="Thursday"/>
    <s v="Evening"/>
  </r>
  <r>
    <x v="1589"/>
    <s v="2024-08-03 01:55:26"/>
    <x v="1"/>
    <s v="2024-08-10 13:49:26"/>
    <x v="1285"/>
    <n v="6.5"/>
    <x v="4"/>
    <s v="Login Issues"/>
    <s v="Medium"/>
    <n v="240"/>
    <x v="1"/>
    <s v="Portal"/>
    <s v="Tier 1"/>
    <x v="5"/>
    <x v="0"/>
    <s v="No"/>
    <s v="No"/>
    <n v="1"/>
    <s v="Yes"/>
    <n v="9"/>
    <n v="1.3"/>
    <n v="31.5"/>
    <s v="No"/>
    <s v="Fair"/>
    <s v="No"/>
    <s v="Sales"/>
    <s v="Thursday"/>
    <s v="Morning"/>
  </r>
  <r>
    <x v="1590"/>
    <s v="2024-06-09 09:08:08"/>
    <x v="10"/>
    <s v="2024-06-22 07:20:08"/>
    <x v="1286"/>
    <n v="12.9"/>
    <x v="4"/>
    <s v="Performance"/>
    <s v="Low"/>
    <n v="360"/>
    <x v="1"/>
    <s v="Portal"/>
    <s v="Tier 2"/>
    <x v="22"/>
    <x v="0"/>
    <s v="No"/>
    <s v="Yes"/>
    <n v="2"/>
    <s v="No"/>
    <n v="7"/>
    <n v="3.5"/>
    <n v="9.5"/>
    <s v="No"/>
    <s v="Excellent"/>
    <s v="Yes"/>
    <s v="Finance"/>
    <s v="Thursday"/>
    <s v="Afternoon"/>
  </r>
  <r>
    <x v="1591"/>
    <s v="2024-01-06 04:27:46"/>
    <x v="3"/>
    <s v="2024-01-09 12:03:46"/>
    <x v="1287"/>
    <n v="3.3"/>
    <x v="2"/>
    <s v="Ethernet"/>
    <s v="High"/>
    <n v="120"/>
    <x v="1"/>
    <s v="Portal"/>
    <s v="Tier 2"/>
    <x v="4"/>
    <x v="2"/>
    <s v="No"/>
    <s v="Yes"/>
    <n v="2"/>
    <s v="No"/>
    <n v="7"/>
    <n v="2.2000000000000002"/>
    <n v="0.2"/>
    <s v="Yes"/>
    <s v="Excellent"/>
    <s v="Yes"/>
    <s v="Finance"/>
    <s v="Thursday"/>
    <s v="Afternoon"/>
  </r>
  <r>
    <x v="1592"/>
    <s v="2024-04-21 12:35:15"/>
    <x v="11"/>
    <s v="2024-05-02 15:35:15"/>
    <x v="1288"/>
    <n v="11.1"/>
    <x v="5"/>
    <s v="Training Request"/>
    <s v="Low"/>
    <n v="360"/>
    <x v="1"/>
    <s v="Phone"/>
    <s v="Tier 1"/>
    <x v="20"/>
    <x v="0"/>
    <s v="Yes"/>
    <s v="No"/>
    <n v="0"/>
    <s v="No"/>
    <n v="10"/>
    <n v="1.1000000000000001"/>
    <n v="35.799999999999997"/>
    <s v="No"/>
    <s v="Good"/>
    <s v="Yes"/>
    <s v="Executive"/>
    <s v="Wednesday"/>
    <s v="Afternoon"/>
  </r>
  <r>
    <x v="1593"/>
    <s v="2024-10-22 02:25:26"/>
    <x v="2"/>
    <s v="2024-11-02 22:07:26"/>
    <x v="605"/>
    <n v="10.9"/>
    <x v="3"/>
    <s v="Account Unlock"/>
    <s v="Low"/>
    <n v="360"/>
    <x v="1"/>
    <s v="Walk-in"/>
    <s v="Tier 1"/>
    <x v="2"/>
    <x v="0"/>
    <s v="Yes"/>
    <s v="No"/>
    <n v="0"/>
    <s v="No"/>
    <n v="9"/>
    <n v="2.6"/>
    <n v="46.6"/>
    <s v="Yes"/>
    <s v="Poor"/>
    <s v="Yes"/>
    <s v="HR"/>
    <s v="Wednesday"/>
    <s v="Afternoon"/>
  </r>
  <r>
    <x v="1594"/>
    <s v="2024-01-27 20:22:36"/>
    <x v="3"/>
    <s v="2024-02-03 21:10:36"/>
    <x v="212"/>
    <n v="7"/>
    <x v="1"/>
    <s v="Docking Station"/>
    <s v="Medium"/>
    <n v="240"/>
    <x v="1"/>
    <s v="Portal"/>
    <s v="Tier 1"/>
    <x v="1"/>
    <x v="1"/>
    <s v="No"/>
    <s v="No"/>
    <n v="1"/>
    <s v="No"/>
    <n v="8"/>
    <n v="4.0999999999999996"/>
    <n v="0"/>
    <s v="No"/>
    <s v="Poor"/>
    <s v="No"/>
    <s v="HR"/>
    <s v="Tuesday"/>
    <s v="Evening"/>
  </r>
  <r>
    <x v="1595"/>
    <s v="2024-08-01 02:35:43"/>
    <x v="1"/>
    <s v="2024-08-05 18:59:43"/>
    <x v="1289"/>
    <n v="3.7"/>
    <x v="4"/>
    <s v="Features Not Working"/>
    <s v="High"/>
    <n v="120"/>
    <x v="1"/>
    <s v="Email"/>
    <s v="Tier 1"/>
    <x v="13"/>
    <x v="1"/>
    <s v="Yes"/>
    <s v="No"/>
    <n v="0"/>
    <s v="No"/>
    <n v="10"/>
    <n v="3.3"/>
    <n v="12.2"/>
    <s v="Yes"/>
    <s v="Fair"/>
    <s v="Yes"/>
    <s v="HR"/>
    <s v="Friday"/>
    <s v="Afternoon"/>
  </r>
  <r>
    <x v="1596"/>
    <s v="2024-04-20 05:05:48"/>
    <x v="11"/>
    <s v="2024-04-27 08:05:48"/>
    <x v="129"/>
    <n v="7.1"/>
    <x v="0"/>
    <s v="VPN Access"/>
    <s v="Medium"/>
    <n v="240"/>
    <x v="1"/>
    <s v="Email"/>
    <s v="Tier 1"/>
    <x v="23"/>
    <x v="2"/>
    <s v="No"/>
    <s v="No"/>
    <n v="1"/>
    <s v="No"/>
    <n v="10"/>
    <n v="4.7"/>
    <n v="4.5999999999999996"/>
    <s v="Yes"/>
    <s v="Poor"/>
    <s v="Yes"/>
    <s v="Finance"/>
    <s v="Tuesday"/>
    <s v="Afternoon"/>
  </r>
  <r>
    <x v="1597"/>
    <s v="2024-07-11 14:14:24"/>
    <x v="4"/>
    <s v="2024-07-20 07:32:24"/>
    <x v="872"/>
    <n v="8.6999999999999993"/>
    <x v="4"/>
    <s v="Features Not Working"/>
    <s v="Medium"/>
    <n v="240"/>
    <x v="1"/>
    <s v="Phone"/>
    <s v="Tier 1"/>
    <x v="6"/>
    <x v="0"/>
    <s v="Yes"/>
    <s v="No"/>
    <n v="0"/>
    <s v="No"/>
    <n v="9"/>
    <n v="2.9"/>
    <n v="14.8"/>
    <s v="Yes"/>
    <s v="Fair"/>
    <s v="Yes"/>
    <s v="Executive"/>
    <s v="Tuesday"/>
    <s v="Afternoon"/>
  </r>
  <r>
    <x v="1598"/>
    <s v="2024-10-25 20:51:22"/>
    <x v="2"/>
    <s v="2024-11-04 00:51:22"/>
    <x v="1290"/>
    <n v="10.199999999999999"/>
    <x v="3"/>
    <s v="Application Password"/>
    <s v="Low"/>
    <n v="360"/>
    <x v="1"/>
    <s v="Email"/>
    <s v="Tier 1"/>
    <x v="0"/>
    <x v="1"/>
    <s v="Yes"/>
    <s v="No"/>
    <n v="0"/>
    <s v="No"/>
    <n v="9"/>
    <n v="3.4"/>
    <n v="0.4"/>
    <s v="Yes"/>
    <s v="Fair"/>
    <s v="Yes"/>
    <s v="Marketing"/>
    <s v="Thursday"/>
    <s v="Afternoon"/>
  </r>
  <r>
    <x v="1599"/>
    <s v="2024-09-20 06:15:34"/>
    <x v="9"/>
    <s v="2024-10-01 12:57:34"/>
    <x v="739"/>
    <n v="11.3"/>
    <x v="5"/>
    <s v="Miscellaneous"/>
    <s v="Low"/>
    <n v="360"/>
    <x v="1"/>
    <s v="Phone"/>
    <s v="Tier 1"/>
    <x v="21"/>
    <x v="1"/>
    <s v="No"/>
    <s v="No"/>
    <n v="1"/>
    <s v="No"/>
    <n v="7"/>
    <n v="2.1"/>
    <n v="31.7"/>
    <s v="Yes"/>
    <s v="Good"/>
    <s v="Yes"/>
    <s v="Sales"/>
    <s v="Monday"/>
    <s v="Morning"/>
  </r>
  <r>
    <x v="1600"/>
    <s v="2024-03-29 13:43:25"/>
    <x v="5"/>
    <s v="2024-04-04 20:13:25"/>
    <x v="73"/>
    <n v="6.2"/>
    <x v="1"/>
    <s v="Keyboard/Mouse"/>
    <s v="Medium"/>
    <n v="240"/>
    <x v="1"/>
    <s v="Phone"/>
    <s v="Tier 1"/>
    <x v="0"/>
    <x v="2"/>
    <s v="Yes"/>
    <s v="No"/>
    <n v="0"/>
    <s v="No"/>
    <n v="8"/>
    <n v="3.5"/>
    <n v="24.4"/>
    <s v="Yes"/>
    <s v="Excellent"/>
    <s v="Yes"/>
    <s v="Sales"/>
    <s v="Tuesday"/>
    <s v="Evening"/>
  </r>
  <r>
    <x v="1601"/>
    <s v="2024-10-30 00:54:30"/>
    <x v="2"/>
    <s v="2024-11-04 13:06:30"/>
    <x v="1137"/>
    <n v="4.5"/>
    <x v="5"/>
    <s v="General Inquiry"/>
    <s v="High"/>
    <n v="120"/>
    <x v="1"/>
    <s v="Phone"/>
    <s v="Tier 2"/>
    <x v="1"/>
    <x v="1"/>
    <s v="No"/>
    <s v="Yes"/>
    <n v="3"/>
    <s v="No"/>
    <n v="7"/>
    <n v="3.9"/>
    <n v="16.7"/>
    <s v="No"/>
    <s v="Fair"/>
    <s v="No"/>
    <s v="Marketing"/>
    <s v="Friday"/>
    <s v="Afternoon"/>
  </r>
  <r>
    <x v="1602"/>
    <s v="2024-02-17 10:12:05"/>
    <x v="6"/>
    <s v="2024-02-25 07:18:05"/>
    <x v="1291"/>
    <n v="7.9"/>
    <x v="6"/>
    <s v="Calendar Sync"/>
    <s v="Medium"/>
    <n v="240"/>
    <x v="1"/>
    <s v="Phone"/>
    <s v="Tier 2"/>
    <x v="17"/>
    <x v="1"/>
    <s v="No"/>
    <s v="Yes"/>
    <n v="3"/>
    <s v="No"/>
    <n v="7"/>
    <n v="4.4000000000000004"/>
    <n v="23.4"/>
    <s v="No"/>
    <s v="Good"/>
    <s v="Yes"/>
    <s v="Finance"/>
    <s v="Wednesday"/>
    <s v="Morning"/>
  </r>
  <r>
    <x v="1603"/>
    <s v="2024-09-15 14:27:42"/>
    <x v="9"/>
    <s v="2024-09-22 23:27:42"/>
    <x v="1292"/>
    <n v="7.4"/>
    <x v="3"/>
    <s v="Windows Password"/>
    <s v="Medium"/>
    <n v="240"/>
    <x v="1"/>
    <s v="Phone"/>
    <s v="Tier 1"/>
    <x v="20"/>
    <x v="2"/>
    <s v="Yes"/>
    <s v="No"/>
    <n v="0"/>
    <s v="No"/>
    <n v="10"/>
    <n v="1.9"/>
    <n v="0"/>
    <s v="No"/>
    <s v="Fair"/>
    <s v="No"/>
    <s v="Executive"/>
    <s v="Wednesday"/>
    <s v="Morning"/>
  </r>
  <r>
    <x v="1604"/>
    <s v="2024-08-08 21:44:28"/>
    <x v="1"/>
    <s v="2024-08-15 13:38:28"/>
    <x v="1293"/>
    <n v="6.7"/>
    <x v="7"/>
    <s v="VPN Client"/>
    <s v="Medium"/>
    <n v="240"/>
    <x v="1"/>
    <s v="Phone"/>
    <s v="Tier 2"/>
    <x v="7"/>
    <x v="1"/>
    <s v="No"/>
    <s v="Yes"/>
    <n v="2"/>
    <s v="No"/>
    <n v="5"/>
    <n v="1.5"/>
    <n v="27.3"/>
    <s v="Yes"/>
    <s v="Fair"/>
    <s v="Yes"/>
    <s v="Marketing"/>
    <s v="Wednesday"/>
    <s v="Evening"/>
  </r>
  <r>
    <x v="1605"/>
    <s v="2024-11-13 15:34:31"/>
    <x v="7"/>
    <s v="2024-11-19 00:22:31"/>
    <x v="1294"/>
    <n v="6.4"/>
    <x v="6"/>
    <s v="Cannot Send/Receive"/>
    <s v="Medium"/>
    <n v="240"/>
    <x v="1"/>
    <s v="Phone"/>
    <s v="Tier 1"/>
    <x v="4"/>
    <x v="2"/>
    <s v="Yes"/>
    <s v="No"/>
    <n v="0"/>
    <s v="No"/>
    <n v="10"/>
    <n v="6"/>
    <n v="0"/>
    <s v="Yes"/>
    <s v="Good"/>
    <s v="Yes"/>
    <s v="Operations"/>
    <s v="Tuesday"/>
    <s v="Afternoon"/>
  </r>
  <r>
    <x v="1606"/>
    <s v="2024-04-01 00:07:35"/>
    <x v="11"/>
    <s v="2024-04-06 09:43:35"/>
    <x v="1295"/>
    <n v="4.4000000000000004"/>
    <x v="1"/>
    <s v="Monitor"/>
    <s v="High"/>
    <n v="120"/>
    <x v="1"/>
    <s v="Phone"/>
    <s v="Tier 2"/>
    <x v="16"/>
    <x v="2"/>
    <s v="No"/>
    <s v="Yes"/>
    <n v="3"/>
    <s v="No"/>
    <n v="10"/>
    <n v="0.2"/>
    <n v="10.199999999999999"/>
    <s v="No"/>
    <s v="Fair"/>
    <s v="Yes"/>
    <s v="IT"/>
    <s v="Monday"/>
    <s v="Morning"/>
  </r>
  <r>
    <x v="1607"/>
    <s v="2024-08-27 20:27:05"/>
    <x v="1"/>
    <s v="2024-09-08 23:51:05"/>
    <x v="1296"/>
    <n v="12.1"/>
    <x v="6"/>
    <s v="Calendar Sync"/>
    <s v="Medium"/>
    <n v="240"/>
    <x v="0"/>
    <s v="Walk-in"/>
    <s v="Tier 1"/>
    <x v="15"/>
    <x v="2"/>
    <s v="No"/>
    <s v="No"/>
    <n v="1"/>
    <s v="No"/>
    <n v="4"/>
    <n v="3.1"/>
    <n v="10.6"/>
    <s v="No"/>
    <s v="Fair"/>
    <s v="Yes"/>
    <s v="Executive"/>
    <s v="Thursday"/>
    <s v="Afternoon"/>
  </r>
  <r>
    <x v="1608"/>
    <s v="2024-08-05 04:33:37"/>
    <x v="1"/>
    <s v="2024-08-18 02:39:37"/>
    <x v="465"/>
    <n v="13.9"/>
    <x v="3"/>
    <s v="Windows Password"/>
    <s v="Low"/>
    <n v="360"/>
    <x v="1"/>
    <s v="Phone"/>
    <s v="Tier 1"/>
    <x v="1"/>
    <x v="2"/>
    <s v="No"/>
    <s v="No"/>
    <n v="1"/>
    <s v="Yes"/>
    <n v="9"/>
    <n v="5.8"/>
    <n v="19.8"/>
    <s v="Yes"/>
    <s v="Poor"/>
    <s v="No"/>
    <s v="Sales"/>
    <s v="Thursday"/>
    <s v="Afternoon"/>
  </r>
  <r>
    <x v="1609"/>
    <s v="2024-12-11 12:35:53"/>
    <x v="0"/>
    <s v="2024-12-16 03:47:53"/>
    <x v="1297"/>
    <n v="4.5999999999999996"/>
    <x v="7"/>
    <s v="VPN Client"/>
    <s v="High"/>
    <n v="120"/>
    <x v="1"/>
    <s v="Portal"/>
    <s v="Tier 2"/>
    <x v="6"/>
    <x v="2"/>
    <s v="No"/>
    <s v="Yes"/>
    <n v="2"/>
    <s v="Yes"/>
    <n v="8"/>
    <n v="2.7"/>
    <n v="5.9"/>
    <s v="No"/>
    <s v="Excellent"/>
    <s v="No"/>
    <s v="Operations"/>
    <s v="Monday"/>
    <s v="Evening"/>
  </r>
  <r>
    <x v="1610"/>
    <s v="2024-04-05 09:42:08"/>
    <x v="11"/>
    <s v="2024-04-10 03:30:08"/>
    <x v="796"/>
    <n v="4.7"/>
    <x v="1"/>
    <s v="Printer"/>
    <s v="High"/>
    <n v="120"/>
    <x v="1"/>
    <s v="Portal"/>
    <s v="Tier 2"/>
    <x v="24"/>
    <x v="1"/>
    <s v="No"/>
    <s v="Yes"/>
    <n v="2"/>
    <s v="No"/>
    <n v="10"/>
    <n v="3.2"/>
    <n v="17.3"/>
    <s v="Yes"/>
    <s v="Good"/>
    <s v="Yes"/>
    <s v="Executive"/>
    <s v="Thursday"/>
    <s v="Morning"/>
  </r>
  <r>
    <x v="1611"/>
    <s v="2024-07-17 18:39:21"/>
    <x v="4"/>
    <s v="2024-07-28 14:33:21"/>
    <x v="923"/>
    <n v="10.8"/>
    <x v="5"/>
    <s v="General Inquiry"/>
    <s v="Low"/>
    <n v="360"/>
    <x v="1"/>
    <s v="Phone"/>
    <s v="Tier 2"/>
    <x v="13"/>
    <x v="0"/>
    <s v="No"/>
    <s v="Yes"/>
    <n v="2"/>
    <s v="No"/>
    <n v="10"/>
    <n v="0.5"/>
    <n v="17.2"/>
    <s v="Yes"/>
    <s v="Excellent"/>
    <s v="Yes"/>
    <s v="Legal"/>
    <s v="Wednesday"/>
    <s v="Afternoon"/>
  </r>
  <r>
    <x v="1612"/>
    <s v="2024-10-24 02:04:51"/>
    <x v="2"/>
    <s v="2024-11-06 12:16:51"/>
    <x v="1298"/>
    <n v="12.5"/>
    <x v="3"/>
    <s v="Application Password"/>
    <s v="Low"/>
    <n v="360"/>
    <x v="1"/>
    <s v="Email"/>
    <s v="Tier 1"/>
    <x v="22"/>
    <x v="0"/>
    <s v="Yes"/>
    <s v="No"/>
    <n v="0"/>
    <s v="No"/>
    <n v="10"/>
    <n v="3.2"/>
    <n v="45"/>
    <s v="No"/>
    <s v="Good"/>
    <s v="Yes"/>
    <s v="Legal"/>
    <s v="Monday"/>
    <s v="Afternoon"/>
  </r>
  <r>
    <x v="1613"/>
    <s v="2024-05-05 14:26:22"/>
    <x v="8"/>
    <s v="2024-05-13 19:56:22"/>
    <x v="1299"/>
    <n v="8.1999999999999993"/>
    <x v="1"/>
    <s v="Laptop"/>
    <s v="Medium"/>
    <n v="240"/>
    <x v="1"/>
    <s v="Portal"/>
    <s v="Tier 2"/>
    <x v="1"/>
    <x v="2"/>
    <s v="No"/>
    <s v="Yes"/>
    <n v="1"/>
    <s v="No"/>
    <n v="8"/>
    <n v="2.7"/>
    <n v="11.7"/>
    <s v="Yes"/>
    <s v="Good"/>
    <s v="No"/>
    <s v="Finance"/>
    <s v="Monday"/>
    <s v="Afternoon"/>
  </r>
  <r>
    <x v="1614"/>
    <s v="2024-10-24 15:48:39"/>
    <x v="2"/>
    <s v="2024-11-12 15:42:39"/>
    <x v="1300"/>
    <n v="19"/>
    <x v="3"/>
    <s v="Email Password"/>
    <s v="Low"/>
    <n v="360"/>
    <x v="0"/>
    <s v="Portal"/>
    <s v="Tier 1"/>
    <x v="1"/>
    <x v="1"/>
    <s v="Yes"/>
    <s v="No"/>
    <n v="0"/>
    <s v="No"/>
    <n v="7"/>
    <n v="2.9"/>
    <n v="26.7"/>
    <s v="Yes"/>
    <s v="Fair"/>
    <s v="Yes"/>
    <s v="Finance"/>
    <s v="Wednesday"/>
    <s v="Morning"/>
  </r>
  <r>
    <x v="1615"/>
    <s v="2024-08-02 17:19:12"/>
    <x v="1"/>
    <s v="2024-08-16 18:07:12"/>
    <x v="146"/>
    <n v="14"/>
    <x v="3"/>
    <s v="Windows Password"/>
    <s v="Low"/>
    <n v="360"/>
    <x v="1"/>
    <s v="Phone"/>
    <s v="Tier 1"/>
    <x v="10"/>
    <x v="2"/>
    <s v="No"/>
    <s v="No"/>
    <n v="1"/>
    <s v="No"/>
    <n v="10"/>
    <n v="1.6"/>
    <n v="20.9"/>
    <s v="No"/>
    <s v="Fair"/>
    <s v="Yes"/>
    <s v="Sales"/>
    <s v="Monday"/>
    <s v="Evening"/>
  </r>
  <r>
    <x v="1616"/>
    <s v="2024-04-16 11:13:38"/>
    <x v="11"/>
    <s v="2024-04-23 09:55:38"/>
    <x v="1301"/>
    <n v="6.9"/>
    <x v="2"/>
    <s v="Slow Network"/>
    <s v="Medium"/>
    <n v="240"/>
    <x v="1"/>
    <s v="Walk-in"/>
    <s v="Tier 1"/>
    <x v="10"/>
    <x v="1"/>
    <s v="No"/>
    <s v="No"/>
    <n v="1"/>
    <s v="No"/>
    <n v="9"/>
    <n v="1.5"/>
    <n v="13.1"/>
    <s v="Yes"/>
    <s v="Excellent"/>
    <s v="Yes"/>
    <s v="Finance"/>
    <s v="Tuesday"/>
    <s v="Afternoon"/>
  </r>
  <r>
    <x v="1617"/>
    <s v="2024-09-20 02:48:01"/>
    <x v="9"/>
    <s v="2024-10-02 11:24:01"/>
    <x v="1302"/>
    <n v="11.4"/>
    <x v="6"/>
    <s v="Cannot Send/Receive"/>
    <s v="Low"/>
    <n v="360"/>
    <x v="1"/>
    <s v="Phone"/>
    <s v="Tier 1"/>
    <x v="24"/>
    <x v="0"/>
    <s v="No"/>
    <s v="No"/>
    <n v="1"/>
    <s v="No"/>
    <n v="10"/>
    <n v="2.2999999999999998"/>
    <n v="20.9"/>
    <s v="Yes"/>
    <s v="Good"/>
    <s v="Yes"/>
    <s v="Marketing"/>
    <s v="Thursday"/>
    <s v="Morning"/>
  </r>
  <r>
    <x v="1618"/>
    <s v="2024-09-19 03:47:24"/>
    <x v="9"/>
    <s v="2024-09-22 17:05:24"/>
    <x v="431"/>
    <n v="3.6"/>
    <x v="4"/>
    <s v="Crash"/>
    <s v="High"/>
    <n v="120"/>
    <x v="1"/>
    <s v="Chat"/>
    <s v="Tier 1"/>
    <x v="0"/>
    <x v="2"/>
    <s v="No"/>
    <s v="No"/>
    <n v="1"/>
    <s v="No"/>
    <n v="8"/>
    <n v="2.7"/>
    <n v="21.7"/>
    <s v="Yes"/>
    <s v="Good"/>
    <s v="No"/>
    <s v="IT"/>
    <s v="Thursday"/>
    <s v="Afternoon"/>
  </r>
  <r>
    <x v="1619"/>
    <s v="2024-01-19 23:45:15"/>
    <x v="3"/>
    <s v="2024-01-28 01:27:15"/>
    <x v="256"/>
    <n v="9.1"/>
    <x v="6"/>
    <s v="Distribution List"/>
    <s v="Medium"/>
    <n v="240"/>
    <x v="1"/>
    <s v="Phone"/>
    <s v="Tier 1"/>
    <x v="22"/>
    <x v="2"/>
    <s v="Yes"/>
    <s v="No"/>
    <n v="0"/>
    <s v="Yes"/>
    <n v="10"/>
    <n v="4.3"/>
    <n v="26"/>
    <s v="Yes"/>
    <s v="Fair"/>
    <s v="Yes"/>
    <s v="Marketing"/>
    <s v="Friday"/>
    <s v="Afternoon"/>
  </r>
  <r>
    <x v="1620"/>
    <s v="2024-09-14 17:59:56"/>
    <x v="9"/>
    <s v="2024-10-02 13:47:56"/>
    <x v="1303"/>
    <n v="17.8"/>
    <x v="7"/>
    <s v="Business Apps"/>
    <s v="Medium"/>
    <n v="240"/>
    <x v="0"/>
    <s v="Portal"/>
    <s v="Tier 2"/>
    <x v="7"/>
    <x v="2"/>
    <s v="No"/>
    <s v="Yes"/>
    <n v="4"/>
    <s v="No"/>
    <n v="7"/>
    <n v="1.8"/>
    <n v="36.700000000000003"/>
    <s v="Yes"/>
    <s v="Fair"/>
    <s v="No"/>
    <s v="Marketing"/>
    <s v="Wednesday"/>
    <s v="Evening"/>
  </r>
  <r>
    <x v="1621"/>
    <s v="2024-09-14 21:07:06"/>
    <x v="9"/>
    <s v="2024-09-23 21:43:06"/>
    <x v="1242"/>
    <n v="9"/>
    <x v="7"/>
    <s v="VPN Client"/>
    <s v="Low"/>
    <n v="360"/>
    <x v="1"/>
    <s v="Portal"/>
    <s v="Tier 2"/>
    <x v="14"/>
    <x v="0"/>
    <s v="No"/>
    <s v="Yes"/>
    <n v="2"/>
    <s v="No"/>
    <n v="8"/>
    <n v="4.5"/>
    <n v="14.6"/>
    <s v="Yes"/>
    <s v="Good"/>
    <s v="Yes"/>
    <s v="Marketing"/>
    <s v="Monday"/>
    <s v="Morning"/>
  </r>
  <r>
    <x v="1622"/>
    <s v="2024-03-01 09:40:00"/>
    <x v="5"/>
    <s v="2024-03-08 19:34:00"/>
    <x v="1304"/>
    <n v="7.4"/>
    <x v="5"/>
    <s v="Documentation"/>
    <s v="Medium"/>
    <n v="240"/>
    <x v="1"/>
    <s v="Email"/>
    <s v="Tier 1"/>
    <x v="6"/>
    <x v="1"/>
    <s v="Yes"/>
    <s v="No"/>
    <n v="0"/>
    <s v="No"/>
    <n v="9"/>
    <n v="1.2"/>
    <n v="43.5"/>
    <s v="Yes"/>
    <s v="Fair"/>
    <s v="Yes"/>
    <s v="HR"/>
    <s v="Tuesday"/>
    <s v="Afternoon"/>
  </r>
  <r>
    <x v="1623"/>
    <s v="2024-11-08 14:31:50"/>
    <x v="7"/>
    <s v="2024-11-17 01:43:50"/>
    <x v="519"/>
    <n v="9.5"/>
    <x v="3"/>
    <s v="Email Password"/>
    <s v="Low"/>
    <n v="360"/>
    <x v="1"/>
    <s v="Portal"/>
    <s v="Tier 1"/>
    <x v="15"/>
    <x v="2"/>
    <s v="Yes"/>
    <s v="No"/>
    <n v="0"/>
    <s v="No"/>
    <n v="10"/>
    <n v="2.2999999999999998"/>
    <n v="11"/>
    <s v="Yes"/>
    <s v="Fair"/>
    <s v="Yes"/>
    <s v="HR"/>
    <s v="Tuesday"/>
    <s v="Afternoon"/>
  </r>
  <r>
    <x v="1624"/>
    <s v="2024-02-04 17:36:28"/>
    <x v="6"/>
    <s v="2024-02-13 01:36:28"/>
    <x v="387"/>
    <n v="9.3000000000000007"/>
    <x v="7"/>
    <s v="MS Office"/>
    <s v="Medium"/>
    <n v="240"/>
    <x v="1"/>
    <s v="Phone"/>
    <s v="Tier 1"/>
    <x v="23"/>
    <x v="2"/>
    <s v="Yes"/>
    <s v="No"/>
    <n v="0"/>
    <s v="No"/>
    <n v="9"/>
    <n v="0.1"/>
    <n v="16.899999999999999"/>
    <s v="Yes"/>
    <s v="Poor"/>
    <s v="Yes"/>
    <s v="HR"/>
    <s v="Thursday"/>
    <s v="Morning"/>
  </r>
  <r>
    <x v="1625"/>
    <s v="2024-06-12 19:17:35"/>
    <x v="10"/>
    <s v="2024-06-23 06:17:35"/>
    <x v="1146"/>
    <n v="10.5"/>
    <x v="1"/>
    <s v="Monitor"/>
    <s v="High"/>
    <n v="120"/>
    <x v="0"/>
    <s v="Phone"/>
    <s v="Tier 1"/>
    <x v="7"/>
    <x v="0"/>
    <s v="No"/>
    <s v="No"/>
    <n v="1"/>
    <s v="No"/>
    <n v="5"/>
    <n v="5.4"/>
    <n v="8.3000000000000007"/>
    <s v="Yes"/>
    <s v="Poor"/>
    <s v="No"/>
    <s v="Marketing"/>
    <s v="Thursday"/>
    <s v="Afternoon"/>
  </r>
  <r>
    <x v="1626"/>
    <s v="2024-10-22 23:18:44"/>
    <x v="2"/>
    <s v="2024-11-10 02:36:44"/>
    <x v="1305"/>
    <n v="18.2"/>
    <x v="4"/>
    <s v="Crash"/>
    <s v="Medium"/>
    <n v="240"/>
    <x v="0"/>
    <s v="Phone"/>
    <s v="Tier 2"/>
    <x v="23"/>
    <x v="2"/>
    <s v="No"/>
    <s v="Yes"/>
    <n v="3"/>
    <s v="No"/>
    <n v="3"/>
    <n v="0.1"/>
    <n v="5.9"/>
    <s v="No"/>
    <s v="Fair"/>
    <s v="No"/>
    <s v="Sales"/>
    <s v="Monday"/>
    <s v="Morning"/>
  </r>
  <r>
    <x v="1627"/>
    <s v="2024-03-08 19:35:28"/>
    <x v="5"/>
    <s v="2024-03-20 15:11:28"/>
    <x v="252"/>
    <n v="11.8"/>
    <x v="5"/>
    <s v="Training Request"/>
    <s v="Low"/>
    <n v="360"/>
    <x v="1"/>
    <s v="Email"/>
    <s v="Tier 1"/>
    <x v="13"/>
    <x v="2"/>
    <s v="No"/>
    <s v="No"/>
    <n v="1"/>
    <s v="No"/>
    <n v="10"/>
    <n v="0.1"/>
    <n v="39.9"/>
    <s v="No"/>
    <s v="Good"/>
    <s v="Yes"/>
    <s v="HR"/>
    <s v="Tuesday"/>
    <s v="Afternoon"/>
  </r>
  <r>
    <x v="1628"/>
    <s v="2024-04-24 15:31:47"/>
    <x v="11"/>
    <s v="2024-05-06 18:49:47"/>
    <x v="1306"/>
    <n v="12.1"/>
    <x v="5"/>
    <s v="Training Request"/>
    <s v="Low"/>
    <n v="360"/>
    <x v="1"/>
    <s v="Email"/>
    <s v="Tier 2"/>
    <x v="4"/>
    <x v="2"/>
    <s v="No"/>
    <s v="Yes"/>
    <n v="2"/>
    <s v="No"/>
    <n v="8"/>
    <n v="1.3"/>
    <n v="9.6"/>
    <s v="Yes"/>
    <s v="Fair"/>
    <s v="No"/>
    <s v="Executive"/>
    <s v="Monday"/>
    <s v="Morning"/>
  </r>
  <r>
    <x v="1629"/>
    <s v="2024-11-11 14:28:54"/>
    <x v="7"/>
    <s v="2024-11-26 17:16:54"/>
    <x v="1307"/>
    <n v="15.1"/>
    <x v="5"/>
    <s v="Miscellaneous"/>
    <s v="Low"/>
    <n v="360"/>
    <x v="0"/>
    <s v="Phone"/>
    <s v="Tier 1"/>
    <x v="23"/>
    <x v="1"/>
    <s v="No"/>
    <s v="No"/>
    <n v="1"/>
    <s v="No"/>
    <n v="4"/>
    <n v="0.9"/>
    <n v="0"/>
    <s v="Yes"/>
    <s v="Fair"/>
    <s v="Yes"/>
    <s v="IT"/>
    <s v="Wednesday"/>
    <s v="Morning"/>
  </r>
  <r>
    <x v="1630"/>
    <s v="2024-02-23 07:04:34"/>
    <x v="6"/>
    <s v="2024-03-01 05:22:34"/>
    <x v="1308"/>
    <n v="6.9"/>
    <x v="7"/>
    <s v="Business Apps"/>
    <s v="Medium"/>
    <n v="240"/>
    <x v="1"/>
    <s v="Email"/>
    <s v="Tier 1"/>
    <x v="10"/>
    <x v="2"/>
    <s v="No"/>
    <s v="No"/>
    <n v="1"/>
    <s v="No"/>
    <n v="8"/>
    <n v="4.5"/>
    <n v="18.5"/>
    <s v="Yes"/>
    <s v="Good"/>
    <s v="Yes"/>
    <s v="Finance"/>
    <s v="Monday"/>
    <s v="Afternoon"/>
  </r>
  <r>
    <x v="1631"/>
    <s v="2024-08-06 17:45:19"/>
    <x v="1"/>
    <s v="2024-09-05 05:03:19"/>
    <x v="1309"/>
    <n v="29.5"/>
    <x v="3"/>
    <s v="Windows Password"/>
    <s v="Low"/>
    <n v="360"/>
    <x v="0"/>
    <s v="Email"/>
    <s v="Tier 1"/>
    <x v="24"/>
    <x v="2"/>
    <s v="Yes"/>
    <s v="No"/>
    <n v="0"/>
    <s v="No"/>
    <n v="8"/>
    <n v="0.1"/>
    <n v="4"/>
    <s v="Yes"/>
    <s v="Fair"/>
    <s v="Yes"/>
    <s v="HR"/>
    <s v="Wednesday"/>
    <s v="Evening"/>
  </r>
  <r>
    <x v="1632"/>
    <s v="2024-07-03 23:21:05"/>
    <x v="4"/>
    <s v="2024-07-12 20:33:05"/>
    <x v="1190"/>
    <n v="8.9"/>
    <x v="7"/>
    <s v="Business Apps"/>
    <s v="Medium"/>
    <n v="240"/>
    <x v="1"/>
    <s v="Portal"/>
    <s v="Tier 1"/>
    <x v="6"/>
    <x v="1"/>
    <s v="Yes"/>
    <s v="No"/>
    <n v="0"/>
    <s v="No"/>
    <n v="10"/>
    <n v="5.0999999999999996"/>
    <n v="18.3"/>
    <s v="Yes"/>
    <s v="Fair"/>
    <s v="Yes"/>
    <s v="IT"/>
    <s v="Tuesday"/>
    <s v="Evening"/>
  </r>
  <r>
    <x v="1633"/>
    <s v="2024-04-18 13:46:03"/>
    <x v="11"/>
    <s v="2024-04-23 07:34:03"/>
    <x v="796"/>
    <n v="4.7"/>
    <x v="6"/>
    <s v="Cannot Send/Receive"/>
    <s v="High"/>
    <n v="120"/>
    <x v="1"/>
    <s v="Email"/>
    <s v="Tier 1"/>
    <x v="0"/>
    <x v="2"/>
    <s v="No"/>
    <s v="No"/>
    <n v="1"/>
    <s v="No"/>
    <n v="8"/>
    <n v="2.6"/>
    <n v="10.7"/>
    <s v="Yes"/>
    <s v="Good"/>
    <s v="No"/>
    <s v="Executive"/>
    <s v="Friday"/>
    <s v="Morning"/>
  </r>
  <r>
    <x v="1634"/>
    <s v="2024-04-11 22:24:08"/>
    <x v="11"/>
    <s v="2024-04-19 14:18:08"/>
    <x v="1105"/>
    <n v="7.7"/>
    <x v="5"/>
    <s v="Training Request"/>
    <s v="Medium"/>
    <n v="240"/>
    <x v="1"/>
    <s v="Phone"/>
    <s v="Tier 1"/>
    <x v="23"/>
    <x v="1"/>
    <s v="Yes"/>
    <s v="No"/>
    <n v="0"/>
    <s v="No"/>
    <n v="9"/>
    <n v="5.8"/>
    <n v="0"/>
    <s v="No"/>
    <s v="Poor"/>
    <s v="Yes"/>
    <s v="Legal"/>
    <s v="Monday"/>
    <s v="Morning"/>
  </r>
  <r>
    <x v="1635"/>
    <s v="2024-11-06 13:17:57"/>
    <x v="7"/>
    <s v="2024-11-12 17:59:57"/>
    <x v="1310"/>
    <n v="6.2"/>
    <x v="2"/>
    <s v="Ethernet"/>
    <s v="High"/>
    <n v="120"/>
    <x v="0"/>
    <s v="Chat"/>
    <s v="Tier 1"/>
    <x v="8"/>
    <x v="1"/>
    <s v="No"/>
    <s v="No"/>
    <n v="1"/>
    <s v="Yes"/>
    <n v="5"/>
    <n v="3.1"/>
    <n v="20.8"/>
    <s v="Yes"/>
    <s v="Good"/>
    <s v="Yes"/>
    <s v="HR"/>
    <s v="Friday"/>
    <s v="Afternoon"/>
  </r>
  <r>
    <x v="1636"/>
    <s v="2024-02-06 09:11:08"/>
    <x v="6"/>
    <s v="2024-02-23 00:05:08"/>
    <x v="1311"/>
    <n v="17.600000000000001"/>
    <x v="0"/>
    <s v="File Share"/>
    <s v="Low"/>
    <n v="360"/>
    <x v="0"/>
    <s v="Phone"/>
    <s v="Tier 1"/>
    <x v="3"/>
    <x v="2"/>
    <s v="No"/>
    <s v="No"/>
    <n v="1"/>
    <s v="No"/>
    <n v="4"/>
    <n v="3.1"/>
    <n v="0"/>
    <s v="No"/>
    <s v="Poor"/>
    <s v="Yes"/>
    <s v="Marketing"/>
    <s v="Thursday"/>
    <s v="Evening"/>
  </r>
  <r>
    <x v="1637"/>
    <s v="2024-09-24 02:35:49"/>
    <x v="9"/>
    <s v="2024-10-30 11:17:49"/>
    <x v="1312"/>
    <n v="35.4"/>
    <x v="0"/>
    <s v="File Share"/>
    <s v="Low"/>
    <n v="360"/>
    <x v="0"/>
    <s v="Phone"/>
    <s v="Tier 1"/>
    <x v="10"/>
    <x v="2"/>
    <s v="No"/>
    <s v="No"/>
    <n v="1"/>
    <s v="No"/>
    <n v="5"/>
    <n v="3"/>
    <n v="23.5"/>
    <s v="Yes"/>
    <s v="Poor"/>
    <s v="Yes"/>
    <s v="HR"/>
    <s v="Monday"/>
    <s v="Evening"/>
  </r>
  <r>
    <x v="1638"/>
    <s v="2024-03-16 08:48:54"/>
    <x v="5"/>
    <s v="2024-03-23 19:36:54"/>
    <x v="1313"/>
    <n v="7.5"/>
    <x v="2"/>
    <s v="VPN Connection"/>
    <s v="Medium"/>
    <n v="240"/>
    <x v="1"/>
    <s v="Phone"/>
    <s v="Tier 1"/>
    <x v="5"/>
    <x v="1"/>
    <s v="No"/>
    <s v="No"/>
    <n v="1"/>
    <s v="No"/>
    <n v="8"/>
    <n v="4.2"/>
    <n v="7.1"/>
    <s v="No"/>
    <s v="Good"/>
    <s v="Yes"/>
    <s v="Finance"/>
    <s v="Tuesday"/>
    <s v="Morning"/>
  </r>
  <r>
    <x v="1639"/>
    <s v="2024-08-12 20:29:05"/>
    <x v="1"/>
    <s v="2024-08-22 11:05:05"/>
    <x v="1314"/>
    <n v="9.6"/>
    <x v="3"/>
    <s v="Application Password"/>
    <s v="Low"/>
    <n v="360"/>
    <x v="1"/>
    <s v="Portal"/>
    <s v="Tier 1"/>
    <x v="8"/>
    <x v="1"/>
    <s v="Yes"/>
    <s v="No"/>
    <n v="0"/>
    <s v="No"/>
    <n v="8"/>
    <n v="4.5"/>
    <n v="0.9"/>
    <s v="Yes"/>
    <s v="Poor"/>
    <s v="No"/>
    <s v="IT"/>
    <s v="Thursday"/>
    <s v="Morning"/>
  </r>
  <r>
    <x v="1640"/>
    <s v="2024-11-19 08:12:52"/>
    <x v="7"/>
    <s v="2024-11-26 18:48:52"/>
    <x v="1315"/>
    <n v="7.4"/>
    <x v="6"/>
    <s v="Distribution List"/>
    <s v="Medium"/>
    <n v="240"/>
    <x v="1"/>
    <s v="Email"/>
    <s v="Tier 2"/>
    <x v="20"/>
    <x v="2"/>
    <s v="No"/>
    <s v="Yes"/>
    <n v="2"/>
    <s v="No"/>
    <n v="9"/>
    <n v="2.5"/>
    <n v="0"/>
    <s v="Yes"/>
    <s v="Fair"/>
    <s v="No"/>
    <s v="Sales"/>
    <s v="Monday"/>
    <s v="Evening"/>
  </r>
  <r>
    <x v="1641"/>
    <s v="2024-06-19 17:37:31"/>
    <x v="10"/>
    <s v="2024-06-29 03:43:31"/>
    <x v="538"/>
    <n v="9.4"/>
    <x v="3"/>
    <s v="Email Password"/>
    <s v="Low"/>
    <n v="360"/>
    <x v="1"/>
    <s v="Email"/>
    <s v="Tier 1"/>
    <x v="7"/>
    <x v="2"/>
    <s v="Yes"/>
    <s v="No"/>
    <n v="0"/>
    <s v="No"/>
    <n v="7"/>
    <n v="0.1"/>
    <n v="32"/>
    <s v="Yes"/>
    <s v="Poor"/>
    <s v="Yes"/>
    <s v="Operations"/>
    <s v="Friday"/>
    <s v="Morning"/>
  </r>
  <r>
    <x v="1642"/>
    <s v="2024-12-24 19:03:40"/>
    <x v="0"/>
    <s v="2025-01-05 14:21:40"/>
    <x v="1316"/>
    <n v="11.8"/>
    <x v="3"/>
    <s v="Windows Password"/>
    <s v="Low"/>
    <n v="360"/>
    <x v="1"/>
    <s v="Phone"/>
    <s v="Tier 1"/>
    <x v="17"/>
    <x v="2"/>
    <s v="No"/>
    <s v="No"/>
    <n v="1"/>
    <s v="No"/>
    <n v="6"/>
    <n v="1.3"/>
    <n v="0"/>
    <s v="No"/>
    <s v="Good"/>
    <s v="Yes"/>
    <s v="HR"/>
    <s v="Friday"/>
    <s v="Afternoon"/>
  </r>
  <r>
    <x v="1643"/>
    <s v="2024-10-25 07:32:44"/>
    <x v="2"/>
    <s v="2024-11-02 09:32:44"/>
    <x v="797"/>
    <n v="8.1"/>
    <x v="7"/>
    <s v="Business Apps"/>
    <s v="Medium"/>
    <n v="240"/>
    <x v="1"/>
    <s v="Email"/>
    <s v="Tier 2"/>
    <x v="9"/>
    <x v="0"/>
    <s v="No"/>
    <s v="Yes"/>
    <n v="4"/>
    <s v="No"/>
    <n v="5"/>
    <n v="4.0999999999999996"/>
    <n v="34.299999999999997"/>
    <s v="No"/>
    <s v="Fair"/>
    <s v="Yes"/>
    <s v="Executive"/>
    <s v="Friday"/>
    <s v="Morning"/>
  </r>
  <r>
    <x v="1644"/>
    <s v="2024-06-28 23:48:36"/>
    <x v="10"/>
    <s v="2024-08-05 23:06:36"/>
    <x v="1317"/>
    <n v="38"/>
    <x v="3"/>
    <s v="Account Unlock"/>
    <s v="Low"/>
    <n v="360"/>
    <x v="0"/>
    <s v="Portal"/>
    <s v="Tier 1"/>
    <x v="3"/>
    <x v="2"/>
    <s v="Yes"/>
    <s v="No"/>
    <n v="0"/>
    <s v="No"/>
    <n v="5"/>
    <n v="1.2"/>
    <n v="4.7"/>
    <s v="No"/>
    <s v="Fair"/>
    <s v="Yes"/>
    <s v="Sales"/>
    <s v="Monday"/>
    <s v="Morning"/>
  </r>
  <r>
    <x v="1645"/>
    <s v="2024-04-16 07:46:54"/>
    <x v="11"/>
    <s v="2024-04-24 15:40:54"/>
    <x v="1318"/>
    <n v="8.3000000000000007"/>
    <x v="3"/>
    <s v="Email Password"/>
    <s v="Medium"/>
    <n v="240"/>
    <x v="1"/>
    <s v="Phone"/>
    <s v="Tier 1"/>
    <x v="18"/>
    <x v="2"/>
    <s v="Yes"/>
    <s v="No"/>
    <n v="0"/>
    <s v="Yes"/>
    <n v="10"/>
    <n v="3.9"/>
    <n v="40.9"/>
    <s v="Yes"/>
    <s v="Fair"/>
    <s v="Yes"/>
    <s v="Sales"/>
    <s v="Monday"/>
    <s v="Evening"/>
  </r>
  <r>
    <x v="1646"/>
    <s v="2024-07-09 16:40:28"/>
    <x v="4"/>
    <s v="2024-07-11 03:10:28"/>
    <x v="1319"/>
    <n v="1.4"/>
    <x v="5"/>
    <s v="Miscellaneous"/>
    <s v="Critical"/>
    <n v="48"/>
    <x v="1"/>
    <s v="Email"/>
    <s v="Tier 1"/>
    <x v="12"/>
    <x v="2"/>
    <s v="Yes"/>
    <s v="No"/>
    <n v="0"/>
    <s v="No"/>
    <n v="10"/>
    <n v="0.7"/>
    <n v="19.899999999999999"/>
    <s v="No"/>
    <s v="Fair"/>
    <s v="No"/>
    <s v="Finance"/>
    <s v="Monday"/>
    <s v="Morning"/>
  </r>
  <r>
    <x v="1647"/>
    <s v="2024-01-04 18:27:34"/>
    <x v="3"/>
    <s v="2024-01-10 20:57:34"/>
    <x v="1320"/>
    <n v="6.1"/>
    <x v="7"/>
    <s v="Drivers"/>
    <s v="Medium"/>
    <n v="240"/>
    <x v="1"/>
    <s v="Email"/>
    <s v="Tier 1"/>
    <x v="6"/>
    <x v="1"/>
    <s v="No"/>
    <s v="No"/>
    <n v="1"/>
    <s v="No"/>
    <n v="8"/>
    <n v="2"/>
    <n v="41.5"/>
    <s v="Yes"/>
    <s v="Good"/>
    <s v="Yes"/>
    <s v="Legal"/>
    <s v="Tuesday"/>
    <s v="Afternoon"/>
  </r>
  <r>
    <x v="1648"/>
    <s v="2024-03-12 14:38:14"/>
    <x v="5"/>
    <s v="2024-03-19 17:20:14"/>
    <x v="1321"/>
    <n v="7.1"/>
    <x v="7"/>
    <s v="Adobe Suite"/>
    <s v="Medium"/>
    <n v="240"/>
    <x v="1"/>
    <s v="Walk-in"/>
    <s v="Tier 2"/>
    <x v="18"/>
    <x v="0"/>
    <s v="No"/>
    <s v="Yes"/>
    <n v="4"/>
    <s v="No"/>
    <n v="10"/>
    <n v="0.1"/>
    <n v="5.4"/>
    <s v="Yes"/>
    <s v="Poor"/>
    <s v="Yes"/>
    <s v="Legal"/>
    <s v="Monday"/>
    <s v="Morning"/>
  </r>
  <r>
    <x v="1649"/>
    <s v="2024-03-04 00:33:39"/>
    <x v="5"/>
    <s v="2024-03-11 12:51:39"/>
    <x v="1322"/>
    <n v="6.5"/>
    <x v="7"/>
    <s v="VPN Client"/>
    <s v="Medium"/>
    <n v="240"/>
    <x v="1"/>
    <s v="Email"/>
    <s v="Tier 1"/>
    <x v="18"/>
    <x v="1"/>
    <s v="No"/>
    <s v="No"/>
    <n v="1"/>
    <s v="No"/>
    <n v="10"/>
    <n v="1.8"/>
    <n v="6.6"/>
    <s v="No"/>
    <s v="Excellent"/>
    <s v="Yes"/>
    <s v="IT"/>
    <s v="Tuesday"/>
    <s v="Morning"/>
  </r>
  <r>
    <x v="1650"/>
    <s v="2024-06-24 15:30:01"/>
    <x v="10"/>
    <s v="2024-07-02 11:36:01"/>
    <x v="1323"/>
    <n v="7.8"/>
    <x v="5"/>
    <s v="Documentation"/>
    <s v="Medium"/>
    <n v="240"/>
    <x v="1"/>
    <s v="Email"/>
    <s v="Tier 1"/>
    <x v="10"/>
    <x v="1"/>
    <s v="No"/>
    <s v="No"/>
    <n v="1"/>
    <s v="No"/>
    <n v="8"/>
    <n v="2.6"/>
    <n v="29.9"/>
    <s v="Yes"/>
    <s v="Good"/>
    <s v="No"/>
    <s v="Marketing"/>
    <s v="Monday"/>
    <s v="Afternoon"/>
  </r>
  <r>
    <x v="1651"/>
    <s v="2024-07-15 10:07:47"/>
    <x v="4"/>
    <s v="2024-07-26 14:13:47"/>
    <x v="41"/>
    <n v="11.2"/>
    <x v="1"/>
    <s v="Docking Station"/>
    <s v="High"/>
    <n v="120"/>
    <x v="0"/>
    <s v="Phone"/>
    <s v="Tier 2"/>
    <x v="6"/>
    <x v="2"/>
    <s v="No"/>
    <s v="Yes"/>
    <n v="4"/>
    <s v="Yes"/>
    <n v="4"/>
    <n v="3.1"/>
    <n v="20.399999999999999"/>
    <s v="No"/>
    <s v="Good"/>
    <s v="Yes"/>
    <s v="Legal"/>
    <s v="Wednesday"/>
    <s v="Morning"/>
  </r>
  <r>
    <x v="1652"/>
    <s v="2024-07-15 03:11:26"/>
    <x v="4"/>
    <s v="2024-07-21 04:59:26"/>
    <x v="1324"/>
    <n v="6.1"/>
    <x v="4"/>
    <s v="Crash"/>
    <s v="High"/>
    <n v="120"/>
    <x v="0"/>
    <s v="Email"/>
    <s v="Tier 2"/>
    <x v="22"/>
    <x v="2"/>
    <s v="No"/>
    <s v="Yes"/>
    <n v="1"/>
    <s v="No"/>
    <n v="9"/>
    <n v="2.8"/>
    <n v="0"/>
    <s v="No"/>
    <s v="Good"/>
    <s v="No"/>
    <s v="Finance"/>
    <s v="Friday"/>
    <s v="Morning"/>
  </r>
  <r>
    <x v="1653"/>
    <s v="2024-11-23 02:31:58"/>
    <x v="7"/>
    <s v="2024-12-02 00:55:58"/>
    <x v="1325"/>
    <n v="9.9"/>
    <x v="3"/>
    <s v="Account Unlock"/>
    <s v="Low"/>
    <n v="360"/>
    <x v="1"/>
    <s v="Email"/>
    <s v="Tier 1"/>
    <x v="2"/>
    <x v="0"/>
    <s v="Yes"/>
    <s v="No"/>
    <n v="0"/>
    <s v="Yes"/>
    <n v="8"/>
    <n v="0.1"/>
    <n v="0"/>
    <s v="No"/>
    <s v="Fair"/>
    <s v="Yes"/>
    <s v="Legal"/>
    <s v="Friday"/>
    <s v="Afternoon"/>
  </r>
  <r>
    <x v="1654"/>
    <s v="2024-07-07 18:06:39"/>
    <x v="4"/>
    <s v="2024-07-13 03:06:39"/>
    <x v="1326"/>
    <n v="5.4"/>
    <x v="0"/>
    <s v="File Share"/>
    <s v="High"/>
    <n v="120"/>
    <x v="0"/>
    <s v="Walk-in"/>
    <s v="Tier 1"/>
    <x v="12"/>
    <x v="1"/>
    <s v="Yes"/>
    <s v="No"/>
    <n v="0"/>
    <s v="No"/>
    <n v="6"/>
    <n v="3.6"/>
    <n v="24.4"/>
    <s v="No"/>
    <s v="Fair"/>
    <s v="Yes"/>
    <s v="Executive"/>
    <s v="Tuesday"/>
    <s v="Evening"/>
  </r>
  <r>
    <x v="1655"/>
    <s v="2024-12-18 09:55:36"/>
    <x v="0"/>
    <s v="2024-12-19 17:19:36"/>
    <x v="661"/>
    <n v="1.3"/>
    <x v="6"/>
    <s v="Calendar Sync"/>
    <s v="Critical"/>
    <n v="48"/>
    <x v="1"/>
    <s v="Phone"/>
    <s v="Tier 1"/>
    <x v="17"/>
    <x v="2"/>
    <s v="Yes"/>
    <s v="No"/>
    <n v="0"/>
    <s v="No"/>
    <n v="9"/>
    <n v="3.5"/>
    <n v="13.5"/>
    <s v="No"/>
    <s v="Fair"/>
    <s v="Yes"/>
    <s v="Marketing"/>
    <s v="Tuesday"/>
    <s v="Morning"/>
  </r>
  <r>
    <x v="1656"/>
    <s v="2024-09-02 20:47:43"/>
    <x v="9"/>
    <s v="2024-09-16 07:23:43"/>
    <x v="1327"/>
    <n v="13.4"/>
    <x v="3"/>
    <s v="Application Password"/>
    <s v="Low"/>
    <n v="360"/>
    <x v="1"/>
    <s v="Phone"/>
    <s v="Tier 1"/>
    <x v="1"/>
    <x v="2"/>
    <s v="Yes"/>
    <s v="No"/>
    <n v="0"/>
    <s v="No"/>
    <n v="10"/>
    <n v="2.2999999999999998"/>
    <n v="0"/>
    <s v="Yes"/>
    <s v="Poor"/>
    <s v="No"/>
    <s v="HR"/>
    <s v="Monday"/>
    <s v="Morning"/>
  </r>
  <r>
    <x v="1657"/>
    <s v="2024-11-22 06:04:59"/>
    <x v="7"/>
    <s v="2024-11-25 00:40:59"/>
    <x v="1328"/>
    <n v="3.8"/>
    <x v="4"/>
    <s v="Login Issues"/>
    <s v="High"/>
    <n v="120"/>
    <x v="1"/>
    <s v="Email"/>
    <s v="Tier 2"/>
    <x v="4"/>
    <x v="0"/>
    <s v="No"/>
    <s v="Yes"/>
    <n v="2"/>
    <s v="Yes"/>
    <n v="10"/>
    <n v="3.9"/>
    <n v="23.3"/>
    <s v="Yes"/>
    <s v="Poor"/>
    <s v="No"/>
    <s v="Finance"/>
    <s v="Monday"/>
    <s v="Morning"/>
  </r>
  <r>
    <x v="1658"/>
    <s v="2024-12-07 20:33:52"/>
    <x v="0"/>
    <s v="2024-12-10 01:03:52"/>
    <x v="1329"/>
    <n v="3.2"/>
    <x v="4"/>
    <s v="Features Not Working"/>
    <s v="High"/>
    <n v="120"/>
    <x v="1"/>
    <s v="Phone"/>
    <s v="Tier 2"/>
    <x v="16"/>
    <x v="2"/>
    <s v="No"/>
    <s v="Yes"/>
    <n v="4"/>
    <s v="No"/>
    <n v="7"/>
    <n v="4.7"/>
    <n v="38.9"/>
    <s v="Yes"/>
    <s v="Fair"/>
    <s v="No"/>
    <s v="IT"/>
    <s v="Monday"/>
    <s v="Evening"/>
  </r>
  <r>
    <x v="1659"/>
    <s v="2024-09-05 15:46:53"/>
    <x v="9"/>
    <s v="2024-09-14 06:34:53"/>
    <x v="1330"/>
    <n v="8.6"/>
    <x v="0"/>
    <s v="File Share"/>
    <s v="Medium"/>
    <n v="240"/>
    <x v="1"/>
    <s v="Phone"/>
    <s v="Tier 2"/>
    <x v="20"/>
    <x v="2"/>
    <s v="No"/>
    <s v="Yes"/>
    <n v="3"/>
    <s v="No"/>
    <n v="7"/>
    <n v="2.7"/>
    <n v="21"/>
    <s v="Yes"/>
    <s v="Poor"/>
    <s v="No"/>
    <s v="Executive"/>
    <s v="Thursday"/>
    <s v="Evening"/>
  </r>
  <r>
    <x v="1660"/>
    <s v="2024-09-23 20:59:25"/>
    <x v="9"/>
    <s v="2024-09-28 06:17:25"/>
    <x v="1331"/>
    <n v="4.4000000000000004"/>
    <x v="6"/>
    <s v="Calendar Sync"/>
    <s v="High"/>
    <n v="120"/>
    <x v="1"/>
    <s v="Email"/>
    <s v="Tier 1"/>
    <x v="17"/>
    <x v="2"/>
    <s v="Yes"/>
    <s v="No"/>
    <n v="0"/>
    <s v="No"/>
    <n v="7"/>
    <n v="1.6"/>
    <n v="40.9"/>
    <s v="No"/>
    <s v="Good"/>
    <s v="No"/>
    <s v="Marketing"/>
    <s v="Friday"/>
    <s v="Afternoon"/>
  </r>
  <r>
    <x v="1661"/>
    <s v="2024-02-26 20:27:47"/>
    <x v="6"/>
    <s v="2024-03-05 04:09:47"/>
    <x v="1332"/>
    <n v="7.3"/>
    <x v="7"/>
    <s v="Drivers"/>
    <s v="Medium"/>
    <n v="240"/>
    <x v="1"/>
    <s v="Email"/>
    <s v="Tier 2"/>
    <x v="0"/>
    <x v="2"/>
    <s v="No"/>
    <s v="Yes"/>
    <n v="1"/>
    <s v="Yes"/>
    <n v="7"/>
    <n v="2.5"/>
    <n v="15.3"/>
    <s v="Yes"/>
    <s v="Excellent"/>
    <s v="No"/>
    <s v="Sales"/>
    <s v="Thursday"/>
    <s v="Morning"/>
  </r>
  <r>
    <x v="1662"/>
    <s v="2024-01-03 09:16:04"/>
    <x v="3"/>
    <s v="2024-01-16 18:04:04"/>
    <x v="1333"/>
    <n v="13.4"/>
    <x v="5"/>
    <s v="Documentation"/>
    <s v="Low"/>
    <n v="360"/>
    <x v="1"/>
    <s v="Phone"/>
    <s v="Tier 1"/>
    <x v="7"/>
    <x v="1"/>
    <s v="No"/>
    <s v="No"/>
    <n v="1"/>
    <s v="No"/>
    <n v="10"/>
    <n v="0.3"/>
    <n v="23.2"/>
    <s v="Yes"/>
    <s v="Poor"/>
    <s v="Yes"/>
    <s v="Legal"/>
    <s v="Friday"/>
    <s v="Morning"/>
  </r>
  <r>
    <x v="1663"/>
    <s v="2024-03-02 16:21:06"/>
    <x v="5"/>
    <s v="2024-03-13 06:27:06"/>
    <x v="1334"/>
    <n v="10.6"/>
    <x v="5"/>
    <s v="General Inquiry"/>
    <s v="Medium"/>
    <n v="240"/>
    <x v="0"/>
    <s v="Phone"/>
    <s v="Tier 2"/>
    <x v="22"/>
    <x v="1"/>
    <s v="No"/>
    <s v="Yes"/>
    <n v="3"/>
    <s v="Yes"/>
    <n v="4"/>
    <n v="1.1000000000000001"/>
    <n v="19"/>
    <s v="No"/>
    <s v="Poor"/>
    <s v="No"/>
    <s v="Operations"/>
    <s v="Wednesday"/>
    <s v="Morning"/>
  </r>
  <r>
    <x v="1664"/>
    <s v="2024-07-27 09:49:17"/>
    <x v="4"/>
    <s v="2024-08-09 01:43:17"/>
    <x v="1335"/>
    <n v="13.7"/>
    <x v="3"/>
    <s v="Windows Password"/>
    <s v="Low"/>
    <n v="360"/>
    <x v="1"/>
    <s v="Walk-in"/>
    <s v="Tier 1"/>
    <x v="18"/>
    <x v="0"/>
    <s v="Yes"/>
    <s v="No"/>
    <n v="0"/>
    <s v="No"/>
    <n v="8"/>
    <n v="0.1"/>
    <n v="25.8"/>
    <s v="Yes"/>
    <s v="Fair"/>
    <s v="No"/>
    <s v="Finance"/>
    <s v="Thursday"/>
    <s v="Afternoon"/>
  </r>
  <r>
    <x v="1665"/>
    <s v="2024-02-28 11:04:07"/>
    <x v="6"/>
    <s v="2024-03-21 21:40:07"/>
    <x v="1336"/>
    <n v="22.4"/>
    <x v="7"/>
    <s v="Adobe Suite"/>
    <s v="Medium"/>
    <n v="240"/>
    <x v="0"/>
    <s v="Phone"/>
    <s v="Tier 1"/>
    <x v="23"/>
    <x v="0"/>
    <s v="Yes"/>
    <s v="No"/>
    <n v="0"/>
    <s v="No"/>
    <n v="8"/>
    <n v="5.7"/>
    <n v="19.600000000000001"/>
    <s v="No"/>
    <s v="Poor"/>
    <s v="No"/>
    <s v="IT"/>
    <s v="Monday"/>
    <s v="Afternoon"/>
  </r>
  <r>
    <x v="1666"/>
    <s v="2024-12-22 15:28:33"/>
    <x v="0"/>
    <s v="2024-12-27 03:52:33"/>
    <x v="776"/>
    <n v="4.5"/>
    <x v="1"/>
    <s v="Desktop"/>
    <s v="High"/>
    <n v="120"/>
    <x v="1"/>
    <s v="Email"/>
    <s v="Tier 2"/>
    <x v="21"/>
    <x v="0"/>
    <s v="No"/>
    <s v="Yes"/>
    <n v="4"/>
    <s v="No"/>
    <n v="9"/>
    <n v="0.1"/>
    <n v="6.4"/>
    <s v="Yes"/>
    <s v="Poor"/>
    <s v="Yes"/>
    <s v="HR"/>
    <s v="Monday"/>
    <s v="Morning"/>
  </r>
  <r>
    <x v="1667"/>
    <s v="2024-08-09 11:53:11"/>
    <x v="1"/>
    <s v="2024-08-17 02:23:11"/>
    <x v="1277"/>
    <n v="8.6"/>
    <x v="7"/>
    <s v="Business Apps"/>
    <s v="Medium"/>
    <n v="240"/>
    <x v="1"/>
    <s v="Portal"/>
    <s v="Tier 1"/>
    <x v="9"/>
    <x v="1"/>
    <s v="No"/>
    <s v="No"/>
    <n v="1"/>
    <s v="No"/>
    <n v="10"/>
    <n v="1.8"/>
    <n v="4.5999999999999996"/>
    <s v="No"/>
    <s v="Fair"/>
    <s v="No"/>
    <s v="Operations"/>
    <s v="Monday"/>
    <s v="Morning"/>
  </r>
  <r>
    <x v="1668"/>
    <s v="2024-12-04 22:03:00"/>
    <x v="0"/>
    <s v="2025-01-17 14:15:00"/>
    <x v="1337"/>
    <n v="43.7"/>
    <x v="3"/>
    <s v="Windows Password"/>
    <s v="Low"/>
    <n v="360"/>
    <x v="0"/>
    <s v="Portal"/>
    <s v="Tier 2"/>
    <x v="11"/>
    <x v="1"/>
    <s v="No"/>
    <s v="Yes"/>
    <n v="1"/>
    <s v="No"/>
    <n v="7"/>
    <n v="4.2"/>
    <n v="8.6"/>
    <s v="Yes"/>
    <s v="Fair"/>
    <s v="Yes"/>
    <s v="Legal"/>
    <s v="Thursday"/>
    <s v="Afternoon"/>
  </r>
  <r>
    <x v="1669"/>
    <s v="2024-07-30 14:52:38"/>
    <x v="4"/>
    <s v="2024-08-06 03:58:38"/>
    <x v="417"/>
    <n v="6.5"/>
    <x v="5"/>
    <s v="General Inquiry"/>
    <s v="Medium"/>
    <n v="240"/>
    <x v="1"/>
    <s v="Email"/>
    <s v="Tier 1"/>
    <x v="4"/>
    <x v="2"/>
    <s v="Yes"/>
    <s v="No"/>
    <n v="0"/>
    <s v="No"/>
    <n v="9"/>
    <n v="5.2"/>
    <n v="16.899999999999999"/>
    <s v="No"/>
    <s v="Poor"/>
    <s v="Yes"/>
    <s v="Operations"/>
    <s v="Tuesday"/>
    <s v="Morning"/>
  </r>
  <r>
    <x v="1670"/>
    <s v="2024-10-12 18:02:35"/>
    <x v="2"/>
    <s v="2024-10-15 22:50:35"/>
    <x v="448"/>
    <n v="3.2"/>
    <x v="4"/>
    <s v="Performance"/>
    <s v="High"/>
    <n v="120"/>
    <x v="1"/>
    <s v="Email"/>
    <s v="Tier 1"/>
    <x v="3"/>
    <x v="2"/>
    <s v="Yes"/>
    <s v="No"/>
    <n v="0"/>
    <s v="No"/>
    <n v="9"/>
    <n v="5.3"/>
    <n v="20.6"/>
    <s v="No"/>
    <s v="Fair"/>
    <s v="Yes"/>
    <s v="Marketing"/>
    <s v="Monday"/>
    <s v="Afternoon"/>
  </r>
  <r>
    <x v="1671"/>
    <s v="2024-03-03 19:12:45"/>
    <x v="5"/>
    <s v="2024-03-10 14:54:45"/>
    <x v="1338"/>
    <n v="6.8"/>
    <x v="7"/>
    <s v="MS Office"/>
    <s v="Medium"/>
    <n v="240"/>
    <x v="1"/>
    <s v="Portal"/>
    <s v="Tier 1"/>
    <x v="7"/>
    <x v="0"/>
    <s v="Yes"/>
    <s v="No"/>
    <n v="0"/>
    <s v="No"/>
    <n v="9"/>
    <n v="1.8"/>
    <n v="32"/>
    <s v="Yes"/>
    <s v="Poor"/>
    <s v="Yes"/>
    <s v="IT"/>
    <s v="Thursday"/>
    <s v="Afternoon"/>
  </r>
  <r>
    <x v="1672"/>
    <s v="2024-06-08 07:55:57"/>
    <x v="10"/>
    <s v="2024-06-21 16:49:57"/>
    <x v="1339"/>
    <n v="13.4"/>
    <x v="7"/>
    <s v="Drivers"/>
    <s v="Medium"/>
    <n v="240"/>
    <x v="0"/>
    <s v="Phone"/>
    <s v="Tier 1"/>
    <x v="1"/>
    <x v="1"/>
    <s v="No"/>
    <s v="No"/>
    <n v="1"/>
    <s v="No"/>
    <n v="4"/>
    <n v="2"/>
    <n v="18.899999999999999"/>
    <s v="No"/>
    <s v="Fair"/>
    <s v="No"/>
    <s v="Sales"/>
    <s v="Thursday"/>
    <s v="Evening"/>
  </r>
  <r>
    <x v="1673"/>
    <s v="2024-03-31 02:04:47"/>
    <x v="5"/>
    <s v="2024-04-03 20:40:47"/>
    <x v="1340"/>
    <n v="3.7"/>
    <x v="4"/>
    <s v="Features Not Working"/>
    <s v="High"/>
    <n v="120"/>
    <x v="1"/>
    <s v="Portal"/>
    <s v="Tier 2"/>
    <x v="12"/>
    <x v="0"/>
    <s v="No"/>
    <s v="Yes"/>
    <n v="1"/>
    <s v="No"/>
    <n v="8"/>
    <n v="0.6"/>
    <n v="15.2"/>
    <s v="Yes"/>
    <s v="Good"/>
    <s v="Yes"/>
    <s v="Operations"/>
    <s v="Tuesday"/>
    <s v="Afternoon"/>
  </r>
  <r>
    <x v="1674"/>
    <s v="2024-09-12 19:39:40"/>
    <x v="9"/>
    <s v="2024-09-26 06:45:40"/>
    <x v="771"/>
    <n v="13.5"/>
    <x v="7"/>
    <s v="MS Office"/>
    <s v="Low"/>
    <n v="360"/>
    <x v="1"/>
    <s v="Phone"/>
    <s v="Tier 1"/>
    <x v="12"/>
    <x v="2"/>
    <s v="No"/>
    <s v="No"/>
    <n v="1"/>
    <s v="No"/>
    <n v="10"/>
    <n v="1.8"/>
    <n v="9.1"/>
    <s v="Yes"/>
    <s v="Fair"/>
    <s v="No"/>
    <s v="Legal"/>
    <s v="Thursday"/>
    <s v="Evening"/>
  </r>
  <r>
    <x v="1675"/>
    <s v="2024-06-06 00:20:04"/>
    <x v="10"/>
    <s v="2024-06-30 00:02:04"/>
    <x v="1341"/>
    <n v="24"/>
    <x v="6"/>
    <s v="Distribution List"/>
    <s v="Low"/>
    <n v="360"/>
    <x v="0"/>
    <s v="Portal"/>
    <s v="Tier 2"/>
    <x v="0"/>
    <x v="1"/>
    <s v="No"/>
    <s v="Yes"/>
    <n v="1"/>
    <s v="No"/>
    <n v="6"/>
    <n v="2"/>
    <n v="0"/>
    <s v="Yes"/>
    <s v="Poor"/>
    <s v="Yes"/>
    <s v="Operations"/>
    <s v="Monday"/>
    <s v="Morning"/>
  </r>
  <r>
    <x v="1676"/>
    <s v="2024-02-09 07:02:04"/>
    <x v="6"/>
    <s v="2024-02-16 06:50:04"/>
    <x v="799"/>
    <n v="7"/>
    <x v="6"/>
    <s v="Mailbox Full"/>
    <s v="Medium"/>
    <n v="240"/>
    <x v="1"/>
    <s v="Portal"/>
    <s v="Tier 1"/>
    <x v="15"/>
    <x v="0"/>
    <s v="Yes"/>
    <s v="No"/>
    <n v="0"/>
    <s v="Yes"/>
    <n v="10"/>
    <n v="2.6"/>
    <n v="32"/>
    <s v="No"/>
    <s v="Good"/>
    <s v="Yes"/>
    <s v="Executive"/>
    <s v="Thursday"/>
    <s v="Morning"/>
  </r>
  <r>
    <x v="1677"/>
    <s v="2024-09-28 06:44:25"/>
    <x v="9"/>
    <s v="2024-10-08 13:02:25"/>
    <x v="856"/>
    <n v="10.3"/>
    <x v="3"/>
    <s v="Application Password"/>
    <s v="Low"/>
    <n v="360"/>
    <x v="1"/>
    <s v="Phone"/>
    <s v="Tier 1"/>
    <x v="22"/>
    <x v="2"/>
    <s v="Yes"/>
    <s v="No"/>
    <n v="0"/>
    <s v="No"/>
    <n v="10"/>
    <n v="2.1"/>
    <n v="1"/>
    <s v="No"/>
    <s v="Poor"/>
    <s v="No"/>
    <s v="Marketing"/>
    <s v="Monday"/>
    <s v="Afternoon"/>
  </r>
  <r>
    <x v="1678"/>
    <s v="2024-12-09 14:49:56"/>
    <x v="0"/>
    <s v="2024-12-13 02:55:56"/>
    <x v="1342"/>
    <n v="3.5"/>
    <x v="2"/>
    <s v="WiFi Issues"/>
    <s v="High"/>
    <n v="120"/>
    <x v="1"/>
    <s v="Walk-in"/>
    <s v="Tier 1"/>
    <x v="18"/>
    <x v="1"/>
    <s v="Yes"/>
    <s v="No"/>
    <n v="0"/>
    <s v="No"/>
    <n v="10"/>
    <n v="2.7"/>
    <n v="14.9"/>
    <s v="Yes"/>
    <s v="Excellent"/>
    <s v="Yes"/>
    <s v="Operations"/>
    <s v="Friday"/>
    <s v="Morning"/>
  </r>
  <r>
    <x v="1679"/>
    <s v="2024-04-30 05:38:36"/>
    <x v="11"/>
    <s v="2024-05-12 22:56:36"/>
    <x v="1343"/>
    <n v="12.7"/>
    <x v="5"/>
    <s v="Miscellaneous"/>
    <s v="Low"/>
    <n v="360"/>
    <x v="1"/>
    <s v="Phone"/>
    <s v="Tier 1"/>
    <x v="19"/>
    <x v="1"/>
    <s v="No"/>
    <s v="No"/>
    <n v="1"/>
    <s v="No"/>
    <n v="8"/>
    <n v="2.5"/>
    <n v="3.4"/>
    <s v="No"/>
    <s v="Poor"/>
    <s v="Yes"/>
    <s v="Sales"/>
    <s v="Thursday"/>
    <s v="Afternoon"/>
  </r>
  <r>
    <x v="1680"/>
    <s v="2024-10-07 07:43:04"/>
    <x v="2"/>
    <s v="2024-10-16 09:37:04"/>
    <x v="1344"/>
    <n v="9.1"/>
    <x v="0"/>
    <s v="Application Access"/>
    <s v="Medium"/>
    <n v="240"/>
    <x v="1"/>
    <s v="Email"/>
    <s v="Tier 1"/>
    <x v="17"/>
    <x v="1"/>
    <s v="No"/>
    <s v="No"/>
    <n v="1"/>
    <s v="No"/>
    <n v="6"/>
    <n v="4"/>
    <n v="15.1"/>
    <s v="Yes"/>
    <s v="Fair"/>
    <s v="Yes"/>
    <s v="HR"/>
    <s v="Thursday"/>
    <s v="Afternoon"/>
  </r>
  <r>
    <x v="1681"/>
    <s v="2024-12-29 16:37:04"/>
    <x v="0"/>
    <s v="2025-01-02 16:19:04"/>
    <x v="388"/>
    <n v="4"/>
    <x v="1"/>
    <s v="Laptop"/>
    <s v="High"/>
    <n v="120"/>
    <x v="1"/>
    <s v="Walk-in"/>
    <s v="Tier 1"/>
    <x v="9"/>
    <x v="0"/>
    <s v="No"/>
    <s v="No"/>
    <n v="1"/>
    <s v="No"/>
    <n v="8"/>
    <n v="0.4"/>
    <n v="22.7"/>
    <s v="Yes"/>
    <s v="Good"/>
    <s v="Yes"/>
    <s v="Operations"/>
    <s v="Friday"/>
    <s v="Afternoon"/>
  </r>
  <r>
    <x v="1682"/>
    <s v="2024-05-11 00:04:38"/>
    <x v="8"/>
    <s v="2024-05-15 13:46:38"/>
    <x v="1196"/>
    <n v="3.6"/>
    <x v="2"/>
    <s v="Ethernet"/>
    <s v="High"/>
    <n v="120"/>
    <x v="1"/>
    <s v="Portal"/>
    <s v="Tier 1"/>
    <x v="8"/>
    <x v="2"/>
    <s v="No"/>
    <s v="No"/>
    <n v="1"/>
    <s v="No"/>
    <n v="8"/>
    <n v="0.1"/>
    <n v="48.3"/>
    <s v="No"/>
    <s v="Good"/>
    <s v="Yes"/>
    <s v="Finance"/>
    <s v="Tuesday"/>
    <s v="Afternoon"/>
  </r>
  <r>
    <x v="1683"/>
    <s v="2024-06-23 04:28:39"/>
    <x v="10"/>
    <s v="2024-06-27 12:58:39"/>
    <x v="1212"/>
    <n v="4.4000000000000004"/>
    <x v="1"/>
    <s v="Laptop"/>
    <s v="High"/>
    <n v="120"/>
    <x v="1"/>
    <s v="Phone"/>
    <s v="Tier 2"/>
    <x v="6"/>
    <x v="0"/>
    <s v="No"/>
    <s v="Yes"/>
    <n v="4"/>
    <s v="No"/>
    <n v="7"/>
    <n v="6.2"/>
    <n v="24.2"/>
    <s v="No"/>
    <s v="Fair"/>
    <s v="Yes"/>
    <s v="HR"/>
    <s v="Tuesday"/>
    <s v="Afternoon"/>
  </r>
  <r>
    <x v="1684"/>
    <s v="2024-02-27 11:03:32"/>
    <x v="6"/>
    <s v="2024-03-04 05:03:32"/>
    <x v="1345"/>
    <n v="5.8"/>
    <x v="5"/>
    <s v="Training Request"/>
    <s v="High"/>
    <n v="120"/>
    <x v="0"/>
    <s v="Phone"/>
    <s v="Tier 1"/>
    <x v="1"/>
    <x v="2"/>
    <s v="No"/>
    <s v="No"/>
    <n v="1"/>
    <s v="No"/>
    <n v="6"/>
    <n v="2"/>
    <n v="20.2"/>
    <s v="Yes"/>
    <s v="Poor"/>
    <s v="No"/>
    <s v="HR"/>
    <s v="Wednesday"/>
    <s v="Morning"/>
  </r>
  <r>
    <x v="1685"/>
    <s v="2024-04-20 19:44:07"/>
    <x v="11"/>
    <s v="2024-04-25 23:50:07"/>
    <x v="1346"/>
    <n v="5.2"/>
    <x v="4"/>
    <s v="Login Issues"/>
    <s v="High"/>
    <n v="120"/>
    <x v="0"/>
    <s v="Phone"/>
    <s v="Tier 2"/>
    <x v="23"/>
    <x v="2"/>
    <s v="No"/>
    <s v="Yes"/>
    <n v="4"/>
    <s v="No"/>
    <n v="4"/>
    <n v="2.2000000000000002"/>
    <n v="6.1"/>
    <s v="No"/>
    <s v="Poor"/>
    <s v="Yes"/>
    <s v="Marketing"/>
    <s v="Wednesday"/>
    <s v="Morning"/>
  </r>
  <r>
    <x v="1686"/>
    <s v="2024-07-02 18:19:34"/>
    <x v="4"/>
    <s v="2024-07-06 12:37:34"/>
    <x v="1347"/>
    <n v="3.8"/>
    <x v="2"/>
    <s v="WiFi Issues"/>
    <s v="High"/>
    <n v="120"/>
    <x v="1"/>
    <s v="Phone"/>
    <s v="Tier 2"/>
    <x v="3"/>
    <x v="2"/>
    <s v="No"/>
    <s v="Yes"/>
    <n v="2"/>
    <s v="No"/>
    <n v="10"/>
    <n v="4.0999999999999996"/>
    <n v="24"/>
    <s v="Yes"/>
    <s v="Good"/>
    <s v="No"/>
    <s v="Marketing"/>
    <s v="Tuesday"/>
    <s v="Afternoon"/>
  </r>
  <r>
    <x v="1687"/>
    <s v="2024-05-01 07:28:32"/>
    <x v="8"/>
    <s v="2024-05-10 17:04:32"/>
    <x v="761"/>
    <n v="9.4"/>
    <x v="7"/>
    <s v="Business Apps"/>
    <s v="Low"/>
    <n v="360"/>
    <x v="1"/>
    <s v="Phone"/>
    <s v="Tier 1"/>
    <x v="2"/>
    <x v="0"/>
    <s v="No"/>
    <s v="No"/>
    <n v="1"/>
    <s v="No"/>
    <n v="9"/>
    <n v="0.8"/>
    <n v="35.5"/>
    <s v="No"/>
    <s v="Poor"/>
    <s v="Yes"/>
    <s v="Legal"/>
    <s v="Tuesday"/>
    <s v="Afternoon"/>
  </r>
  <r>
    <x v="1688"/>
    <s v="2024-02-22 09:59:27"/>
    <x v="6"/>
    <s v="2024-03-05 07:23:27"/>
    <x v="1348"/>
    <n v="11.9"/>
    <x v="3"/>
    <s v="Application Password"/>
    <s v="Low"/>
    <n v="360"/>
    <x v="1"/>
    <s v="Phone"/>
    <s v="Tier 1"/>
    <x v="4"/>
    <x v="2"/>
    <s v="No"/>
    <s v="No"/>
    <n v="1"/>
    <s v="No"/>
    <n v="8"/>
    <n v="5.4"/>
    <n v="23.8"/>
    <s v="No"/>
    <s v="Fair"/>
    <s v="Yes"/>
    <s v="IT"/>
    <s v="Friday"/>
    <s v="Morning"/>
  </r>
  <r>
    <x v="1689"/>
    <s v="2024-10-17 11:22:06"/>
    <x v="2"/>
    <s v="2024-10-28 15:40:06"/>
    <x v="1199"/>
    <n v="11.2"/>
    <x v="3"/>
    <s v="Windows Password"/>
    <s v="Low"/>
    <n v="360"/>
    <x v="1"/>
    <s v="Phone"/>
    <s v="Tier 1"/>
    <x v="23"/>
    <x v="0"/>
    <s v="No"/>
    <s v="No"/>
    <n v="1"/>
    <s v="No"/>
    <n v="10"/>
    <n v="2.1"/>
    <n v="8.6999999999999993"/>
    <s v="Yes"/>
    <s v="Poor"/>
    <s v="No"/>
    <s v="Operations"/>
    <s v="Wednesday"/>
    <s v="Morning"/>
  </r>
  <r>
    <x v="1690"/>
    <s v="2024-01-05 17:12:37"/>
    <x v="3"/>
    <s v="2024-01-12 18:30:37"/>
    <x v="47"/>
    <n v="7.1"/>
    <x v="0"/>
    <s v="Admin Rights"/>
    <s v="Medium"/>
    <n v="240"/>
    <x v="1"/>
    <s v="Walk-in"/>
    <s v="Tier 1"/>
    <x v="22"/>
    <x v="2"/>
    <s v="No"/>
    <s v="No"/>
    <n v="1"/>
    <s v="No"/>
    <n v="7"/>
    <n v="3.8"/>
    <n v="0"/>
    <s v="No"/>
    <s v="Fair"/>
    <s v="No"/>
    <s v="Marketing"/>
    <s v="Friday"/>
    <s v="Evening"/>
  </r>
  <r>
    <x v="1691"/>
    <s v="2024-07-19 14:21:12"/>
    <x v="4"/>
    <s v="2024-07-22 17:03:12"/>
    <x v="859"/>
    <n v="3.1"/>
    <x v="1"/>
    <s v="Printer"/>
    <s v="High"/>
    <n v="120"/>
    <x v="1"/>
    <s v="Phone"/>
    <s v="Tier 2"/>
    <x v="9"/>
    <x v="2"/>
    <s v="No"/>
    <s v="Yes"/>
    <n v="3"/>
    <s v="Yes"/>
    <n v="8"/>
    <n v="1.7"/>
    <n v="31"/>
    <s v="No"/>
    <s v="Fair"/>
    <s v="Yes"/>
    <s v="Finance"/>
    <s v="Tuesday"/>
    <s v="Evening"/>
  </r>
  <r>
    <x v="1692"/>
    <s v="2024-07-23 07:03:21"/>
    <x v="4"/>
    <s v="2024-07-26 23:21:21"/>
    <x v="1349"/>
    <n v="3.7"/>
    <x v="4"/>
    <s v="Performance"/>
    <s v="High"/>
    <n v="120"/>
    <x v="1"/>
    <s v="Phone"/>
    <s v="Tier 2"/>
    <x v="6"/>
    <x v="2"/>
    <s v="No"/>
    <s v="Yes"/>
    <n v="1"/>
    <s v="No"/>
    <n v="7"/>
    <n v="2.2000000000000002"/>
    <n v="22.7"/>
    <s v="Yes"/>
    <s v="Poor"/>
    <s v="Yes"/>
    <s v="Legal"/>
    <s v="Friday"/>
    <s v="Afternoon"/>
  </r>
  <r>
    <x v="1693"/>
    <s v="2024-05-05 16:46:49"/>
    <x v="8"/>
    <s v="2024-05-07 14:04:49"/>
    <x v="1350"/>
    <n v="1.9"/>
    <x v="2"/>
    <s v="VPN Connection"/>
    <s v="Critical"/>
    <n v="48"/>
    <x v="1"/>
    <s v="Phone"/>
    <s v="Tier 1"/>
    <x v="10"/>
    <x v="2"/>
    <s v="No"/>
    <s v="No"/>
    <n v="1"/>
    <s v="No"/>
    <n v="7"/>
    <n v="0.5"/>
    <n v="15.8"/>
    <s v="Yes"/>
    <s v="Good"/>
    <s v="Yes"/>
    <s v="Finance"/>
    <s v="Friday"/>
    <s v="Morning"/>
  </r>
  <r>
    <x v="1694"/>
    <s v="2024-11-09 14:03:01"/>
    <x v="7"/>
    <s v="2024-11-14 00:21:01"/>
    <x v="1351"/>
    <n v="5.4"/>
    <x v="4"/>
    <s v="Performance"/>
    <s v="High"/>
    <n v="120"/>
    <x v="0"/>
    <s v="Phone"/>
    <s v="Tier 2"/>
    <x v="21"/>
    <x v="2"/>
    <s v="No"/>
    <s v="Yes"/>
    <n v="3"/>
    <s v="No"/>
    <n v="7"/>
    <n v="5.2"/>
    <n v="10.8"/>
    <s v="Yes"/>
    <s v="Good"/>
    <s v="No"/>
    <s v="Marketing"/>
    <s v="Wednesday"/>
    <s v="Morning"/>
  </r>
  <r>
    <x v="1695"/>
    <s v="2024-03-30 02:07:32"/>
    <x v="5"/>
    <s v="2024-04-01 07:01:32"/>
    <x v="1352"/>
    <n v="2.2000000000000002"/>
    <x v="1"/>
    <s v="Printer"/>
    <s v="Critical"/>
    <n v="48"/>
    <x v="0"/>
    <s v="Portal"/>
    <s v="Tier 1"/>
    <x v="14"/>
    <x v="0"/>
    <s v="Yes"/>
    <s v="No"/>
    <n v="0"/>
    <s v="Yes"/>
    <n v="5"/>
    <n v="4.2"/>
    <n v="47.1"/>
    <s v="No"/>
    <s v="Fair"/>
    <s v="Yes"/>
    <s v="IT"/>
    <s v="Thursday"/>
    <s v="Evening"/>
  </r>
  <r>
    <x v="1696"/>
    <s v="2024-09-05 00:03:11"/>
    <x v="9"/>
    <s v="2024-09-10 05:57:11"/>
    <x v="798"/>
    <n v="4.2"/>
    <x v="1"/>
    <s v="Laptop"/>
    <s v="High"/>
    <n v="120"/>
    <x v="1"/>
    <s v="Email"/>
    <s v="Tier 1"/>
    <x v="11"/>
    <x v="0"/>
    <s v="No"/>
    <s v="No"/>
    <n v="1"/>
    <s v="Yes"/>
    <n v="10"/>
    <n v="2.2000000000000002"/>
    <n v="0"/>
    <s v="Yes"/>
    <s v="Good"/>
    <s v="No"/>
    <s v="Executive"/>
    <s v="Tuesday"/>
    <s v="Afternoon"/>
  </r>
  <r>
    <x v="1697"/>
    <s v="2024-04-17 14:35:25"/>
    <x v="11"/>
    <s v="2024-04-24 09:17:25"/>
    <x v="1098"/>
    <n v="6.8"/>
    <x v="7"/>
    <s v="Business Apps"/>
    <s v="Medium"/>
    <n v="240"/>
    <x v="1"/>
    <s v="Phone"/>
    <s v="Tier 2"/>
    <x v="17"/>
    <x v="0"/>
    <s v="No"/>
    <s v="Yes"/>
    <n v="4"/>
    <s v="No"/>
    <n v="6"/>
    <n v="0.1"/>
    <n v="18.2"/>
    <s v="No"/>
    <s v="Excellent"/>
    <s v="No"/>
    <s v="Legal"/>
    <s v="Wednesday"/>
    <s v="Evening"/>
  </r>
  <r>
    <x v="1698"/>
    <s v="2024-10-10 01:21:22"/>
    <x v="2"/>
    <s v="2024-10-23 04:39:22"/>
    <x v="1306"/>
    <n v="12.1"/>
    <x v="6"/>
    <s v="Mailbox Full"/>
    <s v="Low"/>
    <n v="360"/>
    <x v="1"/>
    <s v="Walk-in"/>
    <s v="Tier 1"/>
    <x v="8"/>
    <x v="1"/>
    <s v="Yes"/>
    <s v="No"/>
    <n v="0"/>
    <s v="No"/>
    <n v="10"/>
    <n v="6.6"/>
    <n v="18"/>
    <s v="Yes"/>
    <s v="Poor"/>
    <s v="Yes"/>
    <s v="Marketing"/>
    <s v="Wednesday"/>
    <s v="Evening"/>
  </r>
  <r>
    <x v="1699"/>
    <s v="2024-01-05 04:59:25"/>
    <x v="3"/>
    <s v="2024-01-11 11:11:25"/>
    <x v="1178"/>
    <n v="6.3"/>
    <x v="2"/>
    <s v="Ethernet"/>
    <s v="Medium"/>
    <n v="240"/>
    <x v="1"/>
    <s v="Phone"/>
    <s v="Tier 2"/>
    <x v="21"/>
    <x v="2"/>
    <s v="No"/>
    <s v="Yes"/>
    <n v="4"/>
    <s v="No"/>
    <n v="6"/>
    <n v="0.7"/>
    <n v="0"/>
    <s v="Yes"/>
    <s v="Good"/>
    <s v="Yes"/>
    <s v="Marketing"/>
    <s v="Friday"/>
    <s v="Afternoon"/>
  </r>
  <r>
    <x v="1700"/>
    <s v="2024-09-08 13:05:46"/>
    <x v="9"/>
    <s v="2024-10-06 21:47:46"/>
    <x v="1353"/>
    <n v="28.4"/>
    <x v="0"/>
    <s v="File Share"/>
    <s v="Medium"/>
    <n v="240"/>
    <x v="0"/>
    <s v="Email"/>
    <s v="Tier 1"/>
    <x v="7"/>
    <x v="2"/>
    <s v="Yes"/>
    <s v="No"/>
    <n v="0"/>
    <s v="No"/>
    <n v="9"/>
    <n v="0.7"/>
    <n v="23.6"/>
    <s v="Yes"/>
    <s v="Poor"/>
    <s v="Yes"/>
    <s v="IT"/>
    <s v="Friday"/>
    <s v="Morning"/>
  </r>
  <r>
    <x v="1701"/>
    <s v="2024-02-02 19:38:39"/>
    <x v="6"/>
    <s v="2024-02-07 13:20:39"/>
    <x v="1354"/>
    <n v="4.7"/>
    <x v="1"/>
    <s v="Printer"/>
    <s v="High"/>
    <n v="120"/>
    <x v="1"/>
    <s v="Walk-in"/>
    <s v="Tier 2"/>
    <x v="5"/>
    <x v="2"/>
    <s v="No"/>
    <s v="Yes"/>
    <n v="4"/>
    <s v="No"/>
    <n v="8"/>
    <n v="2.2999999999999998"/>
    <n v="27.6"/>
    <s v="Yes"/>
    <s v="Good"/>
    <s v="No"/>
    <s v="Executive"/>
    <s v="Monday"/>
    <s v="Morning"/>
  </r>
  <r>
    <x v="1702"/>
    <s v="2024-03-07 17:23:10"/>
    <x v="5"/>
    <s v="2024-03-11 21:17:10"/>
    <x v="838"/>
    <n v="4.2"/>
    <x v="4"/>
    <s v="Crash"/>
    <s v="High"/>
    <n v="120"/>
    <x v="1"/>
    <s v="Email"/>
    <s v="Tier 2"/>
    <x v="7"/>
    <x v="0"/>
    <s v="No"/>
    <s v="Yes"/>
    <n v="1"/>
    <s v="No"/>
    <n v="9"/>
    <n v="3.6"/>
    <n v="0"/>
    <s v="No"/>
    <s v="Good"/>
    <s v="Yes"/>
    <s v="Executive"/>
    <s v="Thursday"/>
    <s v="Evening"/>
  </r>
  <r>
    <x v="1703"/>
    <s v="2024-04-10 21:22:13"/>
    <x v="11"/>
    <s v="2024-05-01 14:04:13"/>
    <x v="1355"/>
    <n v="20.7"/>
    <x v="3"/>
    <s v="Email Password"/>
    <s v="Low"/>
    <n v="360"/>
    <x v="0"/>
    <s v="Email"/>
    <s v="Tier 1"/>
    <x v="15"/>
    <x v="2"/>
    <s v="No"/>
    <s v="No"/>
    <n v="1"/>
    <s v="No"/>
    <n v="3"/>
    <n v="6.1"/>
    <n v="25.6"/>
    <s v="Yes"/>
    <s v="Good"/>
    <s v="Yes"/>
    <s v="Finance"/>
    <s v="Thursday"/>
    <s v="Morning"/>
  </r>
  <r>
    <x v="1704"/>
    <s v="2024-06-11 00:51:46"/>
    <x v="10"/>
    <s v="2024-06-19 02:57:46"/>
    <x v="94"/>
    <n v="8.1"/>
    <x v="1"/>
    <s v="Desktop"/>
    <s v="Medium"/>
    <n v="240"/>
    <x v="1"/>
    <s v="Portal"/>
    <s v="Tier 1"/>
    <x v="16"/>
    <x v="2"/>
    <s v="No"/>
    <s v="No"/>
    <n v="1"/>
    <s v="No"/>
    <n v="9"/>
    <n v="2.8"/>
    <n v="16.2"/>
    <s v="Yes"/>
    <s v="Fair"/>
    <s v="Yes"/>
    <s v="Marketing"/>
    <s v="Friday"/>
    <s v="Morning"/>
  </r>
  <r>
    <x v="1705"/>
    <s v="2024-12-12 05:36:17"/>
    <x v="0"/>
    <s v="2024-12-15 08:12:17"/>
    <x v="249"/>
    <n v="3.1"/>
    <x v="2"/>
    <s v="WiFi Issues"/>
    <s v="High"/>
    <n v="120"/>
    <x v="1"/>
    <s v="Email"/>
    <s v="Tier 1"/>
    <x v="5"/>
    <x v="0"/>
    <s v="Yes"/>
    <s v="No"/>
    <n v="0"/>
    <s v="No"/>
    <n v="8"/>
    <n v="3.5"/>
    <n v="11.8"/>
    <s v="No"/>
    <s v="Fair"/>
    <s v="No"/>
    <s v="Finance"/>
    <s v="Wednesday"/>
    <s v="Morning"/>
  </r>
  <r>
    <x v="1706"/>
    <s v="2024-05-04 15:47:26"/>
    <x v="8"/>
    <s v="2024-05-12 22:23:26"/>
    <x v="974"/>
    <n v="8.3000000000000007"/>
    <x v="7"/>
    <s v="Business Apps"/>
    <s v="Medium"/>
    <n v="240"/>
    <x v="1"/>
    <s v="Walk-in"/>
    <s v="Tier 1"/>
    <x v="11"/>
    <x v="2"/>
    <s v="No"/>
    <s v="No"/>
    <n v="1"/>
    <s v="No"/>
    <n v="9"/>
    <n v="0.1"/>
    <n v="5"/>
    <s v="Yes"/>
    <s v="Fair"/>
    <s v="Yes"/>
    <s v="IT"/>
    <s v="Thursday"/>
    <s v="Morning"/>
  </r>
  <r>
    <x v="1707"/>
    <s v="2024-02-20 23:24:26"/>
    <x v="6"/>
    <s v="2024-03-05 21:42:26"/>
    <x v="1356"/>
    <n v="13.9"/>
    <x v="0"/>
    <s v="VPN Access"/>
    <s v="High"/>
    <n v="120"/>
    <x v="0"/>
    <s v="Portal"/>
    <s v="Tier 1"/>
    <x v="11"/>
    <x v="2"/>
    <s v="Yes"/>
    <s v="No"/>
    <n v="0"/>
    <s v="No"/>
    <n v="9"/>
    <n v="3.1"/>
    <n v="27.2"/>
    <s v="Yes"/>
    <s v="Fair"/>
    <s v="No"/>
    <s v="IT"/>
    <s v="Wednesday"/>
    <s v="Afternoon"/>
  </r>
  <r>
    <x v="1708"/>
    <s v="2024-12-10 17:32:41"/>
    <x v="0"/>
    <s v="2024-12-22 08:32:41"/>
    <x v="709"/>
    <n v="11.6"/>
    <x v="7"/>
    <s v="Drivers"/>
    <s v="Low"/>
    <n v="360"/>
    <x v="1"/>
    <s v="Email"/>
    <s v="Tier 1"/>
    <x v="23"/>
    <x v="1"/>
    <s v="No"/>
    <s v="No"/>
    <n v="1"/>
    <s v="No"/>
    <n v="7"/>
    <n v="2"/>
    <n v="26.3"/>
    <s v="No"/>
    <s v="Fair"/>
    <s v="Yes"/>
    <s v="Sales"/>
    <s v="Thursday"/>
    <s v="Afternoon"/>
  </r>
  <r>
    <x v="1709"/>
    <s v="2024-07-04 10:27:16"/>
    <x v="4"/>
    <s v="2024-07-23 15:39:16"/>
    <x v="1357"/>
    <n v="19.2"/>
    <x v="3"/>
    <s v="Email Password"/>
    <s v="Low"/>
    <n v="360"/>
    <x v="0"/>
    <s v="Portal"/>
    <s v="Tier 1"/>
    <x v="7"/>
    <x v="2"/>
    <s v="No"/>
    <s v="No"/>
    <n v="1"/>
    <s v="Yes"/>
    <n v="7"/>
    <n v="3.4"/>
    <n v="25.6"/>
    <s v="Yes"/>
    <s v="Fair"/>
    <s v="Yes"/>
    <s v="Legal"/>
    <s v="Tuesday"/>
    <s v="Morning"/>
  </r>
  <r>
    <x v="1710"/>
    <s v="2024-06-22 00:34:27"/>
    <x v="10"/>
    <s v="2024-07-01 13:16:27"/>
    <x v="1358"/>
    <n v="8.5"/>
    <x v="7"/>
    <s v="VPN Client"/>
    <s v="Medium"/>
    <n v="240"/>
    <x v="1"/>
    <s v="Phone"/>
    <s v="Tier 1"/>
    <x v="6"/>
    <x v="2"/>
    <s v="No"/>
    <s v="No"/>
    <n v="1"/>
    <s v="No"/>
    <n v="10"/>
    <n v="1.4"/>
    <n v="17.7"/>
    <s v="Yes"/>
    <s v="Fair"/>
    <s v="Yes"/>
    <s v="HR"/>
    <s v="Friday"/>
    <s v="Afternoon"/>
  </r>
  <r>
    <x v="1711"/>
    <s v="2024-01-24 20:20:50"/>
    <x v="3"/>
    <s v="2024-02-07 02:02:50"/>
    <x v="1359"/>
    <n v="13.2"/>
    <x v="5"/>
    <s v="General Inquiry"/>
    <s v="Low"/>
    <n v="360"/>
    <x v="1"/>
    <s v="Phone"/>
    <s v="Tier 1"/>
    <x v="6"/>
    <x v="0"/>
    <s v="Yes"/>
    <s v="No"/>
    <n v="0"/>
    <s v="No"/>
    <n v="8"/>
    <n v="1.5"/>
    <n v="11"/>
    <s v="Yes"/>
    <s v="Good"/>
    <s v="No"/>
    <s v="Operations"/>
    <s v="Friday"/>
    <s v="Evening"/>
  </r>
  <r>
    <x v="1712"/>
    <s v="2024-05-11 17:29:14"/>
    <x v="8"/>
    <s v="2024-05-24 18:47:14"/>
    <x v="1360"/>
    <n v="13.1"/>
    <x v="5"/>
    <s v="Training Request"/>
    <s v="Medium"/>
    <n v="240"/>
    <x v="0"/>
    <s v="Phone"/>
    <s v="Tier 1"/>
    <x v="5"/>
    <x v="0"/>
    <s v="Yes"/>
    <s v="No"/>
    <n v="0"/>
    <s v="No"/>
    <n v="5"/>
    <n v="2"/>
    <n v="16.8"/>
    <s v="Yes"/>
    <s v="Good"/>
    <s v="Yes"/>
    <s v="Operations"/>
    <s v="Wednesday"/>
    <s v="Morning"/>
  </r>
  <r>
    <x v="1713"/>
    <s v="2024-05-21 05:35:29"/>
    <x v="8"/>
    <s v="2024-05-25 03:59:29"/>
    <x v="1018"/>
    <n v="3.9"/>
    <x v="2"/>
    <s v="Ethernet"/>
    <s v="High"/>
    <n v="120"/>
    <x v="1"/>
    <s v="Portal"/>
    <s v="Tier 1"/>
    <x v="12"/>
    <x v="0"/>
    <s v="Yes"/>
    <s v="No"/>
    <n v="0"/>
    <s v="No"/>
    <n v="8"/>
    <n v="2.4"/>
    <n v="24.6"/>
    <s v="Yes"/>
    <s v="Fair"/>
    <s v="Yes"/>
    <s v="Finance"/>
    <s v="Thursday"/>
    <s v="Evening"/>
  </r>
  <r>
    <x v="1714"/>
    <s v="2024-05-31 04:06:31"/>
    <x v="8"/>
    <s v="2024-06-03 21:00:31"/>
    <x v="811"/>
    <n v="3.7"/>
    <x v="6"/>
    <s v="Mailbox Full"/>
    <s v="High"/>
    <n v="120"/>
    <x v="1"/>
    <s v="Portal"/>
    <s v="Tier 1"/>
    <x v="24"/>
    <x v="2"/>
    <s v="No"/>
    <s v="No"/>
    <n v="1"/>
    <s v="Yes"/>
    <n v="7"/>
    <n v="3.5"/>
    <n v="21.2"/>
    <s v="Yes"/>
    <s v="Fair"/>
    <s v="No"/>
    <s v="HR"/>
    <s v="Wednesday"/>
    <s v="Morning"/>
  </r>
  <r>
    <x v="1715"/>
    <s v="2024-08-28 21:30:19"/>
    <x v="1"/>
    <s v="2024-09-19 18:36:19"/>
    <x v="913"/>
    <n v="21.9"/>
    <x v="0"/>
    <s v="File Share"/>
    <s v="Low"/>
    <n v="360"/>
    <x v="0"/>
    <s v="Phone"/>
    <s v="Tier 1"/>
    <x v="13"/>
    <x v="2"/>
    <s v="No"/>
    <s v="No"/>
    <n v="1"/>
    <s v="No"/>
    <n v="3"/>
    <n v="2"/>
    <n v="26.6"/>
    <s v="No"/>
    <s v="Excellent"/>
    <s v="No"/>
    <s v="Executive"/>
    <s v="Thursday"/>
    <s v="Morning"/>
  </r>
  <r>
    <x v="1716"/>
    <s v="2024-07-05 21:41:44"/>
    <x v="4"/>
    <s v="2024-07-08 23:53:44"/>
    <x v="375"/>
    <n v="3.1"/>
    <x v="4"/>
    <s v="Performance"/>
    <s v="High"/>
    <n v="120"/>
    <x v="1"/>
    <s v="Phone"/>
    <s v="Tier 1"/>
    <x v="17"/>
    <x v="2"/>
    <s v="No"/>
    <s v="No"/>
    <n v="1"/>
    <s v="Yes"/>
    <n v="9"/>
    <n v="4.5999999999999996"/>
    <n v="35.200000000000003"/>
    <s v="Yes"/>
    <s v="Fair"/>
    <s v="No"/>
    <s v="IT"/>
    <s v="Tuesday"/>
    <s v="Afternoon"/>
  </r>
  <r>
    <x v="1717"/>
    <s v="2024-10-08 21:29:46"/>
    <x v="2"/>
    <s v="2024-10-17 06:41:46"/>
    <x v="591"/>
    <n v="8.4"/>
    <x v="7"/>
    <s v="Adobe Suite"/>
    <s v="Medium"/>
    <n v="240"/>
    <x v="1"/>
    <s v="Portal"/>
    <s v="Tier 2"/>
    <x v="4"/>
    <x v="2"/>
    <s v="No"/>
    <s v="Yes"/>
    <n v="4"/>
    <s v="No"/>
    <n v="6"/>
    <n v="2.8"/>
    <n v="0"/>
    <s v="No"/>
    <s v="Fair"/>
    <s v="No"/>
    <s v="Legal"/>
    <s v="Monday"/>
    <s v="Morning"/>
  </r>
  <r>
    <x v="1718"/>
    <s v="2024-06-13 03:10:36"/>
    <x v="10"/>
    <s v="2024-06-27 22:52:36"/>
    <x v="1072"/>
    <n v="14.8"/>
    <x v="3"/>
    <s v="Account Unlock"/>
    <s v="Medium"/>
    <n v="240"/>
    <x v="0"/>
    <s v="Email"/>
    <s v="Tier 1"/>
    <x v="22"/>
    <x v="0"/>
    <s v="No"/>
    <s v="No"/>
    <n v="1"/>
    <s v="No"/>
    <n v="5"/>
    <n v="3.2"/>
    <n v="27"/>
    <s v="Yes"/>
    <s v="Poor"/>
    <s v="No"/>
    <s v="Finance"/>
    <s v="Tuesday"/>
    <s v="Evening"/>
  </r>
  <r>
    <x v="1719"/>
    <s v="2024-02-05 02:16:12"/>
    <x v="6"/>
    <s v="2024-02-14 12:52:12"/>
    <x v="1361"/>
    <n v="9.4"/>
    <x v="0"/>
    <s v="Application Access"/>
    <s v="Medium"/>
    <n v="240"/>
    <x v="1"/>
    <s v="Phone"/>
    <s v="Tier 1"/>
    <x v="20"/>
    <x v="2"/>
    <s v="No"/>
    <s v="No"/>
    <n v="1"/>
    <s v="Yes"/>
    <n v="10"/>
    <n v="0.5"/>
    <n v="15.8"/>
    <s v="Yes"/>
    <s v="Poor"/>
    <s v="Yes"/>
    <s v="HR"/>
    <s v="Tuesday"/>
    <s v="Morning"/>
  </r>
  <r>
    <x v="1720"/>
    <s v="2024-10-03 05:17:28"/>
    <x v="2"/>
    <s v="2024-10-16 00:05:28"/>
    <x v="1362"/>
    <n v="13.8"/>
    <x v="4"/>
    <s v="Features Not Working"/>
    <s v="Low"/>
    <n v="360"/>
    <x v="1"/>
    <s v="Email"/>
    <s v="Tier 1"/>
    <x v="9"/>
    <x v="2"/>
    <s v="Yes"/>
    <s v="No"/>
    <n v="0"/>
    <s v="No"/>
    <n v="10"/>
    <n v="0.3"/>
    <n v="31.7"/>
    <s v="No"/>
    <s v="Poor"/>
    <s v="No"/>
    <s v="Legal"/>
    <s v="Wednesday"/>
    <s v="Morning"/>
  </r>
  <r>
    <x v="1721"/>
    <s v="2024-03-15 09:20:40"/>
    <x v="5"/>
    <s v="2024-03-24 18:02:40"/>
    <x v="224"/>
    <n v="9.4"/>
    <x v="3"/>
    <s v="Email Password"/>
    <s v="Low"/>
    <n v="360"/>
    <x v="1"/>
    <s v="Email"/>
    <s v="Tier 1"/>
    <x v="17"/>
    <x v="1"/>
    <s v="Yes"/>
    <s v="No"/>
    <n v="0"/>
    <s v="Yes"/>
    <n v="8"/>
    <n v="3.8"/>
    <n v="20.100000000000001"/>
    <s v="No"/>
    <s v="Good"/>
    <s v="Yes"/>
    <s v="Finance"/>
    <s v="Tuesday"/>
    <s v="Afternoon"/>
  </r>
  <r>
    <x v="1722"/>
    <s v="2024-07-25 11:16:33"/>
    <x v="4"/>
    <s v="2024-07-29 05:46:33"/>
    <x v="501"/>
    <n v="3.8"/>
    <x v="2"/>
    <s v="VPN Connection"/>
    <s v="High"/>
    <n v="120"/>
    <x v="1"/>
    <s v="Email"/>
    <s v="Tier 1"/>
    <x v="17"/>
    <x v="2"/>
    <s v="Yes"/>
    <s v="No"/>
    <n v="0"/>
    <s v="No"/>
    <n v="8"/>
    <n v="0.1"/>
    <n v="0.9"/>
    <s v="Yes"/>
    <s v="Fair"/>
    <s v="Yes"/>
    <s v="Marketing"/>
    <s v="Tuesday"/>
    <s v="Morning"/>
  </r>
  <r>
    <x v="1723"/>
    <s v="2024-04-12 21:47:28"/>
    <x v="11"/>
    <s v="2024-04-21 04:17:28"/>
    <x v="1363"/>
    <n v="8.3000000000000007"/>
    <x v="3"/>
    <s v="Account Unlock"/>
    <s v="Medium"/>
    <n v="240"/>
    <x v="1"/>
    <s v="Portal"/>
    <s v="Tier 1"/>
    <x v="13"/>
    <x v="1"/>
    <s v="Yes"/>
    <s v="No"/>
    <n v="0"/>
    <s v="No"/>
    <n v="9"/>
    <n v="2.2999999999999998"/>
    <n v="28.6"/>
    <s v="No"/>
    <s v="Fair"/>
    <s v="Yes"/>
    <s v="Executive"/>
    <s v="Monday"/>
    <s v="Morning"/>
  </r>
  <r>
    <x v="1724"/>
    <s v="2024-11-20 20:46:39"/>
    <x v="7"/>
    <s v="2024-12-26 04:28:39"/>
    <x v="1364"/>
    <n v="35.299999999999997"/>
    <x v="3"/>
    <s v="Application Password"/>
    <s v="Low"/>
    <n v="360"/>
    <x v="0"/>
    <s v="Phone"/>
    <s v="Tier 1"/>
    <x v="6"/>
    <x v="2"/>
    <s v="Yes"/>
    <s v="No"/>
    <n v="0"/>
    <s v="Yes"/>
    <n v="7"/>
    <n v="3.1"/>
    <n v="41.6"/>
    <s v="Yes"/>
    <s v="Good"/>
    <s v="No"/>
    <s v="IT"/>
    <s v="Friday"/>
    <s v="Afternoon"/>
  </r>
  <r>
    <x v="1725"/>
    <s v="2024-02-15 18:17:44"/>
    <x v="6"/>
    <s v="2024-02-23 01:11:44"/>
    <x v="1365"/>
    <n v="8.3000000000000007"/>
    <x v="1"/>
    <s v="Printer"/>
    <s v="Medium"/>
    <n v="240"/>
    <x v="1"/>
    <s v="Portal"/>
    <s v="Tier 1"/>
    <x v="11"/>
    <x v="0"/>
    <s v="No"/>
    <s v="No"/>
    <n v="1"/>
    <s v="No"/>
    <n v="8"/>
    <n v="2.5"/>
    <n v="10.8"/>
    <s v="Yes"/>
    <s v="Excellent"/>
    <s v="Yes"/>
    <s v="Operations"/>
    <s v="Thursday"/>
    <s v="Morning"/>
  </r>
  <r>
    <x v="1726"/>
    <s v="2024-03-09 13:03:22"/>
    <x v="5"/>
    <s v="2024-03-11 08:27:22"/>
    <x v="1366"/>
    <n v="1.8"/>
    <x v="4"/>
    <s v="Crash"/>
    <s v="Critical"/>
    <n v="48"/>
    <x v="1"/>
    <s v="Phone"/>
    <s v="Tier 1"/>
    <x v="1"/>
    <x v="2"/>
    <s v="No"/>
    <s v="No"/>
    <n v="1"/>
    <s v="Yes"/>
    <n v="8"/>
    <n v="1.6"/>
    <n v="14.5"/>
    <s v="No"/>
    <s v="Fair"/>
    <s v="No"/>
    <s v="Sales"/>
    <s v="Tuesday"/>
    <s v="Morning"/>
  </r>
  <r>
    <x v="1727"/>
    <s v="2024-08-09 21:37:59"/>
    <x v="1"/>
    <s v="2024-08-23 06:01:59"/>
    <x v="1367"/>
    <n v="13.4"/>
    <x v="7"/>
    <s v="VPN Client"/>
    <s v="Low"/>
    <n v="360"/>
    <x v="1"/>
    <s v="Walk-in"/>
    <s v="Tier 1"/>
    <x v="20"/>
    <x v="2"/>
    <s v="No"/>
    <s v="No"/>
    <n v="1"/>
    <s v="No"/>
    <n v="7"/>
    <n v="3.3"/>
    <n v="6.8"/>
    <s v="No"/>
    <s v="Fair"/>
    <s v="Yes"/>
    <s v="Legal"/>
    <s v="Wednesday"/>
    <s v="Morning"/>
  </r>
  <r>
    <x v="1728"/>
    <s v="2024-07-29 01:44:54"/>
    <x v="4"/>
    <s v="2024-08-10 23:50:54"/>
    <x v="1368"/>
    <n v="11.9"/>
    <x v="5"/>
    <s v="Training Request"/>
    <s v="Low"/>
    <n v="360"/>
    <x v="1"/>
    <s v="Email"/>
    <s v="Tier 1"/>
    <x v="21"/>
    <x v="0"/>
    <s v="No"/>
    <s v="No"/>
    <n v="1"/>
    <s v="Yes"/>
    <n v="8"/>
    <n v="2.7"/>
    <n v="0"/>
    <s v="Yes"/>
    <s v="Poor"/>
    <s v="No"/>
    <s v="IT"/>
    <s v="Tuesday"/>
    <s v="Afternoon"/>
  </r>
  <r>
    <x v="1729"/>
    <s v="2024-02-23 05:11:08"/>
    <x v="6"/>
    <s v="2024-03-05 20:29:08"/>
    <x v="1369"/>
    <n v="11.6"/>
    <x v="3"/>
    <s v="Account Unlock"/>
    <s v="Low"/>
    <n v="360"/>
    <x v="1"/>
    <s v="Email"/>
    <s v="Tier 1"/>
    <x v="11"/>
    <x v="0"/>
    <s v="Yes"/>
    <s v="No"/>
    <n v="0"/>
    <s v="No"/>
    <n v="10"/>
    <n v="0.1"/>
    <n v="16.100000000000001"/>
    <s v="Yes"/>
    <s v="Poor"/>
    <s v="Yes"/>
    <s v="HR"/>
    <s v="Monday"/>
    <s v="Evening"/>
  </r>
  <r>
    <x v="1730"/>
    <s v="2024-12-17 07:54:13"/>
    <x v="0"/>
    <s v="2024-12-27 03:12:13"/>
    <x v="1370"/>
    <n v="9.8000000000000007"/>
    <x v="3"/>
    <s v="Email Password"/>
    <s v="Low"/>
    <n v="360"/>
    <x v="1"/>
    <s v="Email"/>
    <s v="Tier 1"/>
    <x v="16"/>
    <x v="0"/>
    <s v="Yes"/>
    <s v="No"/>
    <n v="0"/>
    <s v="No"/>
    <n v="8"/>
    <n v="2.8"/>
    <n v="30.8"/>
    <s v="No"/>
    <s v="Poor"/>
    <s v="Yes"/>
    <s v="IT"/>
    <s v="Monday"/>
    <s v="Evening"/>
  </r>
  <r>
    <x v="1731"/>
    <s v="2024-04-23 02:19:22"/>
    <x v="11"/>
    <s v="2024-04-27 15:13:22"/>
    <x v="882"/>
    <n v="3.5"/>
    <x v="2"/>
    <s v="Ethernet"/>
    <s v="High"/>
    <n v="120"/>
    <x v="1"/>
    <s v="Email"/>
    <s v="Tier 1"/>
    <x v="18"/>
    <x v="0"/>
    <s v="No"/>
    <s v="No"/>
    <n v="1"/>
    <s v="No"/>
    <n v="10"/>
    <n v="3.7"/>
    <n v="20.3"/>
    <s v="Yes"/>
    <s v="Fair"/>
    <s v="No"/>
    <s v="Operations"/>
    <s v="Tuesday"/>
    <s v="Afternoon"/>
  </r>
  <r>
    <x v="1732"/>
    <s v="2024-08-21 06:03:47"/>
    <x v="1"/>
    <s v="2024-08-27 11:51:47"/>
    <x v="274"/>
    <n v="6.2"/>
    <x v="0"/>
    <s v="File Share"/>
    <s v="Medium"/>
    <n v="240"/>
    <x v="1"/>
    <s v="Phone"/>
    <s v="Tier 1"/>
    <x v="20"/>
    <x v="2"/>
    <s v="No"/>
    <s v="No"/>
    <n v="1"/>
    <s v="No"/>
    <n v="9"/>
    <n v="3.7"/>
    <n v="10.1"/>
    <s v="Yes"/>
    <s v="Poor"/>
    <s v="Yes"/>
    <s v="Operations"/>
    <s v="Monday"/>
    <s v="Morning"/>
  </r>
  <r>
    <x v="1733"/>
    <s v="2024-03-24 13:26:17"/>
    <x v="5"/>
    <s v="2024-03-28 17:50:17"/>
    <x v="126"/>
    <n v="4.2"/>
    <x v="1"/>
    <s v="Monitor"/>
    <s v="High"/>
    <n v="120"/>
    <x v="1"/>
    <s v="Email"/>
    <s v="Tier 2"/>
    <x v="9"/>
    <x v="1"/>
    <s v="No"/>
    <s v="Yes"/>
    <n v="3"/>
    <s v="No"/>
    <n v="8"/>
    <n v="4.9000000000000004"/>
    <n v="15.1"/>
    <s v="No"/>
    <s v="Good"/>
    <s v="Yes"/>
    <s v="Operations"/>
    <s v="Tuesday"/>
    <s v="Evening"/>
  </r>
  <r>
    <x v="1734"/>
    <s v="2024-10-17 13:37:10"/>
    <x v="2"/>
    <s v="2024-10-31 22:19:10"/>
    <x v="1371"/>
    <n v="14.4"/>
    <x v="2"/>
    <s v="VPN Connection"/>
    <s v="High"/>
    <n v="120"/>
    <x v="0"/>
    <s v="Email"/>
    <s v="Tier 1"/>
    <x v="3"/>
    <x v="1"/>
    <s v="No"/>
    <s v="No"/>
    <n v="1"/>
    <s v="Yes"/>
    <n v="5"/>
    <n v="4.4000000000000004"/>
    <n v="23"/>
    <s v="Yes"/>
    <s v="Good"/>
    <s v="No"/>
    <s v="Executive"/>
    <s v="Thursday"/>
    <s v="Morning"/>
  </r>
  <r>
    <x v="1735"/>
    <s v="2024-04-13 02:39:59"/>
    <x v="11"/>
    <s v="2024-04-21 05:09:59"/>
    <x v="1141"/>
    <n v="7.1"/>
    <x v="5"/>
    <s v="Miscellaneous"/>
    <s v="Medium"/>
    <n v="240"/>
    <x v="1"/>
    <s v="Phone"/>
    <s v="Tier 1"/>
    <x v="24"/>
    <x v="1"/>
    <s v="No"/>
    <s v="No"/>
    <n v="1"/>
    <s v="No"/>
    <n v="10"/>
    <n v="3.2"/>
    <n v="19.8"/>
    <s v="No"/>
    <s v="Fair"/>
    <s v="Yes"/>
    <s v="IT"/>
    <s v="Wednesday"/>
    <s v="Evening"/>
  </r>
  <r>
    <x v="1736"/>
    <s v="2024-08-20 01:47:18"/>
    <x v="1"/>
    <s v="2024-09-10 13:53:18"/>
    <x v="1372"/>
    <n v="20.5"/>
    <x v="3"/>
    <s v="Email Password"/>
    <s v="Low"/>
    <n v="360"/>
    <x v="0"/>
    <s v="Email"/>
    <s v="Tier 1"/>
    <x v="8"/>
    <x v="2"/>
    <s v="Yes"/>
    <s v="No"/>
    <n v="0"/>
    <s v="Yes"/>
    <n v="8"/>
    <n v="2.7"/>
    <n v="5.8"/>
    <s v="No"/>
    <s v="Poor"/>
    <s v="Yes"/>
    <s v="HR"/>
    <s v="Thursday"/>
    <s v="Afternoon"/>
  </r>
  <r>
    <x v="1737"/>
    <s v="2024-11-20 23:20:49"/>
    <x v="7"/>
    <s v="2024-12-02 14:08:49"/>
    <x v="1373"/>
    <n v="11.6"/>
    <x v="7"/>
    <s v="VPN Client"/>
    <s v="Medium"/>
    <n v="240"/>
    <x v="0"/>
    <s v="Phone"/>
    <s v="Tier 1"/>
    <x v="8"/>
    <x v="1"/>
    <s v="No"/>
    <s v="No"/>
    <n v="1"/>
    <s v="Yes"/>
    <n v="4"/>
    <n v="3.4"/>
    <n v="29.3"/>
    <s v="No"/>
    <s v="Good"/>
    <s v="Yes"/>
    <s v="IT"/>
    <s v="Tuesday"/>
    <s v="Morning"/>
  </r>
  <r>
    <x v="1738"/>
    <s v="2024-12-12 02:26:37"/>
    <x v="0"/>
    <s v="2024-12-24 18:38:37"/>
    <x v="849"/>
    <n v="12.7"/>
    <x v="0"/>
    <s v="Application Access"/>
    <s v="Medium"/>
    <n v="240"/>
    <x v="0"/>
    <s v="Email"/>
    <s v="Tier 2"/>
    <x v="1"/>
    <x v="0"/>
    <s v="No"/>
    <s v="Yes"/>
    <n v="1"/>
    <s v="No"/>
    <n v="6"/>
    <n v="0.5"/>
    <n v="8.5"/>
    <s v="Yes"/>
    <s v="Fair"/>
    <s v="Yes"/>
    <s v="Operations"/>
    <s v="Monday"/>
    <s v="Morning"/>
  </r>
  <r>
    <x v="1739"/>
    <s v="2024-10-20 09:55:38"/>
    <x v="2"/>
    <s v="2024-10-23 11:31:38"/>
    <x v="1374"/>
    <n v="3.1"/>
    <x v="1"/>
    <s v="Laptop"/>
    <s v="High"/>
    <n v="120"/>
    <x v="1"/>
    <s v="Email"/>
    <s v="Tier 1"/>
    <x v="7"/>
    <x v="1"/>
    <s v="No"/>
    <s v="No"/>
    <n v="1"/>
    <s v="No"/>
    <n v="6"/>
    <n v="4.0999999999999996"/>
    <n v="8.9"/>
    <s v="Yes"/>
    <s v="Good"/>
    <s v="Yes"/>
    <s v="HR"/>
    <s v="Friday"/>
    <s v="Morning"/>
  </r>
  <r>
    <x v="1740"/>
    <s v="2024-03-30 13:28:23"/>
    <x v="5"/>
    <s v="2024-04-06 12:40:23"/>
    <x v="1375"/>
    <n v="6.9"/>
    <x v="0"/>
    <s v="Admin Rights"/>
    <s v="Medium"/>
    <n v="240"/>
    <x v="1"/>
    <s v="Email"/>
    <s v="Tier 1"/>
    <x v="4"/>
    <x v="1"/>
    <s v="No"/>
    <s v="No"/>
    <n v="1"/>
    <s v="No"/>
    <n v="9"/>
    <n v="3"/>
    <n v="29.7"/>
    <s v="Yes"/>
    <s v="Fair"/>
    <s v="No"/>
    <s v="Marketing"/>
    <s v="Wednesday"/>
    <s v="Afternoon"/>
  </r>
  <r>
    <x v="1741"/>
    <s v="2024-07-21 07:20:15"/>
    <x v="4"/>
    <s v="2024-07-28 17:14:15"/>
    <x v="1304"/>
    <n v="7.4"/>
    <x v="7"/>
    <s v="Business Apps"/>
    <s v="Medium"/>
    <n v="240"/>
    <x v="1"/>
    <s v="Portal"/>
    <s v="Tier 1"/>
    <x v="8"/>
    <x v="1"/>
    <s v="Yes"/>
    <s v="No"/>
    <n v="0"/>
    <s v="Yes"/>
    <n v="9"/>
    <n v="1.6"/>
    <n v="7.2"/>
    <s v="Yes"/>
    <s v="Good"/>
    <s v="No"/>
    <s v="IT"/>
    <s v="Friday"/>
    <s v="Morning"/>
  </r>
  <r>
    <x v="1742"/>
    <s v="2024-05-19 11:11:56"/>
    <x v="8"/>
    <s v="2024-06-08 07:59:56"/>
    <x v="1376"/>
    <n v="19.899999999999999"/>
    <x v="3"/>
    <s v="Application Password"/>
    <s v="Low"/>
    <n v="360"/>
    <x v="0"/>
    <s v="Portal"/>
    <s v="Tier 1"/>
    <x v="9"/>
    <x v="0"/>
    <s v="Yes"/>
    <s v="No"/>
    <n v="0"/>
    <s v="No"/>
    <n v="8"/>
    <n v="0.1"/>
    <n v="41.3"/>
    <s v="Yes"/>
    <s v="Fair"/>
    <s v="No"/>
    <s v="IT"/>
    <s v="Monday"/>
    <s v="Afternoon"/>
  </r>
  <r>
    <x v="1743"/>
    <s v="2024-02-19 14:50:14"/>
    <x v="6"/>
    <s v="2024-02-22 22:50:14"/>
    <x v="1104"/>
    <n v="3.3"/>
    <x v="4"/>
    <s v="Crash"/>
    <s v="High"/>
    <n v="120"/>
    <x v="1"/>
    <s v="Portal"/>
    <s v="Tier 2"/>
    <x v="11"/>
    <x v="1"/>
    <s v="No"/>
    <s v="Yes"/>
    <n v="3"/>
    <s v="No"/>
    <n v="8"/>
    <n v="1.7"/>
    <n v="24.8"/>
    <s v="No"/>
    <s v="Fair"/>
    <s v="No"/>
    <s v="Operations"/>
    <s v="Tuesday"/>
    <s v="Morning"/>
  </r>
  <r>
    <x v="1744"/>
    <s v="2024-12-05 06:09:59"/>
    <x v="0"/>
    <s v="2024-12-18 15:57:59"/>
    <x v="946"/>
    <n v="13.4"/>
    <x v="3"/>
    <s v="Account Unlock"/>
    <s v="Low"/>
    <n v="360"/>
    <x v="1"/>
    <s v="Phone"/>
    <s v="Tier 1"/>
    <x v="19"/>
    <x v="0"/>
    <s v="No"/>
    <s v="No"/>
    <n v="1"/>
    <s v="No"/>
    <n v="9"/>
    <n v="2"/>
    <n v="5.6"/>
    <s v="Yes"/>
    <s v="Good"/>
    <s v="Yes"/>
    <s v="Operations"/>
    <s v="Tuesday"/>
    <s v="Afternoon"/>
  </r>
  <r>
    <x v="1745"/>
    <s v="2024-01-17 14:35:30"/>
    <x v="3"/>
    <s v="2024-01-25 23:47:30"/>
    <x v="591"/>
    <n v="8.4"/>
    <x v="7"/>
    <s v="Business Apps"/>
    <s v="Medium"/>
    <n v="240"/>
    <x v="1"/>
    <s v="Phone"/>
    <s v="Tier 2"/>
    <x v="5"/>
    <x v="1"/>
    <s v="No"/>
    <s v="Yes"/>
    <n v="1"/>
    <s v="No"/>
    <n v="8"/>
    <n v="4.4000000000000004"/>
    <n v="38.4"/>
    <s v="Yes"/>
    <s v="Poor"/>
    <s v="Yes"/>
    <s v="HR"/>
    <s v="Wednesday"/>
    <s v="Morning"/>
  </r>
  <r>
    <x v="1746"/>
    <s v="2024-03-28 12:18:26"/>
    <x v="5"/>
    <s v="2024-04-07 05:42:26"/>
    <x v="1377"/>
    <n v="9.6999999999999993"/>
    <x v="4"/>
    <s v="Features Not Working"/>
    <s v="Low"/>
    <n v="360"/>
    <x v="1"/>
    <s v="Walk-in"/>
    <s v="Tier 1"/>
    <x v="7"/>
    <x v="2"/>
    <s v="Yes"/>
    <s v="No"/>
    <n v="0"/>
    <s v="No"/>
    <n v="8"/>
    <n v="1.5"/>
    <n v="26.8"/>
    <s v="Yes"/>
    <s v="Fair"/>
    <s v="No"/>
    <s v="Sales"/>
    <s v="Tuesday"/>
    <s v="Evening"/>
  </r>
  <r>
    <x v="1747"/>
    <s v="2024-09-02 06:27:01"/>
    <x v="9"/>
    <s v="2024-09-08 11:27:01"/>
    <x v="1052"/>
    <n v="6.2"/>
    <x v="7"/>
    <s v="VPN Client"/>
    <s v="Medium"/>
    <n v="240"/>
    <x v="1"/>
    <s v="Portal"/>
    <s v="Tier 2"/>
    <x v="3"/>
    <x v="0"/>
    <s v="No"/>
    <s v="Yes"/>
    <n v="3"/>
    <s v="No"/>
    <n v="7"/>
    <n v="2.6"/>
    <n v="42"/>
    <s v="No"/>
    <s v="Excellent"/>
    <s v="Yes"/>
    <s v="Finance"/>
    <s v="Wednesday"/>
    <s v="Morning"/>
  </r>
  <r>
    <x v="1748"/>
    <s v="2024-04-25 14:47:29"/>
    <x v="11"/>
    <s v="2024-04-29 14:53:29"/>
    <x v="1020"/>
    <n v="4"/>
    <x v="4"/>
    <s v="Features Not Working"/>
    <s v="High"/>
    <n v="120"/>
    <x v="1"/>
    <s v="Phone"/>
    <s v="Tier 2"/>
    <x v="3"/>
    <x v="0"/>
    <s v="No"/>
    <s v="Yes"/>
    <n v="1"/>
    <s v="No"/>
    <n v="8"/>
    <n v="5.3"/>
    <n v="35.700000000000003"/>
    <s v="No"/>
    <s v="Fair"/>
    <s v="No"/>
    <s v="Sales"/>
    <s v="Tuesday"/>
    <s v="Evening"/>
  </r>
  <r>
    <x v="1749"/>
    <s v="2024-03-11 20:21:14"/>
    <x v="5"/>
    <s v="2024-03-18 07:57:14"/>
    <x v="492"/>
    <n v="6.5"/>
    <x v="0"/>
    <s v="File Share"/>
    <s v="Medium"/>
    <n v="240"/>
    <x v="1"/>
    <s v="Portal"/>
    <s v="Tier 1"/>
    <x v="9"/>
    <x v="0"/>
    <s v="Yes"/>
    <s v="No"/>
    <n v="0"/>
    <s v="No"/>
    <n v="10"/>
    <n v="4.3"/>
    <n v="1.4"/>
    <s v="Yes"/>
    <s v="Good"/>
    <s v="No"/>
    <s v="Marketing"/>
    <s v="Thursday"/>
    <s v="Afternoon"/>
  </r>
  <r>
    <x v="1750"/>
    <s v="2024-06-16 04:08:22"/>
    <x v="10"/>
    <s v="2024-06-24 16:38:22"/>
    <x v="1378"/>
    <n v="8.5"/>
    <x v="3"/>
    <s v="Account Unlock"/>
    <s v="Medium"/>
    <n v="240"/>
    <x v="1"/>
    <s v="Phone"/>
    <s v="Tier 1"/>
    <x v="8"/>
    <x v="1"/>
    <s v="Yes"/>
    <s v="No"/>
    <n v="0"/>
    <s v="No"/>
    <n v="10"/>
    <n v="2.9"/>
    <n v="0"/>
    <s v="Yes"/>
    <s v="Excellent"/>
    <s v="Yes"/>
    <s v="Sales"/>
    <s v="Thursday"/>
    <s v="Afternoon"/>
  </r>
  <r>
    <x v="1751"/>
    <s v="2024-11-09 09:39:42"/>
    <x v="7"/>
    <s v="2024-11-10 17:57:42"/>
    <x v="1379"/>
    <n v="1.3"/>
    <x v="2"/>
    <s v="WiFi Issues"/>
    <s v="Critical"/>
    <n v="48"/>
    <x v="1"/>
    <s v="Phone"/>
    <s v="Tier 1"/>
    <x v="19"/>
    <x v="2"/>
    <s v="No"/>
    <s v="No"/>
    <n v="1"/>
    <s v="No"/>
    <n v="8"/>
    <n v="1.6"/>
    <n v="8.1999999999999993"/>
    <s v="Yes"/>
    <s v="Excellent"/>
    <s v="No"/>
    <s v="Executive"/>
    <s v="Wednesday"/>
    <s v="Afternoon"/>
  </r>
  <r>
    <x v="1752"/>
    <s v="2024-11-15 12:46:08"/>
    <x v="7"/>
    <s v="2024-11-27 05:22:08"/>
    <x v="1380"/>
    <n v="11.7"/>
    <x v="5"/>
    <s v="Miscellaneous"/>
    <s v="Low"/>
    <n v="360"/>
    <x v="1"/>
    <s v="Walk-in"/>
    <s v="Tier 2"/>
    <x v="18"/>
    <x v="2"/>
    <s v="No"/>
    <s v="Yes"/>
    <n v="4"/>
    <s v="No"/>
    <n v="9"/>
    <n v="2.1"/>
    <n v="15.8"/>
    <s v="Yes"/>
    <s v="Good"/>
    <s v="No"/>
    <s v="IT"/>
    <s v="Friday"/>
    <s v="Afternoon"/>
  </r>
  <r>
    <x v="1753"/>
    <s v="2024-04-10 01:25:24"/>
    <x v="11"/>
    <s v="2024-04-18 23:19:24"/>
    <x v="1381"/>
    <n v="7.9"/>
    <x v="1"/>
    <s v="Desktop"/>
    <s v="Medium"/>
    <n v="240"/>
    <x v="1"/>
    <s v="Email"/>
    <s v="Tier 2"/>
    <x v="4"/>
    <x v="2"/>
    <s v="No"/>
    <s v="Yes"/>
    <n v="2"/>
    <s v="No"/>
    <n v="9"/>
    <n v="4.5"/>
    <n v="20"/>
    <s v="Yes"/>
    <s v="Excellent"/>
    <s v="Yes"/>
    <s v="Operations"/>
    <s v="Friday"/>
    <s v="Morning"/>
  </r>
  <r>
    <x v="1754"/>
    <s v="2024-01-18 13:01:34"/>
    <x v="3"/>
    <s v="2024-01-26 05:25:34"/>
    <x v="1147"/>
    <n v="7.7"/>
    <x v="2"/>
    <s v="Ethernet"/>
    <s v="Medium"/>
    <n v="240"/>
    <x v="1"/>
    <s v="Portal"/>
    <s v="Tier 1"/>
    <x v="10"/>
    <x v="0"/>
    <s v="No"/>
    <s v="No"/>
    <n v="1"/>
    <s v="No"/>
    <n v="9"/>
    <n v="4"/>
    <n v="6"/>
    <s v="No"/>
    <s v="Good"/>
    <s v="No"/>
    <s v="Legal"/>
    <s v="Friday"/>
    <s v="Morning"/>
  </r>
  <r>
    <x v="1755"/>
    <s v="2024-07-07 22:38:55"/>
    <x v="4"/>
    <s v="2024-07-12 00:50:55"/>
    <x v="1382"/>
    <n v="5.0999999999999996"/>
    <x v="0"/>
    <s v="VPN Access"/>
    <s v="High"/>
    <n v="120"/>
    <x v="0"/>
    <s v="Phone"/>
    <s v="Tier 1"/>
    <x v="2"/>
    <x v="1"/>
    <s v="Yes"/>
    <s v="No"/>
    <n v="0"/>
    <s v="No"/>
    <n v="7"/>
    <n v="1.5"/>
    <n v="8.6999999999999993"/>
    <s v="Yes"/>
    <s v="Poor"/>
    <s v="No"/>
    <s v="HR"/>
    <s v="Friday"/>
    <s v="Afternoon"/>
  </r>
  <r>
    <x v="1756"/>
    <s v="2024-04-07 17:37:17"/>
    <x v="11"/>
    <s v="2024-04-16 01:19:17"/>
    <x v="754"/>
    <n v="9.3000000000000007"/>
    <x v="7"/>
    <s v="VPN Client"/>
    <s v="Medium"/>
    <n v="240"/>
    <x v="1"/>
    <s v="Email"/>
    <s v="Tier 2"/>
    <x v="17"/>
    <x v="2"/>
    <s v="No"/>
    <s v="Yes"/>
    <n v="4"/>
    <s v="No"/>
    <n v="8"/>
    <n v="4.0999999999999996"/>
    <n v="19.2"/>
    <s v="No"/>
    <s v="Poor"/>
    <s v="Yes"/>
    <s v="Finance"/>
    <s v="Wednesday"/>
    <s v="Morning"/>
  </r>
  <r>
    <x v="1757"/>
    <s v="2024-06-28 16:55:39"/>
    <x v="10"/>
    <s v="2024-07-02 07:55:39"/>
    <x v="993"/>
    <n v="3.6"/>
    <x v="4"/>
    <s v="Features Not Working"/>
    <s v="High"/>
    <n v="120"/>
    <x v="1"/>
    <s v="Phone"/>
    <s v="Tier 2"/>
    <x v="15"/>
    <x v="0"/>
    <s v="No"/>
    <s v="Yes"/>
    <n v="4"/>
    <s v="No"/>
    <n v="8"/>
    <n v="0.1"/>
    <n v="29.2"/>
    <s v="No"/>
    <s v="Good"/>
    <s v="Yes"/>
    <s v="Sales"/>
    <s v="Thursday"/>
    <s v="Evening"/>
  </r>
  <r>
    <x v="1758"/>
    <s v="2024-12-18 01:24:49"/>
    <x v="0"/>
    <s v="2024-12-25 00:12:49"/>
    <x v="1249"/>
    <n v="7"/>
    <x v="0"/>
    <s v="Admin Rights"/>
    <s v="Medium"/>
    <n v="240"/>
    <x v="1"/>
    <s v="Email"/>
    <s v="Tier 1"/>
    <x v="17"/>
    <x v="1"/>
    <s v="Yes"/>
    <s v="No"/>
    <n v="0"/>
    <s v="No"/>
    <n v="10"/>
    <n v="3.7"/>
    <n v="15.1"/>
    <s v="Yes"/>
    <s v="Poor"/>
    <s v="Yes"/>
    <s v="IT"/>
    <s v="Monday"/>
    <s v="Afternoon"/>
  </r>
  <r>
    <x v="1759"/>
    <s v="2024-11-20 00:27:04"/>
    <x v="7"/>
    <s v="2024-11-29 05:03:04"/>
    <x v="1383"/>
    <n v="8.1999999999999993"/>
    <x v="7"/>
    <s v="Drivers"/>
    <s v="Medium"/>
    <n v="240"/>
    <x v="1"/>
    <s v="Email"/>
    <s v="Tier 2"/>
    <x v="0"/>
    <x v="2"/>
    <s v="No"/>
    <s v="Yes"/>
    <n v="1"/>
    <s v="No"/>
    <n v="8"/>
    <n v="3.9"/>
    <n v="30.2"/>
    <s v="Yes"/>
    <s v="Good"/>
    <s v="Yes"/>
    <s v="Legal"/>
    <s v="Tuesday"/>
    <s v="Morning"/>
  </r>
  <r>
    <x v="1760"/>
    <s v="2024-04-23 13:52:15"/>
    <x v="11"/>
    <s v="2024-04-24 20:52:15"/>
    <x v="1384"/>
    <n v="1.3"/>
    <x v="1"/>
    <s v="Keyboard/Mouse"/>
    <s v="Critical"/>
    <n v="48"/>
    <x v="1"/>
    <s v="Phone"/>
    <s v="Tier 2"/>
    <x v="6"/>
    <x v="0"/>
    <s v="No"/>
    <s v="Yes"/>
    <n v="2"/>
    <s v="No"/>
    <n v="7"/>
    <n v="3.2"/>
    <n v="25.1"/>
    <s v="Yes"/>
    <s v="Fair"/>
    <s v="Yes"/>
    <s v="Operations"/>
    <s v="Wednesday"/>
    <s v="Morning"/>
  </r>
  <r>
    <x v="1761"/>
    <s v="2024-07-30 03:35:38"/>
    <x v="4"/>
    <s v="2024-08-05 21:17:38"/>
    <x v="340"/>
    <n v="6.7"/>
    <x v="4"/>
    <s v="Crash"/>
    <s v="Medium"/>
    <n v="240"/>
    <x v="1"/>
    <s v="Email"/>
    <s v="Tier 1"/>
    <x v="1"/>
    <x v="1"/>
    <s v="No"/>
    <s v="No"/>
    <n v="1"/>
    <s v="No"/>
    <n v="9"/>
    <n v="4.3"/>
    <n v="10.5"/>
    <s v="No"/>
    <s v="Fair"/>
    <s v="No"/>
    <s v="Legal"/>
    <s v="Wednesday"/>
    <s v="Morning"/>
  </r>
  <r>
    <x v="1762"/>
    <s v="2024-05-16 07:58:16"/>
    <x v="8"/>
    <s v="2024-05-28 07:22:16"/>
    <x v="1385"/>
    <n v="12"/>
    <x v="3"/>
    <s v="Account Unlock"/>
    <s v="Low"/>
    <n v="360"/>
    <x v="1"/>
    <s v="Portal"/>
    <s v="Tier 1"/>
    <x v="12"/>
    <x v="1"/>
    <s v="Yes"/>
    <s v="No"/>
    <n v="0"/>
    <s v="No"/>
    <n v="10"/>
    <n v="3.5"/>
    <n v="21.8"/>
    <s v="Yes"/>
    <s v="Fair"/>
    <s v="No"/>
    <s v="Executive"/>
    <s v="Friday"/>
    <s v="Morning"/>
  </r>
  <r>
    <x v="1763"/>
    <s v="2024-07-23 22:21:32"/>
    <x v="4"/>
    <s v="2024-07-27 09:09:32"/>
    <x v="967"/>
    <n v="3.5"/>
    <x v="4"/>
    <s v="Crash"/>
    <s v="High"/>
    <n v="120"/>
    <x v="1"/>
    <s v="Portal"/>
    <s v="Tier 1"/>
    <x v="9"/>
    <x v="1"/>
    <s v="No"/>
    <s v="No"/>
    <n v="1"/>
    <s v="No"/>
    <n v="8"/>
    <n v="0.1"/>
    <n v="0"/>
    <s v="Yes"/>
    <s v="Good"/>
    <s v="Yes"/>
    <s v="Finance"/>
    <s v="Monday"/>
    <s v="Morning"/>
  </r>
  <r>
    <x v="1764"/>
    <s v="2024-11-28 16:25:14"/>
    <x v="7"/>
    <s v="2024-12-02 01:43:14"/>
    <x v="1331"/>
    <n v="4.4000000000000004"/>
    <x v="6"/>
    <s v="Distribution List"/>
    <s v="High"/>
    <n v="120"/>
    <x v="1"/>
    <s v="Email"/>
    <s v="Tier 1"/>
    <x v="5"/>
    <x v="1"/>
    <s v="Yes"/>
    <s v="No"/>
    <n v="0"/>
    <s v="No"/>
    <n v="8"/>
    <n v="3.6"/>
    <n v="0"/>
    <s v="Yes"/>
    <s v="Poor"/>
    <s v="No"/>
    <s v="Marketing"/>
    <s v="Thursday"/>
    <s v="Morning"/>
  </r>
  <r>
    <x v="1765"/>
    <s v="2024-04-25 14:19:18"/>
    <x v="11"/>
    <s v="2024-05-02 06:19:18"/>
    <x v="1386"/>
    <n v="6.7"/>
    <x v="7"/>
    <s v="Adobe Suite"/>
    <s v="Medium"/>
    <n v="240"/>
    <x v="1"/>
    <s v="Chat"/>
    <s v="Tier 2"/>
    <x v="21"/>
    <x v="2"/>
    <s v="No"/>
    <s v="Yes"/>
    <n v="4"/>
    <s v="No"/>
    <n v="8"/>
    <n v="3.9"/>
    <n v="18.2"/>
    <s v="No"/>
    <s v="Poor"/>
    <s v="Yes"/>
    <s v="IT"/>
    <s v="Friday"/>
    <s v="Afternoon"/>
  </r>
  <r>
    <x v="1766"/>
    <s v="2024-03-06 23:23:47"/>
    <x v="5"/>
    <s v="2024-03-14 00:23:47"/>
    <x v="623"/>
    <n v="8"/>
    <x v="7"/>
    <s v="Drivers"/>
    <s v="Medium"/>
    <n v="240"/>
    <x v="1"/>
    <s v="Email"/>
    <s v="Tier 1"/>
    <x v="11"/>
    <x v="2"/>
    <s v="No"/>
    <s v="No"/>
    <n v="1"/>
    <s v="No"/>
    <n v="7"/>
    <n v="2.1"/>
    <n v="21.3"/>
    <s v="Yes"/>
    <s v="Good"/>
    <s v="Yes"/>
    <s v="Finance"/>
    <s v="Monday"/>
    <s v="Evening"/>
  </r>
  <r>
    <x v="1767"/>
    <s v="2024-08-17 17:24:16"/>
    <x v="1"/>
    <s v="2024-08-23 22:12:16"/>
    <x v="1387"/>
    <n v="6.2"/>
    <x v="4"/>
    <s v="Features Not Working"/>
    <s v="High"/>
    <n v="120"/>
    <x v="0"/>
    <s v="Portal"/>
    <s v="Tier 1"/>
    <x v="8"/>
    <x v="1"/>
    <s v="No"/>
    <s v="No"/>
    <n v="1"/>
    <s v="No"/>
    <n v="4"/>
    <n v="3.3"/>
    <n v="15.2"/>
    <s v="No"/>
    <s v="Excellent"/>
    <s v="No"/>
    <s v="HR"/>
    <s v="Monday"/>
    <s v="Afternoon"/>
  </r>
  <r>
    <x v="1768"/>
    <s v="2024-07-21 02:27:40"/>
    <x v="4"/>
    <s v="2024-08-11 20:27:40"/>
    <x v="1388"/>
    <n v="20.8"/>
    <x v="3"/>
    <s v="Account Unlock"/>
    <s v="Low"/>
    <n v="360"/>
    <x v="0"/>
    <s v="Phone"/>
    <s v="Tier 1"/>
    <x v="0"/>
    <x v="0"/>
    <s v="Yes"/>
    <s v="No"/>
    <n v="0"/>
    <s v="No"/>
    <n v="8"/>
    <n v="2.9"/>
    <n v="6.5"/>
    <s v="Yes"/>
    <s v="Poor"/>
    <s v="Yes"/>
    <s v="Finance"/>
    <s v="Tuesday"/>
    <s v="Afternoon"/>
  </r>
  <r>
    <x v="1769"/>
    <s v="2024-06-27 23:05:15"/>
    <x v="10"/>
    <s v="2024-07-07 09:41:15"/>
    <x v="1361"/>
    <n v="9.4"/>
    <x v="0"/>
    <s v="VPN Access"/>
    <s v="Medium"/>
    <n v="240"/>
    <x v="1"/>
    <s v="Phone"/>
    <s v="Tier 1"/>
    <x v="18"/>
    <x v="0"/>
    <s v="No"/>
    <s v="No"/>
    <n v="1"/>
    <s v="No"/>
    <n v="10"/>
    <n v="3.5"/>
    <n v="25.9"/>
    <s v="Yes"/>
    <s v="Good"/>
    <s v="Yes"/>
    <s v="Sales"/>
    <s v="Friday"/>
    <s v="Evening"/>
  </r>
  <r>
    <x v="1770"/>
    <s v="2024-02-01 18:40:55"/>
    <x v="6"/>
    <s v="2024-02-09 18:40:55"/>
    <x v="1389"/>
    <n v="8"/>
    <x v="4"/>
    <s v="Performance"/>
    <s v="High"/>
    <n v="120"/>
    <x v="0"/>
    <s v="Walk-in"/>
    <s v="Tier 1"/>
    <x v="5"/>
    <x v="0"/>
    <s v="No"/>
    <s v="No"/>
    <n v="1"/>
    <s v="No"/>
    <n v="7"/>
    <n v="2.8"/>
    <n v="24.5"/>
    <s v="Yes"/>
    <s v="Fair"/>
    <s v="Yes"/>
    <s v="Finance"/>
    <s v="Monday"/>
    <s v="Morning"/>
  </r>
  <r>
    <x v="1771"/>
    <s v="2024-02-29 05:32:35"/>
    <x v="6"/>
    <s v="2024-03-07 18:56:35"/>
    <x v="1154"/>
    <n v="7.6"/>
    <x v="6"/>
    <s v="Distribution List"/>
    <s v="Medium"/>
    <n v="240"/>
    <x v="1"/>
    <s v="Phone"/>
    <s v="Tier 1"/>
    <x v="22"/>
    <x v="2"/>
    <s v="No"/>
    <s v="No"/>
    <n v="1"/>
    <s v="No"/>
    <n v="7"/>
    <n v="0.1"/>
    <n v="32.9"/>
    <s v="No"/>
    <s v="Poor"/>
    <s v="Yes"/>
    <s v="Sales"/>
    <s v="Tuesday"/>
    <s v="Afternoon"/>
  </r>
  <r>
    <x v="1772"/>
    <s v="2024-04-15 07:02:49"/>
    <x v="11"/>
    <s v="2024-04-27 07:56:49"/>
    <x v="220"/>
    <n v="12"/>
    <x v="6"/>
    <s v="Cannot Send/Receive"/>
    <s v="Medium"/>
    <n v="240"/>
    <x v="0"/>
    <s v="Email"/>
    <s v="Tier 1"/>
    <x v="17"/>
    <x v="2"/>
    <s v="Yes"/>
    <s v="No"/>
    <n v="0"/>
    <s v="Yes"/>
    <n v="8"/>
    <n v="1.7"/>
    <n v="26.2"/>
    <s v="Yes"/>
    <s v="Fair"/>
    <s v="No"/>
    <s v="Marketing"/>
    <s v="Thursday"/>
    <s v="Morning"/>
  </r>
  <r>
    <x v="1773"/>
    <s v="2024-02-24 22:35:37"/>
    <x v="6"/>
    <s v="2024-03-09 15:11:37"/>
    <x v="1073"/>
    <n v="13.7"/>
    <x v="3"/>
    <s v="Email Password"/>
    <s v="Low"/>
    <n v="360"/>
    <x v="1"/>
    <s v="Email"/>
    <s v="Tier 1"/>
    <x v="10"/>
    <x v="2"/>
    <s v="Yes"/>
    <s v="No"/>
    <n v="0"/>
    <s v="Yes"/>
    <n v="10"/>
    <n v="3"/>
    <n v="15"/>
    <s v="Yes"/>
    <s v="Poor"/>
    <s v="Yes"/>
    <s v="Marketing"/>
    <s v="Monday"/>
    <s v="Afternoon"/>
  </r>
  <r>
    <x v="1774"/>
    <s v="2024-01-29 12:17:00"/>
    <x v="3"/>
    <s v="2024-02-06 18:29:00"/>
    <x v="240"/>
    <n v="8.3000000000000007"/>
    <x v="3"/>
    <s v="Account Unlock"/>
    <s v="Medium"/>
    <n v="240"/>
    <x v="1"/>
    <s v="Portal"/>
    <s v="Tier 1"/>
    <x v="11"/>
    <x v="1"/>
    <s v="Yes"/>
    <s v="No"/>
    <n v="0"/>
    <s v="Yes"/>
    <n v="9"/>
    <n v="0.9"/>
    <n v="15.2"/>
    <s v="Yes"/>
    <s v="Poor"/>
    <s v="No"/>
    <s v="Operations"/>
    <s v="Thursday"/>
    <s v="Afternoon"/>
  </r>
  <r>
    <x v="1775"/>
    <s v="2024-12-25 23:35:52"/>
    <x v="0"/>
    <s v="2025-01-08 17:05:52"/>
    <x v="205"/>
    <n v="13.7"/>
    <x v="6"/>
    <s v="Cannot Send/Receive"/>
    <s v="Low"/>
    <n v="360"/>
    <x v="1"/>
    <s v="Walk-in"/>
    <s v="Tier 2"/>
    <x v="11"/>
    <x v="1"/>
    <s v="No"/>
    <s v="Yes"/>
    <n v="4"/>
    <s v="Yes"/>
    <n v="7"/>
    <n v="1.2"/>
    <n v="14.7"/>
    <s v="Yes"/>
    <s v="Fair"/>
    <s v="Yes"/>
    <s v="Executive"/>
    <s v="Wednesday"/>
    <s v="Afternoon"/>
  </r>
  <r>
    <x v="1776"/>
    <s v="2024-06-02 18:59:14"/>
    <x v="10"/>
    <s v="2024-06-07 07:29:14"/>
    <x v="1390"/>
    <n v="4.5"/>
    <x v="4"/>
    <s v="Performance"/>
    <s v="Critical"/>
    <n v="48"/>
    <x v="0"/>
    <s v="Phone"/>
    <s v="Tier 2"/>
    <x v="14"/>
    <x v="2"/>
    <s v="No"/>
    <s v="Yes"/>
    <n v="3"/>
    <s v="No"/>
    <n v="5"/>
    <n v="3.2"/>
    <n v="11"/>
    <s v="Yes"/>
    <s v="Good"/>
    <s v="Yes"/>
    <s v="IT"/>
    <s v="Wednesday"/>
    <s v="Afternoon"/>
  </r>
  <r>
    <x v="1777"/>
    <s v="2024-01-24 02:56:17"/>
    <x v="3"/>
    <s v="2024-01-28 09:14:17"/>
    <x v="1391"/>
    <n v="4.3"/>
    <x v="4"/>
    <s v="Performance"/>
    <s v="High"/>
    <n v="120"/>
    <x v="1"/>
    <s v="Portal"/>
    <s v="Tier 1"/>
    <x v="2"/>
    <x v="2"/>
    <s v="No"/>
    <s v="No"/>
    <n v="1"/>
    <s v="No"/>
    <n v="7"/>
    <n v="4.3"/>
    <n v="27.4"/>
    <s v="Yes"/>
    <s v="Good"/>
    <s v="No"/>
    <s v="Executive"/>
    <s v="Tuesday"/>
    <s v="Afternoon"/>
  </r>
  <r>
    <x v="1778"/>
    <s v="2024-08-11 23:47:31"/>
    <x v="1"/>
    <s v="2024-08-29 03:17:31"/>
    <x v="1392"/>
    <n v="17.100000000000001"/>
    <x v="3"/>
    <s v="Windows Password"/>
    <s v="Low"/>
    <n v="360"/>
    <x v="0"/>
    <s v="Phone"/>
    <s v="Tier 1"/>
    <x v="20"/>
    <x v="2"/>
    <s v="No"/>
    <s v="No"/>
    <n v="1"/>
    <s v="No"/>
    <n v="6"/>
    <n v="2.5"/>
    <n v="32.5"/>
    <s v="Yes"/>
    <s v="Poor"/>
    <s v="No"/>
    <s v="IT"/>
    <s v="Monday"/>
    <s v="Afternoon"/>
  </r>
  <r>
    <x v="1779"/>
    <s v="2024-03-09 01:22:33"/>
    <x v="5"/>
    <s v="2024-03-16 09:40:33"/>
    <x v="184"/>
    <n v="6.3"/>
    <x v="2"/>
    <s v="Slow Network"/>
    <s v="Medium"/>
    <n v="240"/>
    <x v="1"/>
    <s v="Phone"/>
    <s v="Tier 2"/>
    <x v="24"/>
    <x v="2"/>
    <s v="No"/>
    <s v="Yes"/>
    <n v="1"/>
    <s v="No"/>
    <n v="5"/>
    <n v="3"/>
    <n v="7.5"/>
    <s v="Yes"/>
    <s v="Good"/>
    <s v="No"/>
    <s v="Operations"/>
    <s v="Tuesday"/>
    <s v="Afternoon"/>
  </r>
  <r>
    <x v="1780"/>
    <s v="2024-01-23 23:39:16"/>
    <x v="3"/>
    <s v="2024-02-05 16:15:16"/>
    <x v="1393"/>
    <n v="12.7"/>
    <x v="0"/>
    <s v="File Share"/>
    <s v="Low"/>
    <n v="360"/>
    <x v="1"/>
    <s v="Email"/>
    <s v="Tier 1"/>
    <x v="12"/>
    <x v="2"/>
    <s v="No"/>
    <s v="No"/>
    <n v="1"/>
    <s v="No"/>
    <n v="7"/>
    <n v="1.9"/>
    <n v="13.5"/>
    <s v="Yes"/>
    <s v="Poor"/>
    <s v="Yes"/>
    <s v="Sales"/>
    <s v="Friday"/>
    <s v="Morning"/>
  </r>
  <r>
    <x v="1781"/>
    <s v="2024-01-26 08:15:19"/>
    <x v="3"/>
    <s v="2024-02-04 13:15:19"/>
    <x v="1394"/>
    <n v="9.1999999999999993"/>
    <x v="0"/>
    <s v="VPN Access"/>
    <s v="Medium"/>
    <n v="240"/>
    <x v="1"/>
    <s v="Phone"/>
    <s v="Tier 1"/>
    <x v="4"/>
    <x v="2"/>
    <s v="Yes"/>
    <s v="No"/>
    <n v="0"/>
    <s v="Yes"/>
    <n v="9"/>
    <n v="1"/>
    <n v="10.8"/>
    <s v="Yes"/>
    <s v="Fair"/>
    <s v="Yes"/>
    <s v="Executive"/>
    <s v="Thursday"/>
    <s v="Morning"/>
  </r>
  <r>
    <x v="1782"/>
    <s v="2024-01-13 11:26:46"/>
    <x v="3"/>
    <s v="2024-01-27 15:38:46"/>
    <x v="1395"/>
    <n v="14.2"/>
    <x v="3"/>
    <s v="Account Unlock"/>
    <s v="Low"/>
    <n v="360"/>
    <x v="1"/>
    <s v="Phone"/>
    <s v="Tier 1"/>
    <x v="18"/>
    <x v="2"/>
    <s v="Yes"/>
    <s v="No"/>
    <n v="0"/>
    <s v="No"/>
    <n v="10"/>
    <n v="2.1"/>
    <n v="34.4"/>
    <s v="No"/>
    <s v="Excellent"/>
    <s v="No"/>
    <s v="Executive"/>
    <s v="Tuesday"/>
    <s v="Morning"/>
  </r>
  <r>
    <x v="1783"/>
    <s v="2024-02-10 04:51:53"/>
    <x v="6"/>
    <s v="2024-02-22 19:39:53"/>
    <x v="1396"/>
    <n v="12.6"/>
    <x v="5"/>
    <s v="Training Request"/>
    <s v="Low"/>
    <n v="360"/>
    <x v="1"/>
    <s v="Phone"/>
    <s v="Tier 1"/>
    <x v="16"/>
    <x v="0"/>
    <s v="Yes"/>
    <s v="No"/>
    <n v="0"/>
    <s v="Yes"/>
    <n v="10"/>
    <n v="2.2000000000000002"/>
    <n v="38.799999999999997"/>
    <s v="Yes"/>
    <s v="Good"/>
    <s v="No"/>
    <s v="IT"/>
    <s v="Tuesday"/>
    <s v="Afternoon"/>
  </r>
  <r>
    <x v="1784"/>
    <s v="2024-03-31 22:08:49"/>
    <x v="5"/>
    <s v="2024-04-07 23:44:49"/>
    <x v="1397"/>
    <n v="7.1"/>
    <x v="5"/>
    <s v="General Inquiry"/>
    <s v="High"/>
    <n v="120"/>
    <x v="0"/>
    <s v="Phone"/>
    <s v="Tier 2"/>
    <x v="9"/>
    <x v="2"/>
    <s v="No"/>
    <s v="Yes"/>
    <n v="2"/>
    <s v="No"/>
    <n v="5"/>
    <n v="2.9"/>
    <n v="1.9"/>
    <s v="Yes"/>
    <s v="Poor"/>
    <s v="Yes"/>
    <s v="Finance"/>
    <s v="Wednesday"/>
    <s v="Afternoon"/>
  </r>
  <r>
    <x v="1785"/>
    <s v="2024-10-19 10:12:31"/>
    <x v="2"/>
    <s v="2024-10-27 06:30:31"/>
    <x v="1398"/>
    <n v="7.9"/>
    <x v="6"/>
    <s v="Distribution List"/>
    <s v="Medium"/>
    <n v="240"/>
    <x v="1"/>
    <s v="Portal"/>
    <s v="Tier 1"/>
    <x v="9"/>
    <x v="1"/>
    <s v="No"/>
    <s v="No"/>
    <n v="1"/>
    <s v="Yes"/>
    <n v="9"/>
    <n v="1.2"/>
    <n v="11.4"/>
    <s v="Yes"/>
    <s v="Good"/>
    <s v="No"/>
    <s v="IT"/>
    <s v="Friday"/>
    <s v="Morning"/>
  </r>
  <r>
    <x v="1786"/>
    <s v="2024-06-09 17:48:47"/>
    <x v="10"/>
    <s v="2024-06-13 05:06:47"/>
    <x v="1399"/>
    <n v="3.5"/>
    <x v="6"/>
    <s v="Mailbox Full"/>
    <s v="High"/>
    <n v="120"/>
    <x v="1"/>
    <s v="Walk-in"/>
    <s v="Tier 2"/>
    <x v="20"/>
    <x v="2"/>
    <s v="No"/>
    <s v="Yes"/>
    <n v="1"/>
    <s v="Yes"/>
    <n v="7"/>
    <n v="1.2"/>
    <n v="24.5"/>
    <s v="No"/>
    <s v="Good"/>
    <s v="Yes"/>
    <s v="Legal"/>
    <s v="Thursday"/>
    <s v="Morning"/>
  </r>
  <r>
    <x v="1787"/>
    <s v="2024-09-21 08:27:29"/>
    <x v="9"/>
    <s v="2024-09-28 06:45:29"/>
    <x v="1308"/>
    <n v="6.9"/>
    <x v="7"/>
    <s v="VPN Client"/>
    <s v="High"/>
    <n v="120"/>
    <x v="0"/>
    <s v="Phone"/>
    <s v="Tier 2"/>
    <x v="23"/>
    <x v="0"/>
    <s v="No"/>
    <s v="Yes"/>
    <n v="1"/>
    <s v="Yes"/>
    <n v="7"/>
    <n v="2.8"/>
    <n v="22.5"/>
    <s v="Yes"/>
    <s v="Poor"/>
    <s v="Yes"/>
    <s v="Operations"/>
    <s v="Friday"/>
    <s v="Afternoon"/>
  </r>
  <r>
    <x v="1788"/>
    <s v="2024-11-08 22:05:53"/>
    <x v="7"/>
    <s v="2024-11-15 08:41:53"/>
    <x v="288"/>
    <n v="6.4"/>
    <x v="2"/>
    <s v="Ethernet"/>
    <s v="Medium"/>
    <n v="240"/>
    <x v="1"/>
    <s v="Portal"/>
    <s v="Tier 2"/>
    <x v="1"/>
    <x v="2"/>
    <s v="No"/>
    <s v="Yes"/>
    <n v="2"/>
    <s v="No"/>
    <n v="10"/>
    <n v="2.2000000000000002"/>
    <n v="18.2"/>
    <s v="No"/>
    <s v="Good"/>
    <s v="No"/>
    <s v="Legal"/>
    <s v="Friday"/>
    <s v="Morning"/>
  </r>
  <r>
    <x v="1789"/>
    <s v="2024-06-10 08:13:02"/>
    <x v="10"/>
    <s v="2024-06-20 10:31:02"/>
    <x v="1280"/>
    <n v="10.1"/>
    <x v="3"/>
    <s v="Application Password"/>
    <s v="Low"/>
    <n v="360"/>
    <x v="1"/>
    <s v="Phone"/>
    <s v="Tier 1"/>
    <x v="16"/>
    <x v="2"/>
    <s v="Yes"/>
    <s v="No"/>
    <n v="0"/>
    <s v="No"/>
    <n v="10"/>
    <n v="2.5"/>
    <n v="1.9"/>
    <s v="Yes"/>
    <s v="Fair"/>
    <s v="No"/>
    <s v="Executive"/>
    <s v="Friday"/>
    <s v="Morning"/>
  </r>
  <r>
    <x v="1790"/>
    <s v="2024-08-03 05:28:20"/>
    <x v="1"/>
    <s v="2024-08-09 00:16:20"/>
    <x v="1400"/>
    <n v="6.8"/>
    <x v="0"/>
    <s v="Admin Rights"/>
    <s v="Medium"/>
    <n v="240"/>
    <x v="1"/>
    <s v="Email"/>
    <s v="Tier 1"/>
    <x v="3"/>
    <x v="1"/>
    <s v="Yes"/>
    <s v="No"/>
    <n v="0"/>
    <s v="No"/>
    <n v="9"/>
    <n v="3.1"/>
    <n v="8.1"/>
    <s v="Yes"/>
    <s v="Excellent"/>
    <s v="Yes"/>
    <s v="Sales"/>
    <s v="Wednesday"/>
    <s v="Morning"/>
  </r>
  <r>
    <x v="1791"/>
    <s v="2024-04-24 16:38:41"/>
    <x v="11"/>
    <s v="2024-05-06 13:44:41"/>
    <x v="291"/>
    <n v="11.9"/>
    <x v="5"/>
    <s v="Miscellaneous"/>
    <s v="Low"/>
    <n v="360"/>
    <x v="1"/>
    <s v="Portal"/>
    <s v="Tier 1"/>
    <x v="11"/>
    <x v="1"/>
    <s v="No"/>
    <s v="No"/>
    <n v="1"/>
    <s v="Yes"/>
    <n v="8"/>
    <n v="5.4"/>
    <n v="46.5"/>
    <s v="Yes"/>
    <s v="Good"/>
    <s v="No"/>
    <s v="Sales"/>
    <s v="Thursday"/>
    <s v="Afternoon"/>
  </r>
  <r>
    <x v="1792"/>
    <s v="2024-02-08 17:22:40"/>
    <x v="6"/>
    <s v="2024-02-11 21:28:40"/>
    <x v="1220"/>
    <n v="3.2"/>
    <x v="1"/>
    <s v="Printer"/>
    <s v="High"/>
    <n v="120"/>
    <x v="1"/>
    <s v="Email"/>
    <s v="Tier 2"/>
    <x v="13"/>
    <x v="0"/>
    <s v="No"/>
    <s v="Yes"/>
    <n v="2"/>
    <s v="No"/>
    <n v="8"/>
    <n v="3"/>
    <n v="4.0999999999999996"/>
    <s v="Yes"/>
    <s v="Fair"/>
    <s v="Yes"/>
    <s v="Finance"/>
    <s v="Thursday"/>
    <s v="Afternoon"/>
  </r>
  <r>
    <x v="1793"/>
    <s v="2024-07-04 19:04:30"/>
    <x v="4"/>
    <s v="2024-07-23 21:04:30"/>
    <x v="1401"/>
    <n v="19.100000000000001"/>
    <x v="5"/>
    <s v="Training Request"/>
    <s v="Low"/>
    <n v="360"/>
    <x v="0"/>
    <s v="Chat"/>
    <s v="Tier 2"/>
    <x v="15"/>
    <x v="2"/>
    <s v="No"/>
    <s v="Yes"/>
    <n v="1"/>
    <s v="No"/>
    <n v="5"/>
    <n v="3.2"/>
    <n v="23.4"/>
    <s v="No"/>
    <s v="Poor"/>
    <s v="Yes"/>
    <s v="Executive"/>
    <s v="Monday"/>
    <s v="Morning"/>
  </r>
  <r>
    <x v="1794"/>
    <s v="2024-09-04 21:03:50"/>
    <x v="9"/>
    <s v="2024-09-07 20:39:50"/>
    <x v="1402"/>
    <n v="3"/>
    <x v="5"/>
    <s v="Training Request"/>
    <s v="Critical"/>
    <n v="48"/>
    <x v="0"/>
    <s v="Walk-in"/>
    <s v="Tier 2"/>
    <x v="19"/>
    <x v="0"/>
    <s v="No"/>
    <s v="Yes"/>
    <n v="2"/>
    <s v="No"/>
    <n v="1"/>
    <n v="4.3"/>
    <n v="7.9"/>
    <s v="Yes"/>
    <s v="Fair"/>
    <s v="Yes"/>
    <s v="Operations"/>
    <s v="Wednesday"/>
    <s v="Afternoon"/>
  </r>
  <r>
    <x v="1795"/>
    <s v="2024-06-13 07:05:00"/>
    <x v="10"/>
    <s v="2024-06-14 23:35:00"/>
    <x v="1155"/>
    <n v="1.7"/>
    <x v="1"/>
    <s v="Laptop"/>
    <s v="Critical"/>
    <n v="48"/>
    <x v="1"/>
    <s v="Email"/>
    <s v="Tier 2"/>
    <x v="12"/>
    <x v="1"/>
    <s v="No"/>
    <s v="Yes"/>
    <n v="1"/>
    <s v="No"/>
    <n v="8"/>
    <n v="3.6"/>
    <n v="10.8"/>
    <s v="No"/>
    <s v="Excellent"/>
    <s v="No"/>
    <s v="Marketing"/>
    <s v="Friday"/>
    <s v="Morning"/>
  </r>
  <r>
    <x v="1796"/>
    <s v="2024-03-07 01:14:57"/>
    <x v="5"/>
    <s v="2024-03-20 13:02:57"/>
    <x v="1403"/>
    <n v="12.5"/>
    <x v="2"/>
    <s v="Ethernet"/>
    <s v="Medium"/>
    <n v="240"/>
    <x v="0"/>
    <s v="Chat"/>
    <s v="Tier 2"/>
    <x v="15"/>
    <x v="2"/>
    <s v="No"/>
    <s v="Yes"/>
    <n v="2"/>
    <s v="No"/>
    <n v="4"/>
    <n v="0.1"/>
    <n v="0"/>
    <s v="No"/>
    <s v="Poor"/>
    <s v="No"/>
    <s v="Executive"/>
    <s v="Wednesday"/>
    <s v="Morning"/>
  </r>
  <r>
    <x v="1797"/>
    <s v="2024-01-19 21:42:58"/>
    <x v="3"/>
    <s v="2024-01-26 20:18:58"/>
    <x v="980"/>
    <n v="6.9"/>
    <x v="3"/>
    <s v="Email Password"/>
    <s v="High"/>
    <n v="120"/>
    <x v="0"/>
    <s v="Portal"/>
    <s v="Tier 1"/>
    <x v="20"/>
    <x v="0"/>
    <s v="No"/>
    <s v="No"/>
    <n v="1"/>
    <s v="No"/>
    <n v="5"/>
    <n v="2.2000000000000002"/>
    <n v="37.799999999999997"/>
    <s v="Yes"/>
    <s v="Poor"/>
    <s v="Yes"/>
    <s v="Marketing"/>
    <s v="Wednesday"/>
    <s v="Morning"/>
  </r>
  <r>
    <x v="1798"/>
    <s v="2024-03-22 12:31:18"/>
    <x v="5"/>
    <s v="2024-03-30 07:07:18"/>
    <x v="1404"/>
    <n v="7.8"/>
    <x v="7"/>
    <s v="Adobe Suite"/>
    <s v="Medium"/>
    <n v="240"/>
    <x v="1"/>
    <s v="Phone"/>
    <s v="Tier 2"/>
    <x v="16"/>
    <x v="2"/>
    <s v="No"/>
    <s v="Yes"/>
    <n v="2"/>
    <s v="Yes"/>
    <n v="9"/>
    <n v="1.9"/>
    <n v="5.3"/>
    <s v="Yes"/>
    <s v="Fair"/>
    <s v="No"/>
    <s v="Finance"/>
    <s v="Tuesday"/>
    <s v="Afternoon"/>
  </r>
  <r>
    <x v="1799"/>
    <s v="2024-09-25 20:01:34"/>
    <x v="9"/>
    <s v="2024-10-05 21:13:34"/>
    <x v="1405"/>
    <n v="10"/>
    <x v="2"/>
    <s v="VPN Connection"/>
    <s v="Medium"/>
    <n v="240"/>
    <x v="0"/>
    <s v="Phone"/>
    <s v="Tier 1"/>
    <x v="10"/>
    <x v="1"/>
    <s v="Yes"/>
    <s v="No"/>
    <n v="0"/>
    <s v="No"/>
    <n v="6"/>
    <n v="0.1"/>
    <n v="14.7"/>
    <s v="Yes"/>
    <s v="Poor"/>
    <s v="Yes"/>
    <s v="Legal"/>
    <s v="Friday"/>
    <s v="Morning"/>
  </r>
  <r>
    <x v="1800"/>
    <s v="2024-04-11 10:10:49"/>
    <x v="11"/>
    <s v="2024-04-22 14:22:49"/>
    <x v="1016"/>
    <n v="11.2"/>
    <x v="3"/>
    <s v="Application Password"/>
    <s v="Low"/>
    <n v="360"/>
    <x v="1"/>
    <s v="Walk-in"/>
    <s v="Tier 1"/>
    <x v="15"/>
    <x v="2"/>
    <s v="Yes"/>
    <s v="No"/>
    <n v="0"/>
    <s v="No"/>
    <n v="7"/>
    <n v="4"/>
    <n v="11.1"/>
    <s v="Yes"/>
    <s v="Excellent"/>
    <s v="Yes"/>
    <s v="Sales"/>
    <s v="Monday"/>
    <s v="Morning"/>
  </r>
  <r>
    <x v="1801"/>
    <s v="2024-11-26 08:47:57"/>
    <x v="7"/>
    <s v="2024-12-03 19:41:57"/>
    <x v="1406"/>
    <n v="7.5"/>
    <x v="7"/>
    <s v="Drivers"/>
    <s v="Medium"/>
    <n v="240"/>
    <x v="1"/>
    <s v="Phone"/>
    <s v="Tier 1"/>
    <x v="24"/>
    <x v="2"/>
    <s v="No"/>
    <s v="No"/>
    <n v="1"/>
    <s v="No"/>
    <n v="9"/>
    <n v="3.3"/>
    <n v="12.9"/>
    <s v="Yes"/>
    <s v="Good"/>
    <s v="No"/>
    <s v="Finance"/>
    <s v="Friday"/>
    <s v="Morning"/>
  </r>
  <r>
    <x v="1802"/>
    <s v="2024-06-05 19:14:10"/>
    <x v="10"/>
    <s v="2024-06-17 20:02:10"/>
    <x v="753"/>
    <n v="12"/>
    <x v="0"/>
    <s v="Application Access"/>
    <s v="Medium"/>
    <n v="240"/>
    <x v="0"/>
    <s v="Portal"/>
    <s v="Tier 1"/>
    <x v="11"/>
    <x v="2"/>
    <s v="No"/>
    <s v="No"/>
    <n v="1"/>
    <s v="Yes"/>
    <n v="5"/>
    <n v="0.1"/>
    <n v="32.200000000000003"/>
    <s v="No"/>
    <s v="Good"/>
    <s v="Yes"/>
    <s v="Finance"/>
    <s v="Wednesday"/>
    <s v="Morning"/>
  </r>
  <r>
    <x v="1803"/>
    <s v="2024-10-14 12:13:11"/>
    <x v="2"/>
    <s v="2024-10-27 18:49:11"/>
    <x v="222"/>
    <n v="13.3"/>
    <x v="1"/>
    <s v="Laptop"/>
    <s v="Medium"/>
    <n v="240"/>
    <x v="0"/>
    <s v="Phone"/>
    <s v="Tier 1"/>
    <x v="9"/>
    <x v="2"/>
    <s v="No"/>
    <s v="No"/>
    <n v="1"/>
    <s v="No"/>
    <n v="7"/>
    <n v="0.6"/>
    <n v="14"/>
    <s v="Yes"/>
    <s v="Good"/>
    <s v="Yes"/>
    <s v="Finance"/>
    <s v="Thursday"/>
    <s v="Morning"/>
  </r>
  <r>
    <x v="1804"/>
    <s v="2024-09-02 01:33:09"/>
    <x v="9"/>
    <s v="2024-09-16 19:27:09"/>
    <x v="1407"/>
    <n v="13.7"/>
    <x v="5"/>
    <s v="Miscellaneous"/>
    <s v="Low"/>
    <n v="360"/>
    <x v="1"/>
    <s v="Phone"/>
    <s v="Tier 2"/>
    <x v="1"/>
    <x v="2"/>
    <s v="No"/>
    <s v="Yes"/>
    <n v="4"/>
    <s v="Yes"/>
    <n v="7"/>
    <n v="5.5"/>
    <n v="8.8000000000000007"/>
    <s v="No"/>
    <s v="Poor"/>
    <s v="No"/>
    <s v="Sales"/>
    <s v="Friday"/>
    <s v="Afternoon"/>
  </r>
  <r>
    <x v="1805"/>
    <s v="2024-05-24 03:13:07"/>
    <x v="8"/>
    <s v="2024-06-02 11:19:07"/>
    <x v="1408"/>
    <n v="9.3000000000000007"/>
    <x v="3"/>
    <s v="Application Password"/>
    <s v="Medium"/>
    <n v="240"/>
    <x v="1"/>
    <s v="Email"/>
    <s v="Tier 1"/>
    <x v="6"/>
    <x v="2"/>
    <s v="No"/>
    <s v="No"/>
    <n v="1"/>
    <s v="No"/>
    <n v="10"/>
    <n v="1.4"/>
    <n v="1.4"/>
    <s v="No"/>
    <s v="Poor"/>
    <s v="Yes"/>
    <s v="Marketing"/>
    <s v="Tuesday"/>
    <s v="Afternoon"/>
  </r>
  <r>
    <x v="1806"/>
    <s v="2024-02-28 21:09:44"/>
    <x v="6"/>
    <s v="2024-03-03 08:15:44"/>
    <x v="68"/>
    <n v="3.5"/>
    <x v="1"/>
    <s v="Laptop"/>
    <s v="High"/>
    <n v="120"/>
    <x v="1"/>
    <s v="Phone"/>
    <s v="Tier 2"/>
    <x v="14"/>
    <x v="2"/>
    <s v="No"/>
    <s v="Yes"/>
    <n v="1"/>
    <s v="No"/>
    <n v="8"/>
    <n v="0.3"/>
    <n v="20.7"/>
    <s v="Yes"/>
    <s v="Fair"/>
    <s v="No"/>
    <s v="Executive"/>
    <s v="Thursday"/>
    <s v="Morning"/>
  </r>
  <r>
    <x v="1807"/>
    <s v="2024-04-24 17:09:38"/>
    <x v="11"/>
    <s v="2024-05-06 14:51:38"/>
    <x v="1409"/>
    <n v="11.9"/>
    <x v="4"/>
    <s v="Performance"/>
    <s v="Medium"/>
    <n v="240"/>
    <x v="0"/>
    <s v="Email"/>
    <s v="Tier 1"/>
    <x v="11"/>
    <x v="2"/>
    <s v="No"/>
    <s v="No"/>
    <n v="1"/>
    <s v="No"/>
    <n v="8"/>
    <n v="3.1"/>
    <n v="9.4"/>
    <s v="Yes"/>
    <s v="Good"/>
    <s v="Yes"/>
    <s v="Operations"/>
    <s v="Wednesday"/>
    <s v="Afternoon"/>
  </r>
  <r>
    <x v="1808"/>
    <s v="2024-11-01 11:08:18"/>
    <x v="7"/>
    <s v="2024-11-10 13:50:18"/>
    <x v="1284"/>
    <n v="9.1"/>
    <x v="7"/>
    <s v="VPN Client"/>
    <s v="Medium"/>
    <n v="240"/>
    <x v="1"/>
    <s v="Walk-in"/>
    <s v="Tier 1"/>
    <x v="14"/>
    <x v="2"/>
    <s v="No"/>
    <s v="No"/>
    <n v="1"/>
    <s v="Yes"/>
    <n v="10"/>
    <n v="2.2999999999999998"/>
    <n v="25.6"/>
    <s v="Yes"/>
    <s v="Poor"/>
    <s v="No"/>
    <s v="Finance"/>
    <s v="Monday"/>
    <s v="Afternoon"/>
  </r>
  <r>
    <x v="1809"/>
    <s v="2024-06-30 12:22:54"/>
    <x v="10"/>
    <s v="2024-07-04 16:58:54"/>
    <x v="1410"/>
    <n v="4.2"/>
    <x v="4"/>
    <s v="Performance"/>
    <s v="High"/>
    <n v="120"/>
    <x v="1"/>
    <s v="Phone"/>
    <s v="Tier 1"/>
    <x v="12"/>
    <x v="1"/>
    <s v="Yes"/>
    <s v="No"/>
    <n v="0"/>
    <s v="No"/>
    <n v="10"/>
    <n v="1.5"/>
    <n v="14.3"/>
    <s v="No"/>
    <s v="Good"/>
    <s v="Yes"/>
    <s v="Finance"/>
    <s v="Thursday"/>
    <s v="Afternoon"/>
  </r>
  <r>
    <x v="1810"/>
    <s v="2024-04-17 08:16:34"/>
    <x v="11"/>
    <s v="2024-05-11 23:10:34"/>
    <x v="1411"/>
    <n v="24.6"/>
    <x v="0"/>
    <s v="Admin Rights"/>
    <s v="Low"/>
    <n v="360"/>
    <x v="0"/>
    <s v="Email"/>
    <s v="Tier 1"/>
    <x v="6"/>
    <x v="2"/>
    <s v="No"/>
    <s v="No"/>
    <n v="1"/>
    <s v="Yes"/>
    <n v="6"/>
    <n v="2.4"/>
    <n v="7.6"/>
    <s v="Yes"/>
    <s v="Poor"/>
    <s v="Yes"/>
    <s v="HR"/>
    <s v="Monday"/>
    <s v="Evening"/>
  </r>
  <r>
    <x v="1811"/>
    <s v="2024-02-02 09:43:33"/>
    <x v="6"/>
    <s v="2024-02-07 10:07:33"/>
    <x v="1412"/>
    <n v="5"/>
    <x v="4"/>
    <s v="Performance"/>
    <s v="High"/>
    <n v="120"/>
    <x v="0"/>
    <s v="Portal"/>
    <s v="Tier 1"/>
    <x v="7"/>
    <x v="0"/>
    <s v="No"/>
    <s v="No"/>
    <n v="1"/>
    <s v="No"/>
    <n v="5"/>
    <n v="3.5"/>
    <n v="30.9"/>
    <s v="Yes"/>
    <s v="Poor"/>
    <s v="Yes"/>
    <s v="IT"/>
    <s v="Monday"/>
    <s v="Afternoon"/>
  </r>
  <r>
    <x v="1812"/>
    <s v="2024-01-22 21:22:44"/>
    <x v="3"/>
    <s v="2024-02-07 12:10:44"/>
    <x v="1413"/>
    <n v="15.6"/>
    <x v="6"/>
    <s v="Cannot Send/Receive"/>
    <s v="Low"/>
    <n v="360"/>
    <x v="0"/>
    <s v="Portal"/>
    <s v="Tier 1"/>
    <x v="9"/>
    <x v="2"/>
    <s v="Yes"/>
    <s v="No"/>
    <n v="0"/>
    <s v="No"/>
    <n v="6"/>
    <n v="2.7"/>
    <n v="27.6"/>
    <s v="Yes"/>
    <s v="Fair"/>
    <s v="Yes"/>
    <s v="Finance"/>
    <s v="Thursday"/>
    <s v="Morning"/>
  </r>
  <r>
    <x v="1813"/>
    <s v="2024-03-03 09:27:40"/>
    <x v="5"/>
    <s v="2024-03-06 01:27:40"/>
    <x v="1075"/>
    <n v="3.7"/>
    <x v="1"/>
    <s v="Desktop"/>
    <s v="High"/>
    <n v="120"/>
    <x v="1"/>
    <s v="Walk-in"/>
    <s v="Tier 2"/>
    <x v="7"/>
    <x v="0"/>
    <s v="No"/>
    <s v="Yes"/>
    <n v="1"/>
    <s v="Yes"/>
    <n v="9"/>
    <n v="0.6"/>
    <n v="24.2"/>
    <s v="No"/>
    <s v="Excellent"/>
    <s v="Yes"/>
    <s v="Finance"/>
    <s v="Monday"/>
    <s v="Afternoon"/>
  </r>
  <r>
    <x v="1814"/>
    <s v="2024-01-15 15:12:20"/>
    <x v="3"/>
    <s v="2024-01-23 18:24:20"/>
    <x v="1049"/>
    <n v="8.1"/>
    <x v="7"/>
    <s v="Drivers"/>
    <s v="Medium"/>
    <n v="240"/>
    <x v="1"/>
    <s v="Phone"/>
    <s v="Tier 1"/>
    <x v="24"/>
    <x v="2"/>
    <s v="Yes"/>
    <s v="No"/>
    <n v="0"/>
    <s v="No"/>
    <n v="9"/>
    <n v="0.1"/>
    <n v="7"/>
    <s v="No"/>
    <s v="Good"/>
    <s v="No"/>
    <s v="Finance"/>
    <s v="Wednesday"/>
    <s v="Morning"/>
  </r>
  <r>
    <x v="1815"/>
    <s v="2024-05-31 03:07:12"/>
    <x v="8"/>
    <s v="2024-06-09 05:07:12"/>
    <x v="510"/>
    <n v="9.1"/>
    <x v="0"/>
    <s v="Application Access"/>
    <s v="Medium"/>
    <n v="240"/>
    <x v="1"/>
    <s v="Email"/>
    <s v="Tier 1"/>
    <x v="4"/>
    <x v="1"/>
    <s v="Yes"/>
    <s v="No"/>
    <n v="0"/>
    <s v="Yes"/>
    <n v="10"/>
    <n v="0.2"/>
    <n v="4.5"/>
    <s v="Yes"/>
    <s v="Poor"/>
    <s v="No"/>
    <s v="Finance"/>
    <s v="Wednesday"/>
    <s v="Afternoon"/>
  </r>
  <r>
    <x v="1816"/>
    <s v="2024-01-16 19:35:26"/>
    <x v="3"/>
    <s v="2024-01-25 12:53:26"/>
    <x v="872"/>
    <n v="8.6999999999999993"/>
    <x v="6"/>
    <s v="Calendar Sync"/>
    <s v="Medium"/>
    <n v="240"/>
    <x v="1"/>
    <s v="Portal"/>
    <s v="Tier 1"/>
    <x v="6"/>
    <x v="2"/>
    <s v="No"/>
    <s v="No"/>
    <n v="1"/>
    <s v="No"/>
    <n v="7"/>
    <n v="3"/>
    <n v="12.4"/>
    <s v="Yes"/>
    <s v="Poor"/>
    <s v="Yes"/>
    <s v="IT"/>
    <s v="Friday"/>
    <s v="Afternoon"/>
  </r>
  <r>
    <x v="1817"/>
    <s v="2024-02-04 02:12:42"/>
    <x v="6"/>
    <s v="2024-02-13 13:42:42"/>
    <x v="1414"/>
    <n v="9.5"/>
    <x v="0"/>
    <s v="Admin Rights"/>
    <s v="Medium"/>
    <n v="240"/>
    <x v="1"/>
    <s v="Phone"/>
    <s v="Tier 1"/>
    <x v="21"/>
    <x v="0"/>
    <s v="Yes"/>
    <s v="No"/>
    <n v="0"/>
    <s v="No"/>
    <n v="10"/>
    <n v="3.4"/>
    <n v="18.3"/>
    <s v="No"/>
    <s v="Good"/>
    <s v="No"/>
    <s v="Sales"/>
    <s v="Monday"/>
    <s v="Evening"/>
  </r>
  <r>
    <x v="1818"/>
    <s v="2024-09-10 12:47:09"/>
    <x v="9"/>
    <s v="2024-09-13 02:53:09"/>
    <x v="1415"/>
    <n v="3.6"/>
    <x v="7"/>
    <s v="Drivers"/>
    <s v="High"/>
    <n v="120"/>
    <x v="1"/>
    <s v="Portal"/>
    <s v="Tier 2"/>
    <x v="8"/>
    <x v="0"/>
    <s v="No"/>
    <s v="Yes"/>
    <n v="4"/>
    <s v="No"/>
    <n v="5"/>
    <n v="0.1"/>
    <n v="16.3"/>
    <s v="Yes"/>
    <s v="Fair"/>
    <s v="No"/>
    <s v="Executive"/>
    <s v="Wednesday"/>
    <s v="Evening"/>
  </r>
  <r>
    <x v="1819"/>
    <s v="2024-09-01 13:36:23"/>
    <x v="9"/>
    <s v="2024-09-15 12:30:23"/>
    <x v="1416"/>
    <n v="14"/>
    <x v="4"/>
    <s v="Crash"/>
    <s v="Medium"/>
    <n v="240"/>
    <x v="0"/>
    <s v="Portal"/>
    <s v="Tier 2"/>
    <x v="4"/>
    <x v="1"/>
    <s v="No"/>
    <s v="Yes"/>
    <n v="2"/>
    <s v="Yes"/>
    <n v="4"/>
    <n v="4"/>
    <n v="29.6"/>
    <s v="Yes"/>
    <s v="Poor"/>
    <s v="No"/>
    <s v="Marketing"/>
    <s v="Thursday"/>
    <s v="Morning"/>
  </r>
  <r>
    <x v="1820"/>
    <s v="2024-09-01 05:00:11"/>
    <x v="9"/>
    <s v="2024-09-05 18:00:11"/>
    <x v="1417"/>
    <n v="4.5"/>
    <x v="1"/>
    <s v="Desktop"/>
    <s v="High"/>
    <n v="120"/>
    <x v="1"/>
    <s v="Chat"/>
    <s v="Tier 1"/>
    <x v="2"/>
    <x v="0"/>
    <s v="No"/>
    <s v="No"/>
    <n v="1"/>
    <s v="No"/>
    <n v="7"/>
    <n v="0.1"/>
    <n v="11"/>
    <s v="No"/>
    <s v="Poor"/>
    <s v="No"/>
    <s v="Marketing"/>
    <s v="Friday"/>
    <s v="Afternoon"/>
  </r>
  <r>
    <x v="1821"/>
    <s v="2024-10-17 05:42:17"/>
    <x v="2"/>
    <s v="2024-10-21 20:18:17"/>
    <x v="455"/>
    <n v="4.5999999999999996"/>
    <x v="4"/>
    <s v="Performance"/>
    <s v="High"/>
    <n v="120"/>
    <x v="1"/>
    <s v="Phone"/>
    <s v="Tier 1"/>
    <x v="6"/>
    <x v="2"/>
    <s v="Yes"/>
    <s v="No"/>
    <n v="0"/>
    <s v="No"/>
    <n v="6"/>
    <n v="3.9"/>
    <n v="19.399999999999999"/>
    <s v="Yes"/>
    <s v="Fair"/>
    <s v="No"/>
    <s v="IT"/>
    <s v="Tuesday"/>
    <s v="Afternoon"/>
  </r>
  <r>
    <x v="1822"/>
    <s v="2024-10-24 00:11:41"/>
    <x v="2"/>
    <s v="2024-11-01 19:59:41"/>
    <x v="287"/>
    <n v="7.9"/>
    <x v="2"/>
    <s v="Slow Network"/>
    <s v="High"/>
    <n v="120"/>
    <x v="0"/>
    <s v="Email"/>
    <s v="Tier 1"/>
    <x v="19"/>
    <x v="2"/>
    <s v="No"/>
    <s v="No"/>
    <n v="1"/>
    <s v="No"/>
    <n v="5"/>
    <n v="2"/>
    <n v="17.100000000000001"/>
    <s v="No"/>
    <s v="Good"/>
    <s v="Yes"/>
    <s v="Marketing"/>
    <s v="Wednesday"/>
    <s v="Morning"/>
  </r>
  <r>
    <x v="1823"/>
    <s v="2024-09-04 11:21:24"/>
    <x v="9"/>
    <s v="2024-09-11 06:45:24"/>
    <x v="1418"/>
    <n v="6.8"/>
    <x v="1"/>
    <s v="Desktop"/>
    <s v="Medium"/>
    <n v="240"/>
    <x v="1"/>
    <s v="Phone"/>
    <s v="Tier 2"/>
    <x v="12"/>
    <x v="0"/>
    <s v="No"/>
    <s v="Yes"/>
    <n v="4"/>
    <s v="No"/>
    <n v="9"/>
    <n v="3"/>
    <n v="40.299999999999997"/>
    <s v="Yes"/>
    <s v="Fair"/>
    <s v="No"/>
    <s v="IT"/>
    <s v="Friday"/>
    <s v="Afternoon"/>
  </r>
  <r>
    <x v="1824"/>
    <s v="2024-05-07 12:32:39"/>
    <x v="8"/>
    <s v="2024-05-18 13:50:39"/>
    <x v="1419"/>
    <n v="11.1"/>
    <x v="7"/>
    <s v="MS Office"/>
    <s v="Medium"/>
    <n v="240"/>
    <x v="0"/>
    <s v="Email"/>
    <s v="Tier 1"/>
    <x v="11"/>
    <x v="1"/>
    <s v="No"/>
    <s v="No"/>
    <n v="1"/>
    <s v="No"/>
    <n v="6"/>
    <n v="0.5"/>
    <n v="17.3"/>
    <s v="No"/>
    <s v="Poor"/>
    <s v="Yes"/>
    <s v="HR"/>
    <s v="Thursday"/>
    <s v="Evening"/>
  </r>
  <r>
    <x v="1825"/>
    <s v="2024-12-12 05:25:00"/>
    <x v="0"/>
    <s v="2024-12-26 12:13:00"/>
    <x v="1420"/>
    <n v="14.3"/>
    <x v="7"/>
    <s v="VPN Client"/>
    <s v="Medium"/>
    <n v="240"/>
    <x v="0"/>
    <s v="Phone"/>
    <s v="Tier 1"/>
    <x v="20"/>
    <x v="0"/>
    <s v="No"/>
    <s v="No"/>
    <n v="1"/>
    <s v="Yes"/>
    <n v="6"/>
    <n v="4.5"/>
    <n v="4.7"/>
    <s v="Yes"/>
    <s v="Poor"/>
    <s v="Yes"/>
    <s v="Executive"/>
    <s v="Tuesday"/>
    <s v="Evening"/>
  </r>
  <r>
    <x v="1826"/>
    <s v="2024-05-16 05:50:04"/>
    <x v="8"/>
    <s v="2024-06-01 07:14:04"/>
    <x v="1421"/>
    <n v="16.100000000000001"/>
    <x v="3"/>
    <s v="Email Password"/>
    <s v="Low"/>
    <n v="360"/>
    <x v="0"/>
    <s v="Email"/>
    <s v="Tier 1"/>
    <x v="2"/>
    <x v="2"/>
    <s v="No"/>
    <s v="No"/>
    <n v="1"/>
    <s v="No"/>
    <n v="6"/>
    <n v="3.4"/>
    <n v="10.3"/>
    <s v="Yes"/>
    <s v="Good"/>
    <s v="Yes"/>
    <s v="IT"/>
    <s v="Wednesday"/>
    <s v="Afternoon"/>
  </r>
  <r>
    <x v="1827"/>
    <s v="2024-09-17 21:19:48"/>
    <x v="9"/>
    <s v="2024-10-02 12:13:48"/>
    <x v="1422"/>
    <n v="14.6"/>
    <x v="0"/>
    <s v="Admin Rights"/>
    <s v="Medium"/>
    <n v="240"/>
    <x v="0"/>
    <s v="Walk-in"/>
    <s v="Tier 1"/>
    <x v="22"/>
    <x v="0"/>
    <s v="No"/>
    <s v="No"/>
    <n v="1"/>
    <s v="No"/>
    <n v="7"/>
    <n v="2.4"/>
    <n v="24.3"/>
    <s v="No"/>
    <s v="Poor"/>
    <s v="No"/>
    <s v="IT"/>
    <s v="Wednesday"/>
    <s v="Morning"/>
  </r>
  <r>
    <x v="1828"/>
    <s v="2024-06-16 04:23:09"/>
    <x v="10"/>
    <s v="2024-06-20 08:47:09"/>
    <x v="126"/>
    <n v="4.2"/>
    <x v="6"/>
    <s v="Calendar Sync"/>
    <s v="High"/>
    <n v="120"/>
    <x v="1"/>
    <s v="Email"/>
    <s v="Tier 1"/>
    <x v="4"/>
    <x v="2"/>
    <s v="No"/>
    <s v="No"/>
    <n v="1"/>
    <s v="No"/>
    <n v="10"/>
    <n v="3.5"/>
    <n v="25.5"/>
    <s v="No"/>
    <s v="Fair"/>
    <s v="No"/>
    <s v="HR"/>
    <s v="Monday"/>
    <s v="Evening"/>
  </r>
  <r>
    <x v="1829"/>
    <s v="2024-07-07 16:18:58"/>
    <x v="4"/>
    <s v="2024-07-15 02:18:58"/>
    <x v="1423"/>
    <n v="8.4"/>
    <x v="7"/>
    <s v="Drivers"/>
    <s v="Medium"/>
    <n v="240"/>
    <x v="1"/>
    <s v="Portal"/>
    <s v="Tier 2"/>
    <x v="8"/>
    <x v="0"/>
    <s v="No"/>
    <s v="Yes"/>
    <n v="2"/>
    <s v="No"/>
    <n v="7"/>
    <n v="1.5"/>
    <n v="6.9"/>
    <s v="Yes"/>
    <s v="Excellent"/>
    <s v="No"/>
    <s v="Operations"/>
    <s v="Wednesday"/>
    <s v="Evening"/>
  </r>
  <r>
    <x v="1830"/>
    <s v="2024-07-15 18:46:44"/>
    <x v="4"/>
    <s v="2024-07-22 11:46:44"/>
    <x v="1424"/>
    <n v="6.7"/>
    <x v="0"/>
    <s v="Application Access"/>
    <s v="Medium"/>
    <n v="240"/>
    <x v="1"/>
    <s v="Chat"/>
    <s v="Tier 1"/>
    <x v="17"/>
    <x v="0"/>
    <s v="No"/>
    <s v="No"/>
    <n v="1"/>
    <s v="Yes"/>
    <n v="5"/>
    <n v="2.4"/>
    <n v="37.1"/>
    <s v="Yes"/>
    <s v="Fair"/>
    <s v="Yes"/>
    <s v="Executive"/>
    <s v="Friday"/>
    <s v="Evening"/>
  </r>
  <r>
    <x v="1831"/>
    <s v="2024-07-23 07:24:09"/>
    <x v="4"/>
    <s v="2024-07-24 21:48:09"/>
    <x v="132"/>
    <n v="1.6"/>
    <x v="3"/>
    <s v="Account Unlock"/>
    <s v="Critical"/>
    <n v="48"/>
    <x v="1"/>
    <s v="Phone"/>
    <s v="Tier 1"/>
    <x v="7"/>
    <x v="0"/>
    <s v="Yes"/>
    <s v="No"/>
    <n v="0"/>
    <s v="No"/>
    <n v="9"/>
    <n v="0.1"/>
    <n v="0"/>
    <s v="No"/>
    <s v="Fair"/>
    <s v="Yes"/>
    <s v="HR"/>
    <s v="Friday"/>
    <s v="Morning"/>
  </r>
  <r>
    <x v="1832"/>
    <s v="2024-08-05 18:19:18"/>
    <x v="1"/>
    <s v="2024-08-19 22:31:18"/>
    <x v="1395"/>
    <n v="14.2"/>
    <x v="3"/>
    <s v="Application Password"/>
    <s v="Low"/>
    <n v="360"/>
    <x v="1"/>
    <s v="Walk-in"/>
    <s v="Tier 1"/>
    <x v="3"/>
    <x v="2"/>
    <s v="Yes"/>
    <s v="No"/>
    <n v="0"/>
    <s v="No"/>
    <n v="8"/>
    <n v="0.1"/>
    <n v="5.8"/>
    <s v="No"/>
    <s v="Excellent"/>
    <s v="No"/>
    <s v="HR"/>
    <s v="Wednesday"/>
    <s v="Afternoon"/>
  </r>
  <r>
    <x v="1833"/>
    <s v="2024-04-22 03:06:13"/>
    <x v="11"/>
    <s v="2024-04-30 22:12:13"/>
    <x v="810"/>
    <n v="8.8000000000000007"/>
    <x v="6"/>
    <s v="Cannot Send/Receive"/>
    <s v="Medium"/>
    <n v="240"/>
    <x v="1"/>
    <s v="Email"/>
    <s v="Tier 1"/>
    <x v="11"/>
    <x v="2"/>
    <s v="No"/>
    <s v="No"/>
    <n v="1"/>
    <s v="No"/>
    <n v="8"/>
    <n v="0.1"/>
    <n v="13.1"/>
    <s v="Yes"/>
    <s v="Poor"/>
    <s v="Yes"/>
    <s v="Marketing"/>
    <s v="Tuesday"/>
    <s v="Morning"/>
  </r>
  <r>
    <x v="1834"/>
    <s v="2024-09-25 13:49:03"/>
    <x v="9"/>
    <s v="2024-10-03 23:25:03"/>
    <x v="1425"/>
    <n v="8.4"/>
    <x v="0"/>
    <s v="Application Access"/>
    <s v="Medium"/>
    <n v="240"/>
    <x v="1"/>
    <s v="Walk-in"/>
    <s v="Tier 1"/>
    <x v="10"/>
    <x v="0"/>
    <s v="Yes"/>
    <s v="No"/>
    <n v="0"/>
    <s v="No"/>
    <n v="10"/>
    <n v="2.4"/>
    <n v="19.8"/>
    <s v="Yes"/>
    <s v="Good"/>
    <s v="No"/>
    <s v="HR"/>
    <s v="Thursday"/>
    <s v="Afternoon"/>
  </r>
  <r>
    <x v="1835"/>
    <s v="2024-03-14 16:04:21"/>
    <x v="5"/>
    <s v="2024-03-27 04:34:21"/>
    <x v="1274"/>
    <n v="12.5"/>
    <x v="5"/>
    <s v="Training Request"/>
    <s v="Low"/>
    <n v="360"/>
    <x v="1"/>
    <s v="Phone"/>
    <s v="Tier 1"/>
    <x v="24"/>
    <x v="1"/>
    <s v="No"/>
    <s v="No"/>
    <n v="1"/>
    <s v="No"/>
    <n v="7"/>
    <n v="3.4"/>
    <n v="11.6"/>
    <s v="Yes"/>
    <s v="Good"/>
    <s v="Yes"/>
    <s v="IT"/>
    <s v="Monday"/>
    <s v="Morning"/>
  </r>
  <r>
    <x v="1836"/>
    <s v="2024-05-04 09:46:31"/>
    <x v="8"/>
    <s v="2024-05-07 21:52:31"/>
    <x v="1342"/>
    <n v="3.5"/>
    <x v="7"/>
    <s v="MS Office"/>
    <s v="High"/>
    <n v="120"/>
    <x v="1"/>
    <s v="Email"/>
    <s v="Tier 1"/>
    <x v="8"/>
    <x v="1"/>
    <s v="Yes"/>
    <s v="No"/>
    <n v="0"/>
    <s v="No"/>
    <n v="9"/>
    <n v="1.5"/>
    <n v="13.8"/>
    <s v="Yes"/>
    <s v="Poor"/>
    <s v="No"/>
    <s v="Operations"/>
    <s v="Thursday"/>
    <s v="Morning"/>
  </r>
  <r>
    <x v="1837"/>
    <s v="2024-05-07 11:54:13"/>
    <x v="8"/>
    <s v="2024-05-20 17:54:13"/>
    <x v="454"/>
    <n v="13.3"/>
    <x v="3"/>
    <s v="Email Password"/>
    <s v="Low"/>
    <n v="360"/>
    <x v="1"/>
    <s v="Email"/>
    <s v="Tier 1"/>
    <x v="10"/>
    <x v="2"/>
    <s v="Yes"/>
    <s v="No"/>
    <n v="0"/>
    <s v="No"/>
    <n v="10"/>
    <n v="1.8"/>
    <n v="23.3"/>
    <s v="Yes"/>
    <s v="Good"/>
    <s v="Yes"/>
    <s v="Finance"/>
    <s v="Friday"/>
    <s v="Morning"/>
  </r>
  <r>
    <x v="1838"/>
    <s v="2024-06-07 20:16:31"/>
    <x v="10"/>
    <s v="2024-06-12 11:28:31"/>
    <x v="1297"/>
    <n v="4.5999999999999996"/>
    <x v="6"/>
    <s v="Calendar Sync"/>
    <s v="High"/>
    <n v="120"/>
    <x v="1"/>
    <s v="Email"/>
    <s v="Tier 1"/>
    <x v="19"/>
    <x v="2"/>
    <s v="No"/>
    <s v="No"/>
    <n v="1"/>
    <s v="Yes"/>
    <n v="5"/>
    <n v="1.7"/>
    <n v="25.3"/>
    <s v="No"/>
    <s v="Fair"/>
    <s v="No"/>
    <s v="Legal"/>
    <s v="Wednesday"/>
    <s v="Morning"/>
  </r>
  <r>
    <x v="1839"/>
    <s v="2024-07-08 06:20:17"/>
    <x v="4"/>
    <s v="2024-07-14 13:20:17"/>
    <x v="1426"/>
    <n v="6.3"/>
    <x v="0"/>
    <s v="File Share"/>
    <s v="Medium"/>
    <n v="240"/>
    <x v="1"/>
    <s v="Email"/>
    <s v="Tier 1"/>
    <x v="23"/>
    <x v="0"/>
    <s v="No"/>
    <s v="No"/>
    <n v="1"/>
    <s v="No"/>
    <n v="10"/>
    <n v="0.8"/>
    <n v="48.4"/>
    <s v="Yes"/>
    <s v="Fair"/>
    <s v="No"/>
    <s v="HR"/>
    <s v="Friday"/>
    <s v="Evening"/>
  </r>
  <r>
    <x v="1840"/>
    <s v="2024-08-01 16:48:59"/>
    <x v="1"/>
    <s v="2024-08-13 15:06:59"/>
    <x v="1427"/>
    <n v="11.9"/>
    <x v="7"/>
    <s v="MS Office"/>
    <s v="Low"/>
    <n v="360"/>
    <x v="1"/>
    <s v="Walk-in"/>
    <s v="Tier 2"/>
    <x v="5"/>
    <x v="2"/>
    <s v="No"/>
    <s v="Yes"/>
    <n v="4"/>
    <s v="No"/>
    <n v="8"/>
    <n v="6.1"/>
    <n v="14.5"/>
    <s v="No"/>
    <s v="Fair"/>
    <s v="No"/>
    <s v="Executive"/>
    <s v="Monday"/>
    <s v="Afternoon"/>
  </r>
  <r>
    <x v="1841"/>
    <s v="2024-05-25 23:14:05"/>
    <x v="8"/>
    <s v="2024-05-29 11:14:05"/>
    <x v="1428"/>
    <n v="3.5"/>
    <x v="4"/>
    <s v="Features Not Working"/>
    <s v="High"/>
    <n v="120"/>
    <x v="1"/>
    <s v="Phone"/>
    <s v="Tier 2"/>
    <x v="9"/>
    <x v="1"/>
    <s v="No"/>
    <s v="Yes"/>
    <n v="2"/>
    <s v="No"/>
    <n v="7"/>
    <n v="3.5"/>
    <n v="7.2"/>
    <s v="Yes"/>
    <s v="Excellent"/>
    <s v="No"/>
    <s v="Sales"/>
    <s v="Thursday"/>
    <s v="Morning"/>
  </r>
  <r>
    <x v="1842"/>
    <s v="2024-04-16 00:43:13"/>
    <x v="11"/>
    <s v="2024-04-21 11:31:13"/>
    <x v="57"/>
    <n v="4.5"/>
    <x v="2"/>
    <s v="Ethernet"/>
    <s v="High"/>
    <n v="120"/>
    <x v="1"/>
    <s v="Portal"/>
    <s v="Tier 1"/>
    <x v="10"/>
    <x v="0"/>
    <s v="No"/>
    <s v="No"/>
    <n v="1"/>
    <s v="No"/>
    <n v="9"/>
    <n v="5"/>
    <n v="29.2"/>
    <s v="Yes"/>
    <s v="Poor"/>
    <s v="No"/>
    <s v="IT"/>
    <s v="Thursday"/>
    <s v="Afternoon"/>
  </r>
  <r>
    <x v="1843"/>
    <s v="2024-03-11 03:24:07"/>
    <x v="5"/>
    <s v="2024-03-23 06:06:07"/>
    <x v="1429"/>
    <n v="12.1"/>
    <x v="3"/>
    <s v="Windows Password"/>
    <s v="Low"/>
    <n v="360"/>
    <x v="1"/>
    <s v="Walk-in"/>
    <s v="Tier 1"/>
    <x v="11"/>
    <x v="2"/>
    <s v="Yes"/>
    <s v="No"/>
    <n v="0"/>
    <s v="Yes"/>
    <n v="10"/>
    <n v="1.9"/>
    <n v="45.1"/>
    <s v="Yes"/>
    <s v="Poor"/>
    <s v="No"/>
    <s v="Legal"/>
    <s v="Monday"/>
    <s v="Afternoon"/>
  </r>
  <r>
    <x v="1844"/>
    <s v="2024-09-06 04:35:18"/>
    <x v="9"/>
    <s v="2024-09-14 09:17:18"/>
    <x v="1430"/>
    <n v="8.1999999999999993"/>
    <x v="7"/>
    <s v="Adobe Suite"/>
    <s v="Medium"/>
    <n v="240"/>
    <x v="1"/>
    <s v="Email"/>
    <s v="Tier 1"/>
    <x v="18"/>
    <x v="1"/>
    <s v="No"/>
    <s v="No"/>
    <n v="1"/>
    <s v="No"/>
    <n v="8"/>
    <n v="2.2999999999999998"/>
    <n v="25.7"/>
    <s v="No"/>
    <s v="Poor"/>
    <s v="Yes"/>
    <s v="Legal"/>
    <s v="Thursday"/>
    <s v="Morning"/>
  </r>
  <r>
    <x v="1845"/>
    <s v="2024-01-27 09:32:35"/>
    <x v="3"/>
    <s v="2024-02-06 14:26:35"/>
    <x v="1431"/>
    <n v="10.199999999999999"/>
    <x v="3"/>
    <s v="Application Password"/>
    <s v="Low"/>
    <n v="360"/>
    <x v="1"/>
    <s v="Phone"/>
    <s v="Tier 1"/>
    <x v="4"/>
    <x v="0"/>
    <s v="Yes"/>
    <s v="No"/>
    <n v="0"/>
    <s v="No"/>
    <n v="10"/>
    <n v="3.8"/>
    <n v="14.5"/>
    <s v="Yes"/>
    <s v="Poor"/>
    <s v="No"/>
    <s v="Finance"/>
    <s v="Tuesday"/>
    <s v="Afternoon"/>
  </r>
  <r>
    <x v="1846"/>
    <s v="2024-11-02 19:09:01"/>
    <x v="7"/>
    <s v="2024-11-14 13:15:01"/>
    <x v="1432"/>
    <n v="11.8"/>
    <x v="3"/>
    <s v="Application Password"/>
    <s v="Low"/>
    <n v="360"/>
    <x v="1"/>
    <s v="Phone"/>
    <s v="Tier 1"/>
    <x v="15"/>
    <x v="1"/>
    <s v="Yes"/>
    <s v="No"/>
    <n v="0"/>
    <s v="No"/>
    <n v="10"/>
    <n v="2.5"/>
    <n v="33.700000000000003"/>
    <s v="No"/>
    <s v="Excellent"/>
    <s v="Yes"/>
    <s v="Executive"/>
    <s v="Tuesday"/>
    <s v="Afternoon"/>
  </r>
  <r>
    <x v="1847"/>
    <s v="2024-10-15 13:31:45"/>
    <x v="2"/>
    <s v="2024-10-29 14:07:45"/>
    <x v="1433"/>
    <n v="14.1"/>
    <x v="3"/>
    <s v="Email Password"/>
    <s v="Low"/>
    <n v="360"/>
    <x v="1"/>
    <s v="Chat"/>
    <s v="Tier 1"/>
    <x v="14"/>
    <x v="0"/>
    <s v="No"/>
    <s v="No"/>
    <n v="1"/>
    <s v="No"/>
    <n v="8"/>
    <n v="3.8"/>
    <n v="13.6"/>
    <s v="Yes"/>
    <s v="Poor"/>
    <s v="Yes"/>
    <s v="Finance"/>
    <s v="Friday"/>
    <s v="Evening"/>
  </r>
  <r>
    <x v="1848"/>
    <s v="2024-01-12 12:22:22"/>
    <x v="3"/>
    <s v="2024-01-19 02:16:22"/>
    <x v="670"/>
    <n v="6.6"/>
    <x v="7"/>
    <s v="Adobe Suite"/>
    <s v="High"/>
    <n v="120"/>
    <x v="0"/>
    <s v="Portal"/>
    <s v="Tier 2"/>
    <x v="16"/>
    <x v="1"/>
    <s v="No"/>
    <s v="Yes"/>
    <n v="2"/>
    <s v="No"/>
    <n v="6"/>
    <n v="0.8"/>
    <n v="29.4"/>
    <s v="Yes"/>
    <s v="Good"/>
    <s v="Yes"/>
    <s v="Finance"/>
    <s v="Monday"/>
    <s v="Afternoon"/>
  </r>
  <r>
    <x v="1849"/>
    <s v="2024-09-02 22:46:31"/>
    <x v="9"/>
    <s v="2024-09-09 04:22:31"/>
    <x v="1434"/>
    <n v="6.2"/>
    <x v="2"/>
    <s v="VPN Connection"/>
    <s v="High"/>
    <n v="120"/>
    <x v="0"/>
    <s v="Email"/>
    <s v="Tier 1"/>
    <x v="9"/>
    <x v="0"/>
    <s v="No"/>
    <s v="No"/>
    <n v="1"/>
    <s v="No"/>
    <n v="5"/>
    <n v="1.9"/>
    <n v="12.8"/>
    <s v="No"/>
    <s v="Fair"/>
    <s v="No"/>
    <s v="Legal"/>
    <s v="Thursday"/>
    <s v="Afternoon"/>
  </r>
  <r>
    <x v="1850"/>
    <s v="2024-11-05 17:44:10"/>
    <x v="7"/>
    <s v="2024-11-12 15:56:10"/>
    <x v="1375"/>
    <n v="6.9"/>
    <x v="0"/>
    <s v="Admin Rights"/>
    <s v="Medium"/>
    <n v="240"/>
    <x v="1"/>
    <s v="Email"/>
    <s v="Tier 1"/>
    <x v="19"/>
    <x v="1"/>
    <s v="Yes"/>
    <s v="No"/>
    <n v="0"/>
    <s v="No"/>
    <n v="10"/>
    <n v="2.7"/>
    <n v="42.1"/>
    <s v="Yes"/>
    <s v="Fair"/>
    <s v="Yes"/>
    <s v="Operations"/>
    <s v="Monday"/>
    <s v="Morning"/>
  </r>
  <r>
    <x v="1851"/>
    <s v="2024-06-11 04:18:05"/>
    <x v="10"/>
    <s v="2024-06-23 17:18:05"/>
    <x v="1435"/>
    <n v="12.5"/>
    <x v="2"/>
    <s v="WiFi Issues"/>
    <s v="Low"/>
    <n v="360"/>
    <x v="1"/>
    <s v="Phone"/>
    <s v="Tier 2"/>
    <x v="17"/>
    <x v="2"/>
    <s v="No"/>
    <s v="Yes"/>
    <n v="2"/>
    <s v="No"/>
    <n v="8"/>
    <n v="0.8"/>
    <n v="16.2"/>
    <s v="Yes"/>
    <s v="Excellent"/>
    <s v="Yes"/>
    <s v="Operations"/>
    <s v="Thursday"/>
    <s v="Morning"/>
  </r>
  <r>
    <x v="1852"/>
    <s v="2024-11-03 00:37:08"/>
    <x v="7"/>
    <s v="2024-11-10 06:43:08"/>
    <x v="1436"/>
    <n v="6.3"/>
    <x v="7"/>
    <s v="VPN Client"/>
    <s v="High"/>
    <n v="120"/>
    <x v="0"/>
    <s v="Walk-in"/>
    <s v="Tier 2"/>
    <x v="11"/>
    <x v="2"/>
    <s v="No"/>
    <s v="Yes"/>
    <n v="3"/>
    <s v="No"/>
    <n v="5"/>
    <n v="4.5999999999999996"/>
    <n v="31"/>
    <s v="No"/>
    <s v="Poor"/>
    <s v="Yes"/>
    <s v="Marketing"/>
    <s v="Monday"/>
    <s v="Morning"/>
  </r>
  <r>
    <x v="1853"/>
    <s v="2024-09-18 00:11:21"/>
    <x v="9"/>
    <s v="2024-10-05 13:41:21"/>
    <x v="1437"/>
    <n v="16.600000000000001"/>
    <x v="3"/>
    <s v="Windows Password"/>
    <s v="Low"/>
    <n v="360"/>
    <x v="0"/>
    <s v="Phone"/>
    <s v="Tier 1"/>
    <x v="3"/>
    <x v="1"/>
    <s v="Yes"/>
    <s v="No"/>
    <n v="0"/>
    <s v="Yes"/>
    <n v="6"/>
    <n v="1.5"/>
    <n v="10.3"/>
    <s v="No"/>
    <s v="Good"/>
    <s v="Yes"/>
    <s v="Finance"/>
    <s v="Monday"/>
    <s v="Afternoon"/>
  </r>
  <r>
    <x v="1854"/>
    <s v="2024-02-28 15:31:03"/>
    <x v="6"/>
    <s v="2024-03-03 21:07:03"/>
    <x v="1069"/>
    <n v="4.2"/>
    <x v="2"/>
    <s v="Ethernet"/>
    <s v="High"/>
    <n v="120"/>
    <x v="1"/>
    <s v="Walk-in"/>
    <s v="Tier 1"/>
    <x v="10"/>
    <x v="2"/>
    <s v="No"/>
    <s v="No"/>
    <n v="1"/>
    <s v="No"/>
    <n v="9"/>
    <n v="6"/>
    <n v="38.9"/>
    <s v="Yes"/>
    <s v="Good"/>
    <s v="Yes"/>
    <s v="Legal"/>
    <s v="Monday"/>
    <s v="Afternoon"/>
  </r>
  <r>
    <x v="1855"/>
    <s v="2024-01-26 13:29:05"/>
    <x v="3"/>
    <s v="2024-02-08 08:17:05"/>
    <x v="1438"/>
    <n v="12.8"/>
    <x v="4"/>
    <s v="Crash"/>
    <s v="Medium"/>
    <n v="240"/>
    <x v="0"/>
    <s v="Phone"/>
    <s v="Tier 1"/>
    <x v="8"/>
    <x v="0"/>
    <s v="Yes"/>
    <s v="No"/>
    <n v="0"/>
    <s v="Yes"/>
    <n v="8"/>
    <n v="2.2000000000000002"/>
    <n v="0"/>
    <s v="No"/>
    <s v="Poor"/>
    <s v="Yes"/>
    <s v="Legal"/>
    <s v="Tuesday"/>
    <s v="Morning"/>
  </r>
  <r>
    <x v="1856"/>
    <s v="2024-05-16 19:20:29"/>
    <x v="8"/>
    <s v="2024-05-25 22:56:29"/>
    <x v="751"/>
    <n v="9.1999999999999993"/>
    <x v="3"/>
    <s v="Email Password"/>
    <s v="Low"/>
    <n v="360"/>
    <x v="1"/>
    <s v="Email"/>
    <s v="Tier 1"/>
    <x v="16"/>
    <x v="1"/>
    <s v="Yes"/>
    <s v="No"/>
    <n v="0"/>
    <s v="Yes"/>
    <n v="9"/>
    <n v="3.8"/>
    <n v="6.2"/>
    <s v="Yes"/>
    <s v="Fair"/>
    <s v="No"/>
    <s v="Operations"/>
    <s v="Tuesday"/>
    <s v="Evening"/>
  </r>
  <r>
    <x v="1857"/>
    <s v="2024-12-16 00:35:39"/>
    <x v="0"/>
    <s v="2024-12-18 14:17:39"/>
    <x v="1439"/>
    <n v="1.6"/>
    <x v="1"/>
    <s v="Desktop"/>
    <s v="Critical"/>
    <n v="48"/>
    <x v="1"/>
    <s v="Portal"/>
    <s v="Tier 1"/>
    <x v="10"/>
    <x v="0"/>
    <s v="No"/>
    <s v="No"/>
    <n v="1"/>
    <s v="No"/>
    <n v="10"/>
    <n v="3.3"/>
    <n v="3.9"/>
    <s v="No"/>
    <s v="Excellent"/>
    <s v="No"/>
    <s v="HR"/>
    <s v="Tuesday"/>
    <s v="Afternoon"/>
  </r>
  <r>
    <x v="1858"/>
    <s v="2024-03-22 07:52:27"/>
    <x v="5"/>
    <s v="2024-03-28 08:10:27"/>
    <x v="1440"/>
    <n v="6"/>
    <x v="7"/>
    <s v="VPN Client"/>
    <s v="High"/>
    <n v="120"/>
    <x v="0"/>
    <s v="Portal"/>
    <s v="Tier 1"/>
    <x v="13"/>
    <x v="1"/>
    <s v="Yes"/>
    <s v="No"/>
    <n v="0"/>
    <s v="No"/>
    <n v="7"/>
    <n v="3.8"/>
    <n v="17.100000000000001"/>
    <s v="Yes"/>
    <s v="Poor"/>
    <s v="Yes"/>
    <s v="Marketing"/>
    <s v="Friday"/>
    <s v="Morning"/>
  </r>
  <r>
    <x v="1859"/>
    <s v="2024-02-29 10:12:50"/>
    <x v="6"/>
    <s v="2024-03-14 05:12:50"/>
    <x v="1441"/>
    <n v="13.8"/>
    <x v="5"/>
    <s v="General Inquiry"/>
    <s v="Low"/>
    <n v="360"/>
    <x v="1"/>
    <s v="Phone"/>
    <s v="Tier 1"/>
    <x v="13"/>
    <x v="2"/>
    <s v="No"/>
    <s v="No"/>
    <n v="1"/>
    <s v="No"/>
    <n v="6"/>
    <n v="3"/>
    <n v="9"/>
    <s v="Yes"/>
    <s v="Poor"/>
    <s v="No"/>
    <s v="Executive"/>
    <s v="Wednesday"/>
    <s v="Morning"/>
  </r>
  <r>
    <x v="1860"/>
    <s v="2024-12-04 06:59:33"/>
    <x v="0"/>
    <s v="2024-12-11 21:47:33"/>
    <x v="989"/>
    <n v="7.6"/>
    <x v="0"/>
    <s v="Admin Rights"/>
    <s v="Medium"/>
    <n v="240"/>
    <x v="1"/>
    <s v="Email"/>
    <s v="Tier 1"/>
    <x v="18"/>
    <x v="0"/>
    <s v="No"/>
    <s v="No"/>
    <n v="1"/>
    <s v="No"/>
    <n v="8"/>
    <n v="2.9"/>
    <n v="0"/>
    <s v="No"/>
    <s v="Fair"/>
    <s v="Yes"/>
    <s v="Sales"/>
    <s v="Thursday"/>
    <s v="Evening"/>
  </r>
  <r>
    <x v="1861"/>
    <s v="2024-10-19 15:05:46"/>
    <x v="2"/>
    <s v="2024-10-23 05:53:46"/>
    <x v="44"/>
    <n v="3.6"/>
    <x v="1"/>
    <s v="Laptop"/>
    <s v="High"/>
    <n v="120"/>
    <x v="1"/>
    <s v="Portal"/>
    <s v="Tier 2"/>
    <x v="9"/>
    <x v="2"/>
    <s v="No"/>
    <s v="Yes"/>
    <n v="1"/>
    <s v="No"/>
    <n v="9"/>
    <n v="1.8"/>
    <n v="13.4"/>
    <s v="Yes"/>
    <s v="Good"/>
    <s v="Yes"/>
    <s v="IT"/>
    <s v="Tuesday"/>
    <s v="Morning"/>
  </r>
  <r>
    <x v="1862"/>
    <s v="2024-12-20 14:51:17"/>
    <x v="0"/>
    <s v="2024-12-31 19:09:17"/>
    <x v="117"/>
    <n v="11.2"/>
    <x v="3"/>
    <s v="Application Password"/>
    <s v="Low"/>
    <n v="360"/>
    <x v="1"/>
    <s v="Email"/>
    <s v="Tier 1"/>
    <x v="20"/>
    <x v="0"/>
    <s v="Yes"/>
    <s v="No"/>
    <n v="0"/>
    <s v="No"/>
    <n v="7"/>
    <n v="4.5999999999999996"/>
    <n v="12"/>
    <s v="No"/>
    <s v="Excellent"/>
    <s v="No"/>
    <s v="Finance"/>
    <s v="Friday"/>
    <s v="Afternoon"/>
  </r>
  <r>
    <x v="1863"/>
    <s v="2024-09-07 04:30:58"/>
    <x v="9"/>
    <s v="2024-09-17 10:30:58"/>
    <x v="1442"/>
    <n v="10.3"/>
    <x v="3"/>
    <s v="Account Unlock"/>
    <s v="Low"/>
    <n v="360"/>
    <x v="1"/>
    <s v="Email"/>
    <s v="Tier 1"/>
    <x v="20"/>
    <x v="2"/>
    <s v="Yes"/>
    <s v="No"/>
    <n v="0"/>
    <s v="No"/>
    <n v="10"/>
    <n v="5.4"/>
    <n v="0"/>
    <s v="Yes"/>
    <s v="Poor"/>
    <s v="Yes"/>
    <s v="Marketing"/>
    <s v="Thursday"/>
    <s v="Morning"/>
  </r>
  <r>
    <x v="1864"/>
    <s v="2024-10-17 23:54:54"/>
    <x v="2"/>
    <s v="2024-10-19 09:54:54"/>
    <x v="1443"/>
    <n v="1.4"/>
    <x v="0"/>
    <s v="File Share"/>
    <s v="Critical"/>
    <n v="48"/>
    <x v="1"/>
    <s v="Phone"/>
    <s v="Tier 1"/>
    <x v="22"/>
    <x v="1"/>
    <s v="Yes"/>
    <s v="No"/>
    <n v="0"/>
    <s v="No"/>
    <n v="10"/>
    <n v="1.7"/>
    <n v="22.1"/>
    <s v="No"/>
    <s v="Poor"/>
    <s v="No"/>
    <s v="Legal"/>
    <s v="Tuesday"/>
    <s v="Afternoon"/>
  </r>
  <r>
    <x v="1865"/>
    <s v="2024-08-28 17:35:10"/>
    <x v="1"/>
    <s v="2024-09-02 22:05:10"/>
    <x v="1444"/>
    <n v="5.2"/>
    <x v="1"/>
    <s v="Keyboard/Mouse"/>
    <s v="High"/>
    <n v="120"/>
    <x v="0"/>
    <s v="Chat"/>
    <s v="Tier 1"/>
    <x v="13"/>
    <x v="2"/>
    <s v="Yes"/>
    <s v="No"/>
    <n v="0"/>
    <s v="No"/>
    <n v="10"/>
    <n v="2.2000000000000002"/>
    <n v="20.100000000000001"/>
    <s v="No"/>
    <s v="Good"/>
    <s v="Yes"/>
    <s v="Sales"/>
    <s v="Thursday"/>
    <s v="Evening"/>
  </r>
  <r>
    <x v="1866"/>
    <s v="2024-06-29 03:13:24"/>
    <x v="10"/>
    <s v="2024-07-03 10:31:24"/>
    <x v="1445"/>
    <n v="4.3"/>
    <x v="1"/>
    <s v="Laptop"/>
    <s v="High"/>
    <n v="120"/>
    <x v="1"/>
    <s v="Phone"/>
    <s v="Tier 2"/>
    <x v="18"/>
    <x v="0"/>
    <s v="No"/>
    <s v="Yes"/>
    <n v="4"/>
    <s v="No"/>
    <n v="7"/>
    <n v="3.4"/>
    <n v="39.200000000000003"/>
    <s v="Yes"/>
    <s v="Excellent"/>
    <s v="Yes"/>
    <s v="Finance"/>
    <s v="Wednesday"/>
    <s v="Morning"/>
  </r>
  <r>
    <x v="1867"/>
    <s v="2024-06-23 16:41:49"/>
    <x v="10"/>
    <s v="2024-07-12 17:47:49"/>
    <x v="1446"/>
    <n v="19"/>
    <x v="3"/>
    <s v="Application Password"/>
    <s v="Low"/>
    <n v="360"/>
    <x v="0"/>
    <s v="Walk-in"/>
    <s v="Tier 1"/>
    <x v="2"/>
    <x v="2"/>
    <s v="Yes"/>
    <s v="No"/>
    <n v="0"/>
    <s v="No"/>
    <n v="5"/>
    <n v="0.5"/>
    <n v="8.6999999999999993"/>
    <s v="Yes"/>
    <s v="Fair"/>
    <s v="No"/>
    <s v="Marketing"/>
    <s v="Thursday"/>
    <s v="Evening"/>
  </r>
  <r>
    <x v="1868"/>
    <s v="2024-01-29 04:09:08"/>
    <x v="3"/>
    <s v="2024-02-02 14:03:08"/>
    <x v="1214"/>
    <n v="4.4000000000000004"/>
    <x v="1"/>
    <s v="Laptop"/>
    <s v="High"/>
    <n v="120"/>
    <x v="1"/>
    <s v="Portal"/>
    <s v="Tier 2"/>
    <x v="9"/>
    <x v="0"/>
    <s v="No"/>
    <s v="Yes"/>
    <n v="1"/>
    <s v="No"/>
    <n v="9"/>
    <n v="3.6"/>
    <n v="5.7"/>
    <s v="Yes"/>
    <s v="Good"/>
    <s v="No"/>
    <s v="HR"/>
    <s v="Wednesday"/>
    <s v="Afternoon"/>
  </r>
  <r>
    <x v="1869"/>
    <s v="2024-09-21 23:23:05"/>
    <x v="9"/>
    <s v="2024-09-25 23:35:05"/>
    <x v="230"/>
    <n v="4"/>
    <x v="1"/>
    <s v="Laptop"/>
    <s v="High"/>
    <n v="120"/>
    <x v="1"/>
    <s v="Phone"/>
    <s v="Tier 1"/>
    <x v="3"/>
    <x v="2"/>
    <s v="No"/>
    <s v="No"/>
    <n v="1"/>
    <s v="No"/>
    <n v="6"/>
    <n v="2.6"/>
    <n v="47.9"/>
    <s v="Yes"/>
    <s v="Poor"/>
    <s v="No"/>
    <s v="Sales"/>
    <s v="Friday"/>
    <s v="Afternoon"/>
  </r>
  <r>
    <x v="1870"/>
    <s v="2024-09-01 04:16:54"/>
    <x v="9"/>
    <s v="2024-09-06 16:10:54"/>
    <x v="1447"/>
    <n v="5.5"/>
    <x v="5"/>
    <s v="Documentation"/>
    <s v="Critical"/>
    <n v="48"/>
    <x v="0"/>
    <s v="Email"/>
    <s v="Tier 1"/>
    <x v="4"/>
    <x v="1"/>
    <s v="No"/>
    <s v="No"/>
    <n v="1"/>
    <s v="No"/>
    <n v="3"/>
    <n v="1.8"/>
    <n v="19.399999999999999"/>
    <s v="No"/>
    <s v="Fair"/>
    <s v="Yes"/>
    <s v="Executive"/>
    <s v="Monday"/>
    <s v="Evening"/>
  </r>
  <r>
    <x v="1871"/>
    <s v="2024-02-15 12:57:45"/>
    <x v="6"/>
    <s v="2024-02-21 17:45:45"/>
    <x v="1387"/>
    <n v="6.2"/>
    <x v="1"/>
    <s v="Laptop"/>
    <s v="High"/>
    <n v="120"/>
    <x v="0"/>
    <s v="Email"/>
    <s v="Tier 2"/>
    <x v="1"/>
    <x v="2"/>
    <s v="No"/>
    <s v="Yes"/>
    <n v="2"/>
    <s v="No"/>
    <n v="6"/>
    <n v="1.9"/>
    <n v="18.2"/>
    <s v="No"/>
    <s v="Poor"/>
    <s v="No"/>
    <s v="HR"/>
    <s v="Friday"/>
    <s v="Morning"/>
  </r>
  <r>
    <x v="1872"/>
    <s v="2024-06-25 04:07:54"/>
    <x v="10"/>
    <s v="2024-06-28 15:49:54"/>
    <x v="1448"/>
    <n v="3.5"/>
    <x v="6"/>
    <s v="Mailbox Full"/>
    <s v="High"/>
    <n v="120"/>
    <x v="1"/>
    <s v="Phone"/>
    <s v="Tier 1"/>
    <x v="1"/>
    <x v="2"/>
    <s v="No"/>
    <s v="No"/>
    <n v="1"/>
    <s v="No"/>
    <n v="10"/>
    <n v="0.1"/>
    <n v="2.9"/>
    <s v="Yes"/>
    <s v="Good"/>
    <s v="No"/>
    <s v="Executive"/>
    <s v="Thursday"/>
    <s v="Afternoon"/>
  </r>
  <r>
    <x v="1873"/>
    <s v="2024-01-31 15:38:11"/>
    <x v="3"/>
    <s v="2024-02-02 06:08:11"/>
    <x v="1449"/>
    <n v="1.6"/>
    <x v="1"/>
    <s v="Docking Station"/>
    <s v="Critical"/>
    <n v="48"/>
    <x v="1"/>
    <s v="Phone"/>
    <s v="Tier 1"/>
    <x v="12"/>
    <x v="0"/>
    <s v="No"/>
    <s v="No"/>
    <n v="1"/>
    <s v="Yes"/>
    <n v="9"/>
    <n v="0.1"/>
    <n v="5.5"/>
    <s v="Yes"/>
    <s v="Excellent"/>
    <s v="No"/>
    <s v="HR"/>
    <s v="Tuesday"/>
    <s v="Evening"/>
  </r>
  <r>
    <x v="1874"/>
    <s v="2024-05-28 11:30:42"/>
    <x v="8"/>
    <s v="2024-06-04 05:06:42"/>
    <x v="1450"/>
    <n v="6.7"/>
    <x v="4"/>
    <s v="Crash"/>
    <s v="Medium"/>
    <n v="240"/>
    <x v="1"/>
    <s v="Phone"/>
    <s v="Tier 2"/>
    <x v="1"/>
    <x v="2"/>
    <s v="No"/>
    <s v="Yes"/>
    <n v="4"/>
    <s v="No"/>
    <n v="8"/>
    <n v="2"/>
    <n v="0"/>
    <s v="Yes"/>
    <s v="Fair"/>
    <s v="No"/>
    <s v="Marketing"/>
    <s v="Thursday"/>
    <s v="Afternoon"/>
  </r>
  <r>
    <x v="1875"/>
    <s v="2024-10-21 08:33:01"/>
    <x v="2"/>
    <s v="2024-10-30 08:03:01"/>
    <x v="1451"/>
    <n v="9"/>
    <x v="3"/>
    <s v="Application Password"/>
    <s v="Low"/>
    <n v="360"/>
    <x v="1"/>
    <s v="Portal"/>
    <s v="Tier 1"/>
    <x v="18"/>
    <x v="2"/>
    <s v="No"/>
    <s v="No"/>
    <n v="1"/>
    <s v="No"/>
    <n v="5"/>
    <n v="0.4"/>
    <n v="0"/>
    <s v="Yes"/>
    <s v="Excellent"/>
    <s v="No"/>
    <s v="Finance"/>
    <s v="Wednesday"/>
    <s v="Morning"/>
  </r>
  <r>
    <x v="1876"/>
    <s v="2024-10-22 16:04:08"/>
    <x v="2"/>
    <s v="2024-11-01 02:28:08"/>
    <x v="1253"/>
    <n v="9.5"/>
    <x v="3"/>
    <s v="Account Unlock"/>
    <s v="Low"/>
    <n v="360"/>
    <x v="1"/>
    <s v="Email"/>
    <s v="Tier 1"/>
    <x v="7"/>
    <x v="0"/>
    <s v="Yes"/>
    <s v="No"/>
    <n v="0"/>
    <s v="Yes"/>
    <n v="10"/>
    <n v="1.6"/>
    <n v="21.6"/>
    <s v="Yes"/>
    <s v="Poor"/>
    <s v="No"/>
    <s v="Executive"/>
    <s v="Wednesday"/>
    <s v="Morning"/>
  </r>
  <r>
    <x v="1877"/>
    <s v="2024-04-13 19:51:08"/>
    <x v="11"/>
    <s v="2024-04-18 09:15:08"/>
    <x v="557"/>
    <n v="4.5999999999999996"/>
    <x v="0"/>
    <s v="Application Access"/>
    <s v="High"/>
    <n v="120"/>
    <x v="1"/>
    <s v="Phone"/>
    <s v="Tier 1"/>
    <x v="11"/>
    <x v="2"/>
    <s v="No"/>
    <s v="No"/>
    <n v="1"/>
    <s v="Yes"/>
    <n v="9"/>
    <n v="1.2"/>
    <n v="2.1"/>
    <s v="Yes"/>
    <s v="Excellent"/>
    <s v="Yes"/>
    <s v="IT"/>
    <s v="Friday"/>
    <s v="Afternoon"/>
  </r>
  <r>
    <x v="1878"/>
    <s v="2024-05-25 23:50:10"/>
    <x v="8"/>
    <s v="2024-06-03 13:20:10"/>
    <x v="1452"/>
    <n v="8.6"/>
    <x v="7"/>
    <s v="VPN Client"/>
    <s v="Medium"/>
    <n v="240"/>
    <x v="1"/>
    <s v="Chat"/>
    <s v="Tier 1"/>
    <x v="8"/>
    <x v="2"/>
    <s v="No"/>
    <s v="No"/>
    <n v="1"/>
    <s v="No"/>
    <n v="7"/>
    <n v="2.1"/>
    <n v="15.1"/>
    <s v="Yes"/>
    <s v="Good"/>
    <s v="Yes"/>
    <s v="Legal"/>
    <s v="Monday"/>
    <s v="Afternoon"/>
  </r>
  <r>
    <x v="1879"/>
    <s v="2024-08-15 01:56:29"/>
    <x v="1"/>
    <s v="2024-08-29 07:32:29"/>
    <x v="1453"/>
    <n v="13.2"/>
    <x v="2"/>
    <s v="WiFi Issues"/>
    <s v="High"/>
    <n v="120"/>
    <x v="0"/>
    <s v="Email"/>
    <s v="Tier 2"/>
    <x v="18"/>
    <x v="2"/>
    <s v="No"/>
    <s v="Yes"/>
    <n v="1"/>
    <s v="No"/>
    <n v="6"/>
    <n v="5.8"/>
    <n v="13.8"/>
    <s v="Yes"/>
    <s v="Excellent"/>
    <s v="No"/>
    <s v="HR"/>
    <s v="Thursday"/>
    <s v="Morning"/>
  </r>
  <r>
    <x v="1880"/>
    <s v="2024-08-20 03:06:00"/>
    <x v="1"/>
    <s v="2024-08-24 12:06:00"/>
    <x v="189"/>
    <n v="4.4000000000000004"/>
    <x v="4"/>
    <s v="Login Issues"/>
    <s v="High"/>
    <n v="120"/>
    <x v="1"/>
    <s v="Portal"/>
    <s v="Tier 1"/>
    <x v="0"/>
    <x v="0"/>
    <s v="Yes"/>
    <s v="No"/>
    <n v="0"/>
    <s v="No"/>
    <n v="10"/>
    <n v="3.4"/>
    <n v="17.5"/>
    <s v="No"/>
    <s v="Fair"/>
    <s v="Yes"/>
    <s v="Marketing"/>
    <s v="Monday"/>
    <s v="Morning"/>
  </r>
  <r>
    <x v="1881"/>
    <s v="2024-11-03 17:35:32"/>
    <x v="7"/>
    <s v="2024-11-18 13:53:32"/>
    <x v="1017"/>
    <n v="14.8"/>
    <x v="7"/>
    <s v="VPN Client"/>
    <s v="Medium"/>
    <n v="240"/>
    <x v="0"/>
    <s v="Phone"/>
    <s v="Tier 2"/>
    <x v="2"/>
    <x v="1"/>
    <s v="No"/>
    <s v="Yes"/>
    <n v="4"/>
    <s v="No"/>
    <n v="5"/>
    <n v="2.4"/>
    <n v="0"/>
    <s v="No"/>
    <s v="Fair"/>
    <s v="Yes"/>
    <s v="Executive"/>
    <s v="Thursday"/>
    <s v="Afternoon"/>
  </r>
  <r>
    <x v="1882"/>
    <s v="2024-05-18 00:28:42"/>
    <x v="8"/>
    <s v="2024-06-13 21:04:42"/>
    <x v="1454"/>
    <n v="25.9"/>
    <x v="0"/>
    <s v="Application Access"/>
    <s v="Medium"/>
    <n v="240"/>
    <x v="0"/>
    <s v="Phone"/>
    <s v="Tier 1"/>
    <x v="18"/>
    <x v="1"/>
    <s v="Yes"/>
    <s v="No"/>
    <n v="0"/>
    <s v="No"/>
    <n v="6"/>
    <n v="4.9000000000000004"/>
    <n v="22"/>
    <s v="No"/>
    <s v="Good"/>
    <s v="No"/>
    <s v="Legal"/>
    <s v="Tuesday"/>
    <s v="Afternoon"/>
  </r>
  <r>
    <x v="1883"/>
    <s v="2024-08-28 16:49:23"/>
    <x v="1"/>
    <s v="2024-09-05 09:49:23"/>
    <x v="1455"/>
    <n v="7.7"/>
    <x v="1"/>
    <s v="Keyboard/Mouse"/>
    <s v="Medium"/>
    <n v="240"/>
    <x v="1"/>
    <s v="Email"/>
    <s v="Tier 1"/>
    <x v="12"/>
    <x v="2"/>
    <s v="No"/>
    <s v="No"/>
    <n v="1"/>
    <s v="No"/>
    <n v="6"/>
    <n v="2.1"/>
    <n v="7.8"/>
    <s v="Yes"/>
    <s v="Good"/>
    <s v="Yes"/>
    <s v="Operations"/>
    <s v="Friday"/>
    <s v="Morning"/>
  </r>
  <r>
    <x v="1884"/>
    <s v="2024-10-20 01:08:51"/>
    <x v="2"/>
    <s v="2024-10-28 06:32:51"/>
    <x v="1456"/>
    <n v="7.3"/>
    <x v="7"/>
    <s v="Drivers"/>
    <s v="Medium"/>
    <n v="240"/>
    <x v="1"/>
    <s v="Walk-in"/>
    <s v="Tier 2"/>
    <x v="19"/>
    <x v="1"/>
    <s v="No"/>
    <s v="Yes"/>
    <n v="2"/>
    <s v="No"/>
    <n v="9"/>
    <n v="0.1"/>
    <n v="26.6"/>
    <s v="No"/>
    <s v="Poor"/>
    <s v="Yes"/>
    <s v="Finance"/>
    <s v="Thursday"/>
    <s v="Evening"/>
  </r>
  <r>
    <x v="1885"/>
    <s v="2024-11-23 06:41:04"/>
    <x v="7"/>
    <s v="2024-12-02 06:41:04"/>
    <x v="1457"/>
    <n v="9"/>
    <x v="4"/>
    <s v="Performance"/>
    <s v="Medium"/>
    <n v="240"/>
    <x v="1"/>
    <s v="Portal"/>
    <s v="Tier 2"/>
    <x v="13"/>
    <x v="2"/>
    <s v="No"/>
    <s v="Yes"/>
    <n v="4"/>
    <s v="No"/>
    <n v="9"/>
    <n v="3.2"/>
    <n v="14.7"/>
    <s v="Yes"/>
    <s v="Fair"/>
    <s v="No"/>
    <s v="Executive"/>
    <s v="Tuesday"/>
    <s v="Morning"/>
  </r>
  <r>
    <x v="1886"/>
    <s v="2024-01-06 02:56:02"/>
    <x v="3"/>
    <s v="2024-01-19 23:02:02"/>
    <x v="1458"/>
    <n v="13.8"/>
    <x v="3"/>
    <s v="Application Password"/>
    <s v="Low"/>
    <n v="360"/>
    <x v="1"/>
    <s v="Email"/>
    <s v="Tier 1"/>
    <x v="14"/>
    <x v="2"/>
    <s v="Yes"/>
    <s v="No"/>
    <n v="0"/>
    <s v="No"/>
    <n v="9"/>
    <n v="4.0999999999999996"/>
    <n v="0"/>
    <s v="Yes"/>
    <s v="Poor"/>
    <s v="No"/>
    <s v="Operations"/>
    <s v="Monday"/>
    <s v="Afternoon"/>
  </r>
  <r>
    <x v="1887"/>
    <s v="2024-08-27 17:06:16"/>
    <x v="1"/>
    <s v="2024-09-04 16:30:16"/>
    <x v="1459"/>
    <n v="8"/>
    <x v="7"/>
    <s v="Adobe Suite"/>
    <s v="Medium"/>
    <n v="240"/>
    <x v="1"/>
    <s v="Phone"/>
    <s v="Tier 1"/>
    <x v="21"/>
    <x v="1"/>
    <s v="Yes"/>
    <s v="No"/>
    <n v="0"/>
    <s v="No"/>
    <n v="10"/>
    <n v="3.6"/>
    <n v="37.5"/>
    <s v="Yes"/>
    <s v="Poor"/>
    <s v="Yes"/>
    <s v="Operations"/>
    <s v="Monday"/>
    <s v="Afternoon"/>
  </r>
  <r>
    <x v="1888"/>
    <s v="2024-02-27 19:50:47"/>
    <x v="6"/>
    <s v="2024-03-05 09:14:47"/>
    <x v="971"/>
    <n v="6.6"/>
    <x v="7"/>
    <s v="Business Apps"/>
    <s v="Medium"/>
    <n v="240"/>
    <x v="1"/>
    <s v="Phone"/>
    <s v="Tier 1"/>
    <x v="24"/>
    <x v="1"/>
    <s v="No"/>
    <s v="No"/>
    <n v="1"/>
    <s v="No"/>
    <n v="8"/>
    <n v="2.9"/>
    <n v="14.1"/>
    <s v="No"/>
    <s v="Excellent"/>
    <s v="No"/>
    <s v="Sales"/>
    <s v="Thursday"/>
    <s v="Afternoon"/>
  </r>
  <r>
    <x v="1889"/>
    <s v="2024-12-07 20:37:34"/>
    <x v="0"/>
    <s v="2024-12-14 21:07:34"/>
    <x v="453"/>
    <n v="7"/>
    <x v="4"/>
    <s v="Crash"/>
    <s v="High"/>
    <n v="120"/>
    <x v="0"/>
    <s v="Email"/>
    <s v="Tier 2"/>
    <x v="7"/>
    <x v="1"/>
    <s v="No"/>
    <s v="Yes"/>
    <n v="4"/>
    <s v="No"/>
    <n v="4"/>
    <n v="1.6"/>
    <n v="15.8"/>
    <s v="Yes"/>
    <s v="Good"/>
    <s v="No"/>
    <s v="Legal"/>
    <s v="Thursday"/>
    <s v="Afternoon"/>
  </r>
  <r>
    <x v="1890"/>
    <s v="2024-01-14 18:08:12"/>
    <x v="3"/>
    <s v="2024-01-25 18:38:12"/>
    <x v="1460"/>
    <n v="11"/>
    <x v="6"/>
    <s v="Distribution List"/>
    <s v="Low"/>
    <n v="360"/>
    <x v="1"/>
    <s v="Phone"/>
    <s v="Tier 2"/>
    <x v="0"/>
    <x v="2"/>
    <s v="No"/>
    <s v="Yes"/>
    <n v="3"/>
    <s v="No"/>
    <n v="9"/>
    <n v="2.2999999999999998"/>
    <n v="21.2"/>
    <s v="Yes"/>
    <s v="Fair"/>
    <s v="Yes"/>
    <s v="Finance"/>
    <s v="Thursday"/>
    <s v="Morning"/>
  </r>
  <r>
    <x v="1891"/>
    <s v="2024-11-17 07:22:32"/>
    <x v="7"/>
    <s v="2024-12-02 13:52:32"/>
    <x v="1461"/>
    <n v="15.3"/>
    <x v="3"/>
    <s v="Application Password"/>
    <s v="Low"/>
    <n v="360"/>
    <x v="0"/>
    <s v="Email"/>
    <s v="Tier 1"/>
    <x v="15"/>
    <x v="2"/>
    <s v="Yes"/>
    <s v="No"/>
    <n v="0"/>
    <s v="Yes"/>
    <n v="8"/>
    <n v="3.7"/>
    <n v="5.2"/>
    <s v="Yes"/>
    <s v="Excellent"/>
    <s v="Yes"/>
    <s v="Marketing"/>
    <s v="Wednesday"/>
    <s v="Afternoon"/>
  </r>
  <r>
    <x v="1892"/>
    <s v="2024-01-14 23:25:03"/>
    <x v="3"/>
    <s v="2024-01-24 08:13:03"/>
    <x v="1462"/>
    <n v="9.4"/>
    <x v="0"/>
    <s v="Admin Rights"/>
    <s v="Medium"/>
    <n v="240"/>
    <x v="1"/>
    <s v="Walk-in"/>
    <s v="Tier 1"/>
    <x v="6"/>
    <x v="2"/>
    <s v="Yes"/>
    <s v="No"/>
    <n v="0"/>
    <s v="No"/>
    <n v="10"/>
    <n v="2"/>
    <n v="29.9"/>
    <s v="No"/>
    <s v="Excellent"/>
    <s v="No"/>
    <s v="Legal"/>
    <s v="Friday"/>
    <s v="Evening"/>
  </r>
  <r>
    <x v="1893"/>
    <s v="2024-01-17 10:48:19"/>
    <x v="3"/>
    <s v="2024-01-22 00:54:19"/>
    <x v="550"/>
    <n v="5.6"/>
    <x v="4"/>
    <s v="Login Issues"/>
    <s v="High"/>
    <n v="120"/>
    <x v="0"/>
    <s v="Phone"/>
    <s v="Tier 2"/>
    <x v="14"/>
    <x v="1"/>
    <s v="No"/>
    <s v="Yes"/>
    <n v="2"/>
    <s v="No"/>
    <n v="8"/>
    <n v="3.7"/>
    <n v="40.200000000000003"/>
    <s v="Yes"/>
    <s v="Fair"/>
    <s v="Yes"/>
    <s v="Legal"/>
    <s v="Monday"/>
    <s v="Afternoon"/>
  </r>
  <r>
    <x v="1894"/>
    <s v="2024-01-03 11:36:05"/>
    <x v="3"/>
    <s v="2024-01-10 16:00:05"/>
    <x v="1463"/>
    <n v="7.2"/>
    <x v="7"/>
    <s v="VPN Client"/>
    <s v="Medium"/>
    <n v="240"/>
    <x v="1"/>
    <s v="Email"/>
    <s v="Tier 1"/>
    <x v="7"/>
    <x v="2"/>
    <s v="No"/>
    <s v="No"/>
    <n v="1"/>
    <s v="Yes"/>
    <n v="7"/>
    <n v="1.9"/>
    <n v="39.1"/>
    <s v="No"/>
    <s v="Poor"/>
    <s v="No"/>
    <s v="Operations"/>
    <s v="Friday"/>
    <s v="Afternoon"/>
  </r>
  <r>
    <x v="1895"/>
    <s v="2024-06-15 01:10:12"/>
    <x v="10"/>
    <s v="2024-06-26 07:22:12"/>
    <x v="1464"/>
    <n v="10.3"/>
    <x v="0"/>
    <s v="Application Access"/>
    <s v="Low"/>
    <n v="360"/>
    <x v="1"/>
    <s v="Email"/>
    <s v="Tier 1"/>
    <x v="20"/>
    <x v="1"/>
    <s v="No"/>
    <s v="No"/>
    <n v="1"/>
    <s v="No"/>
    <n v="7"/>
    <n v="2.5"/>
    <n v="1.7"/>
    <s v="No"/>
    <s v="Fair"/>
    <s v="Yes"/>
    <s v="IT"/>
    <s v="Monday"/>
    <s v="Morning"/>
  </r>
  <r>
    <x v="1896"/>
    <s v="2024-05-29 09:28:28"/>
    <x v="8"/>
    <s v="2024-06-10 16:52:28"/>
    <x v="303"/>
    <n v="12.3"/>
    <x v="5"/>
    <s v="General Inquiry"/>
    <s v="Medium"/>
    <n v="240"/>
    <x v="0"/>
    <s v="Phone"/>
    <s v="Tier 2"/>
    <x v="21"/>
    <x v="0"/>
    <s v="No"/>
    <s v="Yes"/>
    <n v="4"/>
    <s v="No"/>
    <n v="6"/>
    <n v="3"/>
    <n v="18.8"/>
    <s v="No"/>
    <s v="Good"/>
    <s v="Yes"/>
    <s v="IT"/>
    <s v="Monday"/>
    <s v="Morning"/>
  </r>
  <r>
    <x v="1897"/>
    <s v="2024-06-13 02:42:01"/>
    <x v="10"/>
    <s v="2024-06-18 12:42:01"/>
    <x v="931"/>
    <n v="4.4000000000000004"/>
    <x v="1"/>
    <s v="Keyboard/Mouse"/>
    <s v="High"/>
    <n v="120"/>
    <x v="1"/>
    <s v="Chat"/>
    <s v="Tier 1"/>
    <x v="9"/>
    <x v="2"/>
    <s v="No"/>
    <s v="No"/>
    <n v="1"/>
    <s v="No"/>
    <n v="10"/>
    <n v="1.8"/>
    <n v="14.1"/>
    <s v="No"/>
    <s v="Good"/>
    <s v="No"/>
    <s v="Operations"/>
    <s v="Thursday"/>
    <s v="Evening"/>
  </r>
  <r>
    <x v="1898"/>
    <s v="2024-09-20 15:14:52"/>
    <x v="9"/>
    <s v="2024-09-30 14:38:52"/>
    <x v="1465"/>
    <n v="10"/>
    <x v="4"/>
    <s v="Login Issues"/>
    <s v="Low"/>
    <n v="360"/>
    <x v="1"/>
    <s v="Phone"/>
    <s v="Tier 1"/>
    <x v="3"/>
    <x v="0"/>
    <s v="No"/>
    <s v="No"/>
    <n v="1"/>
    <s v="Yes"/>
    <n v="8"/>
    <n v="4.5999999999999996"/>
    <n v="24"/>
    <s v="Yes"/>
    <s v="Fair"/>
    <s v="Yes"/>
    <s v="IT"/>
    <s v="Wednesday"/>
    <s v="Afternoon"/>
  </r>
  <r>
    <x v="1899"/>
    <s v="2024-04-09 15:05:29"/>
    <x v="11"/>
    <s v="2024-04-23 13:41:29"/>
    <x v="1466"/>
    <n v="13.9"/>
    <x v="4"/>
    <s v="Features Not Working"/>
    <s v="Low"/>
    <n v="360"/>
    <x v="1"/>
    <s v="Portal"/>
    <s v="Tier 2"/>
    <x v="16"/>
    <x v="2"/>
    <s v="No"/>
    <s v="Yes"/>
    <n v="4"/>
    <s v="No"/>
    <n v="9"/>
    <n v="2.2000000000000002"/>
    <n v="23.4"/>
    <s v="Yes"/>
    <s v="Good"/>
    <s v="Yes"/>
    <s v="IT"/>
    <s v="Monday"/>
    <s v="Evening"/>
  </r>
  <r>
    <x v="1900"/>
    <s v="2024-05-25 20:43:48"/>
    <x v="8"/>
    <s v="2024-06-19 18:43:48"/>
    <x v="1467"/>
    <n v="24.9"/>
    <x v="0"/>
    <s v="Application Access"/>
    <s v="Medium"/>
    <n v="240"/>
    <x v="0"/>
    <s v="Portal"/>
    <s v="Tier 1"/>
    <x v="19"/>
    <x v="0"/>
    <s v="Yes"/>
    <s v="No"/>
    <n v="0"/>
    <s v="Yes"/>
    <n v="8"/>
    <n v="1.8"/>
    <n v="16.8"/>
    <s v="Yes"/>
    <s v="Excellent"/>
    <s v="Yes"/>
    <s v="Finance"/>
    <s v="Monday"/>
    <s v="Afternoon"/>
  </r>
  <r>
    <x v="1901"/>
    <s v="2024-01-17 15:42:33"/>
    <x v="3"/>
    <s v="2024-01-26 10:54:33"/>
    <x v="1468"/>
    <n v="8.8000000000000007"/>
    <x v="0"/>
    <s v="Application Access"/>
    <s v="Medium"/>
    <n v="240"/>
    <x v="1"/>
    <s v="Portal"/>
    <s v="Tier 1"/>
    <x v="11"/>
    <x v="1"/>
    <s v="Yes"/>
    <s v="No"/>
    <n v="0"/>
    <s v="No"/>
    <n v="10"/>
    <n v="0.1"/>
    <n v="10.9"/>
    <s v="No"/>
    <s v="Fair"/>
    <s v="No"/>
    <s v="HR"/>
    <s v="Wednesday"/>
    <s v="Afternoon"/>
  </r>
  <r>
    <x v="1902"/>
    <s v="2024-10-20 22:54:26"/>
    <x v="2"/>
    <s v="2024-10-28 21:24:26"/>
    <x v="320"/>
    <n v="8"/>
    <x v="5"/>
    <s v="General Inquiry"/>
    <s v="Medium"/>
    <n v="240"/>
    <x v="1"/>
    <s v="Phone"/>
    <s v="Tier 2"/>
    <x v="13"/>
    <x v="0"/>
    <s v="No"/>
    <s v="Yes"/>
    <n v="4"/>
    <s v="No"/>
    <n v="7"/>
    <n v="1.5"/>
    <n v="0"/>
    <s v="No"/>
    <s v="Poor"/>
    <s v="No"/>
    <s v="Legal"/>
    <s v="Friday"/>
    <s v="Afternoon"/>
  </r>
  <r>
    <x v="1903"/>
    <s v="2024-03-21 13:49:38"/>
    <x v="5"/>
    <s v="2024-04-03 22:13:38"/>
    <x v="1257"/>
    <n v="13.3"/>
    <x v="3"/>
    <s v="Windows Password"/>
    <s v="Low"/>
    <n v="360"/>
    <x v="1"/>
    <s v="Chat"/>
    <s v="Tier 1"/>
    <x v="13"/>
    <x v="2"/>
    <s v="Yes"/>
    <s v="No"/>
    <n v="0"/>
    <s v="No"/>
    <n v="8"/>
    <n v="1.4"/>
    <n v="18.8"/>
    <s v="Yes"/>
    <s v="Good"/>
    <s v="Yes"/>
    <s v="Sales"/>
    <s v="Monday"/>
    <s v="Afternoon"/>
  </r>
  <r>
    <x v="1904"/>
    <s v="2024-08-01 03:06:15"/>
    <x v="1"/>
    <s v="2024-08-15 18:30:15"/>
    <x v="1469"/>
    <n v="14.6"/>
    <x v="4"/>
    <s v="Login Issues"/>
    <s v="Medium"/>
    <n v="240"/>
    <x v="0"/>
    <s v="Chat"/>
    <s v="Tier 1"/>
    <x v="1"/>
    <x v="0"/>
    <s v="No"/>
    <s v="No"/>
    <n v="1"/>
    <s v="No"/>
    <n v="4"/>
    <n v="6"/>
    <n v="35.6"/>
    <s v="No"/>
    <s v="Good"/>
    <s v="Yes"/>
    <s v="Finance"/>
    <s v="Tuesday"/>
    <s v="Morning"/>
  </r>
  <r>
    <x v="1905"/>
    <s v="2024-09-15 04:11:23"/>
    <x v="9"/>
    <s v="2024-09-19 11:47:23"/>
    <x v="1470"/>
    <n v="4.3"/>
    <x v="2"/>
    <s v="Ethernet"/>
    <s v="High"/>
    <n v="120"/>
    <x v="1"/>
    <s v="Portal"/>
    <s v="Tier 2"/>
    <x v="20"/>
    <x v="1"/>
    <s v="No"/>
    <s v="Yes"/>
    <n v="1"/>
    <s v="Yes"/>
    <n v="9"/>
    <n v="4.7"/>
    <n v="27.1"/>
    <s v="Yes"/>
    <s v="Poor"/>
    <s v="Yes"/>
    <s v="HR"/>
    <s v="Thursday"/>
    <s v="Afternoon"/>
  </r>
  <r>
    <x v="1906"/>
    <s v="2024-01-13 17:34:12"/>
    <x v="3"/>
    <s v="2024-01-16 18:34:12"/>
    <x v="655"/>
    <n v="3"/>
    <x v="4"/>
    <s v="Performance"/>
    <s v="Critical"/>
    <n v="48"/>
    <x v="0"/>
    <s v="Email"/>
    <s v="Tier 1"/>
    <x v="3"/>
    <x v="1"/>
    <s v="No"/>
    <s v="No"/>
    <n v="1"/>
    <s v="No"/>
    <n v="3"/>
    <n v="4.2"/>
    <n v="18.399999999999999"/>
    <s v="Yes"/>
    <s v="Good"/>
    <s v="Yes"/>
    <s v="IT"/>
    <s v="Monday"/>
    <s v="Afternoon"/>
  </r>
  <r>
    <x v="1907"/>
    <s v="2024-12-25 13:11:01"/>
    <x v="0"/>
    <s v="2025-01-06 23:17:01"/>
    <x v="1100"/>
    <n v="12.4"/>
    <x v="2"/>
    <s v="Slow Network"/>
    <s v="High"/>
    <n v="120"/>
    <x v="0"/>
    <s v="Email"/>
    <s v="Tier 1"/>
    <x v="6"/>
    <x v="1"/>
    <s v="Yes"/>
    <s v="No"/>
    <n v="0"/>
    <s v="Yes"/>
    <n v="7"/>
    <n v="0.1"/>
    <n v="28"/>
    <s v="Yes"/>
    <s v="Fair"/>
    <s v="Yes"/>
    <s v="Sales"/>
    <s v="Thursday"/>
    <s v="Afternoon"/>
  </r>
  <r>
    <x v="1908"/>
    <s v="2024-07-10 10:46:09"/>
    <x v="4"/>
    <s v="2024-07-22 01:58:09"/>
    <x v="1471"/>
    <n v="12.6"/>
    <x v="3"/>
    <s v="Email Password"/>
    <s v="Low"/>
    <n v="360"/>
    <x v="1"/>
    <s v="Email"/>
    <s v="Tier 1"/>
    <x v="16"/>
    <x v="2"/>
    <s v="No"/>
    <s v="No"/>
    <n v="1"/>
    <s v="No"/>
    <n v="7"/>
    <n v="1"/>
    <n v="26"/>
    <s v="Yes"/>
    <s v="Good"/>
    <s v="No"/>
    <s v="Legal"/>
    <s v="Thursday"/>
    <s v="Morning"/>
  </r>
  <r>
    <x v="1909"/>
    <s v="2024-02-22 21:01:21"/>
    <x v="6"/>
    <s v="2024-03-19 18:55:21"/>
    <x v="1472"/>
    <n v="25.9"/>
    <x v="7"/>
    <s v="Business Apps"/>
    <s v="Medium"/>
    <n v="240"/>
    <x v="0"/>
    <s v="Chat"/>
    <s v="Tier 1"/>
    <x v="16"/>
    <x v="2"/>
    <s v="No"/>
    <s v="No"/>
    <n v="1"/>
    <s v="No"/>
    <n v="4"/>
    <n v="0.1"/>
    <n v="16.5"/>
    <s v="Yes"/>
    <s v="Fair"/>
    <s v="No"/>
    <s v="Legal"/>
    <s v="Friday"/>
    <s v="Afternoon"/>
  </r>
  <r>
    <x v="1910"/>
    <s v="2024-05-20 07:27:12"/>
    <x v="8"/>
    <s v="2024-06-11 13:09:12"/>
    <x v="1473"/>
    <n v="22.2"/>
    <x v="2"/>
    <s v="WiFi Issues"/>
    <s v="Medium"/>
    <n v="240"/>
    <x v="0"/>
    <s v="Walk-in"/>
    <s v="Tier 1"/>
    <x v="17"/>
    <x v="0"/>
    <s v="Yes"/>
    <s v="No"/>
    <n v="0"/>
    <s v="No"/>
    <n v="7"/>
    <n v="0.1"/>
    <n v="0"/>
    <s v="Yes"/>
    <s v="Poor"/>
    <s v="Yes"/>
    <s v="Executive"/>
    <s v="Thursday"/>
    <s v="Morning"/>
  </r>
  <r>
    <x v="1911"/>
    <s v="2024-07-26 10:33:15"/>
    <x v="4"/>
    <s v="2024-08-17 16:15:15"/>
    <x v="1473"/>
    <n v="22.2"/>
    <x v="3"/>
    <s v="Account Unlock"/>
    <s v="Low"/>
    <n v="360"/>
    <x v="0"/>
    <s v="Chat"/>
    <s v="Tier 1"/>
    <x v="1"/>
    <x v="1"/>
    <s v="No"/>
    <s v="No"/>
    <n v="1"/>
    <s v="No"/>
    <n v="6"/>
    <n v="0.9"/>
    <n v="14.1"/>
    <s v="Yes"/>
    <s v="Good"/>
    <s v="Yes"/>
    <s v="Sales"/>
    <s v="Thursday"/>
    <s v="Morning"/>
  </r>
  <r>
    <x v="1912"/>
    <s v="2024-06-07 22:54:44"/>
    <x v="10"/>
    <s v="2024-06-13 23:42:44"/>
    <x v="1474"/>
    <n v="6"/>
    <x v="7"/>
    <s v="Business Apps"/>
    <s v="Medium"/>
    <n v="240"/>
    <x v="1"/>
    <s v="Chat"/>
    <s v="Tier 1"/>
    <x v="17"/>
    <x v="2"/>
    <s v="No"/>
    <s v="No"/>
    <n v="1"/>
    <s v="No"/>
    <n v="10"/>
    <n v="4.7"/>
    <n v="25.6"/>
    <s v="No"/>
    <s v="Fair"/>
    <s v="Yes"/>
    <s v="Finance"/>
    <s v="Wednesday"/>
    <s v="Evening"/>
  </r>
  <r>
    <x v="1913"/>
    <s v="2024-10-18 13:11:27"/>
    <x v="2"/>
    <s v="2024-10-29 20:35:27"/>
    <x v="1475"/>
    <n v="11.4"/>
    <x v="3"/>
    <s v="Account Unlock"/>
    <s v="Low"/>
    <n v="360"/>
    <x v="1"/>
    <s v="Portal"/>
    <s v="Tier 1"/>
    <x v="2"/>
    <x v="1"/>
    <s v="Yes"/>
    <s v="No"/>
    <n v="0"/>
    <s v="No"/>
    <n v="7"/>
    <n v="2.8"/>
    <n v="1"/>
    <s v="Yes"/>
    <s v="Good"/>
    <s v="No"/>
    <s v="Legal"/>
    <s v="Tuesday"/>
    <s v="Afternoon"/>
  </r>
  <r>
    <x v="1914"/>
    <s v="2024-11-27 03:42:26"/>
    <x v="7"/>
    <s v="2024-12-06 11:30:26"/>
    <x v="89"/>
    <n v="9.3000000000000007"/>
    <x v="3"/>
    <s v="Windows Password"/>
    <s v="Low"/>
    <n v="360"/>
    <x v="1"/>
    <s v="Portal"/>
    <s v="Tier 1"/>
    <x v="14"/>
    <x v="1"/>
    <s v="Yes"/>
    <s v="No"/>
    <n v="0"/>
    <s v="No"/>
    <n v="8"/>
    <n v="1.9"/>
    <n v="27.1"/>
    <s v="Yes"/>
    <s v="Fair"/>
    <s v="No"/>
    <s v="HR"/>
    <s v="Tuesday"/>
    <s v="Morning"/>
  </r>
  <r>
    <x v="1915"/>
    <s v="2024-08-18 16:34:47"/>
    <x v="1"/>
    <s v="2024-08-26 02:58:47"/>
    <x v="875"/>
    <n v="8.4"/>
    <x v="7"/>
    <s v="Business Apps"/>
    <s v="High"/>
    <n v="120"/>
    <x v="0"/>
    <s v="Phone"/>
    <s v="Tier 2"/>
    <x v="19"/>
    <x v="2"/>
    <s v="No"/>
    <s v="Yes"/>
    <n v="1"/>
    <s v="No"/>
    <n v="6"/>
    <n v="0.1"/>
    <n v="43"/>
    <s v="Yes"/>
    <s v="Excellent"/>
    <s v="Yes"/>
    <s v="IT"/>
    <s v="Monday"/>
    <s v="Morning"/>
  </r>
  <r>
    <x v="1916"/>
    <s v="2024-08-27 14:45:58"/>
    <x v="1"/>
    <s v="2024-08-31 23:15:58"/>
    <x v="1212"/>
    <n v="4.4000000000000004"/>
    <x v="4"/>
    <s v="Login Issues"/>
    <s v="High"/>
    <n v="120"/>
    <x v="1"/>
    <s v="Walk-in"/>
    <s v="Tier 1"/>
    <x v="9"/>
    <x v="1"/>
    <s v="No"/>
    <s v="No"/>
    <n v="1"/>
    <s v="No"/>
    <n v="9"/>
    <n v="2"/>
    <n v="27.7"/>
    <s v="Yes"/>
    <s v="Fair"/>
    <s v="No"/>
    <s v="IT"/>
    <s v="Friday"/>
    <s v="Morning"/>
  </r>
  <r>
    <x v="1917"/>
    <s v="2024-10-04 12:51:29"/>
    <x v="2"/>
    <s v="2024-10-12 01:45:29"/>
    <x v="165"/>
    <n v="8.5"/>
    <x v="3"/>
    <s v="Email Password"/>
    <s v="Medium"/>
    <n v="240"/>
    <x v="1"/>
    <s v="Portal"/>
    <s v="Tier 1"/>
    <x v="3"/>
    <x v="2"/>
    <s v="Yes"/>
    <s v="No"/>
    <n v="0"/>
    <s v="No"/>
    <n v="10"/>
    <n v="0.5"/>
    <n v="15.2"/>
    <s v="Yes"/>
    <s v="Good"/>
    <s v="No"/>
    <s v="Executive"/>
    <s v="Thursday"/>
    <s v="Afternoon"/>
  </r>
  <r>
    <x v="1918"/>
    <s v="2024-05-19 16:24:43"/>
    <x v="8"/>
    <s v="2024-05-23 01:12:43"/>
    <x v="1476"/>
    <n v="4.4000000000000004"/>
    <x v="4"/>
    <s v="Crash"/>
    <s v="High"/>
    <n v="120"/>
    <x v="1"/>
    <s v="Phone"/>
    <s v="Tier 1"/>
    <x v="22"/>
    <x v="1"/>
    <s v="Yes"/>
    <s v="No"/>
    <n v="0"/>
    <s v="No"/>
    <n v="10"/>
    <n v="1.5"/>
    <n v="29.8"/>
    <s v="Yes"/>
    <s v="Excellent"/>
    <s v="Yes"/>
    <s v="Marketing"/>
    <s v="Thursday"/>
    <s v="Afternoon"/>
  </r>
  <r>
    <x v="1919"/>
    <s v="2024-03-01 03:17:10"/>
    <x v="5"/>
    <s v="2024-03-18 04:29:10"/>
    <x v="1477"/>
    <n v="17.100000000000001"/>
    <x v="5"/>
    <s v="General Inquiry"/>
    <s v="Low"/>
    <n v="360"/>
    <x v="0"/>
    <s v="Portal"/>
    <s v="Tier 1"/>
    <x v="17"/>
    <x v="2"/>
    <s v="Yes"/>
    <s v="No"/>
    <n v="0"/>
    <s v="No"/>
    <n v="8"/>
    <n v="4.2"/>
    <n v="11.2"/>
    <s v="Yes"/>
    <s v="Good"/>
    <s v="Yes"/>
    <s v="Finance"/>
    <s v="Tuesday"/>
    <s v="Morning"/>
  </r>
  <r>
    <x v="1920"/>
    <s v="2024-08-21 10:17:42"/>
    <x v="1"/>
    <s v="2024-08-29 17:53:42"/>
    <x v="1478"/>
    <n v="8.3000000000000007"/>
    <x v="3"/>
    <s v="Windows Password"/>
    <s v="Medium"/>
    <n v="240"/>
    <x v="1"/>
    <s v="Phone"/>
    <s v="Tier 1"/>
    <x v="19"/>
    <x v="2"/>
    <s v="Yes"/>
    <s v="No"/>
    <n v="0"/>
    <s v="No"/>
    <n v="10"/>
    <n v="0.7"/>
    <n v="23.4"/>
    <s v="Yes"/>
    <s v="Excellent"/>
    <s v="Yes"/>
    <s v="Sales"/>
    <s v="Friday"/>
    <s v="Morning"/>
  </r>
  <r>
    <x v="1921"/>
    <s v="2024-09-26 00:37:41"/>
    <x v="9"/>
    <s v="2024-10-08 18:49:41"/>
    <x v="1479"/>
    <n v="11.8"/>
    <x v="1"/>
    <s v="Keyboard/Mouse"/>
    <s v="Low"/>
    <n v="360"/>
    <x v="1"/>
    <s v="Phone"/>
    <s v="Tier 2"/>
    <x v="20"/>
    <x v="0"/>
    <s v="No"/>
    <s v="Yes"/>
    <n v="4"/>
    <s v="No"/>
    <n v="6"/>
    <n v="1.2"/>
    <n v="7.6"/>
    <s v="Yes"/>
    <s v="Excellent"/>
    <s v="Yes"/>
    <s v="IT"/>
    <s v="Thursday"/>
    <s v="Afternoon"/>
  </r>
  <r>
    <x v="1922"/>
    <s v="2024-04-25 14:53:07"/>
    <x v="11"/>
    <s v="2024-05-03 19:11:07"/>
    <x v="210"/>
    <n v="8.1999999999999993"/>
    <x v="4"/>
    <s v="Features Not Working"/>
    <s v="Medium"/>
    <n v="240"/>
    <x v="1"/>
    <s v="Portal"/>
    <s v="Tier 1"/>
    <x v="7"/>
    <x v="1"/>
    <s v="No"/>
    <s v="No"/>
    <n v="1"/>
    <s v="No"/>
    <n v="8"/>
    <n v="2"/>
    <n v="12.5"/>
    <s v="Yes"/>
    <s v="Fair"/>
    <s v="Yes"/>
    <s v="Marketing"/>
    <s v="Friday"/>
    <s v="Morning"/>
  </r>
  <r>
    <x v="1923"/>
    <s v="2024-07-17 11:16:08"/>
    <x v="4"/>
    <s v="2024-07-25 20:58:08"/>
    <x v="1480"/>
    <n v="8.4"/>
    <x v="0"/>
    <s v="VPN Access"/>
    <s v="Medium"/>
    <n v="240"/>
    <x v="1"/>
    <s v="Phone"/>
    <s v="Tier 2"/>
    <x v="6"/>
    <x v="1"/>
    <s v="No"/>
    <s v="Yes"/>
    <n v="2"/>
    <s v="No"/>
    <n v="9"/>
    <n v="1.1000000000000001"/>
    <n v="0"/>
    <s v="Yes"/>
    <s v="Fair"/>
    <s v="Yes"/>
    <s v="Marketing"/>
    <s v="Thursday"/>
    <s v="Morning"/>
  </r>
  <r>
    <x v="1924"/>
    <s v="2024-12-24 18:44:30"/>
    <x v="0"/>
    <s v="2025-01-02 07:14:30"/>
    <x v="1378"/>
    <n v="8.5"/>
    <x v="0"/>
    <s v="Application Access"/>
    <s v="Medium"/>
    <n v="240"/>
    <x v="1"/>
    <s v="Email"/>
    <s v="Tier 1"/>
    <x v="11"/>
    <x v="1"/>
    <s v="No"/>
    <s v="No"/>
    <n v="1"/>
    <s v="Yes"/>
    <n v="10"/>
    <n v="3"/>
    <n v="12.2"/>
    <s v="No"/>
    <s v="Fair"/>
    <s v="Yes"/>
    <s v="Sales"/>
    <s v="Friday"/>
    <s v="Afternoon"/>
  </r>
  <r>
    <x v="1925"/>
    <s v="2024-08-27 01:12:09"/>
    <x v="1"/>
    <s v="2024-09-06 03:36:09"/>
    <x v="506"/>
    <n v="9.1"/>
    <x v="3"/>
    <s v="Application Password"/>
    <s v="Low"/>
    <n v="360"/>
    <x v="1"/>
    <s v="Phone"/>
    <s v="Tier 1"/>
    <x v="5"/>
    <x v="2"/>
    <s v="No"/>
    <s v="No"/>
    <n v="1"/>
    <s v="No"/>
    <n v="5"/>
    <n v="0.4"/>
    <n v="49.5"/>
    <s v="Yes"/>
    <s v="Poor"/>
    <s v="Yes"/>
    <s v="Marketing"/>
    <s v="Friday"/>
    <s v="Morning"/>
  </r>
  <r>
    <x v="1926"/>
    <s v="2024-10-04 12:38:13"/>
    <x v="2"/>
    <s v="2024-10-11 05:32:13"/>
    <x v="105"/>
    <n v="6.7"/>
    <x v="7"/>
    <s v="VPN Client"/>
    <s v="Medium"/>
    <n v="240"/>
    <x v="1"/>
    <s v="Chat"/>
    <s v="Tier 1"/>
    <x v="6"/>
    <x v="0"/>
    <s v="No"/>
    <s v="No"/>
    <n v="1"/>
    <s v="No"/>
    <n v="10"/>
    <n v="3.1"/>
    <n v="20.399999999999999"/>
    <s v="Yes"/>
    <s v="Poor"/>
    <s v="Yes"/>
    <s v="IT"/>
    <s v="Tuesday"/>
    <s v="Morning"/>
  </r>
  <r>
    <x v="1927"/>
    <s v="2024-10-15 08:33:43"/>
    <x v="2"/>
    <s v="2024-10-28 01:27:43"/>
    <x v="1407"/>
    <n v="13.7"/>
    <x v="0"/>
    <s v="Application Access"/>
    <s v="Low"/>
    <n v="360"/>
    <x v="1"/>
    <s v="Phone"/>
    <s v="Tier 1"/>
    <x v="16"/>
    <x v="2"/>
    <s v="No"/>
    <s v="No"/>
    <n v="1"/>
    <s v="No"/>
    <n v="8"/>
    <n v="0.3"/>
    <n v="15.3"/>
    <s v="Yes"/>
    <s v="Poor"/>
    <s v="Yes"/>
    <s v="HR"/>
    <s v="Friday"/>
    <s v="Morning"/>
  </r>
  <r>
    <x v="1928"/>
    <s v="2024-05-09 01:27:53"/>
    <x v="8"/>
    <s v="2024-06-07 18:51:53"/>
    <x v="1481"/>
    <n v="28.7"/>
    <x v="2"/>
    <s v="WiFi Issues"/>
    <s v="Medium"/>
    <n v="240"/>
    <x v="0"/>
    <s v="Portal"/>
    <s v="Tier 1"/>
    <x v="14"/>
    <x v="2"/>
    <s v="Yes"/>
    <s v="No"/>
    <n v="0"/>
    <s v="No"/>
    <n v="9"/>
    <n v="6"/>
    <n v="0"/>
    <s v="Yes"/>
    <s v="Poor"/>
    <s v="Yes"/>
    <s v="Sales"/>
    <s v="Tuesday"/>
    <s v="Afternoon"/>
  </r>
  <r>
    <x v="1929"/>
    <s v="2024-06-20 23:13:57"/>
    <x v="10"/>
    <s v="2024-06-26 23:49:57"/>
    <x v="1482"/>
    <n v="6"/>
    <x v="1"/>
    <s v="Keyboard/Mouse"/>
    <s v="Medium"/>
    <n v="240"/>
    <x v="1"/>
    <s v="Portal"/>
    <s v="Tier 2"/>
    <x v="15"/>
    <x v="2"/>
    <s v="No"/>
    <s v="Yes"/>
    <n v="3"/>
    <s v="Yes"/>
    <n v="9"/>
    <n v="2"/>
    <n v="10.199999999999999"/>
    <s v="No"/>
    <s v="Excellent"/>
    <s v="No"/>
    <s v="Marketing"/>
    <s v="Monday"/>
    <s v="Morning"/>
  </r>
  <r>
    <x v="1930"/>
    <s v="2024-08-12 06:39:32"/>
    <x v="1"/>
    <s v="2024-08-24 11:09:32"/>
    <x v="1483"/>
    <n v="12.2"/>
    <x v="3"/>
    <s v="Application Password"/>
    <s v="Low"/>
    <n v="360"/>
    <x v="1"/>
    <s v="Email"/>
    <s v="Tier 1"/>
    <x v="15"/>
    <x v="0"/>
    <s v="Yes"/>
    <s v="No"/>
    <n v="0"/>
    <s v="No"/>
    <n v="10"/>
    <n v="0.5"/>
    <n v="26.6"/>
    <s v="Yes"/>
    <s v="Poor"/>
    <s v="No"/>
    <s v="Marketing"/>
    <s v="Tuesday"/>
    <s v="Morning"/>
  </r>
  <r>
    <x v="1931"/>
    <s v="2024-12-19 03:15:28"/>
    <x v="0"/>
    <s v="2024-12-20 17:51:28"/>
    <x v="108"/>
    <n v="1.6"/>
    <x v="1"/>
    <s v="Keyboard/Mouse"/>
    <s v="Critical"/>
    <n v="48"/>
    <x v="1"/>
    <s v="Chat"/>
    <s v="Tier 1"/>
    <x v="14"/>
    <x v="0"/>
    <s v="Yes"/>
    <s v="No"/>
    <n v="0"/>
    <s v="No"/>
    <n v="10"/>
    <n v="3.3"/>
    <n v="1.8"/>
    <s v="No"/>
    <s v="Fair"/>
    <s v="Yes"/>
    <s v="IT"/>
    <s v="Wednesday"/>
    <s v="Afternoon"/>
  </r>
  <r>
    <x v="1932"/>
    <s v="2024-04-20 02:30:33"/>
    <x v="11"/>
    <s v="2024-05-03 23:24:33"/>
    <x v="468"/>
    <n v="12.9"/>
    <x v="1"/>
    <s v="Keyboard/Mouse"/>
    <s v="Medium"/>
    <n v="240"/>
    <x v="0"/>
    <s v="Phone"/>
    <s v="Tier 1"/>
    <x v="7"/>
    <x v="0"/>
    <s v="No"/>
    <s v="No"/>
    <n v="1"/>
    <s v="No"/>
    <n v="6"/>
    <n v="0.1"/>
    <n v="18.5"/>
    <s v="Yes"/>
    <s v="Poor"/>
    <s v="Yes"/>
    <s v="IT"/>
    <s v="Thursday"/>
    <s v="Morning"/>
  </r>
  <r>
    <x v="1933"/>
    <s v="2024-05-13 13:28:15"/>
    <x v="8"/>
    <s v="2024-05-22 18:16:15"/>
    <x v="649"/>
    <n v="9.1999999999999993"/>
    <x v="2"/>
    <s v="WiFi Issues"/>
    <s v="Medium"/>
    <n v="240"/>
    <x v="1"/>
    <s v="Phone"/>
    <s v="Tier 1"/>
    <x v="24"/>
    <x v="0"/>
    <s v="No"/>
    <s v="No"/>
    <n v="1"/>
    <s v="No"/>
    <n v="8"/>
    <n v="1"/>
    <n v="23.8"/>
    <s v="No"/>
    <s v="Poor"/>
    <s v="No"/>
    <s v="Executive"/>
    <s v="Friday"/>
    <s v="Afternoon"/>
  </r>
  <r>
    <x v="1934"/>
    <s v="2024-06-16 10:53:36"/>
    <x v="10"/>
    <s v="2024-06-23 11:29:36"/>
    <x v="1484"/>
    <n v="7"/>
    <x v="4"/>
    <s v="Login Issues"/>
    <s v="Medium"/>
    <n v="240"/>
    <x v="1"/>
    <s v="Portal"/>
    <s v="Tier 2"/>
    <x v="24"/>
    <x v="0"/>
    <s v="No"/>
    <s v="Yes"/>
    <n v="3"/>
    <s v="No"/>
    <n v="10"/>
    <n v="1.4"/>
    <n v="18.7"/>
    <s v="Yes"/>
    <s v="Good"/>
    <s v="Yes"/>
    <s v="Legal"/>
    <s v="Wednesday"/>
    <s v="Evening"/>
  </r>
  <r>
    <x v="1935"/>
    <s v="2024-11-02 10:30:51"/>
    <x v="7"/>
    <s v="2024-11-05 12:24:51"/>
    <x v="1485"/>
    <n v="3.1"/>
    <x v="1"/>
    <s v="Docking Station"/>
    <s v="High"/>
    <n v="120"/>
    <x v="1"/>
    <s v="Email"/>
    <s v="Tier 2"/>
    <x v="18"/>
    <x v="2"/>
    <s v="No"/>
    <s v="Yes"/>
    <n v="3"/>
    <s v="No"/>
    <n v="8"/>
    <n v="3.5"/>
    <n v="17.100000000000001"/>
    <s v="No"/>
    <s v="Fair"/>
    <s v="Yes"/>
    <s v="Finance"/>
    <s v="Tuesday"/>
    <s v="Morning"/>
  </r>
  <r>
    <x v="1936"/>
    <s v="2024-06-03 10:48:16"/>
    <x v="10"/>
    <s v="2024-06-20 01:00:16"/>
    <x v="1486"/>
    <n v="17.600000000000001"/>
    <x v="0"/>
    <s v="Application Access"/>
    <s v="Low"/>
    <n v="360"/>
    <x v="0"/>
    <s v="Walk-in"/>
    <s v="Tier 1"/>
    <x v="19"/>
    <x v="2"/>
    <s v="No"/>
    <s v="No"/>
    <n v="1"/>
    <s v="No"/>
    <n v="6"/>
    <n v="1.4"/>
    <n v="16.5"/>
    <s v="Yes"/>
    <s v="Good"/>
    <s v="No"/>
    <s v="IT"/>
    <s v="Monday"/>
    <s v="Afternoon"/>
  </r>
  <r>
    <x v="1937"/>
    <s v="2024-06-08 23:57:34"/>
    <x v="10"/>
    <s v="2024-06-16 03:21:34"/>
    <x v="1487"/>
    <n v="7.1"/>
    <x v="3"/>
    <s v="Application Password"/>
    <s v="Medium"/>
    <n v="240"/>
    <x v="1"/>
    <s v="Phone"/>
    <s v="Tier 1"/>
    <x v="19"/>
    <x v="2"/>
    <s v="No"/>
    <s v="No"/>
    <n v="1"/>
    <s v="Yes"/>
    <n v="10"/>
    <n v="0.6"/>
    <n v="10.5"/>
    <s v="Yes"/>
    <s v="Good"/>
    <s v="Yes"/>
    <s v="HR"/>
    <s v="Friday"/>
    <s v="Morning"/>
  </r>
  <r>
    <x v="1938"/>
    <s v="2024-08-14 20:40:08"/>
    <x v="1"/>
    <s v="2024-08-23 03:04:08"/>
    <x v="998"/>
    <n v="8.3000000000000007"/>
    <x v="3"/>
    <s v="Windows Password"/>
    <s v="Medium"/>
    <n v="240"/>
    <x v="1"/>
    <s v="Portal"/>
    <s v="Tier 1"/>
    <x v="2"/>
    <x v="0"/>
    <s v="Yes"/>
    <s v="No"/>
    <n v="0"/>
    <s v="No"/>
    <n v="7"/>
    <n v="0.1"/>
    <n v="13.8"/>
    <s v="No"/>
    <s v="Fair"/>
    <s v="Yes"/>
    <s v="Finance"/>
    <s v="Wednesday"/>
    <s v="Afternoon"/>
  </r>
  <r>
    <x v="1939"/>
    <s v="2024-08-19 20:20:12"/>
    <x v="1"/>
    <s v="2024-08-31 00:20:12"/>
    <x v="1488"/>
    <n v="12.2"/>
    <x v="3"/>
    <s v="Account Unlock"/>
    <s v="Low"/>
    <n v="360"/>
    <x v="1"/>
    <s v="Portal"/>
    <s v="Tier 1"/>
    <x v="22"/>
    <x v="0"/>
    <s v="Yes"/>
    <s v="No"/>
    <n v="0"/>
    <s v="No"/>
    <n v="9"/>
    <n v="2.8"/>
    <n v="23.5"/>
    <s v="Yes"/>
    <s v="Good"/>
    <s v="Yes"/>
    <s v="Operations"/>
    <s v="Wednesday"/>
    <s v="Evening"/>
  </r>
  <r>
    <x v="1940"/>
    <s v="2024-08-30 12:35:12"/>
    <x v="1"/>
    <s v="2024-09-12 18:17:12"/>
    <x v="1359"/>
    <n v="13.2"/>
    <x v="3"/>
    <s v="Windows Password"/>
    <s v="Low"/>
    <n v="360"/>
    <x v="1"/>
    <s v="Email"/>
    <s v="Tier 1"/>
    <x v="23"/>
    <x v="1"/>
    <s v="Yes"/>
    <s v="No"/>
    <n v="0"/>
    <s v="No"/>
    <n v="9"/>
    <n v="0.1"/>
    <n v="26"/>
    <s v="Yes"/>
    <s v="Fair"/>
    <s v="Yes"/>
    <s v="Marketing"/>
    <s v="Tuesday"/>
    <s v="Afternoon"/>
  </r>
  <r>
    <x v="1941"/>
    <s v="2024-05-09 13:02:55"/>
    <x v="8"/>
    <s v="2024-05-22 15:08:55"/>
    <x v="1489"/>
    <n v="13.1"/>
    <x v="3"/>
    <s v="Windows Password"/>
    <s v="Low"/>
    <n v="360"/>
    <x v="1"/>
    <s v="Email"/>
    <s v="Tier 1"/>
    <x v="19"/>
    <x v="0"/>
    <s v="Yes"/>
    <s v="No"/>
    <n v="0"/>
    <s v="No"/>
    <n v="10"/>
    <n v="0.7"/>
    <n v="21.1"/>
    <s v="Yes"/>
    <s v="Fair"/>
    <s v="No"/>
    <s v="Legal"/>
    <s v="Tuesday"/>
    <s v="Afternoon"/>
  </r>
  <r>
    <x v="1942"/>
    <s v="2024-05-02 14:33:41"/>
    <x v="8"/>
    <s v="2024-05-24 22:39:41"/>
    <x v="1490"/>
    <n v="22.3"/>
    <x v="3"/>
    <s v="Account Unlock"/>
    <s v="Medium"/>
    <n v="240"/>
    <x v="0"/>
    <s v="Portal"/>
    <s v="Tier 1"/>
    <x v="13"/>
    <x v="2"/>
    <s v="Yes"/>
    <s v="No"/>
    <n v="0"/>
    <s v="No"/>
    <n v="5"/>
    <n v="0.1"/>
    <n v="33.4"/>
    <s v="No"/>
    <s v="Fair"/>
    <s v="Yes"/>
    <s v="Executive"/>
    <s v="Thursday"/>
    <s v="Morning"/>
  </r>
  <r>
    <x v="1943"/>
    <s v="2024-06-13 01:53:21"/>
    <x v="10"/>
    <s v="2024-06-18 09:11:21"/>
    <x v="1445"/>
    <n v="4.3"/>
    <x v="7"/>
    <s v="MS Office"/>
    <s v="High"/>
    <n v="120"/>
    <x v="1"/>
    <s v="Phone"/>
    <s v="Tier 1"/>
    <x v="15"/>
    <x v="1"/>
    <s v="No"/>
    <s v="No"/>
    <n v="1"/>
    <s v="No"/>
    <n v="8"/>
    <n v="0.5"/>
    <n v="7.2"/>
    <s v="Yes"/>
    <s v="Fair"/>
    <s v="Yes"/>
    <s v="Sales"/>
    <s v="Friday"/>
    <s v="Morning"/>
  </r>
  <r>
    <x v="1944"/>
    <s v="2024-03-27 11:44:18"/>
    <x v="5"/>
    <s v="2024-04-05 19:50:18"/>
    <x v="1002"/>
    <n v="9.3000000000000007"/>
    <x v="4"/>
    <s v="Features Not Working"/>
    <s v="Low"/>
    <n v="360"/>
    <x v="1"/>
    <s v="Chat"/>
    <s v="Tier 2"/>
    <x v="2"/>
    <x v="1"/>
    <s v="No"/>
    <s v="Yes"/>
    <n v="2"/>
    <s v="No"/>
    <n v="9"/>
    <n v="4.0999999999999996"/>
    <n v="16.8"/>
    <s v="Yes"/>
    <s v="Good"/>
    <s v="No"/>
    <s v="Finance"/>
    <s v="Monday"/>
    <s v="Morning"/>
  </r>
  <r>
    <x v="1945"/>
    <s v="2024-10-14 06:17:30"/>
    <x v="2"/>
    <s v="2024-10-23 15:23:30"/>
    <x v="1491"/>
    <n v="9.4"/>
    <x v="0"/>
    <s v="Admin Rights"/>
    <s v="Medium"/>
    <n v="240"/>
    <x v="1"/>
    <s v="Email"/>
    <s v="Tier 1"/>
    <x v="11"/>
    <x v="0"/>
    <s v="No"/>
    <s v="No"/>
    <n v="1"/>
    <s v="Yes"/>
    <n v="9"/>
    <n v="4.7"/>
    <n v="23.4"/>
    <s v="No"/>
    <s v="Fair"/>
    <s v="Yes"/>
    <s v="Sales"/>
    <s v="Friday"/>
    <s v="Morning"/>
  </r>
  <r>
    <x v="1946"/>
    <s v="2024-05-04 19:17:38"/>
    <x v="8"/>
    <s v="2024-05-13 06:53:38"/>
    <x v="939"/>
    <n v="8.5"/>
    <x v="0"/>
    <s v="VPN Access"/>
    <s v="Medium"/>
    <n v="240"/>
    <x v="1"/>
    <s v="Phone"/>
    <s v="Tier 1"/>
    <x v="6"/>
    <x v="0"/>
    <s v="Yes"/>
    <s v="No"/>
    <n v="0"/>
    <s v="No"/>
    <n v="10"/>
    <n v="0.9"/>
    <n v="29.8"/>
    <s v="Yes"/>
    <s v="Fair"/>
    <s v="Yes"/>
    <s v="Executive"/>
    <s v="Monday"/>
    <s v="Afternoon"/>
  </r>
  <r>
    <x v="1947"/>
    <s v="2024-09-13 04:47:52"/>
    <x v="9"/>
    <s v="2024-09-20 07:23:52"/>
    <x v="612"/>
    <n v="7.1"/>
    <x v="0"/>
    <s v="VPN Access"/>
    <s v="Medium"/>
    <n v="240"/>
    <x v="1"/>
    <s v="Email"/>
    <s v="Tier 1"/>
    <x v="3"/>
    <x v="2"/>
    <s v="No"/>
    <s v="No"/>
    <n v="1"/>
    <s v="No"/>
    <n v="8"/>
    <n v="2.2999999999999998"/>
    <n v="33.5"/>
    <s v="Yes"/>
    <s v="Poor"/>
    <s v="Yes"/>
    <s v="Sales"/>
    <s v="Wednesday"/>
    <s v="Morning"/>
  </r>
  <r>
    <x v="1948"/>
    <s v="2024-09-28 14:47:20"/>
    <x v="9"/>
    <s v="2024-10-03 03:35:20"/>
    <x v="1492"/>
    <n v="4.5"/>
    <x v="1"/>
    <s v="Laptop"/>
    <s v="High"/>
    <n v="120"/>
    <x v="1"/>
    <s v="Phone"/>
    <s v="Tier 2"/>
    <x v="11"/>
    <x v="0"/>
    <s v="No"/>
    <s v="Yes"/>
    <n v="4"/>
    <s v="No"/>
    <n v="9"/>
    <n v="3.7"/>
    <n v="32.1"/>
    <s v="Yes"/>
    <s v="Poor"/>
    <s v="Yes"/>
    <s v="Marketing"/>
    <s v="Tuesday"/>
    <s v="Morning"/>
  </r>
  <r>
    <x v="1949"/>
    <s v="2024-09-02 06:22:14"/>
    <x v="9"/>
    <s v="2024-09-06 08:10:14"/>
    <x v="1493"/>
    <n v="4.0999999999999996"/>
    <x v="1"/>
    <s v="Desktop"/>
    <s v="High"/>
    <n v="120"/>
    <x v="1"/>
    <s v="Phone"/>
    <s v="Tier 2"/>
    <x v="13"/>
    <x v="2"/>
    <s v="No"/>
    <s v="Yes"/>
    <n v="4"/>
    <s v="Yes"/>
    <n v="7"/>
    <n v="3.1"/>
    <n v="34.1"/>
    <s v="Yes"/>
    <s v="Excellent"/>
    <s v="No"/>
    <s v="Finance"/>
    <s v="Friday"/>
    <s v="Afternoon"/>
  </r>
  <r>
    <x v="1950"/>
    <s v="2024-02-14 09:09:47"/>
    <x v="6"/>
    <s v="2024-02-26 03:09:47"/>
    <x v="1494"/>
    <n v="11.8"/>
    <x v="7"/>
    <s v="VPN Client"/>
    <s v="Low"/>
    <n v="360"/>
    <x v="1"/>
    <s v="Phone"/>
    <s v="Tier 2"/>
    <x v="4"/>
    <x v="1"/>
    <s v="No"/>
    <s v="Yes"/>
    <n v="2"/>
    <s v="No"/>
    <n v="7"/>
    <n v="2"/>
    <n v="22"/>
    <s v="Yes"/>
    <s v="Fair"/>
    <s v="Yes"/>
    <s v="Marketing"/>
    <s v="Tuesday"/>
    <s v="Morning"/>
  </r>
  <r>
    <x v="1951"/>
    <s v="2024-11-12 11:45:46"/>
    <x v="7"/>
    <s v="2024-11-24 10:21:46"/>
    <x v="1495"/>
    <n v="11.9"/>
    <x v="5"/>
    <s v="General Inquiry"/>
    <s v="Low"/>
    <n v="360"/>
    <x v="1"/>
    <s v="Phone"/>
    <s v="Tier 1"/>
    <x v="22"/>
    <x v="1"/>
    <s v="Yes"/>
    <s v="No"/>
    <n v="0"/>
    <s v="No"/>
    <n v="10"/>
    <n v="0.1"/>
    <n v="33.299999999999997"/>
    <s v="Yes"/>
    <s v="Excellent"/>
    <s v="Yes"/>
    <s v="Legal"/>
    <s v="Friday"/>
    <s v="Morning"/>
  </r>
  <r>
    <x v="1952"/>
    <s v="2024-07-01 11:05:21"/>
    <x v="4"/>
    <s v="2024-08-08 17:11:21"/>
    <x v="1496"/>
    <n v="38.299999999999997"/>
    <x v="3"/>
    <s v="Account Unlock"/>
    <s v="Low"/>
    <n v="360"/>
    <x v="0"/>
    <s v="Email"/>
    <s v="Tier 1"/>
    <x v="2"/>
    <x v="0"/>
    <s v="Yes"/>
    <s v="No"/>
    <n v="0"/>
    <s v="No"/>
    <n v="7"/>
    <n v="0.1"/>
    <n v="2.1"/>
    <s v="No"/>
    <s v="Good"/>
    <s v="Yes"/>
    <s v="Finance"/>
    <s v="Monday"/>
    <s v="Afternoon"/>
  </r>
  <r>
    <x v="1953"/>
    <s v="2024-11-06 08:15:11"/>
    <x v="7"/>
    <s v="2024-11-17 04:51:11"/>
    <x v="1497"/>
    <n v="10.9"/>
    <x v="5"/>
    <s v="Training Request"/>
    <s v="Medium"/>
    <n v="240"/>
    <x v="0"/>
    <s v="Portal"/>
    <s v="Tier 1"/>
    <x v="10"/>
    <x v="2"/>
    <s v="No"/>
    <s v="No"/>
    <n v="1"/>
    <s v="No"/>
    <n v="5"/>
    <n v="2.2999999999999998"/>
    <n v="4.4000000000000004"/>
    <s v="Yes"/>
    <s v="Fair"/>
    <s v="Yes"/>
    <s v="HR"/>
    <s v="Friday"/>
    <s v="Afternoon"/>
  </r>
  <r>
    <x v="1954"/>
    <s v="2024-06-25 06:37:45"/>
    <x v="10"/>
    <s v="2024-06-28 16:13:45"/>
    <x v="313"/>
    <n v="3.4"/>
    <x v="4"/>
    <s v="Login Issues"/>
    <s v="High"/>
    <n v="120"/>
    <x v="1"/>
    <s v="Phone"/>
    <s v="Tier 1"/>
    <x v="10"/>
    <x v="1"/>
    <s v="Yes"/>
    <s v="No"/>
    <n v="0"/>
    <s v="No"/>
    <n v="9"/>
    <n v="3.2"/>
    <n v="33.6"/>
    <s v="No"/>
    <s v="Poor"/>
    <s v="Yes"/>
    <s v="Sales"/>
    <s v="Friday"/>
    <s v="Afternoon"/>
  </r>
  <r>
    <x v="1955"/>
    <s v="2024-04-07 03:20:45"/>
    <x v="11"/>
    <s v="2024-04-16 14:32:45"/>
    <x v="519"/>
    <n v="9.5"/>
    <x v="0"/>
    <s v="Admin Rights"/>
    <s v="Medium"/>
    <n v="240"/>
    <x v="1"/>
    <s v="Chat"/>
    <s v="Tier 1"/>
    <x v="4"/>
    <x v="2"/>
    <s v="No"/>
    <s v="No"/>
    <n v="1"/>
    <s v="Yes"/>
    <n v="9"/>
    <n v="1"/>
    <n v="27.3"/>
    <s v="No"/>
    <s v="Good"/>
    <s v="No"/>
    <s v="Sales"/>
    <s v="Wednesday"/>
    <s v="Afternoon"/>
  </r>
  <r>
    <x v="1956"/>
    <s v="2024-08-19 23:06:24"/>
    <x v="1"/>
    <s v="2024-08-30 06:18:24"/>
    <x v="260"/>
    <n v="10.3"/>
    <x v="3"/>
    <s v="Windows Password"/>
    <s v="Low"/>
    <n v="360"/>
    <x v="1"/>
    <s v="Portal"/>
    <s v="Tier 1"/>
    <x v="15"/>
    <x v="2"/>
    <s v="Yes"/>
    <s v="No"/>
    <n v="0"/>
    <s v="No"/>
    <n v="10"/>
    <n v="2.5"/>
    <n v="38.5"/>
    <s v="Yes"/>
    <s v="Poor"/>
    <s v="Yes"/>
    <s v="Executive"/>
    <s v="Tuesday"/>
    <s v="Morning"/>
  </r>
  <r>
    <x v="1957"/>
    <s v="2024-09-21 11:05:45"/>
    <x v="9"/>
    <s v="2024-10-08 15:05:45"/>
    <x v="1498"/>
    <n v="17.2"/>
    <x v="6"/>
    <s v="Cannot Send/Receive"/>
    <s v="Medium"/>
    <n v="240"/>
    <x v="0"/>
    <s v="Portal"/>
    <s v="Tier 1"/>
    <x v="22"/>
    <x v="0"/>
    <s v="No"/>
    <s v="No"/>
    <n v="1"/>
    <s v="Yes"/>
    <n v="8"/>
    <n v="4"/>
    <n v="22.6"/>
    <s v="No"/>
    <s v="Excellent"/>
    <s v="No"/>
    <s v="Sales"/>
    <s v="Thursday"/>
    <s v="Evening"/>
  </r>
  <r>
    <x v="1958"/>
    <s v="2024-08-18 06:16:07"/>
    <x v="1"/>
    <s v="2024-08-29 07:22:07"/>
    <x v="1499"/>
    <n v="11"/>
    <x v="7"/>
    <s v="Business Apps"/>
    <s v="Medium"/>
    <n v="240"/>
    <x v="0"/>
    <s v="Email"/>
    <s v="Tier 1"/>
    <x v="15"/>
    <x v="2"/>
    <s v="No"/>
    <s v="No"/>
    <n v="1"/>
    <s v="No"/>
    <n v="4"/>
    <n v="0.9"/>
    <n v="43.8"/>
    <s v="Yes"/>
    <s v="Excellent"/>
    <s v="Yes"/>
    <s v="Legal"/>
    <s v="Wednesday"/>
    <s v="Morning"/>
  </r>
  <r>
    <x v="1959"/>
    <s v="2024-12-01 03:50:19"/>
    <x v="0"/>
    <s v="2024-12-05 11:02:19"/>
    <x v="1500"/>
    <n v="4.3"/>
    <x v="1"/>
    <s v="Docking Station"/>
    <s v="High"/>
    <n v="120"/>
    <x v="1"/>
    <s v="Email"/>
    <s v="Tier 2"/>
    <x v="22"/>
    <x v="1"/>
    <s v="No"/>
    <s v="Yes"/>
    <n v="1"/>
    <s v="No"/>
    <n v="8"/>
    <n v="0.4"/>
    <n v="24.2"/>
    <s v="Yes"/>
    <s v="Fair"/>
    <s v="Yes"/>
    <s v="HR"/>
    <s v="Monday"/>
    <s v="Afternoon"/>
  </r>
  <r>
    <x v="1960"/>
    <s v="2024-04-13 06:40:30"/>
    <x v="11"/>
    <s v="2024-04-22 03:40:30"/>
    <x v="98"/>
    <n v="8.9"/>
    <x v="4"/>
    <s v="Performance"/>
    <s v="Medium"/>
    <n v="240"/>
    <x v="1"/>
    <s v="Phone"/>
    <s v="Tier 2"/>
    <x v="3"/>
    <x v="2"/>
    <s v="No"/>
    <s v="Yes"/>
    <n v="2"/>
    <s v="No"/>
    <n v="9"/>
    <n v="0.1"/>
    <n v="35.700000000000003"/>
    <s v="Yes"/>
    <s v="Poor"/>
    <s v="Yes"/>
    <s v="Operations"/>
    <s v="Tuesday"/>
    <s v="Evening"/>
  </r>
  <r>
    <x v="1961"/>
    <s v="2024-12-14 18:47:50"/>
    <x v="0"/>
    <s v="2024-12-21 00:29:50"/>
    <x v="1501"/>
    <n v="7.2"/>
    <x v="1"/>
    <s v="Laptop"/>
    <s v="Medium"/>
    <n v="240"/>
    <x v="1"/>
    <s v="Portal"/>
    <s v="Tier 1"/>
    <x v="20"/>
    <x v="2"/>
    <s v="No"/>
    <s v="No"/>
    <n v="1"/>
    <s v="No"/>
    <n v="7"/>
    <n v="2.4"/>
    <n v="15.8"/>
    <s v="No"/>
    <s v="Poor"/>
    <s v="No"/>
    <s v="HR"/>
    <s v="Wednesday"/>
    <s v="Evening"/>
  </r>
  <r>
    <x v="1962"/>
    <s v="2024-05-27 14:23:55"/>
    <x v="8"/>
    <s v="2024-06-05 00:59:55"/>
    <x v="1361"/>
    <n v="9.4"/>
    <x v="3"/>
    <s v="Account Unlock"/>
    <s v="Low"/>
    <n v="360"/>
    <x v="1"/>
    <s v="Walk-in"/>
    <s v="Tier 1"/>
    <x v="6"/>
    <x v="1"/>
    <s v="Yes"/>
    <s v="No"/>
    <n v="0"/>
    <s v="No"/>
    <n v="10"/>
    <n v="1.8"/>
    <n v="0"/>
    <s v="No"/>
    <s v="Good"/>
    <s v="No"/>
    <s v="HR"/>
    <s v="Tuesday"/>
    <s v="Morning"/>
  </r>
  <r>
    <x v="1963"/>
    <s v="2024-09-04 09:13:43"/>
    <x v="9"/>
    <s v="2024-09-16 05:13:43"/>
    <x v="1502"/>
    <n v="11.8"/>
    <x v="3"/>
    <s v="Application Password"/>
    <s v="Low"/>
    <n v="360"/>
    <x v="1"/>
    <s v="Portal"/>
    <s v="Tier 1"/>
    <x v="13"/>
    <x v="0"/>
    <s v="Yes"/>
    <s v="No"/>
    <n v="0"/>
    <s v="No"/>
    <n v="9"/>
    <n v="1.4"/>
    <n v="20.2"/>
    <s v="No"/>
    <s v="Fair"/>
    <s v="No"/>
    <s v="IT"/>
    <s v="Thursday"/>
    <s v="Morning"/>
  </r>
  <r>
    <x v="1964"/>
    <s v="2024-05-28 04:58:11"/>
    <x v="8"/>
    <s v="2024-05-30 13:16:11"/>
    <x v="1503"/>
    <n v="2.2999999999999998"/>
    <x v="1"/>
    <s v="Desktop"/>
    <s v="Critical"/>
    <n v="48"/>
    <x v="0"/>
    <s v="Email"/>
    <s v="Tier 2"/>
    <x v="5"/>
    <x v="2"/>
    <s v="No"/>
    <s v="Yes"/>
    <n v="4"/>
    <s v="No"/>
    <n v="6"/>
    <n v="1.3"/>
    <n v="28.9"/>
    <s v="Yes"/>
    <s v="Fair"/>
    <s v="No"/>
    <s v="Sales"/>
    <s v="Thursday"/>
    <s v="Afternoon"/>
  </r>
  <r>
    <x v="1965"/>
    <s v="2024-11-19 03:07:19"/>
    <x v="7"/>
    <s v="2024-11-22 04:01:19"/>
    <x v="527"/>
    <n v="3"/>
    <x v="2"/>
    <s v="Slow Network"/>
    <s v="Critical"/>
    <n v="48"/>
    <x v="0"/>
    <s v="Walk-in"/>
    <s v="Tier 1"/>
    <x v="10"/>
    <x v="2"/>
    <s v="Yes"/>
    <s v="No"/>
    <n v="0"/>
    <s v="No"/>
    <n v="3"/>
    <n v="1.4"/>
    <n v="25.3"/>
    <s v="No"/>
    <s v="Poor"/>
    <s v="No"/>
    <s v="Finance"/>
    <s v="Thursday"/>
    <s v="Evening"/>
  </r>
  <r>
    <x v="1966"/>
    <s v="2024-08-28 15:50:14"/>
    <x v="1"/>
    <s v="2024-09-01 21:32:14"/>
    <x v="1504"/>
    <n v="4.2"/>
    <x v="3"/>
    <s v="Application Password"/>
    <s v="High"/>
    <n v="120"/>
    <x v="1"/>
    <s v="Email"/>
    <s v="Tier 1"/>
    <x v="5"/>
    <x v="1"/>
    <s v="Yes"/>
    <s v="No"/>
    <n v="0"/>
    <s v="No"/>
    <n v="8"/>
    <n v="0.6"/>
    <n v="19.3"/>
    <s v="No"/>
    <s v="Good"/>
    <s v="No"/>
    <s v="HR"/>
    <s v="Thursday"/>
    <s v="Afternoon"/>
  </r>
  <r>
    <x v="1967"/>
    <s v="2024-03-30 16:35:32"/>
    <x v="5"/>
    <s v="2024-04-08 02:35:32"/>
    <x v="285"/>
    <n v="9.4"/>
    <x v="3"/>
    <s v="Email Password"/>
    <s v="Low"/>
    <n v="360"/>
    <x v="1"/>
    <s v="Portal"/>
    <s v="Tier 1"/>
    <x v="17"/>
    <x v="2"/>
    <s v="No"/>
    <s v="No"/>
    <n v="1"/>
    <s v="No"/>
    <n v="6"/>
    <n v="3.5"/>
    <n v="26.1"/>
    <s v="Yes"/>
    <s v="Good"/>
    <s v="Yes"/>
    <s v="Operations"/>
    <s v="Tuesday"/>
    <s v="Afternoon"/>
  </r>
  <r>
    <x v="1968"/>
    <s v="2024-01-14 20:45:07"/>
    <x v="3"/>
    <s v="2024-01-17 15:15:07"/>
    <x v="1505"/>
    <n v="2.8"/>
    <x v="7"/>
    <s v="VPN Client"/>
    <s v="Critical"/>
    <n v="48"/>
    <x v="0"/>
    <s v="Phone"/>
    <s v="Tier 1"/>
    <x v="0"/>
    <x v="2"/>
    <s v="Yes"/>
    <s v="No"/>
    <n v="0"/>
    <s v="No"/>
    <n v="5"/>
    <n v="3.7"/>
    <n v="0"/>
    <s v="Yes"/>
    <s v="Fair"/>
    <s v="No"/>
    <s v="Legal"/>
    <s v="Thursday"/>
    <s v="Afternoon"/>
  </r>
  <r>
    <x v="1969"/>
    <s v="2024-03-12 06:37:49"/>
    <x v="5"/>
    <s v="2024-03-16 12:25:49"/>
    <x v="578"/>
    <n v="4.2"/>
    <x v="2"/>
    <s v="VPN Connection"/>
    <s v="High"/>
    <n v="120"/>
    <x v="1"/>
    <s v="Phone"/>
    <s v="Tier 1"/>
    <x v="6"/>
    <x v="2"/>
    <s v="No"/>
    <s v="No"/>
    <n v="1"/>
    <s v="Yes"/>
    <n v="10"/>
    <n v="0.1"/>
    <n v="32.6"/>
    <s v="No"/>
    <s v="Good"/>
    <s v="Yes"/>
    <s v="Marketing"/>
    <s v="Tuesday"/>
    <s v="Evening"/>
  </r>
  <r>
    <x v="1970"/>
    <s v="2024-03-25 00:53:38"/>
    <x v="5"/>
    <s v="2024-03-29 16:41:38"/>
    <x v="1506"/>
    <n v="3.7"/>
    <x v="1"/>
    <s v="Printer"/>
    <s v="High"/>
    <n v="120"/>
    <x v="1"/>
    <s v="Portal"/>
    <s v="Tier 1"/>
    <x v="14"/>
    <x v="1"/>
    <s v="No"/>
    <s v="No"/>
    <n v="1"/>
    <s v="No"/>
    <n v="6"/>
    <n v="4"/>
    <n v="0"/>
    <s v="No"/>
    <s v="Fair"/>
    <s v="Yes"/>
    <s v="Finance"/>
    <s v="Wednesday"/>
    <s v="Morning"/>
  </r>
  <r>
    <x v="1971"/>
    <s v="2024-09-28 12:39:47"/>
    <x v="9"/>
    <s v="2024-10-05 22:03:47"/>
    <x v="1001"/>
    <n v="7.4"/>
    <x v="0"/>
    <s v="VPN Access"/>
    <s v="Medium"/>
    <n v="240"/>
    <x v="1"/>
    <s v="Email"/>
    <s v="Tier 1"/>
    <x v="0"/>
    <x v="0"/>
    <s v="Yes"/>
    <s v="No"/>
    <n v="0"/>
    <s v="Yes"/>
    <n v="8"/>
    <n v="3.3"/>
    <n v="23.8"/>
    <s v="No"/>
    <s v="Fair"/>
    <s v="Yes"/>
    <s v="IT"/>
    <s v="Friday"/>
    <s v="Afternoon"/>
  </r>
  <r>
    <x v="1972"/>
    <s v="2024-01-24 04:00:24"/>
    <x v="3"/>
    <s v="2024-02-01 21:30:24"/>
    <x v="1507"/>
    <n v="8.6999999999999993"/>
    <x v="7"/>
    <s v="VPN Client"/>
    <s v="Medium"/>
    <n v="240"/>
    <x v="1"/>
    <s v="Phone"/>
    <s v="Tier 1"/>
    <x v="19"/>
    <x v="2"/>
    <s v="No"/>
    <s v="No"/>
    <n v="1"/>
    <s v="No"/>
    <n v="8"/>
    <n v="1"/>
    <n v="5.2"/>
    <s v="No"/>
    <s v="Poor"/>
    <s v="Yes"/>
    <s v="HR"/>
    <s v="Friday"/>
    <s v="Morning"/>
  </r>
  <r>
    <x v="1973"/>
    <s v="2024-06-10 08:37:10"/>
    <x v="10"/>
    <s v="2024-06-24 07:01:10"/>
    <x v="1508"/>
    <n v="13.9"/>
    <x v="3"/>
    <s v="Account Unlock"/>
    <s v="Low"/>
    <n v="360"/>
    <x v="1"/>
    <s v="Phone"/>
    <s v="Tier 1"/>
    <x v="8"/>
    <x v="1"/>
    <s v="Yes"/>
    <s v="No"/>
    <n v="0"/>
    <s v="No"/>
    <n v="7"/>
    <n v="2.2000000000000002"/>
    <n v="8.1"/>
    <s v="No"/>
    <s v="Fair"/>
    <s v="Yes"/>
    <s v="Executive"/>
    <s v="Wednesday"/>
    <s v="Morning"/>
  </r>
  <r>
    <x v="1974"/>
    <s v="2024-04-05 04:36:30"/>
    <x v="11"/>
    <s v="2024-04-21 13:30:30"/>
    <x v="1509"/>
    <n v="16.399999999999999"/>
    <x v="6"/>
    <s v="Mailbox Full"/>
    <s v="Low"/>
    <n v="360"/>
    <x v="0"/>
    <s v="Walk-in"/>
    <s v="Tier 1"/>
    <x v="1"/>
    <x v="1"/>
    <s v="Yes"/>
    <s v="No"/>
    <n v="0"/>
    <s v="No"/>
    <n v="7"/>
    <n v="1.6"/>
    <n v="25.7"/>
    <s v="Yes"/>
    <s v="Good"/>
    <s v="Yes"/>
    <s v="HR"/>
    <s v="Thursday"/>
    <s v="Afternoon"/>
  </r>
  <r>
    <x v="1975"/>
    <s v="2024-07-14 17:05:16"/>
    <x v="4"/>
    <s v="2024-07-22 01:23:16"/>
    <x v="1510"/>
    <n v="8.3000000000000007"/>
    <x v="4"/>
    <s v="Performance"/>
    <s v="Medium"/>
    <n v="240"/>
    <x v="1"/>
    <s v="Phone"/>
    <s v="Tier 2"/>
    <x v="2"/>
    <x v="2"/>
    <s v="No"/>
    <s v="Yes"/>
    <n v="1"/>
    <s v="No"/>
    <n v="5"/>
    <n v="2.2000000000000002"/>
    <n v="0.1"/>
    <s v="Yes"/>
    <s v="Good"/>
    <s v="Yes"/>
    <s v="HR"/>
    <s v="Tuesday"/>
    <s v="Afternoon"/>
  </r>
  <r>
    <x v="1976"/>
    <s v="2024-06-19 18:36:41"/>
    <x v="10"/>
    <s v="2024-06-21 08:24:41"/>
    <x v="1511"/>
    <n v="1.6"/>
    <x v="1"/>
    <s v="Monitor"/>
    <s v="Critical"/>
    <n v="48"/>
    <x v="1"/>
    <s v="Phone"/>
    <s v="Tier 2"/>
    <x v="9"/>
    <x v="0"/>
    <s v="No"/>
    <s v="Yes"/>
    <n v="1"/>
    <s v="No"/>
    <n v="9"/>
    <n v="0.9"/>
    <n v="26.3"/>
    <s v="No"/>
    <s v="Poor"/>
    <s v="No"/>
    <s v="Legal"/>
    <s v="Monday"/>
    <s v="Morning"/>
  </r>
  <r>
    <x v="1977"/>
    <s v="2024-08-02 06:46:35"/>
    <x v="1"/>
    <s v="2024-08-12 01:28:35"/>
    <x v="1512"/>
    <n v="10.8"/>
    <x v="1"/>
    <s v="Keyboard/Mouse"/>
    <s v="Low"/>
    <n v="360"/>
    <x v="1"/>
    <s v="Email"/>
    <s v="Tier 2"/>
    <x v="23"/>
    <x v="1"/>
    <s v="No"/>
    <s v="Yes"/>
    <n v="4"/>
    <s v="Yes"/>
    <n v="8"/>
    <n v="2.4"/>
    <n v="32.1"/>
    <s v="Yes"/>
    <s v="Fair"/>
    <s v="Yes"/>
    <s v="Operations"/>
    <s v="Monday"/>
    <s v="Evening"/>
  </r>
  <r>
    <x v="1978"/>
    <s v="2024-07-25 21:31:09"/>
    <x v="4"/>
    <s v="2024-08-01 20:43:09"/>
    <x v="1513"/>
    <n v="7"/>
    <x v="4"/>
    <s v="Login Issues"/>
    <s v="Medium"/>
    <n v="240"/>
    <x v="1"/>
    <s v="Walk-in"/>
    <s v="Tier 1"/>
    <x v="12"/>
    <x v="0"/>
    <s v="No"/>
    <s v="No"/>
    <n v="1"/>
    <s v="Yes"/>
    <n v="5"/>
    <n v="5.3"/>
    <n v="14"/>
    <s v="Yes"/>
    <s v="Fair"/>
    <s v="Yes"/>
    <s v="Marketing"/>
    <s v="Tuesday"/>
    <s v="Afternoon"/>
  </r>
  <r>
    <x v="1979"/>
    <s v="2024-04-13 04:44:56"/>
    <x v="11"/>
    <s v="2024-04-16 20:20:56"/>
    <x v="511"/>
    <n v="3.7"/>
    <x v="0"/>
    <s v="VPN Access"/>
    <s v="High"/>
    <n v="120"/>
    <x v="1"/>
    <s v="Phone"/>
    <s v="Tier 1"/>
    <x v="1"/>
    <x v="1"/>
    <s v="No"/>
    <s v="No"/>
    <n v="1"/>
    <s v="Yes"/>
    <n v="10"/>
    <n v="2.2999999999999998"/>
    <n v="13.2"/>
    <s v="Yes"/>
    <s v="Poor"/>
    <s v="Yes"/>
    <s v="HR"/>
    <s v="Monday"/>
    <s v="Morning"/>
  </r>
  <r>
    <x v="1980"/>
    <s v="2024-02-22 02:04:02"/>
    <x v="6"/>
    <s v="2024-03-01 20:40:02"/>
    <x v="1514"/>
    <n v="8.8000000000000007"/>
    <x v="0"/>
    <s v="VPN Access"/>
    <s v="Medium"/>
    <n v="240"/>
    <x v="1"/>
    <s v="Phone"/>
    <s v="Tier 1"/>
    <x v="18"/>
    <x v="1"/>
    <s v="No"/>
    <s v="No"/>
    <n v="1"/>
    <s v="No"/>
    <n v="9"/>
    <n v="4.5"/>
    <n v="19.100000000000001"/>
    <s v="Yes"/>
    <s v="Good"/>
    <s v="Yes"/>
    <s v="Finance"/>
    <s v="Friday"/>
    <s v="Morning"/>
  </r>
  <r>
    <x v="1981"/>
    <s v="2024-08-06 19:03:33"/>
    <x v="1"/>
    <s v="2024-08-14 11:27:33"/>
    <x v="1147"/>
    <n v="7.7"/>
    <x v="1"/>
    <s v="Printer"/>
    <s v="Medium"/>
    <n v="240"/>
    <x v="1"/>
    <s v="Email"/>
    <s v="Tier 1"/>
    <x v="22"/>
    <x v="1"/>
    <s v="Yes"/>
    <s v="No"/>
    <n v="0"/>
    <s v="Yes"/>
    <n v="9"/>
    <n v="3.8"/>
    <n v="3.3"/>
    <s v="Yes"/>
    <s v="Fair"/>
    <s v="Yes"/>
    <s v="Operations"/>
    <s v="Tuesday"/>
    <s v="Afternoon"/>
  </r>
  <r>
    <x v="1982"/>
    <s v="2024-11-17 22:28:44"/>
    <x v="7"/>
    <s v="2024-11-29 13:04:44"/>
    <x v="1515"/>
    <n v="11.6"/>
    <x v="3"/>
    <s v="Application Password"/>
    <s v="Low"/>
    <n v="360"/>
    <x v="1"/>
    <s v="Chat"/>
    <s v="Tier 1"/>
    <x v="21"/>
    <x v="1"/>
    <s v="Yes"/>
    <s v="No"/>
    <n v="0"/>
    <s v="No"/>
    <n v="6"/>
    <n v="4.2"/>
    <n v="16.2"/>
    <s v="Yes"/>
    <s v="Fair"/>
    <s v="Yes"/>
    <s v="Finance"/>
    <s v="Tuesday"/>
    <s v="Afternoon"/>
  </r>
  <r>
    <x v="1983"/>
    <s v="2024-07-16 17:46:24"/>
    <x v="4"/>
    <s v="2024-07-19 04:34:24"/>
    <x v="1516"/>
    <n v="2.4"/>
    <x v="2"/>
    <s v="Ethernet"/>
    <s v="Critical"/>
    <n v="48"/>
    <x v="0"/>
    <s v="Phone"/>
    <s v="Tier 1"/>
    <x v="14"/>
    <x v="0"/>
    <s v="No"/>
    <s v="No"/>
    <n v="1"/>
    <s v="No"/>
    <n v="5"/>
    <n v="4.5999999999999996"/>
    <n v="23.8"/>
    <s v="No"/>
    <s v="Fair"/>
    <s v="No"/>
    <s v="Finance"/>
    <s v="Friday"/>
    <s v="Morning"/>
  </r>
  <r>
    <x v="1984"/>
    <s v="2024-09-05 11:28:45"/>
    <x v="9"/>
    <s v="2024-09-14 20:46:45"/>
    <x v="1517"/>
    <n v="9.4"/>
    <x v="3"/>
    <s v="Account Unlock"/>
    <s v="Low"/>
    <n v="360"/>
    <x v="1"/>
    <s v="Phone"/>
    <s v="Tier 1"/>
    <x v="16"/>
    <x v="2"/>
    <s v="Yes"/>
    <s v="No"/>
    <n v="0"/>
    <s v="No"/>
    <n v="10"/>
    <n v="0.1"/>
    <n v="20.8"/>
    <s v="Yes"/>
    <s v="Fair"/>
    <s v="Yes"/>
    <s v="Finance"/>
    <s v="Monday"/>
    <s v="Morning"/>
  </r>
  <r>
    <x v="1985"/>
    <s v="2024-11-02 11:28:50"/>
    <x v="7"/>
    <s v="2024-11-09 01:52:50"/>
    <x v="710"/>
    <n v="7.6"/>
    <x v="7"/>
    <s v="Adobe Suite"/>
    <s v="Medium"/>
    <n v="240"/>
    <x v="1"/>
    <s v="Chat"/>
    <s v="Tier 1"/>
    <x v="0"/>
    <x v="2"/>
    <s v="No"/>
    <s v="No"/>
    <n v="1"/>
    <s v="No"/>
    <n v="6"/>
    <n v="3.1"/>
    <n v="38.700000000000003"/>
    <s v="Yes"/>
    <s v="Poor"/>
    <s v="No"/>
    <s v="Marketing"/>
    <s v="Thursday"/>
    <s v="Afternoon"/>
  </r>
  <r>
    <x v="1986"/>
    <s v="2024-12-02 23:41:14"/>
    <x v="0"/>
    <s v="2024-12-10 11:23:14"/>
    <x v="1518"/>
    <n v="7.5"/>
    <x v="6"/>
    <s v="Calendar Sync"/>
    <s v="Medium"/>
    <n v="240"/>
    <x v="1"/>
    <s v="Chat"/>
    <s v="Tier 1"/>
    <x v="22"/>
    <x v="2"/>
    <s v="No"/>
    <s v="No"/>
    <n v="1"/>
    <s v="No"/>
    <n v="8"/>
    <n v="1"/>
    <n v="33.9"/>
    <s v="Yes"/>
    <s v="Poor"/>
    <s v="No"/>
    <s v="Finance"/>
    <s v="Monday"/>
    <s v="Morning"/>
  </r>
  <r>
    <x v="1987"/>
    <s v="2024-07-22 14:01:58"/>
    <x v="4"/>
    <s v="2024-07-25 21:07:58"/>
    <x v="1519"/>
    <n v="3.3"/>
    <x v="0"/>
    <s v="Application Access"/>
    <s v="High"/>
    <n v="120"/>
    <x v="1"/>
    <s v="Portal"/>
    <s v="Tier 1"/>
    <x v="23"/>
    <x v="2"/>
    <s v="No"/>
    <s v="No"/>
    <n v="1"/>
    <s v="No"/>
    <n v="8"/>
    <n v="2.6"/>
    <n v="23.2"/>
    <s v="No"/>
    <s v="Good"/>
    <s v="Yes"/>
    <s v="IT"/>
    <s v="Tuesday"/>
    <s v="Afternoon"/>
  </r>
  <r>
    <x v="1988"/>
    <s v="2024-10-07 10:51:49"/>
    <x v="2"/>
    <s v="2024-10-22 09:27:49"/>
    <x v="1520"/>
    <n v="14.9"/>
    <x v="7"/>
    <s v="MS Office"/>
    <s v="Medium"/>
    <n v="240"/>
    <x v="0"/>
    <s v="Phone"/>
    <s v="Tier 1"/>
    <x v="10"/>
    <x v="2"/>
    <s v="No"/>
    <s v="No"/>
    <n v="1"/>
    <s v="Yes"/>
    <n v="6"/>
    <n v="5.3"/>
    <n v="29.9"/>
    <s v="Yes"/>
    <s v="Poor"/>
    <s v="Yes"/>
    <s v="HR"/>
    <s v="Wednesday"/>
    <s v="Evening"/>
  </r>
  <r>
    <x v="1989"/>
    <s v="2024-03-20 10:08:23"/>
    <x v="5"/>
    <s v="2024-04-10 04:56:23"/>
    <x v="1521"/>
    <n v="20.7"/>
    <x v="7"/>
    <s v="MS Office"/>
    <s v="Low"/>
    <n v="360"/>
    <x v="0"/>
    <s v="Email"/>
    <s v="Tier 1"/>
    <x v="13"/>
    <x v="2"/>
    <s v="No"/>
    <s v="No"/>
    <n v="1"/>
    <s v="No"/>
    <n v="6"/>
    <n v="1.7"/>
    <n v="13.1"/>
    <s v="No"/>
    <s v="Excellent"/>
    <s v="Yes"/>
    <s v="Marketing"/>
    <s v="Tuesday"/>
    <s v="Afternoon"/>
  </r>
  <r>
    <x v="1990"/>
    <s v="2024-10-26 11:32:58"/>
    <x v="2"/>
    <s v="2024-11-02 05:20:58"/>
    <x v="1400"/>
    <n v="6.8"/>
    <x v="7"/>
    <s v="Adobe Suite"/>
    <s v="Medium"/>
    <n v="240"/>
    <x v="1"/>
    <s v="Email"/>
    <s v="Tier 1"/>
    <x v="2"/>
    <x v="2"/>
    <s v="No"/>
    <s v="No"/>
    <n v="1"/>
    <s v="No"/>
    <n v="8"/>
    <n v="1.6"/>
    <n v="18.600000000000001"/>
    <s v="Yes"/>
    <s v="Fair"/>
    <s v="No"/>
    <s v="Operations"/>
    <s v="Wednesday"/>
    <s v="Morning"/>
  </r>
  <r>
    <x v="1991"/>
    <s v="2024-03-07 02:20:17"/>
    <x v="5"/>
    <s v="2024-03-28 21:14:17"/>
    <x v="1522"/>
    <n v="21.8"/>
    <x v="5"/>
    <s v="Documentation"/>
    <s v="Low"/>
    <n v="360"/>
    <x v="0"/>
    <s v="Portal"/>
    <s v="Tier 2"/>
    <x v="6"/>
    <x v="1"/>
    <s v="No"/>
    <s v="Yes"/>
    <n v="2"/>
    <s v="No"/>
    <n v="8"/>
    <n v="3.6"/>
    <n v="7.7"/>
    <s v="Yes"/>
    <s v="Fair"/>
    <s v="No"/>
    <s v="Finance"/>
    <s v="Friday"/>
    <s v="Morning"/>
  </r>
  <r>
    <x v="1992"/>
    <s v="2024-06-15 21:26:26"/>
    <x v="10"/>
    <s v="2024-06-29 12:50:26"/>
    <x v="1023"/>
    <n v="13.6"/>
    <x v="7"/>
    <s v="Business Apps"/>
    <s v="Low"/>
    <n v="360"/>
    <x v="1"/>
    <s v="Portal"/>
    <s v="Tier 1"/>
    <x v="18"/>
    <x v="2"/>
    <s v="No"/>
    <s v="No"/>
    <n v="1"/>
    <s v="No"/>
    <n v="7"/>
    <n v="2.5"/>
    <n v="29.4"/>
    <s v="Yes"/>
    <s v="Fair"/>
    <s v="No"/>
    <s v="Marketing"/>
    <s v="Wednesday"/>
    <s v="Afternoon"/>
  </r>
  <r>
    <x v="1993"/>
    <s v="2024-07-19 03:14:35"/>
    <x v="4"/>
    <s v="2024-07-26 12:50:35"/>
    <x v="1523"/>
    <n v="7.4"/>
    <x v="0"/>
    <s v="File Share"/>
    <s v="Medium"/>
    <n v="240"/>
    <x v="1"/>
    <s v="Phone"/>
    <s v="Tier 1"/>
    <x v="6"/>
    <x v="1"/>
    <s v="No"/>
    <s v="No"/>
    <n v="1"/>
    <s v="No"/>
    <n v="7"/>
    <n v="5.6"/>
    <n v="24.9"/>
    <s v="Yes"/>
    <s v="Good"/>
    <s v="Yes"/>
    <s v="Operations"/>
    <s v="Tuesday"/>
    <s v="Morning"/>
  </r>
  <r>
    <x v="1994"/>
    <s v="2024-11-26 04:06:21"/>
    <x v="7"/>
    <s v="2024-12-15 17:36:21"/>
    <x v="1524"/>
    <n v="19.600000000000001"/>
    <x v="3"/>
    <s v="Email Password"/>
    <s v="Low"/>
    <n v="360"/>
    <x v="0"/>
    <s v="Email"/>
    <s v="Tier 1"/>
    <x v="19"/>
    <x v="1"/>
    <s v="Yes"/>
    <s v="No"/>
    <n v="0"/>
    <s v="No"/>
    <n v="6"/>
    <n v="4.4000000000000004"/>
    <n v="4.4000000000000004"/>
    <s v="No"/>
    <s v="Good"/>
    <s v="No"/>
    <s v="Executive"/>
    <s v="Wednesday"/>
    <s v="Afternoon"/>
  </r>
  <r>
    <x v="1995"/>
    <s v="2024-02-18 00:51:11"/>
    <x v="6"/>
    <s v="2024-02-23 18:21:11"/>
    <x v="589"/>
    <n v="4.7"/>
    <x v="0"/>
    <s v="Admin Rights"/>
    <s v="High"/>
    <n v="120"/>
    <x v="1"/>
    <s v="Portal"/>
    <s v="Tier 1"/>
    <x v="11"/>
    <x v="2"/>
    <s v="Yes"/>
    <s v="No"/>
    <n v="0"/>
    <s v="No"/>
    <n v="10"/>
    <n v="3.3"/>
    <n v="32"/>
    <s v="Yes"/>
    <s v="Poor"/>
    <s v="Yes"/>
    <s v="Sales"/>
    <s v="Monday"/>
    <s v="Afternoon"/>
  </r>
  <r>
    <x v="1996"/>
    <s v="2024-01-19 21:25:28"/>
    <x v="3"/>
    <s v="2024-02-03 02:13:28"/>
    <x v="1525"/>
    <n v="14.2"/>
    <x v="7"/>
    <s v="VPN Client"/>
    <s v="Low"/>
    <n v="360"/>
    <x v="1"/>
    <s v="Portal"/>
    <s v="Tier 2"/>
    <x v="15"/>
    <x v="0"/>
    <s v="No"/>
    <s v="Yes"/>
    <n v="4"/>
    <s v="No"/>
    <n v="9"/>
    <n v="3.9"/>
    <n v="24.8"/>
    <s v="No"/>
    <s v="Fair"/>
    <s v="Yes"/>
    <s v="Finance"/>
    <s v="Thursday"/>
    <s v="Afternoon"/>
  </r>
  <r>
    <x v="1997"/>
    <s v="2024-09-19 21:10:47"/>
    <x v="9"/>
    <s v="2024-09-26 16:22:47"/>
    <x v="1526"/>
    <n v="6.8"/>
    <x v="1"/>
    <s v="Laptop"/>
    <s v="Medium"/>
    <n v="240"/>
    <x v="1"/>
    <s v="Email"/>
    <s v="Tier 1"/>
    <x v="7"/>
    <x v="1"/>
    <s v="No"/>
    <s v="No"/>
    <n v="1"/>
    <s v="No"/>
    <n v="9"/>
    <n v="1.8"/>
    <n v="24"/>
    <s v="Yes"/>
    <s v="Poor"/>
    <s v="Yes"/>
    <s v="Marketing"/>
    <s v="Tuesday"/>
    <s v="Afternoon"/>
  </r>
  <r>
    <x v="1998"/>
    <s v="2024-02-16 02:25:30"/>
    <x v="6"/>
    <s v="2024-02-20 07:07:30"/>
    <x v="1527"/>
    <n v="4.2"/>
    <x v="2"/>
    <s v="WiFi Issues"/>
    <s v="High"/>
    <n v="120"/>
    <x v="1"/>
    <s v="Portal"/>
    <s v="Tier 2"/>
    <x v="19"/>
    <x v="2"/>
    <s v="No"/>
    <s v="Yes"/>
    <n v="1"/>
    <s v="No"/>
    <n v="5"/>
    <n v="3.7"/>
    <n v="29.7"/>
    <s v="Yes"/>
    <s v="Fair"/>
    <s v="No"/>
    <s v="Operations"/>
    <s v="Thursday"/>
    <s v="Afternoon"/>
  </r>
  <r>
    <x v="1999"/>
    <s v="2024-03-22 11:18:43"/>
    <x v="5"/>
    <s v="2024-03-23 20:24:43"/>
    <x v="583"/>
    <n v="1.4"/>
    <x v="2"/>
    <s v="VPN Connection"/>
    <s v="Critical"/>
    <n v="48"/>
    <x v="1"/>
    <s v="Email"/>
    <s v="Tier 2"/>
    <x v="21"/>
    <x v="0"/>
    <s v="No"/>
    <s v="Yes"/>
    <n v="4"/>
    <s v="No"/>
    <n v="8"/>
    <n v="4.5"/>
    <n v="6.5"/>
    <s v="Yes"/>
    <s v="Fair"/>
    <s v="No"/>
    <s v="Marketing"/>
    <s v="Thursday"/>
    <s v="Afternoon"/>
  </r>
  <r>
    <x v="2000"/>
    <s v="2024-07-04 08:24:16"/>
    <x v="4"/>
    <s v="2024-07-13 07:06:16"/>
    <x v="1528"/>
    <n v="8.9"/>
    <x v="4"/>
    <s v="Performance"/>
    <s v="Medium"/>
    <n v="240"/>
    <x v="1"/>
    <s v="Phone"/>
    <s v="Tier 1"/>
    <x v="8"/>
    <x v="2"/>
    <s v="No"/>
    <s v="No"/>
    <n v="1"/>
    <s v="No"/>
    <n v="7"/>
    <n v="1.1000000000000001"/>
    <n v="14"/>
    <s v="Yes"/>
    <s v="Excellent"/>
    <s v="No"/>
    <s v="Operations"/>
    <s v="Friday"/>
    <s v="Afternoon"/>
  </r>
  <r>
    <x v="2001"/>
    <s v="2024-10-17 16:48:05"/>
    <x v="2"/>
    <s v="2024-10-27 18:24:05"/>
    <x v="414"/>
    <n v="10.1"/>
    <x v="3"/>
    <s v="Email Password"/>
    <s v="Low"/>
    <n v="360"/>
    <x v="1"/>
    <s v="Portal"/>
    <s v="Tier 1"/>
    <x v="16"/>
    <x v="2"/>
    <s v="Yes"/>
    <s v="No"/>
    <n v="0"/>
    <s v="No"/>
    <n v="9"/>
    <n v="2.6"/>
    <n v="17.600000000000001"/>
    <s v="Yes"/>
    <s v="Fair"/>
    <s v="Yes"/>
    <s v="Sales"/>
    <s v="Friday"/>
    <s v="Afternoon"/>
  </r>
  <r>
    <x v="2002"/>
    <s v="2024-05-23 14:48:58"/>
    <x v="8"/>
    <s v="2024-06-16 19:12:58"/>
    <x v="1529"/>
    <n v="24.2"/>
    <x v="5"/>
    <s v="Training Request"/>
    <s v="Medium"/>
    <n v="240"/>
    <x v="0"/>
    <s v="Email"/>
    <s v="Tier 1"/>
    <x v="14"/>
    <x v="1"/>
    <s v="No"/>
    <s v="No"/>
    <n v="1"/>
    <s v="No"/>
    <n v="6"/>
    <n v="1.9"/>
    <n v="16.600000000000001"/>
    <s v="Yes"/>
    <s v="Fair"/>
    <s v="No"/>
    <s v="Sales"/>
    <s v="Friday"/>
    <s v="Morning"/>
  </r>
  <r>
    <x v="2003"/>
    <s v="2024-01-15 02:06:27"/>
    <x v="3"/>
    <s v="2024-01-24 03:12:27"/>
    <x v="1530"/>
    <n v="9"/>
    <x v="7"/>
    <s v="MS Office"/>
    <s v="Medium"/>
    <n v="240"/>
    <x v="1"/>
    <s v="Email"/>
    <s v="Tier 1"/>
    <x v="24"/>
    <x v="1"/>
    <s v="No"/>
    <s v="No"/>
    <n v="1"/>
    <s v="No"/>
    <n v="8"/>
    <n v="0.6"/>
    <n v="12.6"/>
    <s v="Yes"/>
    <s v="Fair"/>
    <s v="Yes"/>
    <s v="HR"/>
    <s v="Wednesday"/>
    <s v="Afternoon"/>
  </r>
  <r>
    <x v="2004"/>
    <s v="2024-02-12 19:55:03"/>
    <x v="6"/>
    <s v="2024-02-21 05:49:03"/>
    <x v="1531"/>
    <n v="8.4"/>
    <x v="6"/>
    <s v="Cannot Send/Receive"/>
    <s v="Medium"/>
    <n v="240"/>
    <x v="1"/>
    <s v="Phone"/>
    <s v="Tier 1"/>
    <x v="13"/>
    <x v="2"/>
    <s v="Yes"/>
    <s v="No"/>
    <n v="0"/>
    <s v="No"/>
    <n v="9"/>
    <n v="2.4"/>
    <n v="21.2"/>
    <s v="No"/>
    <s v="Good"/>
    <s v="No"/>
    <s v="Finance"/>
    <s v="Wednesday"/>
    <s v="Morning"/>
  </r>
  <r>
    <x v="2005"/>
    <s v="2024-08-12 08:37:33"/>
    <x v="1"/>
    <s v="2024-08-15 16:37:33"/>
    <x v="1104"/>
    <n v="3.3"/>
    <x v="2"/>
    <s v="Ethernet"/>
    <s v="High"/>
    <n v="120"/>
    <x v="1"/>
    <s v="Email"/>
    <s v="Tier 1"/>
    <x v="12"/>
    <x v="0"/>
    <s v="No"/>
    <s v="No"/>
    <n v="1"/>
    <s v="No"/>
    <n v="8"/>
    <n v="6.3"/>
    <n v="28.9"/>
    <s v="Yes"/>
    <s v="Good"/>
    <s v="Yes"/>
    <s v="IT"/>
    <s v="Thursday"/>
    <s v="Afternoon"/>
  </r>
  <r>
    <x v="2006"/>
    <s v="2024-05-26 13:35:40"/>
    <x v="8"/>
    <s v="2024-06-03 08:05:40"/>
    <x v="1532"/>
    <n v="7.8"/>
    <x v="6"/>
    <s v="Calendar Sync"/>
    <s v="Medium"/>
    <n v="240"/>
    <x v="1"/>
    <s v="Walk-in"/>
    <s v="Tier 2"/>
    <x v="17"/>
    <x v="2"/>
    <s v="No"/>
    <s v="Yes"/>
    <n v="1"/>
    <s v="Yes"/>
    <n v="7"/>
    <n v="2.8"/>
    <n v="11.7"/>
    <s v="Yes"/>
    <s v="Good"/>
    <s v="No"/>
    <s v="Legal"/>
    <s v="Wednesday"/>
    <s v="Afternoon"/>
  </r>
  <r>
    <x v="2007"/>
    <s v="2024-07-05 00:47:29"/>
    <x v="4"/>
    <s v="2024-07-10 05:35:29"/>
    <x v="822"/>
    <n v="4.2"/>
    <x v="4"/>
    <s v="Performance"/>
    <s v="High"/>
    <n v="120"/>
    <x v="1"/>
    <s v="Phone"/>
    <s v="Tier 2"/>
    <x v="21"/>
    <x v="2"/>
    <s v="No"/>
    <s v="Yes"/>
    <n v="2"/>
    <s v="No"/>
    <n v="7"/>
    <n v="3.1"/>
    <n v="20.7"/>
    <s v="No"/>
    <s v="Fair"/>
    <s v="Yes"/>
    <s v="HR"/>
    <s v="Tuesday"/>
    <s v="Morning"/>
  </r>
  <r>
    <x v="2008"/>
    <s v="2024-12-10 20:25:31"/>
    <x v="0"/>
    <s v="2025-01-22 23:31:31"/>
    <x v="1533"/>
    <n v="43.1"/>
    <x v="3"/>
    <s v="Application Password"/>
    <s v="Low"/>
    <n v="360"/>
    <x v="0"/>
    <s v="Portal"/>
    <s v="Tier 1"/>
    <x v="12"/>
    <x v="2"/>
    <s v="No"/>
    <s v="No"/>
    <n v="1"/>
    <s v="No"/>
    <n v="5"/>
    <n v="1.3"/>
    <n v="9.9"/>
    <s v="Yes"/>
    <s v="Good"/>
    <s v="No"/>
    <s v="IT"/>
    <s v="Wednesday"/>
    <s v="Afternoon"/>
  </r>
  <r>
    <x v="2009"/>
    <s v="2024-08-01 12:08:57"/>
    <x v="1"/>
    <s v="2024-08-13 06:20:57"/>
    <x v="1479"/>
    <n v="11.8"/>
    <x v="5"/>
    <s v="Training Request"/>
    <s v="Low"/>
    <n v="360"/>
    <x v="1"/>
    <s v="Walk-in"/>
    <s v="Tier 2"/>
    <x v="2"/>
    <x v="2"/>
    <s v="No"/>
    <s v="Yes"/>
    <n v="4"/>
    <s v="No"/>
    <n v="7"/>
    <n v="1.9"/>
    <n v="25.2"/>
    <s v="No"/>
    <s v="Fair"/>
    <s v="No"/>
    <s v="Executive"/>
    <s v="Tuesday"/>
    <s v="Morning"/>
  </r>
  <r>
    <x v="2010"/>
    <s v="2024-08-29 20:26:55"/>
    <x v="1"/>
    <s v="2024-09-07 07:56:55"/>
    <x v="1534"/>
    <n v="8.5"/>
    <x v="0"/>
    <s v="VPN Access"/>
    <s v="Medium"/>
    <n v="240"/>
    <x v="1"/>
    <s v="Email"/>
    <s v="Tier 1"/>
    <x v="4"/>
    <x v="0"/>
    <s v="Yes"/>
    <s v="No"/>
    <n v="0"/>
    <s v="No"/>
    <n v="9"/>
    <n v="4.5999999999999996"/>
    <n v="33.5"/>
    <s v="No"/>
    <s v="Excellent"/>
    <s v="Yes"/>
    <s v="Legal"/>
    <s v="Wednesday"/>
    <s v="Afternoon"/>
  </r>
  <r>
    <x v="2011"/>
    <s v="2024-10-23 00:38:49"/>
    <x v="2"/>
    <s v="2024-11-02 06:38:49"/>
    <x v="922"/>
    <n v="9.3000000000000007"/>
    <x v="0"/>
    <s v="Admin Rights"/>
    <s v="Medium"/>
    <n v="240"/>
    <x v="1"/>
    <s v="Phone"/>
    <s v="Tier 1"/>
    <x v="21"/>
    <x v="2"/>
    <s v="No"/>
    <s v="No"/>
    <n v="1"/>
    <s v="No"/>
    <n v="10"/>
    <n v="2.2999999999999998"/>
    <n v="31.9"/>
    <s v="Yes"/>
    <s v="Poor"/>
    <s v="Yes"/>
    <s v="Executive"/>
    <s v="Monday"/>
    <s v="Morning"/>
  </r>
  <r>
    <x v="2012"/>
    <s v="2024-11-19 23:25:28"/>
    <x v="7"/>
    <s v="2024-11-23 16:43:28"/>
    <x v="1535"/>
    <n v="3.7"/>
    <x v="1"/>
    <s v="Keyboard/Mouse"/>
    <s v="High"/>
    <n v="120"/>
    <x v="1"/>
    <s v="Portal"/>
    <s v="Tier 1"/>
    <x v="20"/>
    <x v="0"/>
    <s v="No"/>
    <s v="No"/>
    <n v="1"/>
    <s v="Yes"/>
    <n v="9"/>
    <n v="7.8"/>
    <n v="22.5"/>
    <s v="Yes"/>
    <s v="Good"/>
    <s v="Yes"/>
    <s v="IT"/>
    <s v="Monday"/>
    <s v="Morning"/>
  </r>
  <r>
    <x v="2013"/>
    <s v="2024-12-11 12:34:34"/>
    <x v="0"/>
    <s v="2024-12-23 06:58:34"/>
    <x v="425"/>
    <n v="11.8"/>
    <x v="3"/>
    <s v="Application Password"/>
    <s v="Low"/>
    <n v="360"/>
    <x v="1"/>
    <s v="Phone"/>
    <s v="Tier 1"/>
    <x v="3"/>
    <x v="0"/>
    <s v="Yes"/>
    <s v="No"/>
    <n v="0"/>
    <s v="Yes"/>
    <n v="10"/>
    <n v="4.9000000000000004"/>
    <n v="10.8"/>
    <s v="Yes"/>
    <s v="Poor"/>
    <s v="Yes"/>
    <s v="Operations"/>
    <s v="Tuesday"/>
    <s v="Afternoon"/>
  </r>
  <r>
    <x v="2014"/>
    <s v="2024-12-02 02:58:35"/>
    <x v="0"/>
    <s v="2024-12-14 17:34:35"/>
    <x v="994"/>
    <n v="12.6"/>
    <x v="2"/>
    <s v="WiFi Issues"/>
    <s v="Medium"/>
    <n v="240"/>
    <x v="0"/>
    <s v="Phone"/>
    <s v="Tier 1"/>
    <x v="19"/>
    <x v="2"/>
    <s v="No"/>
    <s v="No"/>
    <n v="1"/>
    <s v="No"/>
    <n v="4"/>
    <n v="0.7"/>
    <n v="11"/>
    <s v="Yes"/>
    <s v="Good"/>
    <s v="Yes"/>
    <s v="Finance"/>
    <s v="Wednesday"/>
    <s v="Afternoon"/>
  </r>
  <r>
    <x v="2015"/>
    <s v="2024-01-09 10:23:53"/>
    <x v="3"/>
    <s v="2024-01-20 22:41:53"/>
    <x v="695"/>
    <n v="11.5"/>
    <x v="3"/>
    <s v="Application Password"/>
    <s v="Low"/>
    <n v="360"/>
    <x v="1"/>
    <s v="Email"/>
    <s v="Tier 1"/>
    <x v="4"/>
    <x v="0"/>
    <s v="Yes"/>
    <s v="No"/>
    <n v="0"/>
    <s v="No"/>
    <n v="10"/>
    <n v="1.4"/>
    <n v="11.6"/>
    <s v="Yes"/>
    <s v="Excellent"/>
    <s v="Yes"/>
    <s v="HR"/>
    <s v="Tuesday"/>
    <s v="Morning"/>
  </r>
  <r>
    <x v="2016"/>
    <s v="2024-08-21 22:16:07"/>
    <x v="1"/>
    <s v="2024-08-30 12:28:07"/>
    <x v="609"/>
    <n v="8.6"/>
    <x v="7"/>
    <s v="MS Office"/>
    <s v="Medium"/>
    <n v="240"/>
    <x v="1"/>
    <s v="Email"/>
    <s v="Tier 2"/>
    <x v="1"/>
    <x v="2"/>
    <s v="No"/>
    <s v="Yes"/>
    <n v="3"/>
    <s v="No"/>
    <n v="9"/>
    <n v="0.1"/>
    <n v="12.7"/>
    <s v="Yes"/>
    <s v="Fair"/>
    <s v="No"/>
    <s v="HR"/>
    <s v="Tuesday"/>
    <s v="Afternoon"/>
  </r>
  <r>
    <x v="2017"/>
    <s v="2024-02-20 07:12:58"/>
    <x v="6"/>
    <s v="2024-03-02 21:36:58"/>
    <x v="1536"/>
    <n v="11.6"/>
    <x v="3"/>
    <s v="Email Password"/>
    <s v="Low"/>
    <n v="360"/>
    <x v="1"/>
    <s v="Phone"/>
    <s v="Tier 1"/>
    <x v="22"/>
    <x v="2"/>
    <s v="Yes"/>
    <s v="No"/>
    <n v="0"/>
    <s v="No"/>
    <n v="9"/>
    <n v="4.5999999999999996"/>
    <n v="4.5"/>
    <s v="No"/>
    <s v="Good"/>
    <s v="Yes"/>
    <s v="Executive"/>
    <s v="Tuesday"/>
    <s v="Afternoon"/>
  </r>
  <r>
    <x v="2018"/>
    <s v="2024-05-05 01:00:50"/>
    <x v="8"/>
    <s v="2024-05-07 11:18:50"/>
    <x v="947"/>
    <n v="1.4"/>
    <x v="3"/>
    <s v="Application Password"/>
    <s v="Critical"/>
    <n v="48"/>
    <x v="1"/>
    <s v="Email"/>
    <s v="Tier 1"/>
    <x v="9"/>
    <x v="2"/>
    <s v="Yes"/>
    <s v="No"/>
    <n v="0"/>
    <s v="No"/>
    <n v="9"/>
    <n v="2.5"/>
    <n v="10"/>
    <s v="Yes"/>
    <s v="Good"/>
    <s v="Yes"/>
    <s v="HR"/>
    <s v="Thursday"/>
    <s v="Afternoon"/>
  </r>
  <r>
    <x v="2019"/>
    <s v="2024-01-19 01:09:01"/>
    <x v="3"/>
    <s v="2024-01-24 18:09:01"/>
    <x v="1537"/>
    <n v="4.7"/>
    <x v="1"/>
    <s v="Desktop"/>
    <s v="High"/>
    <n v="120"/>
    <x v="1"/>
    <s v="Email"/>
    <s v="Tier 1"/>
    <x v="23"/>
    <x v="2"/>
    <s v="No"/>
    <s v="No"/>
    <n v="1"/>
    <s v="No"/>
    <n v="8"/>
    <n v="0.3"/>
    <n v="34.1"/>
    <s v="Yes"/>
    <s v="Fair"/>
    <s v="No"/>
    <s v="Marketing"/>
    <s v="Wednesday"/>
    <s v="Morning"/>
  </r>
  <r>
    <x v="2020"/>
    <s v="2024-12-20 05:02:56"/>
    <x v="0"/>
    <s v="2024-12-31 20:14:56"/>
    <x v="1538"/>
    <n v="11.6"/>
    <x v="0"/>
    <s v="Admin Rights"/>
    <s v="Medium"/>
    <n v="240"/>
    <x v="0"/>
    <s v="Portal"/>
    <s v="Tier 1"/>
    <x v="19"/>
    <x v="0"/>
    <s v="No"/>
    <s v="No"/>
    <n v="1"/>
    <s v="No"/>
    <n v="5"/>
    <n v="0.5"/>
    <n v="20.7"/>
    <s v="Yes"/>
    <s v="Good"/>
    <s v="Yes"/>
    <s v="IT"/>
    <s v="Thursday"/>
    <s v="Afternoon"/>
  </r>
  <r>
    <x v="2021"/>
    <s v="2024-06-07 01:00:43"/>
    <x v="10"/>
    <s v="2024-06-16 12:48:43"/>
    <x v="1539"/>
    <n v="8.5"/>
    <x v="7"/>
    <s v="Business Apps"/>
    <s v="Medium"/>
    <n v="240"/>
    <x v="1"/>
    <s v="Portal"/>
    <s v="Tier 2"/>
    <x v="15"/>
    <x v="2"/>
    <s v="No"/>
    <s v="Yes"/>
    <n v="1"/>
    <s v="No"/>
    <n v="9"/>
    <n v="1.4"/>
    <n v="21.5"/>
    <s v="No"/>
    <s v="Poor"/>
    <s v="Yes"/>
    <s v="HR"/>
    <s v="Monday"/>
    <s v="Morning"/>
  </r>
  <r>
    <x v="2022"/>
    <s v="2024-07-16 06:07:08"/>
    <x v="4"/>
    <s v="2024-07-29 04:49:08"/>
    <x v="1540"/>
    <n v="12.9"/>
    <x v="4"/>
    <s v="Login Issues"/>
    <s v="Medium"/>
    <n v="240"/>
    <x v="0"/>
    <s v="Phone"/>
    <s v="Tier 1"/>
    <x v="3"/>
    <x v="0"/>
    <s v="No"/>
    <s v="No"/>
    <n v="1"/>
    <s v="Yes"/>
    <n v="4"/>
    <n v="4"/>
    <n v="6.4"/>
    <s v="No"/>
    <s v="Poor"/>
    <s v="Yes"/>
    <s v="Finance"/>
    <s v="Thursday"/>
    <s v="Evening"/>
  </r>
  <r>
    <x v="2023"/>
    <s v="2024-06-11 03:57:59"/>
    <x v="10"/>
    <s v="2024-06-27 21:15:59"/>
    <x v="1541"/>
    <n v="16.7"/>
    <x v="3"/>
    <s v="Application Password"/>
    <s v="Low"/>
    <n v="360"/>
    <x v="0"/>
    <s v="Email"/>
    <s v="Tier 1"/>
    <x v="16"/>
    <x v="0"/>
    <s v="No"/>
    <s v="No"/>
    <n v="1"/>
    <s v="Yes"/>
    <n v="3"/>
    <n v="0.5"/>
    <n v="7.9"/>
    <s v="No"/>
    <s v="Excellent"/>
    <s v="No"/>
    <s v="Operations"/>
    <s v="Thursday"/>
    <s v="Morning"/>
  </r>
  <r>
    <x v="2024"/>
    <s v="2024-05-03 06:34:24"/>
    <x v="8"/>
    <s v="2024-05-07 22:52:24"/>
    <x v="1542"/>
    <n v="4.7"/>
    <x v="1"/>
    <s v="Desktop"/>
    <s v="High"/>
    <n v="120"/>
    <x v="1"/>
    <s v="Email"/>
    <s v="Tier 1"/>
    <x v="15"/>
    <x v="0"/>
    <s v="No"/>
    <s v="No"/>
    <n v="1"/>
    <s v="No"/>
    <n v="9"/>
    <n v="3.6"/>
    <n v="15.9"/>
    <s v="No"/>
    <s v="Excellent"/>
    <s v="Yes"/>
    <s v="Marketing"/>
    <s v="Monday"/>
    <s v="Morning"/>
  </r>
  <r>
    <x v="2025"/>
    <s v="2024-10-30 01:43:08"/>
    <x v="2"/>
    <s v="2024-11-01 17:37:08"/>
    <x v="1543"/>
    <n v="1.7"/>
    <x v="4"/>
    <s v="Login Issues"/>
    <s v="Critical"/>
    <n v="48"/>
    <x v="1"/>
    <s v="Email"/>
    <s v="Tier 1"/>
    <x v="0"/>
    <x v="1"/>
    <s v="Yes"/>
    <s v="No"/>
    <n v="0"/>
    <s v="No"/>
    <n v="9"/>
    <n v="5.6"/>
    <n v="26.1"/>
    <s v="Yes"/>
    <s v="Poor"/>
    <s v="Yes"/>
    <s v="Finance"/>
    <s v="Thursday"/>
    <s v="Morning"/>
  </r>
  <r>
    <x v="2026"/>
    <s v="2024-07-17 03:32:23"/>
    <x v="4"/>
    <s v="2024-07-26 14:38:23"/>
    <x v="1544"/>
    <n v="9.5"/>
    <x v="3"/>
    <s v="Account Unlock"/>
    <s v="Medium"/>
    <n v="240"/>
    <x v="1"/>
    <s v="Phone"/>
    <s v="Tier 1"/>
    <x v="3"/>
    <x v="1"/>
    <s v="Yes"/>
    <s v="No"/>
    <n v="0"/>
    <s v="No"/>
    <n v="9"/>
    <n v="2.2000000000000002"/>
    <n v="18.899999999999999"/>
    <s v="No"/>
    <s v="Good"/>
    <s v="No"/>
    <s v="Sales"/>
    <s v="Monday"/>
    <s v="Morning"/>
  </r>
  <r>
    <x v="2027"/>
    <s v="2024-06-26 01:42:11"/>
    <x v="10"/>
    <s v="2024-07-07 08:30:11"/>
    <x v="1545"/>
    <n v="10.3"/>
    <x v="0"/>
    <s v="Application Access"/>
    <s v="Low"/>
    <n v="360"/>
    <x v="1"/>
    <s v="Phone"/>
    <s v="Tier 1"/>
    <x v="0"/>
    <x v="1"/>
    <s v="Yes"/>
    <s v="No"/>
    <n v="0"/>
    <s v="No"/>
    <n v="8"/>
    <n v="2"/>
    <n v="7.7"/>
    <s v="Yes"/>
    <s v="Good"/>
    <s v="Yes"/>
    <s v="Finance"/>
    <s v="Friday"/>
    <s v="Morning"/>
  </r>
  <r>
    <x v="2028"/>
    <s v="2024-12-16 13:25:28"/>
    <x v="0"/>
    <s v="2024-12-30 07:25:28"/>
    <x v="1546"/>
    <n v="13.8"/>
    <x v="0"/>
    <s v="File Share"/>
    <s v="Medium"/>
    <n v="240"/>
    <x v="0"/>
    <s v="Phone"/>
    <s v="Tier 1"/>
    <x v="11"/>
    <x v="1"/>
    <s v="Yes"/>
    <s v="No"/>
    <n v="0"/>
    <s v="No"/>
    <n v="6"/>
    <n v="2.8"/>
    <n v="22.9"/>
    <s v="No"/>
    <s v="Fair"/>
    <s v="Yes"/>
    <s v="Operations"/>
    <s v="Wednesday"/>
    <s v="Morning"/>
  </r>
  <r>
    <x v="2029"/>
    <s v="2024-12-11 18:35:42"/>
    <x v="0"/>
    <s v="2024-12-21 15:11:42"/>
    <x v="803"/>
    <n v="9.9"/>
    <x v="3"/>
    <s v="Windows Password"/>
    <s v="Low"/>
    <n v="360"/>
    <x v="1"/>
    <s v="Email"/>
    <s v="Tier 1"/>
    <x v="6"/>
    <x v="1"/>
    <s v="Yes"/>
    <s v="No"/>
    <n v="0"/>
    <s v="No"/>
    <n v="8"/>
    <n v="2.7"/>
    <n v="24.2"/>
    <s v="Yes"/>
    <s v="Good"/>
    <s v="No"/>
    <s v="Marketing"/>
    <s v="Thursday"/>
    <s v="Morning"/>
  </r>
  <r>
    <x v="2030"/>
    <s v="2024-09-04 15:25:28"/>
    <x v="9"/>
    <s v="2024-09-20 05:25:28"/>
    <x v="1547"/>
    <n v="15.6"/>
    <x v="3"/>
    <s v="Email Password"/>
    <s v="Low"/>
    <n v="360"/>
    <x v="0"/>
    <s v="Portal"/>
    <s v="Tier 1"/>
    <x v="15"/>
    <x v="2"/>
    <s v="No"/>
    <s v="No"/>
    <n v="1"/>
    <s v="No"/>
    <n v="5"/>
    <n v="4.8"/>
    <n v="2.5"/>
    <s v="No"/>
    <s v="Good"/>
    <s v="No"/>
    <s v="HR"/>
    <s v="Monday"/>
    <s v="Morning"/>
  </r>
  <r>
    <x v="2031"/>
    <s v="2024-12-13 22:29:30"/>
    <x v="0"/>
    <s v="2024-12-26 23:05:30"/>
    <x v="1548"/>
    <n v="13"/>
    <x v="5"/>
    <s v="General Inquiry"/>
    <s v="Low"/>
    <n v="360"/>
    <x v="1"/>
    <s v="Phone"/>
    <s v="Tier 1"/>
    <x v="18"/>
    <x v="1"/>
    <s v="No"/>
    <s v="No"/>
    <n v="1"/>
    <s v="No"/>
    <n v="9"/>
    <n v="2.6"/>
    <n v="10"/>
    <s v="Yes"/>
    <s v="Good"/>
    <s v="Yes"/>
    <s v="Marketing"/>
    <s v="Monday"/>
    <s v="Morning"/>
  </r>
  <r>
    <x v="2032"/>
    <s v="2024-07-03 14:49:55"/>
    <x v="4"/>
    <s v="2024-07-14 12:19:55"/>
    <x v="359"/>
    <n v="10.9"/>
    <x v="3"/>
    <s v="Email Password"/>
    <s v="Medium"/>
    <n v="240"/>
    <x v="0"/>
    <s v="Phone"/>
    <s v="Tier 1"/>
    <x v="4"/>
    <x v="2"/>
    <s v="No"/>
    <s v="No"/>
    <n v="1"/>
    <s v="No"/>
    <n v="7"/>
    <n v="1.9"/>
    <n v="24.3"/>
    <s v="No"/>
    <s v="Fair"/>
    <s v="No"/>
    <s v="HR"/>
    <s v="Monday"/>
    <s v="Evening"/>
  </r>
  <r>
    <x v="2033"/>
    <s v="2024-05-23 06:19:52"/>
    <x v="8"/>
    <s v="2024-05-30 05:07:52"/>
    <x v="1249"/>
    <n v="7"/>
    <x v="4"/>
    <s v="Features Not Working"/>
    <s v="Medium"/>
    <n v="240"/>
    <x v="1"/>
    <s v="Phone"/>
    <s v="Tier 2"/>
    <x v="5"/>
    <x v="1"/>
    <s v="No"/>
    <s v="Yes"/>
    <n v="3"/>
    <s v="No"/>
    <n v="9"/>
    <n v="1.2"/>
    <n v="31.6"/>
    <s v="No"/>
    <s v="Good"/>
    <s v="No"/>
    <s v="Legal"/>
    <s v="Wednesday"/>
    <s v="Morning"/>
  </r>
  <r>
    <x v="2034"/>
    <s v="2024-09-03 03:06:03"/>
    <x v="9"/>
    <s v="2024-09-10 07:06:03"/>
    <x v="45"/>
    <n v="7.2"/>
    <x v="2"/>
    <s v="Slow Network"/>
    <s v="Medium"/>
    <n v="240"/>
    <x v="1"/>
    <s v="Phone"/>
    <s v="Tier 1"/>
    <x v="3"/>
    <x v="0"/>
    <s v="No"/>
    <s v="No"/>
    <n v="1"/>
    <s v="No"/>
    <n v="7"/>
    <n v="3.2"/>
    <n v="9.3000000000000007"/>
    <s v="No"/>
    <s v="Fair"/>
    <s v="No"/>
    <s v="Sales"/>
    <s v="Monday"/>
    <s v="Morning"/>
  </r>
  <r>
    <x v="2035"/>
    <s v="2024-10-05 15:05:55"/>
    <x v="2"/>
    <s v="2024-10-19 09:05:55"/>
    <x v="1546"/>
    <n v="13.8"/>
    <x v="3"/>
    <s v="Windows Password"/>
    <s v="Low"/>
    <n v="360"/>
    <x v="1"/>
    <s v="Email"/>
    <s v="Tier 1"/>
    <x v="23"/>
    <x v="2"/>
    <s v="Yes"/>
    <s v="No"/>
    <n v="0"/>
    <s v="No"/>
    <n v="10"/>
    <n v="1.6"/>
    <n v="0"/>
    <s v="Yes"/>
    <s v="Poor"/>
    <s v="Yes"/>
    <s v="IT"/>
    <s v="Monday"/>
    <s v="Morning"/>
  </r>
  <r>
    <x v="2036"/>
    <s v="2024-10-15 15:56:54"/>
    <x v="2"/>
    <s v="2024-10-18 16:44:54"/>
    <x v="1119"/>
    <n v="3"/>
    <x v="1"/>
    <s v="Docking Station"/>
    <s v="High"/>
    <n v="120"/>
    <x v="1"/>
    <s v="Phone"/>
    <s v="Tier 2"/>
    <x v="24"/>
    <x v="1"/>
    <s v="No"/>
    <s v="Yes"/>
    <n v="1"/>
    <s v="No"/>
    <n v="10"/>
    <n v="7.1"/>
    <n v="4.8"/>
    <s v="No"/>
    <s v="Good"/>
    <s v="No"/>
    <s v="Operations"/>
    <s v="Tuesday"/>
    <s v="Morning"/>
  </r>
  <r>
    <x v="2037"/>
    <s v="2024-11-17 21:04:30"/>
    <x v="7"/>
    <s v="2024-11-29 10:22:30"/>
    <x v="918"/>
    <n v="11.6"/>
    <x v="3"/>
    <s v="Application Password"/>
    <s v="Low"/>
    <n v="360"/>
    <x v="1"/>
    <s v="Portal"/>
    <s v="Tier 1"/>
    <x v="16"/>
    <x v="1"/>
    <s v="Yes"/>
    <s v="No"/>
    <n v="0"/>
    <s v="No"/>
    <n v="10"/>
    <n v="1.3"/>
    <n v="44.4"/>
    <s v="No"/>
    <s v="Good"/>
    <s v="Yes"/>
    <s v="Finance"/>
    <s v="Monday"/>
    <s v="Afternoon"/>
  </r>
  <r>
    <x v="2038"/>
    <s v="2024-05-19 08:25:18"/>
    <x v="8"/>
    <s v="2024-05-27 19:31:18"/>
    <x v="1549"/>
    <n v="8.5"/>
    <x v="6"/>
    <s v="Calendar Sync"/>
    <s v="Medium"/>
    <n v="240"/>
    <x v="1"/>
    <s v="Phone"/>
    <s v="Tier 1"/>
    <x v="21"/>
    <x v="0"/>
    <s v="No"/>
    <s v="No"/>
    <n v="1"/>
    <s v="No"/>
    <n v="7"/>
    <n v="4.7"/>
    <n v="18.600000000000001"/>
    <s v="Yes"/>
    <s v="Good"/>
    <s v="Yes"/>
    <s v="HR"/>
    <s v="Tuesday"/>
    <s v="Afternoon"/>
  </r>
  <r>
    <x v="2039"/>
    <s v="2024-08-10 11:27:24"/>
    <x v="1"/>
    <s v="2024-08-20 02:45:24"/>
    <x v="1550"/>
    <n v="10.6"/>
    <x v="3"/>
    <s v="Account Unlock"/>
    <s v="Low"/>
    <n v="360"/>
    <x v="1"/>
    <s v="Phone"/>
    <s v="Tier 1"/>
    <x v="6"/>
    <x v="0"/>
    <s v="Yes"/>
    <s v="No"/>
    <n v="0"/>
    <s v="No"/>
    <n v="9"/>
    <n v="2.4"/>
    <n v="14.3"/>
    <s v="Yes"/>
    <s v="Fair"/>
    <s v="Yes"/>
    <s v="Sales"/>
    <s v="Monday"/>
    <s v="Afternoon"/>
  </r>
  <r>
    <x v="2040"/>
    <s v="2024-05-06 18:40:06"/>
    <x v="8"/>
    <s v="2024-05-14 17:16:06"/>
    <x v="1551"/>
    <n v="7.9"/>
    <x v="6"/>
    <s v="Distribution List"/>
    <s v="Medium"/>
    <n v="240"/>
    <x v="1"/>
    <s v="Walk-in"/>
    <s v="Tier 1"/>
    <x v="16"/>
    <x v="2"/>
    <s v="No"/>
    <s v="No"/>
    <n v="1"/>
    <s v="No"/>
    <n v="8"/>
    <n v="0.1"/>
    <n v="49.5"/>
    <s v="Yes"/>
    <s v="Good"/>
    <s v="No"/>
    <s v="IT"/>
    <s v="Tuesday"/>
    <s v="Afternoon"/>
  </r>
  <r>
    <x v="2041"/>
    <s v="2024-01-09 08:21:08"/>
    <x v="3"/>
    <s v="2024-01-19 03:15:08"/>
    <x v="1552"/>
    <n v="9.8000000000000007"/>
    <x v="5"/>
    <s v="Documentation"/>
    <s v="Low"/>
    <n v="360"/>
    <x v="1"/>
    <s v="Portal"/>
    <s v="Tier 1"/>
    <x v="15"/>
    <x v="1"/>
    <s v="No"/>
    <s v="No"/>
    <n v="1"/>
    <s v="Yes"/>
    <n v="9"/>
    <n v="4.0999999999999996"/>
    <n v="27.6"/>
    <s v="No"/>
    <s v="Fair"/>
    <s v="No"/>
    <s v="Sales"/>
    <s v="Tuesday"/>
    <s v="Morning"/>
  </r>
  <r>
    <x v="2042"/>
    <s v="2024-02-19 20:25:30"/>
    <x v="6"/>
    <s v="2024-02-24 05:31:30"/>
    <x v="1553"/>
    <n v="4.4000000000000004"/>
    <x v="2"/>
    <s v="WiFi Issues"/>
    <s v="High"/>
    <n v="120"/>
    <x v="1"/>
    <s v="Phone"/>
    <s v="Tier 1"/>
    <x v="17"/>
    <x v="0"/>
    <s v="No"/>
    <s v="No"/>
    <n v="1"/>
    <s v="Yes"/>
    <n v="9"/>
    <n v="4.0999999999999996"/>
    <n v="22.7"/>
    <s v="Yes"/>
    <s v="Good"/>
    <s v="Yes"/>
    <s v="IT"/>
    <s v="Friday"/>
    <s v="Afternoon"/>
  </r>
  <r>
    <x v="2043"/>
    <s v="2024-03-29 18:58:50"/>
    <x v="5"/>
    <s v="2024-04-12 17:52:50"/>
    <x v="1554"/>
    <n v="13.9"/>
    <x v="4"/>
    <s v="Login Issues"/>
    <s v="Low"/>
    <n v="360"/>
    <x v="1"/>
    <s v="Chat"/>
    <s v="Tier 2"/>
    <x v="23"/>
    <x v="0"/>
    <s v="No"/>
    <s v="Yes"/>
    <n v="2"/>
    <s v="No"/>
    <n v="9"/>
    <n v="1.9"/>
    <n v="5.4"/>
    <s v="Yes"/>
    <s v="Good"/>
    <s v="No"/>
    <s v="Executive"/>
    <s v="Thursday"/>
    <s v="Morning"/>
  </r>
  <r>
    <x v="2044"/>
    <s v="2024-07-27 00:51:02"/>
    <x v="4"/>
    <s v="2024-08-01 07:03:02"/>
    <x v="966"/>
    <n v="4.3"/>
    <x v="4"/>
    <s v="Crash"/>
    <s v="High"/>
    <n v="120"/>
    <x v="1"/>
    <s v="Email"/>
    <s v="Tier 2"/>
    <x v="21"/>
    <x v="0"/>
    <s v="No"/>
    <s v="Yes"/>
    <n v="4"/>
    <s v="No"/>
    <n v="10"/>
    <n v="4.4000000000000004"/>
    <n v="20.9"/>
    <s v="Yes"/>
    <s v="Fair"/>
    <s v="Yes"/>
    <s v="Executive"/>
    <s v="Monday"/>
    <s v="Morning"/>
  </r>
  <r>
    <x v="2045"/>
    <s v="2024-05-14 03:48:42"/>
    <x v="8"/>
    <s v="2024-05-24 20:30:42"/>
    <x v="1555"/>
    <n v="10.7"/>
    <x v="2"/>
    <s v="Ethernet"/>
    <s v="High"/>
    <n v="120"/>
    <x v="0"/>
    <s v="Email"/>
    <s v="Tier 1"/>
    <x v="17"/>
    <x v="1"/>
    <s v="No"/>
    <s v="No"/>
    <n v="1"/>
    <s v="No"/>
    <n v="9"/>
    <n v="1"/>
    <n v="11.5"/>
    <s v="Yes"/>
    <s v="Fair"/>
    <s v="Yes"/>
    <s v="IT"/>
    <s v="Tuesday"/>
    <s v="Afternoon"/>
  </r>
  <r>
    <x v="2046"/>
    <s v="2024-08-14 10:30:05"/>
    <x v="1"/>
    <s v="2024-08-21 14:30:05"/>
    <x v="45"/>
    <n v="7.2"/>
    <x v="6"/>
    <s v="Distribution List"/>
    <s v="Medium"/>
    <n v="240"/>
    <x v="1"/>
    <s v="Phone"/>
    <s v="Tier 1"/>
    <x v="17"/>
    <x v="2"/>
    <s v="Yes"/>
    <s v="No"/>
    <n v="0"/>
    <s v="No"/>
    <n v="10"/>
    <n v="1"/>
    <n v="23.1"/>
    <s v="No"/>
    <s v="Fair"/>
    <s v="No"/>
    <s v="HR"/>
    <s v="Thursday"/>
    <s v="Evening"/>
  </r>
  <r>
    <x v="2047"/>
    <s v="2024-03-19 09:24:47"/>
    <x v="5"/>
    <s v="2024-04-14 17:54:47"/>
    <x v="1556"/>
    <n v="26.3"/>
    <x v="7"/>
    <s v="Drivers"/>
    <s v="Medium"/>
    <n v="240"/>
    <x v="0"/>
    <s v="Phone"/>
    <s v="Tier 1"/>
    <x v="7"/>
    <x v="2"/>
    <s v="No"/>
    <s v="No"/>
    <n v="1"/>
    <s v="No"/>
    <n v="5"/>
    <n v="3.4"/>
    <n v="27.5"/>
    <s v="Yes"/>
    <s v="Fair"/>
    <s v="Yes"/>
    <s v="Executive"/>
    <s v="Thursday"/>
    <s v="Morning"/>
  </r>
  <r>
    <x v="2048"/>
    <s v="2024-07-11 02:05:09"/>
    <x v="4"/>
    <s v="2024-07-22 22:53:09"/>
    <x v="1557"/>
    <n v="10.9"/>
    <x v="3"/>
    <s v="Account Unlock"/>
    <s v="Low"/>
    <n v="360"/>
    <x v="1"/>
    <s v="Email"/>
    <s v="Tier 1"/>
    <x v="13"/>
    <x v="1"/>
    <s v="No"/>
    <s v="No"/>
    <n v="1"/>
    <s v="No"/>
    <n v="8"/>
    <n v="3"/>
    <n v="2.9"/>
    <s v="Yes"/>
    <s v="Fair"/>
    <s v="Yes"/>
    <s v="Finance"/>
    <s v="Thursday"/>
    <s v="Afternoon"/>
  </r>
  <r>
    <x v="2049"/>
    <s v="2024-02-10 09:38:06"/>
    <x v="6"/>
    <s v="2024-02-15 15:44:06"/>
    <x v="1558"/>
    <n v="5.3"/>
    <x v="2"/>
    <s v="Ethernet"/>
    <s v="High"/>
    <n v="120"/>
    <x v="0"/>
    <s v="Portal"/>
    <s v="Tier 1"/>
    <x v="14"/>
    <x v="2"/>
    <s v="No"/>
    <s v="No"/>
    <n v="1"/>
    <s v="Yes"/>
    <n v="5"/>
    <n v="3.5"/>
    <n v="36.799999999999997"/>
    <s v="No"/>
    <s v="Fair"/>
    <s v="No"/>
    <s v="Sales"/>
    <s v="Thursday"/>
    <s v="Morning"/>
  </r>
  <r>
    <x v="2050"/>
    <s v="2024-06-18 21:22:19"/>
    <x v="10"/>
    <s v="2024-06-26 01:46:19"/>
    <x v="1559"/>
    <n v="8.1999999999999993"/>
    <x v="1"/>
    <s v="Monitor"/>
    <s v="Medium"/>
    <n v="240"/>
    <x v="1"/>
    <s v="Walk-in"/>
    <s v="Tier 1"/>
    <x v="6"/>
    <x v="1"/>
    <s v="No"/>
    <s v="No"/>
    <n v="1"/>
    <s v="Yes"/>
    <n v="7"/>
    <n v="5.2"/>
    <n v="8.1999999999999993"/>
    <s v="No"/>
    <s v="Poor"/>
    <s v="Yes"/>
    <s v="Sales"/>
    <s v="Monday"/>
    <s v="Afternoon"/>
  </r>
  <r>
    <x v="2051"/>
    <s v="2024-03-06 09:11:04"/>
    <x v="5"/>
    <s v="2024-03-14 06:47:04"/>
    <x v="1560"/>
    <n v="7.9"/>
    <x v="4"/>
    <s v="Performance"/>
    <s v="Medium"/>
    <n v="240"/>
    <x v="1"/>
    <s v="Portal"/>
    <s v="Tier 1"/>
    <x v="14"/>
    <x v="2"/>
    <s v="Yes"/>
    <s v="No"/>
    <n v="0"/>
    <s v="No"/>
    <n v="10"/>
    <n v="2.7"/>
    <n v="11.4"/>
    <s v="Yes"/>
    <s v="Good"/>
    <s v="Yes"/>
    <s v="Marketing"/>
    <s v="Monday"/>
    <s v="Evening"/>
  </r>
  <r>
    <x v="2052"/>
    <s v="2024-10-03 05:44:47"/>
    <x v="2"/>
    <s v="2024-10-22 15:14:47"/>
    <x v="1561"/>
    <n v="19.399999999999999"/>
    <x v="3"/>
    <s v="Application Password"/>
    <s v="Low"/>
    <n v="360"/>
    <x v="0"/>
    <s v="Email"/>
    <s v="Tier 1"/>
    <x v="11"/>
    <x v="2"/>
    <s v="Yes"/>
    <s v="No"/>
    <n v="0"/>
    <s v="No"/>
    <n v="8"/>
    <n v="3.7"/>
    <n v="22.3"/>
    <s v="No"/>
    <s v="Fair"/>
    <s v="No"/>
    <s v="Marketing"/>
    <s v="Friday"/>
    <s v="Evening"/>
  </r>
  <r>
    <x v="2053"/>
    <s v="2024-02-16 17:25:20"/>
    <x v="6"/>
    <s v="2024-02-22 07:49:20"/>
    <x v="2"/>
    <n v="5.6"/>
    <x v="6"/>
    <s v="Mailbox Full"/>
    <s v="High"/>
    <n v="120"/>
    <x v="0"/>
    <s v="Email"/>
    <s v="Tier 1"/>
    <x v="6"/>
    <x v="0"/>
    <s v="No"/>
    <s v="No"/>
    <n v="1"/>
    <s v="No"/>
    <n v="5"/>
    <n v="4.3"/>
    <n v="19.3"/>
    <s v="No"/>
    <s v="Good"/>
    <s v="Yes"/>
    <s v="Operations"/>
    <s v="Friday"/>
    <s v="Afternoon"/>
  </r>
  <r>
    <x v="2054"/>
    <s v="2024-01-17 22:39:47"/>
    <x v="3"/>
    <s v="2024-01-29 20:51:47"/>
    <x v="1562"/>
    <n v="11.9"/>
    <x v="3"/>
    <s v="Application Password"/>
    <s v="Low"/>
    <n v="360"/>
    <x v="1"/>
    <s v="Phone"/>
    <s v="Tier 1"/>
    <x v="14"/>
    <x v="1"/>
    <s v="Yes"/>
    <s v="No"/>
    <n v="0"/>
    <s v="No"/>
    <n v="10"/>
    <n v="3.4"/>
    <n v="0"/>
    <s v="Yes"/>
    <s v="Fair"/>
    <s v="No"/>
    <s v="Finance"/>
    <s v="Monday"/>
    <s v="Afternoon"/>
  </r>
  <r>
    <x v="2055"/>
    <s v="2024-05-27 13:04:50"/>
    <x v="8"/>
    <s v="2024-06-18 16:04:50"/>
    <x v="1563"/>
    <n v="22.1"/>
    <x v="3"/>
    <s v="Account Unlock"/>
    <s v="Medium"/>
    <n v="240"/>
    <x v="0"/>
    <s v="Email"/>
    <s v="Tier 1"/>
    <x v="18"/>
    <x v="1"/>
    <s v="No"/>
    <s v="No"/>
    <n v="1"/>
    <s v="No"/>
    <n v="7"/>
    <n v="0.1"/>
    <n v="0"/>
    <s v="No"/>
    <s v="Excellent"/>
    <s v="Yes"/>
    <s v="Sales"/>
    <s v="Tuesday"/>
    <s v="Morning"/>
  </r>
  <r>
    <x v="2056"/>
    <s v="2024-06-30 21:04:20"/>
    <x v="10"/>
    <s v="2024-07-09 10:40:20"/>
    <x v="792"/>
    <n v="8.6"/>
    <x v="4"/>
    <s v="Features Not Working"/>
    <s v="Medium"/>
    <n v="240"/>
    <x v="1"/>
    <s v="Email"/>
    <s v="Tier 1"/>
    <x v="22"/>
    <x v="0"/>
    <s v="No"/>
    <s v="No"/>
    <n v="1"/>
    <s v="No"/>
    <n v="9"/>
    <n v="2.2000000000000002"/>
    <n v="11.3"/>
    <s v="Yes"/>
    <s v="Fair"/>
    <s v="Yes"/>
    <s v="Executive"/>
    <s v="Monday"/>
    <s v="Afternoon"/>
  </r>
  <r>
    <x v="2057"/>
    <s v="2024-09-23 05:03:50"/>
    <x v="9"/>
    <s v="2024-09-27 17:09:50"/>
    <x v="357"/>
    <n v="4.5"/>
    <x v="2"/>
    <s v="VPN Connection"/>
    <s v="High"/>
    <n v="120"/>
    <x v="1"/>
    <s v="Portal"/>
    <s v="Tier 1"/>
    <x v="20"/>
    <x v="1"/>
    <s v="No"/>
    <s v="No"/>
    <n v="1"/>
    <s v="Yes"/>
    <n v="8"/>
    <n v="0.1"/>
    <n v="25.7"/>
    <s v="Yes"/>
    <s v="Good"/>
    <s v="No"/>
    <s v="Marketing"/>
    <s v="Monday"/>
    <s v="Afternoon"/>
  </r>
  <r>
    <x v="2058"/>
    <s v="2024-06-06 10:58:31"/>
    <x v="10"/>
    <s v="2024-06-10 00:10:31"/>
    <x v="586"/>
    <n v="4.5999999999999996"/>
    <x v="4"/>
    <s v="Features Not Working"/>
    <s v="High"/>
    <n v="120"/>
    <x v="1"/>
    <s v="Phone"/>
    <s v="Tier 1"/>
    <x v="22"/>
    <x v="2"/>
    <s v="No"/>
    <s v="No"/>
    <n v="1"/>
    <s v="No"/>
    <n v="8"/>
    <n v="3.5"/>
    <n v="0"/>
    <s v="No"/>
    <s v="Fair"/>
    <s v="No"/>
    <s v="Executive"/>
    <s v="Monday"/>
    <s v="Afternoon"/>
  </r>
  <r>
    <x v="2059"/>
    <s v="2024-12-14 07:05:11"/>
    <x v="0"/>
    <s v="2024-12-17 08:11:11"/>
    <x v="101"/>
    <n v="3"/>
    <x v="0"/>
    <s v="Application Access"/>
    <s v="High"/>
    <n v="120"/>
    <x v="1"/>
    <s v="Email"/>
    <s v="Tier 1"/>
    <x v="7"/>
    <x v="0"/>
    <s v="Yes"/>
    <s v="No"/>
    <n v="0"/>
    <s v="Yes"/>
    <n v="10"/>
    <n v="2.2999999999999998"/>
    <n v="25.6"/>
    <s v="No"/>
    <s v="Good"/>
    <s v="Yes"/>
    <s v="HR"/>
    <s v="Wednesday"/>
    <s v="Afternoon"/>
  </r>
  <r>
    <x v="2060"/>
    <s v="2024-03-31 19:50:33"/>
    <x v="5"/>
    <s v="2024-04-07 02:26:33"/>
    <x v="1564"/>
    <n v="7.3"/>
    <x v="2"/>
    <s v="Slow Network"/>
    <s v="High"/>
    <n v="120"/>
    <x v="0"/>
    <s v="Email"/>
    <s v="Tier 1"/>
    <x v="0"/>
    <x v="0"/>
    <s v="Yes"/>
    <s v="No"/>
    <n v="0"/>
    <s v="No"/>
    <n v="5"/>
    <n v="5.4"/>
    <n v="29.3"/>
    <s v="Yes"/>
    <s v="Good"/>
    <s v="Yes"/>
    <s v="IT"/>
    <s v="Friday"/>
    <s v="Afternoon"/>
  </r>
  <r>
    <x v="2061"/>
    <s v="2024-02-15 02:09:07"/>
    <x v="6"/>
    <s v="2024-02-21 08:21:07"/>
    <x v="1178"/>
    <n v="6.3"/>
    <x v="7"/>
    <s v="Drivers"/>
    <s v="Medium"/>
    <n v="240"/>
    <x v="1"/>
    <s v="Phone"/>
    <s v="Tier 1"/>
    <x v="10"/>
    <x v="1"/>
    <s v="Yes"/>
    <s v="No"/>
    <n v="0"/>
    <s v="No"/>
    <n v="10"/>
    <n v="4.2"/>
    <n v="31.9"/>
    <s v="Yes"/>
    <s v="Fair"/>
    <s v="No"/>
    <s v="Executive"/>
    <s v="Monday"/>
    <s v="Morning"/>
  </r>
  <r>
    <x v="2062"/>
    <s v="2024-08-21 09:00:26"/>
    <x v="1"/>
    <s v="2024-08-30 13:24:26"/>
    <x v="246"/>
    <n v="9.1999999999999993"/>
    <x v="4"/>
    <s v="Login Issues"/>
    <s v="Low"/>
    <n v="360"/>
    <x v="1"/>
    <s v="Phone"/>
    <s v="Tier 2"/>
    <x v="7"/>
    <x v="0"/>
    <s v="No"/>
    <s v="Yes"/>
    <n v="3"/>
    <s v="No"/>
    <n v="7"/>
    <n v="5.0999999999999996"/>
    <n v="18.5"/>
    <s v="Yes"/>
    <s v="Good"/>
    <s v="Yes"/>
    <s v="HR"/>
    <s v="Friday"/>
    <s v="Morning"/>
  </r>
  <r>
    <x v="2063"/>
    <s v="2024-07-09 03:19:23"/>
    <x v="4"/>
    <s v="2024-07-28 02:37:23"/>
    <x v="1565"/>
    <n v="20"/>
    <x v="5"/>
    <s v="Training Request"/>
    <s v="Medium"/>
    <n v="240"/>
    <x v="0"/>
    <s v="Email"/>
    <s v="Tier 1"/>
    <x v="23"/>
    <x v="1"/>
    <s v="Yes"/>
    <s v="No"/>
    <n v="0"/>
    <s v="No"/>
    <n v="7"/>
    <n v="4.7"/>
    <n v="29.6"/>
    <s v="Yes"/>
    <s v="Good"/>
    <s v="No"/>
    <s v="Executive"/>
    <s v="Friday"/>
    <s v="Morning"/>
  </r>
  <r>
    <x v="2064"/>
    <s v="2024-11-27 10:59:33"/>
    <x v="7"/>
    <s v="2024-12-03 12:05:33"/>
    <x v="1263"/>
    <n v="6"/>
    <x v="0"/>
    <s v="VPN Access"/>
    <s v="Medium"/>
    <n v="240"/>
    <x v="1"/>
    <s v="Portal"/>
    <s v="Tier 1"/>
    <x v="21"/>
    <x v="1"/>
    <s v="Yes"/>
    <s v="No"/>
    <n v="0"/>
    <s v="No"/>
    <n v="7"/>
    <n v="0.1"/>
    <n v="0"/>
    <s v="Yes"/>
    <s v="Good"/>
    <s v="No"/>
    <s v="Legal"/>
    <s v="Friday"/>
    <s v="Morning"/>
  </r>
  <r>
    <x v="2065"/>
    <s v="2024-02-28 05:11:33"/>
    <x v="6"/>
    <s v="2024-03-03 18:17:33"/>
    <x v="1566"/>
    <n v="4.5"/>
    <x v="4"/>
    <s v="Crash"/>
    <s v="High"/>
    <n v="120"/>
    <x v="1"/>
    <s v="Email"/>
    <s v="Tier 1"/>
    <x v="12"/>
    <x v="1"/>
    <s v="No"/>
    <s v="No"/>
    <n v="1"/>
    <s v="No"/>
    <n v="9"/>
    <n v="0.5"/>
    <n v="7.1"/>
    <s v="No"/>
    <s v="Fair"/>
    <s v="No"/>
    <s v="Operations"/>
    <s v="Friday"/>
    <s v="Afternoon"/>
  </r>
  <r>
    <x v="2066"/>
    <s v="2024-06-24 01:02:27"/>
    <x v="10"/>
    <s v="2024-07-08 12:20:27"/>
    <x v="1567"/>
    <n v="13.5"/>
    <x v="3"/>
    <s v="Account Unlock"/>
    <s v="Low"/>
    <n v="360"/>
    <x v="1"/>
    <s v="Chat"/>
    <s v="Tier 1"/>
    <x v="14"/>
    <x v="2"/>
    <s v="Yes"/>
    <s v="No"/>
    <n v="0"/>
    <s v="Yes"/>
    <n v="8"/>
    <n v="1.9"/>
    <n v="32.799999999999997"/>
    <s v="Yes"/>
    <s v="Poor"/>
    <s v="No"/>
    <s v="Finance"/>
    <s v="Wednesday"/>
    <s v="Morning"/>
  </r>
  <r>
    <x v="2067"/>
    <s v="2024-01-09 14:25:10"/>
    <x v="3"/>
    <s v="2024-01-17 19:31:10"/>
    <x v="1021"/>
    <n v="8.1999999999999993"/>
    <x v="7"/>
    <s v="VPN Client"/>
    <s v="Medium"/>
    <n v="240"/>
    <x v="1"/>
    <s v="Portal"/>
    <s v="Tier 2"/>
    <x v="22"/>
    <x v="0"/>
    <s v="No"/>
    <s v="Yes"/>
    <n v="3"/>
    <s v="No"/>
    <n v="10"/>
    <n v="4.0999999999999996"/>
    <n v="24.8"/>
    <s v="Yes"/>
    <s v="Fair"/>
    <s v="Yes"/>
    <s v="IT"/>
    <s v="Thursday"/>
    <s v="Morning"/>
  </r>
  <r>
    <x v="2068"/>
    <s v="2024-06-24 01:36:19"/>
    <x v="10"/>
    <s v="2024-07-01 09:30:19"/>
    <x v="969"/>
    <n v="6.3"/>
    <x v="2"/>
    <s v="WiFi Issues"/>
    <s v="High"/>
    <n v="120"/>
    <x v="0"/>
    <s v="Phone"/>
    <s v="Tier 2"/>
    <x v="22"/>
    <x v="1"/>
    <s v="No"/>
    <s v="Yes"/>
    <n v="2"/>
    <s v="No"/>
    <n v="5"/>
    <n v="1.2"/>
    <n v="50.8"/>
    <s v="Yes"/>
    <s v="Fair"/>
    <s v="Yes"/>
    <s v="Legal"/>
    <s v="Wednesday"/>
    <s v="Morning"/>
  </r>
  <r>
    <x v="2069"/>
    <s v="2024-01-28 00:36:45"/>
    <x v="3"/>
    <s v="2024-02-10 13:36:45"/>
    <x v="1435"/>
    <n v="12.5"/>
    <x v="3"/>
    <s v="Account Unlock"/>
    <s v="Low"/>
    <n v="360"/>
    <x v="1"/>
    <s v="Portal"/>
    <s v="Tier 1"/>
    <x v="19"/>
    <x v="1"/>
    <s v="Yes"/>
    <s v="No"/>
    <n v="0"/>
    <s v="No"/>
    <n v="6"/>
    <n v="2.8"/>
    <n v="29.2"/>
    <s v="Yes"/>
    <s v="Poor"/>
    <s v="Yes"/>
    <s v="Executive"/>
    <s v="Wednesday"/>
    <s v="Morning"/>
  </r>
  <r>
    <x v="2070"/>
    <s v="2024-12-03 20:53:37"/>
    <x v="0"/>
    <s v="2024-12-08 12:53:37"/>
    <x v="1568"/>
    <n v="4.7"/>
    <x v="4"/>
    <s v="Login Issues"/>
    <s v="High"/>
    <n v="120"/>
    <x v="1"/>
    <s v="Portal"/>
    <s v="Tier 1"/>
    <x v="0"/>
    <x v="2"/>
    <s v="No"/>
    <s v="No"/>
    <n v="1"/>
    <s v="Yes"/>
    <n v="9"/>
    <n v="1.4"/>
    <n v="32.299999999999997"/>
    <s v="Yes"/>
    <s v="Good"/>
    <s v="No"/>
    <s v="Finance"/>
    <s v="Tuesday"/>
    <s v="Morning"/>
  </r>
  <r>
    <x v="2071"/>
    <s v="2024-03-01 17:27:05"/>
    <x v="5"/>
    <s v="2024-03-12 10:51:05"/>
    <x v="1569"/>
    <n v="10.7"/>
    <x v="6"/>
    <s v="Mailbox Full"/>
    <s v="High"/>
    <n v="120"/>
    <x v="0"/>
    <s v="Phone"/>
    <s v="Tier 1"/>
    <x v="7"/>
    <x v="1"/>
    <s v="Yes"/>
    <s v="No"/>
    <n v="0"/>
    <s v="No"/>
    <n v="6"/>
    <n v="1.2"/>
    <n v="23.8"/>
    <s v="Yes"/>
    <s v="Poor"/>
    <s v="No"/>
    <s v="HR"/>
    <s v="Tuesday"/>
    <s v="Afternoon"/>
  </r>
  <r>
    <x v="2072"/>
    <s v="2024-07-20 21:43:05"/>
    <x v="4"/>
    <s v="2024-08-29 01:55:05"/>
    <x v="1570"/>
    <n v="40.200000000000003"/>
    <x v="5"/>
    <s v="Documentation"/>
    <s v="Low"/>
    <n v="360"/>
    <x v="0"/>
    <s v="Phone"/>
    <s v="Tier 1"/>
    <x v="20"/>
    <x v="1"/>
    <s v="No"/>
    <s v="No"/>
    <n v="1"/>
    <s v="No"/>
    <n v="3"/>
    <n v="0.2"/>
    <n v="11.6"/>
    <s v="No"/>
    <s v="Fair"/>
    <s v="Yes"/>
    <s v="Executive"/>
    <s v="Friday"/>
    <s v="Morning"/>
  </r>
  <r>
    <x v="2073"/>
    <s v="2024-07-09 19:19:37"/>
    <x v="4"/>
    <s v="2024-07-16 02:55:37"/>
    <x v="731"/>
    <n v="7.3"/>
    <x v="3"/>
    <s v="Application Password"/>
    <s v="Medium"/>
    <n v="240"/>
    <x v="1"/>
    <s v="Walk-in"/>
    <s v="Tier 2"/>
    <x v="0"/>
    <x v="2"/>
    <s v="No"/>
    <s v="Yes"/>
    <n v="3"/>
    <s v="No"/>
    <n v="8"/>
    <n v="1.8"/>
    <n v="30.2"/>
    <s v="Yes"/>
    <s v="Good"/>
    <s v="Yes"/>
    <s v="HR"/>
    <s v="Monday"/>
    <s v="Morning"/>
  </r>
  <r>
    <x v="2074"/>
    <s v="2024-10-19 15:35:13"/>
    <x v="2"/>
    <s v="2024-11-03 06:17:13"/>
    <x v="1571"/>
    <n v="14.7"/>
    <x v="6"/>
    <s v="Mailbox Full"/>
    <s v="Medium"/>
    <n v="240"/>
    <x v="0"/>
    <s v="Phone"/>
    <s v="Tier 1"/>
    <x v="11"/>
    <x v="1"/>
    <s v="No"/>
    <s v="No"/>
    <n v="1"/>
    <s v="No"/>
    <n v="6"/>
    <n v="3.9"/>
    <n v="12.8"/>
    <s v="Yes"/>
    <s v="Poor"/>
    <s v="Yes"/>
    <s v="Executive"/>
    <s v="Monday"/>
    <s v="Morning"/>
  </r>
  <r>
    <x v="2075"/>
    <s v="2024-02-07 11:21:41"/>
    <x v="6"/>
    <s v="2024-02-11 00:27:41"/>
    <x v="1566"/>
    <n v="4.5"/>
    <x v="6"/>
    <s v="Mailbox Full"/>
    <s v="High"/>
    <n v="120"/>
    <x v="1"/>
    <s v="Email"/>
    <s v="Tier 2"/>
    <x v="15"/>
    <x v="0"/>
    <s v="No"/>
    <s v="Yes"/>
    <n v="1"/>
    <s v="No"/>
    <n v="6"/>
    <n v="1.8"/>
    <n v="2.2000000000000002"/>
    <s v="Yes"/>
    <s v="Fair"/>
    <s v="Yes"/>
    <s v="Operations"/>
    <s v="Monday"/>
    <s v="Afternoon"/>
  </r>
  <r>
    <x v="2076"/>
    <s v="2024-04-25 15:36:05"/>
    <x v="11"/>
    <s v="2024-05-03 04:48:05"/>
    <x v="1572"/>
    <n v="7.6"/>
    <x v="1"/>
    <s v="Printer"/>
    <s v="Medium"/>
    <n v="240"/>
    <x v="1"/>
    <s v="Phone"/>
    <s v="Tier 2"/>
    <x v="24"/>
    <x v="1"/>
    <s v="No"/>
    <s v="Yes"/>
    <n v="1"/>
    <s v="Yes"/>
    <n v="10"/>
    <n v="2.2999999999999998"/>
    <n v="13.8"/>
    <s v="Yes"/>
    <s v="Poor"/>
    <s v="Yes"/>
    <s v="Sales"/>
    <s v="Tuesday"/>
    <s v="Afternoon"/>
  </r>
  <r>
    <x v="2077"/>
    <s v="2024-07-26 14:32:36"/>
    <x v="4"/>
    <s v="2024-08-06 11:44:36"/>
    <x v="1573"/>
    <n v="10.9"/>
    <x v="2"/>
    <s v="Ethernet"/>
    <s v="Medium"/>
    <n v="240"/>
    <x v="0"/>
    <s v="Chat"/>
    <s v="Tier 1"/>
    <x v="24"/>
    <x v="0"/>
    <s v="No"/>
    <s v="No"/>
    <n v="1"/>
    <s v="No"/>
    <n v="4"/>
    <n v="1.1000000000000001"/>
    <n v="0"/>
    <s v="No"/>
    <s v="Fair"/>
    <s v="No"/>
    <s v="Finance"/>
    <s v="Friday"/>
    <s v="Afternoon"/>
  </r>
  <r>
    <x v="2078"/>
    <s v="2024-07-18 04:06:44"/>
    <x v="4"/>
    <s v="2024-08-05 04:36:44"/>
    <x v="1574"/>
    <n v="18"/>
    <x v="5"/>
    <s v="Miscellaneous"/>
    <s v="Medium"/>
    <n v="240"/>
    <x v="0"/>
    <s v="Portal"/>
    <s v="Tier 1"/>
    <x v="24"/>
    <x v="1"/>
    <s v="No"/>
    <s v="No"/>
    <n v="1"/>
    <s v="No"/>
    <n v="3"/>
    <n v="0.1"/>
    <n v="6.1"/>
    <s v="Yes"/>
    <s v="Good"/>
    <s v="No"/>
    <s v="Sales"/>
    <s v="Thursday"/>
    <s v="Morning"/>
  </r>
  <r>
    <x v="2079"/>
    <s v="2024-08-06 06:36:32"/>
    <x v="1"/>
    <s v="2024-08-15 17:48:32"/>
    <x v="519"/>
    <n v="9.5"/>
    <x v="3"/>
    <s v="Email Password"/>
    <s v="Medium"/>
    <n v="240"/>
    <x v="1"/>
    <s v="Phone"/>
    <s v="Tier 1"/>
    <x v="12"/>
    <x v="2"/>
    <s v="No"/>
    <s v="No"/>
    <n v="1"/>
    <s v="No"/>
    <n v="9"/>
    <n v="2.2999999999999998"/>
    <n v="17.100000000000001"/>
    <s v="Yes"/>
    <s v="Good"/>
    <s v="Yes"/>
    <s v="Executive"/>
    <s v="Thursday"/>
    <s v="Evening"/>
  </r>
  <r>
    <x v="2080"/>
    <s v="2024-10-17 21:16:24"/>
    <x v="2"/>
    <s v="2024-10-26 06:28:24"/>
    <x v="591"/>
    <n v="8.4"/>
    <x v="5"/>
    <s v="Documentation"/>
    <s v="Medium"/>
    <n v="240"/>
    <x v="1"/>
    <s v="Portal"/>
    <s v="Tier 1"/>
    <x v="6"/>
    <x v="0"/>
    <s v="No"/>
    <s v="No"/>
    <n v="1"/>
    <s v="Yes"/>
    <n v="10"/>
    <n v="2.9"/>
    <n v="22.3"/>
    <s v="Yes"/>
    <s v="Fair"/>
    <s v="No"/>
    <s v="Finance"/>
    <s v="Monday"/>
    <s v="Afternoon"/>
  </r>
  <r>
    <x v="2081"/>
    <s v="2024-05-25 13:45:07"/>
    <x v="8"/>
    <s v="2024-05-28 16:03:07"/>
    <x v="1575"/>
    <n v="3.1"/>
    <x v="1"/>
    <s v="Printer"/>
    <s v="High"/>
    <n v="120"/>
    <x v="1"/>
    <s v="Email"/>
    <s v="Tier 1"/>
    <x v="4"/>
    <x v="0"/>
    <s v="No"/>
    <s v="No"/>
    <n v="1"/>
    <s v="Yes"/>
    <n v="8"/>
    <n v="6.1"/>
    <n v="13.5"/>
    <s v="Yes"/>
    <s v="Fair"/>
    <s v="No"/>
    <s v="Marketing"/>
    <s v="Monday"/>
    <s v="Morning"/>
  </r>
  <r>
    <x v="2082"/>
    <s v="2024-05-17 01:09:02"/>
    <x v="8"/>
    <s v="2024-05-31 23:51:02"/>
    <x v="1576"/>
    <n v="13.9"/>
    <x v="7"/>
    <s v="Drivers"/>
    <s v="Medium"/>
    <n v="240"/>
    <x v="0"/>
    <s v="Email"/>
    <s v="Tier 2"/>
    <x v="22"/>
    <x v="2"/>
    <s v="No"/>
    <s v="Yes"/>
    <n v="2"/>
    <s v="Yes"/>
    <n v="6"/>
    <n v="2.2999999999999998"/>
    <n v="24.1"/>
    <s v="No"/>
    <s v="Good"/>
    <s v="Yes"/>
    <s v="Finance"/>
    <s v="Tuesday"/>
    <s v="Morning"/>
  </r>
  <r>
    <x v="2083"/>
    <s v="2024-10-17 18:55:49"/>
    <x v="2"/>
    <s v="2024-10-24 09:07:49"/>
    <x v="398"/>
    <n v="6.6"/>
    <x v="0"/>
    <s v="File Share"/>
    <s v="Medium"/>
    <n v="240"/>
    <x v="1"/>
    <s v="Phone"/>
    <s v="Tier 1"/>
    <x v="17"/>
    <x v="1"/>
    <s v="Yes"/>
    <s v="No"/>
    <n v="0"/>
    <s v="No"/>
    <n v="7"/>
    <n v="1.9"/>
    <n v="35.200000000000003"/>
    <s v="No"/>
    <s v="Fair"/>
    <s v="Yes"/>
    <s v="Marketing"/>
    <s v="Friday"/>
    <s v="Morning"/>
  </r>
  <r>
    <x v="2084"/>
    <s v="2024-11-27 11:56:28"/>
    <x v="7"/>
    <s v="2024-12-06 20:26:28"/>
    <x v="459"/>
    <n v="9.4"/>
    <x v="2"/>
    <s v="Ethernet"/>
    <s v="Medium"/>
    <n v="240"/>
    <x v="1"/>
    <s v="Phone"/>
    <s v="Tier 1"/>
    <x v="10"/>
    <x v="2"/>
    <s v="Yes"/>
    <s v="No"/>
    <n v="0"/>
    <s v="Yes"/>
    <n v="10"/>
    <n v="0.9"/>
    <n v="24"/>
    <s v="Yes"/>
    <s v="Fair"/>
    <s v="No"/>
    <s v="IT"/>
    <s v="Thursday"/>
    <s v="Afternoon"/>
  </r>
  <r>
    <x v="2085"/>
    <s v="2024-10-03 20:49:34"/>
    <x v="2"/>
    <s v="2024-10-14 05:01:34"/>
    <x v="1577"/>
    <n v="10.3"/>
    <x v="7"/>
    <s v="Adobe Suite"/>
    <s v="Medium"/>
    <n v="240"/>
    <x v="0"/>
    <s v="Email"/>
    <s v="Tier 2"/>
    <x v="6"/>
    <x v="2"/>
    <s v="No"/>
    <s v="Yes"/>
    <n v="4"/>
    <s v="No"/>
    <n v="7"/>
    <n v="2.4"/>
    <n v="7.2"/>
    <s v="Yes"/>
    <s v="Good"/>
    <s v="Yes"/>
    <s v="Marketing"/>
    <s v="Monday"/>
    <s v="Afternoon"/>
  </r>
  <r>
    <x v="2086"/>
    <s v="2024-01-19 00:57:35"/>
    <x v="3"/>
    <s v="2024-01-29 20:33:35"/>
    <x v="1578"/>
    <n v="9.8000000000000007"/>
    <x v="3"/>
    <s v="Application Password"/>
    <s v="Low"/>
    <n v="360"/>
    <x v="1"/>
    <s v="Phone"/>
    <s v="Tier 1"/>
    <x v="6"/>
    <x v="2"/>
    <s v="Yes"/>
    <s v="No"/>
    <n v="0"/>
    <s v="No"/>
    <n v="10"/>
    <n v="3.7"/>
    <n v="4.7"/>
    <s v="Yes"/>
    <s v="Poor"/>
    <s v="No"/>
    <s v="HR"/>
    <s v="Friday"/>
    <s v="Afternoon"/>
  </r>
  <r>
    <x v="2087"/>
    <s v="2024-10-17 10:00:54"/>
    <x v="2"/>
    <s v="2024-10-28 01:18:54"/>
    <x v="1579"/>
    <n v="11.7"/>
    <x v="3"/>
    <s v="Windows Password"/>
    <s v="Low"/>
    <n v="360"/>
    <x v="1"/>
    <s v="Phone"/>
    <s v="Tier 1"/>
    <x v="12"/>
    <x v="2"/>
    <s v="Yes"/>
    <s v="No"/>
    <n v="0"/>
    <s v="No"/>
    <n v="10"/>
    <n v="1.6"/>
    <n v="48.3"/>
    <s v="Yes"/>
    <s v="Poor"/>
    <s v="Yes"/>
    <s v="Finance"/>
    <s v="Wednesday"/>
    <s v="Afternoon"/>
  </r>
  <r>
    <x v="2088"/>
    <s v="2024-04-24 21:48:16"/>
    <x v="11"/>
    <s v="2024-05-06 21:18:16"/>
    <x v="1259"/>
    <n v="12"/>
    <x v="7"/>
    <s v="Business Apps"/>
    <s v="Medium"/>
    <n v="240"/>
    <x v="0"/>
    <s v="Phone"/>
    <s v="Tier 1"/>
    <x v="1"/>
    <x v="1"/>
    <s v="No"/>
    <s v="No"/>
    <n v="1"/>
    <s v="Yes"/>
    <n v="8"/>
    <n v="2"/>
    <n v="0"/>
    <s v="No"/>
    <s v="Fair"/>
    <s v="Yes"/>
    <s v="Sales"/>
    <s v="Thursday"/>
    <s v="Evening"/>
  </r>
  <r>
    <x v="2089"/>
    <s v="2024-07-26 23:07:28"/>
    <x v="4"/>
    <s v="2024-08-05 08:49:28"/>
    <x v="25"/>
    <n v="9.4"/>
    <x v="0"/>
    <s v="Application Access"/>
    <s v="Medium"/>
    <n v="240"/>
    <x v="1"/>
    <s v="Walk-in"/>
    <s v="Tier 1"/>
    <x v="9"/>
    <x v="1"/>
    <s v="Yes"/>
    <s v="No"/>
    <n v="0"/>
    <s v="No"/>
    <n v="10"/>
    <n v="3"/>
    <n v="10.199999999999999"/>
    <s v="No"/>
    <s v="Poor"/>
    <s v="No"/>
    <s v="Marketing"/>
    <s v="Monday"/>
    <s v="Morning"/>
  </r>
  <r>
    <x v="2090"/>
    <s v="2024-04-03 06:09:56"/>
    <x v="11"/>
    <s v="2024-04-06 21:45:56"/>
    <x v="511"/>
    <n v="3.7"/>
    <x v="0"/>
    <s v="VPN Access"/>
    <s v="High"/>
    <n v="120"/>
    <x v="1"/>
    <s v="Portal"/>
    <s v="Tier 1"/>
    <x v="4"/>
    <x v="2"/>
    <s v="No"/>
    <s v="No"/>
    <n v="1"/>
    <s v="No"/>
    <n v="9"/>
    <n v="1.5"/>
    <n v="20.9"/>
    <s v="Yes"/>
    <s v="Good"/>
    <s v="Yes"/>
    <s v="Sales"/>
    <s v="Monday"/>
    <s v="Afternoon"/>
  </r>
  <r>
    <x v="2091"/>
    <s v="2024-05-25 09:58:19"/>
    <x v="8"/>
    <s v="2024-06-03 15:28:19"/>
    <x v="1580"/>
    <n v="9.1999999999999993"/>
    <x v="0"/>
    <s v="Admin Rights"/>
    <s v="Medium"/>
    <n v="240"/>
    <x v="1"/>
    <s v="Portal"/>
    <s v="Tier 1"/>
    <x v="12"/>
    <x v="1"/>
    <s v="Yes"/>
    <s v="No"/>
    <n v="0"/>
    <s v="No"/>
    <n v="10"/>
    <n v="1.8"/>
    <n v="0"/>
    <s v="Yes"/>
    <s v="Poor"/>
    <s v="Yes"/>
    <s v="Marketing"/>
    <s v="Friday"/>
    <s v="Afternoon"/>
  </r>
  <r>
    <x v="2092"/>
    <s v="2024-09-09 13:22:28"/>
    <x v="9"/>
    <s v="2024-09-22 19:40:28"/>
    <x v="1581"/>
    <n v="13.3"/>
    <x v="0"/>
    <s v="Admin Rights"/>
    <s v="Low"/>
    <n v="360"/>
    <x v="1"/>
    <s v="Phone"/>
    <s v="Tier 1"/>
    <x v="18"/>
    <x v="1"/>
    <s v="No"/>
    <s v="No"/>
    <n v="1"/>
    <s v="No"/>
    <n v="10"/>
    <n v="2.2999999999999998"/>
    <n v="0"/>
    <s v="No"/>
    <s v="Good"/>
    <s v="Yes"/>
    <s v="Operations"/>
    <s v="Monday"/>
    <s v="Morning"/>
  </r>
  <r>
    <x v="2093"/>
    <s v="2024-11-09 15:51:59"/>
    <x v="7"/>
    <s v="2024-11-16 15:57:59"/>
    <x v="232"/>
    <n v="7"/>
    <x v="6"/>
    <s v="Distribution List"/>
    <s v="Medium"/>
    <n v="240"/>
    <x v="1"/>
    <s v="Portal"/>
    <s v="Tier 1"/>
    <x v="14"/>
    <x v="2"/>
    <s v="No"/>
    <s v="No"/>
    <n v="1"/>
    <s v="No"/>
    <n v="9"/>
    <n v="3.5"/>
    <n v="7.3"/>
    <s v="Yes"/>
    <s v="Fair"/>
    <s v="Yes"/>
    <s v="Legal"/>
    <s v="Friday"/>
    <s v="Morning"/>
  </r>
  <r>
    <x v="2094"/>
    <s v="2024-08-05 09:02:05"/>
    <x v="1"/>
    <s v="2024-08-12 14:38:05"/>
    <x v="721"/>
    <n v="7.2"/>
    <x v="6"/>
    <s v="Cannot Send/Receive"/>
    <s v="Medium"/>
    <n v="240"/>
    <x v="1"/>
    <s v="Chat"/>
    <s v="Tier 1"/>
    <x v="21"/>
    <x v="2"/>
    <s v="No"/>
    <s v="No"/>
    <n v="1"/>
    <s v="No"/>
    <n v="8"/>
    <n v="3"/>
    <n v="0"/>
    <s v="Yes"/>
    <s v="Good"/>
    <s v="Yes"/>
    <s v="HR"/>
    <s v="Friday"/>
    <s v="Morning"/>
  </r>
  <r>
    <x v="2095"/>
    <s v="2024-04-19 17:30:20"/>
    <x v="11"/>
    <s v="2024-04-22 21:36:20"/>
    <x v="1220"/>
    <n v="3.2"/>
    <x v="4"/>
    <s v="Login Issues"/>
    <s v="High"/>
    <n v="120"/>
    <x v="1"/>
    <s v="Phone"/>
    <s v="Tier 2"/>
    <x v="17"/>
    <x v="0"/>
    <s v="No"/>
    <s v="Yes"/>
    <n v="1"/>
    <s v="No"/>
    <n v="10"/>
    <n v="2"/>
    <n v="5.0999999999999996"/>
    <s v="No"/>
    <s v="Poor"/>
    <s v="No"/>
    <s v="Finance"/>
    <s v="Tuesday"/>
    <s v="Afternoon"/>
  </r>
  <r>
    <x v="2096"/>
    <s v="2024-08-02 08:56:19"/>
    <x v="1"/>
    <s v="2024-08-14 17:38:19"/>
    <x v="1582"/>
    <n v="12.4"/>
    <x v="3"/>
    <s v="Account Unlock"/>
    <s v="Medium"/>
    <n v="240"/>
    <x v="0"/>
    <s v="Email"/>
    <s v="Tier 1"/>
    <x v="23"/>
    <x v="0"/>
    <s v="Yes"/>
    <s v="No"/>
    <n v="0"/>
    <s v="No"/>
    <n v="6"/>
    <n v="4.2"/>
    <n v="20.100000000000001"/>
    <s v="No"/>
    <s v="Poor"/>
    <s v="Yes"/>
    <s v="Finance"/>
    <s v="Monday"/>
    <s v="Afternoon"/>
  </r>
  <r>
    <x v="2097"/>
    <s v="2024-07-24 18:34:01"/>
    <x v="4"/>
    <s v="2024-07-30 04:04:01"/>
    <x v="461"/>
    <n v="5.4"/>
    <x v="1"/>
    <s v="Desktop"/>
    <s v="High"/>
    <n v="120"/>
    <x v="0"/>
    <s v="Phone"/>
    <s v="Tier 1"/>
    <x v="11"/>
    <x v="2"/>
    <s v="No"/>
    <s v="No"/>
    <n v="1"/>
    <s v="Yes"/>
    <n v="4"/>
    <n v="5.7"/>
    <n v="0"/>
    <s v="Yes"/>
    <s v="Fair"/>
    <s v="Yes"/>
    <s v="Marketing"/>
    <s v="Thursday"/>
    <s v="Afternoon"/>
  </r>
  <r>
    <x v="2098"/>
    <s v="2024-11-23 21:40:52"/>
    <x v="7"/>
    <s v="2024-11-27 16:16:52"/>
    <x v="1328"/>
    <n v="3.8"/>
    <x v="2"/>
    <s v="WiFi Issues"/>
    <s v="High"/>
    <n v="120"/>
    <x v="1"/>
    <s v="Walk-in"/>
    <s v="Tier 1"/>
    <x v="12"/>
    <x v="2"/>
    <s v="Yes"/>
    <s v="No"/>
    <n v="0"/>
    <s v="No"/>
    <n v="10"/>
    <n v="4.0999999999999996"/>
    <n v="0"/>
    <s v="Yes"/>
    <s v="Fair"/>
    <s v="Yes"/>
    <s v="Executive"/>
    <s v="Friday"/>
    <s v="Evening"/>
  </r>
  <r>
    <x v="2099"/>
    <s v="2024-12-01 02:52:15"/>
    <x v="0"/>
    <s v="2024-12-12 05:28:15"/>
    <x v="1583"/>
    <n v="11.1"/>
    <x v="0"/>
    <s v="Admin Rights"/>
    <s v="Medium"/>
    <n v="240"/>
    <x v="0"/>
    <s v="Phone"/>
    <s v="Tier 1"/>
    <x v="7"/>
    <x v="2"/>
    <s v="Yes"/>
    <s v="No"/>
    <n v="0"/>
    <s v="No"/>
    <n v="7"/>
    <n v="1.6"/>
    <n v="13.6"/>
    <s v="Yes"/>
    <s v="Excellent"/>
    <s v="No"/>
    <s v="IT"/>
    <s v="Monday"/>
    <s v="Afternoon"/>
  </r>
  <r>
    <x v="2100"/>
    <s v="2024-02-19 03:44:46"/>
    <x v="6"/>
    <s v="2024-02-22 00:08:46"/>
    <x v="601"/>
    <n v="3.9"/>
    <x v="4"/>
    <s v="Features Not Working"/>
    <s v="High"/>
    <n v="120"/>
    <x v="1"/>
    <s v="Chat"/>
    <s v="Tier 1"/>
    <x v="10"/>
    <x v="1"/>
    <s v="Yes"/>
    <s v="No"/>
    <n v="0"/>
    <s v="No"/>
    <n v="10"/>
    <n v="1.4"/>
    <n v="15.2"/>
    <s v="Yes"/>
    <s v="Fair"/>
    <s v="Yes"/>
    <s v="HR"/>
    <s v="Wednesday"/>
    <s v="Morning"/>
  </r>
  <r>
    <x v="2101"/>
    <s v="2024-04-20 01:47:34"/>
    <x v="11"/>
    <s v="2024-04-25 17:59:34"/>
    <x v="1584"/>
    <n v="4.7"/>
    <x v="2"/>
    <s v="Ethernet"/>
    <s v="High"/>
    <n v="120"/>
    <x v="1"/>
    <s v="Email"/>
    <s v="Tier 1"/>
    <x v="0"/>
    <x v="2"/>
    <s v="No"/>
    <s v="No"/>
    <n v="1"/>
    <s v="No"/>
    <n v="8"/>
    <n v="2.6"/>
    <n v="16.3"/>
    <s v="Yes"/>
    <s v="Fair"/>
    <s v="Yes"/>
    <s v="Finance"/>
    <s v="Monday"/>
    <s v="Afternoon"/>
  </r>
  <r>
    <x v="2102"/>
    <s v="2024-04-11 15:00:42"/>
    <x v="11"/>
    <s v="2024-04-20 09:06:42"/>
    <x v="1270"/>
    <n v="8.8000000000000007"/>
    <x v="1"/>
    <s v="Desktop"/>
    <s v="Medium"/>
    <n v="240"/>
    <x v="1"/>
    <s v="Portal"/>
    <s v="Tier 2"/>
    <x v="10"/>
    <x v="1"/>
    <s v="No"/>
    <s v="Yes"/>
    <n v="2"/>
    <s v="No"/>
    <n v="8"/>
    <n v="3.2"/>
    <n v="31.8"/>
    <s v="Yes"/>
    <s v="Poor"/>
    <s v="Yes"/>
    <s v="Operations"/>
    <s v="Friday"/>
    <s v="Morning"/>
  </r>
  <r>
    <x v="2103"/>
    <s v="2024-11-18 11:23:43"/>
    <x v="7"/>
    <s v="2024-11-26 00:35:43"/>
    <x v="1026"/>
    <n v="8.5"/>
    <x v="0"/>
    <s v="Admin Rights"/>
    <s v="Medium"/>
    <n v="240"/>
    <x v="1"/>
    <s v="Portal"/>
    <s v="Tier 1"/>
    <x v="17"/>
    <x v="0"/>
    <s v="Yes"/>
    <s v="No"/>
    <n v="0"/>
    <s v="No"/>
    <n v="9"/>
    <n v="3"/>
    <n v="12.6"/>
    <s v="Yes"/>
    <s v="Fair"/>
    <s v="Yes"/>
    <s v="IT"/>
    <s v="Tuesday"/>
    <s v="Evening"/>
  </r>
  <r>
    <x v="2104"/>
    <s v="2024-05-25 19:10:36"/>
    <x v="8"/>
    <s v="2024-06-10 04:28:36"/>
    <x v="1585"/>
    <n v="15.4"/>
    <x v="5"/>
    <s v="Miscellaneous"/>
    <s v="Low"/>
    <n v="360"/>
    <x v="0"/>
    <s v="Email"/>
    <s v="Tier 1"/>
    <x v="21"/>
    <x v="0"/>
    <s v="No"/>
    <s v="No"/>
    <n v="1"/>
    <s v="No"/>
    <n v="8"/>
    <n v="2.4"/>
    <n v="35"/>
    <s v="Yes"/>
    <s v="Poor"/>
    <s v="No"/>
    <s v="Operations"/>
    <s v="Thursday"/>
    <s v="Afternoon"/>
  </r>
  <r>
    <x v="2105"/>
    <s v="2024-09-12 10:39:46"/>
    <x v="9"/>
    <s v="2024-09-24 14:27:46"/>
    <x v="1586"/>
    <n v="12.2"/>
    <x v="3"/>
    <s v="Account Unlock"/>
    <s v="Low"/>
    <n v="360"/>
    <x v="1"/>
    <s v="Email"/>
    <s v="Tier 1"/>
    <x v="19"/>
    <x v="2"/>
    <s v="Yes"/>
    <s v="No"/>
    <n v="0"/>
    <s v="No"/>
    <n v="10"/>
    <n v="0.4"/>
    <n v="6.3"/>
    <s v="Yes"/>
    <s v="Fair"/>
    <s v="No"/>
    <s v="IT"/>
    <s v="Tuesday"/>
    <s v="Morning"/>
  </r>
  <r>
    <x v="2106"/>
    <s v="2024-12-18 21:30:25"/>
    <x v="0"/>
    <s v="2025-01-15 22:30:25"/>
    <x v="1587"/>
    <n v="28"/>
    <x v="7"/>
    <s v="MS Office"/>
    <s v="Medium"/>
    <n v="240"/>
    <x v="0"/>
    <s v="Email"/>
    <s v="Tier 2"/>
    <x v="13"/>
    <x v="2"/>
    <s v="No"/>
    <s v="Yes"/>
    <n v="1"/>
    <s v="No"/>
    <n v="8"/>
    <n v="4.0999999999999996"/>
    <n v="41.3"/>
    <s v="No"/>
    <s v="Excellent"/>
    <s v="Yes"/>
    <s v="Sales"/>
    <s v="Friday"/>
    <s v="Morning"/>
  </r>
  <r>
    <x v="2107"/>
    <s v="2024-06-27 02:56:21"/>
    <x v="10"/>
    <s v="2024-07-06 18:38:21"/>
    <x v="1588"/>
    <n v="8.6999999999999993"/>
    <x v="7"/>
    <s v="VPN Client"/>
    <s v="Medium"/>
    <n v="240"/>
    <x v="1"/>
    <s v="Email"/>
    <s v="Tier 1"/>
    <x v="2"/>
    <x v="2"/>
    <s v="No"/>
    <s v="No"/>
    <n v="1"/>
    <s v="No"/>
    <n v="9"/>
    <n v="2.9"/>
    <n v="24.7"/>
    <s v="No"/>
    <s v="Fair"/>
    <s v="Yes"/>
    <s v="Operations"/>
    <s v="Wednesday"/>
    <s v="Evening"/>
  </r>
  <r>
    <x v="2108"/>
    <s v="2024-12-03 22:17:41"/>
    <x v="0"/>
    <s v="2024-12-07 02:53:41"/>
    <x v="1589"/>
    <n v="3.2"/>
    <x v="4"/>
    <s v="Crash"/>
    <s v="High"/>
    <n v="120"/>
    <x v="1"/>
    <s v="Portal"/>
    <s v="Tier 1"/>
    <x v="12"/>
    <x v="2"/>
    <s v="No"/>
    <s v="No"/>
    <n v="1"/>
    <s v="No"/>
    <n v="9"/>
    <n v="1.5"/>
    <n v="37.1"/>
    <s v="Yes"/>
    <s v="Fair"/>
    <s v="No"/>
    <s v="HR"/>
    <s v="Thursday"/>
    <s v="Morning"/>
  </r>
  <r>
    <x v="2109"/>
    <s v="2024-07-07 06:10:05"/>
    <x v="4"/>
    <s v="2024-07-15 10:52:05"/>
    <x v="1430"/>
    <n v="8.1999999999999993"/>
    <x v="1"/>
    <s v="Keyboard/Mouse"/>
    <s v="Medium"/>
    <n v="240"/>
    <x v="1"/>
    <s v="Phone"/>
    <s v="Tier 1"/>
    <x v="8"/>
    <x v="2"/>
    <s v="No"/>
    <s v="No"/>
    <n v="1"/>
    <s v="No"/>
    <n v="8"/>
    <n v="2.8"/>
    <n v="16.5"/>
    <s v="Yes"/>
    <s v="Good"/>
    <s v="No"/>
    <s v="Executive"/>
    <s v="Monday"/>
    <s v="Evening"/>
  </r>
  <r>
    <x v="2110"/>
    <s v="2024-03-14 13:54:34"/>
    <x v="5"/>
    <s v="2024-03-25 20:12:34"/>
    <x v="1590"/>
    <n v="11.3"/>
    <x v="3"/>
    <s v="Application Password"/>
    <s v="Low"/>
    <n v="360"/>
    <x v="1"/>
    <s v="Walk-in"/>
    <s v="Tier 1"/>
    <x v="22"/>
    <x v="2"/>
    <s v="Yes"/>
    <s v="No"/>
    <n v="0"/>
    <s v="No"/>
    <n v="10"/>
    <n v="2.7"/>
    <n v="28"/>
    <s v="No"/>
    <s v="Good"/>
    <s v="No"/>
    <s v="Executive"/>
    <s v="Thursday"/>
    <s v="Morning"/>
  </r>
  <r>
    <x v="2111"/>
    <s v="2024-06-01 02:06:48"/>
    <x v="10"/>
    <s v="2024-06-10 16:54:48"/>
    <x v="1330"/>
    <n v="8.6"/>
    <x v="3"/>
    <s v="Email Password"/>
    <s v="Medium"/>
    <n v="240"/>
    <x v="1"/>
    <s v="Walk-in"/>
    <s v="Tier 1"/>
    <x v="6"/>
    <x v="2"/>
    <s v="No"/>
    <s v="No"/>
    <n v="1"/>
    <s v="No"/>
    <n v="10"/>
    <n v="0.6"/>
    <n v="0"/>
    <s v="No"/>
    <s v="Fair"/>
    <s v="No"/>
    <s v="Legal"/>
    <s v="Tuesday"/>
    <s v="Afternoon"/>
  </r>
  <r>
    <x v="2112"/>
    <s v="2024-03-27 06:53:25"/>
    <x v="5"/>
    <s v="2024-04-05 10:17:25"/>
    <x v="506"/>
    <n v="9.1"/>
    <x v="1"/>
    <s v="Docking Station"/>
    <s v="Medium"/>
    <n v="240"/>
    <x v="1"/>
    <s v="Portal"/>
    <s v="Tier 1"/>
    <x v="12"/>
    <x v="1"/>
    <s v="No"/>
    <s v="No"/>
    <n v="1"/>
    <s v="No"/>
    <n v="7"/>
    <n v="5.3"/>
    <n v="15.1"/>
    <s v="No"/>
    <s v="Good"/>
    <s v="Yes"/>
    <s v="Executive"/>
    <s v="Tuesday"/>
    <s v="Afternoon"/>
  </r>
  <r>
    <x v="2113"/>
    <s v="2024-03-18 07:55:20"/>
    <x v="5"/>
    <s v="2024-03-27 12:19:20"/>
    <x v="246"/>
    <n v="9.1999999999999993"/>
    <x v="5"/>
    <s v="Training Request"/>
    <s v="Medium"/>
    <n v="240"/>
    <x v="1"/>
    <s v="Phone"/>
    <s v="Tier 1"/>
    <x v="22"/>
    <x v="2"/>
    <s v="Yes"/>
    <s v="No"/>
    <n v="0"/>
    <s v="No"/>
    <n v="9"/>
    <n v="4.2"/>
    <n v="14.4"/>
    <s v="Yes"/>
    <s v="Excellent"/>
    <s v="Yes"/>
    <s v="Marketing"/>
    <s v="Wednesday"/>
    <s v="Morning"/>
  </r>
  <r>
    <x v="2114"/>
    <s v="2024-10-08 08:59:39"/>
    <x v="2"/>
    <s v="2024-10-28 22:59:39"/>
    <x v="1591"/>
    <n v="20.6"/>
    <x v="4"/>
    <s v="Performance"/>
    <s v="Medium"/>
    <n v="240"/>
    <x v="0"/>
    <s v="Email"/>
    <s v="Tier 2"/>
    <x v="12"/>
    <x v="2"/>
    <s v="No"/>
    <s v="Yes"/>
    <n v="4"/>
    <s v="No"/>
    <n v="3"/>
    <n v="0.1"/>
    <n v="3.3"/>
    <s v="Yes"/>
    <s v="Fair"/>
    <s v="Yes"/>
    <s v="Executive"/>
    <s v="Monday"/>
    <s v="Afternoon"/>
  </r>
  <r>
    <x v="2115"/>
    <s v="2024-09-22 13:39:51"/>
    <x v="9"/>
    <s v="2024-09-24 14:15:51"/>
    <x v="1592"/>
    <n v="2"/>
    <x v="4"/>
    <s v="Login Issues"/>
    <s v="Critical"/>
    <n v="48"/>
    <x v="0"/>
    <s v="Portal"/>
    <s v="Tier 2"/>
    <x v="18"/>
    <x v="2"/>
    <s v="No"/>
    <s v="Yes"/>
    <n v="3"/>
    <s v="No"/>
    <n v="3"/>
    <n v="2.5"/>
    <n v="17"/>
    <s v="Yes"/>
    <s v="Good"/>
    <s v="No"/>
    <s v="Operations"/>
    <s v="Tuesday"/>
    <s v="Afternoon"/>
  </r>
  <r>
    <x v="2116"/>
    <s v="2024-06-13 07:32:12"/>
    <x v="10"/>
    <s v="2024-06-26 00:44:12"/>
    <x v="1593"/>
    <n v="13.7"/>
    <x v="3"/>
    <s v="Windows Password"/>
    <s v="Low"/>
    <n v="360"/>
    <x v="1"/>
    <s v="Phone"/>
    <s v="Tier 1"/>
    <x v="1"/>
    <x v="2"/>
    <s v="Yes"/>
    <s v="No"/>
    <n v="0"/>
    <s v="No"/>
    <n v="9"/>
    <n v="0.8"/>
    <n v="42.4"/>
    <s v="Yes"/>
    <s v="Fair"/>
    <s v="No"/>
    <s v="Operations"/>
    <s v="Wednesday"/>
    <s v="Afternoon"/>
  </r>
  <r>
    <x v="2117"/>
    <s v="2024-12-03 19:26:54"/>
    <x v="0"/>
    <s v="2024-12-16 13:26:54"/>
    <x v="1594"/>
    <n v="12.8"/>
    <x v="3"/>
    <s v="Email Password"/>
    <s v="Low"/>
    <n v="360"/>
    <x v="1"/>
    <s v="Portal"/>
    <s v="Tier 1"/>
    <x v="21"/>
    <x v="2"/>
    <s v="No"/>
    <s v="No"/>
    <n v="1"/>
    <s v="No"/>
    <n v="8"/>
    <n v="0.7"/>
    <n v="18.899999999999999"/>
    <s v="Yes"/>
    <s v="Excellent"/>
    <s v="No"/>
    <s v="Operations"/>
    <s v="Monday"/>
    <s v="Afternoon"/>
  </r>
  <r>
    <x v="2118"/>
    <s v="2024-06-01 04:50:54"/>
    <x v="10"/>
    <s v="2024-06-07 06:20:54"/>
    <x v="1595"/>
    <n v="6.1"/>
    <x v="3"/>
    <s v="Application Password"/>
    <s v="Medium"/>
    <n v="240"/>
    <x v="1"/>
    <s v="Portal"/>
    <s v="Tier 1"/>
    <x v="15"/>
    <x v="2"/>
    <s v="No"/>
    <s v="No"/>
    <n v="1"/>
    <s v="Yes"/>
    <n v="8"/>
    <n v="1.2"/>
    <n v="8.5"/>
    <s v="Yes"/>
    <s v="Excellent"/>
    <s v="No"/>
    <s v="Executive"/>
    <s v="Tuesday"/>
    <s v="Evening"/>
  </r>
  <r>
    <x v="2119"/>
    <s v="2024-03-06 11:09:41"/>
    <x v="5"/>
    <s v="2024-03-13 19:09:41"/>
    <x v="1596"/>
    <n v="7.3"/>
    <x v="0"/>
    <s v="VPN Access"/>
    <s v="Medium"/>
    <n v="240"/>
    <x v="1"/>
    <s v="Walk-in"/>
    <s v="Tier 1"/>
    <x v="6"/>
    <x v="1"/>
    <s v="No"/>
    <s v="No"/>
    <n v="1"/>
    <s v="No"/>
    <n v="10"/>
    <n v="4.9000000000000004"/>
    <n v="4.2"/>
    <s v="No"/>
    <s v="Excellent"/>
    <s v="No"/>
    <s v="Executive"/>
    <s v="Monday"/>
    <s v="Evening"/>
  </r>
  <r>
    <x v="2120"/>
    <s v="2024-08-10 11:52:30"/>
    <x v="1"/>
    <s v="2024-08-20 14:16:30"/>
    <x v="1112"/>
    <n v="10.1"/>
    <x v="3"/>
    <s v="Account Unlock"/>
    <s v="Low"/>
    <n v="360"/>
    <x v="1"/>
    <s v="Phone"/>
    <s v="Tier 1"/>
    <x v="19"/>
    <x v="2"/>
    <s v="No"/>
    <s v="No"/>
    <n v="1"/>
    <s v="No"/>
    <n v="8"/>
    <n v="6.8"/>
    <n v="8.6999999999999993"/>
    <s v="Yes"/>
    <s v="Fair"/>
    <s v="No"/>
    <s v="Executive"/>
    <s v="Tuesday"/>
    <s v="Afternoon"/>
  </r>
  <r>
    <x v="2121"/>
    <s v="2024-10-04 09:16:27"/>
    <x v="2"/>
    <s v="2024-10-16 11:22:27"/>
    <x v="1597"/>
    <n v="12.1"/>
    <x v="1"/>
    <s v="Laptop"/>
    <s v="Low"/>
    <n v="360"/>
    <x v="1"/>
    <s v="Phone"/>
    <s v="Tier 1"/>
    <x v="19"/>
    <x v="0"/>
    <s v="No"/>
    <s v="No"/>
    <n v="1"/>
    <s v="No"/>
    <n v="9"/>
    <n v="2.6"/>
    <n v="31.3"/>
    <s v="No"/>
    <s v="Good"/>
    <s v="Yes"/>
    <s v="Legal"/>
    <s v="Tuesday"/>
    <s v="Afternoon"/>
  </r>
  <r>
    <x v="2122"/>
    <s v="2024-06-03 13:38:10"/>
    <x v="10"/>
    <s v="2024-06-07 14:20:10"/>
    <x v="1598"/>
    <n v="4"/>
    <x v="1"/>
    <s v="Desktop"/>
    <s v="High"/>
    <n v="120"/>
    <x v="1"/>
    <s v="Email"/>
    <s v="Tier 1"/>
    <x v="19"/>
    <x v="2"/>
    <s v="No"/>
    <s v="No"/>
    <n v="1"/>
    <s v="No"/>
    <n v="9"/>
    <n v="5.2"/>
    <n v="0"/>
    <s v="No"/>
    <s v="Fair"/>
    <s v="Yes"/>
    <s v="Executive"/>
    <s v="Tuesday"/>
    <s v="Afternoon"/>
  </r>
  <r>
    <x v="2123"/>
    <s v="2024-09-18 20:20:31"/>
    <x v="9"/>
    <s v="2024-10-06 00:38:31"/>
    <x v="1305"/>
    <n v="18.2"/>
    <x v="3"/>
    <s v="Windows Password"/>
    <s v="Low"/>
    <n v="360"/>
    <x v="0"/>
    <s v="Email"/>
    <s v="Tier 1"/>
    <x v="12"/>
    <x v="2"/>
    <s v="Yes"/>
    <s v="No"/>
    <n v="0"/>
    <s v="Yes"/>
    <n v="8"/>
    <n v="0.6"/>
    <n v="28.2"/>
    <s v="Yes"/>
    <s v="Fair"/>
    <s v="Yes"/>
    <s v="Legal"/>
    <s v="Monday"/>
    <s v="Morning"/>
  </r>
  <r>
    <x v="2124"/>
    <s v="2024-11-04 19:05:46"/>
    <x v="7"/>
    <s v="2024-11-09 06:41:46"/>
    <x v="1227"/>
    <n v="4.5"/>
    <x v="3"/>
    <s v="Account Unlock"/>
    <s v="High"/>
    <n v="120"/>
    <x v="1"/>
    <s v="Email"/>
    <s v="Tier 1"/>
    <x v="6"/>
    <x v="2"/>
    <s v="Yes"/>
    <s v="No"/>
    <n v="0"/>
    <s v="No"/>
    <n v="8"/>
    <n v="3.9"/>
    <n v="28.1"/>
    <s v="Yes"/>
    <s v="Fair"/>
    <s v="No"/>
    <s v="Marketing"/>
    <s v="Monday"/>
    <s v="Afternoon"/>
  </r>
  <r>
    <x v="2125"/>
    <s v="2024-10-28 06:08:34"/>
    <x v="2"/>
    <s v="2024-11-05 13:14:34"/>
    <x v="938"/>
    <n v="8.3000000000000007"/>
    <x v="2"/>
    <s v="Slow Network"/>
    <s v="High"/>
    <n v="120"/>
    <x v="0"/>
    <s v="Portal"/>
    <s v="Tier 1"/>
    <x v="16"/>
    <x v="0"/>
    <s v="No"/>
    <s v="No"/>
    <n v="1"/>
    <s v="No"/>
    <n v="4"/>
    <n v="1.9"/>
    <n v="19"/>
    <s v="Yes"/>
    <s v="Poor"/>
    <s v="No"/>
    <s v="Marketing"/>
    <s v="Wednesday"/>
    <s v="Morning"/>
  </r>
  <r>
    <x v="2126"/>
    <s v="2024-02-19 21:11:10"/>
    <x v="6"/>
    <s v="2024-02-23 22:17:10"/>
    <x v="625"/>
    <n v="4"/>
    <x v="2"/>
    <s v="VPN Connection"/>
    <s v="High"/>
    <n v="120"/>
    <x v="1"/>
    <s v="Email"/>
    <s v="Tier 2"/>
    <x v="3"/>
    <x v="1"/>
    <s v="No"/>
    <s v="Yes"/>
    <n v="1"/>
    <s v="No"/>
    <n v="7"/>
    <n v="0.9"/>
    <n v="0"/>
    <s v="No"/>
    <s v="Poor"/>
    <s v="Yes"/>
    <s v="HR"/>
    <s v="Tuesday"/>
    <s v="Morning"/>
  </r>
  <r>
    <x v="2127"/>
    <s v="2024-03-29 00:04:32"/>
    <x v="5"/>
    <s v="2024-04-03 06:04:32"/>
    <x v="50"/>
    <n v="4.2"/>
    <x v="7"/>
    <s v="VPN Client"/>
    <s v="High"/>
    <n v="120"/>
    <x v="1"/>
    <s v="Phone"/>
    <s v="Tier 2"/>
    <x v="19"/>
    <x v="1"/>
    <s v="No"/>
    <s v="Yes"/>
    <n v="1"/>
    <s v="No"/>
    <n v="6"/>
    <n v="0.1"/>
    <n v="26.9"/>
    <s v="No"/>
    <s v="Excellent"/>
    <s v="Yes"/>
    <s v="Sales"/>
    <s v="Monday"/>
    <s v="Morning"/>
  </r>
  <r>
    <x v="2128"/>
    <s v="2024-04-26 11:11:59"/>
    <x v="11"/>
    <s v="2024-05-10 10:05:59"/>
    <x v="1416"/>
    <n v="14"/>
    <x v="3"/>
    <s v="Account Unlock"/>
    <s v="Low"/>
    <n v="360"/>
    <x v="1"/>
    <s v="Portal"/>
    <s v="Tier 1"/>
    <x v="19"/>
    <x v="2"/>
    <s v="Yes"/>
    <s v="No"/>
    <n v="0"/>
    <s v="No"/>
    <n v="9"/>
    <n v="2.1"/>
    <n v="4.9000000000000004"/>
    <s v="Yes"/>
    <s v="Fair"/>
    <s v="Yes"/>
    <s v="Marketing"/>
    <s v="Tuesday"/>
    <s v="Morning"/>
  </r>
  <r>
    <x v="2129"/>
    <s v="2024-03-19 00:44:47"/>
    <x v="5"/>
    <s v="2024-04-02 20:14:47"/>
    <x v="1599"/>
    <n v="13.8"/>
    <x v="4"/>
    <s v="Features Not Working"/>
    <s v="Medium"/>
    <n v="240"/>
    <x v="0"/>
    <s v="Email"/>
    <s v="Tier 1"/>
    <x v="22"/>
    <x v="0"/>
    <s v="No"/>
    <s v="No"/>
    <n v="1"/>
    <s v="No"/>
    <n v="8"/>
    <n v="4.0999999999999996"/>
    <n v="7.5"/>
    <s v="No"/>
    <s v="Poor"/>
    <s v="Yes"/>
    <s v="HR"/>
    <s v="Wednesday"/>
    <s v="Evening"/>
  </r>
  <r>
    <x v="2130"/>
    <s v="2024-05-27 00:12:04"/>
    <x v="8"/>
    <s v="2024-06-03 15:36:04"/>
    <x v="1600"/>
    <n v="6.6"/>
    <x v="5"/>
    <s v="General Inquiry"/>
    <s v="Medium"/>
    <n v="240"/>
    <x v="1"/>
    <s v="Email"/>
    <s v="Tier 1"/>
    <x v="15"/>
    <x v="2"/>
    <s v="Yes"/>
    <s v="No"/>
    <n v="0"/>
    <s v="No"/>
    <n v="10"/>
    <n v="1.6"/>
    <n v="0.2"/>
    <s v="No"/>
    <s v="Good"/>
    <s v="No"/>
    <s v="Marketing"/>
    <s v="Tuesday"/>
    <s v="Morning"/>
  </r>
  <r>
    <x v="2131"/>
    <s v="2024-06-27 19:54:23"/>
    <x v="10"/>
    <s v="2024-07-08 20:24:23"/>
    <x v="1460"/>
    <n v="11"/>
    <x v="5"/>
    <s v="Training Request"/>
    <s v="Low"/>
    <n v="360"/>
    <x v="1"/>
    <s v="Portal"/>
    <s v="Tier 1"/>
    <x v="22"/>
    <x v="2"/>
    <s v="Yes"/>
    <s v="No"/>
    <n v="0"/>
    <s v="Yes"/>
    <n v="7"/>
    <n v="0.1"/>
    <n v="26.4"/>
    <s v="Yes"/>
    <s v="Fair"/>
    <s v="Yes"/>
    <s v="Sales"/>
    <s v="Monday"/>
    <s v="Morning"/>
  </r>
  <r>
    <x v="2132"/>
    <s v="2024-11-20 15:12:40"/>
    <x v="7"/>
    <s v="2024-11-29 08:30:40"/>
    <x v="872"/>
    <n v="8.6999999999999993"/>
    <x v="0"/>
    <s v="VPN Access"/>
    <s v="Medium"/>
    <n v="240"/>
    <x v="1"/>
    <s v="Portal"/>
    <s v="Tier 1"/>
    <x v="11"/>
    <x v="2"/>
    <s v="Yes"/>
    <s v="No"/>
    <n v="0"/>
    <s v="No"/>
    <n v="7"/>
    <n v="2.9"/>
    <n v="16.399999999999999"/>
    <s v="Yes"/>
    <s v="Fair"/>
    <s v="Yes"/>
    <s v="Marketing"/>
    <s v="Wednesday"/>
    <s v="Afternoon"/>
  </r>
  <r>
    <x v="2133"/>
    <s v="2024-07-09 03:00:11"/>
    <x v="4"/>
    <s v="2024-07-15 14:24:11"/>
    <x v="1601"/>
    <n v="6.5"/>
    <x v="6"/>
    <s v="Cannot Send/Receive"/>
    <s v="High"/>
    <n v="120"/>
    <x v="0"/>
    <s v="Email"/>
    <s v="Tier 1"/>
    <x v="10"/>
    <x v="2"/>
    <s v="No"/>
    <s v="No"/>
    <n v="1"/>
    <s v="No"/>
    <n v="8"/>
    <n v="4"/>
    <n v="24.5"/>
    <s v="Yes"/>
    <s v="Poor"/>
    <s v="Yes"/>
    <s v="Sales"/>
    <s v="Tuesday"/>
    <s v="Morning"/>
  </r>
  <r>
    <x v="2134"/>
    <s v="2024-09-19 02:56:51"/>
    <x v="9"/>
    <s v="2024-09-21 20:20:51"/>
    <x v="1051"/>
    <n v="1.7"/>
    <x v="6"/>
    <s v="Distribution List"/>
    <s v="Critical"/>
    <n v="48"/>
    <x v="1"/>
    <s v="Email"/>
    <s v="Tier 1"/>
    <x v="22"/>
    <x v="1"/>
    <s v="No"/>
    <s v="No"/>
    <n v="1"/>
    <s v="No"/>
    <n v="6"/>
    <n v="1"/>
    <n v="12"/>
    <s v="Yes"/>
    <s v="Good"/>
    <s v="No"/>
    <s v="Legal"/>
    <s v="Monday"/>
    <s v="Evening"/>
  </r>
  <r>
    <x v="2135"/>
    <s v="2024-07-02 08:31:18"/>
    <x v="4"/>
    <s v="2024-07-12 14:25:18"/>
    <x v="1602"/>
    <n v="10.199999999999999"/>
    <x v="7"/>
    <s v="MS Office"/>
    <s v="Medium"/>
    <n v="240"/>
    <x v="0"/>
    <s v="Portal"/>
    <s v="Tier 1"/>
    <x v="19"/>
    <x v="0"/>
    <s v="No"/>
    <s v="No"/>
    <n v="1"/>
    <s v="No"/>
    <n v="6"/>
    <n v="2.1"/>
    <n v="26.2"/>
    <s v="No"/>
    <s v="Good"/>
    <s v="No"/>
    <s v="Finance"/>
    <s v="Wednesday"/>
    <s v="Morning"/>
  </r>
  <r>
    <x v="2136"/>
    <s v="2024-08-21 14:14:05"/>
    <x v="1"/>
    <s v="2024-09-04 13:32:05"/>
    <x v="1603"/>
    <n v="14"/>
    <x v="5"/>
    <s v="Miscellaneous"/>
    <s v="Low"/>
    <n v="360"/>
    <x v="1"/>
    <s v="Email"/>
    <s v="Tier 1"/>
    <x v="6"/>
    <x v="2"/>
    <s v="No"/>
    <s v="No"/>
    <n v="1"/>
    <s v="Yes"/>
    <n v="7"/>
    <n v="2.6"/>
    <n v="15.1"/>
    <s v="No"/>
    <s v="Good"/>
    <s v="Yes"/>
    <s v="IT"/>
    <s v="Thursday"/>
    <s v="Morning"/>
  </r>
  <r>
    <x v="2137"/>
    <s v="2024-02-22 10:24:33"/>
    <x v="6"/>
    <s v="2024-02-26 04:00:33"/>
    <x v="1340"/>
    <n v="3.7"/>
    <x v="4"/>
    <s v="Features Not Working"/>
    <s v="High"/>
    <n v="120"/>
    <x v="1"/>
    <s v="Phone"/>
    <s v="Tier 1"/>
    <x v="3"/>
    <x v="0"/>
    <s v="No"/>
    <s v="No"/>
    <n v="1"/>
    <s v="Yes"/>
    <n v="9"/>
    <n v="4.2"/>
    <n v="11.1"/>
    <s v="Yes"/>
    <s v="Good"/>
    <s v="No"/>
    <s v="Legal"/>
    <s v="Wednesday"/>
    <s v="Afternoon"/>
  </r>
  <r>
    <x v="2138"/>
    <s v="2024-04-14 13:27:52"/>
    <x v="11"/>
    <s v="2024-04-23 18:15:52"/>
    <x v="649"/>
    <n v="9.1999999999999993"/>
    <x v="6"/>
    <s v="Cannot Send/Receive"/>
    <s v="Medium"/>
    <n v="240"/>
    <x v="1"/>
    <s v="Email"/>
    <s v="Tier 2"/>
    <x v="20"/>
    <x v="2"/>
    <s v="No"/>
    <s v="Yes"/>
    <n v="1"/>
    <s v="No"/>
    <n v="8"/>
    <n v="4.5999999999999996"/>
    <n v="11.8"/>
    <s v="No"/>
    <s v="Good"/>
    <s v="No"/>
    <s v="IT"/>
    <s v="Tuesday"/>
    <s v="Afternoon"/>
  </r>
  <r>
    <x v="2139"/>
    <s v="2024-07-20 17:21:02"/>
    <x v="4"/>
    <s v="2024-08-03 17:03:02"/>
    <x v="584"/>
    <n v="14"/>
    <x v="4"/>
    <s v="Crash"/>
    <s v="Low"/>
    <n v="360"/>
    <x v="1"/>
    <s v="Portal"/>
    <s v="Tier 2"/>
    <x v="15"/>
    <x v="2"/>
    <s v="No"/>
    <s v="Yes"/>
    <n v="3"/>
    <s v="Yes"/>
    <n v="6"/>
    <n v="2.6"/>
    <n v="30.8"/>
    <s v="Yes"/>
    <s v="Good"/>
    <s v="Yes"/>
    <s v="Legal"/>
    <s v="Monday"/>
    <s v="Afternoon"/>
  </r>
  <r>
    <x v="2140"/>
    <s v="2024-04-24 09:08:06"/>
    <x v="11"/>
    <s v="2024-05-05 10:02:06"/>
    <x v="1604"/>
    <n v="11"/>
    <x v="3"/>
    <s v="Windows Password"/>
    <s v="Low"/>
    <n v="360"/>
    <x v="1"/>
    <s v="Phone"/>
    <s v="Tier 1"/>
    <x v="1"/>
    <x v="2"/>
    <s v="Yes"/>
    <s v="No"/>
    <n v="0"/>
    <s v="No"/>
    <n v="10"/>
    <n v="3.6"/>
    <n v="17"/>
    <s v="No"/>
    <s v="Fair"/>
    <s v="Yes"/>
    <s v="HR"/>
    <s v="Monday"/>
    <s v="Morning"/>
  </r>
  <r>
    <x v="2141"/>
    <s v="2024-03-31 01:08:53"/>
    <x v="5"/>
    <s v="2024-04-08 19:14:53"/>
    <x v="1605"/>
    <n v="7.8"/>
    <x v="5"/>
    <s v="Training Request"/>
    <s v="Medium"/>
    <n v="240"/>
    <x v="1"/>
    <s v="Phone"/>
    <s v="Tier 1"/>
    <x v="14"/>
    <x v="2"/>
    <s v="No"/>
    <s v="No"/>
    <n v="1"/>
    <s v="No"/>
    <n v="9"/>
    <n v="6.3"/>
    <n v="10.8"/>
    <s v="Yes"/>
    <s v="Fair"/>
    <s v="No"/>
    <s v="HR"/>
    <s v="Friday"/>
    <s v="Morning"/>
  </r>
  <r>
    <x v="2142"/>
    <s v="2024-01-08 12:53:09"/>
    <x v="3"/>
    <s v="2024-01-21 11:47:09"/>
    <x v="254"/>
    <n v="13"/>
    <x v="3"/>
    <s v="Account Unlock"/>
    <s v="Low"/>
    <n v="360"/>
    <x v="1"/>
    <s v="Phone"/>
    <s v="Tier 1"/>
    <x v="13"/>
    <x v="2"/>
    <s v="Yes"/>
    <s v="No"/>
    <n v="0"/>
    <s v="No"/>
    <n v="10"/>
    <n v="2.4"/>
    <n v="7.9"/>
    <s v="Yes"/>
    <s v="Good"/>
    <s v="Yes"/>
    <s v="HR"/>
    <s v="Friday"/>
    <s v="Afternoon"/>
  </r>
  <r>
    <x v="2143"/>
    <s v="2024-10-25 12:34:49"/>
    <x v="2"/>
    <s v="2024-10-29 01:58:49"/>
    <x v="729"/>
    <n v="4.5999999999999996"/>
    <x v="1"/>
    <s v="Desktop"/>
    <s v="High"/>
    <n v="120"/>
    <x v="1"/>
    <s v="Phone"/>
    <s v="Tier 1"/>
    <x v="9"/>
    <x v="2"/>
    <s v="No"/>
    <s v="No"/>
    <n v="1"/>
    <s v="No"/>
    <n v="10"/>
    <n v="0.6"/>
    <n v="43"/>
    <s v="No"/>
    <s v="Good"/>
    <s v="Yes"/>
    <s v="Sales"/>
    <s v="Thursday"/>
    <s v="Morning"/>
  </r>
  <r>
    <x v="2144"/>
    <s v="2024-11-24 08:23:15"/>
    <x v="7"/>
    <s v="2024-12-22 02:47:15"/>
    <x v="1606"/>
    <n v="27.8"/>
    <x v="3"/>
    <s v="Account Unlock"/>
    <s v="Medium"/>
    <n v="240"/>
    <x v="0"/>
    <s v="Email"/>
    <s v="Tier 1"/>
    <x v="23"/>
    <x v="2"/>
    <s v="Yes"/>
    <s v="No"/>
    <n v="0"/>
    <s v="No"/>
    <n v="8"/>
    <n v="0.1"/>
    <n v="37.4"/>
    <s v="Yes"/>
    <s v="Excellent"/>
    <s v="No"/>
    <s v="Legal"/>
    <s v="Monday"/>
    <s v="Afternoon"/>
  </r>
  <r>
    <x v="2145"/>
    <s v="2024-10-04 10:50:43"/>
    <x v="2"/>
    <s v="2024-10-18 09:14:43"/>
    <x v="1508"/>
    <n v="13.9"/>
    <x v="0"/>
    <s v="Admin Rights"/>
    <s v="Medium"/>
    <n v="240"/>
    <x v="0"/>
    <s v="Phone"/>
    <s v="Tier 1"/>
    <x v="22"/>
    <x v="2"/>
    <s v="Yes"/>
    <s v="No"/>
    <n v="0"/>
    <s v="No"/>
    <n v="6"/>
    <n v="4.5"/>
    <n v="33.799999999999997"/>
    <s v="No"/>
    <s v="Fair"/>
    <s v="No"/>
    <s v="Sales"/>
    <s v="Tuesday"/>
    <s v="Afternoon"/>
  </r>
  <r>
    <x v="2146"/>
    <s v="2024-11-09 22:57:51"/>
    <x v="7"/>
    <s v="2024-11-19 04:27:51"/>
    <x v="1580"/>
    <n v="9.1999999999999993"/>
    <x v="4"/>
    <s v="Features Not Working"/>
    <s v="Medium"/>
    <n v="240"/>
    <x v="1"/>
    <s v="Email"/>
    <s v="Tier 1"/>
    <x v="5"/>
    <x v="1"/>
    <s v="Yes"/>
    <s v="No"/>
    <n v="0"/>
    <s v="No"/>
    <n v="10"/>
    <n v="2.8"/>
    <n v="26.4"/>
    <s v="No"/>
    <s v="Poor"/>
    <s v="No"/>
    <s v="HR"/>
    <s v="Wednesday"/>
    <s v="Afternoon"/>
  </r>
  <r>
    <x v="2147"/>
    <s v="2024-04-24 21:26:09"/>
    <x v="11"/>
    <s v="2024-05-02 20:32:09"/>
    <x v="1607"/>
    <n v="8"/>
    <x v="2"/>
    <s v="Ethernet"/>
    <s v="Medium"/>
    <n v="240"/>
    <x v="1"/>
    <s v="Phone"/>
    <s v="Tier 1"/>
    <x v="6"/>
    <x v="2"/>
    <s v="No"/>
    <s v="No"/>
    <n v="1"/>
    <s v="No"/>
    <n v="7"/>
    <n v="0.6"/>
    <n v="18.399999999999999"/>
    <s v="Yes"/>
    <s v="Fair"/>
    <s v="No"/>
    <s v="HR"/>
    <s v="Thursday"/>
    <s v="Morning"/>
  </r>
  <r>
    <x v="2148"/>
    <s v="2024-04-25 06:50:14"/>
    <x v="11"/>
    <s v="2024-05-04 18:26:14"/>
    <x v="1608"/>
    <n v="9.5"/>
    <x v="3"/>
    <s v="Account Unlock"/>
    <s v="Medium"/>
    <n v="240"/>
    <x v="1"/>
    <s v="Email"/>
    <s v="Tier 1"/>
    <x v="3"/>
    <x v="0"/>
    <s v="Yes"/>
    <s v="No"/>
    <n v="0"/>
    <s v="Yes"/>
    <n v="10"/>
    <n v="0.1"/>
    <n v="16.600000000000001"/>
    <s v="No"/>
    <s v="Excellent"/>
    <s v="Yes"/>
    <s v="Executive"/>
    <s v="Thursday"/>
    <s v="Afternoon"/>
  </r>
  <r>
    <x v="2149"/>
    <s v="2024-01-01 04:41:24"/>
    <x v="3"/>
    <s v="2024-01-09 21:53:24"/>
    <x v="1609"/>
    <n v="8.6999999999999993"/>
    <x v="4"/>
    <s v="Performance"/>
    <s v="Medium"/>
    <n v="240"/>
    <x v="1"/>
    <s v="Email"/>
    <s v="Tier 1"/>
    <x v="15"/>
    <x v="1"/>
    <s v="No"/>
    <s v="No"/>
    <n v="1"/>
    <s v="No"/>
    <n v="6"/>
    <n v="3.2"/>
    <n v="18.899999999999999"/>
    <s v="No"/>
    <s v="Fair"/>
    <s v="No"/>
    <s v="Finance"/>
    <s v="Friday"/>
    <s v="Morning"/>
  </r>
  <r>
    <x v="2150"/>
    <s v="2024-02-02 00:07:53"/>
    <x v="6"/>
    <s v="2024-02-05 02:49:53"/>
    <x v="1610"/>
    <n v="2.1"/>
    <x v="1"/>
    <s v="Laptop"/>
    <s v="Critical"/>
    <n v="48"/>
    <x v="0"/>
    <s v="Portal"/>
    <s v="Tier 1"/>
    <x v="19"/>
    <x v="0"/>
    <s v="No"/>
    <s v="No"/>
    <n v="1"/>
    <s v="No"/>
    <n v="1"/>
    <n v="4"/>
    <n v="18.7"/>
    <s v="Yes"/>
    <s v="Fair"/>
    <s v="Yes"/>
    <s v="IT"/>
    <s v="Friday"/>
    <s v="Evening"/>
  </r>
  <r>
    <x v="2151"/>
    <s v="2024-09-18 18:46:56"/>
    <x v="9"/>
    <s v="2024-10-01 14:52:56"/>
    <x v="1611"/>
    <n v="12.8"/>
    <x v="0"/>
    <s v="File Share"/>
    <s v="Low"/>
    <n v="360"/>
    <x v="1"/>
    <s v="Portal"/>
    <s v="Tier 1"/>
    <x v="7"/>
    <x v="1"/>
    <s v="No"/>
    <s v="No"/>
    <n v="1"/>
    <s v="No"/>
    <n v="10"/>
    <n v="1.7"/>
    <n v="26.4"/>
    <s v="No"/>
    <s v="Good"/>
    <s v="Yes"/>
    <s v="Finance"/>
    <s v="Tuesday"/>
    <s v="Afternoon"/>
  </r>
  <r>
    <x v="2152"/>
    <s v="2024-03-03 08:00:38"/>
    <x v="5"/>
    <s v="2024-03-14 04:06:38"/>
    <x v="1612"/>
    <n v="10.8"/>
    <x v="3"/>
    <s v="Email Password"/>
    <s v="Low"/>
    <n v="360"/>
    <x v="1"/>
    <s v="Email"/>
    <s v="Tier 1"/>
    <x v="16"/>
    <x v="2"/>
    <s v="Yes"/>
    <s v="No"/>
    <n v="0"/>
    <s v="Yes"/>
    <n v="8"/>
    <n v="3"/>
    <n v="35.6"/>
    <s v="No"/>
    <s v="Good"/>
    <s v="Yes"/>
    <s v="Operations"/>
    <s v="Friday"/>
    <s v="Morning"/>
  </r>
  <r>
    <x v="2153"/>
    <s v="2024-02-12 12:43:56"/>
    <x v="6"/>
    <s v="2024-02-19 12:37:56"/>
    <x v="1613"/>
    <n v="7"/>
    <x v="7"/>
    <s v="Drivers"/>
    <s v="Medium"/>
    <n v="240"/>
    <x v="1"/>
    <s v="Phone"/>
    <s v="Tier 1"/>
    <x v="1"/>
    <x v="2"/>
    <s v="No"/>
    <s v="No"/>
    <n v="1"/>
    <s v="No"/>
    <n v="7"/>
    <n v="3.7"/>
    <n v="13.1"/>
    <s v="No"/>
    <s v="Poor"/>
    <s v="Yes"/>
    <s v="HR"/>
    <s v="Tuesday"/>
    <s v="Morning"/>
  </r>
  <r>
    <x v="2154"/>
    <s v="2024-01-22 22:04:28"/>
    <x v="3"/>
    <s v="2024-02-04 09:04:28"/>
    <x v="1614"/>
    <n v="12.5"/>
    <x v="2"/>
    <s v="Ethernet"/>
    <s v="Medium"/>
    <n v="240"/>
    <x v="0"/>
    <s v="Phone"/>
    <s v="Tier 1"/>
    <x v="16"/>
    <x v="1"/>
    <s v="No"/>
    <s v="No"/>
    <n v="1"/>
    <s v="No"/>
    <n v="3"/>
    <n v="4.2"/>
    <n v="6.1"/>
    <s v="Yes"/>
    <s v="Fair"/>
    <s v="Yes"/>
    <s v="Operations"/>
    <s v="Tuesday"/>
    <s v="Morning"/>
  </r>
  <r>
    <x v="2155"/>
    <s v="2024-03-13 07:13:37"/>
    <x v="5"/>
    <s v="2024-03-17 12:13:37"/>
    <x v="50"/>
    <n v="4.2"/>
    <x v="6"/>
    <s v="Cannot Send/Receive"/>
    <s v="High"/>
    <n v="120"/>
    <x v="1"/>
    <s v="Email"/>
    <s v="Tier 1"/>
    <x v="6"/>
    <x v="2"/>
    <s v="Yes"/>
    <s v="No"/>
    <n v="0"/>
    <s v="No"/>
    <n v="10"/>
    <n v="5.2"/>
    <n v="10"/>
    <s v="Yes"/>
    <s v="Fair"/>
    <s v="Yes"/>
    <s v="Finance"/>
    <s v="Friday"/>
    <s v="Morning"/>
  </r>
  <r>
    <x v="2156"/>
    <s v="2024-05-15 07:06:50"/>
    <x v="8"/>
    <s v="2024-05-30 03:24:50"/>
    <x v="1017"/>
    <n v="14.8"/>
    <x v="5"/>
    <s v="General Inquiry"/>
    <s v="Medium"/>
    <n v="240"/>
    <x v="0"/>
    <s v="Email"/>
    <s v="Tier 1"/>
    <x v="15"/>
    <x v="2"/>
    <s v="No"/>
    <s v="No"/>
    <n v="1"/>
    <s v="No"/>
    <n v="7"/>
    <n v="4.3"/>
    <n v="1.5"/>
    <s v="Yes"/>
    <s v="Poor"/>
    <s v="Yes"/>
    <s v="Legal"/>
    <s v="Friday"/>
    <s v="Evening"/>
  </r>
  <r>
    <x v="2157"/>
    <s v="2024-02-20 20:08:44"/>
    <x v="6"/>
    <s v="2024-02-26 12:44:44"/>
    <x v="1615"/>
    <n v="5.7"/>
    <x v="1"/>
    <s v="Docking Station"/>
    <s v="High"/>
    <n v="120"/>
    <x v="0"/>
    <s v="Email"/>
    <s v="Tier 1"/>
    <x v="13"/>
    <x v="2"/>
    <s v="No"/>
    <s v="No"/>
    <n v="1"/>
    <s v="No"/>
    <n v="5"/>
    <n v="1.2"/>
    <n v="15.7"/>
    <s v="No"/>
    <s v="Poor"/>
    <s v="Yes"/>
    <s v="Operations"/>
    <s v="Thursday"/>
    <s v="Morning"/>
  </r>
  <r>
    <x v="2158"/>
    <s v="2024-10-16 20:15:43"/>
    <x v="2"/>
    <s v="2024-10-20 18:51:43"/>
    <x v="665"/>
    <n v="3.9"/>
    <x v="4"/>
    <s v="Features Not Working"/>
    <s v="High"/>
    <n v="120"/>
    <x v="1"/>
    <s v="Phone"/>
    <s v="Tier 1"/>
    <x v="0"/>
    <x v="1"/>
    <s v="Yes"/>
    <s v="No"/>
    <n v="0"/>
    <s v="No"/>
    <n v="9"/>
    <n v="4.7"/>
    <n v="5.6"/>
    <s v="Yes"/>
    <s v="Good"/>
    <s v="Yes"/>
    <s v="Finance"/>
    <s v="Thursday"/>
    <s v="Morning"/>
  </r>
  <r>
    <x v="2159"/>
    <s v="2024-06-11 03:29:07"/>
    <x v="10"/>
    <s v="2024-07-11 03:59:07"/>
    <x v="1616"/>
    <n v="30"/>
    <x v="5"/>
    <s v="Training Request"/>
    <s v="Low"/>
    <n v="360"/>
    <x v="0"/>
    <s v="Walk-in"/>
    <s v="Tier 2"/>
    <x v="13"/>
    <x v="2"/>
    <s v="No"/>
    <s v="Yes"/>
    <n v="3"/>
    <s v="No"/>
    <n v="7"/>
    <n v="0.2"/>
    <n v="19.100000000000001"/>
    <s v="No"/>
    <s v="Poor"/>
    <s v="No"/>
    <s v="Legal"/>
    <s v="Tuesday"/>
    <s v="Afternoon"/>
  </r>
  <r>
    <x v="2160"/>
    <s v="2024-03-17 19:03:56"/>
    <x v="5"/>
    <s v="2024-04-07 21:57:56"/>
    <x v="1617"/>
    <n v="21.1"/>
    <x v="6"/>
    <s v="Cannot Send/Receive"/>
    <s v="Low"/>
    <n v="360"/>
    <x v="0"/>
    <s v="Portal"/>
    <s v="Tier 1"/>
    <x v="19"/>
    <x v="2"/>
    <s v="No"/>
    <s v="No"/>
    <n v="1"/>
    <s v="No"/>
    <n v="5"/>
    <n v="4.4000000000000004"/>
    <n v="20.7"/>
    <s v="Yes"/>
    <s v="Poor"/>
    <s v="No"/>
    <s v="Legal"/>
    <s v="Friday"/>
    <s v="Morning"/>
  </r>
  <r>
    <x v="2161"/>
    <s v="2024-09-12 11:52:14"/>
    <x v="9"/>
    <s v="2024-09-24 08:10:14"/>
    <x v="1618"/>
    <n v="11.8"/>
    <x v="3"/>
    <s v="Account Unlock"/>
    <s v="Low"/>
    <n v="360"/>
    <x v="1"/>
    <s v="Phone"/>
    <s v="Tier 1"/>
    <x v="15"/>
    <x v="2"/>
    <s v="Yes"/>
    <s v="No"/>
    <n v="0"/>
    <s v="No"/>
    <n v="9"/>
    <n v="3.2"/>
    <n v="19.100000000000001"/>
    <s v="Yes"/>
    <s v="Fair"/>
    <s v="Yes"/>
    <s v="Finance"/>
    <s v="Monday"/>
    <s v="Morning"/>
  </r>
  <r>
    <x v="2162"/>
    <s v="2024-01-08 09:48:42"/>
    <x v="3"/>
    <s v="2024-01-19 01:48:42"/>
    <x v="706"/>
    <n v="11.7"/>
    <x v="0"/>
    <s v="VPN Access"/>
    <s v="Medium"/>
    <n v="240"/>
    <x v="0"/>
    <s v="Portal"/>
    <s v="Tier 1"/>
    <x v="2"/>
    <x v="2"/>
    <s v="No"/>
    <s v="No"/>
    <n v="1"/>
    <s v="No"/>
    <n v="9"/>
    <n v="2.4"/>
    <n v="21.1"/>
    <s v="No"/>
    <s v="Poor"/>
    <s v="No"/>
    <s v="IT"/>
    <s v="Tuesday"/>
    <s v="Morning"/>
  </r>
  <r>
    <x v="2163"/>
    <s v="2024-06-16 16:27:47"/>
    <x v="10"/>
    <s v="2024-06-20 18:33:47"/>
    <x v="1619"/>
    <n v="4.0999999999999996"/>
    <x v="0"/>
    <s v="Admin Rights"/>
    <s v="High"/>
    <n v="120"/>
    <x v="1"/>
    <s v="Phone"/>
    <s v="Tier 1"/>
    <x v="11"/>
    <x v="2"/>
    <s v="Yes"/>
    <s v="No"/>
    <n v="0"/>
    <s v="No"/>
    <n v="10"/>
    <n v="3.1"/>
    <n v="39.4"/>
    <s v="Yes"/>
    <s v="Good"/>
    <s v="No"/>
    <s v="IT"/>
    <s v="Thursday"/>
    <s v="Afternoon"/>
  </r>
  <r>
    <x v="2164"/>
    <s v="2024-03-27 18:09:27"/>
    <x v="5"/>
    <s v="2024-04-05 00:15:27"/>
    <x v="1620"/>
    <n v="9.1999999999999993"/>
    <x v="6"/>
    <s v="Cannot Send/Receive"/>
    <s v="Medium"/>
    <n v="240"/>
    <x v="1"/>
    <s v="Phone"/>
    <s v="Tier 1"/>
    <x v="5"/>
    <x v="2"/>
    <s v="No"/>
    <s v="No"/>
    <n v="1"/>
    <s v="No"/>
    <n v="8"/>
    <n v="5"/>
    <n v="0.1"/>
    <s v="No"/>
    <s v="Poor"/>
    <s v="Yes"/>
    <s v="Operations"/>
    <s v="Tuesday"/>
    <s v="Morning"/>
  </r>
  <r>
    <x v="2165"/>
    <s v="2024-06-07 05:12:22"/>
    <x v="10"/>
    <s v="2024-06-19 09:00:22"/>
    <x v="1586"/>
    <n v="12.2"/>
    <x v="3"/>
    <s v="Windows Password"/>
    <s v="Low"/>
    <n v="360"/>
    <x v="1"/>
    <s v="Portal"/>
    <s v="Tier 1"/>
    <x v="20"/>
    <x v="0"/>
    <s v="Yes"/>
    <s v="No"/>
    <n v="0"/>
    <s v="No"/>
    <n v="6"/>
    <n v="1.7"/>
    <n v="9.1"/>
    <s v="Yes"/>
    <s v="Good"/>
    <s v="Yes"/>
    <s v="Legal"/>
    <s v="Tuesday"/>
    <s v="Morning"/>
  </r>
  <r>
    <x v="2166"/>
    <s v="2024-07-09 16:40:35"/>
    <x v="4"/>
    <s v="2024-07-17 20:58:35"/>
    <x v="210"/>
    <n v="8.1999999999999993"/>
    <x v="6"/>
    <s v="Calendar Sync"/>
    <s v="High"/>
    <n v="120"/>
    <x v="0"/>
    <s v="Chat"/>
    <s v="Tier 2"/>
    <x v="1"/>
    <x v="0"/>
    <s v="No"/>
    <s v="Yes"/>
    <n v="1"/>
    <s v="No"/>
    <n v="7"/>
    <n v="1.1000000000000001"/>
    <n v="19.100000000000001"/>
    <s v="No"/>
    <s v="Fair"/>
    <s v="No"/>
    <s v="Marketing"/>
    <s v="Monday"/>
    <s v="Afternoon"/>
  </r>
  <r>
    <x v="2167"/>
    <s v="2024-08-29 12:37:50"/>
    <x v="1"/>
    <s v="2024-09-23 06:37:50"/>
    <x v="1621"/>
    <n v="24.8"/>
    <x v="3"/>
    <s v="Application Password"/>
    <s v="Medium"/>
    <n v="240"/>
    <x v="0"/>
    <s v="Portal"/>
    <s v="Tier 1"/>
    <x v="24"/>
    <x v="0"/>
    <s v="No"/>
    <s v="No"/>
    <n v="1"/>
    <s v="No"/>
    <n v="6"/>
    <n v="1.1000000000000001"/>
    <n v="33.700000000000003"/>
    <s v="Yes"/>
    <s v="Fair"/>
    <s v="No"/>
    <s v="Legal"/>
    <s v="Tuesday"/>
    <s v="Afternoon"/>
  </r>
  <r>
    <x v="2168"/>
    <s v="2024-01-28 04:39:01"/>
    <x v="3"/>
    <s v="2024-02-10 07:03:01"/>
    <x v="1622"/>
    <n v="13.1"/>
    <x v="7"/>
    <s v="MS Office"/>
    <s v="Medium"/>
    <n v="240"/>
    <x v="0"/>
    <s v="Phone"/>
    <s v="Tier 2"/>
    <x v="14"/>
    <x v="0"/>
    <s v="No"/>
    <s v="Yes"/>
    <n v="2"/>
    <s v="No"/>
    <n v="7"/>
    <n v="3.3"/>
    <n v="29.7"/>
    <s v="Yes"/>
    <s v="Good"/>
    <s v="Yes"/>
    <s v="Executive"/>
    <s v="Friday"/>
    <s v="Morning"/>
  </r>
  <r>
    <x v="2169"/>
    <s v="2024-07-28 20:25:02"/>
    <x v="4"/>
    <s v="2024-08-01 10:25:02"/>
    <x v="887"/>
    <n v="3.6"/>
    <x v="5"/>
    <s v="Miscellaneous"/>
    <s v="High"/>
    <n v="120"/>
    <x v="1"/>
    <s v="Email"/>
    <s v="Tier 1"/>
    <x v="12"/>
    <x v="1"/>
    <s v="No"/>
    <s v="No"/>
    <n v="1"/>
    <s v="No"/>
    <n v="9"/>
    <n v="4"/>
    <n v="31.1"/>
    <s v="Yes"/>
    <s v="Fair"/>
    <s v="Yes"/>
    <s v="IT"/>
    <s v="Wednesday"/>
    <s v="Morning"/>
  </r>
  <r>
    <x v="2170"/>
    <s v="2024-11-12 02:03:36"/>
    <x v="7"/>
    <s v="2024-11-24 22:45:36"/>
    <x v="1623"/>
    <n v="12.9"/>
    <x v="6"/>
    <s v="Calendar Sync"/>
    <s v="Low"/>
    <n v="360"/>
    <x v="1"/>
    <s v="Walk-in"/>
    <s v="Tier 1"/>
    <x v="6"/>
    <x v="1"/>
    <s v="No"/>
    <s v="No"/>
    <n v="1"/>
    <s v="No"/>
    <n v="8"/>
    <n v="2.1"/>
    <n v="14.3"/>
    <s v="Yes"/>
    <s v="Fair"/>
    <s v="Yes"/>
    <s v="Legal"/>
    <s v="Friday"/>
    <s v="Morning"/>
  </r>
  <r>
    <x v="2171"/>
    <s v="2024-05-31 19:18:35"/>
    <x v="8"/>
    <s v="2024-06-14 03:48:35"/>
    <x v="1624"/>
    <n v="13.4"/>
    <x v="3"/>
    <s v="Account Unlock"/>
    <s v="Low"/>
    <n v="360"/>
    <x v="1"/>
    <s v="Email"/>
    <s v="Tier 1"/>
    <x v="16"/>
    <x v="1"/>
    <s v="Yes"/>
    <s v="No"/>
    <n v="0"/>
    <s v="No"/>
    <n v="10"/>
    <n v="4"/>
    <n v="13.3"/>
    <s v="Yes"/>
    <s v="Fair"/>
    <s v="Yes"/>
    <s v="HR"/>
    <s v="Monday"/>
    <s v="Morning"/>
  </r>
  <r>
    <x v="2172"/>
    <s v="2024-01-26 11:03:51"/>
    <x v="3"/>
    <s v="2024-02-09 00:57:51"/>
    <x v="1625"/>
    <n v="14.6"/>
    <x v="6"/>
    <s v="Mailbox Full"/>
    <s v="High"/>
    <n v="120"/>
    <x v="0"/>
    <s v="Chat"/>
    <s v="Tier 1"/>
    <x v="22"/>
    <x v="2"/>
    <s v="No"/>
    <s v="No"/>
    <n v="1"/>
    <s v="No"/>
    <n v="4"/>
    <n v="1.3"/>
    <n v="19.7"/>
    <s v="No"/>
    <s v="Fair"/>
    <s v="Yes"/>
    <s v="Operations"/>
    <s v="Thursday"/>
    <s v="Afternoon"/>
  </r>
  <r>
    <x v="2173"/>
    <s v="2024-06-21 03:46:42"/>
    <x v="10"/>
    <s v="2024-07-20 10:16:42"/>
    <x v="1626"/>
    <n v="29.3"/>
    <x v="7"/>
    <s v="VPN Client"/>
    <s v="Medium"/>
    <n v="240"/>
    <x v="0"/>
    <s v="Email"/>
    <s v="Tier 1"/>
    <x v="16"/>
    <x v="2"/>
    <s v="No"/>
    <s v="No"/>
    <n v="1"/>
    <s v="Yes"/>
    <n v="4"/>
    <n v="4.0999999999999996"/>
    <n v="18.8"/>
    <s v="No"/>
    <s v="Fair"/>
    <s v="No"/>
    <s v="IT"/>
    <s v="Wednesday"/>
    <s v="Evening"/>
  </r>
  <r>
    <x v="2174"/>
    <s v="2024-04-16 16:19:38"/>
    <x v="11"/>
    <s v="2024-04-21 03:25:38"/>
    <x v="1627"/>
    <n v="4.5"/>
    <x v="4"/>
    <s v="Performance"/>
    <s v="High"/>
    <n v="120"/>
    <x v="1"/>
    <s v="Phone"/>
    <s v="Tier 2"/>
    <x v="14"/>
    <x v="2"/>
    <s v="No"/>
    <s v="Yes"/>
    <n v="2"/>
    <s v="No"/>
    <n v="10"/>
    <n v="4"/>
    <n v="11.2"/>
    <s v="Yes"/>
    <s v="Excellent"/>
    <s v="Yes"/>
    <s v="Executive"/>
    <s v="Friday"/>
    <s v="Morning"/>
  </r>
  <r>
    <x v="2175"/>
    <s v="2024-05-04 07:20:26"/>
    <x v="8"/>
    <s v="2024-05-19 05:08:26"/>
    <x v="1628"/>
    <n v="14.9"/>
    <x v="6"/>
    <s v="Distribution List"/>
    <s v="Medium"/>
    <n v="240"/>
    <x v="0"/>
    <s v="Email"/>
    <s v="Tier 1"/>
    <x v="8"/>
    <x v="0"/>
    <s v="No"/>
    <s v="No"/>
    <n v="1"/>
    <s v="No"/>
    <n v="4"/>
    <n v="3.8"/>
    <n v="6.4"/>
    <s v="Yes"/>
    <s v="Good"/>
    <s v="Yes"/>
    <s v="Legal"/>
    <s v="Wednesday"/>
    <s v="Morning"/>
  </r>
  <r>
    <x v="2176"/>
    <s v="2024-10-24 20:24:26"/>
    <x v="2"/>
    <s v="2024-11-06 02:12:26"/>
    <x v="236"/>
    <n v="12.3"/>
    <x v="5"/>
    <s v="Training Request"/>
    <s v="Medium"/>
    <n v="240"/>
    <x v="0"/>
    <s v="Phone"/>
    <s v="Tier 1"/>
    <x v="15"/>
    <x v="0"/>
    <s v="Yes"/>
    <s v="No"/>
    <n v="0"/>
    <s v="No"/>
    <n v="3"/>
    <n v="4.7"/>
    <n v="2.1"/>
    <s v="Yes"/>
    <s v="Poor"/>
    <s v="No"/>
    <s v="Finance"/>
    <s v="Tuesday"/>
    <s v="Morning"/>
  </r>
  <r>
    <x v="2177"/>
    <s v="2024-12-21 05:25:19"/>
    <x v="0"/>
    <s v="2024-12-29 11:01:19"/>
    <x v="162"/>
    <n v="8.1999999999999993"/>
    <x v="2"/>
    <s v="VPN Connection"/>
    <s v="High"/>
    <n v="120"/>
    <x v="0"/>
    <s v="Portal"/>
    <s v="Tier 1"/>
    <x v="15"/>
    <x v="2"/>
    <s v="No"/>
    <s v="No"/>
    <n v="1"/>
    <s v="Yes"/>
    <n v="4"/>
    <n v="0.7"/>
    <n v="2.5"/>
    <s v="Yes"/>
    <s v="Fair"/>
    <s v="Yes"/>
    <s v="Sales"/>
    <s v="Wednesday"/>
    <s v="Afternoon"/>
  </r>
  <r>
    <x v="2178"/>
    <s v="2024-03-02 04:05:28"/>
    <x v="5"/>
    <s v="2024-03-14 09:23:28"/>
    <x v="673"/>
    <n v="12.2"/>
    <x v="0"/>
    <s v="VPN Access"/>
    <s v="Low"/>
    <n v="360"/>
    <x v="1"/>
    <s v="Portal"/>
    <s v="Tier 1"/>
    <x v="5"/>
    <x v="2"/>
    <s v="Yes"/>
    <s v="No"/>
    <n v="0"/>
    <s v="Yes"/>
    <n v="8"/>
    <n v="3.7"/>
    <n v="19.100000000000001"/>
    <s v="Yes"/>
    <s v="Good"/>
    <s v="Yes"/>
    <s v="HR"/>
    <s v="Monday"/>
    <s v="Afternoon"/>
  </r>
  <r>
    <x v="2179"/>
    <s v="2024-12-10 23:12:29"/>
    <x v="0"/>
    <s v="2024-12-14 23:24:29"/>
    <x v="230"/>
    <n v="4"/>
    <x v="6"/>
    <s v="Calendar Sync"/>
    <s v="High"/>
    <n v="120"/>
    <x v="1"/>
    <s v="Walk-in"/>
    <s v="Tier 1"/>
    <x v="23"/>
    <x v="2"/>
    <s v="No"/>
    <s v="No"/>
    <n v="1"/>
    <s v="No"/>
    <n v="7"/>
    <n v="0.1"/>
    <n v="19.899999999999999"/>
    <s v="Yes"/>
    <s v="Excellent"/>
    <s v="No"/>
    <s v="IT"/>
    <s v="Friday"/>
    <s v="Evening"/>
  </r>
  <r>
    <x v="2180"/>
    <s v="2024-02-06 03:07:20"/>
    <x v="6"/>
    <s v="2024-02-16 10:07:20"/>
    <x v="121"/>
    <n v="10.3"/>
    <x v="5"/>
    <s v="General Inquiry"/>
    <s v="Low"/>
    <n v="360"/>
    <x v="1"/>
    <s v="Walk-in"/>
    <s v="Tier 1"/>
    <x v="2"/>
    <x v="1"/>
    <s v="Yes"/>
    <s v="No"/>
    <n v="0"/>
    <s v="No"/>
    <n v="10"/>
    <n v="3.9"/>
    <n v="20.399999999999999"/>
    <s v="Yes"/>
    <s v="Fair"/>
    <s v="Yes"/>
    <s v="Finance"/>
    <s v="Friday"/>
    <s v="Afternoon"/>
  </r>
  <r>
    <x v="2181"/>
    <s v="2024-12-07 14:10:08"/>
    <x v="0"/>
    <s v="2024-12-13 12:04:08"/>
    <x v="1629"/>
    <n v="5.9"/>
    <x v="4"/>
    <s v="Performance"/>
    <s v="High"/>
    <n v="120"/>
    <x v="0"/>
    <s v="Email"/>
    <s v="Tier 1"/>
    <x v="8"/>
    <x v="0"/>
    <s v="No"/>
    <s v="No"/>
    <n v="1"/>
    <s v="No"/>
    <n v="4"/>
    <n v="0.8"/>
    <n v="15.1"/>
    <s v="Yes"/>
    <s v="Poor"/>
    <s v="No"/>
    <s v="Finance"/>
    <s v="Tuesday"/>
    <s v="Evening"/>
  </r>
  <r>
    <x v="2182"/>
    <s v="2024-10-22 09:36:12"/>
    <x v="2"/>
    <s v="2024-10-31 18:00:12"/>
    <x v="292"/>
    <n v="9.4"/>
    <x v="0"/>
    <s v="VPN Access"/>
    <s v="Medium"/>
    <n v="240"/>
    <x v="1"/>
    <s v="Phone"/>
    <s v="Tier 1"/>
    <x v="20"/>
    <x v="2"/>
    <s v="Yes"/>
    <s v="No"/>
    <n v="0"/>
    <s v="No"/>
    <n v="10"/>
    <n v="4"/>
    <n v="6.3"/>
    <s v="Yes"/>
    <s v="Poor"/>
    <s v="Yes"/>
    <s v="Finance"/>
    <s v="Friday"/>
    <s v="Afternoon"/>
  </r>
  <r>
    <x v="2183"/>
    <s v="2024-12-11 00:08:05"/>
    <x v="0"/>
    <s v="2024-12-26 09:08:05"/>
    <x v="1630"/>
    <n v="14.4"/>
    <x v="6"/>
    <s v="Mailbox Full"/>
    <s v="Medium"/>
    <n v="240"/>
    <x v="0"/>
    <s v="Chat"/>
    <s v="Tier 2"/>
    <x v="2"/>
    <x v="0"/>
    <s v="No"/>
    <s v="Yes"/>
    <n v="4"/>
    <s v="No"/>
    <n v="4"/>
    <n v="2.4"/>
    <n v="14.7"/>
    <s v="No"/>
    <s v="Good"/>
    <s v="Yes"/>
    <s v="Sales"/>
    <s v="Thursday"/>
    <s v="Afternoon"/>
  </r>
  <r>
    <x v="2184"/>
    <s v="2024-06-27 01:43:04"/>
    <x v="10"/>
    <s v="2024-07-09 04:25:04"/>
    <x v="1631"/>
    <n v="11.1"/>
    <x v="3"/>
    <s v="Windows Password"/>
    <s v="Low"/>
    <n v="360"/>
    <x v="1"/>
    <s v="Phone"/>
    <s v="Tier 1"/>
    <x v="1"/>
    <x v="0"/>
    <s v="No"/>
    <s v="No"/>
    <n v="1"/>
    <s v="Yes"/>
    <n v="8"/>
    <n v="1.2"/>
    <n v="25.3"/>
    <s v="Yes"/>
    <s v="Good"/>
    <s v="No"/>
    <s v="Marketing"/>
    <s v="Tuesday"/>
    <s v="Afternoon"/>
  </r>
  <r>
    <x v="2185"/>
    <s v="2024-09-23 10:35:11"/>
    <x v="9"/>
    <s v="2024-09-30 12:53:11"/>
    <x v="1632"/>
    <n v="7.1"/>
    <x v="0"/>
    <s v="VPN Access"/>
    <s v="Medium"/>
    <n v="240"/>
    <x v="1"/>
    <s v="Phone"/>
    <s v="Tier 1"/>
    <x v="14"/>
    <x v="0"/>
    <s v="No"/>
    <s v="No"/>
    <n v="1"/>
    <s v="No"/>
    <n v="9"/>
    <n v="3.4"/>
    <n v="7.6"/>
    <s v="No"/>
    <s v="Good"/>
    <s v="Yes"/>
    <s v="Operations"/>
    <s v="Monday"/>
    <s v="Evening"/>
  </r>
  <r>
    <x v="2186"/>
    <s v="2024-04-14 01:39:28"/>
    <x v="11"/>
    <s v="2024-05-23 00:09:28"/>
    <x v="1633"/>
    <n v="38.9"/>
    <x v="7"/>
    <s v="Adobe Suite"/>
    <s v="Low"/>
    <n v="360"/>
    <x v="0"/>
    <s v="Portal"/>
    <s v="Tier 2"/>
    <x v="8"/>
    <x v="2"/>
    <s v="No"/>
    <s v="Yes"/>
    <n v="4"/>
    <s v="No"/>
    <n v="5"/>
    <n v="3.7"/>
    <n v="11.9"/>
    <s v="Yes"/>
    <s v="Good"/>
    <s v="Yes"/>
    <s v="IT"/>
    <s v="Wednesday"/>
    <s v="Afternoon"/>
  </r>
  <r>
    <x v="2187"/>
    <s v="2024-06-12 13:55:18"/>
    <x v="10"/>
    <s v="2024-06-15 15:01:18"/>
    <x v="101"/>
    <n v="3"/>
    <x v="2"/>
    <s v="VPN Connection"/>
    <s v="High"/>
    <n v="120"/>
    <x v="1"/>
    <s v="Phone"/>
    <s v="Tier 2"/>
    <x v="12"/>
    <x v="0"/>
    <s v="No"/>
    <s v="Yes"/>
    <n v="2"/>
    <s v="No"/>
    <n v="7"/>
    <n v="2.9"/>
    <n v="5.0999999999999996"/>
    <s v="Yes"/>
    <s v="Poor"/>
    <s v="Yes"/>
    <s v="Sales"/>
    <s v="Wednesday"/>
    <s v="Morning"/>
  </r>
  <r>
    <x v="2188"/>
    <s v="2024-07-07 09:48:00"/>
    <x v="4"/>
    <s v="2024-07-23 18:30:00"/>
    <x v="1634"/>
    <n v="16.399999999999999"/>
    <x v="3"/>
    <s v="Application Password"/>
    <s v="Low"/>
    <n v="360"/>
    <x v="0"/>
    <s v="Email"/>
    <s v="Tier 1"/>
    <x v="5"/>
    <x v="2"/>
    <s v="Yes"/>
    <s v="No"/>
    <n v="0"/>
    <s v="No"/>
    <n v="7"/>
    <n v="0.1"/>
    <n v="35.299999999999997"/>
    <s v="Yes"/>
    <s v="Good"/>
    <s v="Yes"/>
    <s v="Legal"/>
    <s v="Tuesday"/>
    <s v="Evening"/>
  </r>
  <r>
    <x v="2189"/>
    <s v="2024-07-18 02:15:52"/>
    <x v="4"/>
    <s v="2024-07-27 20:03:52"/>
    <x v="738"/>
    <n v="8.6999999999999993"/>
    <x v="7"/>
    <s v="Adobe Suite"/>
    <s v="Medium"/>
    <n v="240"/>
    <x v="1"/>
    <s v="Portal"/>
    <s v="Tier 1"/>
    <x v="9"/>
    <x v="1"/>
    <s v="Yes"/>
    <s v="No"/>
    <n v="0"/>
    <s v="No"/>
    <n v="10"/>
    <n v="3.3"/>
    <n v="17.399999999999999"/>
    <s v="Yes"/>
    <s v="Poor"/>
    <s v="Yes"/>
    <s v="HR"/>
    <s v="Monday"/>
    <s v="Morning"/>
  </r>
  <r>
    <x v="2190"/>
    <s v="2024-07-06 06:51:02"/>
    <x v="4"/>
    <s v="2024-07-16 17:21:02"/>
    <x v="1635"/>
    <n v="10.4"/>
    <x v="0"/>
    <s v="Application Access"/>
    <s v="Low"/>
    <n v="360"/>
    <x v="1"/>
    <s v="Email"/>
    <s v="Tier 1"/>
    <x v="19"/>
    <x v="1"/>
    <s v="Yes"/>
    <s v="No"/>
    <n v="0"/>
    <s v="No"/>
    <n v="9"/>
    <n v="2.9"/>
    <n v="23"/>
    <s v="Yes"/>
    <s v="Good"/>
    <s v="Yes"/>
    <s v="Sales"/>
    <s v="Thursday"/>
    <s v="Afternoon"/>
  </r>
  <r>
    <x v="2191"/>
    <s v="2024-11-24 08:27:04"/>
    <x v="7"/>
    <s v="2024-12-07 15:45:04"/>
    <x v="1636"/>
    <n v="13.3"/>
    <x v="3"/>
    <s v="Account Unlock"/>
    <s v="High"/>
    <n v="120"/>
    <x v="0"/>
    <s v="Phone"/>
    <s v="Tier 1"/>
    <x v="6"/>
    <x v="1"/>
    <s v="Yes"/>
    <s v="No"/>
    <n v="0"/>
    <s v="No"/>
    <n v="7"/>
    <n v="2.5"/>
    <n v="12.4"/>
    <s v="Yes"/>
    <s v="Fair"/>
    <s v="Yes"/>
    <s v="Finance"/>
    <s v="Thursday"/>
    <s v="Evening"/>
  </r>
  <r>
    <x v="2192"/>
    <s v="2024-12-25 17:43:05"/>
    <x v="0"/>
    <s v="2025-01-08 13:13:05"/>
    <x v="1637"/>
    <n v="13.8"/>
    <x v="1"/>
    <s v="Printer"/>
    <s v="High"/>
    <n v="120"/>
    <x v="0"/>
    <s v="Phone"/>
    <s v="Tier 1"/>
    <x v="22"/>
    <x v="1"/>
    <s v="No"/>
    <s v="No"/>
    <n v="1"/>
    <s v="No"/>
    <n v="4"/>
    <n v="1.1000000000000001"/>
    <n v="31.1"/>
    <s v="No"/>
    <s v="Good"/>
    <s v="Yes"/>
    <s v="Legal"/>
    <s v="Monday"/>
    <s v="Evening"/>
  </r>
  <r>
    <x v="2193"/>
    <s v="2024-04-18 10:22:46"/>
    <x v="11"/>
    <s v="2024-04-25 07:58:46"/>
    <x v="832"/>
    <n v="6.9"/>
    <x v="6"/>
    <s v="Cannot Send/Receive"/>
    <s v="Medium"/>
    <n v="240"/>
    <x v="1"/>
    <s v="Chat"/>
    <s v="Tier 1"/>
    <x v="21"/>
    <x v="2"/>
    <s v="No"/>
    <s v="No"/>
    <n v="1"/>
    <s v="No"/>
    <n v="10"/>
    <n v="6"/>
    <n v="17.8"/>
    <s v="Yes"/>
    <s v="Excellent"/>
    <s v="Yes"/>
    <s v="HR"/>
    <s v="Monday"/>
    <s v="Morning"/>
  </r>
  <r>
    <x v="2194"/>
    <s v="2024-01-30 07:50:21"/>
    <x v="3"/>
    <s v="2024-02-10 22:44:21"/>
    <x v="1638"/>
    <n v="11.6"/>
    <x v="3"/>
    <s v="Account Unlock"/>
    <s v="Low"/>
    <n v="360"/>
    <x v="1"/>
    <s v="Phone"/>
    <s v="Tier 1"/>
    <x v="24"/>
    <x v="2"/>
    <s v="Yes"/>
    <s v="No"/>
    <n v="0"/>
    <s v="No"/>
    <n v="9"/>
    <n v="4"/>
    <n v="27.9"/>
    <s v="No"/>
    <s v="Excellent"/>
    <s v="Yes"/>
    <s v="Executive"/>
    <s v="Monday"/>
    <s v="Evening"/>
  </r>
  <r>
    <x v="2195"/>
    <s v="2024-02-11 17:32:01"/>
    <x v="6"/>
    <s v="2024-03-04 22:44:01"/>
    <x v="1639"/>
    <n v="22.2"/>
    <x v="3"/>
    <s v="Windows Password"/>
    <s v="Low"/>
    <n v="360"/>
    <x v="0"/>
    <s v="Portal"/>
    <s v="Tier 1"/>
    <x v="17"/>
    <x v="1"/>
    <s v="Yes"/>
    <s v="No"/>
    <n v="0"/>
    <s v="No"/>
    <n v="10"/>
    <n v="7.1"/>
    <n v="19.5"/>
    <s v="Yes"/>
    <s v="Fair"/>
    <s v="Yes"/>
    <s v="Finance"/>
    <s v="Wednesday"/>
    <s v="Afternoon"/>
  </r>
  <r>
    <x v="2196"/>
    <s v="2024-03-29 22:34:41"/>
    <x v="5"/>
    <s v="2024-04-07 18:34:41"/>
    <x v="1640"/>
    <n v="8.8000000000000007"/>
    <x v="5"/>
    <s v="General Inquiry"/>
    <s v="Medium"/>
    <n v="240"/>
    <x v="1"/>
    <s v="Portal"/>
    <s v="Tier 1"/>
    <x v="1"/>
    <x v="1"/>
    <s v="Yes"/>
    <s v="No"/>
    <n v="0"/>
    <s v="No"/>
    <n v="9"/>
    <n v="4.3"/>
    <n v="53.6"/>
    <s v="Yes"/>
    <s v="Good"/>
    <s v="Yes"/>
    <s v="Finance"/>
    <s v="Wednesday"/>
    <s v="Evening"/>
  </r>
  <r>
    <x v="2197"/>
    <s v="2024-03-15 18:26:31"/>
    <x v="5"/>
    <s v="2024-04-04 11:14:31"/>
    <x v="1641"/>
    <n v="19.7"/>
    <x v="3"/>
    <s v="Application Password"/>
    <s v="Low"/>
    <n v="360"/>
    <x v="0"/>
    <s v="Email"/>
    <s v="Tier 1"/>
    <x v="16"/>
    <x v="1"/>
    <s v="No"/>
    <s v="No"/>
    <n v="1"/>
    <s v="No"/>
    <n v="6"/>
    <n v="0.1"/>
    <n v="21.4"/>
    <s v="No"/>
    <s v="Fair"/>
    <s v="No"/>
    <s v="Sales"/>
    <s v="Tuesday"/>
    <s v="Morning"/>
  </r>
  <r>
    <x v="2198"/>
    <s v="2024-04-01 12:15:07"/>
    <x v="11"/>
    <s v="2024-04-12 20:51:07"/>
    <x v="1302"/>
    <n v="11.4"/>
    <x v="5"/>
    <s v="Documentation"/>
    <s v="Low"/>
    <n v="360"/>
    <x v="1"/>
    <s v="Email"/>
    <s v="Tier 2"/>
    <x v="0"/>
    <x v="0"/>
    <s v="No"/>
    <s v="Yes"/>
    <n v="1"/>
    <s v="No"/>
    <n v="8"/>
    <n v="3.9"/>
    <n v="26.3"/>
    <s v="No"/>
    <s v="Fair"/>
    <s v="No"/>
    <s v="Sales"/>
    <s v="Wednesday"/>
    <s v="Morning"/>
  </r>
  <r>
    <x v="2199"/>
    <s v="2024-11-06 20:34:27"/>
    <x v="7"/>
    <s v="2024-11-11 07:16:27"/>
    <x v="111"/>
    <n v="4.4000000000000004"/>
    <x v="2"/>
    <s v="VPN Connection"/>
    <s v="High"/>
    <n v="120"/>
    <x v="1"/>
    <s v="Phone"/>
    <s v="Tier 2"/>
    <x v="11"/>
    <x v="0"/>
    <s v="No"/>
    <s v="Yes"/>
    <n v="3"/>
    <s v="No"/>
    <n v="9"/>
    <n v="2.7"/>
    <n v="7.1"/>
    <s v="Yes"/>
    <s v="Poor"/>
    <s v="No"/>
    <s v="Finance"/>
    <s v="Thursday"/>
    <s v="Evening"/>
  </r>
  <r>
    <x v="2200"/>
    <s v="2024-06-10 16:24:29"/>
    <x v="10"/>
    <s v="2024-06-21 18:54:29"/>
    <x v="1642"/>
    <n v="11.1"/>
    <x v="5"/>
    <s v="General Inquiry"/>
    <s v="Low"/>
    <n v="360"/>
    <x v="1"/>
    <s v="Email"/>
    <s v="Tier 1"/>
    <x v="9"/>
    <x v="0"/>
    <s v="No"/>
    <s v="No"/>
    <n v="1"/>
    <s v="No"/>
    <n v="7"/>
    <n v="3.1"/>
    <n v="28.8"/>
    <s v="Yes"/>
    <s v="Poor"/>
    <s v="Yes"/>
    <s v="Sales"/>
    <s v="Thursday"/>
    <s v="Afternoon"/>
  </r>
  <r>
    <x v="2201"/>
    <s v="2024-10-24 16:39:09"/>
    <x v="2"/>
    <s v="2024-10-29 02:33:09"/>
    <x v="385"/>
    <n v="4.5"/>
    <x v="4"/>
    <s v="Performance"/>
    <s v="High"/>
    <n v="120"/>
    <x v="1"/>
    <s v="Email"/>
    <s v="Tier 1"/>
    <x v="23"/>
    <x v="1"/>
    <s v="No"/>
    <s v="No"/>
    <n v="1"/>
    <s v="Yes"/>
    <n v="7"/>
    <n v="0.8"/>
    <n v="25.4"/>
    <s v="No"/>
    <s v="Poor"/>
    <s v="No"/>
    <s v="Executive"/>
    <s v="Tuesday"/>
    <s v="Morning"/>
  </r>
  <r>
    <x v="2202"/>
    <s v="2024-07-31 20:54:32"/>
    <x v="4"/>
    <s v="2024-08-10 05:36:32"/>
    <x v="224"/>
    <n v="9.4"/>
    <x v="4"/>
    <s v="Login Issues"/>
    <s v="Medium"/>
    <n v="240"/>
    <x v="1"/>
    <s v="Email"/>
    <s v="Tier 1"/>
    <x v="4"/>
    <x v="2"/>
    <s v="No"/>
    <s v="No"/>
    <n v="1"/>
    <s v="No"/>
    <n v="7"/>
    <n v="0.1"/>
    <n v="3.9"/>
    <s v="Yes"/>
    <s v="Fair"/>
    <s v="No"/>
    <s v="Executive"/>
    <s v="Monday"/>
    <s v="Afternoon"/>
  </r>
  <r>
    <x v="2203"/>
    <s v="2024-07-28 00:41:22"/>
    <x v="4"/>
    <s v="2024-08-04 17:53:22"/>
    <x v="29"/>
    <n v="6.7"/>
    <x v="1"/>
    <s v="Printer"/>
    <s v="High"/>
    <n v="120"/>
    <x v="0"/>
    <s v="Phone"/>
    <s v="Tier 2"/>
    <x v="7"/>
    <x v="1"/>
    <s v="No"/>
    <s v="Yes"/>
    <n v="2"/>
    <s v="No"/>
    <n v="7"/>
    <n v="0.1"/>
    <n v="19"/>
    <s v="Yes"/>
    <s v="Good"/>
    <s v="Yes"/>
    <s v="Sales"/>
    <s v="Friday"/>
    <s v="Evening"/>
  </r>
  <r>
    <x v="2204"/>
    <s v="2024-01-05 18:35:22"/>
    <x v="3"/>
    <s v="2024-01-09 13:47:22"/>
    <x v="1643"/>
    <n v="3.8"/>
    <x v="4"/>
    <s v="Crash"/>
    <s v="High"/>
    <n v="120"/>
    <x v="1"/>
    <s v="Chat"/>
    <s v="Tier 1"/>
    <x v="18"/>
    <x v="1"/>
    <s v="No"/>
    <s v="No"/>
    <n v="1"/>
    <s v="Yes"/>
    <n v="7"/>
    <n v="2.4"/>
    <n v="25.2"/>
    <s v="No"/>
    <s v="Poor"/>
    <s v="Yes"/>
    <s v="Sales"/>
    <s v="Monday"/>
    <s v="Afternoon"/>
  </r>
  <r>
    <x v="2205"/>
    <s v="2024-11-11 07:30:14"/>
    <x v="7"/>
    <s v="2024-11-20 04:42:14"/>
    <x v="1190"/>
    <n v="8.9"/>
    <x v="4"/>
    <s v="Performance"/>
    <s v="Medium"/>
    <n v="240"/>
    <x v="1"/>
    <s v="Email"/>
    <s v="Tier 2"/>
    <x v="16"/>
    <x v="2"/>
    <s v="No"/>
    <s v="Yes"/>
    <n v="3"/>
    <s v="No"/>
    <n v="10"/>
    <n v="0.1"/>
    <n v="10.7"/>
    <s v="Yes"/>
    <s v="Poor"/>
    <s v="Yes"/>
    <s v="Operations"/>
    <s v="Wednesday"/>
    <s v="Afternoon"/>
  </r>
  <r>
    <x v="2206"/>
    <s v="2024-05-16 17:41:37"/>
    <x v="8"/>
    <s v="2024-05-29 23:05:37"/>
    <x v="1165"/>
    <n v="13.2"/>
    <x v="7"/>
    <s v="Business Apps"/>
    <s v="Low"/>
    <n v="360"/>
    <x v="1"/>
    <s v="Portal"/>
    <s v="Tier 1"/>
    <x v="8"/>
    <x v="2"/>
    <s v="No"/>
    <s v="No"/>
    <n v="1"/>
    <s v="No"/>
    <n v="9"/>
    <n v="1.9"/>
    <n v="9.3000000000000007"/>
    <s v="Yes"/>
    <s v="Excellent"/>
    <s v="Yes"/>
    <s v="Finance"/>
    <s v="Wednesday"/>
    <s v="Afternoon"/>
  </r>
  <r>
    <x v="2207"/>
    <s v="2024-01-27 21:27:20"/>
    <x v="3"/>
    <s v="2024-02-01 13:09:20"/>
    <x v="1644"/>
    <n v="4.7"/>
    <x v="4"/>
    <s v="Login Issues"/>
    <s v="High"/>
    <n v="120"/>
    <x v="1"/>
    <s v="Walk-in"/>
    <s v="Tier 1"/>
    <x v="17"/>
    <x v="1"/>
    <s v="No"/>
    <s v="No"/>
    <n v="1"/>
    <s v="No"/>
    <n v="7"/>
    <n v="0.1"/>
    <n v="45.7"/>
    <s v="No"/>
    <s v="Excellent"/>
    <s v="Yes"/>
    <s v="HR"/>
    <s v="Friday"/>
    <s v="Morning"/>
  </r>
  <r>
    <x v="2208"/>
    <s v="2024-05-20 01:33:35"/>
    <x v="8"/>
    <s v="2024-06-05 11:33:35"/>
    <x v="1645"/>
    <n v="15.4"/>
    <x v="2"/>
    <s v="VPN Connection"/>
    <s v="Low"/>
    <n v="360"/>
    <x v="0"/>
    <s v="Portal"/>
    <s v="Tier 1"/>
    <x v="19"/>
    <x v="2"/>
    <s v="No"/>
    <s v="No"/>
    <n v="1"/>
    <s v="Yes"/>
    <n v="8"/>
    <n v="1.8"/>
    <n v="20.9"/>
    <s v="Yes"/>
    <s v="Poor"/>
    <s v="No"/>
    <s v="Sales"/>
    <s v="Friday"/>
    <s v="Morning"/>
  </r>
  <r>
    <x v="2209"/>
    <s v="2024-04-14 17:25:18"/>
    <x v="11"/>
    <s v="2024-04-25 11:31:18"/>
    <x v="1646"/>
    <n v="10.8"/>
    <x v="3"/>
    <s v="Windows Password"/>
    <s v="Low"/>
    <n v="360"/>
    <x v="1"/>
    <s v="Email"/>
    <s v="Tier 1"/>
    <x v="7"/>
    <x v="2"/>
    <s v="No"/>
    <s v="No"/>
    <n v="1"/>
    <s v="No"/>
    <n v="8"/>
    <n v="3.3"/>
    <n v="20.7"/>
    <s v="Yes"/>
    <s v="Poor"/>
    <s v="Yes"/>
    <s v="Legal"/>
    <s v="Friday"/>
    <s v="Morning"/>
  </r>
  <r>
    <x v="2210"/>
    <s v="2024-09-18 15:05:19"/>
    <x v="9"/>
    <s v="2024-10-02 04:53:19"/>
    <x v="619"/>
    <n v="13.6"/>
    <x v="3"/>
    <s v="Windows Password"/>
    <s v="High"/>
    <n v="120"/>
    <x v="0"/>
    <s v="Walk-in"/>
    <s v="Tier 1"/>
    <x v="9"/>
    <x v="2"/>
    <s v="Yes"/>
    <s v="No"/>
    <n v="0"/>
    <s v="No"/>
    <n v="7"/>
    <n v="4.8"/>
    <n v="29.1"/>
    <s v="Yes"/>
    <s v="Fair"/>
    <s v="Yes"/>
    <s v="Marketing"/>
    <s v="Wednesday"/>
    <s v="Afternoon"/>
  </r>
  <r>
    <x v="2211"/>
    <s v="2024-11-29 17:34:43"/>
    <x v="7"/>
    <s v="2024-12-24 17:46:43"/>
    <x v="1647"/>
    <n v="25"/>
    <x v="4"/>
    <s v="Features Not Working"/>
    <s v="Medium"/>
    <n v="240"/>
    <x v="0"/>
    <s v="Walk-in"/>
    <s v="Tier 2"/>
    <x v="16"/>
    <x v="0"/>
    <s v="No"/>
    <s v="Yes"/>
    <n v="3"/>
    <s v="No"/>
    <n v="7"/>
    <n v="2.9"/>
    <n v="24.1"/>
    <s v="Yes"/>
    <s v="Good"/>
    <s v="Yes"/>
    <s v="IT"/>
    <s v="Tuesday"/>
    <s v="Afternoon"/>
  </r>
  <r>
    <x v="2212"/>
    <s v="2024-10-30 19:15:11"/>
    <x v="2"/>
    <s v="2024-11-03 18:51:11"/>
    <x v="1648"/>
    <n v="4"/>
    <x v="1"/>
    <s v="Keyboard/Mouse"/>
    <s v="High"/>
    <n v="120"/>
    <x v="1"/>
    <s v="Walk-in"/>
    <s v="Tier 1"/>
    <x v="23"/>
    <x v="2"/>
    <s v="No"/>
    <s v="No"/>
    <n v="1"/>
    <s v="No"/>
    <n v="7"/>
    <n v="1.1000000000000001"/>
    <n v="18.3"/>
    <s v="Yes"/>
    <s v="Excellent"/>
    <s v="Yes"/>
    <s v="Executive"/>
    <s v="Monday"/>
    <s v="Evening"/>
  </r>
  <r>
    <x v="2213"/>
    <s v="2024-07-24 22:27:25"/>
    <x v="4"/>
    <s v="2024-08-01 23:03:25"/>
    <x v="1649"/>
    <n v="8"/>
    <x v="7"/>
    <s v="Adobe Suite"/>
    <s v="Medium"/>
    <n v="240"/>
    <x v="1"/>
    <s v="Phone"/>
    <s v="Tier 2"/>
    <x v="7"/>
    <x v="2"/>
    <s v="No"/>
    <s v="Yes"/>
    <n v="2"/>
    <s v="No"/>
    <n v="8"/>
    <n v="3.6"/>
    <n v="14.1"/>
    <s v="No"/>
    <s v="Excellent"/>
    <s v="Yes"/>
    <s v="Legal"/>
    <s v="Monday"/>
    <s v="Afternoon"/>
  </r>
  <r>
    <x v="2214"/>
    <s v="2024-12-19 00:12:20"/>
    <x v="0"/>
    <s v="2025-01-01 19:00:20"/>
    <x v="1438"/>
    <n v="12.8"/>
    <x v="3"/>
    <s v="Windows Password"/>
    <s v="Low"/>
    <n v="360"/>
    <x v="1"/>
    <s v="Phone"/>
    <s v="Tier 1"/>
    <x v="17"/>
    <x v="0"/>
    <s v="Yes"/>
    <s v="No"/>
    <n v="0"/>
    <s v="No"/>
    <n v="10"/>
    <n v="2.6"/>
    <n v="15.5"/>
    <s v="Yes"/>
    <s v="Poor"/>
    <s v="No"/>
    <s v="HR"/>
    <s v="Friday"/>
    <s v="Afternoon"/>
  </r>
  <r>
    <x v="2215"/>
    <s v="2024-03-05 15:00:20"/>
    <x v="5"/>
    <s v="2024-03-18 12:42:20"/>
    <x v="1650"/>
    <n v="12.9"/>
    <x v="3"/>
    <s v="Account Unlock"/>
    <s v="Low"/>
    <n v="360"/>
    <x v="1"/>
    <s v="Email"/>
    <s v="Tier 1"/>
    <x v="20"/>
    <x v="0"/>
    <s v="No"/>
    <s v="No"/>
    <n v="1"/>
    <s v="No"/>
    <n v="9"/>
    <n v="2.2000000000000002"/>
    <n v="11.1"/>
    <s v="Yes"/>
    <s v="Good"/>
    <s v="Yes"/>
    <s v="Sales"/>
    <s v="Monday"/>
    <s v="Morning"/>
  </r>
  <r>
    <x v="2216"/>
    <s v="2024-02-15 18:06:18"/>
    <x v="6"/>
    <s v="2024-03-08 00:54:18"/>
    <x v="1651"/>
    <n v="22.3"/>
    <x v="3"/>
    <s v="Account Unlock"/>
    <s v="Low"/>
    <n v="360"/>
    <x v="0"/>
    <s v="Email"/>
    <s v="Tier 1"/>
    <x v="21"/>
    <x v="2"/>
    <s v="Yes"/>
    <s v="No"/>
    <n v="0"/>
    <s v="No"/>
    <n v="7"/>
    <n v="2.7"/>
    <n v="7.1"/>
    <s v="Yes"/>
    <s v="Excellent"/>
    <s v="Yes"/>
    <s v="HR"/>
    <s v="Friday"/>
    <s v="Afternoon"/>
  </r>
  <r>
    <x v="2217"/>
    <s v="2024-09-21 06:41:47"/>
    <x v="9"/>
    <s v="2024-09-24 09:29:47"/>
    <x v="595"/>
    <n v="3.1"/>
    <x v="4"/>
    <s v="Crash"/>
    <s v="High"/>
    <n v="120"/>
    <x v="1"/>
    <s v="Walk-in"/>
    <s v="Tier 1"/>
    <x v="17"/>
    <x v="2"/>
    <s v="No"/>
    <s v="No"/>
    <n v="1"/>
    <s v="Yes"/>
    <n v="10"/>
    <n v="1.5"/>
    <n v="5.9"/>
    <s v="Yes"/>
    <s v="Fair"/>
    <s v="No"/>
    <s v="Executive"/>
    <s v="Wednesday"/>
    <s v="Morning"/>
  </r>
  <r>
    <x v="2218"/>
    <s v="2024-07-04 12:01:09"/>
    <x v="4"/>
    <s v="2024-07-14 02:49:09"/>
    <x v="1652"/>
    <n v="10.6"/>
    <x v="1"/>
    <s v="Printer"/>
    <s v="High"/>
    <n v="120"/>
    <x v="0"/>
    <s v="Phone"/>
    <s v="Tier 1"/>
    <x v="6"/>
    <x v="0"/>
    <s v="Yes"/>
    <s v="No"/>
    <n v="0"/>
    <s v="No"/>
    <n v="7"/>
    <n v="2.7"/>
    <n v="11.6"/>
    <s v="Yes"/>
    <s v="Good"/>
    <s v="Yes"/>
    <s v="Finance"/>
    <s v="Thursday"/>
    <s v="Morning"/>
  </r>
  <r>
    <x v="2219"/>
    <s v="2024-10-31 06:02:14"/>
    <x v="2"/>
    <s v="2024-11-13 19:50:14"/>
    <x v="619"/>
    <n v="13.6"/>
    <x v="3"/>
    <s v="Application Password"/>
    <s v="Low"/>
    <n v="360"/>
    <x v="1"/>
    <s v="Phone"/>
    <s v="Tier 1"/>
    <x v="24"/>
    <x v="2"/>
    <s v="No"/>
    <s v="No"/>
    <n v="1"/>
    <s v="No"/>
    <n v="8"/>
    <n v="3"/>
    <n v="11.2"/>
    <s v="Yes"/>
    <s v="Fair"/>
    <s v="Yes"/>
    <s v="IT"/>
    <s v="Thursday"/>
    <s v="Afternoon"/>
  </r>
  <r>
    <x v="2220"/>
    <s v="2024-08-12 09:26:58"/>
    <x v="1"/>
    <s v="2024-08-19 13:20:58"/>
    <x v="1653"/>
    <n v="7.2"/>
    <x v="7"/>
    <s v="Drivers"/>
    <s v="Medium"/>
    <n v="240"/>
    <x v="1"/>
    <s v="Email"/>
    <s v="Tier 2"/>
    <x v="22"/>
    <x v="2"/>
    <s v="No"/>
    <s v="Yes"/>
    <n v="3"/>
    <s v="No"/>
    <n v="5"/>
    <n v="2.9"/>
    <n v="0.8"/>
    <s v="No"/>
    <s v="Fair"/>
    <s v="Yes"/>
    <s v="Sales"/>
    <s v="Monday"/>
    <s v="Morning"/>
  </r>
  <r>
    <x v="2221"/>
    <s v="2024-09-04 09:38:47"/>
    <x v="9"/>
    <s v="2024-09-13 03:56:47"/>
    <x v="1654"/>
    <n v="8.8000000000000007"/>
    <x v="7"/>
    <s v="MS Office"/>
    <s v="Medium"/>
    <n v="240"/>
    <x v="1"/>
    <s v="Phone"/>
    <s v="Tier 2"/>
    <x v="20"/>
    <x v="1"/>
    <s v="No"/>
    <s v="Yes"/>
    <n v="2"/>
    <s v="No"/>
    <n v="7"/>
    <n v="4.9000000000000004"/>
    <n v="16.399999999999999"/>
    <s v="Yes"/>
    <s v="Fair"/>
    <s v="No"/>
    <s v="Marketing"/>
    <s v="Tuesday"/>
    <s v="Evening"/>
  </r>
  <r>
    <x v="2222"/>
    <s v="2024-04-28 08:40:08"/>
    <x v="11"/>
    <s v="2024-05-09 21:58:08"/>
    <x v="918"/>
    <n v="11.6"/>
    <x v="1"/>
    <s v="Docking Station"/>
    <s v="Low"/>
    <n v="360"/>
    <x v="1"/>
    <s v="Chat"/>
    <s v="Tier 2"/>
    <x v="0"/>
    <x v="0"/>
    <s v="No"/>
    <s v="Yes"/>
    <n v="4"/>
    <s v="No"/>
    <n v="8"/>
    <n v="0.1"/>
    <n v="0"/>
    <s v="Yes"/>
    <s v="Good"/>
    <s v="No"/>
    <s v="Marketing"/>
    <s v="Monday"/>
    <s v="Afternoon"/>
  </r>
  <r>
    <x v="2223"/>
    <s v="2024-10-04 07:16:16"/>
    <x v="2"/>
    <s v="2024-10-06 16:28:16"/>
    <x v="1655"/>
    <n v="2.4"/>
    <x v="0"/>
    <s v="File Share"/>
    <s v="Critical"/>
    <n v="48"/>
    <x v="0"/>
    <s v="Walk-in"/>
    <s v="Tier 1"/>
    <x v="10"/>
    <x v="2"/>
    <s v="No"/>
    <s v="No"/>
    <n v="1"/>
    <s v="No"/>
    <n v="3"/>
    <n v="2.9"/>
    <n v="27.9"/>
    <s v="Yes"/>
    <s v="Good"/>
    <s v="Yes"/>
    <s v="Operations"/>
    <s v="Monday"/>
    <s v="Morning"/>
  </r>
  <r>
    <x v="2224"/>
    <s v="2024-02-28 19:37:17"/>
    <x v="6"/>
    <s v="2024-03-11 23:19:17"/>
    <x v="1656"/>
    <n v="12.2"/>
    <x v="5"/>
    <s v="Miscellaneous"/>
    <s v="Low"/>
    <n v="360"/>
    <x v="1"/>
    <s v="Portal"/>
    <s v="Tier 1"/>
    <x v="5"/>
    <x v="2"/>
    <s v="No"/>
    <s v="No"/>
    <n v="1"/>
    <s v="No"/>
    <n v="9"/>
    <n v="3.7"/>
    <n v="16.2"/>
    <s v="No"/>
    <s v="Fair"/>
    <s v="No"/>
    <s v="IT"/>
    <s v="Wednesday"/>
    <s v="Afternoon"/>
  </r>
  <r>
    <x v="2225"/>
    <s v="2024-10-01 08:27:41"/>
    <x v="2"/>
    <s v="2024-10-11 17:09:41"/>
    <x v="1657"/>
    <n v="10.4"/>
    <x v="0"/>
    <s v="File Share"/>
    <s v="Low"/>
    <n v="360"/>
    <x v="1"/>
    <s v="Phone"/>
    <s v="Tier 1"/>
    <x v="8"/>
    <x v="2"/>
    <s v="No"/>
    <s v="No"/>
    <n v="1"/>
    <s v="No"/>
    <n v="10"/>
    <n v="2.2000000000000002"/>
    <n v="28.7"/>
    <s v="Yes"/>
    <s v="Fair"/>
    <s v="No"/>
    <s v="HR"/>
    <s v="Friday"/>
    <s v="Morning"/>
  </r>
  <r>
    <x v="2226"/>
    <s v="2024-11-16 15:30:16"/>
    <x v="7"/>
    <s v="2024-12-03 07:06:16"/>
    <x v="1658"/>
    <n v="16.7"/>
    <x v="3"/>
    <s v="Windows Password"/>
    <s v="Low"/>
    <n v="360"/>
    <x v="0"/>
    <s v="Phone"/>
    <s v="Tier 1"/>
    <x v="3"/>
    <x v="1"/>
    <s v="Yes"/>
    <s v="No"/>
    <n v="0"/>
    <s v="No"/>
    <n v="8"/>
    <n v="0.1"/>
    <n v="22.6"/>
    <s v="Yes"/>
    <s v="Excellent"/>
    <s v="Yes"/>
    <s v="Marketing"/>
    <s v="Friday"/>
    <s v="Afternoon"/>
  </r>
  <r>
    <x v="2227"/>
    <s v="2024-07-08 17:59:37"/>
    <x v="4"/>
    <s v="2024-07-13 18:59:37"/>
    <x v="1659"/>
    <n v="5"/>
    <x v="6"/>
    <s v="Calendar Sync"/>
    <s v="High"/>
    <n v="120"/>
    <x v="0"/>
    <s v="Email"/>
    <s v="Tier 1"/>
    <x v="6"/>
    <x v="0"/>
    <s v="No"/>
    <s v="No"/>
    <n v="1"/>
    <s v="Yes"/>
    <n v="7"/>
    <n v="2.2000000000000002"/>
    <n v="26.5"/>
    <s v="Yes"/>
    <s v="Good"/>
    <s v="Yes"/>
    <s v="Operations"/>
    <s v="Monday"/>
    <s v="Morning"/>
  </r>
  <r>
    <x v="2228"/>
    <s v="2024-04-11 00:12:48"/>
    <x v="11"/>
    <s v="2024-04-20 04:48:48"/>
    <x v="1383"/>
    <n v="8.1999999999999993"/>
    <x v="5"/>
    <s v="General Inquiry"/>
    <s v="Medium"/>
    <n v="240"/>
    <x v="1"/>
    <s v="Portal"/>
    <s v="Tier 1"/>
    <x v="18"/>
    <x v="2"/>
    <s v="No"/>
    <s v="No"/>
    <n v="1"/>
    <s v="Yes"/>
    <n v="7"/>
    <n v="3.4"/>
    <n v="16.600000000000001"/>
    <s v="Yes"/>
    <s v="Good"/>
    <s v="No"/>
    <s v="Executive"/>
    <s v="Thursday"/>
    <s v="Afternoon"/>
  </r>
  <r>
    <x v="2229"/>
    <s v="2024-04-07 05:24:16"/>
    <x v="11"/>
    <s v="2024-04-15 17:48:16"/>
    <x v="1660"/>
    <n v="8.5"/>
    <x v="0"/>
    <s v="File Share"/>
    <s v="Medium"/>
    <n v="240"/>
    <x v="1"/>
    <s v="Phone"/>
    <s v="Tier 1"/>
    <x v="6"/>
    <x v="0"/>
    <s v="Yes"/>
    <s v="No"/>
    <n v="0"/>
    <s v="No"/>
    <n v="10"/>
    <n v="4.4000000000000004"/>
    <n v="27.7"/>
    <s v="Yes"/>
    <s v="Poor"/>
    <s v="No"/>
    <s v="Legal"/>
    <s v="Friday"/>
    <s v="Evening"/>
  </r>
  <r>
    <x v="2230"/>
    <s v="2024-11-25 06:56:08"/>
    <x v="7"/>
    <s v="2024-12-05 08:32:08"/>
    <x v="1661"/>
    <n v="10.1"/>
    <x v="3"/>
    <s v="Email Password"/>
    <s v="Low"/>
    <n v="360"/>
    <x v="1"/>
    <s v="Email"/>
    <s v="Tier 1"/>
    <x v="8"/>
    <x v="0"/>
    <s v="Yes"/>
    <s v="No"/>
    <n v="0"/>
    <s v="No"/>
    <n v="8"/>
    <n v="0.1"/>
    <n v="12.5"/>
    <s v="No"/>
    <s v="Fair"/>
    <s v="No"/>
    <s v="Legal"/>
    <s v="Thursday"/>
    <s v="Morning"/>
  </r>
  <r>
    <x v="2231"/>
    <s v="2024-07-24 15:22:04"/>
    <x v="4"/>
    <s v="2024-07-26 05:10:04"/>
    <x v="1511"/>
    <n v="1.6"/>
    <x v="6"/>
    <s v="Calendar Sync"/>
    <s v="Critical"/>
    <n v="48"/>
    <x v="1"/>
    <s v="Phone"/>
    <s v="Tier 1"/>
    <x v="20"/>
    <x v="2"/>
    <s v="Yes"/>
    <s v="No"/>
    <n v="0"/>
    <s v="No"/>
    <n v="9"/>
    <n v="2.2999999999999998"/>
    <n v="5.5"/>
    <s v="Yes"/>
    <s v="Poor"/>
    <s v="No"/>
    <s v="HR"/>
    <s v="Thursday"/>
    <s v="Morning"/>
  </r>
  <r>
    <x v="2232"/>
    <s v="2024-08-31 22:56:52"/>
    <x v="1"/>
    <s v="2024-09-12 03:38:52"/>
    <x v="1662"/>
    <n v="11.2"/>
    <x v="3"/>
    <s v="Account Unlock"/>
    <s v="Low"/>
    <n v="360"/>
    <x v="1"/>
    <s v="Email"/>
    <s v="Tier 1"/>
    <x v="23"/>
    <x v="2"/>
    <s v="No"/>
    <s v="No"/>
    <n v="1"/>
    <s v="No"/>
    <n v="9"/>
    <n v="2.5"/>
    <n v="13.7"/>
    <s v="Yes"/>
    <s v="Excellent"/>
    <s v="Yes"/>
    <s v="IT"/>
    <s v="Tuesday"/>
    <s v="Morning"/>
  </r>
  <r>
    <x v="2233"/>
    <s v="2024-01-06 07:31:21"/>
    <x v="3"/>
    <s v="2024-01-18 18:49:21"/>
    <x v="1663"/>
    <n v="12.5"/>
    <x v="0"/>
    <s v="Admin Rights"/>
    <s v="Low"/>
    <n v="360"/>
    <x v="1"/>
    <s v="Email"/>
    <s v="Tier 1"/>
    <x v="18"/>
    <x v="2"/>
    <s v="No"/>
    <s v="No"/>
    <n v="1"/>
    <s v="No"/>
    <n v="8"/>
    <n v="4.2"/>
    <n v="6"/>
    <s v="Yes"/>
    <s v="Good"/>
    <s v="Yes"/>
    <s v="IT"/>
    <s v="Thursday"/>
    <s v="Morning"/>
  </r>
  <r>
    <x v="2234"/>
    <s v="2024-10-18 06:20:13"/>
    <x v="2"/>
    <s v="2024-10-21 16:44:13"/>
    <x v="1664"/>
    <n v="3.4"/>
    <x v="4"/>
    <s v="Features Not Working"/>
    <s v="High"/>
    <n v="120"/>
    <x v="1"/>
    <s v="Phone"/>
    <s v="Tier 2"/>
    <x v="8"/>
    <x v="2"/>
    <s v="No"/>
    <s v="Yes"/>
    <n v="2"/>
    <s v="No"/>
    <n v="8"/>
    <n v="5.2"/>
    <n v="18.399999999999999"/>
    <s v="Yes"/>
    <s v="Good"/>
    <s v="Yes"/>
    <s v="Legal"/>
    <s v="Thursday"/>
    <s v="Evening"/>
  </r>
  <r>
    <x v="2235"/>
    <s v="2024-11-01 07:32:11"/>
    <x v="7"/>
    <s v="2024-11-09 08:14:11"/>
    <x v="1189"/>
    <n v="8"/>
    <x v="0"/>
    <s v="Application Access"/>
    <s v="Medium"/>
    <n v="240"/>
    <x v="1"/>
    <s v="Portal"/>
    <s v="Tier 1"/>
    <x v="12"/>
    <x v="1"/>
    <s v="Yes"/>
    <s v="No"/>
    <n v="0"/>
    <s v="No"/>
    <n v="10"/>
    <n v="3.4"/>
    <n v="3.7"/>
    <s v="Yes"/>
    <s v="Fair"/>
    <s v="Yes"/>
    <s v="HR"/>
    <s v="Friday"/>
    <s v="Morning"/>
  </r>
  <r>
    <x v="2236"/>
    <s v="2024-10-21 19:20:33"/>
    <x v="2"/>
    <s v="2024-10-25 21:56:33"/>
    <x v="1665"/>
    <n v="4.0999999999999996"/>
    <x v="4"/>
    <s v="Features Not Working"/>
    <s v="High"/>
    <n v="120"/>
    <x v="1"/>
    <s v="Phone"/>
    <s v="Tier 2"/>
    <x v="3"/>
    <x v="2"/>
    <s v="No"/>
    <s v="Yes"/>
    <n v="3"/>
    <s v="No"/>
    <n v="9"/>
    <n v="2"/>
    <n v="20.399999999999999"/>
    <s v="Yes"/>
    <s v="Good"/>
    <s v="No"/>
    <s v="HR"/>
    <s v="Tuesday"/>
    <s v="Afternoon"/>
  </r>
  <r>
    <x v="2237"/>
    <s v="2024-08-25 06:55:14"/>
    <x v="1"/>
    <s v="2024-08-31 14:07:14"/>
    <x v="1666"/>
    <n v="6.3"/>
    <x v="2"/>
    <s v="WiFi Issues"/>
    <s v="Medium"/>
    <n v="240"/>
    <x v="1"/>
    <s v="Phone"/>
    <s v="Tier 1"/>
    <x v="22"/>
    <x v="2"/>
    <s v="No"/>
    <s v="No"/>
    <n v="1"/>
    <s v="Yes"/>
    <n v="8"/>
    <n v="0.1"/>
    <n v="12.2"/>
    <s v="Yes"/>
    <s v="Good"/>
    <s v="Yes"/>
    <s v="IT"/>
    <s v="Monday"/>
    <s v="Morning"/>
  </r>
  <r>
    <x v="2238"/>
    <s v="2024-09-10 10:49:09"/>
    <x v="9"/>
    <s v="2024-09-19 21:31:09"/>
    <x v="916"/>
    <n v="9.4"/>
    <x v="4"/>
    <s v="Crash"/>
    <s v="Medium"/>
    <n v="240"/>
    <x v="1"/>
    <s v="Phone"/>
    <s v="Tier 1"/>
    <x v="24"/>
    <x v="0"/>
    <s v="Yes"/>
    <s v="No"/>
    <n v="0"/>
    <s v="No"/>
    <n v="10"/>
    <n v="6.5"/>
    <n v="8.6"/>
    <s v="Yes"/>
    <s v="Fair"/>
    <s v="Yes"/>
    <s v="Legal"/>
    <s v="Wednesday"/>
    <s v="Evening"/>
  </r>
  <r>
    <x v="2239"/>
    <s v="2024-03-06 17:27:06"/>
    <x v="5"/>
    <s v="2024-03-12 23:33:06"/>
    <x v="1436"/>
    <n v="6.3"/>
    <x v="0"/>
    <s v="Admin Rights"/>
    <s v="Medium"/>
    <n v="240"/>
    <x v="1"/>
    <s v="Email"/>
    <s v="Tier 1"/>
    <x v="4"/>
    <x v="0"/>
    <s v="No"/>
    <s v="No"/>
    <n v="1"/>
    <s v="No"/>
    <n v="8"/>
    <n v="1"/>
    <n v="5.2"/>
    <s v="Yes"/>
    <s v="Excellent"/>
    <s v="No"/>
    <s v="Marketing"/>
    <s v="Tuesday"/>
    <s v="Morning"/>
  </r>
  <r>
    <x v="2240"/>
    <s v="2024-12-18 07:07:06"/>
    <x v="0"/>
    <s v="2024-12-27 17:19:06"/>
    <x v="1667"/>
    <n v="9.4"/>
    <x v="5"/>
    <s v="Miscellaneous"/>
    <s v="Medium"/>
    <n v="240"/>
    <x v="1"/>
    <s v="Phone"/>
    <s v="Tier 1"/>
    <x v="24"/>
    <x v="1"/>
    <s v="No"/>
    <s v="No"/>
    <n v="1"/>
    <s v="No"/>
    <n v="9"/>
    <n v="1.9"/>
    <n v="18.8"/>
    <s v="No"/>
    <s v="Poor"/>
    <s v="No"/>
    <s v="HR"/>
    <s v="Thursday"/>
    <s v="Evening"/>
  </r>
  <r>
    <x v="2241"/>
    <s v="2024-12-03 08:31:54"/>
    <x v="0"/>
    <s v="2024-12-11 18:19:54"/>
    <x v="1668"/>
    <n v="8.4"/>
    <x v="2"/>
    <s v="VPN Connection"/>
    <s v="Medium"/>
    <n v="240"/>
    <x v="1"/>
    <s v="Walk-in"/>
    <s v="Tier 2"/>
    <x v="13"/>
    <x v="1"/>
    <s v="No"/>
    <s v="Yes"/>
    <n v="2"/>
    <s v="No"/>
    <n v="6"/>
    <n v="6.8"/>
    <n v="0"/>
    <s v="Yes"/>
    <s v="Fair"/>
    <s v="No"/>
    <s v="Marketing"/>
    <s v="Monday"/>
    <s v="Afternoon"/>
  </r>
  <r>
    <x v="2242"/>
    <s v="2024-08-30 03:00:15"/>
    <x v="1"/>
    <s v="2024-08-31 10:30:15"/>
    <x v="504"/>
    <n v="1.3"/>
    <x v="1"/>
    <s v="Printer"/>
    <s v="Critical"/>
    <n v="48"/>
    <x v="1"/>
    <s v="Email"/>
    <s v="Tier 1"/>
    <x v="7"/>
    <x v="1"/>
    <s v="No"/>
    <s v="No"/>
    <n v="1"/>
    <s v="No"/>
    <n v="10"/>
    <n v="4.8"/>
    <n v="12.1"/>
    <s v="Yes"/>
    <s v="Poor"/>
    <s v="Yes"/>
    <s v="Legal"/>
    <s v="Thursday"/>
    <s v="Morning"/>
  </r>
  <r>
    <x v="2243"/>
    <s v="2024-06-09 06:21:32"/>
    <x v="10"/>
    <s v="2024-06-13 11:39:32"/>
    <x v="14"/>
    <n v="4.2"/>
    <x v="1"/>
    <s v="Keyboard/Mouse"/>
    <s v="High"/>
    <n v="120"/>
    <x v="1"/>
    <s v="Portal"/>
    <s v="Tier 2"/>
    <x v="5"/>
    <x v="1"/>
    <s v="No"/>
    <s v="Yes"/>
    <n v="4"/>
    <s v="No"/>
    <n v="10"/>
    <n v="2.7"/>
    <n v="20.399999999999999"/>
    <s v="Yes"/>
    <s v="Poor"/>
    <s v="Yes"/>
    <s v="Finance"/>
    <s v="Thursday"/>
    <s v="Morning"/>
  </r>
  <r>
    <x v="2244"/>
    <s v="2024-10-25 10:56:16"/>
    <x v="2"/>
    <s v="2024-10-31 01:38:16"/>
    <x v="987"/>
    <n v="6.7"/>
    <x v="4"/>
    <s v="Features Not Working"/>
    <s v="High"/>
    <n v="120"/>
    <x v="0"/>
    <s v="Portal"/>
    <s v="Tier 1"/>
    <x v="11"/>
    <x v="2"/>
    <s v="No"/>
    <s v="No"/>
    <n v="1"/>
    <s v="No"/>
    <n v="6"/>
    <n v="0.9"/>
    <n v="0"/>
    <s v="Yes"/>
    <s v="Good"/>
    <s v="Yes"/>
    <s v="Operations"/>
    <s v="Monday"/>
    <s v="Afternoon"/>
  </r>
  <r>
    <x v="2245"/>
    <s v="2024-12-22 04:55:57"/>
    <x v="0"/>
    <s v="2024-12-30 10:25:57"/>
    <x v="1299"/>
    <n v="8.1999999999999993"/>
    <x v="1"/>
    <s v="Laptop"/>
    <s v="Medium"/>
    <n v="240"/>
    <x v="1"/>
    <s v="Phone"/>
    <s v="Tier 1"/>
    <x v="23"/>
    <x v="1"/>
    <s v="No"/>
    <s v="No"/>
    <n v="1"/>
    <s v="No"/>
    <n v="10"/>
    <n v="2.2999999999999998"/>
    <n v="31.3"/>
    <s v="Yes"/>
    <s v="Fair"/>
    <s v="Yes"/>
    <s v="IT"/>
    <s v="Wednesday"/>
    <s v="Afternoon"/>
  </r>
  <r>
    <x v="2246"/>
    <s v="2024-07-02 07:02:55"/>
    <x v="4"/>
    <s v="2024-07-10 18:14:55"/>
    <x v="1669"/>
    <n v="8.5"/>
    <x v="0"/>
    <s v="VPN Access"/>
    <s v="Medium"/>
    <n v="240"/>
    <x v="1"/>
    <s v="Walk-in"/>
    <s v="Tier 1"/>
    <x v="23"/>
    <x v="2"/>
    <s v="Yes"/>
    <s v="No"/>
    <n v="0"/>
    <s v="No"/>
    <n v="9"/>
    <n v="5.2"/>
    <n v="34.6"/>
    <s v="Yes"/>
    <s v="Fair"/>
    <s v="Yes"/>
    <s v="Marketing"/>
    <s v="Friday"/>
    <s v="Evening"/>
  </r>
  <r>
    <x v="2247"/>
    <s v="2024-09-02 06:33:57"/>
    <x v="9"/>
    <s v="2024-09-10 11:39:57"/>
    <x v="1021"/>
    <n v="8.1999999999999993"/>
    <x v="7"/>
    <s v="VPN Client"/>
    <s v="Medium"/>
    <n v="240"/>
    <x v="1"/>
    <s v="Portal"/>
    <s v="Tier 2"/>
    <x v="9"/>
    <x v="2"/>
    <s v="No"/>
    <s v="Yes"/>
    <n v="4"/>
    <s v="Yes"/>
    <n v="8"/>
    <n v="2.6"/>
    <n v="16.100000000000001"/>
    <s v="Yes"/>
    <s v="Poor"/>
    <s v="Yes"/>
    <s v="Legal"/>
    <s v="Tuesday"/>
    <s v="Afternoon"/>
  </r>
  <r>
    <x v="2248"/>
    <s v="2024-12-08 07:36:22"/>
    <x v="0"/>
    <s v="2024-12-19 07:48:22"/>
    <x v="520"/>
    <n v="11"/>
    <x v="1"/>
    <s v="Printer"/>
    <s v="High"/>
    <n v="120"/>
    <x v="0"/>
    <s v="Portal"/>
    <s v="Tier 2"/>
    <x v="1"/>
    <x v="2"/>
    <s v="No"/>
    <s v="Yes"/>
    <n v="3"/>
    <s v="No"/>
    <n v="4"/>
    <n v="1.9"/>
    <n v="18.8"/>
    <s v="No"/>
    <s v="Poor"/>
    <s v="Yes"/>
    <s v="Finance"/>
    <s v="Thursday"/>
    <s v="Morning"/>
  </r>
  <r>
    <x v="2249"/>
    <s v="2024-10-15 15:43:54"/>
    <x v="2"/>
    <s v="2024-11-09 16:01:54"/>
    <x v="1670"/>
    <n v="25.1"/>
    <x v="6"/>
    <s v="Cannot Send/Receive"/>
    <s v="Medium"/>
    <n v="240"/>
    <x v="0"/>
    <s v="Portal"/>
    <s v="Tier 2"/>
    <x v="8"/>
    <x v="2"/>
    <s v="No"/>
    <s v="Yes"/>
    <n v="4"/>
    <s v="No"/>
    <n v="4"/>
    <n v="1.5"/>
    <n v="37.6"/>
    <s v="No"/>
    <s v="Good"/>
    <s v="Yes"/>
    <s v="IT"/>
    <s v="Friday"/>
    <s v="Evening"/>
  </r>
  <r>
    <x v="2250"/>
    <s v="2024-08-13 01:42:50"/>
    <x v="1"/>
    <s v="2024-08-26 23:18:50"/>
    <x v="1671"/>
    <n v="12.9"/>
    <x v="2"/>
    <s v="Ethernet"/>
    <s v="High"/>
    <n v="120"/>
    <x v="0"/>
    <s v="Walk-in"/>
    <s v="Tier 2"/>
    <x v="2"/>
    <x v="0"/>
    <s v="No"/>
    <s v="Yes"/>
    <n v="3"/>
    <s v="No"/>
    <n v="5"/>
    <n v="2.8"/>
    <n v="24.4"/>
    <s v="Yes"/>
    <s v="Excellent"/>
    <s v="Yes"/>
    <s v="HR"/>
    <s v="Friday"/>
    <s v="Morning"/>
  </r>
  <r>
    <x v="2251"/>
    <s v="2024-08-20 01:28:41"/>
    <x v="1"/>
    <s v="2024-09-02 07:16:41"/>
    <x v="1672"/>
    <n v="12.2"/>
    <x v="3"/>
    <s v="Account Unlock"/>
    <s v="Low"/>
    <n v="360"/>
    <x v="1"/>
    <s v="Portal"/>
    <s v="Tier 1"/>
    <x v="10"/>
    <x v="0"/>
    <s v="Yes"/>
    <s v="No"/>
    <n v="0"/>
    <s v="No"/>
    <n v="9"/>
    <n v="3.4"/>
    <n v="38.299999999999997"/>
    <s v="Yes"/>
    <s v="Good"/>
    <s v="Yes"/>
    <s v="Legal"/>
    <s v="Monday"/>
    <s v="Morning"/>
  </r>
  <r>
    <x v="2252"/>
    <s v="2024-06-06 09:13:00"/>
    <x v="10"/>
    <s v="2024-06-15 11:01:00"/>
    <x v="669"/>
    <n v="9.1"/>
    <x v="5"/>
    <s v="General Inquiry"/>
    <s v="Low"/>
    <n v="360"/>
    <x v="1"/>
    <s v="Phone"/>
    <s v="Tier 1"/>
    <x v="14"/>
    <x v="0"/>
    <s v="No"/>
    <s v="No"/>
    <n v="1"/>
    <s v="No"/>
    <n v="7"/>
    <n v="5"/>
    <n v="19.8"/>
    <s v="No"/>
    <s v="Fair"/>
    <s v="No"/>
    <s v="Sales"/>
    <s v="Friday"/>
    <s v="Afternoon"/>
  </r>
  <r>
    <x v="2253"/>
    <s v="2024-03-10 17:16:16"/>
    <x v="5"/>
    <s v="2024-03-25 16:04:16"/>
    <x v="857"/>
    <n v="15"/>
    <x v="3"/>
    <s v="Windows Password"/>
    <s v="Medium"/>
    <n v="240"/>
    <x v="0"/>
    <s v="Phone"/>
    <s v="Tier 1"/>
    <x v="9"/>
    <x v="1"/>
    <s v="Yes"/>
    <s v="No"/>
    <n v="0"/>
    <s v="No"/>
    <n v="7"/>
    <n v="0.4"/>
    <n v="17.5"/>
    <s v="No"/>
    <s v="Fair"/>
    <s v="No"/>
    <s v="Marketing"/>
    <s v="Wednesday"/>
    <s v="Morning"/>
  </r>
  <r>
    <x v="2254"/>
    <s v="2024-03-11 23:34:15"/>
    <x v="5"/>
    <s v="2024-03-25 07:10:15"/>
    <x v="222"/>
    <n v="13.3"/>
    <x v="0"/>
    <s v="VPN Access"/>
    <s v="Low"/>
    <n v="360"/>
    <x v="1"/>
    <s v="Email"/>
    <s v="Tier 1"/>
    <x v="19"/>
    <x v="2"/>
    <s v="Yes"/>
    <s v="No"/>
    <n v="0"/>
    <s v="No"/>
    <n v="9"/>
    <n v="2.9"/>
    <n v="28.2"/>
    <s v="Yes"/>
    <s v="Good"/>
    <s v="Yes"/>
    <s v="Sales"/>
    <s v="Monday"/>
    <s v="Afternoon"/>
  </r>
  <r>
    <x v="2255"/>
    <s v="2024-10-13 22:52:12"/>
    <x v="2"/>
    <s v="2024-10-25 03:16:12"/>
    <x v="1673"/>
    <n v="11.2"/>
    <x v="7"/>
    <s v="MS Office"/>
    <s v="Medium"/>
    <n v="240"/>
    <x v="0"/>
    <s v="Chat"/>
    <s v="Tier 2"/>
    <x v="18"/>
    <x v="2"/>
    <s v="No"/>
    <s v="Yes"/>
    <n v="1"/>
    <s v="Yes"/>
    <n v="4"/>
    <n v="3.2"/>
    <n v="43.1"/>
    <s v="No"/>
    <s v="Good"/>
    <s v="Yes"/>
    <s v="Finance"/>
    <s v="Thursday"/>
    <s v="Afternoon"/>
  </r>
  <r>
    <x v="2256"/>
    <s v="2024-03-01 19:44:52"/>
    <x v="5"/>
    <s v="2024-03-05 13:44:52"/>
    <x v="1206"/>
    <n v="3.8"/>
    <x v="6"/>
    <s v="Calendar Sync"/>
    <s v="High"/>
    <n v="120"/>
    <x v="1"/>
    <s v="Phone"/>
    <s v="Tier 2"/>
    <x v="21"/>
    <x v="1"/>
    <s v="No"/>
    <s v="Yes"/>
    <n v="2"/>
    <s v="No"/>
    <n v="10"/>
    <n v="1.9"/>
    <n v="3.6"/>
    <s v="No"/>
    <s v="Fair"/>
    <s v="Yes"/>
    <s v="IT"/>
    <s v="Friday"/>
    <s v="Afternoon"/>
  </r>
  <r>
    <x v="2257"/>
    <s v="2024-09-20 00:56:36"/>
    <x v="9"/>
    <s v="2024-10-01 15:20:36"/>
    <x v="1674"/>
    <n v="10.6"/>
    <x v="7"/>
    <s v="VPN Client"/>
    <s v="Low"/>
    <n v="360"/>
    <x v="1"/>
    <s v="Phone"/>
    <s v="Tier 2"/>
    <x v="12"/>
    <x v="2"/>
    <s v="No"/>
    <s v="Yes"/>
    <n v="3"/>
    <s v="No"/>
    <n v="10"/>
    <n v="3.4"/>
    <n v="13.4"/>
    <s v="Yes"/>
    <s v="Fair"/>
    <s v="Yes"/>
    <s v="Executive"/>
    <s v="Thursday"/>
    <s v="Afternoon"/>
  </r>
  <r>
    <x v="2258"/>
    <s v="2024-08-17 12:38:50"/>
    <x v="1"/>
    <s v="2024-08-26 03:14:50"/>
    <x v="1675"/>
    <n v="8.6"/>
    <x v="5"/>
    <s v="General Inquiry"/>
    <s v="Medium"/>
    <n v="240"/>
    <x v="1"/>
    <s v="Email"/>
    <s v="Tier 1"/>
    <x v="0"/>
    <x v="2"/>
    <s v="Yes"/>
    <s v="No"/>
    <n v="0"/>
    <s v="Yes"/>
    <n v="10"/>
    <n v="1.2"/>
    <n v="12.3"/>
    <s v="No"/>
    <s v="Good"/>
    <s v="Yes"/>
    <s v="Sales"/>
    <s v="Wednesday"/>
    <s v="Morning"/>
  </r>
  <r>
    <x v="2259"/>
    <s v="2024-12-05 18:51:48"/>
    <x v="0"/>
    <s v="2024-12-20 04:27:48"/>
    <x v="413"/>
    <n v="14.4"/>
    <x v="4"/>
    <s v="Features Not Working"/>
    <s v="Medium"/>
    <n v="240"/>
    <x v="0"/>
    <s v="Portal"/>
    <s v="Tier 2"/>
    <x v="8"/>
    <x v="2"/>
    <s v="No"/>
    <s v="Yes"/>
    <n v="1"/>
    <s v="Yes"/>
    <n v="4"/>
    <n v="3.5"/>
    <n v="11.9"/>
    <s v="Yes"/>
    <s v="Fair"/>
    <s v="Yes"/>
    <s v="Marketing"/>
    <s v="Monday"/>
    <s v="Afternoon"/>
  </r>
  <r>
    <x v="2260"/>
    <s v="2024-02-14 02:07:17"/>
    <x v="6"/>
    <s v="2024-03-01 01:49:17"/>
    <x v="1676"/>
    <n v="17"/>
    <x v="3"/>
    <s v="Application Password"/>
    <s v="Low"/>
    <n v="360"/>
    <x v="0"/>
    <s v="Portal"/>
    <s v="Tier 1"/>
    <x v="6"/>
    <x v="1"/>
    <s v="Yes"/>
    <s v="No"/>
    <n v="0"/>
    <s v="No"/>
    <n v="8"/>
    <n v="1.9"/>
    <n v="30.3"/>
    <s v="No"/>
    <s v="Fair"/>
    <s v="No"/>
    <s v="IT"/>
    <s v="Monday"/>
    <s v="Afternoon"/>
  </r>
  <r>
    <x v="2261"/>
    <s v="2024-09-03 01:21:05"/>
    <x v="9"/>
    <s v="2024-09-18 06:21:05"/>
    <x v="203"/>
    <n v="14.2"/>
    <x v="3"/>
    <s v="Email Password"/>
    <s v="Low"/>
    <n v="360"/>
    <x v="1"/>
    <s v="Phone"/>
    <s v="Tier 1"/>
    <x v="2"/>
    <x v="2"/>
    <s v="Yes"/>
    <s v="No"/>
    <n v="0"/>
    <s v="No"/>
    <n v="10"/>
    <n v="1.3"/>
    <n v="10.199999999999999"/>
    <s v="Yes"/>
    <s v="Poor"/>
    <s v="Yes"/>
    <s v="Operations"/>
    <s v="Wednesday"/>
    <s v="Morning"/>
  </r>
  <r>
    <x v="2262"/>
    <s v="2024-10-05 09:16:12"/>
    <x v="2"/>
    <s v="2024-10-16 14:46:12"/>
    <x v="259"/>
    <n v="11.2"/>
    <x v="4"/>
    <s v="Features Not Working"/>
    <s v="Low"/>
    <n v="360"/>
    <x v="1"/>
    <s v="Phone"/>
    <s v="Tier 2"/>
    <x v="20"/>
    <x v="1"/>
    <s v="No"/>
    <s v="Yes"/>
    <n v="3"/>
    <s v="No"/>
    <n v="7"/>
    <n v="1.6"/>
    <n v="0"/>
    <s v="No"/>
    <s v="Fair"/>
    <s v="Yes"/>
    <s v="Legal"/>
    <s v="Thursday"/>
    <s v="Afternoon"/>
  </r>
  <r>
    <x v="2263"/>
    <s v="2024-08-20 01:50:47"/>
    <x v="1"/>
    <s v="2024-09-03 02:44:47"/>
    <x v="1677"/>
    <n v="14"/>
    <x v="3"/>
    <s v="Email Password"/>
    <s v="Low"/>
    <n v="360"/>
    <x v="1"/>
    <s v="Chat"/>
    <s v="Tier 1"/>
    <x v="16"/>
    <x v="2"/>
    <s v="No"/>
    <s v="No"/>
    <n v="1"/>
    <s v="No"/>
    <n v="9"/>
    <n v="4.2"/>
    <n v="23.5"/>
    <s v="No"/>
    <s v="Good"/>
    <s v="Yes"/>
    <s v="Marketing"/>
    <s v="Tuesday"/>
    <s v="Afternoon"/>
  </r>
  <r>
    <x v="2264"/>
    <s v="2024-07-10 02:54:30"/>
    <x v="4"/>
    <s v="2024-07-20 08:06:30"/>
    <x v="744"/>
    <n v="9.1999999999999993"/>
    <x v="5"/>
    <s v="Documentation"/>
    <s v="Low"/>
    <n v="360"/>
    <x v="1"/>
    <s v="Phone"/>
    <s v="Tier 2"/>
    <x v="19"/>
    <x v="1"/>
    <s v="No"/>
    <s v="Yes"/>
    <n v="1"/>
    <s v="No"/>
    <n v="10"/>
    <n v="3.4"/>
    <n v="2.5"/>
    <s v="Yes"/>
    <s v="Poor"/>
    <s v="Yes"/>
    <s v="Sales"/>
    <s v="Tuesday"/>
    <s v="Afternoon"/>
  </r>
  <r>
    <x v="2265"/>
    <s v="2024-04-28 08:13:27"/>
    <x v="11"/>
    <s v="2024-05-05 12:43:27"/>
    <x v="1678"/>
    <n v="7.2"/>
    <x v="7"/>
    <s v="MS Office"/>
    <s v="Medium"/>
    <n v="240"/>
    <x v="1"/>
    <s v="Phone"/>
    <s v="Tier 2"/>
    <x v="21"/>
    <x v="2"/>
    <s v="No"/>
    <s v="Yes"/>
    <n v="1"/>
    <s v="No"/>
    <n v="7"/>
    <n v="3"/>
    <n v="7.3"/>
    <s v="No"/>
    <s v="Fair"/>
    <s v="No"/>
    <s v="HR"/>
    <s v="Monday"/>
    <s v="Morning"/>
  </r>
  <r>
    <x v="2266"/>
    <s v="2024-08-08 16:39:44"/>
    <x v="1"/>
    <s v="2024-08-13 06:51:44"/>
    <x v="1679"/>
    <n v="4.5999999999999996"/>
    <x v="2"/>
    <s v="Slow Network"/>
    <s v="High"/>
    <n v="120"/>
    <x v="1"/>
    <s v="Phone"/>
    <s v="Tier 2"/>
    <x v="12"/>
    <x v="1"/>
    <s v="No"/>
    <s v="Yes"/>
    <n v="2"/>
    <s v="No"/>
    <n v="8"/>
    <n v="4.0999999999999996"/>
    <n v="44.1"/>
    <s v="Yes"/>
    <s v="Fair"/>
    <s v="No"/>
    <s v="Legal"/>
    <s v="Thursday"/>
    <s v="Afternoon"/>
  </r>
  <r>
    <x v="2267"/>
    <s v="2024-04-24 22:54:13"/>
    <x v="11"/>
    <s v="2024-04-29 07:36:13"/>
    <x v="1680"/>
    <n v="4.4000000000000004"/>
    <x v="2"/>
    <s v="WiFi Issues"/>
    <s v="High"/>
    <n v="120"/>
    <x v="1"/>
    <s v="Phone"/>
    <s v="Tier 1"/>
    <x v="18"/>
    <x v="2"/>
    <s v="No"/>
    <s v="No"/>
    <n v="1"/>
    <s v="No"/>
    <n v="10"/>
    <n v="0.3"/>
    <n v="0"/>
    <s v="Yes"/>
    <s v="Fair"/>
    <s v="Yes"/>
    <s v="HR"/>
    <s v="Friday"/>
    <s v="Morning"/>
  </r>
  <r>
    <x v="2268"/>
    <s v="2024-11-21 10:32:27"/>
    <x v="7"/>
    <s v="2024-11-25 01:08:27"/>
    <x v="455"/>
    <n v="4.5999999999999996"/>
    <x v="0"/>
    <s v="VPN Access"/>
    <s v="High"/>
    <n v="120"/>
    <x v="1"/>
    <s v="Phone"/>
    <s v="Tier 1"/>
    <x v="5"/>
    <x v="2"/>
    <s v="Yes"/>
    <s v="No"/>
    <n v="0"/>
    <s v="No"/>
    <n v="10"/>
    <n v="2.7"/>
    <n v="23.5"/>
    <s v="No"/>
    <s v="Good"/>
    <s v="No"/>
    <s v="Finance"/>
    <s v="Wednesday"/>
    <s v="Afternoon"/>
  </r>
  <r>
    <x v="2269"/>
    <s v="2024-04-18 08:22:34"/>
    <x v="11"/>
    <s v="2024-04-27 03:58:34"/>
    <x v="1681"/>
    <n v="8.8000000000000007"/>
    <x v="0"/>
    <s v="Application Access"/>
    <s v="Medium"/>
    <n v="240"/>
    <x v="1"/>
    <s v="Portal"/>
    <s v="Tier 1"/>
    <x v="7"/>
    <x v="0"/>
    <s v="No"/>
    <s v="No"/>
    <n v="1"/>
    <s v="No"/>
    <n v="7"/>
    <n v="4.8"/>
    <n v="19.2"/>
    <s v="Yes"/>
    <s v="Excellent"/>
    <s v="No"/>
    <s v="Legal"/>
    <s v="Friday"/>
    <s v="Afternoon"/>
  </r>
  <r>
    <x v="2270"/>
    <s v="2024-09-05 10:34:33"/>
    <x v="9"/>
    <s v="2024-09-11 16:40:33"/>
    <x v="1436"/>
    <n v="6.3"/>
    <x v="1"/>
    <s v="Laptop"/>
    <s v="High"/>
    <n v="120"/>
    <x v="0"/>
    <s v="Phone"/>
    <s v="Tier 2"/>
    <x v="19"/>
    <x v="1"/>
    <s v="No"/>
    <s v="Yes"/>
    <n v="3"/>
    <s v="No"/>
    <n v="5"/>
    <n v="2.2999999999999998"/>
    <n v="13.7"/>
    <s v="Yes"/>
    <s v="Poor"/>
    <s v="No"/>
    <s v="Executive"/>
    <s v="Tuesday"/>
    <s v="Morning"/>
  </r>
  <r>
    <x v="2271"/>
    <s v="2024-09-26 07:11:26"/>
    <x v="9"/>
    <s v="2024-10-07 12:59:26"/>
    <x v="1682"/>
    <n v="11.2"/>
    <x v="5"/>
    <s v="Documentation"/>
    <s v="Low"/>
    <n v="360"/>
    <x v="1"/>
    <s v="Portal"/>
    <s v="Tier 1"/>
    <x v="5"/>
    <x v="1"/>
    <s v="Yes"/>
    <s v="No"/>
    <n v="0"/>
    <s v="No"/>
    <n v="10"/>
    <n v="3.3"/>
    <n v="21.5"/>
    <s v="No"/>
    <s v="Good"/>
    <s v="Yes"/>
    <s v="IT"/>
    <s v="Monday"/>
    <s v="Afternoon"/>
  </r>
  <r>
    <x v="2272"/>
    <s v="2024-03-23 19:40:13"/>
    <x v="5"/>
    <s v="2024-03-26 01:10:13"/>
    <x v="1683"/>
    <n v="3.2"/>
    <x v="1"/>
    <s v="Desktop"/>
    <s v="High"/>
    <n v="120"/>
    <x v="1"/>
    <s v="Portal"/>
    <s v="Tier 2"/>
    <x v="15"/>
    <x v="1"/>
    <s v="No"/>
    <s v="Yes"/>
    <n v="3"/>
    <s v="No"/>
    <n v="9"/>
    <n v="4.8"/>
    <n v="37.6"/>
    <s v="Yes"/>
    <s v="Poor"/>
    <s v="Yes"/>
    <s v="HR"/>
    <s v="Thursday"/>
    <s v="Morning"/>
  </r>
  <r>
    <x v="2273"/>
    <s v="2024-07-12 19:55:34"/>
    <x v="4"/>
    <s v="2024-07-24 05:37:34"/>
    <x v="1684"/>
    <n v="11.4"/>
    <x v="5"/>
    <s v="Training Request"/>
    <s v="Low"/>
    <n v="360"/>
    <x v="1"/>
    <s v="Walk-in"/>
    <s v="Tier 1"/>
    <x v="24"/>
    <x v="2"/>
    <s v="No"/>
    <s v="No"/>
    <n v="1"/>
    <s v="No"/>
    <n v="8"/>
    <n v="1.7"/>
    <n v="23.1"/>
    <s v="Yes"/>
    <s v="Fair"/>
    <s v="Yes"/>
    <s v="Legal"/>
    <s v="Monday"/>
    <s v="Morning"/>
  </r>
  <r>
    <x v="2274"/>
    <s v="2024-11-26 20:08:26"/>
    <x v="7"/>
    <s v="2024-11-30 00:38:26"/>
    <x v="1685"/>
    <n v="4.2"/>
    <x v="6"/>
    <s v="Mailbox Full"/>
    <s v="High"/>
    <n v="120"/>
    <x v="1"/>
    <s v="Portal"/>
    <s v="Tier 1"/>
    <x v="15"/>
    <x v="2"/>
    <s v="Yes"/>
    <s v="No"/>
    <n v="0"/>
    <s v="No"/>
    <n v="8"/>
    <n v="0.4"/>
    <n v="21.1"/>
    <s v="No"/>
    <s v="Excellent"/>
    <s v="Yes"/>
    <s v="Sales"/>
    <s v="Thursday"/>
    <s v="Morning"/>
  </r>
  <r>
    <x v="2275"/>
    <s v="2024-02-10 05:13:32"/>
    <x v="6"/>
    <s v="2024-02-18 14:37:32"/>
    <x v="1686"/>
    <n v="8.4"/>
    <x v="3"/>
    <s v="Email Password"/>
    <s v="Medium"/>
    <n v="240"/>
    <x v="1"/>
    <s v="Phone"/>
    <s v="Tier 1"/>
    <x v="16"/>
    <x v="1"/>
    <s v="No"/>
    <s v="No"/>
    <n v="1"/>
    <s v="Yes"/>
    <n v="8"/>
    <n v="3"/>
    <n v="31.6"/>
    <s v="Yes"/>
    <s v="Fair"/>
    <s v="No"/>
    <s v="Executive"/>
    <s v="Friday"/>
    <s v="Afternoon"/>
  </r>
  <r>
    <x v="2276"/>
    <s v="2024-11-03 16:14:05"/>
    <x v="7"/>
    <s v="2024-11-14 08:32:05"/>
    <x v="1687"/>
    <n v="10.7"/>
    <x v="3"/>
    <s v="Application Password"/>
    <s v="Low"/>
    <n v="360"/>
    <x v="1"/>
    <s v="Phone"/>
    <s v="Tier 1"/>
    <x v="20"/>
    <x v="2"/>
    <s v="No"/>
    <s v="No"/>
    <n v="1"/>
    <s v="No"/>
    <n v="9"/>
    <n v="3.4"/>
    <n v="20.7"/>
    <s v="Yes"/>
    <s v="Fair"/>
    <s v="Yes"/>
    <s v="Marketing"/>
    <s v="Thursday"/>
    <s v="Afternoon"/>
  </r>
  <r>
    <x v="2277"/>
    <s v="2024-03-27 09:29:56"/>
    <x v="5"/>
    <s v="2024-04-10 06:05:56"/>
    <x v="1159"/>
    <n v="13.8"/>
    <x v="0"/>
    <s v="File Share"/>
    <s v="High"/>
    <n v="120"/>
    <x v="0"/>
    <s v="Walk-in"/>
    <s v="Tier 1"/>
    <x v="9"/>
    <x v="2"/>
    <s v="Yes"/>
    <s v="No"/>
    <n v="0"/>
    <s v="No"/>
    <n v="7"/>
    <n v="1.4"/>
    <n v="27.8"/>
    <s v="Yes"/>
    <s v="Poor"/>
    <s v="Yes"/>
    <s v="Legal"/>
    <s v="Tuesday"/>
    <s v="Morning"/>
  </r>
  <r>
    <x v="2278"/>
    <s v="2024-09-16 17:53:47"/>
    <x v="9"/>
    <s v="2024-09-24 14:29:47"/>
    <x v="1688"/>
    <n v="7.9"/>
    <x v="7"/>
    <s v="Adobe Suite"/>
    <s v="Medium"/>
    <n v="240"/>
    <x v="1"/>
    <s v="Portal"/>
    <s v="Tier 1"/>
    <x v="17"/>
    <x v="1"/>
    <s v="No"/>
    <s v="No"/>
    <n v="1"/>
    <s v="No"/>
    <n v="7"/>
    <n v="2.9"/>
    <n v="22.5"/>
    <s v="Yes"/>
    <s v="Fair"/>
    <s v="Yes"/>
    <s v="HR"/>
    <s v="Tuesday"/>
    <s v="Morning"/>
  </r>
  <r>
    <x v="2279"/>
    <s v="2024-03-03 21:05:33"/>
    <x v="5"/>
    <s v="2024-03-14 21:59:33"/>
    <x v="1604"/>
    <n v="11"/>
    <x v="5"/>
    <s v="Training Request"/>
    <s v="Low"/>
    <n v="360"/>
    <x v="1"/>
    <s v="Phone"/>
    <s v="Tier 2"/>
    <x v="3"/>
    <x v="2"/>
    <s v="No"/>
    <s v="Yes"/>
    <n v="2"/>
    <s v="No"/>
    <n v="9"/>
    <n v="4.8"/>
    <n v="11.9"/>
    <s v="No"/>
    <s v="Poor"/>
    <s v="Yes"/>
    <s v="Operations"/>
    <s v="Tuesday"/>
    <s v="Morning"/>
  </r>
  <r>
    <x v="2280"/>
    <s v="2024-04-20 22:16:54"/>
    <x v="11"/>
    <s v="2024-05-02 10:04:54"/>
    <x v="1689"/>
    <n v="11.5"/>
    <x v="1"/>
    <s v="Desktop"/>
    <s v="Low"/>
    <n v="360"/>
    <x v="1"/>
    <s v="Portal"/>
    <s v="Tier 2"/>
    <x v="3"/>
    <x v="0"/>
    <s v="No"/>
    <s v="Yes"/>
    <n v="4"/>
    <s v="No"/>
    <n v="9"/>
    <n v="3.2"/>
    <n v="0"/>
    <s v="Yes"/>
    <s v="Poor"/>
    <s v="Yes"/>
    <s v="Marketing"/>
    <s v="Wednesday"/>
    <s v="Morning"/>
  </r>
  <r>
    <x v="2281"/>
    <s v="2024-04-17 20:01:32"/>
    <x v="11"/>
    <s v="2024-04-24 18:37:32"/>
    <x v="980"/>
    <n v="6.9"/>
    <x v="1"/>
    <s v="Docking Station"/>
    <s v="Medium"/>
    <n v="240"/>
    <x v="1"/>
    <s v="Email"/>
    <s v="Tier 1"/>
    <x v="21"/>
    <x v="1"/>
    <s v="No"/>
    <s v="No"/>
    <n v="1"/>
    <s v="No"/>
    <n v="8"/>
    <n v="2"/>
    <n v="30.7"/>
    <s v="Yes"/>
    <s v="Excellent"/>
    <s v="Yes"/>
    <s v="Sales"/>
    <s v="Tuesday"/>
    <s v="Afternoon"/>
  </r>
  <r>
    <x v="2282"/>
    <s v="2024-01-05 01:28:22"/>
    <x v="3"/>
    <s v="2024-01-13 01:40:22"/>
    <x v="1690"/>
    <n v="8"/>
    <x v="5"/>
    <s v="Documentation"/>
    <s v="Medium"/>
    <n v="240"/>
    <x v="1"/>
    <s v="Phone"/>
    <s v="Tier 2"/>
    <x v="4"/>
    <x v="0"/>
    <s v="No"/>
    <s v="Yes"/>
    <n v="3"/>
    <s v="No"/>
    <n v="8"/>
    <n v="4.7"/>
    <n v="11.2"/>
    <s v="Yes"/>
    <s v="Good"/>
    <s v="Yes"/>
    <s v="Marketing"/>
    <s v="Monday"/>
    <s v="Morning"/>
  </r>
  <r>
    <x v="2283"/>
    <s v="2024-08-27 12:13:11"/>
    <x v="1"/>
    <s v="2024-09-02 20:43:11"/>
    <x v="750"/>
    <n v="6.4"/>
    <x v="0"/>
    <s v="VPN Access"/>
    <s v="Medium"/>
    <n v="240"/>
    <x v="1"/>
    <s v="Email"/>
    <s v="Tier 1"/>
    <x v="19"/>
    <x v="1"/>
    <s v="Yes"/>
    <s v="No"/>
    <n v="0"/>
    <s v="No"/>
    <n v="10"/>
    <n v="1.4"/>
    <n v="5.2"/>
    <s v="Yes"/>
    <s v="Poor"/>
    <s v="Yes"/>
    <s v="Marketing"/>
    <s v="Tuesday"/>
    <s v="Afternoon"/>
  </r>
  <r>
    <x v="2284"/>
    <s v="2024-06-10 00:09:58"/>
    <x v="10"/>
    <s v="2024-06-17 17:57:58"/>
    <x v="1691"/>
    <n v="6.7"/>
    <x v="3"/>
    <s v="Account Unlock"/>
    <s v="Medium"/>
    <n v="240"/>
    <x v="1"/>
    <s v="Chat"/>
    <s v="Tier 1"/>
    <x v="24"/>
    <x v="1"/>
    <s v="Yes"/>
    <s v="No"/>
    <n v="0"/>
    <s v="No"/>
    <n v="10"/>
    <n v="3.7"/>
    <n v="0"/>
    <s v="Yes"/>
    <s v="Fair"/>
    <s v="Yes"/>
    <s v="HR"/>
    <s v="Wednesday"/>
    <s v="Afternoon"/>
  </r>
  <r>
    <x v="2285"/>
    <s v="2024-11-05 22:15:08"/>
    <x v="7"/>
    <s v="2024-11-09 20:09:08"/>
    <x v="1071"/>
    <n v="3.9"/>
    <x v="6"/>
    <s v="Cannot Send/Receive"/>
    <s v="High"/>
    <n v="120"/>
    <x v="1"/>
    <s v="Email"/>
    <s v="Tier 1"/>
    <x v="0"/>
    <x v="1"/>
    <s v="No"/>
    <s v="No"/>
    <n v="1"/>
    <s v="Yes"/>
    <n v="7"/>
    <n v="0.1"/>
    <n v="23.4"/>
    <s v="Yes"/>
    <s v="Fair"/>
    <s v="No"/>
    <s v="HR"/>
    <s v="Monday"/>
    <s v="Afternoon"/>
  </r>
  <r>
    <x v="2286"/>
    <s v="2024-07-15 19:37:47"/>
    <x v="4"/>
    <s v="2024-07-19 09:25:47"/>
    <x v="1692"/>
    <n v="3.6"/>
    <x v="4"/>
    <s v="Crash"/>
    <s v="High"/>
    <n v="120"/>
    <x v="1"/>
    <s v="Email"/>
    <s v="Tier 2"/>
    <x v="18"/>
    <x v="2"/>
    <s v="No"/>
    <s v="Yes"/>
    <n v="2"/>
    <s v="No"/>
    <n v="8"/>
    <n v="5.5"/>
    <n v="23.8"/>
    <s v="Yes"/>
    <s v="Fair"/>
    <s v="Yes"/>
    <s v="Legal"/>
    <s v="Thursday"/>
    <s v="Morning"/>
  </r>
  <r>
    <x v="2287"/>
    <s v="2024-01-28 04:44:40"/>
    <x v="3"/>
    <s v="2024-02-06 23:26:40"/>
    <x v="1693"/>
    <n v="9.8000000000000007"/>
    <x v="4"/>
    <s v="Features Not Working"/>
    <s v="Low"/>
    <n v="360"/>
    <x v="1"/>
    <s v="Portal"/>
    <s v="Tier 2"/>
    <x v="12"/>
    <x v="2"/>
    <s v="No"/>
    <s v="Yes"/>
    <n v="1"/>
    <s v="No"/>
    <n v="8"/>
    <n v="3.4"/>
    <n v="20.9"/>
    <s v="Yes"/>
    <s v="Fair"/>
    <s v="Yes"/>
    <s v="Legal"/>
    <s v="Thursday"/>
    <s v="Morning"/>
  </r>
  <r>
    <x v="2288"/>
    <s v="2024-01-11 22:18:41"/>
    <x v="3"/>
    <s v="2024-01-19 03:30:41"/>
    <x v="1694"/>
    <n v="7.2"/>
    <x v="4"/>
    <s v="Login Issues"/>
    <s v="Medium"/>
    <n v="240"/>
    <x v="1"/>
    <s v="Walk-in"/>
    <s v="Tier 1"/>
    <x v="21"/>
    <x v="1"/>
    <s v="No"/>
    <s v="No"/>
    <n v="1"/>
    <s v="No"/>
    <n v="8"/>
    <n v="4.5999999999999996"/>
    <n v="25.3"/>
    <s v="Yes"/>
    <s v="Poor"/>
    <s v="No"/>
    <s v="IT"/>
    <s v="Wednesday"/>
    <s v="Morning"/>
  </r>
  <r>
    <x v="2289"/>
    <s v="2024-01-04 15:20:47"/>
    <x v="3"/>
    <s v="2024-01-06 07:50:47"/>
    <x v="1155"/>
    <n v="1.7"/>
    <x v="2"/>
    <s v="WiFi Issues"/>
    <s v="Critical"/>
    <n v="48"/>
    <x v="1"/>
    <s v="Walk-in"/>
    <s v="Tier 1"/>
    <x v="20"/>
    <x v="2"/>
    <s v="Yes"/>
    <s v="No"/>
    <n v="0"/>
    <s v="No"/>
    <n v="10"/>
    <n v="0.1"/>
    <n v="13.5"/>
    <s v="No"/>
    <s v="Poor"/>
    <s v="Yes"/>
    <s v="Sales"/>
    <s v="Monday"/>
    <s v="Morning"/>
  </r>
  <r>
    <x v="2290"/>
    <s v="2024-02-11 13:11:19"/>
    <x v="6"/>
    <s v="2024-02-25 15:05:19"/>
    <x v="1695"/>
    <n v="14.1"/>
    <x v="6"/>
    <s v="Cannot Send/Receive"/>
    <s v="High"/>
    <n v="120"/>
    <x v="0"/>
    <s v="Phone"/>
    <s v="Tier 1"/>
    <x v="15"/>
    <x v="1"/>
    <s v="No"/>
    <s v="No"/>
    <n v="1"/>
    <s v="No"/>
    <n v="7"/>
    <n v="6.2"/>
    <n v="29.4"/>
    <s v="Yes"/>
    <s v="Fair"/>
    <s v="Yes"/>
    <s v="Finance"/>
    <s v="Wednesday"/>
    <s v="Afternoon"/>
  </r>
  <r>
    <x v="2291"/>
    <s v="2024-06-01 10:49:16"/>
    <x v="10"/>
    <s v="2024-06-03 07:01:16"/>
    <x v="1696"/>
    <n v="1.8"/>
    <x v="1"/>
    <s v="Desktop"/>
    <s v="Critical"/>
    <n v="48"/>
    <x v="1"/>
    <s v="Walk-in"/>
    <s v="Tier 2"/>
    <x v="1"/>
    <x v="2"/>
    <s v="No"/>
    <s v="Yes"/>
    <n v="1"/>
    <s v="Yes"/>
    <n v="8"/>
    <n v="0.1"/>
    <n v="6.7"/>
    <s v="Yes"/>
    <s v="Excellent"/>
    <s v="No"/>
    <s v="Executive"/>
    <s v="Tuesday"/>
    <s v="Afternoon"/>
  </r>
  <r>
    <x v="2292"/>
    <s v="2024-10-17 23:47:21"/>
    <x v="2"/>
    <s v="2024-10-21 00:41:21"/>
    <x v="800"/>
    <n v="4"/>
    <x v="2"/>
    <s v="WiFi Issues"/>
    <s v="High"/>
    <n v="120"/>
    <x v="1"/>
    <s v="Phone"/>
    <s v="Tier 2"/>
    <x v="9"/>
    <x v="1"/>
    <s v="No"/>
    <s v="Yes"/>
    <n v="2"/>
    <s v="Yes"/>
    <n v="7"/>
    <n v="2"/>
    <n v="19.5"/>
    <s v="No"/>
    <s v="Fair"/>
    <s v="No"/>
    <s v="Finance"/>
    <s v="Friday"/>
    <s v="Afternoon"/>
  </r>
  <r>
    <x v="2293"/>
    <s v="2024-10-11 00:05:32"/>
    <x v="2"/>
    <s v="2024-10-25 13:59:32"/>
    <x v="1697"/>
    <n v="13.6"/>
    <x v="7"/>
    <s v="Business Apps"/>
    <s v="Medium"/>
    <n v="240"/>
    <x v="0"/>
    <s v="Phone"/>
    <s v="Tier 1"/>
    <x v="11"/>
    <x v="2"/>
    <s v="Yes"/>
    <s v="No"/>
    <n v="0"/>
    <s v="No"/>
    <n v="7"/>
    <n v="1.1000000000000001"/>
    <n v="9.9"/>
    <s v="Yes"/>
    <s v="Fair"/>
    <s v="Yes"/>
    <s v="Executive"/>
    <s v="Thursday"/>
    <s v="Morning"/>
  </r>
  <r>
    <x v="2294"/>
    <s v="2024-04-12 01:57:37"/>
    <x v="11"/>
    <s v="2024-04-17 08:21:37"/>
    <x v="867"/>
    <n v="4.3"/>
    <x v="0"/>
    <s v="VPN Access"/>
    <s v="High"/>
    <n v="120"/>
    <x v="1"/>
    <s v="Phone"/>
    <s v="Tier 1"/>
    <x v="23"/>
    <x v="2"/>
    <s v="Yes"/>
    <s v="No"/>
    <n v="0"/>
    <s v="No"/>
    <n v="10"/>
    <n v="1.7"/>
    <n v="24.7"/>
    <s v="No"/>
    <s v="Good"/>
    <s v="Yes"/>
    <s v="Sales"/>
    <s v="Wednesday"/>
    <s v="Afternoon"/>
  </r>
  <r>
    <x v="2295"/>
    <s v="2024-09-23 16:56:25"/>
    <x v="9"/>
    <s v="2024-09-28 05:14:25"/>
    <x v="1"/>
    <n v="4.5"/>
    <x v="4"/>
    <s v="Crash"/>
    <s v="High"/>
    <n v="120"/>
    <x v="1"/>
    <s v="Phone"/>
    <s v="Tier 1"/>
    <x v="8"/>
    <x v="1"/>
    <s v="Yes"/>
    <s v="No"/>
    <n v="0"/>
    <s v="No"/>
    <n v="8"/>
    <n v="0.4"/>
    <n v="36.200000000000003"/>
    <s v="No"/>
    <s v="Fair"/>
    <s v="Yes"/>
    <s v="Sales"/>
    <s v="Wednesday"/>
    <s v="Afternoon"/>
  </r>
  <r>
    <x v="2296"/>
    <s v="2024-03-22 19:17:54"/>
    <x v="5"/>
    <s v="2024-04-01 03:53:54"/>
    <x v="1698"/>
    <n v="9.3000000000000007"/>
    <x v="2"/>
    <s v="VPN Connection"/>
    <s v="Medium"/>
    <n v="240"/>
    <x v="1"/>
    <s v="Phone"/>
    <s v="Tier 1"/>
    <x v="0"/>
    <x v="2"/>
    <s v="No"/>
    <s v="No"/>
    <n v="1"/>
    <s v="No"/>
    <n v="10"/>
    <n v="2.4"/>
    <n v="15.8"/>
    <s v="Yes"/>
    <s v="Poor"/>
    <s v="No"/>
    <s v="IT"/>
    <s v="Monday"/>
    <s v="Morning"/>
  </r>
  <r>
    <x v="2297"/>
    <s v="2024-04-06 22:37:33"/>
    <x v="11"/>
    <s v="2024-04-24 09:43:33"/>
    <x v="1699"/>
    <n v="17.5"/>
    <x v="0"/>
    <s v="File Share"/>
    <s v="Medium"/>
    <n v="240"/>
    <x v="0"/>
    <s v="Portal"/>
    <s v="Tier 1"/>
    <x v="6"/>
    <x v="2"/>
    <s v="No"/>
    <s v="No"/>
    <n v="1"/>
    <s v="Yes"/>
    <n v="5"/>
    <n v="4.5999999999999996"/>
    <n v="28.3"/>
    <s v="Yes"/>
    <s v="Poor"/>
    <s v="Yes"/>
    <s v="Sales"/>
    <s v="Tuesday"/>
    <s v="Evening"/>
  </r>
  <r>
    <x v="2298"/>
    <s v="2024-11-17 15:58:15"/>
    <x v="7"/>
    <s v="2024-11-30 19:40:15"/>
    <x v="1700"/>
    <n v="13.2"/>
    <x v="4"/>
    <s v="Features Not Working"/>
    <s v="High"/>
    <n v="120"/>
    <x v="0"/>
    <s v="Phone"/>
    <s v="Tier 2"/>
    <x v="9"/>
    <x v="0"/>
    <s v="No"/>
    <s v="Yes"/>
    <n v="2"/>
    <s v="No"/>
    <n v="5"/>
    <n v="2.2999999999999998"/>
    <n v="3.8"/>
    <s v="No"/>
    <s v="Poor"/>
    <s v="No"/>
    <s v="Finance"/>
    <s v="Wednesday"/>
    <s v="Morning"/>
  </r>
  <r>
    <x v="2299"/>
    <s v="2024-07-06 12:33:59"/>
    <x v="4"/>
    <s v="2024-07-28 11:09:59"/>
    <x v="1701"/>
    <n v="21.9"/>
    <x v="7"/>
    <s v="Business Apps"/>
    <s v="Medium"/>
    <n v="240"/>
    <x v="0"/>
    <s v="Phone"/>
    <s v="Tier 2"/>
    <x v="16"/>
    <x v="2"/>
    <s v="No"/>
    <s v="Yes"/>
    <n v="1"/>
    <s v="No"/>
    <n v="6"/>
    <n v="0.1"/>
    <n v="30.4"/>
    <s v="Yes"/>
    <s v="Good"/>
    <s v="Yes"/>
    <s v="Executive"/>
    <s v="Wednesday"/>
    <s v="Morning"/>
  </r>
  <r>
    <x v="2300"/>
    <s v="2024-07-22 02:47:08"/>
    <x v="4"/>
    <s v="2024-08-09 13:47:08"/>
    <x v="1702"/>
    <n v="17.5"/>
    <x v="3"/>
    <s v="Account Unlock"/>
    <s v="Low"/>
    <n v="360"/>
    <x v="0"/>
    <s v="Portal"/>
    <s v="Tier 1"/>
    <x v="10"/>
    <x v="0"/>
    <s v="Yes"/>
    <s v="No"/>
    <n v="0"/>
    <s v="No"/>
    <n v="7"/>
    <n v="2.9"/>
    <n v="2.1"/>
    <s v="Yes"/>
    <s v="Good"/>
    <s v="No"/>
    <s v="HR"/>
    <s v="Tuesday"/>
    <s v="Morning"/>
  </r>
  <r>
    <x v="2301"/>
    <s v="2024-08-31 01:26:55"/>
    <x v="1"/>
    <s v="2024-09-09 05:08:55"/>
    <x v="1703"/>
    <n v="8.1999999999999993"/>
    <x v="5"/>
    <s v="Documentation"/>
    <s v="Medium"/>
    <n v="240"/>
    <x v="1"/>
    <s v="Email"/>
    <s v="Tier 1"/>
    <x v="12"/>
    <x v="0"/>
    <s v="Yes"/>
    <s v="No"/>
    <n v="0"/>
    <s v="No"/>
    <n v="9"/>
    <n v="3.7"/>
    <n v="11.2"/>
    <s v="Yes"/>
    <s v="Poor"/>
    <s v="Yes"/>
    <s v="Sales"/>
    <s v="Monday"/>
    <s v="Morning"/>
  </r>
  <r>
    <x v="2302"/>
    <s v="2024-04-19 13:48:04"/>
    <x v="11"/>
    <s v="2024-06-01 16:18:04"/>
    <x v="1704"/>
    <n v="43.1"/>
    <x v="3"/>
    <s v="Email Password"/>
    <s v="Low"/>
    <n v="360"/>
    <x v="0"/>
    <s v="Portal"/>
    <s v="Tier 1"/>
    <x v="15"/>
    <x v="1"/>
    <s v="No"/>
    <s v="No"/>
    <n v="1"/>
    <s v="Yes"/>
    <n v="5"/>
    <n v="2.2000000000000002"/>
    <n v="19.8"/>
    <s v="Yes"/>
    <s v="Fair"/>
    <s v="Yes"/>
    <s v="HR"/>
    <s v="Wednesday"/>
    <s v="Morning"/>
  </r>
  <r>
    <x v="2303"/>
    <s v="2024-07-16 20:51:55"/>
    <x v="4"/>
    <s v="2024-07-18 15:51:55"/>
    <x v="1705"/>
    <n v="1.8"/>
    <x v="1"/>
    <s v="Keyboard/Mouse"/>
    <s v="Critical"/>
    <n v="48"/>
    <x v="1"/>
    <s v="Email"/>
    <s v="Tier 2"/>
    <x v="0"/>
    <x v="1"/>
    <s v="No"/>
    <s v="Yes"/>
    <n v="2"/>
    <s v="No"/>
    <n v="8"/>
    <n v="2.1"/>
    <n v="14.8"/>
    <s v="Yes"/>
    <s v="Good"/>
    <s v="Yes"/>
    <s v="Marketing"/>
    <s v="Monday"/>
    <s v="Afternoon"/>
  </r>
  <r>
    <x v="2304"/>
    <s v="2024-04-04 11:17:16"/>
    <x v="11"/>
    <s v="2024-04-07 02:23:16"/>
    <x v="452"/>
    <n v="3.6"/>
    <x v="2"/>
    <s v="Slow Network"/>
    <s v="High"/>
    <n v="120"/>
    <x v="1"/>
    <s v="Email"/>
    <s v="Tier 2"/>
    <x v="2"/>
    <x v="1"/>
    <s v="No"/>
    <s v="Yes"/>
    <n v="1"/>
    <s v="No"/>
    <n v="7"/>
    <n v="8.1"/>
    <n v="26.3"/>
    <s v="No"/>
    <s v="Good"/>
    <s v="Yes"/>
    <s v="IT"/>
    <s v="Monday"/>
    <s v="Morning"/>
  </r>
  <r>
    <x v="2305"/>
    <s v="2024-11-23 03:07:18"/>
    <x v="7"/>
    <s v="2024-11-29 15:19:18"/>
    <x v="592"/>
    <n v="6.5"/>
    <x v="5"/>
    <s v="Miscellaneous"/>
    <s v="Medium"/>
    <n v="240"/>
    <x v="1"/>
    <s v="Email"/>
    <s v="Tier 1"/>
    <x v="10"/>
    <x v="1"/>
    <s v="Yes"/>
    <s v="No"/>
    <n v="0"/>
    <s v="No"/>
    <n v="9"/>
    <n v="1.2"/>
    <n v="0.5"/>
    <s v="No"/>
    <s v="Excellent"/>
    <s v="Yes"/>
    <s v="Operations"/>
    <s v="Monday"/>
    <s v="Afternoon"/>
  </r>
  <r>
    <x v="2306"/>
    <s v="2024-11-20 07:08:02"/>
    <x v="7"/>
    <s v="2024-12-03 05:32:02"/>
    <x v="1706"/>
    <n v="12.9"/>
    <x v="2"/>
    <s v="WiFi Issues"/>
    <s v="Medium"/>
    <n v="240"/>
    <x v="0"/>
    <s v="Email"/>
    <s v="Tier 2"/>
    <x v="11"/>
    <x v="0"/>
    <s v="No"/>
    <s v="Yes"/>
    <n v="2"/>
    <s v="No"/>
    <n v="6"/>
    <n v="2.7"/>
    <n v="12.9"/>
    <s v="No"/>
    <s v="Fair"/>
    <s v="Yes"/>
    <s v="Marketing"/>
    <s v="Friday"/>
    <s v="Morning"/>
  </r>
  <r>
    <x v="2307"/>
    <s v="2024-05-31 12:51:52"/>
    <x v="8"/>
    <s v="2024-06-08 04:27:52"/>
    <x v="1707"/>
    <n v="7.7"/>
    <x v="2"/>
    <s v="Slow Network"/>
    <s v="Medium"/>
    <n v="240"/>
    <x v="1"/>
    <s v="Walk-in"/>
    <s v="Tier 2"/>
    <x v="13"/>
    <x v="0"/>
    <s v="No"/>
    <s v="Yes"/>
    <n v="3"/>
    <s v="Yes"/>
    <n v="9"/>
    <n v="4.2"/>
    <n v="18.5"/>
    <s v="Yes"/>
    <s v="Good"/>
    <s v="Yes"/>
    <s v="HR"/>
    <s v="Monday"/>
    <s v="Morning"/>
  </r>
  <r>
    <x v="2308"/>
    <s v="2024-03-11 00:19:44"/>
    <x v="5"/>
    <s v="2024-03-15 20:43:44"/>
    <x v="601"/>
    <n v="3.9"/>
    <x v="4"/>
    <s v="Performance"/>
    <s v="High"/>
    <n v="120"/>
    <x v="1"/>
    <s v="Email"/>
    <s v="Tier 1"/>
    <x v="10"/>
    <x v="1"/>
    <s v="Yes"/>
    <s v="No"/>
    <n v="0"/>
    <s v="No"/>
    <n v="10"/>
    <n v="0.5"/>
    <n v="11.9"/>
    <s v="No"/>
    <s v="Fair"/>
    <s v="Yes"/>
    <s v="Operations"/>
    <s v="Friday"/>
    <s v="Evening"/>
  </r>
  <r>
    <x v="2309"/>
    <s v="2024-08-04 05:42:25"/>
    <x v="1"/>
    <s v="2024-08-12 09:48:25"/>
    <x v="1708"/>
    <n v="8.1999999999999993"/>
    <x v="0"/>
    <s v="Admin Rights"/>
    <s v="Medium"/>
    <n v="240"/>
    <x v="1"/>
    <s v="Email"/>
    <s v="Tier 1"/>
    <x v="2"/>
    <x v="0"/>
    <s v="No"/>
    <s v="No"/>
    <n v="1"/>
    <s v="No"/>
    <n v="9"/>
    <n v="1"/>
    <n v="10.7"/>
    <s v="Yes"/>
    <s v="Excellent"/>
    <s v="Yes"/>
    <s v="Sales"/>
    <s v="Monday"/>
    <s v="Morning"/>
  </r>
  <r>
    <x v="2310"/>
    <s v="2024-03-10 14:29:55"/>
    <x v="5"/>
    <s v="2024-03-20 23:47:55"/>
    <x v="1162"/>
    <n v="10.4"/>
    <x v="7"/>
    <s v="Drivers"/>
    <s v="Low"/>
    <n v="360"/>
    <x v="1"/>
    <s v="Email"/>
    <s v="Tier 2"/>
    <x v="7"/>
    <x v="1"/>
    <s v="No"/>
    <s v="Yes"/>
    <n v="4"/>
    <s v="Yes"/>
    <n v="6"/>
    <n v="1.3"/>
    <n v="25.1"/>
    <s v="Yes"/>
    <s v="Fair"/>
    <s v="No"/>
    <s v="HR"/>
    <s v="Monday"/>
    <s v="Afternoon"/>
  </r>
  <r>
    <x v="2311"/>
    <s v="2024-09-22 16:57:51"/>
    <x v="9"/>
    <s v="2024-09-29 21:21:51"/>
    <x v="1463"/>
    <n v="7.2"/>
    <x v="3"/>
    <s v="Email Password"/>
    <s v="Medium"/>
    <n v="240"/>
    <x v="1"/>
    <s v="Email"/>
    <s v="Tier 1"/>
    <x v="24"/>
    <x v="1"/>
    <s v="Yes"/>
    <s v="No"/>
    <n v="0"/>
    <s v="No"/>
    <n v="10"/>
    <n v="2"/>
    <n v="24"/>
    <s v="Yes"/>
    <s v="Good"/>
    <s v="Yes"/>
    <s v="Marketing"/>
    <s v="Tuesday"/>
    <s v="Afternoon"/>
  </r>
  <r>
    <x v="2312"/>
    <s v="2024-12-29 04:32:05"/>
    <x v="0"/>
    <s v="2025-01-04 14:08:05"/>
    <x v="317"/>
    <n v="6.4"/>
    <x v="2"/>
    <s v="WiFi Issues"/>
    <s v="Medium"/>
    <n v="240"/>
    <x v="1"/>
    <s v="Portal"/>
    <s v="Tier 1"/>
    <x v="24"/>
    <x v="0"/>
    <s v="No"/>
    <s v="No"/>
    <n v="1"/>
    <s v="No"/>
    <n v="9"/>
    <n v="0.1"/>
    <n v="6.1"/>
    <s v="Yes"/>
    <s v="Good"/>
    <s v="Yes"/>
    <s v="Legal"/>
    <s v="Wednesday"/>
    <s v="Morning"/>
  </r>
  <r>
    <x v="2313"/>
    <s v="2024-09-19 23:47:59"/>
    <x v="9"/>
    <s v="2024-10-10 08:23:59"/>
    <x v="1709"/>
    <n v="20.399999999999999"/>
    <x v="3"/>
    <s v="Email Password"/>
    <s v="Low"/>
    <n v="360"/>
    <x v="0"/>
    <s v="Portal"/>
    <s v="Tier 1"/>
    <x v="8"/>
    <x v="2"/>
    <s v="Yes"/>
    <s v="No"/>
    <n v="0"/>
    <s v="No"/>
    <n v="9"/>
    <n v="0.4"/>
    <n v="6.2"/>
    <s v="Yes"/>
    <s v="Fair"/>
    <s v="Yes"/>
    <s v="Executive"/>
    <s v="Wednesday"/>
    <s v="Morning"/>
  </r>
  <r>
    <x v="2314"/>
    <s v="2024-10-26 05:54:37"/>
    <x v="2"/>
    <s v="2024-11-02 17:48:37"/>
    <x v="1710"/>
    <n v="7.5"/>
    <x v="0"/>
    <s v="Application Access"/>
    <s v="Medium"/>
    <n v="240"/>
    <x v="1"/>
    <s v="Phone"/>
    <s v="Tier 1"/>
    <x v="20"/>
    <x v="1"/>
    <s v="No"/>
    <s v="No"/>
    <n v="1"/>
    <s v="No"/>
    <n v="6"/>
    <n v="1.5"/>
    <n v="2.2000000000000002"/>
    <s v="Yes"/>
    <s v="Fair"/>
    <s v="Yes"/>
    <s v="Finance"/>
    <s v="Thursday"/>
    <s v="Afternoon"/>
  </r>
  <r>
    <x v="2315"/>
    <s v="2024-12-10 14:08:31"/>
    <x v="0"/>
    <s v="2024-12-15 05:56:31"/>
    <x v="1711"/>
    <n v="4.7"/>
    <x v="4"/>
    <s v="Features Not Working"/>
    <s v="High"/>
    <n v="120"/>
    <x v="1"/>
    <s v="Phone"/>
    <s v="Tier 1"/>
    <x v="4"/>
    <x v="1"/>
    <s v="No"/>
    <s v="No"/>
    <n v="1"/>
    <s v="Yes"/>
    <n v="8"/>
    <n v="3.2"/>
    <n v="20.3"/>
    <s v="Yes"/>
    <s v="Fair"/>
    <s v="No"/>
    <s v="Marketing"/>
    <s v="Thursday"/>
    <s v="Afternoon"/>
  </r>
  <r>
    <x v="2316"/>
    <s v="2024-01-16 22:35:02"/>
    <x v="3"/>
    <s v="2024-01-29 17:29:02"/>
    <x v="1712"/>
    <n v="12.8"/>
    <x v="7"/>
    <s v="VPN Client"/>
    <s v="Low"/>
    <n v="360"/>
    <x v="1"/>
    <s v="Portal"/>
    <s v="Tier 2"/>
    <x v="4"/>
    <x v="1"/>
    <s v="No"/>
    <s v="Yes"/>
    <n v="3"/>
    <s v="No"/>
    <n v="10"/>
    <n v="1"/>
    <n v="11.4"/>
    <s v="Yes"/>
    <s v="Good"/>
    <s v="Yes"/>
    <s v="HR"/>
    <s v="Monday"/>
    <s v="Afternoon"/>
  </r>
  <r>
    <x v="2317"/>
    <s v="2024-03-13 07:03:19"/>
    <x v="5"/>
    <s v="2024-03-22 03:39:19"/>
    <x v="819"/>
    <n v="8.9"/>
    <x v="4"/>
    <s v="Features Not Working"/>
    <s v="Medium"/>
    <n v="240"/>
    <x v="1"/>
    <s v="Portal"/>
    <s v="Tier 1"/>
    <x v="16"/>
    <x v="2"/>
    <s v="No"/>
    <s v="No"/>
    <n v="1"/>
    <s v="No"/>
    <n v="7"/>
    <n v="0.4"/>
    <n v="5.6"/>
    <s v="Yes"/>
    <s v="Good"/>
    <s v="No"/>
    <s v="IT"/>
    <s v="Thursday"/>
    <s v="Afternoon"/>
  </r>
  <r>
    <x v="2318"/>
    <s v="2024-07-29 14:16:15"/>
    <x v="4"/>
    <s v="2024-08-10 11:58:15"/>
    <x v="1409"/>
    <n v="11.9"/>
    <x v="3"/>
    <s v="Account Unlock"/>
    <s v="Low"/>
    <n v="360"/>
    <x v="1"/>
    <s v="Email"/>
    <s v="Tier 1"/>
    <x v="23"/>
    <x v="0"/>
    <s v="Yes"/>
    <s v="No"/>
    <n v="0"/>
    <s v="No"/>
    <n v="10"/>
    <n v="0.8"/>
    <n v="5.6"/>
    <s v="Yes"/>
    <s v="Poor"/>
    <s v="No"/>
    <s v="Legal"/>
    <s v="Wednesday"/>
    <s v="Evening"/>
  </r>
  <r>
    <x v="2319"/>
    <s v="2024-02-22 07:38:43"/>
    <x v="6"/>
    <s v="2024-02-28 16:02:43"/>
    <x v="1243"/>
    <n v="6.4"/>
    <x v="4"/>
    <s v="Login Issues"/>
    <s v="High"/>
    <n v="120"/>
    <x v="0"/>
    <s v="Phone"/>
    <s v="Tier 1"/>
    <x v="4"/>
    <x v="0"/>
    <s v="No"/>
    <s v="No"/>
    <n v="1"/>
    <s v="No"/>
    <n v="5"/>
    <n v="0.7"/>
    <n v="19.399999999999999"/>
    <s v="No"/>
    <s v="Fair"/>
    <s v="No"/>
    <s v="Sales"/>
    <s v="Thursday"/>
    <s v="Morning"/>
  </r>
  <r>
    <x v="2320"/>
    <s v="2024-07-04 03:38:12"/>
    <x v="4"/>
    <s v="2024-07-08 20:08:12"/>
    <x v="1091"/>
    <n v="4.7"/>
    <x v="1"/>
    <s v="Keyboard/Mouse"/>
    <s v="High"/>
    <n v="120"/>
    <x v="1"/>
    <s v="Portal"/>
    <s v="Tier 2"/>
    <x v="11"/>
    <x v="1"/>
    <s v="No"/>
    <s v="Yes"/>
    <n v="1"/>
    <s v="No"/>
    <n v="7"/>
    <n v="1.5"/>
    <n v="23.2"/>
    <s v="Yes"/>
    <s v="Fair"/>
    <s v="Yes"/>
    <s v="Legal"/>
    <s v="Thursday"/>
    <s v="Morning"/>
  </r>
  <r>
    <x v="2321"/>
    <s v="2024-03-16 18:31:02"/>
    <x v="5"/>
    <s v="2024-03-18 10:07:02"/>
    <x v="1713"/>
    <n v="1.7"/>
    <x v="6"/>
    <s v="Calendar Sync"/>
    <s v="Critical"/>
    <n v="48"/>
    <x v="1"/>
    <s v="Phone"/>
    <s v="Tier 1"/>
    <x v="2"/>
    <x v="0"/>
    <s v="No"/>
    <s v="No"/>
    <n v="1"/>
    <s v="No"/>
    <n v="6"/>
    <n v="0.8"/>
    <n v="5.9"/>
    <s v="Yes"/>
    <s v="Poor"/>
    <s v="No"/>
    <s v="Operations"/>
    <s v="Monday"/>
    <s v="Morning"/>
  </r>
  <r>
    <x v="2322"/>
    <s v="2024-01-18 13:54:07"/>
    <x v="3"/>
    <s v="2024-01-30 12:36:07"/>
    <x v="1714"/>
    <n v="11.9"/>
    <x v="4"/>
    <s v="Performance"/>
    <s v="Medium"/>
    <n v="240"/>
    <x v="0"/>
    <s v="Walk-in"/>
    <s v="Tier 2"/>
    <x v="21"/>
    <x v="0"/>
    <s v="No"/>
    <s v="Yes"/>
    <n v="4"/>
    <s v="No"/>
    <n v="5"/>
    <n v="5.6"/>
    <n v="27.2"/>
    <s v="Yes"/>
    <s v="Poor"/>
    <s v="Yes"/>
    <s v="Legal"/>
    <s v="Tuesday"/>
    <s v="Evening"/>
  </r>
  <r>
    <x v="2323"/>
    <s v="2024-04-24 00:51:24"/>
    <x v="11"/>
    <s v="2024-04-29 04:45:24"/>
    <x v="838"/>
    <n v="4.2"/>
    <x v="2"/>
    <s v="Slow Network"/>
    <s v="High"/>
    <n v="120"/>
    <x v="1"/>
    <s v="Email"/>
    <s v="Tier 2"/>
    <x v="9"/>
    <x v="1"/>
    <s v="No"/>
    <s v="Yes"/>
    <n v="2"/>
    <s v="No"/>
    <n v="9"/>
    <n v="3"/>
    <n v="1.2"/>
    <s v="Yes"/>
    <s v="Good"/>
    <s v="Yes"/>
    <s v="Marketing"/>
    <s v="Thursday"/>
    <s v="Morning"/>
  </r>
  <r>
    <x v="2324"/>
    <s v="2024-05-30 22:13:51"/>
    <x v="8"/>
    <s v="2024-06-19 21:43:51"/>
    <x v="1715"/>
    <n v="20"/>
    <x v="0"/>
    <s v="File Share"/>
    <s v="Medium"/>
    <n v="240"/>
    <x v="0"/>
    <s v="Email"/>
    <s v="Tier 1"/>
    <x v="7"/>
    <x v="1"/>
    <s v="Yes"/>
    <s v="No"/>
    <n v="0"/>
    <s v="Yes"/>
    <n v="6"/>
    <n v="3.7"/>
    <n v="13.3"/>
    <s v="No"/>
    <s v="Good"/>
    <s v="Yes"/>
    <s v="IT"/>
    <s v="Thursday"/>
    <s v="Morning"/>
  </r>
  <r>
    <x v="2325"/>
    <s v="2024-09-01 11:47:09"/>
    <x v="9"/>
    <s v="2024-09-05 09:41:09"/>
    <x v="1071"/>
    <n v="3.9"/>
    <x v="1"/>
    <s v="Printer"/>
    <s v="High"/>
    <n v="120"/>
    <x v="1"/>
    <s v="Phone"/>
    <s v="Tier 2"/>
    <x v="12"/>
    <x v="2"/>
    <s v="No"/>
    <s v="Yes"/>
    <n v="1"/>
    <s v="No"/>
    <n v="9"/>
    <n v="5.3"/>
    <n v="7.7"/>
    <s v="No"/>
    <s v="Poor"/>
    <s v="Yes"/>
    <s v="Finance"/>
    <s v="Thursday"/>
    <s v="Afternoon"/>
  </r>
  <r>
    <x v="2326"/>
    <s v="2024-08-27 11:58:45"/>
    <x v="1"/>
    <s v="2024-09-08 02:16:45"/>
    <x v="268"/>
    <n v="12.6"/>
    <x v="4"/>
    <s v="Login Issues"/>
    <s v="Low"/>
    <n v="360"/>
    <x v="1"/>
    <s v="Phone"/>
    <s v="Tier 1"/>
    <x v="1"/>
    <x v="1"/>
    <s v="No"/>
    <s v="No"/>
    <n v="1"/>
    <s v="No"/>
    <n v="6"/>
    <n v="0.1"/>
    <n v="33.6"/>
    <s v="Yes"/>
    <s v="Fair"/>
    <s v="No"/>
    <s v="Marketing"/>
    <s v="Friday"/>
    <s v="Afternoon"/>
  </r>
  <r>
    <x v="2327"/>
    <s v="2024-02-01 13:20:58"/>
    <x v="6"/>
    <s v="2024-02-23 18:20:58"/>
    <x v="1716"/>
    <n v="22.2"/>
    <x v="7"/>
    <s v="Adobe Suite"/>
    <s v="Medium"/>
    <n v="240"/>
    <x v="0"/>
    <s v="Portal"/>
    <s v="Tier 1"/>
    <x v="20"/>
    <x v="2"/>
    <s v="No"/>
    <s v="No"/>
    <n v="1"/>
    <s v="No"/>
    <n v="7"/>
    <n v="2.1"/>
    <n v="26.5"/>
    <s v="Yes"/>
    <s v="Fair"/>
    <s v="No"/>
    <s v="Legal"/>
    <s v="Tuesday"/>
    <s v="Afternoon"/>
  </r>
  <r>
    <x v="2328"/>
    <s v="2024-10-27 13:04:17"/>
    <x v="2"/>
    <s v="2024-11-11 08:40:17"/>
    <x v="1717"/>
    <n v="14.8"/>
    <x v="4"/>
    <s v="Performance"/>
    <s v="Medium"/>
    <n v="240"/>
    <x v="0"/>
    <s v="Portal"/>
    <s v="Tier 1"/>
    <x v="8"/>
    <x v="1"/>
    <s v="No"/>
    <s v="No"/>
    <n v="1"/>
    <s v="No"/>
    <n v="6"/>
    <n v="0.3"/>
    <n v="54.1"/>
    <s v="Yes"/>
    <s v="Excellent"/>
    <s v="Yes"/>
    <s v="Sales"/>
    <s v="Friday"/>
    <s v="Afternoon"/>
  </r>
  <r>
    <x v="2329"/>
    <s v="2024-07-03 02:10:01"/>
    <x v="4"/>
    <s v="2024-07-11 23:52:01"/>
    <x v="1718"/>
    <n v="7.9"/>
    <x v="0"/>
    <s v="Admin Rights"/>
    <s v="Medium"/>
    <n v="240"/>
    <x v="1"/>
    <s v="Portal"/>
    <s v="Tier 1"/>
    <x v="2"/>
    <x v="1"/>
    <s v="No"/>
    <s v="No"/>
    <n v="1"/>
    <s v="No"/>
    <n v="7"/>
    <n v="3.4"/>
    <n v="29.1"/>
    <s v="No"/>
    <s v="Excellent"/>
    <s v="Yes"/>
    <s v="HR"/>
    <s v="Friday"/>
    <s v="Morning"/>
  </r>
  <r>
    <x v="2330"/>
    <s v="2024-02-17 04:17:13"/>
    <x v="6"/>
    <s v="2024-02-27 02:05:13"/>
    <x v="1719"/>
    <n v="9.9"/>
    <x v="3"/>
    <s v="Windows Password"/>
    <s v="Low"/>
    <n v="360"/>
    <x v="1"/>
    <s v="Email"/>
    <s v="Tier 1"/>
    <x v="16"/>
    <x v="2"/>
    <s v="Yes"/>
    <s v="No"/>
    <n v="0"/>
    <s v="Yes"/>
    <n v="10"/>
    <n v="2.9"/>
    <n v="9.3000000000000007"/>
    <s v="No"/>
    <s v="Good"/>
    <s v="No"/>
    <s v="Marketing"/>
    <s v="Wednesday"/>
    <s v="Morning"/>
  </r>
  <r>
    <x v="2331"/>
    <s v="2024-07-30 03:34:46"/>
    <x v="4"/>
    <s v="2024-08-05 16:22:46"/>
    <x v="1720"/>
    <n v="6.5"/>
    <x v="7"/>
    <s v="MS Office"/>
    <s v="Medium"/>
    <n v="240"/>
    <x v="1"/>
    <s v="Portal"/>
    <s v="Tier 1"/>
    <x v="12"/>
    <x v="0"/>
    <s v="Yes"/>
    <s v="No"/>
    <n v="0"/>
    <s v="Yes"/>
    <n v="9"/>
    <n v="1.9"/>
    <n v="0"/>
    <s v="No"/>
    <s v="Excellent"/>
    <s v="Yes"/>
    <s v="Executive"/>
    <s v="Wednesday"/>
    <s v="Afternoon"/>
  </r>
  <r>
    <x v="2332"/>
    <s v="2024-02-10 07:26:43"/>
    <x v="6"/>
    <s v="2024-02-19 01:32:43"/>
    <x v="1721"/>
    <n v="9.8000000000000007"/>
    <x v="3"/>
    <s v="Email Password"/>
    <s v="Low"/>
    <n v="360"/>
    <x v="1"/>
    <s v="Phone"/>
    <s v="Tier 1"/>
    <x v="3"/>
    <x v="1"/>
    <s v="Yes"/>
    <s v="No"/>
    <n v="0"/>
    <s v="Yes"/>
    <n v="10"/>
    <n v="3"/>
    <n v="11.3"/>
    <s v="Yes"/>
    <s v="Excellent"/>
    <s v="No"/>
    <s v="HR"/>
    <s v="Monday"/>
    <s v="Afternoon"/>
  </r>
  <r>
    <x v="2333"/>
    <s v="2024-07-25 10:43:14"/>
    <x v="4"/>
    <s v="2024-08-04 17:31:14"/>
    <x v="1545"/>
    <n v="10.3"/>
    <x v="4"/>
    <s v="Login Issues"/>
    <s v="Low"/>
    <n v="360"/>
    <x v="1"/>
    <s v="Email"/>
    <s v="Tier 1"/>
    <x v="19"/>
    <x v="1"/>
    <s v="No"/>
    <s v="No"/>
    <n v="1"/>
    <s v="Yes"/>
    <n v="6"/>
    <n v="2.8"/>
    <n v="26.4"/>
    <s v="No"/>
    <s v="Fair"/>
    <s v="No"/>
    <s v="Legal"/>
    <s v="Thursday"/>
    <s v="Afternoon"/>
  </r>
  <r>
    <x v="2334"/>
    <s v="2024-07-22 16:42:13"/>
    <x v="4"/>
    <s v="2024-07-29 10:54:13"/>
    <x v="1722"/>
    <n v="6.8"/>
    <x v="0"/>
    <s v="Admin Rights"/>
    <s v="Medium"/>
    <n v="240"/>
    <x v="1"/>
    <s v="Walk-in"/>
    <s v="Tier 2"/>
    <x v="23"/>
    <x v="2"/>
    <s v="No"/>
    <s v="Yes"/>
    <n v="1"/>
    <s v="No"/>
    <n v="6"/>
    <n v="0.5"/>
    <n v="14.4"/>
    <s v="Yes"/>
    <s v="Good"/>
    <s v="Yes"/>
    <s v="HR"/>
    <s v="Friday"/>
    <s v="Afternoon"/>
  </r>
  <r>
    <x v="2335"/>
    <s v="2024-04-24 02:30:37"/>
    <x v="11"/>
    <s v="2024-05-09 16:24:37"/>
    <x v="1625"/>
    <n v="14.6"/>
    <x v="1"/>
    <s v="Docking Station"/>
    <s v="High"/>
    <n v="120"/>
    <x v="0"/>
    <s v="Email"/>
    <s v="Tier 2"/>
    <x v="4"/>
    <x v="0"/>
    <s v="No"/>
    <s v="Yes"/>
    <n v="2"/>
    <s v="No"/>
    <n v="5"/>
    <n v="2.7"/>
    <n v="12.9"/>
    <s v="Yes"/>
    <s v="Fair"/>
    <s v="Yes"/>
    <s v="Operations"/>
    <s v="Wednesday"/>
    <s v="Afternoon"/>
  </r>
  <r>
    <x v="2336"/>
    <s v="2024-02-26 21:19:51"/>
    <x v="6"/>
    <s v="2024-03-04 03:19:51"/>
    <x v="1723"/>
    <n v="6.3"/>
    <x v="2"/>
    <s v="Ethernet"/>
    <s v="Medium"/>
    <n v="240"/>
    <x v="1"/>
    <s v="Chat"/>
    <s v="Tier 2"/>
    <x v="24"/>
    <x v="2"/>
    <s v="No"/>
    <s v="Yes"/>
    <n v="3"/>
    <s v="No"/>
    <n v="7"/>
    <n v="1"/>
    <n v="15.4"/>
    <s v="Yes"/>
    <s v="Poor"/>
    <s v="Yes"/>
    <s v="Executive"/>
    <s v="Monday"/>
    <s v="Evening"/>
  </r>
  <r>
    <x v="2337"/>
    <s v="2024-08-20 00:43:52"/>
    <x v="1"/>
    <s v="2024-09-01 11:07:52"/>
    <x v="1724"/>
    <n v="11.4"/>
    <x v="7"/>
    <s v="Drivers"/>
    <s v="Medium"/>
    <n v="240"/>
    <x v="0"/>
    <s v="Phone"/>
    <s v="Tier 1"/>
    <x v="0"/>
    <x v="0"/>
    <s v="No"/>
    <s v="No"/>
    <n v="1"/>
    <s v="Yes"/>
    <n v="8"/>
    <n v="0.1"/>
    <n v="20.2"/>
    <s v="No"/>
    <s v="Fair"/>
    <s v="No"/>
    <s v="Sales"/>
    <s v="Wednesday"/>
    <s v="Afternoon"/>
  </r>
  <r>
    <x v="2338"/>
    <s v="2024-10-11 18:47:09"/>
    <x v="2"/>
    <s v="2024-10-20 00:29:09"/>
    <x v="1725"/>
    <n v="9.1999999999999993"/>
    <x v="6"/>
    <s v="Cannot Send/Receive"/>
    <s v="Medium"/>
    <n v="240"/>
    <x v="1"/>
    <s v="Email"/>
    <s v="Tier 1"/>
    <x v="10"/>
    <x v="2"/>
    <s v="No"/>
    <s v="No"/>
    <n v="1"/>
    <s v="No"/>
    <n v="7"/>
    <n v="2.7"/>
    <n v="10"/>
    <s v="No"/>
    <s v="Poor"/>
    <s v="No"/>
    <s v="HR"/>
    <s v="Wednesday"/>
    <s v="Afternoon"/>
  </r>
  <r>
    <x v="2339"/>
    <s v="2024-10-27 14:16:28"/>
    <x v="2"/>
    <s v="2024-11-16 15:52:28"/>
    <x v="1726"/>
    <n v="20.100000000000001"/>
    <x v="7"/>
    <s v="MS Office"/>
    <s v="Low"/>
    <n v="360"/>
    <x v="0"/>
    <s v="Email"/>
    <s v="Tier 1"/>
    <x v="13"/>
    <x v="0"/>
    <s v="No"/>
    <s v="No"/>
    <n v="1"/>
    <s v="No"/>
    <n v="6"/>
    <n v="1.1000000000000001"/>
    <n v="13"/>
    <s v="No"/>
    <s v="Fair"/>
    <s v="Yes"/>
    <s v="HR"/>
    <s v="Friday"/>
    <s v="Morning"/>
  </r>
  <r>
    <x v="2340"/>
    <s v="2024-08-16 00:47:42"/>
    <x v="1"/>
    <s v="2024-08-21 13:35:42"/>
    <x v="1492"/>
    <n v="4.5"/>
    <x v="1"/>
    <s v="Docking Station"/>
    <s v="High"/>
    <n v="120"/>
    <x v="1"/>
    <s v="Phone"/>
    <s v="Tier 2"/>
    <x v="2"/>
    <x v="0"/>
    <s v="No"/>
    <s v="Yes"/>
    <n v="2"/>
    <s v="No"/>
    <n v="10"/>
    <n v="1.6"/>
    <n v="6.5"/>
    <s v="No"/>
    <s v="Good"/>
    <s v="No"/>
    <s v="Executive"/>
    <s v="Wednesday"/>
    <s v="Afternoon"/>
  </r>
  <r>
    <x v="2341"/>
    <s v="2024-11-16 05:01:40"/>
    <x v="7"/>
    <s v="2024-12-23 22:19:40"/>
    <x v="1727"/>
    <n v="37.700000000000003"/>
    <x v="3"/>
    <s v="Account Unlock"/>
    <s v="Low"/>
    <n v="360"/>
    <x v="0"/>
    <s v="Chat"/>
    <s v="Tier 1"/>
    <x v="17"/>
    <x v="2"/>
    <s v="Yes"/>
    <s v="No"/>
    <n v="0"/>
    <s v="Yes"/>
    <n v="7"/>
    <n v="0.8"/>
    <n v="44.3"/>
    <s v="No"/>
    <s v="Excellent"/>
    <s v="No"/>
    <s v="Legal"/>
    <s v="Thursday"/>
    <s v="Evening"/>
  </r>
  <r>
    <x v="2342"/>
    <s v="2024-07-07 05:03:24"/>
    <x v="4"/>
    <s v="2024-07-14 17:57:24"/>
    <x v="1710"/>
    <n v="7.5"/>
    <x v="1"/>
    <s v="Desktop"/>
    <s v="Medium"/>
    <n v="240"/>
    <x v="1"/>
    <s v="Email"/>
    <s v="Tier 2"/>
    <x v="18"/>
    <x v="2"/>
    <s v="No"/>
    <s v="Yes"/>
    <n v="4"/>
    <s v="Yes"/>
    <n v="9"/>
    <n v="2"/>
    <n v="25.1"/>
    <s v="Yes"/>
    <s v="Good"/>
    <s v="Yes"/>
    <s v="Sales"/>
    <s v="Tuesday"/>
    <s v="Morning"/>
  </r>
  <r>
    <x v="2343"/>
    <s v="2024-03-19 18:15:13"/>
    <x v="5"/>
    <s v="2024-03-29 18:09:13"/>
    <x v="1728"/>
    <n v="10"/>
    <x v="3"/>
    <s v="Windows Password"/>
    <s v="Low"/>
    <n v="360"/>
    <x v="1"/>
    <s v="Portal"/>
    <s v="Tier 1"/>
    <x v="11"/>
    <x v="2"/>
    <s v="No"/>
    <s v="No"/>
    <n v="1"/>
    <s v="Yes"/>
    <n v="7"/>
    <n v="3.2"/>
    <n v="29.4"/>
    <s v="Yes"/>
    <s v="Fair"/>
    <s v="Yes"/>
    <s v="Sales"/>
    <s v="Thursday"/>
    <s v="Morning"/>
  </r>
  <r>
    <x v="2344"/>
    <s v="2024-04-20 08:48:13"/>
    <x v="11"/>
    <s v="2024-04-27 11:54:13"/>
    <x v="523"/>
    <n v="7.1"/>
    <x v="7"/>
    <s v="VPN Client"/>
    <s v="Medium"/>
    <n v="240"/>
    <x v="1"/>
    <s v="Email"/>
    <s v="Tier 2"/>
    <x v="6"/>
    <x v="2"/>
    <s v="No"/>
    <s v="Yes"/>
    <n v="1"/>
    <s v="Yes"/>
    <n v="9"/>
    <n v="2.5"/>
    <n v="29.3"/>
    <s v="Yes"/>
    <s v="Poor"/>
    <s v="No"/>
    <s v="Legal"/>
    <s v="Wednesday"/>
    <s v="Morning"/>
  </r>
  <r>
    <x v="2345"/>
    <s v="2024-05-06 09:22:53"/>
    <x v="8"/>
    <s v="2024-05-14 08:46:53"/>
    <x v="1459"/>
    <n v="8"/>
    <x v="6"/>
    <s v="Distribution List"/>
    <s v="Medium"/>
    <n v="240"/>
    <x v="1"/>
    <s v="Email"/>
    <s v="Tier 2"/>
    <x v="24"/>
    <x v="2"/>
    <s v="No"/>
    <s v="Yes"/>
    <n v="4"/>
    <s v="Yes"/>
    <n v="6"/>
    <n v="0.4"/>
    <n v="2.6"/>
    <s v="No"/>
    <s v="Fair"/>
    <s v="Yes"/>
    <s v="IT"/>
    <s v="Thursday"/>
    <s v="Afternoon"/>
  </r>
  <r>
    <x v="2346"/>
    <s v="2024-01-13 20:14:24"/>
    <x v="3"/>
    <s v="2024-01-23 03:44:24"/>
    <x v="477"/>
    <n v="9.3000000000000007"/>
    <x v="3"/>
    <s v="Email Password"/>
    <s v="High"/>
    <n v="120"/>
    <x v="0"/>
    <s v="Portal"/>
    <s v="Tier 1"/>
    <x v="4"/>
    <x v="0"/>
    <s v="Yes"/>
    <s v="No"/>
    <n v="0"/>
    <s v="No"/>
    <n v="7"/>
    <n v="3.2"/>
    <n v="0"/>
    <s v="Yes"/>
    <s v="Fair"/>
    <s v="Yes"/>
    <s v="Marketing"/>
    <s v="Monday"/>
    <s v="Eve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540F9-C2D2-8246-9423-8D653442C800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bels" colHeaderCaption="">
  <location ref="A3:M18" firstHeaderRow="1" firstDataRow="3" firstDataCol="1"/>
  <pivotFields count="30">
    <pivotField dataField="1" showAll="0">
      <items count="23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t="default"/>
      </items>
    </pivotField>
    <pivotField showAll="0"/>
    <pivotField axis="axisRow" showAll="0">
      <items count="14">
        <item x="3"/>
        <item x="6"/>
        <item x="5"/>
        <item x="11"/>
        <item x="8"/>
        <item x="10"/>
        <item x="4"/>
        <item x="1"/>
        <item x="9"/>
        <item x="2"/>
        <item x="7"/>
        <item x="0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4">
        <item n="Delayed"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9"/>
    <field x="28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 Ticket" fld="0" subtotal="count" baseField="0" baseItem="0"/>
    <dataField name="Average of CSAT_Score" fld="19" subtotal="average" baseField="0" baseItem="0"/>
    <dataField name="Average of Resolution_Time_Hours" fld="4" subtotal="average" baseField="0" baseItem="0"/>
    <dataField name="Count of First_Contact_Resolution" fld="15" subtotal="count" baseField="0" baseItem="0"/>
  </dataFields>
  <formats count="9">
    <format dxfId="8">
      <pivotArea field="10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7">
      <pivotArea field="1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">
      <pivotArea field="1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">
      <pivotArea field="10" dataOnly="0" grandCol="1" outline="0" axis="axisCol" fieldPosition="0">
        <references count="1">
          <reference field="4294967294" count="1" selected="0">
            <x v="2"/>
          </reference>
        </references>
      </pivotArea>
    </format>
    <format dxfId="3">
      <pivotArea field="1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">
      <pivotArea field="1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">
      <pivotArea field="1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0">
      <pivotArea field="10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B0F49-A3A3-4040-9D02-0D6FA6C53E0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13" firstHeaderRow="1" firstDataRow="2" firstDataCol="1"/>
  <pivotFields count="30">
    <pivotField dataField="1" showAll="0">
      <items count="23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t="default"/>
      </items>
    </pivotField>
    <pivotField showAll="0"/>
    <pivotField numFmtId="14" showAll="0">
      <items count="13">
        <item x="3"/>
        <item x="6"/>
        <item x="5"/>
        <item x="11"/>
        <item x="8"/>
        <item x="10"/>
        <item x="4"/>
        <item x="1"/>
        <item x="9"/>
        <item x="2"/>
        <item x="7"/>
        <item x="0"/>
        <item t="default"/>
      </items>
    </pivotField>
    <pivotField showAll="0"/>
    <pivotField showAll="0"/>
    <pivotField showAll="0"/>
    <pivotField axis="axisRow" showAll="0" sortType="descending">
      <items count="9">
        <item x="0"/>
        <item x="4"/>
        <item x="6"/>
        <item x="1"/>
        <item x="2"/>
        <item x="5"/>
        <item x="3"/>
        <item x="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 v="6"/>
    </i>
    <i>
      <x/>
    </i>
    <i>
      <x v="7"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2">
    <i>
      <x/>
    </i>
    <i t="grand">
      <x/>
    </i>
  </colItems>
  <dataFields count="1">
    <dataField name="Categories" fld="0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B17CD-6C50-2348-94B5-27A9C319B5A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30">
    <pivotField dataField="1" showAll="0"/>
    <pivotField showAll="0"/>
    <pivotField numFmtId="14" showAll="0">
      <items count="13">
        <item x="3"/>
        <item x="6"/>
        <item x="5"/>
        <item x="11"/>
        <item x="8"/>
        <item x="10"/>
        <item x="4"/>
        <item x="1"/>
        <item x="9"/>
        <item x="2"/>
        <item x="7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6">
        <item x="17"/>
        <item x="1"/>
        <item x="22"/>
        <item x="14"/>
        <item x="9"/>
        <item x="3"/>
        <item x="24"/>
        <item x="11"/>
        <item x="15"/>
        <item x="20"/>
        <item x="0"/>
        <item x="19"/>
        <item x="2"/>
        <item x="23"/>
        <item x="6"/>
        <item x="8"/>
        <item x="18"/>
        <item x="16"/>
        <item x="7"/>
        <item x="12"/>
        <item x="10"/>
        <item x="13"/>
        <item x="4"/>
        <item x="5"/>
        <item x="2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cket_ID" fld="0" subtotal="count" baseField="0" baseItem="0"/>
    <dataField name="Average of Resolution_Time_Hours" fld="4" subtotal="average" baseField="0" baseItem="0"/>
    <dataField name="Average of CSAT_Score" fld="19" subtotal="average" baseField="0" baseItem="0" numFmtId="2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E5629-0346-C348-9EEF-4D947B0BB361}" name="PivotTable1" cacheId="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>
  <location ref="A3:F8" firstHeaderRow="0" firstDataRow="1" firstDataCol="1"/>
  <pivotFields count="30">
    <pivotField showAll="0"/>
    <pivotField showAll="0"/>
    <pivotField showAll="0">
      <items count="14">
        <item x="3"/>
        <item x="6"/>
        <item x="5"/>
        <item x="11"/>
        <item x="8"/>
        <item x="10"/>
        <item x="4"/>
        <item x="1"/>
        <item x="9"/>
        <item x="2"/>
        <item x="7"/>
        <item x="0"/>
        <item x="12"/>
        <item t="default"/>
      </items>
    </pivotField>
    <pivotField showAll="0"/>
    <pivotField dataField="1" showAll="0"/>
    <pivotField showAll="0"/>
    <pivotField showAll="0"/>
    <pivotField showAll="0"/>
    <pivotField axis="axisRow" showAll="0" sortType="ascending">
      <items count="6">
        <item x="3"/>
        <item x="1"/>
        <item x="2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SLA_Status" fld="10" subtotal="count" baseField="0" baseItem="0"/>
    <dataField name="Average of Resolution_Time_Hours" fld="4" subtotal="average" baseField="0" baseItem="0"/>
    <dataField name="StdDev of Resolution_Time_Hours" fld="4" subtotal="stdDev" baseField="0" baseItem="0"/>
    <dataField name="Min. of Resolution_Time_Hours" fld="4" subtotal="min" baseField="0" baseItem="0"/>
    <dataField name="Max. of Resolution_Time_Hours" fld="4" subtotal="max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48"/>
  <sheetViews>
    <sheetView zoomScale="68" zoomScaleNormal="68" workbookViewId="0">
      <selection sqref="A1:XFD1048576"/>
    </sheetView>
  </sheetViews>
  <sheetFormatPr baseColWidth="10" defaultRowHeight="16"/>
  <cols>
    <col min="1" max="1" width="15.83203125" customWidth="1"/>
    <col min="2" max="7" width="20.83203125" customWidth="1"/>
    <col min="8" max="8" width="22.83203125" customWidth="1"/>
    <col min="9" max="9" width="12.83203125" customWidth="1"/>
    <col min="10" max="10" width="18.83203125" customWidth="1"/>
    <col min="11" max="11" width="15.83203125" customWidth="1"/>
    <col min="12" max="13" width="12.83203125" customWidth="1"/>
    <col min="14" max="14" width="15.83203125" customWidth="1"/>
    <col min="15" max="15" width="20.83203125" customWidth="1"/>
    <col min="16" max="16" width="22.83203125" customWidth="1"/>
    <col min="17" max="17" width="12.83203125" customWidth="1"/>
    <col min="18" max="18" width="18.83203125" customWidth="1"/>
    <col min="19" max="20" width="12.83203125" customWidth="1"/>
    <col min="21" max="21" width="20.83203125" customWidth="1"/>
    <col min="22" max="22" width="18.83203125" customWidth="1"/>
    <col min="23" max="24" width="20.83203125" customWidth="1"/>
    <col min="25" max="25" width="22.83203125" customWidth="1"/>
    <col min="26" max="26" width="18.83203125" customWidth="1"/>
    <col min="27" max="28" width="15.83203125" customWidth="1"/>
    <col min="29" max="29" width="20.83203125" customWidth="1"/>
    <col min="30" max="31" width="20.83203125" style="12" customWidth="1"/>
    <col min="32" max="33" width="20.83203125" customWidth="1"/>
    <col min="34" max="36" width="21.6640625" customWidth="1"/>
    <col min="38" max="38" width="15" customWidth="1"/>
  </cols>
  <sheetData>
    <row r="1" spans="1:38">
      <c r="A1" t="s">
        <v>0</v>
      </c>
      <c r="B1" t="s">
        <v>1</v>
      </c>
      <c r="C1" s="1" t="s">
        <v>7174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7225</v>
      </c>
      <c r="AD1" s="12" t="s">
        <v>7229</v>
      </c>
      <c r="AE1" s="12" t="s">
        <v>7230</v>
      </c>
      <c r="AF1" t="s">
        <v>7224</v>
      </c>
      <c r="AG1" t="s">
        <v>7231</v>
      </c>
      <c r="AH1" t="s">
        <v>7228</v>
      </c>
      <c r="AI1" t="s">
        <v>7233</v>
      </c>
      <c r="AJ1" t="s">
        <v>7234</v>
      </c>
      <c r="AK1" t="s">
        <v>7226</v>
      </c>
      <c r="AL1" t="s">
        <v>7227</v>
      </c>
    </row>
    <row r="2" spans="1:38">
      <c r="A2" t="s">
        <v>27</v>
      </c>
      <c r="B2" t="s">
        <v>28</v>
      </c>
      <c r="C2" s="1">
        <f>DATE(YEAR(B2),MONTH(B2),1)</f>
        <v>45627</v>
      </c>
      <c r="D2" t="s">
        <v>29</v>
      </c>
      <c r="E2">
        <v>329.3</v>
      </c>
      <c r="F2">
        <v>13.7</v>
      </c>
      <c r="G2" t="s">
        <v>30</v>
      </c>
      <c r="H2" t="s">
        <v>31</v>
      </c>
      <c r="I2" t="s">
        <v>32</v>
      </c>
      <c r="J2">
        <v>240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38</v>
      </c>
      <c r="R2">
        <v>1</v>
      </c>
      <c r="S2" t="s">
        <v>38</v>
      </c>
      <c r="T2">
        <v>4</v>
      </c>
      <c r="U2">
        <v>2.7</v>
      </c>
      <c r="V2">
        <v>18.399999999999999</v>
      </c>
      <c r="W2" t="s">
        <v>39</v>
      </c>
      <c r="X2" t="s">
        <v>40</v>
      </c>
      <c r="Y2" t="s">
        <v>39</v>
      </c>
      <c r="Z2" t="s">
        <v>41</v>
      </c>
      <c r="AA2" t="s">
        <v>42</v>
      </c>
      <c r="AB2" t="s">
        <v>43</v>
      </c>
      <c r="AC2">
        <f>IF(X2="Poor", 1, 0)</f>
        <v>0</v>
      </c>
      <c r="AD2" s="12">
        <f>IF(X2="Fair", 1, 0)</f>
        <v>0</v>
      </c>
      <c r="AE2" s="12">
        <f>IF(X2="Good", 1, 0)</f>
        <v>0</v>
      </c>
      <c r="AF2">
        <f>IF(O2="Junior", 1, 0)</f>
        <v>0</v>
      </c>
      <c r="AG2">
        <f>IF(O2="Mid", 1, 0)</f>
        <v>0</v>
      </c>
      <c r="AH2">
        <f>AI2</f>
        <v>0</v>
      </c>
      <c r="AI2">
        <f>IF(I2="Critical", 1, 0)</f>
        <v>0</v>
      </c>
      <c r="AJ2">
        <f>IF(I2="Medium", 1, 0)</f>
        <v>1</v>
      </c>
      <c r="AK2">
        <f t="shared" ref="AK2:AK65" si="0">IF(G2="Access Requests", 1, 0)</f>
        <v>1</v>
      </c>
      <c r="AL2">
        <f>IF(Y2="No", 1, 0)</f>
        <v>0</v>
      </c>
    </row>
    <row r="3" spans="1:38">
      <c r="A3" t="s">
        <v>44</v>
      </c>
      <c r="B3" t="s">
        <v>45</v>
      </c>
      <c r="C3" s="1">
        <f t="shared" ref="C3:C66" si="1">DATE(YEAR(B3),MONTH(B3),1)</f>
        <v>45505</v>
      </c>
      <c r="D3" t="s">
        <v>46</v>
      </c>
      <c r="E3">
        <v>108.3</v>
      </c>
      <c r="F3">
        <v>4.5</v>
      </c>
      <c r="G3" t="s">
        <v>30</v>
      </c>
      <c r="H3" t="s">
        <v>47</v>
      </c>
      <c r="I3" t="s">
        <v>48</v>
      </c>
      <c r="J3">
        <v>120</v>
      </c>
      <c r="K3" t="s">
        <v>49</v>
      </c>
      <c r="L3" t="s">
        <v>34</v>
      </c>
      <c r="M3" t="s">
        <v>35</v>
      </c>
      <c r="N3" t="s">
        <v>50</v>
      </c>
      <c r="O3" t="s">
        <v>51</v>
      </c>
      <c r="P3" t="s">
        <v>38</v>
      </c>
      <c r="Q3" t="s">
        <v>38</v>
      </c>
      <c r="R3">
        <v>1</v>
      </c>
      <c r="S3" t="s">
        <v>38</v>
      </c>
      <c r="T3">
        <v>9</v>
      </c>
      <c r="U3">
        <v>0.4</v>
      </c>
      <c r="V3">
        <v>0</v>
      </c>
      <c r="W3" t="s">
        <v>39</v>
      </c>
      <c r="X3" t="s">
        <v>52</v>
      </c>
      <c r="Y3" t="s">
        <v>39</v>
      </c>
      <c r="Z3" t="s">
        <v>53</v>
      </c>
      <c r="AA3" t="s">
        <v>54</v>
      </c>
      <c r="AB3" t="s">
        <v>55</v>
      </c>
      <c r="AC3">
        <f t="shared" ref="AC3:AC65" si="2">IF(X3="Poor", 1, 0)</f>
        <v>1</v>
      </c>
      <c r="AD3" s="12">
        <f t="shared" ref="AD3:AD66" si="3">IF(X3="Fair", 1, 0)</f>
        <v>0</v>
      </c>
      <c r="AE3" s="12">
        <f t="shared" ref="AE3:AE66" si="4">IF(X3="Good", 1, 0)</f>
        <v>0</v>
      </c>
      <c r="AF3">
        <f t="shared" ref="AF3:AF65" si="5">IF(O3="Junior", 1, 0)</f>
        <v>1</v>
      </c>
      <c r="AG3">
        <f t="shared" ref="AG3:AG66" si="6">IF(O3="Mid", 1, 0)</f>
        <v>0</v>
      </c>
      <c r="AH3">
        <f t="shared" ref="AH3:AH66" si="7">IF(I3="High", 1, 0)</f>
        <v>1</v>
      </c>
      <c r="AI3">
        <f t="shared" ref="AI3:AI66" si="8">IF(I3="Critical", 1, 0)</f>
        <v>0</v>
      </c>
      <c r="AJ3">
        <f t="shared" ref="AJ3:AJ66" si="9">IF(I3="Medium", 1, 0)</f>
        <v>0</v>
      </c>
      <c r="AK3">
        <f t="shared" si="0"/>
        <v>1</v>
      </c>
      <c r="AL3">
        <f t="shared" ref="AL3:AL66" si="10">IF(Y3="No", 1, 0)</f>
        <v>0</v>
      </c>
    </row>
    <row r="4" spans="1:38">
      <c r="A4" t="s">
        <v>56</v>
      </c>
      <c r="B4" t="s">
        <v>57</v>
      </c>
      <c r="C4" s="1">
        <f t="shared" si="1"/>
        <v>45566</v>
      </c>
      <c r="D4" t="s">
        <v>58</v>
      </c>
      <c r="E4">
        <v>134.4</v>
      </c>
      <c r="F4">
        <v>5.6</v>
      </c>
      <c r="G4" t="s">
        <v>59</v>
      </c>
      <c r="H4" t="s">
        <v>60</v>
      </c>
      <c r="I4" t="s">
        <v>48</v>
      </c>
      <c r="J4">
        <v>120</v>
      </c>
      <c r="K4" t="s">
        <v>33</v>
      </c>
      <c r="L4" t="s">
        <v>34</v>
      </c>
      <c r="M4" t="s">
        <v>35</v>
      </c>
      <c r="N4" t="s">
        <v>61</v>
      </c>
      <c r="O4" t="s">
        <v>7232</v>
      </c>
      <c r="P4" t="s">
        <v>38</v>
      </c>
      <c r="Q4" t="s">
        <v>38</v>
      </c>
      <c r="R4">
        <v>1</v>
      </c>
      <c r="S4" t="s">
        <v>38</v>
      </c>
      <c r="T4">
        <v>7</v>
      </c>
      <c r="U4">
        <v>1.4</v>
      </c>
      <c r="V4">
        <v>9.3000000000000007</v>
      </c>
      <c r="W4" t="s">
        <v>39</v>
      </c>
      <c r="X4" t="s">
        <v>63</v>
      </c>
      <c r="Y4" t="s">
        <v>38</v>
      </c>
      <c r="Z4" t="s">
        <v>64</v>
      </c>
      <c r="AA4" t="s">
        <v>42</v>
      </c>
      <c r="AB4" t="s">
        <v>55</v>
      </c>
      <c r="AC4">
        <f t="shared" si="2"/>
        <v>0</v>
      </c>
      <c r="AD4" s="12">
        <f t="shared" si="3"/>
        <v>1</v>
      </c>
      <c r="AE4" s="12">
        <f t="shared" si="4"/>
        <v>0</v>
      </c>
      <c r="AF4">
        <f t="shared" si="5"/>
        <v>0</v>
      </c>
      <c r="AG4">
        <f t="shared" si="6"/>
        <v>1</v>
      </c>
      <c r="AH4">
        <f t="shared" si="7"/>
        <v>1</v>
      </c>
      <c r="AI4">
        <f t="shared" si="8"/>
        <v>0</v>
      </c>
      <c r="AJ4">
        <f t="shared" si="9"/>
        <v>0</v>
      </c>
      <c r="AK4">
        <f t="shared" si="0"/>
        <v>0</v>
      </c>
      <c r="AL4">
        <f t="shared" si="10"/>
        <v>1</v>
      </c>
    </row>
    <row r="5" spans="1:38">
      <c r="A5" t="s">
        <v>65</v>
      </c>
      <c r="B5" t="s">
        <v>66</v>
      </c>
      <c r="C5" s="1">
        <f t="shared" si="1"/>
        <v>45292</v>
      </c>
      <c r="D5" t="s">
        <v>67</v>
      </c>
      <c r="E5">
        <v>334.5</v>
      </c>
      <c r="F5">
        <v>13.9</v>
      </c>
      <c r="G5" t="s">
        <v>68</v>
      </c>
      <c r="H5" t="s">
        <v>69</v>
      </c>
      <c r="I5" t="s">
        <v>32</v>
      </c>
      <c r="J5">
        <v>240</v>
      </c>
      <c r="K5" t="s">
        <v>33</v>
      </c>
      <c r="L5" t="s">
        <v>70</v>
      </c>
      <c r="M5" t="s">
        <v>71</v>
      </c>
      <c r="N5" t="s">
        <v>72</v>
      </c>
      <c r="O5" t="s">
        <v>51</v>
      </c>
      <c r="P5" t="s">
        <v>38</v>
      </c>
      <c r="Q5" t="s">
        <v>39</v>
      </c>
      <c r="R5">
        <v>4</v>
      </c>
      <c r="S5" t="s">
        <v>38</v>
      </c>
      <c r="T5">
        <v>7</v>
      </c>
      <c r="U5">
        <v>3.2</v>
      </c>
      <c r="V5">
        <v>28.6</v>
      </c>
      <c r="W5" t="s">
        <v>39</v>
      </c>
      <c r="X5" t="s">
        <v>52</v>
      </c>
      <c r="Y5" t="s">
        <v>39</v>
      </c>
      <c r="Z5" t="s">
        <v>73</v>
      </c>
      <c r="AA5" t="s">
        <v>54</v>
      </c>
      <c r="AB5" t="s">
        <v>55</v>
      </c>
      <c r="AC5">
        <f t="shared" si="2"/>
        <v>1</v>
      </c>
      <c r="AD5" s="12">
        <f t="shared" si="3"/>
        <v>0</v>
      </c>
      <c r="AE5" s="12">
        <f t="shared" si="4"/>
        <v>0</v>
      </c>
      <c r="AF5">
        <f t="shared" si="5"/>
        <v>1</v>
      </c>
      <c r="AG5">
        <f t="shared" si="6"/>
        <v>0</v>
      </c>
      <c r="AH5">
        <f t="shared" si="7"/>
        <v>0</v>
      </c>
      <c r="AI5">
        <f t="shared" si="8"/>
        <v>0</v>
      </c>
      <c r="AJ5">
        <f t="shared" si="9"/>
        <v>1</v>
      </c>
      <c r="AK5">
        <f t="shared" si="0"/>
        <v>0</v>
      </c>
      <c r="AL5">
        <f t="shared" si="10"/>
        <v>0</v>
      </c>
    </row>
    <row r="6" spans="1:38">
      <c r="A6" t="s">
        <v>74</v>
      </c>
      <c r="B6" t="s">
        <v>75</v>
      </c>
      <c r="C6" s="1">
        <f t="shared" si="1"/>
        <v>45474</v>
      </c>
      <c r="D6" t="s">
        <v>76</v>
      </c>
      <c r="E6">
        <v>518.70000000000005</v>
      </c>
      <c r="F6">
        <v>21.6</v>
      </c>
      <c r="G6" t="s">
        <v>77</v>
      </c>
      <c r="H6" t="s">
        <v>78</v>
      </c>
      <c r="I6" t="s">
        <v>79</v>
      </c>
      <c r="J6">
        <v>360</v>
      </c>
      <c r="K6" t="s">
        <v>33</v>
      </c>
      <c r="L6" t="s">
        <v>70</v>
      </c>
      <c r="M6" t="s">
        <v>35</v>
      </c>
      <c r="N6" t="s">
        <v>80</v>
      </c>
      <c r="O6" t="s">
        <v>7232</v>
      </c>
      <c r="P6" t="s">
        <v>39</v>
      </c>
      <c r="Q6" t="s">
        <v>38</v>
      </c>
      <c r="R6">
        <v>0</v>
      </c>
      <c r="S6" t="s">
        <v>38</v>
      </c>
      <c r="T6">
        <v>8</v>
      </c>
      <c r="U6">
        <v>6.9</v>
      </c>
      <c r="V6">
        <v>26.4</v>
      </c>
      <c r="W6" t="s">
        <v>39</v>
      </c>
      <c r="X6" t="s">
        <v>63</v>
      </c>
      <c r="Y6" t="s">
        <v>39</v>
      </c>
      <c r="Z6" t="s">
        <v>81</v>
      </c>
      <c r="AA6" t="s">
        <v>82</v>
      </c>
      <c r="AB6" t="s">
        <v>83</v>
      </c>
      <c r="AC6">
        <f t="shared" si="2"/>
        <v>0</v>
      </c>
      <c r="AD6" s="12">
        <f t="shared" si="3"/>
        <v>1</v>
      </c>
      <c r="AE6" s="12">
        <f t="shared" si="4"/>
        <v>0</v>
      </c>
      <c r="AF6">
        <f t="shared" si="5"/>
        <v>0</v>
      </c>
      <c r="AG6">
        <f t="shared" si="6"/>
        <v>1</v>
      </c>
      <c r="AH6">
        <f t="shared" si="7"/>
        <v>0</v>
      </c>
      <c r="AI6">
        <f t="shared" si="8"/>
        <v>0</v>
      </c>
      <c r="AJ6">
        <f t="shared" si="9"/>
        <v>0</v>
      </c>
      <c r="AK6">
        <f t="shared" si="0"/>
        <v>0</v>
      </c>
      <c r="AL6">
        <f t="shared" si="10"/>
        <v>0</v>
      </c>
    </row>
    <row r="7" spans="1:38">
      <c r="A7" t="s">
        <v>84</v>
      </c>
      <c r="B7" t="s">
        <v>85</v>
      </c>
      <c r="C7" s="1">
        <f t="shared" si="1"/>
        <v>45474</v>
      </c>
      <c r="D7" t="s">
        <v>86</v>
      </c>
      <c r="E7">
        <v>105.7</v>
      </c>
      <c r="F7">
        <v>4.4000000000000004</v>
      </c>
      <c r="G7" t="s">
        <v>87</v>
      </c>
      <c r="H7" t="s">
        <v>88</v>
      </c>
      <c r="I7" t="s">
        <v>48</v>
      </c>
      <c r="J7">
        <v>120</v>
      </c>
      <c r="K7" t="s">
        <v>49</v>
      </c>
      <c r="L7" t="s">
        <v>34</v>
      </c>
      <c r="M7" t="s">
        <v>71</v>
      </c>
      <c r="N7" t="s">
        <v>89</v>
      </c>
      <c r="O7" t="s">
        <v>51</v>
      </c>
      <c r="P7" t="s">
        <v>38</v>
      </c>
      <c r="Q7" t="s">
        <v>39</v>
      </c>
      <c r="R7">
        <v>4</v>
      </c>
      <c r="S7" t="s">
        <v>38</v>
      </c>
      <c r="T7">
        <v>10</v>
      </c>
      <c r="U7">
        <v>3.3</v>
      </c>
      <c r="V7">
        <v>16.8</v>
      </c>
      <c r="W7" t="s">
        <v>38</v>
      </c>
      <c r="X7" t="s">
        <v>63</v>
      </c>
      <c r="Y7" t="s">
        <v>39</v>
      </c>
      <c r="Z7" t="s">
        <v>73</v>
      </c>
      <c r="AA7" t="s">
        <v>54</v>
      </c>
      <c r="AB7" t="s">
        <v>55</v>
      </c>
      <c r="AC7">
        <f t="shared" si="2"/>
        <v>0</v>
      </c>
      <c r="AD7" s="12">
        <f t="shared" si="3"/>
        <v>1</v>
      </c>
      <c r="AE7" s="12">
        <f t="shared" si="4"/>
        <v>0</v>
      </c>
      <c r="AF7">
        <f t="shared" si="5"/>
        <v>1</v>
      </c>
      <c r="AG7">
        <f t="shared" si="6"/>
        <v>0</v>
      </c>
      <c r="AH7">
        <f t="shared" si="7"/>
        <v>1</v>
      </c>
      <c r="AI7">
        <f t="shared" si="8"/>
        <v>0</v>
      </c>
      <c r="AJ7">
        <f t="shared" si="9"/>
        <v>0</v>
      </c>
      <c r="AK7">
        <f t="shared" si="0"/>
        <v>0</v>
      </c>
      <c r="AL7">
        <f t="shared" si="10"/>
        <v>0</v>
      </c>
    </row>
    <row r="8" spans="1:38">
      <c r="A8" t="s">
        <v>90</v>
      </c>
      <c r="B8" t="s">
        <v>91</v>
      </c>
      <c r="C8" s="1">
        <f t="shared" si="1"/>
        <v>45352</v>
      </c>
      <c r="D8" t="s">
        <v>92</v>
      </c>
      <c r="E8">
        <v>55</v>
      </c>
      <c r="F8">
        <v>2.2999999999999998</v>
      </c>
      <c r="G8" t="s">
        <v>93</v>
      </c>
      <c r="H8" t="s">
        <v>94</v>
      </c>
      <c r="I8" t="s">
        <v>95</v>
      </c>
      <c r="J8">
        <v>48</v>
      </c>
      <c r="K8" t="s">
        <v>33</v>
      </c>
      <c r="L8" t="s">
        <v>96</v>
      </c>
      <c r="M8" t="s">
        <v>35</v>
      </c>
      <c r="N8" t="s">
        <v>97</v>
      </c>
      <c r="O8" t="s">
        <v>37</v>
      </c>
      <c r="P8" t="s">
        <v>38</v>
      </c>
      <c r="Q8" t="s">
        <v>38</v>
      </c>
      <c r="R8">
        <v>1</v>
      </c>
      <c r="S8" t="s">
        <v>38</v>
      </c>
      <c r="T8">
        <v>3</v>
      </c>
      <c r="U8">
        <v>0.1</v>
      </c>
      <c r="V8">
        <v>15</v>
      </c>
      <c r="W8" t="s">
        <v>39</v>
      </c>
      <c r="X8" t="s">
        <v>52</v>
      </c>
      <c r="Y8" t="s">
        <v>39</v>
      </c>
      <c r="Z8" t="s">
        <v>73</v>
      </c>
      <c r="AA8" t="s">
        <v>42</v>
      </c>
      <c r="AB8" t="s">
        <v>55</v>
      </c>
      <c r="AC8">
        <f t="shared" si="2"/>
        <v>1</v>
      </c>
      <c r="AD8" s="12">
        <f t="shared" si="3"/>
        <v>0</v>
      </c>
      <c r="AE8" s="12">
        <f t="shared" si="4"/>
        <v>0</v>
      </c>
      <c r="AF8">
        <f t="shared" si="5"/>
        <v>0</v>
      </c>
      <c r="AG8">
        <f t="shared" si="6"/>
        <v>0</v>
      </c>
      <c r="AH8">
        <f t="shared" si="7"/>
        <v>0</v>
      </c>
      <c r="AI8">
        <f t="shared" si="8"/>
        <v>1</v>
      </c>
      <c r="AJ8">
        <f t="shared" si="9"/>
        <v>0</v>
      </c>
      <c r="AK8">
        <f t="shared" si="0"/>
        <v>0</v>
      </c>
      <c r="AL8">
        <f t="shared" si="10"/>
        <v>0</v>
      </c>
    </row>
    <row r="9" spans="1:38">
      <c r="A9" t="s">
        <v>98</v>
      </c>
      <c r="B9" t="s">
        <v>99</v>
      </c>
      <c r="C9" s="1">
        <f t="shared" si="1"/>
        <v>45323</v>
      </c>
      <c r="D9" t="s">
        <v>100</v>
      </c>
      <c r="E9">
        <v>319</v>
      </c>
      <c r="F9">
        <v>13.3</v>
      </c>
      <c r="G9" t="s">
        <v>101</v>
      </c>
      <c r="H9" t="s">
        <v>102</v>
      </c>
      <c r="I9" t="s">
        <v>79</v>
      </c>
      <c r="J9">
        <v>360</v>
      </c>
      <c r="K9" t="s">
        <v>49</v>
      </c>
      <c r="L9" t="s">
        <v>70</v>
      </c>
      <c r="M9" t="s">
        <v>35</v>
      </c>
      <c r="N9" t="s">
        <v>72</v>
      </c>
      <c r="O9" t="s">
        <v>37</v>
      </c>
      <c r="P9" t="s">
        <v>38</v>
      </c>
      <c r="Q9" t="s">
        <v>38</v>
      </c>
      <c r="R9">
        <v>1</v>
      </c>
      <c r="S9" t="s">
        <v>38</v>
      </c>
      <c r="T9">
        <v>8</v>
      </c>
      <c r="U9">
        <v>2.7</v>
      </c>
      <c r="V9">
        <v>18</v>
      </c>
      <c r="W9" t="s">
        <v>38</v>
      </c>
      <c r="X9" t="s">
        <v>63</v>
      </c>
      <c r="Y9" t="s">
        <v>38</v>
      </c>
      <c r="Z9" t="s">
        <v>81</v>
      </c>
      <c r="AA9" t="s">
        <v>103</v>
      </c>
      <c r="AB9" t="s">
        <v>43</v>
      </c>
      <c r="AC9">
        <f t="shared" si="2"/>
        <v>0</v>
      </c>
      <c r="AD9" s="12">
        <f t="shared" si="3"/>
        <v>1</v>
      </c>
      <c r="AE9" s="12">
        <f t="shared" si="4"/>
        <v>0</v>
      </c>
      <c r="AF9">
        <f t="shared" si="5"/>
        <v>0</v>
      </c>
      <c r="AG9">
        <f t="shared" si="6"/>
        <v>0</v>
      </c>
      <c r="AH9">
        <f t="shared" si="7"/>
        <v>0</v>
      </c>
      <c r="AI9">
        <f t="shared" si="8"/>
        <v>0</v>
      </c>
      <c r="AJ9">
        <f t="shared" si="9"/>
        <v>0</v>
      </c>
      <c r="AK9">
        <f t="shared" si="0"/>
        <v>0</v>
      </c>
      <c r="AL9">
        <f t="shared" si="10"/>
        <v>1</v>
      </c>
    </row>
    <row r="10" spans="1:38">
      <c r="A10" t="s">
        <v>104</v>
      </c>
      <c r="B10" t="s">
        <v>105</v>
      </c>
      <c r="C10" s="1">
        <f t="shared" si="1"/>
        <v>45627</v>
      </c>
      <c r="D10" t="s">
        <v>106</v>
      </c>
      <c r="E10">
        <v>131.19999999999999</v>
      </c>
      <c r="F10">
        <v>5.5</v>
      </c>
      <c r="G10" t="s">
        <v>68</v>
      </c>
      <c r="H10" t="s">
        <v>69</v>
      </c>
      <c r="I10" t="s">
        <v>48</v>
      </c>
      <c r="J10">
        <v>120</v>
      </c>
      <c r="K10" t="s">
        <v>33</v>
      </c>
      <c r="L10" t="s">
        <v>34</v>
      </c>
      <c r="M10" t="s">
        <v>35</v>
      </c>
      <c r="N10" t="s">
        <v>107</v>
      </c>
      <c r="O10" t="s">
        <v>7232</v>
      </c>
      <c r="P10" t="s">
        <v>39</v>
      </c>
      <c r="Q10" t="s">
        <v>38</v>
      </c>
      <c r="R10">
        <v>0</v>
      </c>
      <c r="S10" t="s">
        <v>39</v>
      </c>
      <c r="T10">
        <v>7</v>
      </c>
      <c r="U10">
        <v>7.2</v>
      </c>
      <c r="V10">
        <v>15.5</v>
      </c>
      <c r="W10" t="s">
        <v>39</v>
      </c>
      <c r="X10" t="s">
        <v>63</v>
      </c>
      <c r="Y10" t="s">
        <v>39</v>
      </c>
      <c r="Z10" t="s">
        <v>108</v>
      </c>
      <c r="AA10" t="s">
        <v>109</v>
      </c>
      <c r="AB10" t="s">
        <v>83</v>
      </c>
      <c r="AC10">
        <f t="shared" si="2"/>
        <v>0</v>
      </c>
      <c r="AD10" s="12">
        <f t="shared" si="3"/>
        <v>1</v>
      </c>
      <c r="AE10" s="12">
        <f t="shared" si="4"/>
        <v>0</v>
      </c>
      <c r="AF10">
        <f t="shared" si="5"/>
        <v>0</v>
      </c>
      <c r="AG10">
        <f t="shared" si="6"/>
        <v>1</v>
      </c>
      <c r="AH10">
        <f t="shared" si="7"/>
        <v>1</v>
      </c>
      <c r="AI10">
        <f t="shared" si="8"/>
        <v>0</v>
      </c>
      <c r="AJ10">
        <f t="shared" si="9"/>
        <v>0</v>
      </c>
      <c r="AK10">
        <f t="shared" si="0"/>
        <v>0</v>
      </c>
      <c r="AL10">
        <f t="shared" si="10"/>
        <v>0</v>
      </c>
    </row>
    <row r="11" spans="1:38">
      <c r="A11" t="s">
        <v>110</v>
      </c>
      <c r="B11" t="s">
        <v>111</v>
      </c>
      <c r="C11" s="1">
        <f t="shared" si="1"/>
        <v>45597</v>
      </c>
      <c r="D11" t="s">
        <v>112</v>
      </c>
      <c r="E11">
        <v>229.9</v>
      </c>
      <c r="F11">
        <v>9.6</v>
      </c>
      <c r="G11" t="s">
        <v>77</v>
      </c>
      <c r="H11" t="s">
        <v>78</v>
      </c>
      <c r="I11" t="s">
        <v>79</v>
      </c>
      <c r="J11">
        <v>360</v>
      </c>
      <c r="K11" t="s">
        <v>49</v>
      </c>
      <c r="L11" t="s">
        <v>113</v>
      </c>
      <c r="M11" t="s">
        <v>35</v>
      </c>
      <c r="N11" t="s">
        <v>114</v>
      </c>
      <c r="O11" t="s">
        <v>7232</v>
      </c>
      <c r="P11" t="s">
        <v>38</v>
      </c>
      <c r="Q11" t="s">
        <v>38</v>
      </c>
      <c r="R11">
        <v>1</v>
      </c>
      <c r="S11" t="s">
        <v>38</v>
      </c>
      <c r="T11">
        <v>9</v>
      </c>
      <c r="U11">
        <v>0.7</v>
      </c>
      <c r="V11">
        <v>15.6</v>
      </c>
      <c r="W11" t="s">
        <v>39</v>
      </c>
      <c r="X11" t="s">
        <v>52</v>
      </c>
      <c r="Y11" t="s">
        <v>38</v>
      </c>
      <c r="Z11" t="s">
        <v>115</v>
      </c>
      <c r="AA11" t="s">
        <v>103</v>
      </c>
      <c r="AB11" t="s">
        <v>83</v>
      </c>
      <c r="AC11">
        <f t="shared" si="2"/>
        <v>1</v>
      </c>
      <c r="AD11" s="12">
        <f t="shared" si="3"/>
        <v>0</v>
      </c>
      <c r="AE11" s="12">
        <f t="shared" si="4"/>
        <v>0</v>
      </c>
      <c r="AF11">
        <f t="shared" si="5"/>
        <v>0</v>
      </c>
      <c r="AG11">
        <f t="shared" si="6"/>
        <v>1</v>
      </c>
      <c r="AH11">
        <f t="shared" si="7"/>
        <v>0</v>
      </c>
      <c r="AI11">
        <f t="shared" si="8"/>
        <v>0</v>
      </c>
      <c r="AJ11">
        <f t="shared" si="9"/>
        <v>0</v>
      </c>
      <c r="AK11">
        <f t="shared" si="0"/>
        <v>0</v>
      </c>
      <c r="AL11">
        <f t="shared" si="10"/>
        <v>1</v>
      </c>
    </row>
    <row r="12" spans="1:38">
      <c r="A12" t="s">
        <v>116</v>
      </c>
      <c r="B12" t="s">
        <v>117</v>
      </c>
      <c r="C12" s="1">
        <f t="shared" si="1"/>
        <v>45597</v>
      </c>
      <c r="D12" t="s">
        <v>118</v>
      </c>
      <c r="E12">
        <v>439.6</v>
      </c>
      <c r="F12">
        <v>18.3</v>
      </c>
      <c r="G12" t="s">
        <v>30</v>
      </c>
      <c r="H12" t="s">
        <v>31</v>
      </c>
      <c r="I12" t="s">
        <v>32</v>
      </c>
      <c r="J12">
        <v>240</v>
      </c>
      <c r="K12" t="s">
        <v>33</v>
      </c>
      <c r="L12" t="s">
        <v>96</v>
      </c>
      <c r="M12" t="s">
        <v>35</v>
      </c>
      <c r="N12" t="s">
        <v>119</v>
      </c>
      <c r="O12" t="s">
        <v>37</v>
      </c>
      <c r="P12" t="s">
        <v>39</v>
      </c>
      <c r="Q12" t="s">
        <v>38</v>
      </c>
      <c r="R12">
        <v>0</v>
      </c>
      <c r="S12" t="s">
        <v>38</v>
      </c>
      <c r="T12">
        <v>6</v>
      </c>
      <c r="U12">
        <v>1.8</v>
      </c>
      <c r="V12">
        <v>5.8</v>
      </c>
      <c r="W12" t="s">
        <v>39</v>
      </c>
      <c r="X12" t="s">
        <v>40</v>
      </c>
      <c r="Y12" t="s">
        <v>39</v>
      </c>
      <c r="Z12" t="s">
        <v>108</v>
      </c>
      <c r="AA12" t="s">
        <v>42</v>
      </c>
      <c r="AB12" t="s">
        <v>55</v>
      </c>
      <c r="AC12">
        <f t="shared" si="2"/>
        <v>0</v>
      </c>
      <c r="AD12" s="12">
        <f t="shared" si="3"/>
        <v>0</v>
      </c>
      <c r="AE12" s="12">
        <f t="shared" si="4"/>
        <v>0</v>
      </c>
      <c r="AF12">
        <f t="shared" si="5"/>
        <v>0</v>
      </c>
      <c r="AG12">
        <f t="shared" si="6"/>
        <v>0</v>
      </c>
      <c r="AH12">
        <f t="shared" si="7"/>
        <v>0</v>
      </c>
      <c r="AI12">
        <f t="shared" si="8"/>
        <v>0</v>
      </c>
      <c r="AJ12">
        <f t="shared" si="9"/>
        <v>1</v>
      </c>
      <c r="AK12">
        <f t="shared" si="0"/>
        <v>1</v>
      </c>
      <c r="AL12">
        <f t="shared" si="10"/>
        <v>0</v>
      </c>
    </row>
    <row r="13" spans="1:38">
      <c r="A13" t="s">
        <v>120</v>
      </c>
      <c r="B13" t="s">
        <v>121</v>
      </c>
      <c r="C13" s="1">
        <f t="shared" si="1"/>
        <v>45474</v>
      </c>
      <c r="D13" t="s">
        <v>122</v>
      </c>
      <c r="E13">
        <v>305</v>
      </c>
      <c r="F13">
        <v>12.7</v>
      </c>
      <c r="G13" t="s">
        <v>30</v>
      </c>
      <c r="H13" t="s">
        <v>47</v>
      </c>
      <c r="I13" t="s">
        <v>32</v>
      </c>
      <c r="J13">
        <v>240</v>
      </c>
      <c r="K13" t="s">
        <v>33</v>
      </c>
      <c r="L13" t="s">
        <v>96</v>
      </c>
      <c r="M13" t="s">
        <v>35</v>
      </c>
      <c r="N13" t="s">
        <v>61</v>
      </c>
      <c r="O13" t="s">
        <v>37</v>
      </c>
      <c r="P13" t="s">
        <v>39</v>
      </c>
      <c r="Q13" t="s">
        <v>38</v>
      </c>
      <c r="R13">
        <v>0</v>
      </c>
      <c r="S13" t="s">
        <v>38</v>
      </c>
      <c r="T13">
        <v>8</v>
      </c>
      <c r="U13">
        <v>3.8</v>
      </c>
      <c r="V13">
        <v>12.6</v>
      </c>
      <c r="W13" t="s">
        <v>38</v>
      </c>
      <c r="X13" t="s">
        <v>123</v>
      </c>
      <c r="Y13" t="s">
        <v>39</v>
      </c>
      <c r="Z13" t="s">
        <v>81</v>
      </c>
      <c r="AA13" t="s">
        <v>109</v>
      </c>
      <c r="AB13" t="s">
        <v>83</v>
      </c>
      <c r="AC13">
        <f t="shared" si="2"/>
        <v>0</v>
      </c>
      <c r="AD13" s="12">
        <f t="shared" si="3"/>
        <v>0</v>
      </c>
      <c r="AE13" s="12">
        <f t="shared" si="4"/>
        <v>1</v>
      </c>
      <c r="AF13">
        <f t="shared" si="5"/>
        <v>0</v>
      </c>
      <c r="AG13">
        <f t="shared" si="6"/>
        <v>0</v>
      </c>
      <c r="AH13">
        <f t="shared" si="7"/>
        <v>0</v>
      </c>
      <c r="AI13">
        <f t="shared" si="8"/>
        <v>0</v>
      </c>
      <c r="AJ13">
        <f t="shared" si="9"/>
        <v>1</v>
      </c>
      <c r="AK13">
        <f t="shared" si="0"/>
        <v>1</v>
      </c>
      <c r="AL13">
        <f t="shared" si="10"/>
        <v>0</v>
      </c>
    </row>
    <row r="14" spans="1:38">
      <c r="A14" t="s">
        <v>124</v>
      </c>
      <c r="B14" t="s">
        <v>125</v>
      </c>
      <c r="C14" s="1">
        <f t="shared" si="1"/>
        <v>45413</v>
      </c>
      <c r="D14" t="s">
        <v>126</v>
      </c>
      <c r="E14">
        <v>104.6</v>
      </c>
      <c r="F14">
        <v>4.4000000000000004</v>
      </c>
      <c r="G14" t="s">
        <v>59</v>
      </c>
      <c r="H14" t="s">
        <v>127</v>
      </c>
      <c r="I14" t="s">
        <v>48</v>
      </c>
      <c r="J14">
        <v>120</v>
      </c>
      <c r="K14" t="s">
        <v>49</v>
      </c>
      <c r="L14" t="s">
        <v>113</v>
      </c>
      <c r="M14" t="s">
        <v>35</v>
      </c>
      <c r="N14" t="s">
        <v>128</v>
      </c>
      <c r="O14" t="s">
        <v>37</v>
      </c>
      <c r="P14" t="s">
        <v>38</v>
      </c>
      <c r="Q14" t="s">
        <v>38</v>
      </c>
      <c r="R14">
        <v>1</v>
      </c>
      <c r="S14" t="s">
        <v>38</v>
      </c>
      <c r="T14">
        <v>6</v>
      </c>
      <c r="U14">
        <v>4.2</v>
      </c>
      <c r="V14">
        <v>16.7</v>
      </c>
      <c r="W14" t="s">
        <v>39</v>
      </c>
      <c r="X14" t="s">
        <v>52</v>
      </c>
      <c r="Y14" t="s">
        <v>39</v>
      </c>
      <c r="Z14" t="s">
        <v>64</v>
      </c>
      <c r="AA14" t="s">
        <v>82</v>
      </c>
      <c r="AB14" t="s">
        <v>55</v>
      </c>
      <c r="AC14">
        <f t="shared" si="2"/>
        <v>1</v>
      </c>
      <c r="AD14" s="12">
        <f t="shared" si="3"/>
        <v>0</v>
      </c>
      <c r="AE14" s="12">
        <f t="shared" si="4"/>
        <v>0</v>
      </c>
      <c r="AF14">
        <f t="shared" si="5"/>
        <v>0</v>
      </c>
      <c r="AG14">
        <f t="shared" si="6"/>
        <v>0</v>
      </c>
      <c r="AH14">
        <f t="shared" si="7"/>
        <v>1</v>
      </c>
      <c r="AI14">
        <f t="shared" si="8"/>
        <v>0</v>
      </c>
      <c r="AJ14">
        <f t="shared" si="9"/>
        <v>0</v>
      </c>
      <c r="AK14">
        <f t="shared" si="0"/>
        <v>0</v>
      </c>
      <c r="AL14">
        <f t="shared" si="10"/>
        <v>0</v>
      </c>
    </row>
    <row r="15" spans="1:38">
      <c r="A15" t="s">
        <v>129</v>
      </c>
      <c r="B15" t="s">
        <v>130</v>
      </c>
      <c r="C15" s="1">
        <f t="shared" si="1"/>
        <v>45536</v>
      </c>
      <c r="D15" t="s">
        <v>131</v>
      </c>
      <c r="E15">
        <v>196.9</v>
      </c>
      <c r="F15">
        <v>8.1999999999999993</v>
      </c>
      <c r="G15" t="s">
        <v>59</v>
      </c>
      <c r="H15" t="s">
        <v>132</v>
      </c>
      <c r="I15" t="s">
        <v>32</v>
      </c>
      <c r="J15">
        <v>240</v>
      </c>
      <c r="K15" t="s">
        <v>49</v>
      </c>
      <c r="L15" t="s">
        <v>133</v>
      </c>
      <c r="M15" t="s">
        <v>71</v>
      </c>
      <c r="N15" t="s">
        <v>134</v>
      </c>
      <c r="O15" t="s">
        <v>37</v>
      </c>
      <c r="P15" t="s">
        <v>38</v>
      </c>
      <c r="Q15" t="s">
        <v>39</v>
      </c>
      <c r="R15">
        <v>2</v>
      </c>
      <c r="S15" t="s">
        <v>39</v>
      </c>
      <c r="T15">
        <v>6</v>
      </c>
      <c r="U15">
        <v>2.5</v>
      </c>
      <c r="V15">
        <v>28.1</v>
      </c>
      <c r="W15" t="s">
        <v>38</v>
      </c>
      <c r="X15" t="s">
        <v>52</v>
      </c>
      <c r="Y15" t="s">
        <v>39</v>
      </c>
      <c r="Z15" t="s">
        <v>73</v>
      </c>
      <c r="AA15" t="s">
        <v>42</v>
      </c>
      <c r="AB15" t="s">
        <v>43</v>
      </c>
      <c r="AC15">
        <f t="shared" si="2"/>
        <v>1</v>
      </c>
      <c r="AD15" s="12">
        <f t="shared" si="3"/>
        <v>0</v>
      </c>
      <c r="AE15" s="12">
        <f t="shared" si="4"/>
        <v>0</v>
      </c>
      <c r="AF15">
        <f t="shared" si="5"/>
        <v>0</v>
      </c>
      <c r="AG15">
        <f t="shared" si="6"/>
        <v>0</v>
      </c>
      <c r="AH15">
        <f t="shared" si="7"/>
        <v>0</v>
      </c>
      <c r="AI15">
        <f t="shared" si="8"/>
        <v>0</v>
      </c>
      <c r="AJ15">
        <f t="shared" si="9"/>
        <v>1</v>
      </c>
      <c r="AK15">
        <f t="shared" si="0"/>
        <v>0</v>
      </c>
      <c r="AL15">
        <f t="shared" si="10"/>
        <v>0</v>
      </c>
    </row>
    <row r="16" spans="1:38">
      <c r="A16" t="s">
        <v>135</v>
      </c>
      <c r="B16" t="s">
        <v>136</v>
      </c>
      <c r="C16" s="1">
        <f t="shared" si="1"/>
        <v>45413</v>
      </c>
      <c r="D16" t="s">
        <v>137</v>
      </c>
      <c r="E16">
        <v>101.3</v>
      </c>
      <c r="F16">
        <v>4.2</v>
      </c>
      <c r="G16" t="s">
        <v>59</v>
      </c>
      <c r="H16" t="s">
        <v>60</v>
      </c>
      <c r="I16" t="s">
        <v>48</v>
      </c>
      <c r="J16">
        <v>120</v>
      </c>
      <c r="K16" t="s">
        <v>49</v>
      </c>
      <c r="L16" t="s">
        <v>96</v>
      </c>
      <c r="M16" t="s">
        <v>35</v>
      </c>
      <c r="N16" t="s">
        <v>138</v>
      </c>
      <c r="O16" t="s">
        <v>7232</v>
      </c>
      <c r="P16" t="s">
        <v>38</v>
      </c>
      <c r="Q16" t="s">
        <v>38</v>
      </c>
      <c r="R16">
        <v>1</v>
      </c>
      <c r="S16" t="s">
        <v>38</v>
      </c>
      <c r="T16">
        <v>10</v>
      </c>
      <c r="U16">
        <v>2.2000000000000002</v>
      </c>
      <c r="V16">
        <v>23.8</v>
      </c>
      <c r="W16" t="s">
        <v>38</v>
      </c>
      <c r="X16" t="s">
        <v>63</v>
      </c>
      <c r="Y16" t="s">
        <v>39</v>
      </c>
      <c r="Z16" t="s">
        <v>64</v>
      </c>
      <c r="AA16" t="s">
        <v>109</v>
      </c>
      <c r="AB16" t="s">
        <v>83</v>
      </c>
      <c r="AC16">
        <f t="shared" si="2"/>
        <v>0</v>
      </c>
      <c r="AD16" s="12">
        <f t="shared" si="3"/>
        <v>1</v>
      </c>
      <c r="AE16" s="12">
        <f t="shared" si="4"/>
        <v>0</v>
      </c>
      <c r="AF16">
        <f t="shared" si="5"/>
        <v>0</v>
      </c>
      <c r="AG16">
        <f t="shared" si="6"/>
        <v>1</v>
      </c>
      <c r="AH16">
        <f t="shared" si="7"/>
        <v>1</v>
      </c>
      <c r="AI16">
        <f t="shared" si="8"/>
        <v>0</v>
      </c>
      <c r="AJ16">
        <f t="shared" si="9"/>
        <v>0</v>
      </c>
      <c r="AK16">
        <f t="shared" si="0"/>
        <v>0</v>
      </c>
      <c r="AL16">
        <f t="shared" si="10"/>
        <v>0</v>
      </c>
    </row>
    <row r="17" spans="1:38">
      <c r="A17" t="s">
        <v>139</v>
      </c>
      <c r="B17" t="s">
        <v>140</v>
      </c>
      <c r="C17" s="1">
        <f t="shared" si="1"/>
        <v>45352</v>
      </c>
      <c r="D17" t="s">
        <v>141</v>
      </c>
      <c r="E17">
        <v>332.3</v>
      </c>
      <c r="F17">
        <v>13.8</v>
      </c>
      <c r="G17" t="s">
        <v>142</v>
      </c>
      <c r="H17" t="s">
        <v>143</v>
      </c>
      <c r="I17" t="s">
        <v>79</v>
      </c>
      <c r="J17">
        <v>360</v>
      </c>
      <c r="K17" t="s">
        <v>49</v>
      </c>
      <c r="L17" t="s">
        <v>96</v>
      </c>
      <c r="M17" t="s">
        <v>71</v>
      </c>
      <c r="N17" t="s">
        <v>144</v>
      </c>
      <c r="O17" t="s">
        <v>7232</v>
      </c>
      <c r="P17" t="s">
        <v>38</v>
      </c>
      <c r="Q17" t="s">
        <v>39</v>
      </c>
      <c r="R17">
        <v>3</v>
      </c>
      <c r="S17" t="s">
        <v>39</v>
      </c>
      <c r="T17">
        <v>5</v>
      </c>
      <c r="U17">
        <v>1.7</v>
      </c>
      <c r="V17">
        <v>17.2</v>
      </c>
      <c r="W17" t="s">
        <v>39</v>
      </c>
      <c r="X17" t="s">
        <v>52</v>
      </c>
      <c r="Y17" t="s">
        <v>38</v>
      </c>
      <c r="Z17" t="s">
        <v>41</v>
      </c>
      <c r="AA17" t="s">
        <v>109</v>
      </c>
      <c r="AB17" t="s">
        <v>43</v>
      </c>
      <c r="AC17">
        <f t="shared" si="2"/>
        <v>1</v>
      </c>
      <c r="AD17" s="12">
        <f t="shared" si="3"/>
        <v>0</v>
      </c>
      <c r="AE17" s="12">
        <f t="shared" si="4"/>
        <v>0</v>
      </c>
      <c r="AF17">
        <f t="shared" si="5"/>
        <v>0</v>
      </c>
      <c r="AG17">
        <f t="shared" si="6"/>
        <v>1</v>
      </c>
      <c r="AH17">
        <f t="shared" si="7"/>
        <v>0</v>
      </c>
      <c r="AI17">
        <f t="shared" si="8"/>
        <v>0</v>
      </c>
      <c r="AJ17">
        <f t="shared" si="9"/>
        <v>0</v>
      </c>
      <c r="AK17">
        <f t="shared" si="0"/>
        <v>0</v>
      </c>
      <c r="AL17">
        <f t="shared" si="10"/>
        <v>1</v>
      </c>
    </row>
    <row r="18" spans="1:38">
      <c r="A18" t="s">
        <v>145</v>
      </c>
      <c r="B18" t="s">
        <v>146</v>
      </c>
      <c r="C18" s="1">
        <f t="shared" si="1"/>
        <v>45292</v>
      </c>
      <c r="D18" t="s">
        <v>147</v>
      </c>
      <c r="E18">
        <v>525.79999999999995</v>
      </c>
      <c r="F18">
        <v>21.9</v>
      </c>
      <c r="G18" t="s">
        <v>142</v>
      </c>
      <c r="H18" t="s">
        <v>143</v>
      </c>
      <c r="I18" t="s">
        <v>32</v>
      </c>
      <c r="J18">
        <v>240</v>
      </c>
      <c r="K18" t="s">
        <v>33</v>
      </c>
      <c r="L18" t="s">
        <v>70</v>
      </c>
      <c r="M18" t="s">
        <v>71</v>
      </c>
      <c r="N18" t="s">
        <v>61</v>
      </c>
      <c r="O18" t="s">
        <v>37</v>
      </c>
      <c r="P18" t="s">
        <v>38</v>
      </c>
      <c r="Q18" t="s">
        <v>39</v>
      </c>
      <c r="R18">
        <v>2</v>
      </c>
      <c r="S18" t="s">
        <v>38</v>
      </c>
      <c r="T18">
        <v>6</v>
      </c>
      <c r="U18">
        <v>2.5</v>
      </c>
      <c r="V18">
        <v>27.7</v>
      </c>
      <c r="W18" t="s">
        <v>38</v>
      </c>
      <c r="X18" t="s">
        <v>63</v>
      </c>
      <c r="Y18" t="s">
        <v>38</v>
      </c>
      <c r="Z18" t="s">
        <v>108</v>
      </c>
      <c r="AA18" t="s">
        <v>42</v>
      </c>
      <c r="AB18" t="s">
        <v>83</v>
      </c>
      <c r="AC18">
        <f t="shared" si="2"/>
        <v>0</v>
      </c>
      <c r="AD18" s="12">
        <f t="shared" si="3"/>
        <v>1</v>
      </c>
      <c r="AE18" s="12">
        <f t="shared" si="4"/>
        <v>0</v>
      </c>
      <c r="AF18">
        <f t="shared" si="5"/>
        <v>0</v>
      </c>
      <c r="AG18">
        <f t="shared" si="6"/>
        <v>0</v>
      </c>
      <c r="AH18">
        <f t="shared" si="7"/>
        <v>0</v>
      </c>
      <c r="AI18">
        <f t="shared" si="8"/>
        <v>0</v>
      </c>
      <c r="AJ18">
        <f t="shared" si="9"/>
        <v>1</v>
      </c>
      <c r="AK18">
        <f t="shared" si="0"/>
        <v>0</v>
      </c>
      <c r="AL18">
        <f t="shared" si="10"/>
        <v>1</v>
      </c>
    </row>
    <row r="19" spans="1:38">
      <c r="A19" t="s">
        <v>148</v>
      </c>
      <c r="B19" t="s">
        <v>149</v>
      </c>
      <c r="C19" s="1">
        <f t="shared" si="1"/>
        <v>45444</v>
      </c>
      <c r="D19" t="s">
        <v>150</v>
      </c>
      <c r="E19">
        <v>41.9</v>
      </c>
      <c r="F19">
        <v>1.7</v>
      </c>
      <c r="G19" t="s">
        <v>87</v>
      </c>
      <c r="H19" t="s">
        <v>151</v>
      </c>
      <c r="I19" t="s">
        <v>95</v>
      </c>
      <c r="J19">
        <v>48</v>
      </c>
      <c r="K19" t="s">
        <v>49</v>
      </c>
      <c r="L19" t="s">
        <v>96</v>
      </c>
      <c r="M19" t="s">
        <v>35</v>
      </c>
      <c r="N19" t="s">
        <v>128</v>
      </c>
      <c r="O19" t="s">
        <v>37</v>
      </c>
      <c r="P19" t="s">
        <v>39</v>
      </c>
      <c r="Q19" t="s">
        <v>38</v>
      </c>
      <c r="R19">
        <v>0</v>
      </c>
      <c r="S19" t="s">
        <v>38</v>
      </c>
      <c r="T19">
        <v>10</v>
      </c>
      <c r="U19">
        <v>3.3</v>
      </c>
      <c r="V19">
        <v>40.1</v>
      </c>
      <c r="W19" t="s">
        <v>39</v>
      </c>
      <c r="X19" t="s">
        <v>123</v>
      </c>
      <c r="Y19" t="s">
        <v>39</v>
      </c>
      <c r="Z19" t="s">
        <v>108</v>
      </c>
      <c r="AA19" t="s">
        <v>54</v>
      </c>
      <c r="AB19" t="s">
        <v>83</v>
      </c>
      <c r="AC19">
        <f t="shared" si="2"/>
        <v>0</v>
      </c>
      <c r="AD19" s="12">
        <f t="shared" si="3"/>
        <v>0</v>
      </c>
      <c r="AE19" s="12">
        <f t="shared" si="4"/>
        <v>1</v>
      </c>
      <c r="AF19">
        <f t="shared" si="5"/>
        <v>0</v>
      </c>
      <c r="AG19">
        <f t="shared" si="6"/>
        <v>0</v>
      </c>
      <c r="AH19">
        <f t="shared" si="7"/>
        <v>0</v>
      </c>
      <c r="AI19">
        <f t="shared" si="8"/>
        <v>1</v>
      </c>
      <c r="AJ19">
        <f t="shared" si="9"/>
        <v>0</v>
      </c>
      <c r="AK19">
        <f t="shared" si="0"/>
        <v>0</v>
      </c>
      <c r="AL19">
        <f t="shared" si="10"/>
        <v>0</v>
      </c>
    </row>
    <row r="20" spans="1:38">
      <c r="A20" t="s">
        <v>152</v>
      </c>
      <c r="B20" t="s">
        <v>153</v>
      </c>
      <c r="C20" s="1">
        <f t="shared" si="1"/>
        <v>45444</v>
      </c>
      <c r="D20" t="s">
        <v>154</v>
      </c>
      <c r="E20">
        <v>143.19999999999999</v>
      </c>
      <c r="F20">
        <v>6</v>
      </c>
      <c r="G20" t="s">
        <v>87</v>
      </c>
      <c r="H20" t="s">
        <v>151</v>
      </c>
      <c r="I20" t="s">
        <v>48</v>
      </c>
      <c r="J20">
        <v>120</v>
      </c>
      <c r="K20" t="s">
        <v>33</v>
      </c>
      <c r="L20" t="s">
        <v>96</v>
      </c>
      <c r="M20" t="s">
        <v>71</v>
      </c>
      <c r="N20" t="s">
        <v>155</v>
      </c>
      <c r="O20" t="s">
        <v>7232</v>
      </c>
      <c r="P20" t="s">
        <v>38</v>
      </c>
      <c r="Q20" t="s">
        <v>39</v>
      </c>
      <c r="R20">
        <v>4</v>
      </c>
      <c r="S20" t="s">
        <v>38</v>
      </c>
      <c r="T20">
        <v>10</v>
      </c>
      <c r="U20">
        <v>3</v>
      </c>
      <c r="V20">
        <v>8.8000000000000007</v>
      </c>
      <c r="W20" t="s">
        <v>38</v>
      </c>
      <c r="X20" t="s">
        <v>123</v>
      </c>
      <c r="Y20" t="s">
        <v>38</v>
      </c>
      <c r="Z20" t="s">
        <v>73</v>
      </c>
      <c r="AA20" t="s">
        <v>109</v>
      </c>
      <c r="AB20" t="s">
        <v>83</v>
      </c>
      <c r="AC20">
        <f t="shared" si="2"/>
        <v>0</v>
      </c>
      <c r="AD20" s="12">
        <f t="shared" si="3"/>
        <v>0</v>
      </c>
      <c r="AE20" s="12">
        <f t="shared" si="4"/>
        <v>1</v>
      </c>
      <c r="AF20">
        <f t="shared" si="5"/>
        <v>0</v>
      </c>
      <c r="AG20">
        <f t="shared" si="6"/>
        <v>1</v>
      </c>
      <c r="AH20">
        <f t="shared" si="7"/>
        <v>1</v>
      </c>
      <c r="AI20">
        <f t="shared" si="8"/>
        <v>0</v>
      </c>
      <c r="AJ20">
        <f t="shared" si="9"/>
        <v>0</v>
      </c>
      <c r="AK20">
        <f t="shared" si="0"/>
        <v>0</v>
      </c>
      <c r="AL20">
        <f t="shared" si="10"/>
        <v>1</v>
      </c>
    </row>
    <row r="21" spans="1:38">
      <c r="A21" t="s">
        <v>156</v>
      </c>
      <c r="B21" t="s">
        <v>157</v>
      </c>
      <c r="C21" s="1">
        <f t="shared" si="1"/>
        <v>45627</v>
      </c>
      <c r="D21" t="s">
        <v>158</v>
      </c>
      <c r="E21">
        <v>633.79999999999995</v>
      </c>
      <c r="F21">
        <v>26.4</v>
      </c>
      <c r="G21" t="s">
        <v>30</v>
      </c>
      <c r="H21" t="s">
        <v>159</v>
      </c>
      <c r="I21" t="s">
        <v>32</v>
      </c>
      <c r="J21">
        <v>240</v>
      </c>
      <c r="K21" t="s">
        <v>33</v>
      </c>
      <c r="L21" t="s">
        <v>96</v>
      </c>
      <c r="M21" t="s">
        <v>35</v>
      </c>
      <c r="N21" t="s">
        <v>134</v>
      </c>
      <c r="O21" t="s">
        <v>51</v>
      </c>
      <c r="P21" t="s">
        <v>38</v>
      </c>
      <c r="Q21" t="s">
        <v>38</v>
      </c>
      <c r="R21">
        <v>1</v>
      </c>
      <c r="S21" t="s">
        <v>38</v>
      </c>
      <c r="T21">
        <v>1</v>
      </c>
      <c r="U21">
        <v>0.1</v>
      </c>
      <c r="V21">
        <v>17.399999999999999</v>
      </c>
      <c r="W21" t="s">
        <v>38</v>
      </c>
      <c r="X21" t="s">
        <v>123</v>
      </c>
      <c r="Y21" t="s">
        <v>38</v>
      </c>
      <c r="Z21" t="s">
        <v>73</v>
      </c>
      <c r="AA21" t="s">
        <v>109</v>
      </c>
      <c r="AB21" t="s">
        <v>55</v>
      </c>
      <c r="AC21">
        <f t="shared" si="2"/>
        <v>0</v>
      </c>
      <c r="AD21" s="12">
        <f t="shared" si="3"/>
        <v>0</v>
      </c>
      <c r="AE21" s="12">
        <f t="shared" si="4"/>
        <v>1</v>
      </c>
      <c r="AF21">
        <f t="shared" si="5"/>
        <v>1</v>
      </c>
      <c r="AG21">
        <f t="shared" si="6"/>
        <v>0</v>
      </c>
      <c r="AH21">
        <f t="shared" si="7"/>
        <v>0</v>
      </c>
      <c r="AI21">
        <f t="shared" si="8"/>
        <v>0</v>
      </c>
      <c r="AJ21">
        <f t="shared" si="9"/>
        <v>1</v>
      </c>
      <c r="AK21">
        <f t="shared" si="0"/>
        <v>1</v>
      </c>
      <c r="AL21">
        <f t="shared" si="10"/>
        <v>1</v>
      </c>
    </row>
    <row r="22" spans="1:38">
      <c r="A22" t="s">
        <v>160</v>
      </c>
      <c r="B22" t="s">
        <v>161</v>
      </c>
      <c r="C22" s="1">
        <f t="shared" si="1"/>
        <v>45474</v>
      </c>
      <c r="D22" t="s">
        <v>162</v>
      </c>
      <c r="E22">
        <v>286</v>
      </c>
      <c r="F22">
        <v>11.9</v>
      </c>
      <c r="G22" t="s">
        <v>93</v>
      </c>
      <c r="H22" t="s">
        <v>163</v>
      </c>
      <c r="I22" t="s">
        <v>32</v>
      </c>
      <c r="J22">
        <v>240</v>
      </c>
      <c r="K22" t="s">
        <v>33</v>
      </c>
      <c r="L22" t="s">
        <v>133</v>
      </c>
      <c r="M22" t="s">
        <v>35</v>
      </c>
      <c r="N22" t="s">
        <v>164</v>
      </c>
      <c r="O22" t="s">
        <v>7232</v>
      </c>
      <c r="P22" t="s">
        <v>39</v>
      </c>
      <c r="Q22" t="s">
        <v>38</v>
      </c>
      <c r="R22">
        <v>0</v>
      </c>
      <c r="S22" t="s">
        <v>38</v>
      </c>
      <c r="T22">
        <v>7</v>
      </c>
      <c r="U22">
        <v>0.1</v>
      </c>
      <c r="V22">
        <v>6.1</v>
      </c>
      <c r="W22" t="s">
        <v>39</v>
      </c>
      <c r="X22" t="s">
        <v>52</v>
      </c>
      <c r="Y22" t="s">
        <v>39</v>
      </c>
      <c r="Z22" t="s">
        <v>73</v>
      </c>
      <c r="AA22" t="s">
        <v>109</v>
      </c>
      <c r="AB22" t="s">
        <v>55</v>
      </c>
      <c r="AC22">
        <f t="shared" si="2"/>
        <v>1</v>
      </c>
      <c r="AD22" s="12">
        <f t="shared" si="3"/>
        <v>0</v>
      </c>
      <c r="AE22" s="12">
        <f t="shared" si="4"/>
        <v>0</v>
      </c>
      <c r="AF22">
        <f t="shared" si="5"/>
        <v>0</v>
      </c>
      <c r="AG22">
        <f t="shared" si="6"/>
        <v>1</v>
      </c>
      <c r="AH22">
        <f t="shared" si="7"/>
        <v>0</v>
      </c>
      <c r="AI22">
        <f t="shared" si="8"/>
        <v>0</v>
      </c>
      <c r="AJ22">
        <f t="shared" si="9"/>
        <v>1</v>
      </c>
      <c r="AK22">
        <f t="shared" si="0"/>
        <v>0</v>
      </c>
      <c r="AL22">
        <f t="shared" si="10"/>
        <v>0</v>
      </c>
    </row>
    <row r="23" spans="1:38">
      <c r="A23" t="s">
        <v>165</v>
      </c>
      <c r="B23" t="s">
        <v>166</v>
      </c>
      <c r="C23" s="1">
        <f t="shared" si="1"/>
        <v>45597</v>
      </c>
      <c r="D23" t="s">
        <v>167</v>
      </c>
      <c r="E23">
        <v>207.9</v>
      </c>
      <c r="F23">
        <v>8.6999999999999993</v>
      </c>
      <c r="G23" t="s">
        <v>30</v>
      </c>
      <c r="H23" t="s">
        <v>31</v>
      </c>
      <c r="I23" t="s">
        <v>32</v>
      </c>
      <c r="J23">
        <v>240</v>
      </c>
      <c r="K23" t="s">
        <v>49</v>
      </c>
      <c r="L23" t="s">
        <v>34</v>
      </c>
      <c r="M23" t="s">
        <v>35</v>
      </c>
      <c r="N23" t="s">
        <v>168</v>
      </c>
      <c r="O23" t="s">
        <v>51</v>
      </c>
      <c r="P23" t="s">
        <v>39</v>
      </c>
      <c r="Q23" t="s">
        <v>38</v>
      </c>
      <c r="R23">
        <v>0</v>
      </c>
      <c r="S23" t="s">
        <v>38</v>
      </c>
      <c r="T23">
        <v>10</v>
      </c>
      <c r="U23">
        <v>2.5</v>
      </c>
      <c r="V23">
        <v>12.5</v>
      </c>
      <c r="W23" t="s">
        <v>38</v>
      </c>
      <c r="X23" t="s">
        <v>63</v>
      </c>
      <c r="Y23" t="s">
        <v>39</v>
      </c>
      <c r="Z23" t="s">
        <v>115</v>
      </c>
      <c r="AA23" t="s">
        <v>82</v>
      </c>
      <c r="AB23" t="s">
        <v>43</v>
      </c>
      <c r="AC23">
        <f t="shared" si="2"/>
        <v>0</v>
      </c>
      <c r="AD23" s="12">
        <f t="shared" si="3"/>
        <v>1</v>
      </c>
      <c r="AE23" s="12">
        <f t="shared" si="4"/>
        <v>0</v>
      </c>
      <c r="AF23">
        <f t="shared" si="5"/>
        <v>1</v>
      </c>
      <c r="AG23">
        <f t="shared" si="6"/>
        <v>0</v>
      </c>
      <c r="AH23">
        <f t="shared" si="7"/>
        <v>0</v>
      </c>
      <c r="AI23">
        <f t="shared" si="8"/>
        <v>0</v>
      </c>
      <c r="AJ23">
        <f t="shared" si="9"/>
        <v>1</v>
      </c>
      <c r="AK23">
        <f t="shared" si="0"/>
        <v>1</v>
      </c>
      <c r="AL23">
        <f t="shared" si="10"/>
        <v>0</v>
      </c>
    </row>
    <row r="24" spans="1:38">
      <c r="A24" t="s">
        <v>169</v>
      </c>
      <c r="B24" t="s">
        <v>170</v>
      </c>
      <c r="C24" s="1">
        <f t="shared" si="1"/>
        <v>45444</v>
      </c>
      <c r="D24" t="s">
        <v>171</v>
      </c>
      <c r="E24">
        <v>144.19999999999999</v>
      </c>
      <c r="F24">
        <v>6</v>
      </c>
      <c r="G24" t="s">
        <v>30</v>
      </c>
      <c r="H24" t="s">
        <v>172</v>
      </c>
      <c r="I24" t="s">
        <v>32</v>
      </c>
      <c r="J24">
        <v>240</v>
      </c>
      <c r="K24" t="s">
        <v>49</v>
      </c>
      <c r="L24" t="s">
        <v>70</v>
      </c>
      <c r="M24" t="s">
        <v>35</v>
      </c>
      <c r="N24" t="s">
        <v>155</v>
      </c>
      <c r="O24" t="s">
        <v>7232</v>
      </c>
      <c r="P24" t="s">
        <v>38</v>
      </c>
      <c r="Q24" t="s">
        <v>38</v>
      </c>
      <c r="R24">
        <v>1</v>
      </c>
      <c r="S24" t="s">
        <v>38</v>
      </c>
      <c r="T24">
        <v>10</v>
      </c>
      <c r="U24">
        <v>4.9000000000000004</v>
      </c>
      <c r="V24">
        <v>50.8</v>
      </c>
      <c r="W24" t="s">
        <v>39</v>
      </c>
      <c r="X24" t="s">
        <v>123</v>
      </c>
      <c r="Y24" t="s">
        <v>38</v>
      </c>
      <c r="Z24" t="s">
        <v>41</v>
      </c>
      <c r="AA24" t="s">
        <v>82</v>
      </c>
      <c r="AB24" t="s">
        <v>55</v>
      </c>
      <c r="AC24">
        <f t="shared" si="2"/>
        <v>0</v>
      </c>
      <c r="AD24" s="12">
        <f t="shared" si="3"/>
        <v>0</v>
      </c>
      <c r="AE24" s="12">
        <f t="shared" si="4"/>
        <v>1</v>
      </c>
      <c r="AF24">
        <f t="shared" si="5"/>
        <v>0</v>
      </c>
      <c r="AG24">
        <f t="shared" si="6"/>
        <v>1</v>
      </c>
      <c r="AH24">
        <f t="shared" si="7"/>
        <v>0</v>
      </c>
      <c r="AI24">
        <f t="shared" si="8"/>
        <v>0</v>
      </c>
      <c r="AJ24">
        <f t="shared" si="9"/>
        <v>1</v>
      </c>
      <c r="AK24">
        <f t="shared" si="0"/>
        <v>1</v>
      </c>
      <c r="AL24">
        <f t="shared" si="10"/>
        <v>1</v>
      </c>
    </row>
    <row r="25" spans="1:38">
      <c r="A25" t="s">
        <v>173</v>
      </c>
      <c r="B25" t="s">
        <v>174</v>
      </c>
      <c r="C25" s="1">
        <f t="shared" si="1"/>
        <v>45627</v>
      </c>
      <c r="D25" t="s">
        <v>175</v>
      </c>
      <c r="E25">
        <v>240.1</v>
      </c>
      <c r="F25">
        <v>10</v>
      </c>
      <c r="G25" t="s">
        <v>77</v>
      </c>
      <c r="H25" t="s">
        <v>78</v>
      </c>
      <c r="I25" t="s">
        <v>79</v>
      </c>
      <c r="J25">
        <v>360</v>
      </c>
      <c r="K25" t="s">
        <v>49</v>
      </c>
      <c r="L25" t="s">
        <v>34</v>
      </c>
      <c r="M25" t="s">
        <v>35</v>
      </c>
      <c r="N25" t="s">
        <v>50</v>
      </c>
      <c r="O25" t="s">
        <v>7232</v>
      </c>
      <c r="P25" t="s">
        <v>39</v>
      </c>
      <c r="Q25" t="s">
        <v>38</v>
      </c>
      <c r="R25">
        <v>0</v>
      </c>
      <c r="S25" t="s">
        <v>38</v>
      </c>
      <c r="T25">
        <v>9</v>
      </c>
      <c r="U25">
        <v>3.3</v>
      </c>
      <c r="V25">
        <v>0</v>
      </c>
      <c r="W25" t="s">
        <v>39</v>
      </c>
      <c r="X25" t="s">
        <v>63</v>
      </c>
      <c r="Y25" t="s">
        <v>38</v>
      </c>
      <c r="Z25" t="s">
        <v>115</v>
      </c>
      <c r="AA25" t="s">
        <v>103</v>
      </c>
      <c r="AB25" t="s">
        <v>83</v>
      </c>
      <c r="AC25">
        <f t="shared" si="2"/>
        <v>0</v>
      </c>
      <c r="AD25" s="12">
        <f t="shared" si="3"/>
        <v>1</v>
      </c>
      <c r="AE25" s="12">
        <f t="shared" si="4"/>
        <v>0</v>
      </c>
      <c r="AF25">
        <f t="shared" si="5"/>
        <v>0</v>
      </c>
      <c r="AG25">
        <f t="shared" si="6"/>
        <v>1</v>
      </c>
      <c r="AH25">
        <f t="shared" si="7"/>
        <v>0</v>
      </c>
      <c r="AI25">
        <f t="shared" si="8"/>
        <v>0</v>
      </c>
      <c r="AJ25">
        <f t="shared" si="9"/>
        <v>0</v>
      </c>
      <c r="AK25">
        <f t="shared" si="0"/>
        <v>0</v>
      </c>
      <c r="AL25">
        <f t="shared" si="10"/>
        <v>1</v>
      </c>
    </row>
    <row r="26" spans="1:38">
      <c r="A26" t="s">
        <v>176</v>
      </c>
      <c r="B26" t="s">
        <v>177</v>
      </c>
      <c r="C26" s="1">
        <f t="shared" si="1"/>
        <v>45292</v>
      </c>
      <c r="D26" t="s">
        <v>178</v>
      </c>
      <c r="E26">
        <v>96.6</v>
      </c>
      <c r="F26">
        <v>4</v>
      </c>
      <c r="G26" t="s">
        <v>87</v>
      </c>
      <c r="H26" t="s">
        <v>151</v>
      </c>
      <c r="I26" t="s">
        <v>48</v>
      </c>
      <c r="J26">
        <v>120</v>
      </c>
      <c r="K26" t="s">
        <v>49</v>
      </c>
      <c r="L26" t="s">
        <v>70</v>
      </c>
      <c r="M26" t="s">
        <v>71</v>
      </c>
      <c r="N26" t="s">
        <v>138</v>
      </c>
      <c r="O26" t="s">
        <v>51</v>
      </c>
      <c r="P26" t="s">
        <v>38</v>
      </c>
      <c r="Q26" t="s">
        <v>39</v>
      </c>
      <c r="R26">
        <v>2</v>
      </c>
      <c r="S26" t="s">
        <v>38</v>
      </c>
      <c r="T26">
        <v>9</v>
      </c>
      <c r="U26">
        <v>0.5</v>
      </c>
      <c r="V26">
        <v>32.200000000000003</v>
      </c>
      <c r="W26" t="s">
        <v>38</v>
      </c>
      <c r="X26" t="s">
        <v>52</v>
      </c>
      <c r="Y26" t="s">
        <v>39</v>
      </c>
      <c r="Z26" t="s">
        <v>179</v>
      </c>
      <c r="AA26" t="s">
        <v>103</v>
      </c>
      <c r="AB26" t="s">
        <v>83</v>
      </c>
      <c r="AC26">
        <f t="shared" si="2"/>
        <v>1</v>
      </c>
      <c r="AD26" s="12">
        <f t="shared" si="3"/>
        <v>0</v>
      </c>
      <c r="AE26" s="12">
        <f t="shared" si="4"/>
        <v>0</v>
      </c>
      <c r="AF26">
        <f t="shared" si="5"/>
        <v>1</v>
      </c>
      <c r="AG26">
        <f t="shared" si="6"/>
        <v>0</v>
      </c>
      <c r="AH26">
        <f t="shared" si="7"/>
        <v>1</v>
      </c>
      <c r="AI26">
        <f t="shared" si="8"/>
        <v>0</v>
      </c>
      <c r="AJ26">
        <f t="shared" si="9"/>
        <v>0</v>
      </c>
      <c r="AK26">
        <f t="shared" si="0"/>
        <v>0</v>
      </c>
      <c r="AL26">
        <f t="shared" si="10"/>
        <v>0</v>
      </c>
    </row>
    <row r="27" spans="1:38">
      <c r="A27" t="s">
        <v>180</v>
      </c>
      <c r="B27" t="s">
        <v>181</v>
      </c>
      <c r="C27" s="1">
        <f t="shared" si="1"/>
        <v>45383</v>
      </c>
      <c r="D27" t="s">
        <v>182</v>
      </c>
      <c r="E27">
        <v>225.7</v>
      </c>
      <c r="F27">
        <v>9.4</v>
      </c>
      <c r="G27" t="s">
        <v>87</v>
      </c>
      <c r="H27" t="s">
        <v>183</v>
      </c>
      <c r="I27" t="s">
        <v>48</v>
      </c>
      <c r="J27">
        <v>120</v>
      </c>
      <c r="K27" t="s">
        <v>33</v>
      </c>
      <c r="L27" t="s">
        <v>70</v>
      </c>
      <c r="M27" t="s">
        <v>71</v>
      </c>
      <c r="N27" t="s">
        <v>164</v>
      </c>
      <c r="O27" t="s">
        <v>51</v>
      </c>
      <c r="P27" t="s">
        <v>38</v>
      </c>
      <c r="Q27" t="s">
        <v>39</v>
      </c>
      <c r="R27">
        <v>2</v>
      </c>
      <c r="S27" t="s">
        <v>38</v>
      </c>
      <c r="T27">
        <v>5</v>
      </c>
      <c r="U27">
        <v>3.3</v>
      </c>
      <c r="V27">
        <v>0</v>
      </c>
      <c r="W27" t="s">
        <v>39</v>
      </c>
      <c r="X27" t="s">
        <v>40</v>
      </c>
      <c r="Y27" t="s">
        <v>38</v>
      </c>
      <c r="Z27" t="s">
        <v>108</v>
      </c>
      <c r="AA27" t="s">
        <v>109</v>
      </c>
      <c r="AB27" t="s">
        <v>83</v>
      </c>
      <c r="AC27">
        <f t="shared" si="2"/>
        <v>0</v>
      </c>
      <c r="AD27" s="12">
        <f t="shared" si="3"/>
        <v>0</v>
      </c>
      <c r="AE27" s="12">
        <f t="shared" si="4"/>
        <v>0</v>
      </c>
      <c r="AF27">
        <f t="shared" si="5"/>
        <v>1</v>
      </c>
      <c r="AG27">
        <f t="shared" si="6"/>
        <v>0</v>
      </c>
      <c r="AH27">
        <f t="shared" si="7"/>
        <v>1</v>
      </c>
      <c r="AI27">
        <f t="shared" si="8"/>
        <v>0</v>
      </c>
      <c r="AJ27">
        <f t="shared" si="9"/>
        <v>0</v>
      </c>
      <c r="AK27">
        <f t="shared" si="0"/>
        <v>0</v>
      </c>
      <c r="AL27">
        <f t="shared" si="10"/>
        <v>1</v>
      </c>
    </row>
    <row r="28" spans="1:38">
      <c r="A28" t="s">
        <v>184</v>
      </c>
      <c r="B28" t="s">
        <v>185</v>
      </c>
      <c r="C28" s="1">
        <f t="shared" si="1"/>
        <v>45505</v>
      </c>
      <c r="D28" t="s">
        <v>186</v>
      </c>
      <c r="E28">
        <v>422.3</v>
      </c>
      <c r="F28">
        <v>17.600000000000001</v>
      </c>
      <c r="G28" t="s">
        <v>77</v>
      </c>
      <c r="H28" t="s">
        <v>187</v>
      </c>
      <c r="I28" t="s">
        <v>79</v>
      </c>
      <c r="J28">
        <v>360</v>
      </c>
      <c r="K28" t="s">
        <v>33</v>
      </c>
      <c r="L28" t="s">
        <v>96</v>
      </c>
      <c r="M28" t="s">
        <v>35</v>
      </c>
      <c r="N28" t="s">
        <v>188</v>
      </c>
      <c r="O28" t="s">
        <v>7232</v>
      </c>
      <c r="P28" t="s">
        <v>39</v>
      </c>
      <c r="Q28" t="s">
        <v>38</v>
      </c>
      <c r="R28">
        <v>0</v>
      </c>
      <c r="S28" t="s">
        <v>38</v>
      </c>
      <c r="T28">
        <v>9</v>
      </c>
      <c r="U28">
        <v>3.1</v>
      </c>
      <c r="V28">
        <v>33.700000000000003</v>
      </c>
      <c r="W28" t="s">
        <v>38</v>
      </c>
      <c r="X28" t="s">
        <v>40</v>
      </c>
      <c r="Y28" t="s">
        <v>39</v>
      </c>
      <c r="Z28" t="s">
        <v>53</v>
      </c>
      <c r="AA28" t="s">
        <v>82</v>
      </c>
      <c r="AB28" t="s">
        <v>83</v>
      </c>
      <c r="AC28">
        <f t="shared" si="2"/>
        <v>0</v>
      </c>
      <c r="AD28" s="12">
        <f t="shared" si="3"/>
        <v>0</v>
      </c>
      <c r="AE28" s="12">
        <f t="shared" si="4"/>
        <v>0</v>
      </c>
      <c r="AF28">
        <f t="shared" si="5"/>
        <v>0</v>
      </c>
      <c r="AG28">
        <f t="shared" si="6"/>
        <v>1</v>
      </c>
      <c r="AH28">
        <f t="shared" si="7"/>
        <v>0</v>
      </c>
      <c r="AI28">
        <f t="shared" si="8"/>
        <v>0</v>
      </c>
      <c r="AJ28">
        <f t="shared" si="9"/>
        <v>0</v>
      </c>
      <c r="AK28">
        <f t="shared" si="0"/>
        <v>0</v>
      </c>
      <c r="AL28">
        <f t="shared" si="10"/>
        <v>0</v>
      </c>
    </row>
    <row r="29" spans="1:38">
      <c r="A29" t="s">
        <v>189</v>
      </c>
      <c r="B29" t="s">
        <v>190</v>
      </c>
      <c r="C29" s="1">
        <f t="shared" si="1"/>
        <v>45292</v>
      </c>
      <c r="D29" t="s">
        <v>191</v>
      </c>
      <c r="E29">
        <v>72.2</v>
      </c>
      <c r="F29">
        <v>3</v>
      </c>
      <c r="G29" t="s">
        <v>87</v>
      </c>
      <c r="H29" t="s">
        <v>151</v>
      </c>
      <c r="I29" t="s">
        <v>48</v>
      </c>
      <c r="J29">
        <v>120</v>
      </c>
      <c r="K29" t="s">
        <v>49</v>
      </c>
      <c r="L29" t="s">
        <v>113</v>
      </c>
      <c r="M29" t="s">
        <v>35</v>
      </c>
      <c r="N29" t="s">
        <v>192</v>
      </c>
      <c r="O29" t="s">
        <v>7232</v>
      </c>
      <c r="P29" t="s">
        <v>39</v>
      </c>
      <c r="Q29" t="s">
        <v>38</v>
      </c>
      <c r="R29">
        <v>0</v>
      </c>
      <c r="S29" t="s">
        <v>38</v>
      </c>
      <c r="T29">
        <v>10</v>
      </c>
      <c r="U29">
        <v>2.6</v>
      </c>
      <c r="V29">
        <v>32.4</v>
      </c>
      <c r="W29" t="s">
        <v>39</v>
      </c>
      <c r="X29" t="s">
        <v>63</v>
      </c>
      <c r="Y29" t="s">
        <v>39</v>
      </c>
      <c r="Z29" t="s">
        <v>64</v>
      </c>
      <c r="AA29" t="s">
        <v>42</v>
      </c>
      <c r="AB29" t="s">
        <v>83</v>
      </c>
      <c r="AC29">
        <f t="shared" si="2"/>
        <v>0</v>
      </c>
      <c r="AD29" s="12">
        <f t="shared" si="3"/>
        <v>1</v>
      </c>
      <c r="AE29" s="12">
        <f t="shared" si="4"/>
        <v>0</v>
      </c>
      <c r="AF29">
        <f t="shared" si="5"/>
        <v>0</v>
      </c>
      <c r="AG29">
        <f t="shared" si="6"/>
        <v>1</v>
      </c>
      <c r="AH29">
        <f t="shared" si="7"/>
        <v>1</v>
      </c>
      <c r="AI29">
        <f t="shared" si="8"/>
        <v>0</v>
      </c>
      <c r="AJ29">
        <f t="shared" si="9"/>
        <v>0</v>
      </c>
      <c r="AK29">
        <f t="shared" si="0"/>
        <v>0</v>
      </c>
      <c r="AL29">
        <f t="shared" si="10"/>
        <v>0</v>
      </c>
    </row>
    <row r="30" spans="1:38">
      <c r="A30" t="s">
        <v>193</v>
      </c>
      <c r="B30" t="s">
        <v>194</v>
      </c>
      <c r="C30" s="1">
        <f t="shared" si="1"/>
        <v>45413</v>
      </c>
      <c r="D30" t="s">
        <v>195</v>
      </c>
      <c r="E30">
        <v>176.6</v>
      </c>
      <c r="F30">
        <v>7.4</v>
      </c>
      <c r="G30" t="s">
        <v>30</v>
      </c>
      <c r="H30" t="s">
        <v>159</v>
      </c>
      <c r="I30" t="s">
        <v>32</v>
      </c>
      <c r="J30">
        <v>240</v>
      </c>
      <c r="K30" t="s">
        <v>49</v>
      </c>
      <c r="L30" t="s">
        <v>96</v>
      </c>
      <c r="M30" t="s">
        <v>35</v>
      </c>
      <c r="N30" t="s">
        <v>144</v>
      </c>
      <c r="O30" t="s">
        <v>7232</v>
      </c>
      <c r="P30" t="s">
        <v>38</v>
      </c>
      <c r="Q30" t="s">
        <v>38</v>
      </c>
      <c r="R30">
        <v>1</v>
      </c>
      <c r="S30" t="s">
        <v>38</v>
      </c>
      <c r="T30">
        <v>6</v>
      </c>
      <c r="U30">
        <v>2.2999999999999998</v>
      </c>
      <c r="V30">
        <v>11.9</v>
      </c>
      <c r="W30" t="s">
        <v>39</v>
      </c>
      <c r="X30" t="s">
        <v>63</v>
      </c>
      <c r="Y30" t="s">
        <v>38</v>
      </c>
      <c r="Z30" t="s">
        <v>41</v>
      </c>
      <c r="AA30" t="s">
        <v>109</v>
      </c>
      <c r="AB30" t="s">
        <v>55</v>
      </c>
      <c r="AC30">
        <f t="shared" si="2"/>
        <v>0</v>
      </c>
      <c r="AD30" s="12">
        <f t="shared" si="3"/>
        <v>1</v>
      </c>
      <c r="AE30" s="12">
        <f t="shared" si="4"/>
        <v>0</v>
      </c>
      <c r="AF30">
        <f t="shared" si="5"/>
        <v>0</v>
      </c>
      <c r="AG30">
        <f t="shared" si="6"/>
        <v>1</v>
      </c>
      <c r="AH30">
        <f t="shared" si="7"/>
        <v>0</v>
      </c>
      <c r="AI30">
        <f t="shared" si="8"/>
        <v>0</v>
      </c>
      <c r="AJ30">
        <f t="shared" si="9"/>
        <v>1</v>
      </c>
      <c r="AK30">
        <f t="shared" si="0"/>
        <v>1</v>
      </c>
      <c r="AL30">
        <f t="shared" si="10"/>
        <v>1</v>
      </c>
    </row>
    <row r="31" spans="1:38">
      <c r="A31" t="s">
        <v>196</v>
      </c>
      <c r="B31" t="s">
        <v>197</v>
      </c>
      <c r="C31" s="1">
        <f t="shared" si="1"/>
        <v>45352</v>
      </c>
      <c r="D31" t="s">
        <v>198</v>
      </c>
      <c r="E31">
        <v>161.19999999999999</v>
      </c>
      <c r="F31">
        <v>6.7</v>
      </c>
      <c r="G31" t="s">
        <v>101</v>
      </c>
      <c r="H31" t="s">
        <v>102</v>
      </c>
      <c r="I31" t="s">
        <v>32</v>
      </c>
      <c r="J31">
        <v>240</v>
      </c>
      <c r="K31" t="s">
        <v>49</v>
      </c>
      <c r="L31" t="s">
        <v>96</v>
      </c>
      <c r="M31" t="s">
        <v>35</v>
      </c>
      <c r="N31" t="s">
        <v>144</v>
      </c>
      <c r="O31" t="s">
        <v>51</v>
      </c>
      <c r="P31" t="s">
        <v>38</v>
      </c>
      <c r="Q31" t="s">
        <v>38</v>
      </c>
      <c r="R31">
        <v>1</v>
      </c>
      <c r="S31" t="s">
        <v>38</v>
      </c>
      <c r="T31">
        <v>10</v>
      </c>
      <c r="U31">
        <v>1</v>
      </c>
      <c r="V31">
        <v>38.299999999999997</v>
      </c>
      <c r="W31" t="s">
        <v>39</v>
      </c>
      <c r="X31" t="s">
        <v>52</v>
      </c>
      <c r="Y31" t="s">
        <v>38</v>
      </c>
      <c r="Z31" t="s">
        <v>179</v>
      </c>
      <c r="AA31" t="s">
        <v>42</v>
      </c>
      <c r="AB31" t="s">
        <v>55</v>
      </c>
      <c r="AC31">
        <f t="shared" si="2"/>
        <v>1</v>
      </c>
      <c r="AD31" s="12">
        <f t="shared" si="3"/>
        <v>0</v>
      </c>
      <c r="AE31" s="12">
        <f t="shared" si="4"/>
        <v>0</v>
      </c>
      <c r="AF31">
        <f t="shared" si="5"/>
        <v>1</v>
      </c>
      <c r="AG31">
        <f t="shared" si="6"/>
        <v>0</v>
      </c>
      <c r="AH31">
        <f t="shared" si="7"/>
        <v>0</v>
      </c>
      <c r="AI31">
        <f t="shared" si="8"/>
        <v>0</v>
      </c>
      <c r="AJ31">
        <f t="shared" si="9"/>
        <v>1</v>
      </c>
      <c r="AK31">
        <f t="shared" si="0"/>
        <v>0</v>
      </c>
      <c r="AL31">
        <f t="shared" si="10"/>
        <v>1</v>
      </c>
    </row>
    <row r="32" spans="1:38">
      <c r="A32" t="s">
        <v>199</v>
      </c>
      <c r="B32" t="s">
        <v>200</v>
      </c>
      <c r="C32" s="1">
        <f t="shared" si="1"/>
        <v>45383</v>
      </c>
      <c r="D32" t="s">
        <v>201</v>
      </c>
      <c r="E32">
        <v>409.8</v>
      </c>
      <c r="F32">
        <v>17.100000000000001</v>
      </c>
      <c r="G32" t="s">
        <v>93</v>
      </c>
      <c r="H32" t="s">
        <v>94</v>
      </c>
      <c r="I32" t="s">
        <v>79</v>
      </c>
      <c r="J32">
        <v>360</v>
      </c>
      <c r="K32" t="s">
        <v>33</v>
      </c>
      <c r="L32" t="s">
        <v>70</v>
      </c>
      <c r="M32" t="s">
        <v>35</v>
      </c>
      <c r="N32" t="s">
        <v>202</v>
      </c>
      <c r="O32" t="s">
        <v>51</v>
      </c>
      <c r="P32" t="s">
        <v>38</v>
      </c>
      <c r="Q32" t="s">
        <v>38</v>
      </c>
      <c r="R32">
        <v>1</v>
      </c>
      <c r="S32" t="s">
        <v>38</v>
      </c>
      <c r="T32">
        <v>5</v>
      </c>
      <c r="U32">
        <v>0.9</v>
      </c>
      <c r="V32">
        <v>25.8</v>
      </c>
      <c r="W32" t="s">
        <v>38</v>
      </c>
      <c r="X32" t="s">
        <v>52</v>
      </c>
      <c r="Y32" t="s">
        <v>38</v>
      </c>
      <c r="Z32" t="s">
        <v>81</v>
      </c>
      <c r="AA32" t="s">
        <v>82</v>
      </c>
      <c r="AB32" t="s">
        <v>55</v>
      </c>
      <c r="AC32">
        <f t="shared" si="2"/>
        <v>1</v>
      </c>
      <c r="AD32" s="12">
        <f t="shared" si="3"/>
        <v>0</v>
      </c>
      <c r="AE32" s="12">
        <f t="shared" si="4"/>
        <v>0</v>
      </c>
      <c r="AF32">
        <f t="shared" si="5"/>
        <v>1</v>
      </c>
      <c r="AG32">
        <f t="shared" si="6"/>
        <v>0</v>
      </c>
      <c r="AH32">
        <f t="shared" si="7"/>
        <v>0</v>
      </c>
      <c r="AI32">
        <f t="shared" si="8"/>
        <v>0</v>
      </c>
      <c r="AJ32">
        <f t="shared" si="9"/>
        <v>0</v>
      </c>
      <c r="AK32">
        <f t="shared" si="0"/>
        <v>0</v>
      </c>
      <c r="AL32">
        <f t="shared" si="10"/>
        <v>1</v>
      </c>
    </row>
    <row r="33" spans="1:38">
      <c r="A33" t="s">
        <v>203</v>
      </c>
      <c r="B33" t="s">
        <v>204</v>
      </c>
      <c r="C33" s="1">
        <f t="shared" si="1"/>
        <v>45536</v>
      </c>
      <c r="D33" t="s">
        <v>205</v>
      </c>
      <c r="E33">
        <v>529.20000000000005</v>
      </c>
      <c r="F33">
        <v>22.1</v>
      </c>
      <c r="G33" t="s">
        <v>77</v>
      </c>
      <c r="H33" t="s">
        <v>187</v>
      </c>
      <c r="I33" t="s">
        <v>79</v>
      </c>
      <c r="J33">
        <v>360</v>
      </c>
      <c r="K33" t="s">
        <v>33</v>
      </c>
      <c r="L33" t="s">
        <v>96</v>
      </c>
      <c r="M33" t="s">
        <v>35</v>
      </c>
      <c r="N33" t="s">
        <v>80</v>
      </c>
      <c r="O33" t="s">
        <v>37</v>
      </c>
      <c r="P33" t="s">
        <v>38</v>
      </c>
      <c r="Q33" t="s">
        <v>38</v>
      </c>
      <c r="R33">
        <v>1</v>
      </c>
      <c r="S33" t="s">
        <v>38</v>
      </c>
      <c r="T33">
        <v>6</v>
      </c>
      <c r="U33">
        <v>2.2999999999999998</v>
      </c>
      <c r="V33">
        <v>30.3</v>
      </c>
      <c r="W33" t="s">
        <v>39</v>
      </c>
      <c r="X33" t="s">
        <v>52</v>
      </c>
      <c r="Y33" t="s">
        <v>39</v>
      </c>
      <c r="Z33" t="s">
        <v>41</v>
      </c>
      <c r="AA33" t="s">
        <v>103</v>
      </c>
      <c r="AB33" t="s">
        <v>55</v>
      </c>
      <c r="AC33">
        <f t="shared" si="2"/>
        <v>1</v>
      </c>
      <c r="AD33" s="12">
        <f t="shared" si="3"/>
        <v>0</v>
      </c>
      <c r="AE33" s="12">
        <f t="shared" si="4"/>
        <v>0</v>
      </c>
      <c r="AF33">
        <f t="shared" si="5"/>
        <v>0</v>
      </c>
      <c r="AG33">
        <f t="shared" si="6"/>
        <v>0</v>
      </c>
      <c r="AH33">
        <f t="shared" si="7"/>
        <v>0</v>
      </c>
      <c r="AI33">
        <f t="shared" si="8"/>
        <v>0</v>
      </c>
      <c r="AJ33">
        <f t="shared" si="9"/>
        <v>0</v>
      </c>
      <c r="AK33">
        <f t="shared" si="0"/>
        <v>0</v>
      </c>
      <c r="AL33">
        <f t="shared" si="10"/>
        <v>0</v>
      </c>
    </row>
    <row r="34" spans="1:38">
      <c r="A34" t="s">
        <v>206</v>
      </c>
      <c r="B34" t="s">
        <v>207</v>
      </c>
      <c r="C34" s="1">
        <f t="shared" si="1"/>
        <v>45292</v>
      </c>
      <c r="D34" t="s">
        <v>208</v>
      </c>
      <c r="E34">
        <v>75</v>
      </c>
      <c r="F34">
        <v>3.1</v>
      </c>
      <c r="G34" t="s">
        <v>68</v>
      </c>
      <c r="H34" t="s">
        <v>69</v>
      </c>
      <c r="I34" t="s">
        <v>48</v>
      </c>
      <c r="J34">
        <v>120</v>
      </c>
      <c r="K34" t="s">
        <v>49</v>
      </c>
      <c r="L34" t="s">
        <v>34</v>
      </c>
      <c r="M34" t="s">
        <v>35</v>
      </c>
      <c r="N34" t="s">
        <v>50</v>
      </c>
      <c r="O34" t="s">
        <v>51</v>
      </c>
      <c r="P34" t="s">
        <v>38</v>
      </c>
      <c r="Q34" t="s">
        <v>38</v>
      </c>
      <c r="R34">
        <v>1</v>
      </c>
      <c r="S34" t="s">
        <v>38</v>
      </c>
      <c r="T34">
        <v>10</v>
      </c>
      <c r="U34">
        <v>4.7</v>
      </c>
      <c r="V34">
        <v>11.4</v>
      </c>
      <c r="W34" t="s">
        <v>39</v>
      </c>
      <c r="X34" t="s">
        <v>63</v>
      </c>
      <c r="Y34" t="s">
        <v>38</v>
      </c>
      <c r="Z34" t="s">
        <v>41</v>
      </c>
      <c r="AA34" t="s">
        <v>82</v>
      </c>
      <c r="AB34" t="s">
        <v>83</v>
      </c>
      <c r="AC34">
        <f t="shared" si="2"/>
        <v>0</v>
      </c>
      <c r="AD34" s="12">
        <f t="shared" si="3"/>
        <v>1</v>
      </c>
      <c r="AE34" s="12">
        <f t="shared" si="4"/>
        <v>0</v>
      </c>
      <c r="AF34">
        <f t="shared" si="5"/>
        <v>1</v>
      </c>
      <c r="AG34">
        <f t="shared" si="6"/>
        <v>0</v>
      </c>
      <c r="AH34">
        <f t="shared" si="7"/>
        <v>1</v>
      </c>
      <c r="AI34">
        <f t="shared" si="8"/>
        <v>0</v>
      </c>
      <c r="AJ34">
        <f t="shared" si="9"/>
        <v>0</v>
      </c>
      <c r="AK34">
        <f t="shared" si="0"/>
        <v>0</v>
      </c>
      <c r="AL34">
        <f t="shared" si="10"/>
        <v>1</v>
      </c>
    </row>
    <row r="35" spans="1:38">
      <c r="A35" t="s">
        <v>209</v>
      </c>
      <c r="B35" t="s">
        <v>210</v>
      </c>
      <c r="C35" s="1">
        <f t="shared" si="1"/>
        <v>45505</v>
      </c>
      <c r="D35" t="s">
        <v>211</v>
      </c>
      <c r="E35">
        <v>305.5</v>
      </c>
      <c r="F35">
        <v>12.7</v>
      </c>
      <c r="G35" t="s">
        <v>68</v>
      </c>
      <c r="H35" t="s">
        <v>212</v>
      </c>
      <c r="I35" t="s">
        <v>79</v>
      </c>
      <c r="J35">
        <v>360</v>
      </c>
      <c r="K35" t="s">
        <v>49</v>
      </c>
      <c r="L35" t="s">
        <v>96</v>
      </c>
      <c r="M35" t="s">
        <v>71</v>
      </c>
      <c r="N35" t="s">
        <v>138</v>
      </c>
      <c r="O35" t="s">
        <v>51</v>
      </c>
      <c r="P35" t="s">
        <v>38</v>
      </c>
      <c r="Q35" t="s">
        <v>39</v>
      </c>
      <c r="R35">
        <v>1</v>
      </c>
      <c r="S35" t="s">
        <v>38</v>
      </c>
      <c r="T35">
        <v>9</v>
      </c>
      <c r="U35">
        <v>0.3</v>
      </c>
      <c r="V35">
        <v>34.5</v>
      </c>
      <c r="W35" t="s">
        <v>39</v>
      </c>
      <c r="X35" t="s">
        <v>63</v>
      </c>
      <c r="Y35" t="s">
        <v>38</v>
      </c>
      <c r="Z35" t="s">
        <v>53</v>
      </c>
      <c r="AA35" t="s">
        <v>103</v>
      </c>
      <c r="AB35" t="s">
        <v>83</v>
      </c>
      <c r="AC35">
        <f t="shared" si="2"/>
        <v>0</v>
      </c>
      <c r="AD35" s="12">
        <f t="shared" si="3"/>
        <v>1</v>
      </c>
      <c r="AE35" s="12">
        <f t="shared" si="4"/>
        <v>0</v>
      </c>
      <c r="AF35">
        <f t="shared" si="5"/>
        <v>1</v>
      </c>
      <c r="AG35">
        <f t="shared" si="6"/>
        <v>0</v>
      </c>
      <c r="AH35">
        <f t="shared" si="7"/>
        <v>0</v>
      </c>
      <c r="AI35">
        <f t="shared" si="8"/>
        <v>0</v>
      </c>
      <c r="AJ35">
        <f t="shared" si="9"/>
        <v>0</v>
      </c>
      <c r="AK35">
        <f t="shared" si="0"/>
        <v>0</v>
      </c>
      <c r="AL35">
        <f t="shared" si="10"/>
        <v>1</v>
      </c>
    </row>
    <row r="36" spans="1:38">
      <c r="A36" t="s">
        <v>213</v>
      </c>
      <c r="B36" t="s">
        <v>214</v>
      </c>
      <c r="C36" s="1">
        <f t="shared" si="1"/>
        <v>45413</v>
      </c>
      <c r="D36" t="s">
        <v>215</v>
      </c>
      <c r="E36">
        <v>189.5</v>
      </c>
      <c r="F36">
        <v>7.9</v>
      </c>
      <c r="G36" t="s">
        <v>30</v>
      </c>
      <c r="H36" t="s">
        <v>47</v>
      </c>
      <c r="I36" t="s">
        <v>32</v>
      </c>
      <c r="J36">
        <v>240</v>
      </c>
      <c r="K36" t="s">
        <v>49</v>
      </c>
      <c r="L36" t="s">
        <v>34</v>
      </c>
      <c r="M36" t="s">
        <v>35</v>
      </c>
      <c r="N36" t="s">
        <v>164</v>
      </c>
      <c r="O36" t="s">
        <v>7232</v>
      </c>
      <c r="P36" t="s">
        <v>38</v>
      </c>
      <c r="Q36" t="s">
        <v>38</v>
      </c>
      <c r="R36">
        <v>1</v>
      </c>
      <c r="S36" t="s">
        <v>38</v>
      </c>
      <c r="T36">
        <v>10</v>
      </c>
      <c r="U36">
        <v>2.2000000000000002</v>
      </c>
      <c r="V36">
        <v>52.4</v>
      </c>
      <c r="W36" t="s">
        <v>38</v>
      </c>
      <c r="X36" t="s">
        <v>123</v>
      </c>
      <c r="Y36" t="s">
        <v>38</v>
      </c>
      <c r="Z36" t="s">
        <v>73</v>
      </c>
      <c r="AA36" t="s">
        <v>109</v>
      </c>
      <c r="AB36" t="s">
        <v>83</v>
      </c>
      <c r="AC36">
        <f t="shared" si="2"/>
        <v>0</v>
      </c>
      <c r="AD36" s="12">
        <f t="shared" si="3"/>
        <v>0</v>
      </c>
      <c r="AE36" s="12">
        <f t="shared" si="4"/>
        <v>1</v>
      </c>
      <c r="AF36">
        <f t="shared" si="5"/>
        <v>0</v>
      </c>
      <c r="AG36">
        <f t="shared" si="6"/>
        <v>1</v>
      </c>
      <c r="AH36">
        <f t="shared" si="7"/>
        <v>0</v>
      </c>
      <c r="AI36">
        <f t="shared" si="8"/>
        <v>0</v>
      </c>
      <c r="AJ36">
        <f t="shared" si="9"/>
        <v>1</v>
      </c>
      <c r="AK36">
        <f t="shared" si="0"/>
        <v>1</v>
      </c>
      <c r="AL36">
        <f t="shared" si="10"/>
        <v>1</v>
      </c>
    </row>
    <row r="37" spans="1:38">
      <c r="A37" t="s">
        <v>216</v>
      </c>
      <c r="B37" t="s">
        <v>217</v>
      </c>
      <c r="C37" s="1">
        <f t="shared" si="1"/>
        <v>45352</v>
      </c>
      <c r="D37" t="s">
        <v>218</v>
      </c>
      <c r="E37">
        <v>78.099999999999994</v>
      </c>
      <c r="F37">
        <v>3.3</v>
      </c>
      <c r="G37" t="s">
        <v>68</v>
      </c>
      <c r="H37" t="s">
        <v>219</v>
      </c>
      <c r="I37" t="s">
        <v>48</v>
      </c>
      <c r="J37">
        <v>120</v>
      </c>
      <c r="K37" t="s">
        <v>49</v>
      </c>
      <c r="L37" t="s">
        <v>34</v>
      </c>
      <c r="M37" t="s">
        <v>35</v>
      </c>
      <c r="N37" t="s">
        <v>220</v>
      </c>
      <c r="O37" t="s">
        <v>7232</v>
      </c>
      <c r="P37" t="s">
        <v>39</v>
      </c>
      <c r="Q37" t="s">
        <v>38</v>
      </c>
      <c r="R37">
        <v>0</v>
      </c>
      <c r="S37" t="s">
        <v>38</v>
      </c>
      <c r="T37">
        <v>10</v>
      </c>
      <c r="U37">
        <v>5.3</v>
      </c>
      <c r="V37">
        <v>0</v>
      </c>
      <c r="W37" t="s">
        <v>39</v>
      </c>
      <c r="X37" t="s">
        <v>123</v>
      </c>
      <c r="Y37" t="s">
        <v>39</v>
      </c>
      <c r="Z37" t="s">
        <v>64</v>
      </c>
      <c r="AA37" t="s">
        <v>109</v>
      </c>
      <c r="AB37" t="s">
        <v>55</v>
      </c>
      <c r="AC37">
        <f t="shared" si="2"/>
        <v>0</v>
      </c>
      <c r="AD37" s="12">
        <f t="shared" si="3"/>
        <v>0</v>
      </c>
      <c r="AE37" s="12">
        <f t="shared" si="4"/>
        <v>1</v>
      </c>
      <c r="AF37">
        <f t="shared" si="5"/>
        <v>0</v>
      </c>
      <c r="AG37">
        <f t="shared" si="6"/>
        <v>1</v>
      </c>
      <c r="AH37">
        <f t="shared" si="7"/>
        <v>1</v>
      </c>
      <c r="AI37">
        <f t="shared" si="8"/>
        <v>0</v>
      </c>
      <c r="AJ37">
        <f t="shared" si="9"/>
        <v>0</v>
      </c>
      <c r="AK37">
        <f t="shared" si="0"/>
        <v>0</v>
      </c>
      <c r="AL37">
        <f t="shared" si="10"/>
        <v>0</v>
      </c>
    </row>
    <row r="38" spans="1:38">
      <c r="A38" t="s">
        <v>221</v>
      </c>
      <c r="B38" t="s">
        <v>222</v>
      </c>
      <c r="C38" s="1">
        <f t="shared" si="1"/>
        <v>45505</v>
      </c>
      <c r="D38" t="s">
        <v>223</v>
      </c>
      <c r="E38">
        <v>932.4</v>
      </c>
      <c r="F38">
        <v>38.9</v>
      </c>
      <c r="G38" t="s">
        <v>30</v>
      </c>
      <c r="H38" t="s">
        <v>31</v>
      </c>
      <c r="I38" t="s">
        <v>79</v>
      </c>
      <c r="J38">
        <v>360</v>
      </c>
      <c r="K38" t="s">
        <v>33</v>
      </c>
      <c r="L38" t="s">
        <v>70</v>
      </c>
      <c r="M38" t="s">
        <v>35</v>
      </c>
      <c r="N38" t="s">
        <v>202</v>
      </c>
      <c r="O38" t="s">
        <v>51</v>
      </c>
      <c r="P38" t="s">
        <v>39</v>
      </c>
      <c r="Q38" t="s">
        <v>38</v>
      </c>
      <c r="R38">
        <v>0</v>
      </c>
      <c r="S38" t="s">
        <v>39</v>
      </c>
      <c r="T38">
        <v>10</v>
      </c>
      <c r="U38">
        <v>2</v>
      </c>
      <c r="V38">
        <v>39.299999999999997</v>
      </c>
      <c r="W38" t="s">
        <v>39</v>
      </c>
      <c r="X38" t="s">
        <v>63</v>
      </c>
      <c r="Y38" t="s">
        <v>39</v>
      </c>
      <c r="Z38" t="s">
        <v>64</v>
      </c>
      <c r="AA38" t="s">
        <v>109</v>
      </c>
      <c r="AB38" t="s">
        <v>83</v>
      </c>
      <c r="AC38">
        <f t="shared" si="2"/>
        <v>0</v>
      </c>
      <c r="AD38" s="12">
        <f t="shared" si="3"/>
        <v>1</v>
      </c>
      <c r="AE38" s="12">
        <f t="shared" si="4"/>
        <v>0</v>
      </c>
      <c r="AF38">
        <f t="shared" si="5"/>
        <v>1</v>
      </c>
      <c r="AG38">
        <f t="shared" si="6"/>
        <v>0</v>
      </c>
      <c r="AH38">
        <f t="shared" si="7"/>
        <v>0</v>
      </c>
      <c r="AI38">
        <f t="shared" si="8"/>
        <v>0</v>
      </c>
      <c r="AJ38">
        <f t="shared" si="9"/>
        <v>0</v>
      </c>
      <c r="AK38">
        <f t="shared" si="0"/>
        <v>1</v>
      </c>
      <c r="AL38">
        <f t="shared" si="10"/>
        <v>0</v>
      </c>
    </row>
    <row r="39" spans="1:38">
      <c r="A39" t="s">
        <v>224</v>
      </c>
      <c r="B39" t="s">
        <v>225</v>
      </c>
      <c r="C39" s="1">
        <f t="shared" si="1"/>
        <v>45597</v>
      </c>
      <c r="D39" t="s">
        <v>226</v>
      </c>
      <c r="E39">
        <v>69.3</v>
      </c>
      <c r="F39">
        <v>2.9</v>
      </c>
      <c r="G39" t="s">
        <v>59</v>
      </c>
      <c r="H39" t="s">
        <v>227</v>
      </c>
      <c r="I39" t="s">
        <v>95</v>
      </c>
      <c r="J39">
        <v>48</v>
      </c>
      <c r="K39" t="s">
        <v>33</v>
      </c>
      <c r="L39" t="s">
        <v>96</v>
      </c>
      <c r="M39" t="s">
        <v>71</v>
      </c>
      <c r="N39" t="s">
        <v>36</v>
      </c>
      <c r="O39" t="s">
        <v>37</v>
      </c>
      <c r="P39" t="s">
        <v>38</v>
      </c>
      <c r="Q39" t="s">
        <v>39</v>
      </c>
      <c r="R39">
        <v>4</v>
      </c>
      <c r="S39" t="s">
        <v>38</v>
      </c>
      <c r="T39">
        <v>3</v>
      </c>
      <c r="U39">
        <v>2.6</v>
      </c>
      <c r="V39">
        <v>34.200000000000003</v>
      </c>
      <c r="W39" t="s">
        <v>38</v>
      </c>
      <c r="X39" t="s">
        <v>63</v>
      </c>
      <c r="Y39" t="s">
        <v>38</v>
      </c>
      <c r="Z39" t="s">
        <v>115</v>
      </c>
      <c r="AA39" t="s">
        <v>109</v>
      </c>
      <c r="AB39" t="s">
        <v>83</v>
      </c>
      <c r="AC39">
        <f t="shared" si="2"/>
        <v>0</v>
      </c>
      <c r="AD39" s="12">
        <f t="shared" si="3"/>
        <v>1</v>
      </c>
      <c r="AE39" s="12">
        <f t="shared" si="4"/>
        <v>0</v>
      </c>
      <c r="AF39">
        <f t="shared" si="5"/>
        <v>0</v>
      </c>
      <c r="AG39">
        <f t="shared" si="6"/>
        <v>0</v>
      </c>
      <c r="AH39">
        <f t="shared" si="7"/>
        <v>0</v>
      </c>
      <c r="AI39">
        <f t="shared" si="8"/>
        <v>1</v>
      </c>
      <c r="AJ39">
        <f t="shared" si="9"/>
        <v>0</v>
      </c>
      <c r="AK39">
        <f t="shared" si="0"/>
        <v>0</v>
      </c>
      <c r="AL39">
        <f t="shared" si="10"/>
        <v>1</v>
      </c>
    </row>
    <row r="40" spans="1:38">
      <c r="A40" t="s">
        <v>228</v>
      </c>
      <c r="B40" t="s">
        <v>229</v>
      </c>
      <c r="C40" s="1">
        <f t="shared" si="1"/>
        <v>45413</v>
      </c>
      <c r="D40" t="s">
        <v>230</v>
      </c>
      <c r="E40">
        <v>164</v>
      </c>
      <c r="F40">
        <v>6.8</v>
      </c>
      <c r="G40" t="s">
        <v>30</v>
      </c>
      <c r="H40" t="s">
        <v>31</v>
      </c>
      <c r="I40" t="s">
        <v>32</v>
      </c>
      <c r="J40">
        <v>240</v>
      </c>
      <c r="K40" t="s">
        <v>49</v>
      </c>
      <c r="L40" t="s">
        <v>70</v>
      </c>
      <c r="M40" t="s">
        <v>35</v>
      </c>
      <c r="N40" t="s">
        <v>80</v>
      </c>
      <c r="O40" t="s">
        <v>37</v>
      </c>
      <c r="P40" t="s">
        <v>38</v>
      </c>
      <c r="Q40" t="s">
        <v>38</v>
      </c>
      <c r="R40">
        <v>1</v>
      </c>
      <c r="S40" t="s">
        <v>38</v>
      </c>
      <c r="T40">
        <v>10</v>
      </c>
      <c r="U40">
        <v>2.1</v>
      </c>
      <c r="V40">
        <v>38.6</v>
      </c>
      <c r="W40" t="s">
        <v>39</v>
      </c>
      <c r="X40" t="s">
        <v>63</v>
      </c>
      <c r="Y40" t="s">
        <v>39</v>
      </c>
      <c r="Z40" t="s">
        <v>108</v>
      </c>
      <c r="AA40" t="s">
        <v>82</v>
      </c>
      <c r="AB40" t="s">
        <v>43</v>
      </c>
      <c r="AC40">
        <f t="shared" si="2"/>
        <v>0</v>
      </c>
      <c r="AD40" s="12">
        <f t="shared" si="3"/>
        <v>1</v>
      </c>
      <c r="AE40" s="12">
        <f t="shared" si="4"/>
        <v>0</v>
      </c>
      <c r="AF40">
        <f t="shared" si="5"/>
        <v>0</v>
      </c>
      <c r="AG40">
        <f t="shared" si="6"/>
        <v>0</v>
      </c>
      <c r="AH40">
        <f t="shared" si="7"/>
        <v>0</v>
      </c>
      <c r="AI40">
        <f t="shared" si="8"/>
        <v>0</v>
      </c>
      <c r="AJ40">
        <f t="shared" si="9"/>
        <v>1</v>
      </c>
      <c r="AK40">
        <f t="shared" si="0"/>
        <v>1</v>
      </c>
      <c r="AL40">
        <f t="shared" si="10"/>
        <v>0</v>
      </c>
    </row>
    <row r="41" spans="1:38">
      <c r="A41" t="s">
        <v>231</v>
      </c>
      <c r="B41" t="s">
        <v>232</v>
      </c>
      <c r="C41" s="1">
        <f t="shared" si="1"/>
        <v>45627</v>
      </c>
      <c r="D41" t="s">
        <v>233</v>
      </c>
      <c r="E41">
        <v>317.10000000000002</v>
      </c>
      <c r="F41">
        <v>13.2</v>
      </c>
      <c r="G41" t="s">
        <v>30</v>
      </c>
      <c r="H41" t="s">
        <v>31</v>
      </c>
      <c r="I41" t="s">
        <v>32</v>
      </c>
      <c r="J41">
        <v>240</v>
      </c>
      <c r="K41" t="s">
        <v>33</v>
      </c>
      <c r="L41" t="s">
        <v>34</v>
      </c>
      <c r="M41" t="s">
        <v>35</v>
      </c>
      <c r="N41" t="s">
        <v>134</v>
      </c>
      <c r="O41" t="s">
        <v>7232</v>
      </c>
      <c r="P41" t="s">
        <v>38</v>
      </c>
      <c r="Q41" t="s">
        <v>38</v>
      </c>
      <c r="R41">
        <v>1</v>
      </c>
      <c r="S41" t="s">
        <v>38</v>
      </c>
      <c r="T41">
        <v>4</v>
      </c>
      <c r="U41">
        <v>1.7</v>
      </c>
      <c r="V41">
        <v>16.899999999999999</v>
      </c>
      <c r="W41" t="s">
        <v>39</v>
      </c>
      <c r="X41" t="s">
        <v>63</v>
      </c>
      <c r="Y41" t="s">
        <v>39</v>
      </c>
      <c r="Z41" t="s">
        <v>179</v>
      </c>
      <c r="AA41" t="s">
        <v>103</v>
      </c>
      <c r="AB41" t="s">
        <v>83</v>
      </c>
      <c r="AC41">
        <f t="shared" si="2"/>
        <v>0</v>
      </c>
      <c r="AD41" s="12">
        <f t="shared" si="3"/>
        <v>1</v>
      </c>
      <c r="AE41" s="12">
        <f t="shared" si="4"/>
        <v>0</v>
      </c>
      <c r="AF41">
        <f t="shared" si="5"/>
        <v>0</v>
      </c>
      <c r="AG41">
        <f t="shared" si="6"/>
        <v>1</v>
      </c>
      <c r="AH41">
        <f t="shared" si="7"/>
        <v>0</v>
      </c>
      <c r="AI41">
        <f t="shared" si="8"/>
        <v>0</v>
      </c>
      <c r="AJ41">
        <f t="shared" si="9"/>
        <v>1</v>
      </c>
      <c r="AK41">
        <f t="shared" si="0"/>
        <v>1</v>
      </c>
      <c r="AL41">
        <f t="shared" si="10"/>
        <v>0</v>
      </c>
    </row>
    <row r="42" spans="1:38">
      <c r="A42" t="s">
        <v>234</v>
      </c>
      <c r="B42" t="s">
        <v>235</v>
      </c>
      <c r="C42" s="1">
        <f t="shared" si="1"/>
        <v>45474</v>
      </c>
      <c r="D42" t="s">
        <v>236</v>
      </c>
      <c r="E42">
        <v>438.3</v>
      </c>
      <c r="F42">
        <v>18.3</v>
      </c>
      <c r="G42" t="s">
        <v>68</v>
      </c>
      <c r="H42" t="s">
        <v>69</v>
      </c>
      <c r="I42" t="s">
        <v>79</v>
      </c>
      <c r="J42">
        <v>360</v>
      </c>
      <c r="K42" t="s">
        <v>33</v>
      </c>
      <c r="L42" t="s">
        <v>96</v>
      </c>
      <c r="M42" t="s">
        <v>35</v>
      </c>
      <c r="N42" t="s">
        <v>155</v>
      </c>
      <c r="O42" t="s">
        <v>51</v>
      </c>
      <c r="P42" t="s">
        <v>38</v>
      </c>
      <c r="Q42" t="s">
        <v>38</v>
      </c>
      <c r="R42">
        <v>1</v>
      </c>
      <c r="S42" t="s">
        <v>38</v>
      </c>
      <c r="T42">
        <v>7</v>
      </c>
      <c r="U42">
        <v>0.2</v>
      </c>
      <c r="V42">
        <v>28</v>
      </c>
      <c r="W42" t="s">
        <v>39</v>
      </c>
      <c r="X42" t="s">
        <v>63</v>
      </c>
      <c r="Y42" t="s">
        <v>39</v>
      </c>
      <c r="Z42" t="s">
        <v>108</v>
      </c>
      <c r="AA42" t="s">
        <v>54</v>
      </c>
      <c r="AB42" t="s">
        <v>83</v>
      </c>
      <c r="AC42">
        <f t="shared" si="2"/>
        <v>0</v>
      </c>
      <c r="AD42" s="12">
        <f t="shared" si="3"/>
        <v>1</v>
      </c>
      <c r="AE42" s="12">
        <f t="shared" si="4"/>
        <v>0</v>
      </c>
      <c r="AF42">
        <f t="shared" si="5"/>
        <v>1</v>
      </c>
      <c r="AG42">
        <f t="shared" si="6"/>
        <v>0</v>
      </c>
      <c r="AH42">
        <f t="shared" si="7"/>
        <v>0</v>
      </c>
      <c r="AI42">
        <f t="shared" si="8"/>
        <v>0</v>
      </c>
      <c r="AJ42">
        <f t="shared" si="9"/>
        <v>0</v>
      </c>
      <c r="AK42">
        <f t="shared" si="0"/>
        <v>0</v>
      </c>
      <c r="AL42">
        <f t="shared" si="10"/>
        <v>0</v>
      </c>
    </row>
    <row r="43" spans="1:38">
      <c r="A43" t="s">
        <v>237</v>
      </c>
      <c r="B43" t="s">
        <v>238</v>
      </c>
      <c r="C43" s="1">
        <f t="shared" si="1"/>
        <v>45383</v>
      </c>
      <c r="D43" t="s">
        <v>239</v>
      </c>
      <c r="E43">
        <v>268.10000000000002</v>
      </c>
      <c r="F43">
        <v>11.2</v>
      </c>
      <c r="G43" t="s">
        <v>142</v>
      </c>
      <c r="H43" t="s">
        <v>240</v>
      </c>
      <c r="I43" t="s">
        <v>32</v>
      </c>
      <c r="J43">
        <v>240</v>
      </c>
      <c r="K43" t="s">
        <v>33</v>
      </c>
      <c r="L43" t="s">
        <v>34</v>
      </c>
      <c r="M43" t="s">
        <v>71</v>
      </c>
      <c r="N43" t="s">
        <v>220</v>
      </c>
      <c r="O43" t="s">
        <v>7232</v>
      </c>
      <c r="P43" t="s">
        <v>38</v>
      </c>
      <c r="Q43" t="s">
        <v>39</v>
      </c>
      <c r="R43">
        <v>2</v>
      </c>
      <c r="S43" t="s">
        <v>38</v>
      </c>
      <c r="T43">
        <v>5</v>
      </c>
      <c r="U43">
        <v>0.9</v>
      </c>
      <c r="V43">
        <v>17.100000000000001</v>
      </c>
      <c r="W43" t="s">
        <v>39</v>
      </c>
      <c r="X43" t="s">
        <v>40</v>
      </c>
      <c r="Y43" t="s">
        <v>39</v>
      </c>
      <c r="Z43" t="s">
        <v>64</v>
      </c>
      <c r="AA43" t="s">
        <v>42</v>
      </c>
      <c r="AB43" t="s">
        <v>55</v>
      </c>
      <c r="AC43">
        <f t="shared" si="2"/>
        <v>0</v>
      </c>
      <c r="AD43" s="12">
        <f t="shared" si="3"/>
        <v>0</v>
      </c>
      <c r="AE43" s="12">
        <f t="shared" si="4"/>
        <v>0</v>
      </c>
      <c r="AF43">
        <f t="shared" si="5"/>
        <v>0</v>
      </c>
      <c r="AG43">
        <f t="shared" si="6"/>
        <v>1</v>
      </c>
      <c r="AH43">
        <f t="shared" si="7"/>
        <v>0</v>
      </c>
      <c r="AI43">
        <f t="shared" si="8"/>
        <v>0</v>
      </c>
      <c r="AJ43">
        <f t="shared" si="9"/>
        <v>1</v>
      </c>
      <c r="AK43">
        <f t="shared" si="0"/>
        <v>0</v>
      </c>
      <c r="AL43">
        <f t="shared" si="10"/>
        <v>0</v>
      </c>
    </row>
    <row r="44" spans="1:38">
      <c r="A44" t="s">
        <v>241</v>
      </c>
      <c r="B44" t="s">
        <v>242</v>
      </c>
      <c r="C44" s="1">
        <f t="shared" si="1"/>
        <v>45566</v>
      </c>
      <c r="D44" t="s">
        <v>243</v>
      </c>
      <c r="E44">
        <v>330.2</v>
      </c>
      <c r="F44">
        <v>13.8</v>
      </c>
      <c r="G44" t="s">
        <v>77</v>
      </c>
      <c r="H44" t="s">
        <v>244</v>
      </c>
      <c r="I44" t="s">
        <v>79</v>
      </c>
      <c r="J44">
        <v>360</v>
      </c>
      <c r="K44" t="s">
        <v>49</v>
      </c>
      <c r="L44" t="s">
        <v>96</v>
      </c>
      <c r="M44" t="s">
        <v>35</v>
      </c>
      <c r="N44" t="s">
        <v>144</v>
      </c>
      <c r="O44" t="s">
        <v>51</v>
      </c>
      <c r="P44" t="s">
        <v>39</v>
      </c>
      <c r="Q44" t="s">
        <v>38</v>
      </c>
      <c r="R44">
        <v>0</v>
      </c>
      <c r="S44" t="s">
        <v>38</v>
      </c>
      <c r="T44">
        <v>9</v>
      </c>
      <c r="U44">
        <v>0.1</v>
      </c>
      <c r="V44">
        <v>23</v>
      </c>
      <c r="W44" t="s">
        <v>39</v>
      </c>
      <c r="X44" t="s">
        <v>63</v>
      </c>
      <c r="Y44" t="s">
        <v>38</v>
      </c>
      <c r="Z44" t="s">
        <v>41</v>
      </c>
      <c r="AA44" t="s">
        <v>54</v>
      </c>
      <c r="AB44" t="s">
        <v>43</v>
      </c>
      <c r="AC44">
        <f t="shared" si="2"/>
        <v>0</v>
      </c>
      <c r="AD44" s="12">
        <f t="shared" si="3"/>
        <v>1</v>
      </c>
      <c r="AE44" s="12">
        <f t="shared" si="4"/>
        <v>0</v>
      </c>
      <c r="AF44">
        <f t="shared" si="5"/>
        <v>1</v>
      </c>
      <c r="AG44">
        <f t="shared" si="6"/>
        <v>0</v>
      </c>
      <c r="AH44">
        <f t="shared" si="7"/>
        <v>0</v>
      </c>
      <c r="AI44">
        <f t="shared" si="8"/>
        <v>0</v>
      </c>
      <c r="AJ44">
        <f t="shared" si="9"/>
        <v>0</v>
      </c>
      <c r="AK44">
        <f t="shared" si="0"/>
        <v>0</v>
      </c>
      <c r="AL44">
        <f t="shared" si="10"/>
        <v>1</v>
      </c>
    </row>
    <row r="45" spans="1:38">
      <c r="A45" t="s">
        <v>245</v>
      </c>
      <c r="B45" t="s">
        <v>246</v>
      </c>
      <c r="C45" s="1">
        <f t="shared" si="1"/>
        <v>45627</v>
      </c>
      <c r="D45" t="s">
        <v>247</v>
      </c>
      <c r="E45">
        <v>292.60000000000002</v>
      </c>
      <c r="F45">
        <v>12.2</v>
      </c>
      <c r="G45" t="s">
        <v>77</v>
      </c>
      <c r="H45" t="s">
        <v>78</v>
      </c>
      <c r="I45" t="s">
        <v>79</v>
      </c>
      <c r="J45">
        <v>360</v>
      </c>
      <c r="K45" t="s">
        <v>49</v>
      </c>
      <c r="L45" t="s">
        <v>70</v>
      </c>
      <c r="M45" t="s">
        <v>35</v>
      </c>
      <c r="N45" t="s">
        <v>134</v>
      </c>
      <c r="O45" t="s">
        <v>7232</v>
      </c>
      <c r="P45" t="s">
        <v>39</v>
      </c>
      <c r="Q45" t="s">
        <v>38</v>
      </c>
      <c r="R45">
        <v>0</v>
      </c>
      <c r="S45" t="s">
        <v>38</v>
      </c>
      <c r="T45">
        <v>9</v>
      </c>
      <c r="U45">
        <v>0.1</v>
      </c>
      <c r="V45">
        <v>37</v>
      </c>
      <c r="W45" t="s">
        <v>39</v>
      </c>
      <c r="X45" t="s">
        <v>52</v>
      </c>
      <c r="Y45" t="s">
        <v>39</v>
      </c>
      <c r="Z45" t="s">
        <v>115</v>
      </c>
      <c r="AA45" t="s">
        <v>103</v>
      </c>
      <c r="AB45" t="s">
        <v>43</v>
      </c>
      <c r="AC45">
        <f t="shared" si="2"/>
        <v>1</v>
      </c>
      <c r="AD45" s="12">
        <f t="shared" si="3"/>
        <v>0</v>
      </c>
      <c r="AE45" s="12">
        <f t="shared" si="4"/>
        <v>0</v>
      </c>
      <c r="AF45">
        <f t="shared" si="5"/>
        <v>0</v>
      </c>
      <c r="AG45">
        <f t="shared" si="6"/>
        <v>1</v>
      </c>
      <c r="AH45">
        <f t="shared" si="7"/>
        <v>0</v>
      </c>
      <c r="AI45">
        <f t="shared" si="8"/>
        <v>0</v>
      </c>
      <c r="AJ45">
        <f t="shared" si="9"/>
        <v>0</v>
      </c>
      <c r="AK45">
        <f t="shared" si="0"/>
        <v>0</v>
      </c>
      <c r="AL45">
        <f t="shared" si="10"/>
        <v>0</v>
      </c>
    </row>
    <row r="46" spans="1:38">
      <c r="A46" t="s">
        <v>248</v>
      </c>
      <c r="B46" t="s">
        <v>249</v>
      </c>
      <c r="C46" s="1">
        <f t="shared" si="1"/>
        <v>45383</v>
      </c>
      <c r="D46" t="s">
        <v>250</v>
      </c>
      <c r="E46">
        <v>86.8</v>
      </c>
      <c r="F46">
        <v>3.6</v>
      </c>
      <c r="G46" t="s">
        <v>101</v>
      </c>
      <c r="H46" t="s">
        <v>102</v>
      </c>
      <c r="I46" t="s">
        <v>48</v>
      </c>
      <c r="J46">
        <v>120</v>
      </c>
      <c r="K46" t="s">
        <v>49</v>
      </c>
      <c r="L46" t="s">
        <v>113</v>
      </c>
      <c r="M46" t="s">
        <v>35</v>
      </c>
      <c r="N46" t="s">
        <v>128</v>
      </c>
      <c r="O46" t="s">
        <v>37</v>
      </c>
      <c r="P46" t="s">
        <v>38</v>
      </c>
      <c r="Q46" t="s">
        <v>38</v>
      </c>
      <c r="R46">
        <v>1</v>
      </c>
      <c r="S46" t="s">
        <v>38</v>
      </c>
      <c r="T46">
        <v>10</v>
      </c>
      <c r="U46">
        <v>3</v>
      </c>
      <c r="V46">
        <v>10.4</v>
      </c>
      <c r="W46" t="s">
        <v>38</v>
      </c>
      <c r="X46" t="s">
        <v>123</v>
      </c>
      <c r="Y46" t="s">
        <v>38</v>
      </c>
      <c r="Z46" t="s">
        <v>41</v>
      </c>
      <c r="AA46" t="s">
        <v>54</v>
      </c>
      <c r="AB46" t="s">
        <v>83</v>
      </c>
      <c r="AC46">
        <f t="shared" si="2"/>
        <v>0</v>
      </c>
      <c r="AD46" s="12">
        <f t="shared" si="3"/>
        <v>0</v>
      </c>
      <c r="AE46" s="12">
        <f t="shared" si="4"/>
        <v>1</v>
      </c>
      <c r="AF46">
        <f t="shared" si="5"/>
        <v>0</v>
      </c>
      <c r="AG46">
        <f t="shared" si="6"/>
        <v>0</v>
      </c>
      <c r="AH46">
        <f t="shared" si="7"/>
        <v>1</v>
      </c>
      <c r="AI46">
        <f t="shared" si="8"/>
        <v>0</v>
      </c>
      <c r="AJ46">
        <f t="shared" si="9"/>
        <v>0</v>
      </c>
      <c r="AK46">
        <f t="shared" si="0"/>
        <v>0</v>
      </c>
      <c r="AL46">
        <f t="shared" si="10"/>
        <v>1</v>
      </c>
    </row>
    <row r="47" spans="1:38">
      <c r="A47" t="s">
        <v>251</v>
      </c>
      <c r="B47" t="s">
        <v>252</v>
      </c>
      <c r="C47" s="1">
        <f t="shared" si="1"/>
        <v>45597</v>
      </c>
      <c r="D47" t="s">
        <v>253</v>
      </c>
      <c r="E47">
        <v>172</v>
      </c>
      <c r="F47">
        <v>7.2</v>
      </c>
      <c r="G47" t="s">
        <v>59</v>
      </c>
      <c r="H47" t="s">
        <v>132</v>
      </c>
      <c r="I47" t="s">
        <v>32</v>
      </c>
      <c r="J47">
        <v>240</v>
      </c>
      <c r="K47" t="s">
        <v>49</v>
      </c>
      <c r="L47" t="s">
        <v>96</v>
      </c>
      <c r="M47" t="s">
        <v>35</v>
      </c>
      <c r="N47" t="s">
        <v>202</v>
      </c>
      <c r="O47" t="s">
        <v>51</v>
      </c>
      <c r="P47" t="s">
        <v>38</v>
      </c>
      <c r="Q47" t="s">
        <v>38</v>
      </c>
      <c r="R47">
        <v>1</v>
      </c>
      <c r="S47" t="s">
        <v>38</v>
      </c>
      <c r="T47">
        <v>8</v>
      </c>
      <c r="U47">
        <v>0.4</v>
      </c>
      <c r="V47">
        <v>21.8</v>
      </c>
      <c r="W47" t="s">
        <v>38</v>
      </c>
      <c r="X47" t="s">
        <v>40</v>
      </c>
      <c r="Y47" t="s">
        <v>38</v>
      </c>
      <c r="Z47" t="s">
        <v>179</v>
      </c>
      <c r="AA47" t="s">
        <v>54</v>
      </c>
      <c r="AB47" t="s">
        <v>83</v>
      </c>
      <c r="AC47">
        <f t="shared" si="2"/>
        <v>0</v>
      </c>
      <c r="AD47" s="12">
        <f t="shared" si="3"/>
        <v>0</v>
      </c>
      <c r="AE47" s="12">
        <f t="shared" si="4"/>
        <v>0</v>
      </c>
      <c r="AF47">
        <f t="shared" si="5"/>
        <v>1</v>
      </c>
      <c r="AG47">
        <f t="shared" si="6"/>
        <v>0</v>
      </c>
      <c r="AH47">
        <f t="shared" si="7"/>
        <v>0</v>
      </c>
      <c r="AI47">
        <f t="shared" si="8"/>
        <v>0</v>
      </c>
      <c r="AJ47">
        <f t="shared" si="9"/>
        <v>1</v>
      </c>
      <c r="AK47">
        <f t="shared" si="0"/>
        <v>0</v>
      </c>
      <c r="AL47">
        <f t="shared" si="10"/>
        <v>1</v>
      </c>
    </row>
    <row r="48" spans="1:38">
      <c r="A48" t="s">
        <v>254</v>
      </c>
      <c r="B48" t="s">
        <v>255</v>
      </c>
      <c r="C48" s="1">
        <f t="shared" si="1"/>
        <v>45566</v>
      </c>
      <c r="D48" t="s">
        <v>256</v>
      </c>
      <c r="E48">
        <v>655.7</v>
      </c>
      <c r="F48">
        <v>27.3</v>
      </c>
      <c r="G48" t="s">
        <v>77</v>
      </c>
      <c r="H48" t="s">
        <v>78</v>
      </c>
      <c r="I48" t="s">
        <v>79</v>
      </c>
      <c r="J48">
        <v>360</v>
      </c>
      <c r="K48" t="s">
        <v>33</v>
      </c>
      <c r="L48" t="s">
        <v>96</v>
      </c>
      <c r="M48" t="s">
        <v>35</v>
      </c>
      <c r="N48" t="s">
        <v>202</v>
      </c>
      <c r="O48" t="s">
        <v>37</v>
      </c>
      <c r="P48" t="s">
        <v>39</v>
      </c>
      <c r="Q48" t="s">
        <v>38</v>
      </c>
      <c r="R48">
        <v>0</v>
      </c>
      <c r="S48" t="s">
        <v>38</v>
      </c>
      <c r="T48">
        <v>7</v>
      </c>
      <c r="U48">
        <v>0.8</v>
      </c>
      <c r="V48">
        <v>2.6</v>
      </c>
      <c r="W48" t="s">
        <v>38</v>
      </c>
      <c r="X48" t="s">
        <v>63</v>
      </c>
      <c r="Y48" t="s">
        <v>38</v>
      </c>
      <c r="Z48" t="s">
        <v>108</v>
      </c>
      <c r="AA48" t="s">
        <v>103</v>
      </c>
      <c r="AB48" t="s">
        <v>55</v>
      </c>
      <c r="AC48">
        <f t="shared" si="2"/>
        <v>0</v>
      </c>
      <c r="AD48" s="12">
        <f t="shared" si="3"/>
        <v>1</v>
      </c>
      <c r="AE48" s="12">
        <f t="shared" si="4"/>
        <v>0</v>
      </c>
      <c r="AF48">
        <f t="shared" si="5"/>
        <v>0</v>
      </c>
      <c r="AG48">
        <f t="shared" si="6"/>
        <v>0</v>
      </c>
      <c r="AH48">
        <f t="shared" si="7"/>
        <v>0</v>
      </c>
      <c r="AI48">
        <f t="shared" si="8"/>
        <v>0</v>
      </c>
      <c r="AJ48">
        <f t="shared" si="9"/>
        <v>0</v>
      </c>
      <c r="AK48">
        <f t="shared" si="0"/>
        <v>0</v>
      </c>
      <c r="AL48">
        <f t="shared" si="10"/>
        <v>1</v>
      </c>
    </row>
    <row r="49" spans="1:38">
      <c r="A49" t="s">
        <v>257</v>
      </c>
      <c r="B49" t="s">
        <v>258</v>
      </c>
      <c r="C49" s="1">
        <f t="shared" si="1"/>
        <v>45536</v>
      </c>
      <c r="D49" t="s">
        <v>259</v>
      </c>
      <c r="E49">
        <v>169.3</v>
      </c>
      <c r="F49">
        <v>7.1</v>
      </c>
      <c r="G49" t="s">
        <v>142</v>
      </c>
      <c r="H49" t="s">
        <v>260</v>
      </c>
      <c r="I49" t="s">
        <v>32</v>
      </c>
      <c r="J49">
        <v>240</v>
      </c>
      <c r="K49" t="s">
        <v>49</v>
      </c>
      <c r="L49" t="s">
        <v>70</v>
      </c>
      <c r="M49" t="s">
        <v>35</v>
      </c>
      <c r="N49" t="s">
        <v>97</v>
      </c>
      <c r="O49" t="s">
        <v>7232</v>
      </c>
      <c r="P49" t="s">
        <v>39</v>
      </c>
      <c r="Q49" t="s">
        <v>38</v>
      </c>
      <c r="R49">
        <v>0</v>
      </c>
      <c r="S49" t="s">
        <v>38</v>
      </c>
      <c r="T49">
        <v>10</v>
      </c>
      <c r="U49">
        <v>2.2999999999999998</v>
      </c>
      <c r="V49">
        <v>6.9</v>
      </c>
      <c r="W49" t="s">
        <v>39</v>
      </c>
      <c r="X49" t="s">
        <v>63</v>
      </c>
      <c r="Y49" t="s">
        <v>38</v>
      </c>
      <c r="Z49" t="s">
        <v>115</v>
      </c>
      <c r="AA49" t="s">
        <v>82</v>
      </c>
      <c r="AB49" t="s">
        <v>43</v>
      </c>
      <c r="AC49">
        <f t="shared" si="2"/>
        <v>0</v>
      </c>
      <c r="AD49" s="12">
        <f t="shared" si="3"/>
        <v>1</v>
      </c>
      <c r="AE49" s="12">
        <f t="shared" si="4"/>
        <v>0</v>
      </c>
      <c r="AF49">
        <f t="shared" si="5"/>
        <v>0</v>
      </c>
      <c r="AG49">
        <f t="shared" si="6"/>
        <v>1</v>
      </c>
      <c r="AH49">
        <f t="shared" si="7"/>
        <v>0</v>
      </c>
      <c r="AI49">
        <f t="shared" si="8"/>
        <v>0</v>
      </c>
      <c r="AJ49">
        <f t="shared" si="9"/>
        <v>1</v>
      </c>
      <c r="AK49">
        <f t="shared" si="0"/>
        <v>0</v>
      </c>
      <c r="AL49">
        <f t="shared" si="10"/>
        <v>1</v>
      </c>
    </row>
    <row r="50" spans="1:38">
      <c r="A50" t="s">
        <v>261</v>
      </c>
      <c r="B50" t="s">
        <v>262</v>
      </c>
      <c r="C50" s="1">
        <f t="shared" si="1"/>
        <v>45352</v>
      </c>
      <c r="D50" t="s">
        <v>263</v>
      </c>
      <c r="E50">
        <v>233.2</v>
      </c>
      <c r="F50">
        <v>9.6999999999999993</v>
      </c>
      <c r="G50" t="s">
        <v>77</v>
      </c>
      <c r="H50" t="s">
        <v>244</v>
      </c>
      <c r="I50" t="s">
        <v>79</v>
      </c>
      <c r="J50">
        <v>360</v>
      </c>
      <c r="K50" t="s">
        <v>49</v>
      </c>
      <c r="L50" t="s">
        <v>34</v>
      </c>
      <c r="M50" t="s">
        <v>35</v>
      </c>
      <c r="N50" t="s">
        <v>80</v>
      </c>
      <c r="O50" t="s">
        <v>7232</v>
      </c>
      <c r="P50" t="s">
        <v>39</v>
      </c>
      <c r="Q50" t="s">
        <v>38</v>
      </c>
      <c r="R50">
        <v>0</v>
      </c>
      <c r="S50" t="s">
        <v>38</v>
      </c>
      <c r="T50">
        <v>10</v>
      </c>
      <c r="U50">
        <v>0.1</v>
      </c>
      <c r="V50">
        <v>12.9</v>
      </c>
      <c r="W50" t="s">
        <v>39</v>
      </c>
      <c r="X50" t="s">
        <v>40</v>
      </c>
      <c r="Y50" t="s">
        <v>39</v>
      </c>
      <c r="Z50" t="s">
        <v>179</v>
      </c>
      <c r="AA50" t="s">
        <v>109</v>
      </c>
      <c r="AB50" t="s">
        <v>83</v>
      </c>
      <c r="AC50">
        <f t="shared" si="2"/>
        <v>0</v>
      </c>
      <c r="AD50" s="12">
        <f t="shared" si="3"/>
        <v>0</v>
      </c>
      <c r="AE50" s="12">
        <f t="shared" si="4"/>
        <v>0</v>
      </c>
      <c r="AF50">
        <f t="shared" si="5"/>
        <v>0</v>
      </c>
      <c r="AG50">
        <f t="shared" si="6"/>
        <v>1</v>
      </c>
      <c r="AH50">
        <f t="shared" si="7"/>
        <v>0</v>
      </c>
      <c r="AI50">
        <f t="shared" si="8"/>
        <v>0</v>
      </c>
      <c r="AJ50">
        <f t="shared" si="9"/>
        <v>0</v>
      </c>
      <c r="AK50">
        <f t="shared" si="0"/>
        <v>0</v>
      </c>
      <c r="AL50">
        <f t="shared" si="10"/>
        <v>0</v>
      </c>
    </row>
    <row r="51" spans="1:38">
      <c r="A51" t="s">
        <v>264</v>
      </c>
      <c r="B51" t="s">
        <v>265</v>
      </c>
      <c r="C51" s="1">
        <f t="shared" si="1"/>
        <v>45474</v>
      </c>
      <c r="D51" t="s">
        <v>266</v>
      </c>
      <c r="E51">
        <v>293.60000000000002</v>
      </c>
      <c r="F51">
        <v>12.2</v>
      </c>
      <c r="G51" t="s">
        <v>77</v>
      </c>
      <c r="H51" t="s">
        <v>267</v>
      </c>
      <c r="I51" t="s">
        <v>79</v>
      </c>
      <c r="J51">
        <v>360</v>
      </c>
      <c r="K51" t="s">
        <v>49</v>
      </c>
      <c r="L51" t="s">
        <v>113</v>
      </c>
      <c r="M51" t="s">
        <v>35</v>
      </c>
      <c r="N51" t="s">
        <v>164</v>
      </c>
      <c r="O51" t="s">
        <v>51</v>
      </c>
      <c r="P51" t="s">
        <v>39</v>
      </c>
      <c r="Q51" t="s">
        <v>38</v>
      </c>
      <c r="R51">
        <v>0</v>
      </c>
      <c r="S51" t="s">
        <v>38</v>
      </c>
      <c r="T51">
        <v>10</v>
      </c>
      <c r="U51">
        <v>0.8</v>
      </c>
      <c r="V51">
        <v>30.7</v>
      </c>
      <c r="W51" t="s">
        <v>38</v>
      </c>
      <c r="X51" t="s">
        <v>123</v>
      </c>
      <c r="Y51" t="s">
        <v>38</v>
      </c>
      <c r="Z51" t="s">
        <v>108</v>
      </c>
      <c r="AA51" t="s">
        <v>109</v>
      </c>
      <c r="AB51" t="s">
        <v>55</v>
      </c>
      <c r="AC51">
        <f t="shared" si="2"/>
        <v>0</v>
      </c>
      <c r="AD51" s="12">
        <f t="shared" si="3"/>
        <v>0</v>
      </c>
      <c r="AE51" s="12">
        <f t="shared" si="4"/>
        <v>1</v>
      </c>
      <c r="AF51">
        <f t="shared" si="5"/>
        <v>1</v>
      </c>
      <c r="AG51">
        <f t="shared" si="6"/>
        <v>0</v>
      </c>
      <c r="AH51">
        <f t="shared" si="7"/>
        <v>0</v>
      </c>
      <c r="AI51">
        <f t="shared" si="8"/>
        <v>0</v>
      </c>
      <c r="AJ51">
        <f t="shared" si="9"/>
        <v>0</v>
      </c>
      <c r="AK51">
        <f t="shared" si="0"/>
        <v>0</v>
      </c>
      <c r="AL51">
        <f t="shared" si="10"/>
        <v>1</v>
      </c>
    </row>
    <row r="52" spans="1:38">
      <c r="A52" t="s">
        <v>268</v>
      </c>
      <c r="B52" t="s">
        <v>269</v>
      </c>
      <c r="C52" s="1">
        <f t="shared" si="1"/>
        <v>45566</v>
      </c>
      <c r="D52" t="s">
        <v>270</v>
      </c>
      <c r="E52">
        <v>101</v>
      </c>
      <c r="F52">
        <v>4.2</v>
      </c>
      <c r="G52" t="s">
        <v>68</v>
      </c>
      <c r="H52" t="s">
        <v>69</v>
      </c>
      <c r="I52" t="s">
        <v>48</v>
      </c>
      <c r="J52">
        <v>120</v>
      </c>
      <c r="K52" t="s">
        <v>49</v>
      </c>
      <c r="L52" t="s">
        <v>70</v>
      </c>
      <c r="M52" t="s">
        <v>71</v>
      </c>
      <c r="N52" t="s">
        <v>114</v>
      </c>
      <c r="O52" t="s">
        <v>51</v>
      </c>
      <c r="P52" t="s">
        <v>38</v>
      </c>
      <c r="Q52" t="s">
        <v>39</v>
      </c>
      <c r="R52">
        <v>4</v>
      </c>
      <c r="S52" t="s">
        <v>38</v>
      </c>
      <c r="T52">
        <v>4</v>
      </c>
      <c r="U52">
        <v>1.5</v>
      </c>
      <c r="V52">
        <v>13.4</v>
      </c>
      <c r="W52" t="s">
        <v>39</v>
      </c>
      <c r="X52" t="s">
        <v>40</v>
      </c>
      <c r="Y52" t="s">
        <v>39</v>
      </c>
      <c r="Z52" t="s">
        <v>41</v>
      </c>
      <c r="AA52" t="s">
        <v>103</v>
      </c>
      <c r="AB52" t="s">
        <v>83</v>
      </c>
      <c r="AC52">
        <f t="shared" si="2"/>
        <v>0</v>
      </c>
      <c r="AD52" s="12">
        <f t="shared" si="3"/>
        <v>0</v>
      </c>
      <c r="AE52" s="12">
        <f t="shared" si="4"/>
        <v>0</v>
      </c>
      <c r="AF52">
        <f t="shared" si="5"/>
        <v>1</v>
      </c>
      <c r="AG52">
        <f t="shared" si="6"/>
        <v>0</v>
      </c>
      <c r="AH52">
        <f t="shared" si="7"/>
        <v>1</v>
      </c>
      <c r="AI52">
        <f t="shared" si="8"/>
        <v>0</v>
      </c>
      <c r="AJ52">
        <f t="shared" si="9"/>
        <v>0</v>
      </c>
      <c r="AK52">
        <f t="shared" si="0"/>
        <v>0</v>
      </c>
      <c r="AL52">
        <f t="shared" si="10"/>
        <v>0</v>
      </c>
    </row>
    <row r="53" spans="1:38">
      <c r="A53" t="s">
        <v>271</v>
      </c>
      <c r="B53" t="s">
        <v>272</v>
      </c>
      <c r="C53" s="1">
        <f t="shared" si="1"/>
        <v>45383</v>
      </c>
      <c r="D53" t="s">
        <v>273</v>
      </c>
      <c r="E53">
        <v>111.3</v>
      </c>
      <c r="F53">
        <v>4.5999999999999996</v>
      </c>
      <c r="G53" t="s">
        <v>59</v>
      </c>
      <c r="H53" t="s">
        <v>60</v>
      </c>
      <c r="I53" t="s">
        <v>48</v>
      </c>
      <c r="J53">
        <v>120</v>
      </c>
      <c r="K53" t="s">
        <v>49</v>
      </c>
      <c r="L53" t="s">
        <v>70</v>
      </c>
      <c r="M53" t="s">
        <v>71</v>
      </c>
      <c r="N53" t="s">
        <v>168</v>
      </c>
      <c r="O53" t="s">
        <v>7232</v>
      </c>
      <c r="P53" t="s">
        <v>38</v>
      </c>
      <c r="Q53" t="s">
        <v>39</v>
      </c>
      <c r="R53">
        <v>2</v>
      </c>
      <c r="S53" t="s">
        <v>38</v>
      </c>
      <c r="T53">
        <v>8</v>
      </c>
      <c r="U53">
        <v>1</v>
      </c>
      <c r="V53">
        <v>7.4</v>
      </c>
      <c r="W53" t="s">
        <v>39</v>
      </c>
      <c r="X53" t="s">
        <v>63</v>
      </c>
      <c r="Y53" t="s">
        <v>39</v>
      </c>
      <c r="Z53" t="s">
        <v>179</v>
      </c>
      <c r="AA53" t="s">
        <v>82</v>
      </c>
      <c r="AB53" t="s">
        <v>55</v>
      </c>
      <c r="AC53">
        <f t="shared" si="2"/>
        <v>0</v>
      </c>
      <c r="AD53" s="12">
        <f t="shared" si="3"/>
        <v>1</v>
      </c>
      <c r="AE53" s="12">
        <f t="shared" si="4"/>
        <v>0</v>
      </c>
      <c r="AF53">
        <f t="shared" si="5"/>
        <v>0</v>
      </c>
      <c r="AG53">
        <f t="shared" si="6"/>
        <v>1</v>
      </c>
      <c r="AH53">
        <f t="shared" si="7"/>
        <v>1</v>
      </c>
      <c r="AI53">
        <f t="shared" si="8"/>
        <v>0</v>
      </c>
      <c r="AJ53">
        <f t="shared" si="9"/>
        <v>0</v>
      </c>
      <c r="AK53">
        <f t="shared" si="0"/>
        <v>0</v>
      </c>
      <c r="AL53">
        <f t="shared" si="10"/>
        <v>0</v>
      </c>
    </row>
    <row r="54" spans="1:38">
      <c r="A54" t="s">
        <v>274</v>
      </c>
      <c r="B54" t="s">
        <v>275</v>
      </c>
      <c r="C54" s="1">
        <f t="shared" si="1"/>
        <v>45444</v>
      </c>
      <c r="D54" t="s">
        <v>276</v>
      </c>
      <c r="E54">
        <v>360.5</v>
      </c>
      <c r="F54">
        <v>15</v>
      </c>
      <c r="G54" t="s">
        <v>77</v>
      </c>
      <c r="H54" t="s">
        <v>244</v>
      </c>
      <c r="I54" t="s">
        <v>79</v>
      </c>
      <c r="J54">
        <v>360</v>
      </c>
      <c r="K54" t="s">
        <v>33</v>
      </c>
      <c r="L54" t="s">
        <v>34</v>
      </c>
      <c r="M54" t="s">
        <v>35</v>
      </c>
      <c r="N54" t="s">
        <v>277</v>
      </c>
      <c r="O54" t="s">
        <v>51</v>
      </c>
      <c r="P54" t="s">
        <v>38</v>
      </c>
      <c r="Q54" t="s">
        <v>38</v>
      </c>
      <c r="R54">
        <v>1</v>
      </c>
      <c r="S54" t="s">
        <v>38</v>
      </c>
      <c r="T54">
        <v>5</v>
      </c>
      <c r="U54">
        <v>0.9</v>
      </c>
      <c r="V54">
        <v>15.5</v>
      </c>
      <c r="W54" t="s">
        <v>38</v>
      </c>
      <c r="X54" t="s">
        <v>123</v>
      </c>
      <c r="Y54" t="s">
        <v>39</v>
      </c>
      <c r="Z54" t="s">
        <v>108</v>
      </c>
      <c r="AA54" t="s">
        <v>54</v>
      </c>
      <c r="AB54" t="s">
        <v>83</v>
      </c>
      <c r="AC54">
        <f t="shared" si="2"/>
        <v>0</v>
      </c>
      <c r="AD54" s="12">
        <f t="shared" si="3"/>
        <v>0</v>
      </c>
      <c r="AE54" s="12">
        <f t="shared" si="4"/>
        <v>1</v>
      </c>
      <c r="AF54">
        <f t="shared" si="5"/>
        <v>1</v>
      </c>
      <c r="AG54">
        <f t="shared" si="6"/>
        <v>0</v>
      </c>
      <c r="AH54">
        <f t="shared" si="7"/>
        <v>0</v>
      </c>
      <c r="AI54">
        <f t="shared" si="8"/>
        <v>0</v>
      </c>
      <c r="AJ54">
        <f t="shared" si="9"/>
        <v>0</v>
      </c>
      <c r="AK54">
        <f t="shared" si="0"/>
        <v>0</v>
      </c>
      <c r="AL54">
        <f t="shared" si="10"/>
        <v>0</v>
      </c>
    </row>
    <row r="55" spans="1:38">
      <c r="A55" t="s">
        <v>278</v>
      </c>
      <c r="B55" t="s">
        <v>279</v>
      </c>
      <c r="C55" s="1">
        <f t="shared" si="1"/>
        <v>45444</v>
      </c>
      <c r="D55" t="s">
        <v>280</v>
      </c>
      <c r="E55">
        <v>220.7</v>
      </c>
      <c r="F55">
        <v>9.1999999999999993</v>
      </c>
      <c r="G55" t="s">
        <v>59</v>
      </c>
      <c r="H55" t="s">
        <v>281</v>
      </c>
      <c r="I55" t="s">
        <v>32</v>
      </c>
      <c r="J55">
        <v>240</v>
      </c>
      <c r="K55" t="s">
        <v>49</v>
      </c>
      <c r="L55" t="s">
        <v>133</v>
      </c>
      <c r="M55" t="s">
        <v>71</v>
      </c>
      <c r="N55" t="s">
        <v>36</v>
      </c>
      <c r="O55" t="s">
        <v>7232</v>
      </c>
      <c r="P55" t="s">
        <v>38</v>
      </c>
      <c r="Q55" t="s">
        <v>39</v>
      </c>
      <c r="R55">
        <v>2</v>
      </c>
      <c r="S55" t="s">
        <v>38</v>
      </c>
      <c r="T55">
        <v>6</v>
      </c>
      <c r="U55">
        <v>2.7</v>
      </c>
      <c r="V55">
        <v>17.399999999999999</v>
      </c>
      <c r="W55" t="s">
        <v>38</v>
      </c>
      <c r="X55" t="s">
        <v>63</v>
      </c>
      <c r="Y55" t="s">
        <v>39</v>
      </c>
      <c r="Z55" t="s">
        <v>53</v>
      </c>
      <c r="AA55" t="s">
        <v>42</v>
      </c>
      <c r="AB55" t="s">
        <v>55</v>
      </c>
      <c r="AC55">
        <f t="shared" si="2"/>
        <v>0</v>
      </c>
      <c r="AD55" s="12">
        <f t="shared" si="3"/>
        <v>1</v>
      </c>
      <c r="AE55" s="12">
        <f t="shared" si="4"/>
        <v>0</v>
      </c>
      <c r="AF55">
        <f t="shared" si="5"/>
        <v>0</v>
      </c>
      <c r="AG55">
        <f t="shared" si="6"/>
        <v>1</v>
      </c>
      <c r="AH55">
        <f t="shared" si="7"/>
        <v>0</v>
      </c>
      <c r="AI55">
        <f t="shared" si="8"/>
        <v>0</v>
      </c>
      <c r="AJ55">
        <f t="shared" si="9"/>
        <v>1</v>
      </c>
      <c r="AK55">
        <f t="shared" si="0"/>
        <v>0</v>
      </c>
      <c r="AL55">
        <f t="shared" si="10"/>
        <v>0</v>
      </c>
    </row>
    <row r="56" spans="1:38">
      <c r="A56" t="s">
        <v>282</v>
      </c>
      <c r="B56" t="s">
        <v>283</v>
      </c>
      <c r="C56" s="1">
        <f t="shared" si="1"/>
        <v>45597</v>
      </c>
      <c r="D56" t="s">
        <v>284</v>
      </c>
      <c r="E56">
        <v>152.1</v>
      </c>
      <c r="F56">
        <v>6.3</v>
      </c>
      <c r="G56" t="s">
        <v>30</v>
      </c>
      <c r="H56" t="s">
        <v>159</v>
      </c>
      <c r="I56" t="s">
        <v>48</v>
      </c>
      <c r="J56">
        <v>120</v>
      </c>
      <c r="K56" t="s">
        <v>33</v>
      </c>
      <c r="L56" t="s">
        <v>70</v>
      </c>
      <c r="M56" t="s">
        <v>35</v>
      </c>
      <c r="N56" t="s">
        <v>277</v>
      </c>
      <c r="O56" t="s">
        <v>7232</v>
      </c>
      <c r="P56" t="s">
        <v>39</v>
      </c>
      <c r="Q56" t="s">
        <v>38</v>
      </c>
      <c r="R56">
        <v>0</v>
      </c>
      <c r="S56" t="s">
        <v>38</v>
      </c>
      <c r="T56">
        <v>7</v>
      </c>
      <c r="U56">
        <v>1.1000000000000001</v>
      </c>
      <c r="V56">
        <v>20.3</v>
      </c>
      <c r="W56" t="s">
        <v>38</v>
      </c>
      <c r="X56" t="s">
        <v>52</v>
      </c>
      <c r="Y56" t="s">
        <v>38</v>
      </c>
      <c r="Z56" t="s">
        <v>53</v>
      </c>
      <c r="AA56" t="s">
        <v>54</v>
      </c>
      <c r="AB56" t="s">
        <v>83</v>
      </c>
      <c r="AC56">
        <f t="shared" si="2"/>
        <v>1</v>
      </c>
      <c r="AD56" s="12">
        <f t="shared" si="3"/>
        <v>0</v>
      </c>
      <c r="AE56" s="12">
        <f t="shared" si="4"/>
        <v>0</v>
      </c>
      <c r="AF56">
        <f t="shared" si="5"/>
        <v>0</v>
      </c>
      <c r="AG56">
        <f t="shared" si="6"/>
        <v>1</v>
      </c>
      <c r="AH56">
        <f t="shared" si="7"/>
        <v>1</v>
      </c>
      <c r="AI56">
        <f t="shared" si="8"/>
        <v>0</v>
      </c>
      <c r="AJ56">
        <f t="shared" si="9"/>
        <v>0</v>
      </c>
      <c r="AK56">
        <f t="shared" si="0"/>
        <v>1</v>
      </c>
      <c r="AL56">
        <f t="shared" si="10"/>
        <v>1</v>
      </c>
    </row>
    <row r="57" spans="1:38">
      <c r="A57" t="s">
        <v>285</v>
      </c>
      <c r="B57" t="s">
        <v>286</v>
      </c>
      <c r="C57" s="1">
        <f t="shared" si="1"/>
        <v>45566</v>
      </c>
      <c r="D57" t="s">
        <v>287</v>
      </c>
      <c r="E57">
        <v>300.10000000000002</v>
      </c>
      <c r="F57">
        <v>12.5</v>
      </c>
      <c r="G57" t="s">
        <v>77</v>
      </c>
      <c r="H57" t="s">
        <v>187</v>
      </c>
      <c r="I57" t="s">
        <v>79</v>
      </c>
      <c r="J57">
        <v>360</v>
      </c>
      <c r="K57" t="s">
        <v>49</v>
      </c>
      <c r="L57" t="s">
        <v>133</v>
      </c>
      <c r="M57" t="s">
        <v>35</v>
      </c>
      <c r="N57" t="s">
        <v>50</v>
      </c>
      <c r="O57" t="s">
        <v>51</v>
      </c>
      <c r="P57" t="s">
        <v>39</v>
      </c>
      <c r="Q57" t="s">
        <v>38</v>
      </c>
      <c r="R57">
        <v>0</v>
      </c>
      <c r="S57" t="s">
        <v>38</v>
      </c>
      <c r="T57">
        <v>9</v>
      </c>
      <c r="U57">
        <v>0.1</v>
      </c>
      <c r="V57">
        <v>32.1</v>
      </c>
      <c r="W57" t="s">
        <v>38</v>
      </c>
      <c r="X57" t="s">
        <v>63</v>
      </c>
      <c r="Y57" t="s">
        <v>38</v>
      </c>
      <c r="Z57" t="s">
        <v>73</v>
      </c>
      <c r="AA57" t="s">
        <v>109</v>
      </c>
      <c r="AB57" t="s">
        <v>43</v>
      </c>
      <c r="AC57">
        <f t="shared" si="2"/>
        <v>0</v>
      </c>
      <c r="AD57" s="12">
        <f t="shared" si="3"/>
        <v>1</v>
      </c>
      <c r="AE57" s="12">
        <f t="shared" si="4"/>
        <v>0</v>
      </c>
      <c r="AF57">
        <f t="shared" si="5"/>
        <v>1</v>
      </c>
      <c r="AG57">
        <f t="shared" si="6"/>
        <v>0</v>
      </c>
      <c r="AH57">
        <f t="shared" si="7"/>
        <v>0</v>
      </c>
      <c r="AI57">
        <f t="shared" si="8"/>
        <v>0</v>
      </c>
      <c r="AJ57">
        <f t="shared" si="9"/>
        <v>0</v>
      </c>
      <c r="AK57">
        <f t="shared" si="0"/>
        <v>0</v>
      </c>
      <c r="AL57">
        <f t="shared" si="10"/>
        <v>1</v>
      </c>
    </row>
    <row r="58" spans="1:38">
      <c r="A58" t="s">
        <v>288</v>
      </c>
      <c r="B58" t="s">
        <v>289</v>
      </c>
      <c r="C58" s="1">
        <f t="shared" si="1"/>
        <v>45352</v>
      </c>
      <c r="D58" t="s">
        <v>290</v>
      </c>
      <c r="E58">
        <v>182</v>
      </c>
      <c r="F58">
        <v>7.6</v>
      </c>
      <c r="G58" t="s">
        <v>93</v>
      </c>
      <c r="H58" t="s">
        <v>291</v>
      </c>
      <c r="I58" t="s">
        <v>32</v>
      </c>
      <c r="J58">
        <v>240</v>
      </c>
      <c r="K58" t="s">
        <v>49</v>
      </c>
      <c r="L58" t="s">
        <v>113</v>
      </c>
      <c r="M58" t="s">
        <v>35</v>
      </c>
      <c r="N58" t="s">
        <v>80</v>
      </c>
      <c r="O58" t="s">
        <v>51</v>
      </c>
      <c r="P58" t="s">
        <v>38</v>
      </c>
      <c r="Q58" t="s">
        <v>38</v>
      </c>
      <c r="R58">
        <v>1</v>
      </c>
      <c r="S58" t="s">
        <v>39</v>
      </c>
      <c r="T58">
        <v>10</v>
      </c>
      <c r="U58">
        <v>2.8</v>
      </c>
      <c r="V58">
        <v>16.5</v>
      </c>
      <c r="W58" t="s">
        <v>39</v>
      </c>
      <c r="X58" t="s">
        <v>40</v>
      </c>
      <c r="Y58" t="s">
        <v>39</v>
      </c>
      <c r="Z58" t="s">
        <v>53</v>
      </c>
      <c r="AA58" t="s">
        <v>103</v>
      </c>
      <c r="AB58" t="s">
        <v>83</v>
      </c>
      <c r="AC58">
        <f t="shared" si="2"/>
        <v>0</v>
      </c>
      <c r="AD58" s="12">
        <f t="shared" si="3"/>
        <v>0</v>
      </c>
      <c r="AE58" s="12">
        <f t="shared" si="4"/>
        <v>0</v>
      </c>
      <c r="AF58">
        <f t="shared" si="5"/>
        <v>1</v>
      </c>
      <c r="AG58">
        <f t="shared" si="6"/>
        <v>0</v>
      </c>
      <c r="AH58">
        <f t="shared" si="7"/>
        <v>0</v>
      </c>
      <c r="AI58">
        <f t="shared" si="8"/>
        <v>0</v>
      </c>
      <c r="AJ58">
        <f t="shared" si="9"/>
        <v>1</v>
      </c>
      <c r="AK58">
        <f t="shared" si="0"/>
        <v>0</v>
      </c>
      <c r="AL58">
        <f t="shared" si="10"/>
        <v>0</v>
      </c>
    </row>
    <row r="59" spans="1:38">
      <c r="A59" t="s">
        <v>292</v>
      </c>
      <c r="B59" t="s">
        <v>293</v>
      </c>
      <c r="C59" s="1">
        <f t="shared" si="1"/>
        <v>45597</v>
      </c>
      <c r="D59" t="s">
        <v>294</v>
      </c>
      <c r="E59">
        <v>106.8</v>
      </c>
      <c r="F59">
        <v>4.5</v>
      </c>
      <c r="G59" t="s">
        <v>101</v>
      </c>
      <c r="H59" t="s">
        <v>295</v>
      </c>
      <c r="I59" t="s">
        <v>48</v>
      </c>
      <c r="J59">
        <v>120</v>
      </c>
      <c r="K59" t="s">
        <v>49</v>
      </c>
      <c r="L59" t="s">
        <v>70</v>
      </c>
      <c r="M59" t="s">
        <v>35</v>
      </c>
      <c r="N59" t="s">
        <v>97</v>
      </c>
      <c r="O59" t="s">
        <v>51</v>
      </c>
      <c r="P59" t="s">
        <v>38</v>
      </c>
      <c r="Q59" t="s">
        <v>38</v>
      </c>
      <c r="R59">
        <v>1</v>
      </c>
      <c r="S59" t="s">
        <v>39</v>
      </c>
      <c r="T59">
        <v>9</v>
      </c>
      <c r="U59">
        <v>3.5</v>
      </c>
      <c r="V59">
        <v>23.7</v>
      </c>
      <c r="W59" t="s">
        <v>38</v>
      </c>
      <c r="X59" t="s">
        <v>52</v>
      </c>
      <c r="Y59" t="s">
        <v>39</v>
      </c>
      <c r="Z59" t="s">
        <v>73</v>
      </c>
      <c r="AA59" t="s">
        <v>109</v>
      </c>
      <c r="AB59" t="s">
        <v>83</v>
      </c>
      <c r="AC59">
        <f t="shared" si="2"/>
        <v>1</v>
      </c>
      <c r="AD59" s="12">
        <f t="shared" si="3"/>
        <v>0</v>
      </c>
      <c r="AE59" s="12">
        <f t="shared" si="4"/>
        <v>0</v>
      </c>
      <c r="AF59">
        <f t="shared" si="5"/>
        <v>1</v>
      </c>
      <c r="AG59">
        <f t="shared" si="6"/>
        <v>0</v>
      </c>
      <c r="AH59">
        <f t="shared" si="7"/>
        <v>1</v>
      </c>
      <c r="AI59">
        <f t="shared" si="8"/>
        <v>0</v>
      </c>
      <c r="AJ59">
        <f t="shared" si="9"/>
        <v>0</v>
      </c>
      <c r="AK59">
        <f t="shared" si="0"/>
        <v>0</v>
      </c>
      <c r="AL59">
        <f t="shared" si="10"/>
        <v>0</v>
      </c>
    </row>
    <row r="60" spans="1:38">
      <c r="A60" t="s">
        <v>296</v>
      </c>
      <c r="B60" t="s">
        <v>297</v>
      </c>
      <c r="C60" s="1">
        <f t="shared" si="1"/>
        <v>45383</v>
      </c>
      <c r="D60" t="s">
        <v>298</v>
      </c>
      <c r="E60">
        <v>236.3</v>
      </c>
      <c r="F60">
        <v>9.8000000000000007</v>
      </c>
      <c r="G60" t="s">
        <v>68</v>
      </c>
      <c r="H60" t="s">
        <v>212</v>
      </c>
      <c r="I60" t="s">
        <v>79</v>
      </c>
      <c r="J60">
        <v>360</v>
      </c>
      <c r="K60" t="s">
        <v>49</v>
      </c>
      <c r="L60" t="s">
        <v>113</v>
      </c>
      <c r="M60" t="s">
        <v>35</v>
      </c>
      <c r="N60" t="s">
        <v>299</v>
      </c>
      <c r="O60" t="s">
        <v>37</v>
      </c>
      <c r="P60" t="s">
        <v>38</v>
      </c>
      <c r="Q60" t="s">
        <v>38</v>
      </c>
      <c r="R60">
        <v>1</v>
      </c>
      <c r="S60" t="s">
        <v>38</v>
      </c>
      <c r="T60">
        <v>6</v>
      </c>
      <c r="U60">
        <v>0.4</v>
      </c>
      <c r="V60">
        <v>32.700000000000003</v>
      </c>
      <c r="W60" t="s">
        <v>39</v>
      </c>
      <c r="X60" t="s">
        <v>52</v>
      </c>
      <c r="Y60" t="s">
        <v>39</v>
      </c>
      <c r="Z60" t="s">
        <v>53</v>
      </c>
      <c r="AA60" t="s">
        <v>82</v>
      </c>
      <c r="AB60" t="s">
        <v>55</v>
      </c>
      <c r="AC60">
        <f t="shared" si="2"/>
        <v>1</v>
      </c>
      <c r="AD60" s="12">
        <f t="shared" si="3"/>
        <v>0</v>
      </c>
      <c r="AE60" s="12">
        <f t="shared" si="4"/>
        <v>0</v>
      </c>
      <c r="AF60">
        <f t="shared" si="5"/>
        <v>0</v>
      </c>
      <c r="AG60">
        <f t="shared" si="6"/>
        <v>0</v>
      </c>
      <c r="AH60">
        <f t="shared" si="7"/>
        <v>0</v>
      </c>
      <c r="AI60">
        <f t="shared" si="8"/>
        <v>0</v>
      </c>
      <c r="AJ60">
        <f t="shared" si="9"/>
        <v>0</v>
      </c>
      <c r="AK60">
        <f t="shared" si="0"/>
        <v>0</v>
      </c>
      <c r="AL60">
        <f t="shared" si="10"/>
        <v>0</v>
      </c>
    </row>
    <row r="61" spans="1:38">
      <c r="A61" t="s">
        <v>300</v>
      </c>
      <c r="B61" t="s">
        <v>301</v>
      </c>
      <c r="C61" s="1">
        <f t="shared" si="1"/>
        <v>45597</v>
      </c>
      <c r="D61" t="s">
        <v>302</v>
      </c>
      <c r="E61">
        <v>457.4</v>
      </c>
      <c r="F61">
        <v>19.100000000000001</v>
      </c>
      <c r="G61" t="s">
        <v>77</v>
      </c>
      <c r="H61" t="s">
        <v>267</v>
      </c>
      <c r="I61" t="s">
        <v>79</v>
      </c>
      <c r="J61">
        <v>360</v>
      </c>
      <c r="K61" t="s">
        <v>33</v>
      </c>
      <c r="L61" t="s">
        <v>96</v>
      </c>
      <c r="M61" t="s">
        <v>35</v>
      </c>
      <c r="N61" t="s">
        <v>107</v>
      </c>
      <c r="O61" t="s">
        <v>37</v>
      </c>
      <c r="P61" t="s">
        <v>39</v>
      </c>
      <c r="Q61" t="s">
        <v>38</v>
      </c>
      <c r="R61">
        <v>0</v>
      </c>
      <c r="S61" t="s">
        <v>38</v>
      </c>
      <c r="T61">
        <v>6</v>
      </c>
      <c r="U61">
        <v>3.6</v>
      </c>
      <c r="V61">
        <v>28</v>
      </c>
      <c r="W61" t="s">
        <v>39</v>
      </c>
      <c r="X61" t="s">
        <v>123</v>
      </c>
      <c r="Y61" t="s">
        <v>39</v>
      </c>
      <c r="Z61" t="s">
        <v>53</v>
      </c>
      <c r="AA61" t="s">
        <v>42</v>
      </c>
      <c r="AB61" t="s">
        <v>55</v>
      </c>
      <c r="AC61">
        <f t="shared" si="2"/>
        <v>0</v>
      </c>
      <c r="AD61" s="12">
        <f t="shared" si="3"/>
        <v>0</v>
      </c>
      <c r="AE61" s="12">
        <f t="shared" si="4"/>
        <v>1</v>
      </c>
      <c r="AF61">
        <f t="shared" si="5"/>
        <v>0</v>
      </c>
      <c r="AG61">
        <f t="shared" si="6"/>
        <v>0</v>
      </c>
      <c r="AH61">
        <f t="shared" si="7"/>
        <v>0</v>
      </c>
      <c r="AI61">
        <f t="shared" si="8"/>
        <v>0</v>
      </c>
      <c r="AJ61">
        <f t="shared" si="9"/>
        <v>0</v>
      </c>
      <c r="AK61">
        <f t="shared" si="0"/>
        <v>0</v>
      </c>
      <c r="AL61">
        <f t="shared" si="10"/>
        <v>0</v>
      </c>
    </row>
    <row r="62" spans="1:38">
      <c r="A62" t="s">
        <v>303</v>
      </c>
      <c r="B62" t="s">
        <v>304</v>
      </c>
      <c r="C62" s="1">
        <f t="shared" si="1"/>
        <v>45413</v>
      </c>
      <c r="D62" t="s">
        <v>305</v>
      </c>
      <c r="E62">
        <v>220.2</v>
      </c>
      <c r="F62">
        <v>9.1999999999999993</v>
      </c>
      <c r="G62" t="s">
        <v>101</v>
      </c>
      <c r="H62" t="s">
        <v>295</v>
      </c>
      <c r="I62" t="s">
        <v>79</v>
      </c>
      <c r="J62">
        <v>360</v>
      </c>
      <c r="K62" t="s">
        <v>49</v>
      </c>
      <c r="L62" t="s">
        <v>70</v>
      </c>
      <c r="M62" t="s">
        <v>35</v>
      </c>
      <c r="N62" t="s">
        <v>89</v>
      </c>
      <c r="O62" t="s">
        <v>7232</v>
      </c>
      <c r="P62" t="s">
        <v>38</v>
      </c>
      <c r="Q62" t="s">
        <v>38</v>
      </c>
      <c r="R62">
        <v>1</v>
      </c>
      <c r="S62" t="s">
        <v>38</v>
      </c>
      <c r="T62">
        <v>9</v>
      </c>
      <c r="U62">
        <v>2.5</v>
      </c>
      <c r="V62">
        <v>0</v>
      </c>
      <c r="W62" t="s">
        <v>39</v>
      </c>
      <c r="X62" t="s">
        <v>123</v>
      </c>
      <c r="Y62" t="s">
        <v>38</v>
      </c>
      <c r="Z62" t="s">
        <v>81</v>
      </c>
      <c r="AA62" t="s">
        <v>103</v>
      </c>
      <c r="AB62" t="s">
        <v>55</v>
      </c>
      <c r="AC62">
        <f t="shared" si="2"/>
        <v>0</v>
      </c>
      <c r="AD62" s="12">
        <f t="shared" si="3"/>
        <v>0</v>
      </c>
      <c r="AE62" s="12">
        <f t="shared" si="4"/>
        <v>1</v>
      </c>
      <c r="AF62">
        <f t="shared" si="5"/>
        <v>0</v>
      </c>
      <c r="AG62">
        <f t="shared" si="6"/>
        <v>1</v>
      </c>
      <c r="AH62">
        <f t="shared" si="7"/>
        <v>0</v>
      </c>
      <c r="AI62">
        <f t="shared" si="8"/>
        <v>0</v>
      </c>
      <c r="AJ62">
        <f t="shared" si="9"/>
        <v>0</v>
      </c>
      <c r="AK62">
        <f t="shared" si="0"/>
        <v>0</v>
      </c>
      <c r="AL62">
        <f t="shared" si="10"/>
        <v>1</v>
      </c>
    </row>
    <row r="63" spans="1:38">
      <c r="A63" t="s">
        <v>306</v>
      </c>
      <c r="B63" t="s">
        <v>307</v>
      </c>
      <c r="C63" s="1">
        <f t="shared" si="1"/>
        <v>45566</v>
      </c>
      <c r="D63" t="s">
        <v>308</v>
      </c>
      <c r="E63">
        <v>147</v>
      </c>
      <c r="F63">
        <v>6.1</v>
      </c>
      <c r="G63" t="s">
        <v>87</v>
      </c>
      <c r="H63" t="s">
        <v>309</v>
      </c>
      <c r="I63" t="s">
        <v>32</v>
      </c>
      <c r="J63">
        <v>240</v>
      </c>
      <c r="K63" t="s">
        <v>49</v>
      </c>
      <c r="L63" t="s">
        <v>96</v>
      </c>
      <c r="M63" t="s">
        <v>35</v>
      </c>
      <c r="N63" t="s">
        <v>134</v>
      </c>
      <c r="O63" t="s">
        <v>7232</v>
      </c>
      <c r="P63" t="s">
        <v>38</v>
      </c>
      <c r="Q63" t="s">
        <v>38</v>
      </c>
      <c r="R63">
        <v>1</v>
      </c>
      <c r="S63" t="s">
        <v>38</v>
      </c>
      <c r="T63">
        <v>6</v>
      </c>
      <c r="U63">
        <v>2.9</v>
      </c>
      <c r="V63">
        <v>31.8</v>
      </c>
      <c r="W63" t="s">
        <v>39</v>
      </c>
      <c r="X63" t="s">
        <v>123</v>
      </c>
      <c r="Y63" t="s">
        <v>38</v>
      </c>
      <c r="Z63" t="s">
        <v>108</v>
      </c>
      <c r="AA63" t="s">
        <v>54</v>
      </c>
      <c r="AB63" t="s">
        <v>83</v>
      </c>
      <c r="AC63">
        <f t="shared" si="2"/>
        <v>0</v>
      </c>
      <c r="AD63" s="12">
        <f t="shared" si="3"/>
        <v>0</v>
      </c>
      <c r="AE63" s="12">
        <f t="shared" si="4"/>
        <v>1</v>
      </c>
      <c r="AF63">
        <f t="shared" si="5"/>
        <v>0</v>
      </c>
      <c r="AG63">
        <f t="shared" si="6"/>
        <v>1</v>
      </c>
      <c r="AH63">
        <f t="shared" si="7"/>
        <v>0</v>
      </c>
      <c r="AI63">
        <f t="shared" si="8"/>
        <v>0</v>
      </c>
      <c r="AJ63">
        <f t="shared" si="9"/>
        <v>1</v>
      </c>
      <c r="AK63">
        <f t="shared" si="0"/>
        <v>0</v>
      </c>
      <c r="AL63">
        <f t="shared" si="10"/>
        <v>1</v>
      </c>
    </row>
    <row r="64" spans="1:38">
      <c r="A64" t="s">
        <v>310</v>
      </c>
      <c r="B64" t="s">
        <v>311</v>
      </c>
      <c r="C64" s="1">
        <f t="shared" si="1"/>
        <v>45323</v>
      </c>
      <c r="D64" t="s">
        <v>312</v>
      </c>
      <c r="E64">
        <v>123.8</v>
      </c>
      <c r="F64">
        <v>5.2</v>
      </c>
      <c r="G64" t="s">
        <v>59</v>
      </c>
      <c r="H64" t="s">
        <v>127</v>
      </c>
      <c r="I64" t="s">
        <v>48</v>
      </c>
      <c r="J64">
        <v>120</v>
      </c>
      <c r="K64" t="s">
        <v>33</v>
      </c>
      <c r="L64" t="s">
        <v>113</v>
      </c>
      <c r="M64" t="s">
        <v>35</v>
      </c>
      <c r="N64" t="s">
        <v>192</v>
      </c>
      <c r="O64" t="s">
        <v>51</v>
      </c>
      <c r="P64" t="s">
        <v>38</v>
      </c>
      <c r="Q64" t="s">
        <v>38</v>
      </c>
      <c r="R64">
        <v>1</v>
      </c>
      <c r="S64" t="s">
        <v>38</v>
      </c>
      <c r="T64">
        <v>5</v>
      </c>
      <c r="U64">
        <v>3</v>
      </c>
      <c r="V64">
        <v>11.4</v>
      </c>
      <c r="W64" t="s">
        <v>39</v>
      </c>
      <c r="X64" t="s">
        <v>123</v>
      </c>
      <c r="Y64" t="s">
        <v>38</v>
      </c>
      <c r="Z64" t="s">
        <v>73</v>
      </c>
      <c r="AA64" t="s">
        <v>54</v>
      </c>
      <c r="AB64" t="s">
        <v>83</v>
      </c>
      <c r="AC64">
        <f t="shared" si="2"/>
        <v>0</v>
      </c>
      <c r="AD64" s="12">
        <f t="shared" si="3"/>
        <v>0</v>
      </c>
      <c r="AE64" s="12">
        <f t="shared" si="4"/>
        <v>1</v>
      </c>
      <c r="AF64">
        <f t="shared" si="5"/>
        <v>1</v>
      </c>
      <c r="AG64">
        <f t="shared" si="6"/>
        <v>0</v>
      </c>
      <c r="AH64">
        <f t="shared" si="7"/>
        <v>1</v>
      </c>
      <c r="AI64">
        <f t="shared" si="8"/>
        <v>0</v>
      </c>
      <c r="AJ64">
        <f t="shared" si="9"/>
        <v>0</v>
      </c>
      <c r="AK64">
        <f t="shared" si="0"/>
        <v>0</v>
      </c>
      <c r="AL64">
        <f t="shared" si="10"/>
        <v>1</v>
      </c>
    </row>
    <row r="65" spans="1:38">
      <c r="A65" t="s">
        <v>313</v>
      </c>
      <c r="B65" t="s">
        <v>314</v>
      </c>
      <c r="C65" s="1">
        <f t="shared" si="1"/>
        <v>45566</v>
      </c>
      <c r="D65" t="s">
        <v>315</v>
      </c>
      <c r="E65">
        <v>165</v>
      </c>
      <c r="F65">
        <v>6.9</v>
      </c>
      <c r="G65" t="s">
        <v>93</v>
      </c>
      <c r="H65" t="s">
        <v>291</v>
      </c>
      <c r="I65" t="s">
        <v>32</v>
      </c>
      <c r="J65">
        <v>240</v>
      </c>
      <c r="K65" t="s">
        <v>49</v>
      </c>
      <c r="L65" t="s">
        <v>96</v>
      </c>
      <c r="M65" t="s">
        <v>35</v>
      </c>
      <c r="N65" t="s">
        <v>168</v>
      </c>
      <c r="O65" t="s">
        <v>7232</v>
      </c>
      <c r="P65" t="s">
        <v>38</v>
      </c>
      <c r="Q65" t="s">
        <v>38</v>
      </c>
      <c r="R65">
        <v>1</v>
      </c>
      <c r="S65" t="s">
        <v>38</v>
      </c>
      <c r="T65">
        <v>7</v>
      </c>
      <c r="U65">
        <v>0.1</v>
      </c>
      <c r="V65">
        <v>13.1</v>
      </c>
      <c r="W65" t="s">
        <v>39</v>
      </c>
      <c r="X65" t="s">
        <v>52</v>
      </c>
      <c r="Y65" t="s">
        <v>38</v>
      </c>
      <c r="Z65" t="s">
        <v>108</v>
      </c>
      <c r="AA65" t="s">
        <v>103</v>
      </c>
      <c r="AB65" t="s">
        <v>55</v>
      </c>
      <c r="AC65">
        <f t="shared" si="2"/>
        <v>1</v>
      </c>
      <c r="AD65" s="12">
        <f t="shared" si="3"/>
        <v>0</v>
      </c>
      <c r="AE65" s="12">
        <f t="shared" si="4"/>
        <v>0</v>
      </c>
      <c r="AF65">
        <f t="shared" si="5"/>
        <v>0</v>
      </c>
      <c r="AG65">
        <f t="shared" si="6"/>
        <v>1</v>
      </c>
      <c r="AH65">
        <f t="shared" si="7"/>
        <v>0</v>
      </c>
      <c r="AI65">
        <f t="shared" si="8"/>
        <v>0</v>
      </c>
      <c r="AJ65">
        <f t="shared" si="9"/>
        <v>1</v>
      </c>
      <c r="AK65">
        <f t="shared" si="0"/>
        <v>0</v>
      </c>
      <c r="AL65">
        <f t="shared" si="10"/>
        <v>1</v>
      </c>
    </row>
    <row r="66" spans="1:38">
      <c r="A66" t="s">
        <v>316</v>
      </c>
      <c r="B66" t="s">
        <v>317</v>
      </c>
      <c r="C66" s="1">
        <f t="shared" si="1"/>
        <v>45352</v>
      </c>
      <c r="D66" t="s">
        <v>318</v>
      </c>
      <c r="E66">
        <v>180.4</v>
      </c>
      <c r="F66">
        <v>7.5</v>
      </c>
      <c r="G66" t="s">
        <v>142</v>
      </c>
      <c r="H66" t="s">
        <v>319</v>
      </c>
      <c r="I66" t="s">
        <v>32</v>
      </c>
      <c r="J66">
        <v>240</v>
      </c>
      <c r="K66" t="s">
        <v>49</v>
      </c>
      <c r="L66" t="s">
        <v>34</v>
      </c>
      <c r="M66" t="s">
        <v>35</v>
      </c>
      <c r="N66" t="s">
        <v>107</v>
      </c>
      <c r="O66" t="s">
        <v>51</v>
      </c>
      <c r="P66" t="s">
        <v>39</v>
      </c>
      <c r="Q66" t="s">
        <v>38</v>
      </c>
      <c r="R66">
        <v>0</v>
      </c>
      <c r="S66" t="s">
        <v>39</v>
      </c>
      <c r="T66">
        <v>8</v>
      </c>
      <c r="U66">
        <v>1</v>
      </c>
      <c r="V66">
        <v>20.7</v>
      </c>
      <c r="W66" t="s">
        <v>38</v>
      </c>
      <c r="X66" t="s">
        <v>63</v>
      </c>
      <c r="Y66" t="s">
        <v>39</v>
      </c>
      <c r="Z66" t="s">
        <v>179</v>
      </c>
      <c r="AA66" t="s">
        <v>82</v>
      </c>
      <c r="AB66" t="s">
        <v>55</v>
      </c>
      <c r="AC66">
        <f t="shared" ref="AC66:AC129" si="11">IF(X66="Poor", 1, 0)</f>
        <v>0</v>
      </c>
      <c r="AD66" s="12">
        <f t="shared" si="3"/>
        <v>1</v>
      </c>
      <c r="AE66" s="12">
        <f t="shared" si="4"/>
        <v>0</v>
      </c>
      <c r="AF66">
        <f t="shared" ref="AF66:AF129" si="12">IF(O66="Junior", 1, 0)</f>
        <v>1</v>
      </c>
      <c r="AG66">
        <f t="shared" si="6"/>
        <v>0</v>
      </c>
      <c r="AH66">
        <f t="shared" si="7"/>
        <v>0</v>
      </c>
      <c r="AI66">
        <f t="shared" si="8"/>
        <v>0</v>
      </c>
      <c r="AJ66">
        <f t="shared" si="9"/>
        <v>1</v>
      </c>
      <c r="AK66">
        <f t="shared" ref="AK66:AK129" si="13">IF(G66="Access Requests", 1, 0)</f>
        <v>0</v>
      </c>
      <c r="AL66">
        <f t="shared" si="10"/>
        <v>0</v>
      </c>
    </row>
    <row r="67" spans="1:38">
      <c r="A67" t="s">
        <v>320</v>
      </c>
      <c r="B67" t="s">
        <v>321</v>
      </c>
      <c r="C67" s="1">
        <f t="shared" ref="C67:C130" si="14">DATE(YEAR(B67),MONTH(B67),1)</f>
        <v>45566</v>
      </c>
      <c r="D67" t="s">
        <v>322</v>
      </c>
      <c r="E67">
        <v>276.7</v>
      </c>
      <c r="F67">
        <v>11.5</v>
      </c>
      <c r="G67" t="s">
        <v>59</v>
      </c>
      <c r="H67" t="s">
        <v>281</v>
      </c>
      <c r="I67" t="s">
        <v>79</v>
      </c>
      <c r="J67">
        <v>360</v>
      </c>
      <c r="K67" t="s">
        <v>49</v>
      </c>
      <c r="L67" t="s">
        <v>96</v>
      </c>
      <c r="M67" t="s">
        <v>35</v>
      </c>
      <c r="N67" t="s">
        <v>97</v>
      </c>
      <c r="O67" t="s">
        <v>37</v>
      </c>
      <c r="P67" t="s">
        <v>38</v>
      </c>
      <c r="Q67" t="s">
        <v>38</v>
      </c>
      <c r="R67">
        <v>1</v>
      </c>
      <c r="S67" t="s">
        <v>39</v>
      </c>
      <c r="T67">
        <v>8</v>
      </c>
      <c r="U67">
        <v>0.8</v>
      </c>
      <c r="V67">
        <v>13.4</v>
      </c>
      <c r="W67" t="s">
        <v>39</v>
      </c>
      <c r="X67" t="s">
        <v>123</v>
      </c>
      <c r="Y67" t="s">
        <v>38</v>
      </c>
      <c r="Z67" t="s">
        <v>53</v>
      </c>
      <c r="AA67" t="s">
        <v>54</v>
      </c>
      <c r="AB67" t="s">
        <v>55</v>
      </c>
      <c r="AC67">
        <f t="shared" si="11"/>
        <v>0</v>
      </c>
      <c r="AD67" s="12">
        <f t="shared" ref="AD67:AD130" si="15">IF(X67="Fair", 1, 0)</f>
        <v>0</v>
      </c>
      <c r="AE67" s="12">
        <f t="shared" ref="AE67:AE130" si="16">IF(X67="Good", 1, 0)</f>
        <v>1</v>
      </c>
      <c r="AF67">
        <f t="shared" si="12"/>
        <v>0</v>
      </c>
      <c r="AG67">
        <f t="shared" ref="AG67:AG130" si="17">IF(O67="Mid", 1, 0)</f>
        <v>0</v>
      </c>
      <c r="AH67">
        <f t="shared" ref="AH67:AH130" si="18">IF(I67="High", 1, 0)</f>
        <v>0</v>
      </c>
      <c r="AI67">
        <f t="shared" ref="AI67:AI130" si="19">IF(I67="Critical", 1, 0)</f>
        <v>0</v>
      </c>
      <c r="AJ67">
        <f t="shared" ref="AJ67:AJ130" si="20">IF(I67="Medium", 1, 0)</f>
        <v>0</v>
      </c>
      <c r="AK67">
        <f t="shared" si="13"/>
        <v>0</v>
      </c>
      <c r="AL67">
        <f t="shared" ref="AL67:AL130" si="21">IF(Y67="No", 1, 0)</f>
        <v>1</v>
      </c>
    </row>
    <row r="68" spans="1:38">
      <c r="A68" t="s">
        <v>323</v>
      </c>
      <c r="B68" t="s">
        <v>324</v>
      </c>
      <c r="C68" s="1">
        <f t="shared" si="14"/>
        <v>45597</v>
      </c>
      <c r="D68" t="s">
        <v>325</v>
      </c>
      <c r="E68">
        <v>613.70000000000005</v>
      </c>
      <c r="F68">
        <v>25.6</v>
      </c>
      <c r="G68" t="s">
        <v>77</v>
      </c>
      <c r="H68" t="s">
        <v>267</v>
      </c>
      <c r="I68" t="s">
        <v>79</v>
      </c>
      <c r="J68">
        <v>360</v>
      </c>
      <c r="K68" t="s">
        <v>33</v>
      </c>
      <c r="L68" t="s">
        <v>70</v>
      </c>
      <c r="M68" t="s">
        <v>35</v>
      </c>
      <c r="N68" t="s">
        <v>192</v>
      </c>
      <c r="O68" t="s">
        <v>37</v>
      </c>
      <c r="P68" t="s">
        <v>39</v>
      </c>
      <c r="Q68" t="s">
        <v>38</v>
      </c>
      <c r="R68">
        <v>0</v>
      </c>
      <c r="S68" t="s">
        <v>38</v>
      </c>
      <c r="T68">
        <v>5</v>
      </c>
      <c r="U68">
        <v>5.9</v>
      </c>
      <c r="V68">
        <v>2.5</v>
      </c>
      <c r="W68" t="s">
        <v>39</v>
      </c>
      <c r="X68" t="s">
        <v>123</v>
      </c>
      <c r="Y68" t="s">
        <v>39</v>
      </c>
      <c r="Z68" t="s">
        <v>64</v>
      </c>
      <c r="AA68" t="s">
        <v>103</v>
      </c>
      <c r="AB68" t="s">
        <v>55</v>
      </c>
      <c r="AC68">
        <f t="shared" si="11"/>
        <v>0</v>
      </c>
      <c r="AD68" s="12">
        <f t="shared" si="15"/>
        <v>0</v>
      </c>
      <c r="AE68" s="12">
        <f t="shared" si="16"/>
        <v>1</v>
      </c>
      <c r="AF68">
        <f t="shared" si="12"/>
        <v>0</v>
      </c>
      <c r="AG68">
        <f t="shared" si="17"/>
        <v>0</v>
      </c>
      <c r="AH68">
        <f t="shared" si="18"/>
        <v>0</v>
      </c>
      <c r="AI68">
        <f t="shared" si="19"/>
        <v>0</v>
      </c>
      <c r="AJ68">
        <f t="shared" si="20"/>
        <v>0</v>
      </c>
      <c r="AK68">
        <f t="shared" si="13"/>
        <v>0</v>
      </c>
      <c r="AL68">
        <f t="shared" si="21"/>
        <v>0</v>
      </c>
    </row>
    <row r="69" spans="1:38">
      <c r="A69" t="s">
        <v>326</v>
      </c>
      <c r="B69" t="s">
        <v>327</v>
      </c>
      <c r="C69" s="1">
        <f t="shared" si="14"/>
        <v>45474</v>
      </c>
      <c r="D69" t="s">
        <v>328</v>
      </c>
      <c r="E69">
        <v>77.400000000000006</v>
      </c>
      <c r="F69">
        <v>3.2</v>
      </c>
      <c r="G69" t="s">
        <v>30</v>
      </c>
      <c r="H69" t="s">
        <v>31</v>
      </c>
      <c r="I69" t="s">
        <v>48</v>
      </c>
      <c r="J69">
        <v>120</v>
      </c>
      <c r="K69" t="s">
        <v>49</v>
      </c>
      <c r="L69" t="s">
        <v>34</v>
      </c>
      <c r="M69" t="s">
        <v>35</v>
      </c>
      <c r="N69" t="s">
        <v>144</v>
      </c>
      <c r="O69" t="s">
        <v>37</v>
      </c>
      <c r="P69" t="s">
        <v>39</v>
      </c>
      <c r="Q69" t="s">
        <v>38</v>
      </c>
      <c r="R69">
        <v>0</v>
      </c>
      <c r="S69" t="s">
        <v>38</v>
      </c>
      <c r="T69">
        <v>10</v>
      </c>
      <c r="U69">
        <v>2.4</v>
      </c>
      <c r="V69">
        <v>8.9</v>
      </c>
      <c r="W69" t="s">
        <v>39</v>
      </c>
      <c r="X69" t="s">
        <v>52</v>
      </c>
      <c r="Y69" t="s">
        <v>39</v>
      </c>
      <c r="Z69" t="s">
        <v>64</v>
      </c>
      <c r="AA69" t="s">
        <v>82</v>
      </c>
      <c r="AB69" t="s">
        <v>83</v>
      </c>
      <c r="AC69">
        <f t="shared" si="11"/>
        <v>1</v>
      </c>
      <c r="AD69" s="12">
        <f t="shared" si="15"/>
        <v>0</v>
      </c>
      <c r="AE69" s="12">
        <f t="shared" si="16"/>
        <v>0</v>
      </c>
      <c r="AF69">
        <f t="shared" si="12"/>
        <v>0</v>
      </c>
      <c r="AG69">
        <f t="shared" si="17"/>
        <v>0</v>
      </c>
      <c r="AH69">
        <f t="shared" si="18"/>
        <v>1</v>
      </c>
      <c r="AI69">
        <f t="shared" si="19"/>
        <v>0</v>
      </c>
      <c r="AJ69">
        <f t="shared" si="20"/>
        <v>0</v>
      </c>
      <c r="AK69">
        <f t="shared" si="13"/>
        <v>1</v>
      </c>
      <c r="AL69">
        <f t="shared" si="21"/>
        <v>0</v>
      </c>
    </row>
    <row r="70" spans="1:38">
      <c r="A70" t="s">
        <v>329</v>
      </c>
      <c r="B70" t="s">
        <v>330</v>
      </c>
      <c r="C70" s="1">
        <f t="shared" si="14"/>
        <v>45352</v>
      </c>
      <c r="D70" t="s">
        <v>331</v>
      </c>
      <c r="E70">
        <v>83.1</v>
      </c>
      <c r="F70">
        <v>3.5</v>
      </c>
      <c r="G70" t="s">
        <v>87</v>
      </c>
      <c r="H70" t="s">
        <v>183</v>
      </c>
      <c r="I70" t="s">
        <v>48</v>
      </c>
      <c r="J70">
        <v>120</v>
      </c>
      <c r="K70" t="s">
        <v>49</v>
      </c>
      <c r="L70" t="s">
        <v>96</v>
      </c>
      <c r="M70" t="s">
        <v>35</v>
      </c>
      <c r="N70" t="s">
        <v>89</v>
      </c>
      <c r="O70" t="s">
        <v>51</v>
      </c>
      <c r="P70" t="s">
        <v>39</v>
      </c>
      <c r="Q70" t="s">
        <v>38</v>
      </c>
      <c r="R70">
        <v>0</v>
      </c>
      <c r="S70" t="s">
        <v>38</v>
      </c>
      <c r="T70">
        <v>9</v>
      </c>
      <c r="U70">
        <v>1.8</v>
      </c>
      <c r="V70">
        <v>12.1</v>
      </c>
      <c r="W70" t="s">
        <v>39</v>
      </c>
      <c r="X70" t="s">
        <v>123</v>
      </c>
      <c r="Y70" t="s">
        <v>39</v>
      </c>
      <c r="Z70" t="s">
        <v>108</v>
      </c>
      <c r="AA70" t="s">
        <v>109</v>
      </c>
      <c r="AB70" t="s">
        <v>55</v>
      </c>
      <c r="AC70">
        <f t="shared" si="11"/>
        <v>0</v>
      </c>
      <c r="AD70" s="12">
        <f t="shared" si="15"/>
        <v>0</v>
      </c>
      <c r="AE70" s="12">
        <f t="shared" si="16"/>
        <v>1</v>
      </c>
      <c r="AF70">
        <f t="shared" si="12"/>
        <v>1</v>
      </c>
      <c r="AG70">
        <f t="shared" si="17"/>
        <v>0</v>
      </c>
      <c r="AH70">
        <f t="shared" si="18"/>
        <v>1</v>
      </c>
      <c r="AI70">
        <f t="shared" si="19"/>
        <v>0</v>
      </c>
      <c r="AJ70">
        <f t="shared" si="20"/>
        <v>0</v>
      </c>
      <c r="AK70">
        <f t="shared" si="13"/>
        <v>0</v>
      </c>
      <c r="AL70">
        <f t="shared" si="21"/>
        <v>0</v>
      </c>
    </row>
    <row r="71" spans="1:38">
      <c r="A71" t="s">
        <v>332</v>
      </c>
      <c r="B71" t="s">
        <v>333</v>
      </c>
      <c r="C71" s="1">
        <f t="shared" si="14"/>
        <v>45627</v>
      </c>
      <c r="D71" t="s">
        <v>334</v>
      </c>
      <c r="E71">
        <v>296.8</v>
      </c>
      <c r="F71">
        <v>12.4</v>
      </c>
      <c r="G71" t="s">
        <v>77</v>
      </c>
      <c r="H71" t="s">
        <v>187</v>
      </c>
      <c r="I71" t="s">
        <v>79</v>
      </c>
      <c r="J71">
        <v>360</v>
      </c>
      <c r="K71" t="s">
        <v>49</v>
      </c>
      <c r="L71" t="s">
        <v>34</v>
      </c>
      <c r="M71" t="s">
        <v>35</v>
      </c>
      <c r="N71" t="s">
        <v>138</v>
      </c>
      <c r="O71" t="s">
        <v>51</v>
      </c>
      <c r="P71" t="s">
        <v>39</v>
      </c>
      <c r="Q71" t="s">
        <v>38</v>
      </c>
      <c r="R71">
        <v>0</v>
      </c>
      <c r="S71" t="s">
        <v>38</v>
      </c>
      <c r="T71">
        <v>7</v>
      </c>
      <c r="U71">
        <v>2.6</v>
      </c>
      <c r="V71">
        <v>10</v>
      </c>
      <c r="W71" t="s">
        <v>39</v>
      </c>
      <c r="X71" t="s">
        <v>40</v>
      </c>
      <c r="Y71" t="s">
        <v>39</v>
      </c>
      <c r="Z71" t="s">
        <v>115</v>
      </c>
      <c r="AA71" t="s">
        <v>42</v>
      </c>
      <c r="AB71" t="s">
        <v>83</v>
      </c>
      <c r="AC71">
        <f t="shared" si="11"/>
        <v>0</v>
      </c>
      <c r="AD71" s="12">
        <f t="shared" si="15"/>
        <v>0</v>
      </c>
      <c r="AE71" s="12">
        <f t="shared" si="16"/>
        <v>0</v>
      </c>
      <c r="AF71">
        <f t="shared" si="12"/>
        <v>1</v>
      </c>
      <c r="AG71">
        <f t="shared" si="17"/>
        <v>0</v>
      </c>
      <c r="AH71">
        <f t="shared" si="18"/>
        <v>0</v>
      </c>
      <c r="AI71">
        <f t="shared" si="19"/>
        <v>0</v>
      </c>
      <c r="AJ71">
        <f t="shared" si="20"/>
        <v>0</v>
      </c>
      <c r="AK71">
        <f t="shared" si="13"/>
        <v>0</v>
      </c>
      <c r="AL71">
        <f t="shared" si="21"/>
        <v>0</v>
      </c>
    </row>
    <row r="72" spans="1:38">
      <c r="A72" t="s">
        <v>335</v>
      </c>
      <c r="B72" t="s">
        <v>336</v>
      </c>
      <c r="C72" s="1">
        <f t="shared" si="14"/>
        <v>45474</v>
      </c>
      <c r="D72" t="s">
        <v>337</v>
      </c>
      <c r="E72">
        <v>221.4</v>
      </c>
      <c r="F72">
        <v>9.1999999999999993</v>
      </c>
      <c r="G72" t="s">
        <v>30</v>
      </c>
      <c r="H72" t="s">
        <v>47</v>
      </c>
      <c r="I72" t="s">
        <v>32</v>
      </c>
      <c r="J72">
        <v>240</v>
      </c>
      <c r="K72" t="s">
        <v>49</v>
      </c>
      <c r="L72" t="s">
        <v>70</v>
      </c>
      <c r="M72" t="s">
        <v>35</v>
      </c>
      <c r="N72" t="s">
        <v>155</v>
      </c>
      <c r="O72" t="s">
        <v>51</v>
      </c>
      <c r="P72" t="s">
        <v>38</v>
      </c>
      <c r="Q72" t="s">
        <v>38</v>
      </c>
      <c r="R72">
        <v>1</v>
      </c>
      <c r="S72" t="s">
        <v>38</v>
      </c>
      <c r="T72">
        <v>6</v>
      </c>
      <c r="U72">
        <v>1.5</v>
      </c>
      <c r="V72">
        <v>8.4</v>
      </c>
      <c r="W72" t="s">
        <v>39</v>
      </c>
      <c r="X72" t="s">
        <v>52</v>
      </c>
      <c r="Y72" t="s">
        <v>38</v>
      </c>
      <c r="Z72" t="s">
        <v>41</v>
      </c>
      <c r="AA72" t="s">
        <v>103</v>
      </c>
      <c r="AB72" t="s">
        <v>83</v>
      </c>
      <c r="AC72">
        <f t="shared" si="11"/>
        <v>1</v>
      </c>
      <c r="AD72" s="12">
        <f t="shared" si="15"/>
        <v>0</v>
      </c>
      <c r="AE72" s="12">
        <f t="shared" si="16"/>
        <v>0</v>
      </c>
      <c r="AF72">
        <f t="shared" si="12"/>
        <v>1</v>
      </c>
      <c r="AG72">
        <f t="shared" si="17"/>
        <v>0</v>
      </c>
      <c r="AH72">
        <f t="shared" si="18"/>
        <v>0</v>
      </c>
      <c r="AI72">
        <f t="shared" si="19"/>
        <v>0</v>
      </c>
      <c r="AJ72">
        <f t="shared" si="20"/>
        <v>1</v>
      </c>
      <c r="AK72">
        <f t="shared" si="13"/>
        <v>1</v>
      </c>
      <c r="AL72">
        <f t="shared" si="21"/>
        <v>1</v>
      </c>
    </row>
    <row r="73" spans="1:38">
      <c r="A73" t="s">
        <v>338</v>
      </c>
      <c r="B73" t="s">
        <v>339</v>
      </c>
      <c r="C73" s="1">
        <f t="shared" si="14"/>
        <v>45292</v>
      </c>
      <c r="D73" t="s">
        <v>340</v>
      </c>
      <c r="E73">
        <v>399.2</v>
      </c>
      <c r="F73">
        <v>16.600000000000001</v>
      </c>
      <c r="G73" t="s">
        <v>77</v>
      </c>
      <c r="H73" t="s">
        <v>267</v>
      </c>
      <c r="I73" t="s">
        <v>79</v>
      </c>
      <c r="J73">
        <v>360</v>
      </c>
      <c r="K73" t="s">
        <v>33</v>
      </c>
      <c r="L73" t="s">
        <v>34</v>
      </c>
      <c r="M73" t="s">
        <v>35</v>
      </c>
      <c r="N73" t="s">
        <v>107</v>
      </c>
      <c r="O73" t="s">
        <v>37</v>
      </c>
      <c r="P73" t="s">
        <v>38</v>
      </c>
      <c r="Q73" t="s">
        <v>38</v>
      </c>
      <c r="R73">
        <v>1</v>
      </c>
      <c r="S73" t="s">
        <v>38</v>
      </c>
      <c r="T73">
        <v>2</v>
      </c>
      <c r="U73">
        <v>2.9</v>
      </c>
      <c r="V73">
        <v>4.8</v>
      </c>
      <c r="W73" t="s">
        <v>38</v>
      </c>
      <c r="X73" t="s">
        <v>52</v>
      </c>
      <c r="Y73" t="s">
        <v>39</v>
      </c>
      <c r="Z73" t="s">
        <v>179</v>
      </c>
      <c r="AA73" t="s">
        <v>42</v>
      </c>
      <c r="AB73" t="s">
        <v>83</v>
      </c>
      <c r="AC73">
        <f t="shared" si="11"/>
        <v>1</v>
      </c>
      <c r="AD73" s="12">
        <f t="shared" si="15"/>
        <v>0</v>
      </c>
      <c r="AE73" s="12">
        <f t="shared" si="16"/>
        <v>0</v>
      </c>
      <c r="AF73">
        <f t="shared" si="12"/>
        <v>0</v>
      </c>
      <c r="AG73">
        <f t="shared" si="17"/>
        <v>0</v>
      </c>
      <c r="AH73">
        <f t="shared" si="18"/>
        <v>0</v>
      </c>
      <c r="AI73">
        <f t="shared" si="19"/>
        <v>0</v>
      </c>
      <c r="AJ73">
        <f t="shared" si="20"/>
        <v>0</v>
      </c>
      <c r="AK73">
        <f t="shared" si="13"/>
        <v>0</v>
      </c>
      <c r="AL73">
        <f t="shared" si="21"/>
        <v>0</v>
      </c>
    </row>
    <row r="74" spans="1:38">
      <c r="A74" t="s">
        <v>341</v>
      </c>
      <c r="B74" t="s">
        <v>342</v>
      </c>
      <c r="C74" s="1">
        <f t="shared" si="14"/>
        <v>45323</v>
      </c>
      <c r="D74" t="s">
        <v>343</v>
      </c>
      <c r="E74">
        <v>481.4</v>
      </c>
      <c r="F74">
        <v>20.100000000000001</v>
      </c>
      <c r="G74" t="s">
        <v>68</v>
      </c>
      <c r="H74" t="s">
        <v>69</v>
      </c>
      <c r="I74" t="s">
        <v>32</v>
      </c>
      <c r="J74">
        <v>240</v>
      </c>
      <c r="K74" t="s">
        <v>33</v>
      </c>
      <c r="L74" t="s">
        <v>96</v>
      </c>
      <c r="M74" t="s">
        <v>35</v>
      </c>
      <c r="N74" t="s">
        <v>61</v>
      </c>
      <c r="O74" t="s">
        <v>51</v>
      </c>
      <c r="P74" t="s">
        <v>39</v>
      </c>
      <c r="Q74" t="s">
        <v>38</v>
      </c>
      <c r="R74">
        <v>0</v>
      </c>
      <c r="S74" t="s">
        <v>39</v>
      </c>
      <c r="T74">
        <v>7</v>
      </c>
      <c r="U74">
        <v>1.5</v>
      </c>
      <c r="V74">
        <v>35.1</v>
      </c>
      <c r="W74" t="s">
        <v>39</v>
      </c>
      <c r="X74" t="s">
        <v>123</v>
      </c>
      <c r="Y74" t="s">
        <v>39</v>
      </c>
      <c r="Z74" t="s">
        <v>115</v>
      </c>
      <c r="AA74" t="s">
        <v>103</v>
      </c>
      <c r="AB74" t="s">
        <v>83</v>
      </c>
      <c r="AC74">
        <f t="shared" si="11"/>
        <v>0</v>
      </c>
      <c r="AD74" s="12">
        <f t="shared" si="15"/>
        <v>0</v>
      </c>
      <c r="AE74" s="12">
        <f t="shared" si="16"/>
        <v>1</v>
      </c>
      <c r="AF74">
        <f t="shared" si="12"/>
        <v>1</v>
      </c>
      <c r="AG74">
        <f t="shared" si="17"/>
        <v>0</v>
      </c>
      <c r="AH74">
        <f t="shared" si="18"/>
        <v>0</v>
      </c>
      <c r="AI74">
        <f t="shared" si="19"/>
        <v>0</v>
      </c>
      <c r="AJ74">
        <f t="shared" si="20"/>
        <v>1</v>
      </c>
      <c r="AK74">
        <f t="shared" si="13"/>
        <v>0</v>
      </c>
      <c r="AL74">
        <f t="shared" si="21"/>
        <v>0</v>
      </c>
    </row>
    <row r="75" spans="1:38">
      <c r="A75" t="s">
        <v>344</v>
      </c>
      <c r="B75" t="s">
        <v>345</v>
      </c>
      <c r="C75" s="1">
        <f t="shared" si="14"/>
        <v>45627</v>
      </c>
      <c r="D75" t="s">
        <v>346</v>
      </c>
      <c r="E75">
        <v>149.5</v>
      </c>
      <c r="F75">
        <v>6.2</v>
      </c>
      <c r="G75" t="s">
        <v>30</v>
      </c>
      <c r="H75" t="s">
        <v>31</v>
      </c>
      <c r="I75" t="s">
        <v>32</v>
      </c>
      <c r="J75">
        <v>240</v>
      </c>
      <c r="K75" t="s">
        <v>49</v>
      </c>
      <c r="L75" t="s">
        <v>113</v>
      </c>
      <c r="M75" t="s">
        <v>35</v>
      </c>
      <c r="N75" t="s">
        <v>114</v>
      </c>
      <c r="O75" t="s">
        <v>51</v>
      </c>
      <c r="P75" t="s">
        <v>38</v>
      </c>
      <c r="Q75" t="s">
        <v>38</v>
      </c>
      <c r="R75">
        <v>1</v>
      </c>
      <c r="S75" t="s">
        <v>38</v>
      </c>
      <c r="T75">
        <v>7</v>
      </c>
      <c r="U75">
        <v>3.3</v>
      </c>
      <c r="V75">
        <v>34.1</v>
      </c>
      <c r="W75" t="s">
        <v>39</v>
      </c>
      <c r="X75" t="s">
        <v>52</v>
      </c>
      <c r="Y75" t="s">
        <v>38</v>
      </c>
      <c r="Z75" t="s">
        <v>115</v>
      </c>
      <c r="AA75" t="s">
        <v>103</v>
      </c>
      <c r="AB75" t="s">
        <v>43</v>
      </c>
      <c r="AC75">
        <f t="shared" si="11"/>
        <v>1</v>
      </c>
      <c r="AD75" s="12">
        <f t="shared" si="15"/>
        <v>0</v>
      </c>
      <c r="AE75" s="12">
        <f t="shared" si="16"/>
        <v>0</v>
      </c>
      <c r="AF75">
        <f t="shared" si="12"/>
        <v>1</v>
      </c>
      <c r="AG75">
        <f t="shared" si="17"/>
        <v>0</v>
      </c>
      <c r="AH75">
        <f t="shared" si="18"/>
        <v>0</v>
      </c>
      <c r="AI75">
        <f t="shared" si="19"/>
        <v>0</v>
      </c>
      <c r="AJ75">
        <f t="shared" si="20"/>
        <v>1</v>
      </c>
      <c r="AK75">
        <f t="shared" si="13"/>
        <v>1</v>
      </c>
      <c r="AL75">
        <f t="shared" si="21"/>
        <v>1</v>
      </c>
    </row>
    <row r="76" spans="1:38">
      <c r="A76" t="s">
        <v>347</v>
      </c>
      <c r="B76" t="s">
        <v>348</v>
      </c>
      <c r="C76" s="1">
        <f t="shared" si="14"/>
        <v>45413</v>
      </c>
      <c r="D76" t="s">
        <v>349</v>
      </c>
      <c r="E76">
        <v>205.9</v>
      </c>
      <c r="F76">
        <v>8.6</v>
      </c>
      <c r="G76" t="s">
        <v>142</v>
      </c>
      <c r="H76" t="s">
        <v>240</v>
      </c>
      <c r="I76" t="s">
        <v>32</v>
      </c>
      <c r="J76">
        <v>240</v>
      </c>
      <c r="K76" t="s">
        <v>49</v>
      </c>
      <c r="L76" t="s">
        <v>70</v>
      </c>
      <c r="M76" t="s">
        <v>35</v>
      </c>
      <c r="N76" t="s">
        <v>89</v>
      </c>
      <c r="O76" t="s">
        <v>37</v>
      </c>
      <c r="P76" t="s">
        <v>39</v>
      </c>
      <c r="Q76" t="s">
        <v>38</v>
      </c>
      <c r="R76">
        <v>0</v>
      </c>
      <c r="S76" t="s">
        <v>38</v>
      </c>
      <c r="T76">
        <v>10</v>
      </c>
      <c r="U76">
        <v>1.5</v>
      </c>
      <c r="V76">
        <v>27.9</v>
      </c>
      <c r="W76" t="s">
        <v>39</v>
      </c>
      <c r="X76" t="s">
        <v>52</v>
      </c>
      <c r="Y76" t="s">
        <v>39</v>
      </c>
      <c r="Z76" t="s">
        <v>73</v>
      </c>
      <c r="AA76" t="s">
        <v>42</v>
      </c>
      <c r="AB76" t="s">
        <v>43</v>
      </c>
      <c r="AC76">
        <f t="shared" si="11"/>
        <v>1</v>
      </c>
      <c r="AD76" s="12">
        <f t="shared" si="15"/>
        <v>0</v>
      </c>
      <c r="AE76" s="12">
        <f t="shared" si="16"/>
        <v>0</v>
      </c>
      <c r="AF76">
        <f t="shared" si="12"/>
        <v>0</v>
      </c>
      <c r="AG76">
        <f t="shared" si="17"/>
        <v>0</v>
      </c>
      <c r="AH76">
        <f t="shared" si="18"/>
        <v>0</v>
      </c>
      <c r="AI76">
        <f t="shared" si="19"/>
        <v>0</v>
      </c>
      <c r="AJ76">
        <f t="shared" si="20"/>
        <v>1</v>
      </c>
      <c r="AK76">
        <f t="shared" si="13"/>
        <v>0</v>
      </c>
      <c r="AL76">
        <f t="shared" si="21"/>
        <v>0</v>
      </c>
    </row>
    <row r="77" spans="1:38">
      <c r="A77" t="s">
        <v>350</v>
      </c>
      <c r="B77" t="s">
        <v>351</v>
      </c>
      <c r="C77" s="1">
        <f t="shared" si="14"/>
        <v>45323</v>
      </c>
      <c r="D77" t="s">
        <v>352</v>
      </c>
      <c r="E77">
        <v>280.2</v>
      </c>
      <c r="F77">
        <v>11.7</v>
      </c>
      <c r="G77" t="s">
        <v>77</v>
      </c>
      <c r="H77" t="s">
        <v>267</v>
      </c>
      <c r="I77" t="s">
        <v>79</v>
      </c>
      <c r="J77">
        <v>360</v>
      </c>
      <c r="K77" t="s">
        <v>49</v>
      </c>
      <c r="L77" t="s">
        <v>34</v>
      </c>
      <c r="M77" t="s">
        <v>35</v>
      </c>
      <c r="N77" t="s">
        <v>97</v>
      </c>
      <c r="O77" t="s">
        <v>37</v>
      </c>
      <c r="P77" t="s">
        <v>39</v>
      </c>
      <c r="Q77" t="s">
        <v>38</v>
      </c>
      <c r="R77">
        <v>0</v>
      </c>
      <c r="S77" t="s">
        <v>38</v>
      </c>
      <c r="T77">
        <v>9</v>
      </c>
      <c r="U77">
        <v>5.6</v>
      </c>
      <c r="V77">
        <v>0</v>
      </c>
      <c r="W77" t="s">
        <v>38</v>
      </c>
      <c r="X77" t="s">
        <v>123</v>
      </c>
      <c r="Y77" t="s">
        <v>38</v>
      </c>
      <c r="Z77" t="s">
        <v>179</v>
      </c>
      <c r="AA77" t="s">
        <v>54</v>
      </c>
      <c r="AB77" t="s">
        <v>55</v>
      </c>
      <c r="AC77">
        <f t="shared" si="11"/>
        <v>0</v>
      </c>
      <c r="AD77" s="12">
        <f t="shared" si="15"/>
        <v>0</v>
      </c>
      <c r="AE77" s="12">
        <f t="shared" si="16"/>
        <v>1</v>
      </c>
      <c r="AF77">
        <f t="shared" si="12"/>
        <v>0</v>
      </c>
      <c r="AG77">
        <f t="shared" si="17"/>
        <v>0</v>
      </c>
      <c r="AH77">
        <f t="shared" si="18"/>
        <v>0</v>
      </c>
      <c r="AI77">
        <f t="shared" si="19"/>
        <v>0</v>
      </c>
      <c r="AJ77">
        <f t="shared" si="20"/>
        <v>0</v>
      </c>
      <c r="AK77">
        <f t="shared" si="13"/>
        <v>0</v>
      </c>
      <c r="AL77">
        <f t="shared" si="21"/>
        <v>1</v>
      </c>
    </row>
    <row r="78" spans="1:38">
      <c r="A78" t="s">
        <v>353</v>
      </c>
      <c r="B78" t="s">
        <v>354</v>
      </c>
      <c r="C78" s="1">
        <f t="shared" si="14"/>
        <v>45323</v>
      </c>
      <c r="D78" t="s">
        <v>355</v>
      </c>
      <c r="E78">
        <v>104.4</v>
      </c>
      <c r="F78">
        <v>4.4000000000000004</v>
      </c>
      <c r="G78" t="s">
        <v>59</v>
      </c>
      <c r="H78" t="s">
        <v>227</v>
      </c>
      <c r="I78" t="s">
        <v>48</v>
      </c>
      <c r="J78">
        <v>120</v>
      </c>
      <c r="K78" t="s">
        <v>49</v>
      </c>
      <c r="L78" t="s">
        <v>70</v>
      </c>
      <c r="M78" t="s">
        <v>35</v>
      </c>
      <c r="N78" t="s">
        <v>36</v>
      </c>
      <c r="O78" t="s">
        <v>37</v>
      </c>
      <c r="P78" t="s">
        <v>38</v>
      </c>
      <c r="Q78" t="s">
        <v>38</v>
      </c>
      <c r="R78">
        <v>1</v>
      </c>
      <c r="S78" t="s">
        <v>38</v>
      </c>
      <c r="T78">
        <v>10</v>
      </c>
      <c r="U78">
        <v>3.4</v>
      </c>
      <c r="V78">
        <v>17.100000000000001</v>
      </c>
      <c r="W78" t="s">
        <v>39</v>
      </c>
      <c r="X78" t="s">
        <v>63</v>
      </c>
      <c r="Y78" t="s">
        <v>39</v>
      </c>
      <c r="Z78" t="s">
        <v>115</v>
      </c>
      <c r="AA78" t="s">
        <v>42</v>
      </c>
      <c r="AB78" t="s">
        <v>83</v>
      </c>
      <c r="AC78">
        <f t="shared" si="11"/>
        <v>0</v>
      </c>
      <c r="AD78" s="12">
        <f t="shared" si="15"/>
        <v>1</v>
      </c>
      <c r="AE78" s="12">
        <f t="shared" si="16"/>
        <v>0</v>
      </c>
      <c r="AF78">
        <f t="shared" si="12"/>
        <v>0</v>
      </c>
      <c r="AG78">
        <f t="shared" si="17"/>
        <v>0</v>
      </c>
      <c r="AH78">
        <f t="shared" si="18"/>
        <v>1</v>
      </c>
      <c r="AI78">
        <f t="shared" si="19"/>
        <v>0</v>
      </c>
      <c r="AJ78">
        <f t="shared" si="20"/>
        <v>0</v>
      </c>
      <c r="AK78">
        <f t="shared" si="13"/>
        <v>0</v>
      </c>
      <c r="AL78">
        <f t="shared" si="21"/>
        <v>0</v>
      </c>
    </row>
    <row r="79" spans="1:38">
      <c r="A79" t="s">
        <v>356</v>
      </c>
      <c r="B79" t="s">
        <v>357</v>
      </c>
      <c r="C79" s="1">
        <f t="shared" si="14"/>
        <v>45383</v>
      </c>
      <c r="D79" t="s">
        <v>358</v>
      </c>
      <c r="E79">
        <v>187.7</v>
      </c>
      <c r="F79">
        <v>7.8</v>
      </c>
      <c r="G79" t="s">
        <v>87</v>
      </c>
      <c r="H79" t="s">
        <v>309</v>
      </c>
      <c r="I79" t="s">
        <v>32</v>
      </c>
      <c r="J79">
        <v>240</v>
      </c>
      <c r="K79" t="s">
        <v>49</v>
      </c>
      <c r="L79" t="s">
        <v>70</v>
      </c>
      <c r="M79" t="s">
        <v>71</v>
      </c>
      <c r="N79" t="s">
        <v>144</v>
      </c>
      <c r="O79" t="s">
        <v>7232</v>
      </c>
      <c r="P79" t="s">
        <v>38</v>
      </c>
      <c r="Q79" t="s">
        <v>39</v>
      </c>
      <c r="R79">
        <v>4</v>
      </c>
      <c r="S79" t="s">
        <v>38</v>
      </c>
      <c r="T79">
        <v>10</v>
      </c>
      <c r="U79">
        <v>3.8</v>
      </c>
      <c r="V79">
        <v>12.4</v>
      </c>
      <c r="W79" t="s">
        <v>39</v>
      </c>
      <c r="X79" t="s">
        <v>123</v>
      </c>
      <c r="Y79" t="s">
        <v>38</v>
      </c>
      <c r="Z79" t="s">
        <v>41</v>
      </c>
      <c r="AA79" t="s">
        <v>103</v>
      </c>
      <c r="AB79" t="s">
        <v>55</v>
      </c>
      <c r="AC79">
        <f t="shared" si="11"/>
        <v>0</v>
      </c>
      <c r="AD79" s="12">
        <f t="shared" si="15"/>
        <v>0</v>
      </c>
      <c r="AE79" s="12">
        <f t="shared" si="16"/>
        <v>1</v>
      </c>
      <c r="AF79">
        <f t="shared" si="12"/>
        <v>0</v>
      </c>
      <c r="AG79">
        <f t="shared" si="17"/>
        <v>1</v>
      </c>
      <c r="AH79">
        <f t="shared" si="18"/>
        <v>0</v>
      </c>
      <c r="AI79">
        <f t="shared" si="19"/>
        <v>0</v>
      </c>
      <c r="AJ79">
        <f t="shared" si="20"/>
        <v>1</v>
      </c>
      <c r="AK79">
        <f t="shared" si="13"/>
        <v>0</v>
      </c>
      <c r="AL79">
        <f t="shared" si="21"/>
        <v>1</v>
      </c>
    </row>
    <row r="80" spans="1:38">
      <c r="A80" t="s">
        <v>359</v>
      </c>
      <c r="B80" t="s">
        <v>360</v>
      </c>
      <c r="C80" s="1">
        <f t="shared" si="14"/>
        <v>45383</v>
      </c>
      <c r="D80" t="s">
        <v>361</v>
      </c>
      <c r="E80">
        <v>401</v>
      </c>
      <c r="F80">
        <v>16.7</v>
      </c>
      <c r="G80" t="s">
        <v>77</v>
      </c>
      <c r="H80" t="s">
        <v>78</v>
      </c>
      <c r="I80" t="s">
        <v>79</v>
      </c>
      <c r="J80">
        <v>360</v>
      </c>
      <c r="K80" t="s">
        <v>33</v>
      </c>
      <c r="L80" t="s">
        <v>96</v>
      </c>
      <c r="M80" t="s">
        <v>35</v>
      </c>
      <c r="N80" t="s">
        <v>220</v>
      </c>
      <c r="O80" t="s">
        <v>37</v>
      </c>
      <c r="P80" t="s">
        <v>39</v>
      </c>
      <c r="Q80" t="s">
        <v>38</v>
      </c>
      <c r="R80">
        <v>0</v>
      </c>
      <c r="S80" t="s">
        <v>39</v>
      </c>
      <c r="T80">
        <v>8</v>
      </c>
      <c r="U80">
        <v>1.7</v>
      </c>
      <c r="V80">
        <v>0</v>
      </c>
      <c r="W80" t="s">
        <v>39</v>
      </c>
      <c r="X80" t="s">
        <v>63</v>
      </c>
      <c r="Y80" t="s">
        <v>38</v>
      </c>
      <c r="Z80" t="s">
        <v>64</v>
      </c>
      <c r="AA80" t="s">
        <v>54</v>
      </c>
      <c r="AB80" t="s">
        <v>83</v>
      </c>
      <c r="AC80">
        <f t="shared" si="11"/>
        <v>0</v>
      </c>
      <c r="AD80" s="12">
        <f t="shared" si="15"/>
        <v>1</v>
      </c>
      <c r="AE80" s="12">
        <f t="shared" si="16"/>
        <v>0</v>
      </c>
      <c r="AF80">
        <f t="shared" si="12"/>
        <v>0</v>
      </c>
      <c r="AG80">
        <f t="shared" si="17"/>
        <v>0</v>
      </c>
      <c r="AH80">
        <f t="shared" si="18"/>
        <v>0</v>
      </c>
      <c r="AI80">
        <f t="shared" si="19"/>
        <v>0</v>
      </c>
      <c r="AJ80">
        <f t="shared" si="20"/>
        <v>0</v>
      </c>
      <c r="AK80">
        <f t="shared" si="13"/>
        <v>0</v>
      </c>
      <c r="AL80">
        <f t="shared" si="21"/>
        <v>1</v>
      </c>
    </row>
    <row r="81" spans="1:38">
      <c r="A81" t="s">
        <v>362</v>
      </c>
      <c r="B81" t="s">
        <v>363</v>
      </c>
      <c r="C81" s="1">
        <f t="shared" si="14"/>
        <v>45627</v>
      </c>
      <c r="D81" t="s">
        <v>364</v>
      </c>
      <c r="E81">
        <v>176.8</v>
      </c>
      <c r="F81">
        <v>7.4</v>
      </c>
      <c r="G81" t="s">
        <v>77</v>
      </c>
      <c r="H81" t="s">
        <v>78</v>
      </c>
      <c r="I81" t="s">
        <v>32</v>
      </c>
      <c r="J81">
        <v>240</v>
      </c>
      <c r="K81" t="s">
        <v>49</v>
      </c>
      <c r="L81" t="s">
        <v>133</v>
      </c>
      <c r="M81" t="s">
        <v>35</v>
      </c>
      <c r="N81" t="s">
        <v>107</v>
      </c>
      <c r="O81" t="s">
        <v>7232</v>
      </c>
      <c r="P81" t="s">
        <v>39</v>
      </c>
      <c r="Q81" t="s">
        <v>38</v>
      </c>
      <c r="R81">
        <v>0</v>
      </c>
      <c r="S81" t="s">
        <v>39</v>
      </c>
      <c r="T81">
        <v>7</v>
      </c>
      <c r="U81">
        <v>3.8</v>
      </c>
      <c r="V81">
        <v>29.8</v>
      </c>
      <c r="W81" t="s">
        <v>39</v>
      </c>
      <c r="X81" t="s">
        <v>63</v>
      </c>
      <c r="Y81" t="s">
        <v>38</v>
      </c>
      <c r="Z81" t="s">
        <v>108</v>
      </c>
      <c r="AA81" t="s">
        <v>82</v>
      </c>
      <c r="AB81" t="s">
        <v>43</v>
      </c>
      <c r="AC81">
        <f t="shared" si="11"/>
        <v>0</v>
      </c>
      <c r="AD81" s="12">
        <f t="shared" si="15"/>
        <v>1</v>
      </c>
      <c r="AE81" s="12">
        <f t="shared" si="16"/>
        <v>0</v>
      </c>
      <c r="AF81">
        <f t="shared" si="12"/>
        <v>0</v>
      </c>
      <c r="AG81">
        <f t="shared" si="17"/>
        <v>1</v>
      </c>
      <c r="AH81">
        <f t="shared" si="18"/>
        <v>0</v>
      </c>
      <c r="AI81">
        <f t="shared" si="19"/>
        <v>0</v>
      </c>
      <c r="AJ81">
        <f t="shared" si="20"/>
        <v>1</v>
      </c>
      <c r="AK81">
        <f t="shared" si="13"/>
        <v>0</v>
      </c>
      <c r="AL81">
        <f t="shared" si="21"/>
        <v>1</v>
      </c>
    </row>
    <row r="82" spans="1:38">
      <c r="A82" t="s">
        <v>365</v>
      </c>
      <c r="B82" t="s">
        <v>366</v>
      </c>
      <c r="C82" s="1">
        <f t="shared" si="14"/>
        <v>45474</v>
      </c>
      <c r="D82" t="s">
        <v>367</v>
      </c>
      <c r="E82">
        <v>263.89999999999998</v>
      </c>
      <c r="F82">
        <v>11</v>
      </c>
      <c r="G82" t="s">
        <v>101</v>
      </c>
      <c r="H82" t="s">
        <v>368</v>
      </c>
      <c r="I82" t="s">
        <v>32</v>
      </c>
      <c r="J82">
        <v>240</v>
      </c>
      <c r="K82" t="s">
        <v>33</v>
      </c>
      <c r="L82" t="s">
        <v>96</v>
      </c>
      <c r="M82" t="s">
        <v>35</v>
      </c>
      <c r="N82" t="s">
        <v>220</v>
      </c>
      <c r="O82" t="s">
        <v>7232</v>
      </c>
      <c r="P82" t="s">
        <v>39</v>
      </c>
      <c r="Q82" t="s">
        <v>38</v>
      </c>
      <c r="R82">
        <v>0</v>
      </c>
      <c r="S82" t="s">
        <v>39</v>
      </c>
      <c r="T82">
        <v>8</v>
      </c>
      <c r="U82">
        <v>4.5</v>
      </c>
      <c r="V82">
        <v>27.1</v>
      </c>
      <c r="W82" t="s">
        <v>39</v>
      </c>
      <c r="X82" t="s">
        <v>40</v>
      </c>
      <c r="Y82" t="s">
        <v>38</v>
      </c>
      <c r="Z82" t="s">
        <v>41</v>
      </c>
      <c r="AA82" t="s">
        <v>82</v>
      </c>
      <c r="AB82" t="s">
        <v>43</v>
      </c>
      <c r="AC82">
        <f t="shared" si="11"/>
        <v>0</v>
      </c>
      <c r="AD82" s="12">
        <f t="shared" si="15"/>
        <v>0</v>
      </c>
      <c r="AE82" s="12">
        <f t="shared" si="16"/>
        <v>0</v>
      </c>
      <c r="AF82">
        <f t="shared" si="12"/>
        <v>0</v>
      </c>
      <c r="AG82">
        <f t="shared" si="17"/>
        <v>1</v>
      </c>
      <c r="AH82">
        <f t="shared" si="18"/>
        <v>0</v>
      </c>
      <c r="AI82">
        <f t="shared" si="19"/>
        <v>0</v>
      </c>
      <c r="AJ82">
        <f t="shared" si="20"/>
        <v>1</v>
      </c>
      <c r="AK82">
        <f t="shared" si="13"/>
        <v>0</v>
      </c>
      <c r="AL82">
        <f t="shared" si="21"/>
        <v>1</v>
      </c>
    </row>
    <row r="83" spans="1:38">
      <c r="A83" t="s">
        <v>369</v>
      </c>
      <c r="B83" t="s">
        <v>370</v>
      </c>
      <c r="C83" s="1">
        <f t="shared" si="14"/>
        <v>45383</v>
      </c>
      <c r="D83" t="s">
        <v>371</v>
      </c>
      <c r="E83">
        <v>214.8</v>
      </c>
      <c r="F83">
        <v>9</v>
      </c>
      <c r="G83" t="s">
        <v>101</v>
      </c>
      <c r="H83" t="s">
        <v>368</v>
      </c>
      <c r="I83" t="s">
        <v>32</v>
      </c>
      <c r="J83">
        <v>240</v>
      </c>
      <c r="K83" t="s">
        <v>49</v>
      </c>
      <c r="L83" t="s">
        <v>70</v>
      </c>
      <c r="M83" t="s">
        <v>35</v>
      </c>
      <c r="N83" t="s">
        <v>188</v>
      </c>
      <c r="O83" t="s">
        <v>51</v>
      </c>
      <c r="P83" t="s">
        <v>38</v>
      </c>
      <c r="Q83" t="s">
        <v>38</v>
      </c>
      <c r="R83">
        <v>1</v>
      </c>
      <c r="S83" t="s">
        <v>38</v>
      </c>
      <c r="T83">
        <v>7</v>
      </c>
      <c r="U83">
        <v>0.7</v>
      </c>
      <c r="V83">
        <v>0</v>
      </c>
      <c r="W83" t="s">
        <v>38</v>
      </c>
      <c r="X83" t="s">
        <v>63</v>
      </c>
      <c r="Y83" t="s">
        <v>39</v>
      </c>
      <c r="Z83" t="s">
        <v>41</v>
      </c>
      <c r="AA83" t="s">
        <v>42</v>
      </c>
      <c r="AB83" t="s">
        <v>55</v>
      </c>
      <c r="AC83">
        <f t="shared" si="11"/>
        <v>0</v>
      </c>
      <c r="AD83" s="12">
        <f t="shared" si="15"/>
        <v>1</v>
      </c>
      <c r="AE83" s="12">
        <f t="shared" si="16"/>
        <v>0</v>
      </c>
      <c r="AF83">
        <f t="shared" si="12"/>
        <v>1</v>
      </c>
      <c r="AG83">
        <f t="shared" si="17"/>
        <v>0</v>
      </c>
      <c r="AH83">
        <f t="shared" si="18"/>
        <v>0</v>
      </c>
      <c r="AI83">
        <f t="shared" si="19"/>
        <v>0</v>
      </c>
      <c r="AJ83">
        <f t="shared" si="20"/>
        <v>1</v>
      </c>
      <c r="AK83">
        <f t="shared" si="13"/>
        <v>0</v>
      </c>
      <c r="AL83">
        <f t="shared" si="21"/>
        <v>0</v>
      </c>
    </row>
    <row r="84" spans="1:38">
      <c r="A84" t="s">
        <v>372</v>
      </c>
      <c r="B84" t="s">
        <v>373</v>
      </c>
      <c r="C84" s="1">
        <f t="shared" si="14"/>
        <v>45323</v>
      </c>
      <c r="D84" t="s">
        <v>374</v>
      </c>
      <c r="E84">
        <v>875.7</v>
      </c>
      <c r="F84">
        <v>36.5</v>
      </c>
      <c r="G84" t="s">
        <v>30</v>
      </c>
      <c r="H84" t="s">
        <v>31</v>
      </c>
      <c r="I84" t="s">
        <v>79</v>
      </c>
      <c r="J84">
        <v>360</v>
      </c>
      <c r="K84" t="s">
        <v>33</v>
      </c>
      <c r="L84" t="s">
        <v>70</v>
      </c>
      <c r="M84" t="s">
        <v>35</v>
      </c>
      <c r="N84" t="s">
        <v>277</v>
      </c>
      <c r="O84" t="s">
        <v>51</v>
      </c>
      <c r="P84" t="s">
        <v>38</v>
      </c>
      <c r="Q84" t="s">
        <v>38</v>
      </c>
      <c r="R84">
        <v>1</v>
      </c>
      <c r="S84" t="s">
        <v>38</v>
      </c>
      <c r="T84">
        <v>4</v>
      </c>
      <c r="U84">
        <v>1.7</v>
      </c>
      <c r="V84">
        <v>9.4</v>
      </c>
      <c r="W84" t="s">
        <v>39</v>
      </c>
      <c r="X84" t="s">
        <v>52</v>
      </c>
      <c r="Y84" t="s">
        <v>39</v>
      </c>
      <c r="Z84" t="s">
        <v>81</v>
      </c>
      <c r="AA84" t="s">
        <v>54</v>
      </c>
      <c r="AB84" t="s">
        <v>83</v>
      </c>
      <c r="AC84">
        <f t="shared" si="11"/>
        <v>1</v>
      </c>
      <c r="AD84" s="12">
        <f t="shared" si="15"/>
        <v>0</v>
      </c>
      <c r="AE84" s="12">
        <f t="shared" si="16"/>
        <v>0</v>
      </c>
      <c r="AF84">
        <f t="shared" si="12"/>
        <v>1</v>
      </c>
      <c r="AG84">
        <f t="shared" si="17"/>
        <v>0</v>
      </c>
      <c r="AH84">
        <f t="shared" si="18"/>
        <v>0</v>
      </c>
      <c r="AI84">
        <f t="shared" si="19"/>
        <v>0</v>
      </c>
      <c r="AJ84">
        <f t="shared" si="20"/>
        <v>0</v>
      </c>
      <c r="AK84">
        <f t="shared" si="13"/>
        <v>1</v>
      </c>
      <c r="AL84">
        <f t="shared" si="21"/>
        <v>0</v>
      </c>
    </row>
    <row r="85" spans="1:38">
      <c r="A85" t="s">
        <v>375</v>
      </c>
      <c r="B85" t="s">
        <v>376</v>
      </c>
      <c r="C85" s="1">
        <f t="shared" si="14"/>
        <v>45292</v>
      </c>
      <c r="D85" t="s">
        <v>377</v>
      </c>
      <c r="E85">
        <v>232.3</v>
      </c>
      <c r="F85">
        <v>9.6999999999999993</v>
      </c>
      <c r="G85" t="s">
        <v>77</v>
      </c>
      <c r="H85" t="s">
        <v>187</v>
      </c>
      <c r="I85" t="s">
        <v>79</v>
      </c>
      <c r="J85">
        <v>360</v>
      </c>
      <c r="K85" t="s">
        <v>49</v>
      </c>
      <c r="L85" t="s">
        <v>34</v>
      </c>
      <c r="M85" t="s">
        <v>35</v>
      </c>
      <c r="N85" t="s">
        <v>89</v>
      </c>
      <c r="O85" t="s">
        <v>51</v>
      </c>
      <c r="P85" t="s">
        <v>39</v>
      </c>
      <c r="Q85" t="s">
        <v>38</v>
      </c>
      <c r="R85">
        <v>0</v>
      </c>
      <c r="S85" t="s">
        <v>38</v>
      </c>
      <c r="T85">
        <v>10</v>
      </c>
      <c r="U85">
        <v>2.6</v>
      </c>
      <c r="V85">
        <v>52.1</v>
      </c>
      <c r="W85" t="s">
        <v>38</v>
      </c>
      <c r="X85" t="s">
        <v>52</v>
      </c>
      <c r="Y85" t="s">
        <v>39</v>
      </c>
      <c r="Z85" t="s">
        <v>179</v>
      </c>
      <c r="AA85" t="s">
        <v>54</v>
      </c>
      <c r="AB85" t="s">
        <v>83</v>
      </c>
      <c r="AC85">
        <f t="shared" si="11"/>
        <v>1</v>
      </c>
      <c r="AD85" s="12">
        <f t="shared" si="15"/>
        <v>0</v>
      </c>
      <c r="AE85" s="12">
        <f t="shared" si="16"/>
        <v>0</v>
      </c>
      <c r="AF85">
        <f t="shared" si="12"/>
        <v>1</v>
      </c>
      <c r="AG85">
        <f t="shared" si="17"/>
        <v>0</v>
      </c>
      <c r="AH85">
        <f t="shared" si="18"/>
        <v>0</v>
      </c>
      <c r="AI85">
        <f t="shared" si="19"/>
        <v>0</v>
      </c>
      <c r="AJ85">
        <f t="shared" si="20"/>
        <v>0</v>
      </c>
      <c r="AK85">
        <f t="shared" si="13"/>
        <v>0</v>
      </c>
      <c r="AL85">
        <f t="shared" si="21"/>
        <v>0</v>
      </c>
    </row>
    <row r="86" spans="1:38">
      <c r="A86" t="s">
        <v>378</v>
      </c>
      <c r="B86" t="s">
        <v>379</v>
      </c>
      <c r="C86" s="1">
        <f t="shared" si="14"/>
        <v>45627</v>
      </c>
      <c r="D86" t="s">
        <v>380</v>
      </c>
      <c r="E86">
        <v>276.7</v>
      </c>
      <c r="F86">
        <v>11.5</v>
      </c>
      <c r="G86" t="s">
        <v>30</v>
      </c>
      <c r="H86" t="s">
        <v>31</v>
      </c>
      <c r="I86" t="s">
        <v>32</v>
      </c>
      <c r="J86">
        <v>240</v>
      </c>
      <c r="K86" t="s">
        <v>33</v>
      </c>
      <c r="L86" t="s">
        <v>133</v>
      </c>
      <c r="M86" t="s">
        <v>71</v>
      </c>
      <c r="N86" t="s">
        <v>138</v>
      </c>
      <c r="O86" t="s">
        <v>51</v>
      </c>
      <c r="P86" t="s">
        <v>38</v>
      </c>
      <c r="Q86" t="s">
        <v>39</v>
      </c>
      <c r="R86">
        <v>1</v>
      </c>
      <c r="S86" t="s">
        <v>39</v>
      </c>
      <c r="T86">
        <v>7</v>
      </c>
      <c r="U86">
        <v>2.5</v>
      </c>
      <c r="V86">
        <v>34.200000000000003</v>
      </c>
      <c r="W86" t="s">
        <v>38</v>
      </c>
      <c r="X86" t="s">
        <v>40</v>
      </c>
      <c r="Y86" t="s">
        <v>38</v>
      </c>
      <c r="Z86" t="s">
        <v>53</v>
      </c>
      <c r="AA86" t="s">
        <v>54</v>
      </c>
      <c r="AB86" t="s">
        <v>83</v>
      </c>
      <c r="AC86">
        <f t="shared" si="11"/>
        <v>0</v>
      </c>
      <c r="AD86" s="12">
        <f t="shared" si="15"/>
        <v>0</v>
      </c>
      <c r="AE86" s="12">
        <f t="shared" si="16"/>
        <v>0</v>
      </c>
      <c r="AF86">
        <f t="shared" si="12"/>
        <v>1</v>
      </c>
      <c r="AG86">
        <f t="shared" si="17"/>
        <v>0</v>
      </c>
      <c r="AH86">
        <f t="shared" si="18"/>
        <v>0</v>
      </c>
      <c r="AI86">
        <f t="shared" si="19"/>
        <v>0</v>
      </c>
      <c r="AJ86">
        <f t="shared" si="20"/>
        <v>1</v>
      </c>
      <c r="AK86">
        <f t="shared" si="13"/>
        <v>1</v>
      </c>
      <c r="AL86">
        <f t="shared" si="21"/>
        <v>1</v>
      </c>
    </row>
    <row r="87" spans="1:38">
      <c r="A87" t="s">
        <v>381</v>
      </c>
      <c r="B87" t="s">
        <v>382</v>
      </c>
      <c r="C87" s="1">
        <f t="shared" si="14"/>
        <v>45474</v>
      </c>
      <c r="D87" t="s">
        <v>383</v>
      </c>
      <c r="E87">
        <v>178.7</v>
      </c>
      <c r="F87">
        <v>7.4</v>
      </c>
      <c r="G87" t="s">
        <v>30</v>
      </c>
      <c r="H87" t="s">
        <v>47</v>
      </c>
      <c r="I87" t="s">
        <v>32</v>
      </c>
      <c r="J87">
        <v>240</v>
      </c>
      <c r="K87" t="s">
        <v>49</v>
      </c>
      <c r="L87" t="s">
        <v>113</v>
      </c>
      <c r="M87" t="s">
        <v>35</v>
      </c>
      <c r="N87" t="s">
        <v>155</v>
      </c>
      <c r="O87" t="s">
        <v>51</v>
      </c>
      <c r="P87" t="s">
        <v>38</v>
      </c>
      <c r="Q87" t="s">
        <v>38</v>
      </c>
      <c r="R87">
        <v>1</v>
      </c>
      <c r="S87" t="s">
        <v>38</v>
      </c>
      <c r="T87">
        <v>10</v>
      </c>
      <c r="U87">
        <v>2.4</v>
      </c>
      <c r="V87">
        <v>23</v>
      </c>
      <c r="W87" t="s">
        <v>39</v>
      </c>
      <c r="X87" t="s">
        <v>123</v>
      </c>
      <c r="Y87" t="s">
        <v>39</v>
      </c>
      <c r="Z87" t="s">
        <v>41</v>
      </c>
      <c r="AA87" t="s">
        <v>42</v>
      </c>
      <c r="AB87" t="s">
        <v>83</v>
      </c>
      <c r="AC87">
        <f t="shared" si="11"/>
        <v>0</v>
      </c>
      <c r="AD87" s="12">
        <f t="shared" si="15"/>
        <v>0</v>
      </c>
      <c r="AE87" s="12">
        <f t="shared" si="16"/>
        <v>1</v>
      </c>
      <c r="AF87">
        <f t="shared" si="12"/>
        <v>1</v>
      </c>
      <c r="AG87">
        <f t="shared" si="17"/>
        <v>0</v>
      </c>
      <c r="AH87">
        <f t="shared" si="18"/>
        <v>0</v>
      </c>
      <c r="AI87">
        <f t="shared" si="19"/>
        <v>0</v>
      </c>
      <c r="AJ87">
        <f t="shared" si="20"/>
        <v>1</v>
      </c>
      <c r="AK87">
        <f t="shared" si="13"/>
        <v>1</v>
      </c>
      <c r="AL87">
        <f t="shared" si="21"/>
        <v>0</v>
      </c>
    </row>
    <row r="88" spans="1:38">
      <c r="A88" t="s">
        <v>384</v>
      </c>
      <c r="B88" t="s">
        <v>385</v>
      </c>
      <c r="C88" s="1">
        <f t="shared" si="14"/>
        <v>45292</v>
      </c>
      <c r="D88" t="s">
        <v>386</v>
      </c>
      <c r="E88">
        <v>341.5</v>
      </c>
      <c r="F88">
        <v>14.2</v>
      </c>
      <c r="G88" t="s">
        <v>93</v>
      </c>
      <c r="H88" t="s">
        <v>163</v>
      </c>
      <c r="I88" t="s">
        <v>79</v>
      </c>
      <c r="J88">
        <v>360</v>
      </c>
      <c r="K88" t="s">
        <v>49</v>
      </c>
      <c r="L88" t="s">
        <v>96</v>
      </c>
      <c r="M88" t="s">
        <v>35</v>
      </c>
      <c r="N88" t="s">
        <v>299</v>
      </c>
      <c r="O88" t="s">
        <v>37</v>
      </c>
      <c r="P88" t="s">
        <v>38</v>
      </c>
      <c r="Q88" t="s">
        <v>38</v>
      </c>
      <c r="R88">
        <v>1</v>
      </c>
      <c r="S88" t="s">
        <v>38</v>
      </c>
      <c r="T88">
        <v>9</v>
      </c>
      <c r="U88">
        <v>5.4</v>
      </c>
      <c r="V88">
        <v>22.4</v>
      </c>
      <c r="W88" t="s">
        <v>38</v>
      </c>
      <c r="X88" t="s">
        <v>63</v>
      </c>
      <c r="Y88" t="s">
        <v>38</v>
      </c>
      <c r="Z88" t="s">
        <v>115</v>
      </c>
      <c r="AA88" t="s">
        <v>42</v>
      </c>
      <c r="AB88" t="s">
        <v>83</v>
      </c>
      <c r="AC88">
        <f t="shared" si="11"/>
        <v>0</v>
      </c>
      <c r="AD88" s="12">
        <f t="shared" si="15"/>
        <v>1</v>
      </c>
      <c r="AE88" s="12">
        <f t="shared" si="16"/>
        <v>0</v>
      </c>
      <c r="AF88">
        <f t="shared" si="12"/>
        <v>0</v>
      </c>
      <c r="AG88">
        <f t="shared" si="17"/>
        <v>0</v>
      </c>
      <c r="AH88">
        <f t="shared" si="18"/>
        <v>0</v>
      </c>
      <c r="AI88">
        <f t="shared" si="19"/>
        <v>0</v>
      </c>
      <c r="AJ88">
        <f t="shared" si="20"/>
        <v>0</v>
      </c>
      <c r="AK88">
        <f t="shared" si="13"/>
        <v>0</v>
      </c>
      <c r="AL88">
        <f t="shared" si="21"/>
        <v>1</v>
      </c>
    </row>
    <row r="89" spans="1:38">
      <c r="A89" t="s">
        <v>387</v>
      </c>
      <c r="B89" t="s">
        <v>388</v>
      </c>
      <c r="C89" s="1">
        <f t="shared" si="14"/>
        <v>45413</v>
      </c>
      <c r="D89" t="s">
        <v>389</v>
      </c>
      <c r="E89">
        <v>111.1</v>
      </c>
      <c r="F89">
        <v>4.5999999999999996</v>
      </c>
      <c r="G89" t="s">
        <v>101</v>
      </c>
      <c r="H89" t="s">
        <v>368</v>
      </c>
      <c r="I89" t="s">
        <v>48</v>
      </c>
      <c r="J89">
        <v>120</v>
      </c>
      <c r="K89" t="s">
        <v>49</v>
      </c>
      <c r="L89" t="s">
        <v>96</v>
      </c>
      <c r="M89" t="s">
        <v>35</v>
      </c>
      <c r="N89" t="s">
        <v>188</v>
      </c>
      <c r="O89" t="s">
        <v>37</v>
      </c>
      <c r="P89" t="s">
        <v>39</v>
      </c>
      <c r="Q89" t="s">
        <v>38</v>
      </c>
      <c r="R89">
        <v>0</v>
      </c>
      <c r="S89" t="s">
        <v>38</v>
      </c>
      <c r="T89">
        <v>10</v>
      </c>
      <c r="U89">
        <v>3.4</v>
      </c>
      <c r="V89">
        <v>48.3</v>
      </c>
      <c r="W89" t="s">
        <v>38</v>
      </c>
      <c r="X89" t="s">
        <v>63</v>
      </c>
      <c r="Y89" t="s">
        <v>39</v>
      </c>
      <c r="Z89" t="s">
        <v>64</v>
      </c>
      <c r="AA89" t="s">
        <v>82</v>
      </c>
      <c r="AB89" t="s">
        <v>83</v>
      </c>
      <c r="AC89">
        <f t="shared" si="11"/>
        <v>0</v>
      </c>
      <c r="AD89" s="12">
        <f t="shared" si="15"/>
        <v>1</v>
      </c>
      <c r="AE89" s="12">
        <f t="shared" si="16"/>
        <v>0</v>
      </c>
      <c r="AF89">
        <f t="shared" si="12"/>
        <v>0</v>
      </c>
      <c r="AG89">
        <f t="shared" si="17"/>
        <v>0</v>
      </c>
      <c r="AH89">
        <f t="shared" si="18"/>
        <v>1</v>
      </c>
      <c r="AI89">
        <f t="shared" si="19"/>
        <v>0</v>
      </c>
      <c r="AJ89">
        <f t="shared" si="20"/>
        <v>0</v>
      </c>
      <c r="AK89">
        <f t="shared" si="13"/>
        <v>0</v>
      </c>
      <c r="AL89">
        <f t="shared" si="21"/>
        <v>0</v>
      </c>
    </row>
    <row r="90" spans="1:38">
      <c r="A90" t="s">
        <v>390</v>
      </c>
      <c r="B90" t="s">
        <v>391</v>
      </c>
      <c r="C90" s="1">
        <f t="shared" si="14"/>
        <v>45292</v>
      </c>
      <c r="D90" t="s">
        <v>392</v>
      </c>
      <c r="E90">
        <v>234.5</v>
      </c>
      <c r="F90">
        <v>9.8000000000000007</v>
      </c>
      <c r="G90" t="s">
        <v>30</v>
      </c>
      <c r="H90" t="s">
        <v>172</v>
      </c>
      <c r="I90" t="s">
        <v>79</v>
      </c>
      <c r="J90">
        <v>360</v>
      </c>
      <c r="K90" t="s">
        <v>49</v>
      </c>
      <c r="L90" t="s">
        <v>96</v>
      </c>
      <c r="M90" t="s">
        <v>35</v>
      </c>
      <c r="N90" t="s">
        <v>72</v>
      </c>
      <c r="O90" t="s">
        <v>51</v>
      </c>
      <c r="P90" t="s">
        <v>39</v>
      </c>
      <c r="Q90" t="s">
        <v>38</v>
      </c>
      <c r="R90">
        <v>0</v>
      </c>
      <c r="S90" t="s">
        <v>38</v>
      </c>
      <c r="T90">
        <v>10</v>
      </c>
      <c r="U90">
        <v>3.5</v>
      </c>
      <c r="V90">
        <v>25.4</v>
      </c>
      <c r="W90" t="s">
        <v>39</v>
      </c>
      <c r="X90" t="s">
        <v>52</v>
      </c>
      <c r="Y90" t="s">
        <v>39</v>
      </c>
      <c r="Z90" t="s">
        <v>108</v>
      </c>
      <c r="AA90" t="s">
        <v>103</v>
      </c>
      <c r="AB90" t="s">
        <v>83</v>
      </c>
      <c r="AC90">
        <f t="shared" si="11"/>
        <v>1</v>
      </c>
      <c r="AD90" s="12">
        <f t="shared" si="15"/>
        <v>0</v>
      </c>
      <c r="AE90" s="12">
        <f t="shared" si="16"/>
        <v>0</v>
      </c>
      <c r="AF90">
        <f t="shared" si="12"/>
        <v>1</v>
      </c>
      <c r="AG90">
        <f t="shared" si="17"/>
        <v>0</v>
      </c>
      <c r="AH90">
        <f t="shared" si="18"/>
        <v>0</v>
      </c>
      <c r="AI90">
        <f t="shared" si="19"/>
        <v>0</v>
      </c>
      <c r="AJ90">
        <f t="shared" si="20"/>
        <v>0</v>
      </c>
      <c r="AK90">
        <f t="shared" si="13"/>
        <v>1</v>
      </c>
      <c r="AL90">
        <f t="shared" si="21"/>
        <v>0</v>
      </c>
    </row>
    <row r="91" spans="1:38">
      <c r="A91" t="s">
        <v>393</v>
      </c>
      <c r="B91" t="s">
        <v>394</v>
      </c>
      <c r="C91" s="1">
        <f t="shared" si="14"/>
        <v>45292</v>
      </c>
      <c r="D91" t="s">
        <v>395</v>
      </c>
      <c r="E91">
        <v>229.6</v>
      </c>
      <c r="F91">
        <v>9.6</v>
      </c>
      <c r="G91" t="s">
        <v>77</v>
      </c>
      <c r="H91" t="s">
        <v>267</v>
      </c>
      <c r="I91" t="s">
        <v>79</v>
      </c>
      <c r="J91">
        <v>360</v>
      </c>
      <c r="K91" t="s">
        <v>49</v>
      </c>
      <c r="L91" t="s">
        <v>70</v>
      </c>
      <c r="M91" t="s">
        <v>35</v>
      </c>
      <c r="N91" t="s">
        <v>119</v>
      </c>
      <c r="O91" t="s">
        <v>51</v>
      </c>
      <c r="P91" t="s">
        <v>39</v>
      </c>
      <c r="Q91" t="s">
        <v>38</v>
      </c>
      <c r="R91">
        <v>0</v>
      </c>
      <c r="S91" t="s">
        <v>38</v>
      </c>
      <c r="T91">
        <v>10</v>
      </c>
      <c r="U91">
        <v>2.7</v>
      </c>
      <c r="V91">
        <v>21.2</v>
      </c>
      <c r="W91" t="s">
        <v>39</v>
      </c>
      <c r="X91" t="s">
        <v>63</v>
      </c>
      <c r="Y91" t="s">
        <v>39</v>
      </c>
      <c r="Z91" t="s">
        <v>53</v>
      </c>
      <c r="AA91" t="s">
        <v>82</v>
      </c>
      <c r="AB91" t="s">
        <v>55</v>
      </c>
      <c r="AC91">
        <f t="shared" si="11"/>
        <v>0</v>
      </c>
      <c r="AD91" s="12">
        <f t="shared" si="15"/>
        <v>1</v>
      </c>
      <c r="AE91" s="12">
        <f t="shared" si="16"/>
        <v>0</v>
      </c>
      <c r="AF91">
        <f t="shared" si="12"/>
        <v>1</v>
      </c>
      <c r="AG91">
        <f t="shared" si="17"/>
        <v>0</v>
      </c>
      <c r="AH91">
        <f t="shared" si="18"/>
        <v>0</v>
      </c>
      <c r="AI91">
        <f t="shared" si="19"/>
        <v>0</v>
      </c>
      <c r="AJ91">
        <f t="shared" si="20"/>
        <v>0</v>
      </c>
      <c r="AK91">
        <f t="shared" si="13"/>
        <v>0</v>
      </c>
      <c r="AL91">
        <f t="shared" si="21"/>
        <v>0</v>
      </c>
    </row>
    <row r="92" spans="1:38">
      <c r="A92" t="s">
        <v>396</v>
      </c>
      <c r="B92" t="s">
        <v>397</v>
      </c>
      <c r="C92" s="1">
        <f t="shared" si="14"/>
        <v>45352</v>
      </c>
      <c r="D92" t="s">
        <v>398</v>
      </c>
      <c r="E92">
        <v>223.8</v>
      </c>
      <c r="F92">
        <v>9.3000000000000007</v>
      </c>
      <c r="G92" t="s">
        <v>142</v>
      </c>
      <c r="H92" t="s">
        <v>143</v>
      </c>
      <c r="I92" t="s">
        <v>32</v>
      </c>
      <c r="J92">
        <v>240</v>
      </c>
      <c r="K92" t="s">
        <v>49</v>
      </c>
      <c r="L92" t="s">
        <v>70</v>
      </c>
      <c r="M92" t="s">
        <v>71</v>
      </c>
      <c r="N92" t="s">
        <v>119</v>
      </c>
      <c r="O92" t="s">
        <v>37</v>
      </c>
      <c r="P92" t="s">
        <v>38</v>
      </c>
      <c r="Q92" t="s">
        <v>39</v>
      </c>
      <c r="R92">
        <v>4</v>
      </c>
      <c r="S92" t="s">
        <v>38</v>
      </c>
      <c r="T92">
        <v>8</v>
      </c>
      <c r="U92">
        <v>3.9</v>
      </c>
      <c r="V92">
        <v>5</v>
      </c>
      <c r="W92" t="s">
        <v>39</v>
      </c>
      <c r="X92" t="s">
        <v>63</v>
      </c>
      <c r="Y92" t="s">
        <v>39</v>
      </c>
      <c r="Z92" t="s">
        <v>41</v>
      </c>
      <c r="AA92" t="s">
        <v>109</v>
      </c>
      <c r="AB92" t="s">
        <v>83</v>
      </c>
      <c r="AC92">
        <f t="shared" si="11"/>
        <v>0</v>
      </c>
      <c r="AD92" s="12">
        <f t="shared" si="15"/>
        <v>1</v>
      </c>
      <c r="AE92" s="12">
        <f t="shared" si="16"/>
        <v>0</v>
      </c>
      <c r="AF92">
        <f t="shared" si="12"/>
        <v>0</v>
      </c>
      <c r="AG92">
        <f t="shared" si="17"/>
        <v>0</v>
      </c>
      <c r="AH92">
        <f t="shared" si="18"/>
        <v>0</v>
      </c>
      <c r="AI92">
        <f t="shared" si="19"/>
        <v>0</v>
      </c>
      <c r="AJ92">
        <f t="shared" si="20"/>
        <v>1</v>
      </c>
      <c r="AK92">
        <f t="shared" si="13"/>
        <v>0</v>
      </c>
      <c r="AL92">
        <f t="shared" si="21"/>
        <v>0</v>
      </c>
    </row>
    <row r="93" spans="1:38">
      <c r="A93" t="s">
        <v>399</v>
      </c>
      <c r="B93" t="s">
        <v>400</v>
      </c>
      <c r="C93" s="1">
        <f t="shared" si="14"/>
        <v>45597</v>
      </c>
      <c r="D93" t="s">
        <v>401</v>
      </c>
      <c r="E93">
        <v>336.1</v>
      </c>
      <c r="F93">
        <v>14</v>
      </c>
      <c r="G93" t="s">
        <v>77</v>
      </c>
      <c r="H93" t="s">
        <v>78</v>
      </c>
      <c r="I93" t="s">
        <v>79</v>
      </c>
      <c r="J93">
        <v>360</v>
      </c>
      <c r="K93" t="s">
        <v>49</v>
      </c>
      <c r="L93" t="s">
        <v>96</v>
      </c>
      <c r="M93" t="s">
        <v>35</v>
      </c>
      <c r="N93" t="s">
        <v>128</v>
      </c>
      <c r="O93" t="s">
        <v>7232</v>
      </c>
      <c r="P93" t="s">
        <v>39</v>
      </c>
      <c r="Q93" t="s">
        <v>38</v>
      </c>
      <c r="R93">
        <v>0</v>
      </c>
      <c r="S93" t="s">
        <v>38</v>
      </c>
      <c r="T93">
        <v>6</v>
      </c>
      <c r="U93">
        <v>4.5</v>
      </c>
      <c r="V93">
        <v>32.200000000000003</v>
      </c>
      <c r="W93" t="s">
        <v>39</v>
      </c>
      <c r="X93" t="s">
        <v>52</v>
      </c>
      <c r="Y93" t="s">
        <v>38</v>
      </c>
      <c r="Z93" t="s">
        <v>108</v>
      </c>
      <c r="AA93" t="s">
        <v>103</v>
      </c>
      <c r="AB93" t="s">
        <v>55</v>
      </c>
      <c r="AC93">
        <f t="shared" si="11"/>
        <v>1</v>
      </c>
      <c r="AD93" s="12">
        <f t="shared" si="15"/>
        <v>0</v>
      </c>
      <c r="AE93" s="12">
        <f t="shared" si="16"/>
        <v>0</v>
      </c>
      <c r="AF93">
        <f t="shared" si="12"/>
        <v>0</v>
      </c>
      <c r="AG93">
        <f t="shared" si="17"/>
        <v>1</v>
      </c>
      <c r="AH93">
        <f t="shared" si="18"/>
        <v>0</v>
      </c>
      <c r="AI93">
        <f t="shared" si="19"/>
        <v>0</v>
      </c>
      <c r="AJ93">
        <f t="shared" si="20"/>
        <v>0</v>
      </c>
      <c r="AK93">
        <f t="shared" si="13"/>
        <v>0</v>
      </c>
      <c r="AL93">
        <f t="shared" si="21"/>
        <v>1</v>
      </c>
    </row>
    <row r="94" spans="1:38">
      <c r="A94" t="s">
        <v>402</v>
      </c>
      <c r="B94" t="s">
        <v>403</v>
      </c>
      <c r="C94" s="1">
        <f t="shared" si="14"/>
        <v>45413</v>
      </c>
      <c r="D94" t="s">
        <v>404</v>
      </c>
      <c r="E94">
        <v>164.7</v>
      </c>
      <c r="F94">
        <v>6.9</v>
      </c>
      <c r="G94" t="s">
        <v>30</v>
      </c>
      <c r="H94" t="s">
        <v>47</v>
      </c>
      <c r="I94" t="s">
        <v>32</v>
      </c>
      <c r="J94">
        <v>240</v>
      </c>
      <c r="K94" t="s">
        <v>49</v>
      </c>
      <c r="L94" t="s">
        <v>70</v>
      </c>
      <c r="M94" t="s">
        <v>35</v>
      </c>
      <c r="N94" t="s">
        <v>89</v>
      </c>
      <c r="O94" t="s">
        <v>7232</v>
      </c>
      <c r="P94" t="s">
        <v>39</v>
      </c>
      <c r="Q94" t="s">
        <v>38</v>
      </c>
      <c r="R94">
        <v>0</v>
      </c>
      <c r="S94" t="s">
        <v>39</v>
      </c>
      <c r="T94">
        <v>10</v>
      </c>
      <c r="U94">
        <v>2.2999999999999998</v>
      </c>
      <c r="V94">
        <v>18.7</v>
      </c>
      <c r="W94" t="s">
        <v>38</v>
      </c>
      <c r="X94" t="s">
        <v>63</v>
      </c>
      <c r="Y94" t="s">
        <v>38</v>
      </c>
      <c r="Z94" t="s">
        <v>179</v>
      </c>
      <c r="AA94" t="s">
        <v>54</v>
      </c>
      <c r="AB94" t="s">
        <v>83</v>
      </c>
      <c r="AC94">
        <f t="shared" si="11"/>
        <v>0</v>
      </c>
      <c r="AD94" s="12">
        <f t="shared" si="15"/>
        <v>1</v>
      </c>
      <c r="AE94" s="12">
        <f t="shared" si="16"/>
        <v>0</v>
      </c>
      <c r="AF94">
        <f t="shared" si="12"/>
        <v>0</v>
      </c>
      <c r="AG94">
        <f t="shared" si="17"/>
        <v>1</v>
      </c>
      <c r="AH94">
        <f t="shared" si="18"/>
        <v>0</v>
      </c>
      <c r="AI94">
        <f t="shared" si="19"/>
        <v>0</v>
      </c>
      <c r="AJ94">
        <f t="shared" si="20"/>
        <v>1</v>
      </c>
      <c r="AK94">
        <f t="shared" si="13"/>
        <v>1</v>
      </c>
      <c r="AL94">
        <f t="shared" si="21"/>
        <v>1</v>
      </c>
    </row>
    <row r="95" spans="1:38">
      <c r="A95" t="s">
        <v>405</v>
      </c>
      <c r="B95" t="s">
        <v>406</v>
      </c>
      <c r="C95" s="1">
        <f t="shared" si="14"/>
        <v>45597</v>
      </c>
      <c r="D95" t="s">
        <v>407</v>
      </c>
      <c r="E95">
        <v>102.6</v>
      </c>
      <c r="F95">
        <v>4.3</v>
      </c>
      <c r="G95" t="s">
        <v>59</v>
      </c>
      <c r="H95" t="s">
        <v>60</v>
      </c>
      <c r="I95" t="s">
        <v>48</v>
      </c>
      <c r="J95">
        <v>120</v>
      </c>
      <c r="K95" t="s">
        <v>49</v>
      </c>
      <c r="L95" t="s">
        <v>70</v>
      </c>
      <c r="M95" t="s">
        <v>35</v>
      </c>
      <c r="N95" t="s">
        <v>144</v>
      </c>
      <c r="O95" t="s">
        <v>7232</v>
      </c>
      <c r="P95" t="s">
        <v>38</v>
      </c>
      <c r="Q95" t="s">
        <v>38</v>
      </c>
      <c r="R95">
        <v>1</v>
      </c>
      <c r="S95" t="s">
        <v>39</v>
      </c>
      <c r="T95">
        <v>10</v>
      </c>
      <c r="U95">
        <v>3.6</v>
      </c>
      <c r="V95">
        <v>27.8</v>
      </c>
      <c r="W95" t="s">
        <v>39</v>
      </c>
      <c r="X95" t="s">
        <v>63</v>
      </c>
      <c r="Y95" t="s">
        <v>39</v>
      </c>
      <c r="Z95" t="s">
        <v>115</v>
      </c>
      <c r="AA95" t="s">
        <v>109</v>
      </c>
      <c r="AB95" t="s">
        <v>43</v>
      </c>
      <c r="AC95">
        <f t="shared" si="11"/>
        <v>0</v>
      </c>
      <c r="AD95" s="12">
        <f t="shared" si="15"/>
        <v>1</v>
      </c>
      <c r="AE95" s="12">
        <f t="shared" si="16"/>
        <v>0</v>
      </c>
      <c r="AF95">
        <f t="shared" si="12"/>
        <v>0</v>
      </c>
      <c r="AG95">
        <f t="shared" si="17"/>
        <v>1</v>
      </c>
      <c r="AH95">
        <f t="shared" si="18"/>
        <v>1</v>
      </c>
      <c r="AI95">
        <f t="shared" si="19"/>
        <v>0</v>
      </c>
      <c r="AJ95">
        <f t="shared" si="20"/>
        <v>0</v>
      </c>
      <c r="AK95">
        <f t="shared" si="13"/>
        <v>0</v>
      </c>
      <c r="AL95">
        <f t="shared" si="21"/>
        <v>0</v>
      </c>
    </row>
    <row r="96" spans="1:38">
      <c r="A96" t="s">
        <v>408</v>
      </c>
      <c r="B96" t="s">
        <v>409</v>
      </c>
      <c r="C96" s="1">
        <f t="shared" si="14"/>
        <v>45474</v>
      </c>
      <c r="D96" t="s">
        <v>410</v>
      </c>
      <c r="E96">
        <v>435.4</v>
      </c>
      <c r="F96">
        <v>18.100000000000001</v>
      </c>
      <c r="G96" t="s">
        <v>142</v>
      </c>
      <c r="H96" t="s">
        <v>260</v>
      </c>
      <c r="I96" t="s">
        <v>79</v>
      </c>
      <c r="J96">
        <v>360</v>
      </c>
      <c r="K96" t="s">
        <v>33</v>
      </c>
      <c r="L96" t="s">
        <v>70</v>
      </c>
      <c r="M96" t="s">
        <v>35</v>
      </c>
      <c r="N96" t="s">
        <v>277</v>
      </c>
      <c r="O96" t="s">
        <v>51</v>
      </c>
      <c r="P96" t="s">
        <v>38</v>
      </c>
      <c r="Q96" t="s">
        <v>38</v>
      </c>
      <c r="R96">
        <v>1</v>
      </c>
      <c r="S96" t="s">
        <v>39</v>
      </c>
      <c r="T96">
        <v>6</v>
      </c>
      <c r="U96">
        <v>4.8</v>
      </c>
      <c r="V96">
        <v>16.5</v>
      </c>
      <c r="W96" t="s">
        <v>39</v>
      </c>
      <c r="X96" t="s">
        <v>52</v>
      </c>
      <c r="Y96" t="s">
        <v>38</v>
      </c>
      <c r="Z96" t="s">
        <v>108</v>
      </c>
      <c r="AA96" t="s">
        <v>109</v>
      </c>
      <c r="AB96" t="s">
        <v>83</v>
      </c>
      <c r="AC96">
        <f t="shared" si="11"/>
        <v>1</v>
      </c>
      <c r="AD96" s="12">
        <f t="shared" si="15"/>
        <v>0</v>
      </c>
      <c r="AE96" s="12">
        <f t="shared" si="16"/>
        <v>0</v>
      </c>
      <c r="AF96">
        <f t="shared" si="12"/>
        <v>1</v>
      </c>
      <c r="AG96">
        <f t="shared" si="17"/>
        <v>0</v>
      </c>
      <c r="AH96">
        <f t="shared" si="18"/>
        <v>0</v>
      </c>
      <c r="AI96">
        <f t="shared" si="19"/>
        <v>0</v>
      </c>
      <c r="AJ96">
        <f t="shared" si="20"/>
        <v>0</v>
      </c>
      <c r="AK96">
        <f t="shared" si="13"/>
        <v>0</v>
      </c>
      <c r="AL96">
        <f t="shared" si="21"/>
        <v>1</v>
      </c>
    </row>
    <row r="97" spans="1:38">
      <c r="A97" t="s">
        <v>411</v>
      </c>
      <c r="B97" t="s">
        <v>412</v>
      </c>
      <c r="C97" s="1">
        <f t="shared" si="14"/>
        <v>45352</v>
      </c>
      <c r="D97" t="s">
        <v>413</v>
      </c>
      <c r="E97">
        <v>194.1</v>
      </c>
      <c r="F97">
        <v>8.1</v>
      </c>
      <c r="G97" t="s">
        <v>142</v>
      </c>
      <c r="H97" t="s">
        <v>240</v>
      </c>
      <c r="I97" t="s">
        <v>32</v>
      </c>
      <c r="J97">
        <v>240</v>
      </c>
      <c r="K97" t="s">
        <v>49</v>
      </c>
      <c r="L97" t="s">
        <v>34</v>
      </c>
      <c r="M97" t="s">
        <v>35</v>
      </c>
      <c r="N97" t="s">
        <v>414</v>
      </c>
      <c r="O97" t="s">
        <v>37</v>
      </c>
      <c r="P97" t="s">
        <v>38</v>
      </c>
      <c r="Q97" t="s">
        <v>38</v>
      </c>
      <c r="R97">
        <v>1</v>
      </c>
      <c r="S97" t="s">
        <v>38</v>
      </c>
      <c r="T97">
        <v>9</v>
      </c>
      <c r="U97">
        <v>4.3</v>
      </c>
      <c r="V97">
        <v>22.4</v>
      </c>
      <c r="W97" t="s">
        <v>39</v>
      </c>
      <c r="X97" t="s">
        <v>123</v>
      </c>
      <c r="Y97" t="s">
        <v>39</v>
      </c>
      <c r="Z97" t="s">
        <v>179</v>
      </c>
      <c r="AA97" t="s">
        <v>109</v>
      </c>
      <c r="AB97" t="s">
        <v>83</v>
      </c>
      <c r="AC97">
        <f t="shared" si="11"/>
        <v>0</v>
      </c>
      <c r="AD97" s="12">
        <f t="shared" si="15"/>
        <v>0</v>
      </c>
      <c r="AE97" s="12">
        <f t="shared" si="16"/>
        <v>1</v>
      </c>
      <c r="AF97">
        <f t="shared" si="12"/>
        <v>0</v>
      </c>
      <c r="AG97">
        <f t="shared" si="17"/>
        <v>0</v>
      </c>
      <c r="AH97">
        <f t="shared" si="18"/>
        <v>0</v>
      </c>
      <c r="AI97">
        <f t="shared" si="19"/>
        <v>0</v>
      </c>
      <c r="AJ97">
        <f t="shared" si="20"/>
        <v>1</v>
      </c>
      <c r="AK97">
        <f t="shared" si="13"/>
        <v>0</v>
      </c>
      <c r="AL97">
        <f t="shared" si="21"/>
        <v>0</v>
      </c>
    </row>
    <row r="98" spans="1:38">
      <c r="A98" t="s">
        <v>415</v>
      </c>
      <c r="B98" t="s">
        <v>416</v>
      </c>
      <c r="C98" s="1">
        <f t="shared" si="14"/>
        <v>45413</v>
      </c>
      <c r="D98" t="s">
        <v>417</v>
      </c>
      <c r="E98">
        <v>132.6</v>
      </c>
      <c r="F98">
        <v>5.5</v>
      </c>
      <c r="G98" t="s">
        <v>87</v>
      </c>
      <c r="H98" t="s">
        <v>309</v>
      </c>
      <c r="I98" t="s">
        <v>48</v>
      </c>
      <c r="J98">
        <v>120</v>
      </c>
      <c r="K98" t="s">
        <v>33</v>
      </c>
      <c r="L98" t="s">
        <v>96</v>
      </c>
      <c r="M98" t="s">
        <v>71</v>
      </c>
      <c r="N98" t="s">
        <v>155</v>
      </c>
      <c r="O98" t="s">
        <v>7232</v>
      </c>
      <c r="P98" t="s">
        <v>38</v>
      </c>
      <c r="Q98" t="s">
        <v>39</v>
      </c>
      <c r="R98">
        <v>1</v>
      </c>
      <c r="S98" t="s">
        <v>38</v>
      </c>
      <c r="T98">
        <v>7</v>
      </c>
      <c r="U98">
        <v>3.6</v>
      </c>
      <c r="V98">
        <v>8.1</v>
      </c>
      <c r="W98" t="s">
        <v>39</v>
      </c>
      <c r="X98" t="s">
        <v>123</v>
      </c>
      <c r="Y98" t="s">
        <v>38</v>
      </c>
      <c r="Z98" t="s">
        <v>41</v>
      </c>
      <c r="AA98" t="s">
        <v>54</v>
      </c>
      <c r="AB98" t="s">
        <v>83</v>
      </c>
      <c r="AC98">
        <f t="shared" si="11"/>
        <v>0</v>
      </c>
      <c r="AD98" s="12">
        <f t="shared" si="15"/>
        <v>0</v>
      </c>
      <c r="AE98" s="12">
        <f t="shared" si="16"/>
        <v>1</v>
      </c>
      <c r="AF98">
        <f t="shared" si="12"/>
        <v>0</v>
      </c>
      <c r="AG98">
        <f t="shared" si="17"/>
        <v>1</v>
      </c>
      <c r="AH98">
        <f t="shared" si="18"/>
        <v>1</v>
      </c>
      <c r="AI98">
        <f t="shared" si="19"/>
        <v>0</v>
      </c>
      <c r="AJ98">
        <f t="shared" si="20"/>
        <v>0</v>
      </c>
      <c r="AK98">
        <f t="shared" si="13"/>
        <v>0</v>
      </c>
      <c r="AL98">
        <f t="shared" si="21"/>
        <v>1</v>
      </c>
    </row>
    <row r="99" spans="1:38">
      <c r="A99" t="s">
        <v>418</v>
      </c>
      <c r="B99" t="s">
        <v>419</v>
      </c>
      <c r="C99" s="1">
        <f t="shared" si="14"/>
        <v>45383</v>
      </c>
      <c r="D99" t="s">
        <v>420</v>
      </c>
      <c r="E99">
        <v>219</v>
      </c>
      <c r="F99">
        <v>9.1</v>
      </c>
      <c r="G99" t="s">
        <v>93</v>
      </c>
      <c r="H99" t="s">
        <v>94</v>
      </c>
      <c r="I99" t="s">
        <v>32</v>
      </c>
      <c r="J99">
        <v>240</v>
      </c>
      <c r="K99" t="s">
        <v>49</v>
      </c>
      <c r="L99" t="s">
        <v>96</v>
      </c>
      <c r="M99" t="s">
        <v>35</v>
      </c>
      <c r="N99" t="s">
        <v>134</v>
      </c>
      <c r="O99" t="s">
        <v>51</v>
      </c>
      <c r="P99" t="s">
        <v>38</v>
      </c>
      <c r="Q99" t="s">
        <v>38</v>
      </c>
      <c r="R99">
        <v>1</v>
      </c>
      <c r="S99" t="s">
        <v>39</v>
      </c>
      <c r="T99">
        <v>9</v>
      </c>
      <c r="U99">
        <v>0.6</v>
      </c>
      <c r="V99">
        <v>22.4</v>
      </c>
      <c r="W99" t="s">
        <v>39</v>
      </c>
      <c r="X99" t="s">
        <v>40</v>
      </c>
      <c r="Y99" t="s">
        <v>38</v>
      </c>
      <c r="Z99" t="s">
        <v>73</v>
      </c>
      <c r="AA99" t="s">
        <v>42</v>
      </c>
      <c r="AB99" t="s">
        <v>55</v>
      </c>
      <c r="AC99">
        <f t="shared" si="11"/>
        <v>0</v>
      </c>
      <c r="AD99" s="12">
        <f t="shared" si="15"/>
        <v>0</v>
      </c>
      <c r="AE99" s="12">
        <f t="shared" si="16"/>
        <v>0</v>
      </c>
      <c r="AF99">
        <f t="shared" si="12"/>
        <v>1</v>
      </c>
      <c r="AG99">
        <f t="shared" si="17"/>
        <v>0</v>
      </c>
      <c r="AH99">
        <f t="shared" si="18"/>
        <v>0</v>
      </c>
      <c r="AI99">
        <f t="shared" si="19"/>
        <v>0</v>
      </c>
      <c r="AJ99">
        <f t="shared" si="20"/>
        <v>1</v>
      </c>
      <c r="AK99">
        <f t="shared" si="13"/>
        <v>0</v>
      </c>
      <c r="AL99">
        <f t="shared" si="21"/>
        <v>1</v>
      </c>
    </row>
    <row r="100" spans="1:38">
      <c r="A100" t="s">
        <v>421</v>
      </c>
      <c r="B100" t="s">
        <v>422</v>
      </c>
      <c r="C100" s="1">
        <f t="shared" si="14"/>
        <v>45505</v>
      </c>
      <c r="D100" t="s">
        <v>423</v>
      </c>
      <c r="E100">
        <v>174.5</v>
      </c>
      <c r="F100">
        <v>7.3</v>
      </c>
      <c r="G100" t="s">
        <v>142</v>
      </c>
      <c r="H100" t="s">
        <v>240</v>
      </c>
      <c r="I100" t="s">
        <v>48</v>
      </c>
      <c r="J100">
        <v>120</v>
      </c>
      <c r="K100" t="s">
        <v>33</v>
      </c>
      <c r="L100" t="s">
        <v>34</v>
      </c>
      <c r="M100" t="s">
        <v>35</v>
      </c>
      <c r="N100" t="s">
        <v>168</v>
      </c>
      <c r="O100" t="s">
        <v>51</v>
      </c>
      <c r="P100" t="s">
        <v>39</v>
      </c>
      <c r="Q100" t="s">
        <v>38</v>
      </c>
      <c r="R100">
        <v>0</v>
      </c>
      <c r="S100" t="s">
        <v>38</v>
      </c>
      <c r="T100">
        <v>3</v>
      </c>
      <c r="U100">
        <v>2.8</v>
      </c>
      <c r="V100">
        <v>12.4</v>
      </c>
      <c r="W100" t="s">
        <v>38</v>
      </c>
      <c r="X100" t="s">
        <v>52</v>
      </c>
      <c r="Y100" t="s">
        <v>39</v>
      </c>
      <c r="Z100" t="s">
        <v>108</v>
      </c>
      <c r="AA100" t="s">
        <v>42</v>
      </c>
      <c r="AB100" t="s">
        <v>83</v>
      </c>
      <c r="AC100">
        <f t="shared" si="11"/>
        <v>1</v>
      </c>
      <c r="AD100" s="12">
        <f t="shared" si="15"/>
        <v>0</v>
      </c>
      <c r="AE100" s="12">
        <f t="shared" si="16"/>
        <v>0</v>
      </c>
      <c r="AF100">
        <f t="shared" si="12"/>
        <v>1</v>
      </c>
      <c r="AG100">
        <f t="shared" si="17"/>
        <v>0</v>
      </c>
      <c r="AH100">
        <f t="shared" si="18"/>
        <v>1</v>
      </c>
      <c r="AI100">
        <f t="shared" si="19"/>
        <v>0</v>
      </c>
      <c r="AJ100">
        <f t="shared" si="20"/>
        <v>0</v>
      </c>
      <c r="AK100">
        <f t="shared" si="13"/>
        <v>0</v>
      </c>
      <c r="AL100">
        <f t="shared" si="21"/>
        <v>0</v>
      </c>
    </row>
    <row r="101" spans="1:38">
      <c r="A101" t="s">
        <v>424</v>
      </c>
      <c r="B101" t="s">
        <v>425</v>
      </c>
      <c r="C101" s="1">
        <f t="shared" si="14"/>
        <v>45474</v>
      </c>
      <c r="D101" t="s">
        <v>426</v>
      </c>
      <c r="E101">
        <v>213</v>
      </c>
      <c r="F101">
        <v>8.9</v>
      </c>
      <c r="G101" t="s">
        <v>93</v>
      </c>
      <c r="H101" t="s">
        <v>163</v>
      </c>
      <c r="I101" t="s">
        <v>32</v>
      </c>
      <c r="J101">
        <v>240</v>
      </c>
      <c r="K101" t="s">
        <v>49</v>
      </c>
      <c r="L101" t="s">
        <v>34</v>
      </c>
      <c r="M101" t="s">
        <v>35</v>
      </c>
      <c r="N101" t="s">
        <v>192</v>
      </c>
      <c r="O101" t="s">
        <v>37</v>
      </c>
      <c r="P101" t="s">
        <v>39</v>
      </c>
      <c r="Q101" t="s">
        <v>38</v>
      </c>
      <c r="R101">
        <v>0</v>
      </c>
      <c r="S101" t="s">
        <v>38</v>
      </c>
      <c r="T101">
        <v>9</v>
      </c>
      <c r="U101">
        <v>1.7</v>
      </c>
      <c r="V101">
        <v>24.4</v>
      </c>
      <c r="W101" t="s">
        <v>38</v>
      </c>
      <c r="X101" t="s">
        <v>52</v>
      </c>
      <c r="Y101" t="s">
        <v>38</v>
      </c>
      <c r="Z101" t="s">
        <v>64</v>
      </c>
      <c r="AA101" t="s">
        <v>109</v>
      </c>
      <c r="AB101" t="s">
        <v>83</v>
      </c>
      <c r="AC101">
        <f t="shared" si="11"/>
        <v>1</v>
      </c>
      <c r="AD101" s="12">
        <f t="shared" si="15"/>
        <v>0</v>
      </c>
      <c r="AE101" s="12">
        <f t="shared" si="16"/>
        <v>0</v>
      </c>
      <c r="AF101">
        <f t="shared" si="12"/>
        <v>0</v>
      </c>
      <c r="AG101">
        <f t="shared" si="17"/>
        <v>0</v>
      </c>
      <c r="AH101">
        <f t="shared" si="18"/>
        <v>0</v>
      </c>
      <c r="AI101">
        <f t="shared" si="19"/>
        <v>0</v>
      </c>
      <c r="AJ101">
        <f t="shared" si="20"/>
        <v>1</v>
      </c>
      <c r="AK101">
        <f t="shared" si="13"/>
        <v>0</v>
      </c>
      <c r="AL101">
        <f t="shared" si="21"/>
        <v>1</v>
      </c>
    </row>
    <row r="102" spans="1:38">
      <c r="A102" t="s">
        <v>427</v>
      </c>
      <c r="B102" t="s">
        <v>428</v>
      </c>
      <c r="C102" s="1">
        <f t="shared" si="14"/>
        <v>45597</v>
      </c>
      <c r="D102" t="s">
        <v>429</v>
      </c>
      <c r="E102">
        <v>191</v>
      </c>
      <c r="F102">
        <v>8</v>
      </c>
      <c r="G102" t="s">
        <v>77</v>
      </c>
      <c r="H102" t="s">
        <v>187</v>
      </c>
      <c r="I102" t="s">
        <v>32</v>
      </c>
      <c r="J102">
        <v>240</v>
      </c>
      <c r="K102" t="s">
        <v>49</v>
      </c>
      <c r="L102" t="s">
        <v>96</v>
      </c>
      <c r="M102" t="s">
        <v>35</v>
      </c>
      <c r="N102" t="s">
        <v>36</v>
      </c>
      <c r="O102" t="s">
        <v>7232</v>
      </c>
      <c r="P102" t="s">
        <v>38</v>
      </c>
      <c r="Q102" t="s">
        <v>38</v>
      </c>
      <c r="R102">
        <v>1</v>
      </c>
      <c r="S102" t="s">
        <v>38</v>
      </c>
      <c r="T102">
        <v>7</v>
      </c>
      <c r="U102">
        <v>1.4</v>
      </c>
      <c r="V102">
        <v>34.4</v>
      </c>
      <c r="W102" t="s">
        <v>39</v>
      </c>
      <c r="X102" t="s">
        <v>63</v>
      </c>
      <c r="Y102" t="s">
        <v>38</v>
      </c>
      <c r="Z102" t="s">
        <v>73</v>
      </c>
      <c r="AA102" t="s">
        <v>54</v>
      </c>
      <c r="AB102" t="s">
        <v>43</v>
      </c>
      <c r="AC102">
        <f t="shared" si="11"/>
        <v>0</v>
      </c>
      <c r="AD102" s="12">
        <f t="shared" si="15"/>
        <v>1</v>
      </c>
      <c r="AE102" s="12">
        <f t="shared" si="16"/>
        <v>0</v>
      </c>
      <c r="AF102">
        <f t="shared" si="12"/>
        <v>0</v>
      </c>
      <c r="AG102">
        <f t="shared" si="17"/>
        <v>1</v>
      </c>
      <c r="AH102">
        <f t="shared" si="18"/>
        <v>0</v>
      </c>
      <c r="AI102">
        <f t="shared" si="19"/>
        <v>0</v>
      </c>
      <c r="AJ102">
        <f t="shared" si="20"/>
        <v>1</v>
      </c>
      <c r="AK102">
        <f t="shared" si="13"/>
        <v>0</v>
      </c>
      <c r="AL102">
        <f t="shared" si="21"/>
        <v>1</v>
      </c>
    </row>
    <row r="103" spans="1:38">
      <c r="A103" t="s">
        <v>430</v>
      </c>
      <c r="B103" t="s">
        <v>431</v>
      </c>
      <c r="C103" s="1">
        <f t="shared" si="14"/>
        <v>45627</v>
      </c>
      <c r="D103" t="s">
        <v>432</v>
      </c>
      <c r="E103">
        <v>210.9</v>
      </c>
      <c r="F103">
        <v>8.8000000000000007</v>
      </c>
      <c r="G103" t="s">
        <v>142</v>
      </c>
      <c r="H103" t="s">
        <v>143</v>
      </c>
      <c r="I103" t="s">
        <v>32</v>
      </c>
      <c r="J103">
        <v>240</v>
      </c>
      <c r="K103" t="s">
        <v>49</v>
      </c>
      <c r="L103" t="s">
        <v>133</v>
      </c>
      <c r="M103" t="s">
        <v>35</v>
      </c>
      <c r="N103" t="s">
        <v>128</v>
      </c>
      <c r="O103" t="s">
        <v>7232</v>
      </c>
      <c r="P103" t="s">
        <v>38</v>
      </c>
      <c r="Q103" t="s">
        <v>38</v>
      </c>
      <c r="R103">
        <v>1</v>
      </c>
      <c r="S103" t="s">
        <v>39</v>
      </c>
      <c r="T103">
        <v>9</v>
      </c>
      <c r="U103">
        <v>0.1</v>
      </c>
      <c r="V103">
        <v>0</v>
      </c>
      <c r="W103" t="s">
        <v>38</v>
      </c>
      <c r="X103" t="s">
        <v>52</v>
      </c>
      <c r="Y103" t="s">
        <v>38</v>
      </c>
      <c r="Z103" t="s">
        <v>179</v>
      </c>
      <c r="AA103" t="s">
        <v>82</v>
      </c>
      <c r="AB103" t="s">
        <v>83</v>
      </c>
      <c r="AC103">
        <f t="shared" si="11"/>
        <v>1</v>
      </c>
      <c r="AD103" s="12">
        <f t="shared" si="15"/>
        <v>0</v>
      </c>
      <c r="AE103" s="12">
        <f t="shared" si="16"/>
        <v>0</v>
      </c>
      <c r="AF103">
        <f t="shared" si="12"/>
        <v>0</v>
      </c>
      <c r="AG103">
        <f t="shared" si="17"/>
        <v>1</v>
      </c>
      <c r="AH103">
        <f t="shared" si="18"/>
        <v>0</v>
      </c>
      <c r="AI103">
        <f t="shared" si="19"/>
        <v>0</v>
      </c>
      <c r="AJ103">
        <f t="shared" si="20"/>
        <v>1</v>
      </c>
      <c r="AK103">
        <f t="shared" si="13"/>
        <v>0</v>
      </c>
      <c r="AL103">
        <f t="shared" si="21"/>
        <v>1</v>
      </c>
    </row>
    <row r="104" spans="1:38">
      <c r="A104" t="s">
        <v>433</v>
      </c>
      <c r="B104" t="s">
        <v>434</v>
      </c>
      <c r="C104" s="1">
        <f t="shared" si="14"/>
        <v>45505</v>
      </c>
      <c r="D104" t="s">
        <v>435</v>
      </c>
      <c r="E104">
        <v>73.099999999999994</v>
      </c>
      <c r="F104">
        <v>3</v>
      </c>
      <c r="G104" t="s">
        <v>142</v>
      </c>
      <c r="H104" t="s">
        <v>319</v>
      </c>
      <c r="I104" t="s">
        <v>48</v>
      </c>
      <c r="J104">
        <v>120</v>
      </c>
      <c r="K104" t="s">
        <v>49</v>
      </c>
      <c r="L104" t="s">
        <v>34</v>
      </c>
      <c r="M104" t="s">
        <v>35</v>
      </c>
      <c r="N104" t="s">
        <v>80</v>
      </c>
      <c r="O104" t="s">
        <v>37</v>
      </c>
      <c r="P104" t="s">
        <v>38</v>
      </c>
      <c r="Q104" t="s">
        <v>38</v>
      </c>
      <c r="R104">
        <v>1</v>
      </c>
      <c r="S104" t="s">
        <v>38</v>
      </c>
      <c r="T104">
        <v>9</v>
      </c>
      <c r="U104">
        <v>4.4000000000000004</v>
      </c>
      <c r="V104">
        <v>14.4</v>
      </c>
      <c r="W104" t="s">
        <v>39</v>
      </c>
      <c r="X104" t="s">
        <v>123</v>
      </c>
      <c r="Y104" t="s">
        <v>38</v>
      </c>
      <c r="Z104" t="s">
        <v>64</v>
      </c>
      <c r="AA104" t="s">
        <v>82</v>
      </c>
      <c r="AB104" t="s">
        <v>83</v>
      </c>
      <c r="AC104">
        <f t="shared" si="11"/>
        <v>0</v>
      </c>
      <c r="AD104" s="12">
        <f t="shared" si="15"/>
        <v>0</v>
      </c>
      <c r="AE104" s="12">
        <f t="shared" si="16"/>
        <v>1</v>
      </c>
      <c r="AF104">
        <f t="shared" si="12"/>
        <v>0</v>
      </c>
      <c r="AG104">
        <f t="shared" si="17"/>
        <v>0</v>
      </c>
      <c r="AH104">
        <f t="shared" si="18"/>
        <v>1</v>
      </c>
      <c r="AI104">
        <f t="shared" si="19"/>
        <v>0</v>
      </c>
      <c r="AJ104">
        <f t="shared" si="20"/>
        <v>0</v>
      </c>
      <c r="AK104">
        <f t="shared" si="13"/>
        <v>0</v>
      </c>
      <c r="AL104">
        <f t="shared" si="21"/>
        <v>1</v>
      </c>
    </row>
    <row r="105" spans="1:38">
      <c r="A105" t="s">
        <v>436</v>
      </c>
      <c r="B105" t="s">
        <v>437</v>
      </c>
      <c r="C105" s="1">
        <f t="shared" si="14"/>
        <v>45627</v>
      </c>
      <c r="D105" t="s">
        <v>438</v>
      </c>
      <c r="E105">
        <v>151.30000000000001</v>
      </c>
      <c r="F105">
        <v>6.3</v>
      </c>
      <c r="G105" t="s">
        <v>142</v>
      </c>
      <c r="H105" t="s">
        <v>260</v>
      </c>
      <c r="I105" t="s">
        <v>32</v>
      </c>
      <c r="J105">
        <v>240</v>
      </c>
      <c r="K105" t="s">
        <v>49</v>
      </c>
      <c r="L105" t="s">
        <v>96</v>
      </c>
      <c r="M105" t="s">
        <v>71</v>
      </c>
      <c r="N105" t="s">
        <v>168</v>
      </c>
      <c r="O105" t="s">
        <v>51</v>
      </c>
      <c r="P105" t="s">
        <v>38</v>
      </c>
      <c r="Q105" t="s">
        <v>39</v>
      </c>
      <c r="R105">
        <v>1</v>
      </c>
      <c r="S105" t="s">
        <v>39</v>
      </c>
      <c r="T105">
        <v>10</v>
      </c>
      <c r="U105">
        <v>6</v>
      </c>
      <c r="V105">
        <v>10.4</v>
      </c>
      <c r="W105" t="s">
        <v>39</v>
      </c>
      <c r="X105" t="s">
        <v>63</v>
      </c>
      <c r="Y105" t="s">
        <v>39</v>
      </c>
      <c r="Z105" t="s">
        <v>41</v>
      </c>
      <c r="AA105" t="s">
        <v>54</v>
      </c>
      <c r="AB105" t="s">
        <v>43</v>
      </c>
      <c r="AC105">
        <f t="shared" si="11"/>
        <v>0</v>
      </c>
      <c r="AD105" s="12">
        <f t="shared" si="15"/>
        <v>1</v>
      </c>
      <c r="AE105" s="12">
        <f t="shared" si="16"/>
        <v>0</v>
      </c>
      <c r="AF105">
        <f t="shared" si="12"/>
        <v>1</v>
      </c>
      <c r="AG105">
        <f t="shared" si="17"/>
        <v>0</v>
      </c>
      <c r="AH105">
        <f t="shared" si="18"/>
        <v>0</v>
      </c>
      <c r="AI105">
        <f t="shared" si="19"/>
        <v>0</v>
      </c>
      <c r="AJ105">
        <f t="shared" si="20"/>
        <v>1</v>
      </c>
      <c r="AK105">
        <f t="shared" si="13"/>
        <v>0</v>
      </c>
      <c r="AL105">
        <f t="shared" si="21"/>
        <v>0</v>
      </c>
    </row>
    <row r="106" spans="1:38">
      <c r="A106" t="s">
        <v>439</v>
      </c>
      <c r="B106" t="s">
        <v>440</v>
      </c>
      <c r="C106" s="1">
        <f t="shared" si="14"/>
        <v>45292</v>
      </c>
      <c r="D106" t="s">
        <v>441</v>
      </c>
      <c r="E106">
        <v>233.3</v>
      </c>
      <c r="F106">
        <v>9.6999999999999993</v>
      </c>
      <c r="G106" t="s">
        <v>101</v>
      </c>
      <c r="H106" t="s">
        <v>442</v>
      </c>
      <c r="I106" t="s">
        <v>79</v>
      </c>
      <c r="J106">
        <v>360</v>
      </c>
      <c r="K106" t="s">
        <v>49</v>
      </c>
      <c r="L106" t="s">
        <v>96</v>
      </c>
      <c r="M106" t="s">
        <v>71</v>
      </c>
      <c r="N106" t="s">
        <v>107</v>
      </c>
      <c r="O106" t="s">
        <v>37</v>
      </c>
      <c r="P106" t="s">
        <v>38</v>
      </c>
      <c r="Q106" t="s">
        <v>39</v>
      </c>
      <c r="R106">
        <v>3</v>
      </c>
      <c r="S106" t="s">
        <v>38</v>
      </c>
      <c r="T106">
        <v>8</v>
      </c>
      <c r="U106">
        <v>2.2999999999999998</v>
      </c>
      <c r="V106">
        <v>27.6</v>
      </c>
      <c r="W106" t="s">
        <v>39</v>
      </c>
      <c r="X106" t="s">
        <v>123</v>
      </c>
      <c r="Y106" t="s">
        <v>39</v>
      </c>
      <c r="Z106" t="s">
        <v>115</v>
      </c>
      <c r="AA106" t="s">
        <v>54</v>
      </c>
      <c r="AB106" t="s">
        <v>43</v>
      </c>
      <c r="AC106">
        <f t="shared" si="11"/>
        <v>0</v>
      </c>
      <c r="AD106" s="12">
        <f t="shared" si="15"/>
        <v>0</v>
      </c>
      <c r="AE106" s="12">
        <f t="shared" si="16"/>
        <v>1</v>
      </c>
      <c r="AF106">
        <f t="shared" si="12"/>
        <v>0</v>
      </c>
      <c r="AG106">
        <f t="shared" si="17"/>
        <v>0</v>
      </c>
      <c r="AH106">
        <f t="shared" si="18"/>
        <v>0</v>
      </c>
      <c r="AI106">
        <f t="shared" si="19"/>
        <v>0</v>
      </c>
      <c r="AJ106">
        <f t="shared" si="20"/>
        <v>0</v>
      </c>
      <c r="AK106">
        <f t="shared" si="13"/>
        <v>0</v>
      </c>
      <c r="AL106">
        <f t="shared" si="21"/>
        <v>0</v>
      </c>
    </row>
    <row r="107" spans="1:38">
      <c r="A107" t="s">
        <v>443</v>
      </c>
      <c r="B107" t="s">
        <v>444</v>
      </c>
      <c r="C107" s="1">
        <f t="shared" si="14"/>
        <v>45352</v>
      </c>
      <c r="D107" t="s">
        <v>445</v>
      </c>
      <c r="E107">
        <v>108.3</v>
      </c>
      <c r="F107">
        <v>4.5</v>
      </c>
      <c r="G107" t="s">
        <v>93</v>
      </c>
      <c r="H107" t="s">
        <v>291</v>
      </c>
      <c r="I107" t="s">
        <v>48</v>
      </c>
      <c r="J107">
        <v>120</v>
      </c>
      <c r="K107" t="s">
        <v>49</v>
      </c>
      <c r="L107" t="s">
        <v>70</v>
      </c>
      <c r="M107" t="s">
        <v>35</v>
      </c>
      <c r="N107" t="s">
        <v>50</v>
      </c>
      <c r="O107" t="s">
        <v>37</v>
      </c>
      <c r="P107" t="s">
        <v>39</v>
      </c>
      <c r="Q107" t="s">
        <v>38</v>
      </c>
      <c r="R107">
        <v>0</v>
      </c>
      <c r="S107" t="s">
        <v>38</v>
      </c>
      <c r="T107">
        <v>8</v>
      </c>
      <c r="U107">
        <v>2.8</v>
      </c>
      <c r="V107">
        <v>17.600000000000001</v>
      </c>
      <c r="W107" t="s">
        <v>38</v>
      </c>
      <c r="X107" t="s">
        <v>123</v>
      </c>
      <c r="Y107" t="s">
        <v>39</v>
      </c>
      <c r="Z107" t="s">
        <v>53</v>
      </c>
      <c r="AA107" t="s">
        <v>42</v>
      </c>
      <c r="AB107" t="s">
        <v>55</v>
      </c>
      <c r="AC107">
        <f t="shared" si="11"/>
        <v>0</v>
      </c>
      <c r="AD107" s="12">
        <f t="shared" si="15"/>
        <v>0</v>
      </c>
      <c r="AE107" s="12">
        <f t="shared" si="16"/>
        <v>1</v>
      </c>
      <c r="AF107">
        <f t="shared" si="12"/>
        <v>0</v>
      </c>
      <c r="AG107">
        <f t="shared" si="17"/>
        <v>0</v>
      </c>
      <c r="AH107">
        <f t="shared" si="18"/>
        <v>1</v>
      </c>
      <c r="AI107">
        <f t="shared" si="19"/>
        <v>0</v>
      </c>
      <c r="AJ107">
        <f t="shared" si="20"/>
        <v>0</v>
      </c>
      <c r="AK107">
        <f t="shared" si="13"/>
        <v>0</v>
      </c>
      <c r="AL107">
        <f t="shared" si="21"/>
        <v>0</v>
      </c>
    </row>
    <row r="108" spans="1:38">
      <c r="A108" t="s">
        <v>446</v>
      </c>
      <c r="B108" t="s">
        <v>447</v>
      </c>
      <c r="C108" s="1">
        <f t="shared" si="14"/>
        <v>45597</v>
      </c>
      <c r="D108" t="s">
        <v>448</v>
      </c>
      <c r="E108">
        <v>226.9</v>
      </c>
      <c r="F108">
        <v>9.5</v>
      </c>
      <c r="G108" t="s">
        <v>93</v>
      </c>
      <c r="H108" t="s">
        <v>449</v>
      </c>
      <c r="I108" t="s">
        <v>79</v>
      </c>
      <c r="J108">
        <v>360</v>
      </c>
      <c r="K108" t="s">
        <v>49</v>
      </c>
      <c r="L108" t="s">
        <v>70</v>
      </c>
      <c r="M108" t="s">
        <v>35</v>
      </c>
      <c r="N108" t="s">
        <v>36</v>
      </c>
      <c r="O108" t="s">
        <v>37</v>
      </c>
      <c r="P108" t="s">
        <v>38</v>
      </c>
      <c r="Q108" t="s">
        <v>38</v>
      </c>
      <c r="R108">
        <v>1</v>
      </c>
      <c r="S108" t="s">
        <v>38</v>
      </c>
      <c r="T108">
        <v>5</v>
      </c>
      <c r="U108">
        <v>3</v>
      </c>
      <c r="V108">
        <v>29.4</v>
      </c>
      <c r="W108" t="s">
        <v>39</v>
      </c>
      <c r="X108" t="s">
        <v>52</v>
      </c>
      <c r="Y108" t="s">
        <v>39</v>
      </c>
      <c r="Z108" t="s">
        <v>53</v>
      </c>
      <c r="AA108" t="s">
        <v>109</v>
      </c>
      <c r="AB108" t="s">
        <v>55</v>
      </c>
      <c r="AC108">
        <f t="shared" si="11"/>
        <v>1</v>
      </c>
      <c r="AD108" s="12">
        <f t="shared" si="15"/>
        <v>0</v>
      </c>
      <c r="AE108" s="12">
        <f t="shared" si="16"/>
        <v>0</v>
      </c>
      <c r="AF108">
        <f t="shared" si="12"/>
        <v>0</v>
      </c>
      <c r="AG108">
        <f t="shared" si="17"/>
        <v>0</v>
      </c>
      <c r="AH108">
        <f t="shared" si="18"/>
        <v>0</v>
      </c>
      <c r="AI108">
        <f t="shared" si="19"/>
        <v>0</v>
      </c>
      <c r="AJ108">
        <f t="shared" si="20"/>
        <v>0</v>
      </c>
      <c r="AK108">
        <f t="shared" si="13"/>
        <v>0</v>
      </c>
      <c r="AL108">
        <f t="shared" si="21"/>
        <v>0</v>
      </c>
    </row>
    <row r="109" spans="1:38">
      <c r="A109" t="s">
        <v>450</v>
      </c>
      <c r="B109" t="s">
        <v>451</v>
      </c>
      <c r="C109" s="1">
        <f t="shared" si="14"/>
        <v>45597</v>
      </c>
      <c r="D109" t="s">
        <v>452</v>
      </c>
      <c r="E109">
        <v>160.9</v>
      </c>
      <c r="F109">
        <v>6.7</v>
      </c>
      <c r="G109" t="s">
        <v>87</v>
      </c>
      <c r="H109" t="s">
        <v>183</v>
      </c>
      <c r="I109" t="s">
        <v>48</v>
      </c>
      <c r="J109">
        <v>120</v>
      </c>
      <c r="K109" t="s">
        <v>33</v>
      </c>
      <c r="L109" t="s">
        <v>70</v>
      </c>
      <c r="M109" t="s">
        <v>71</v>
      </c>
      <c r="N109" t="s">
        <v>61</v>
      </c>
      <c r="O109" t="s">
        <v>51</v>
      </c>
      <c r="P109" t="s">
        <v>38</v>
      </c>
      <c r="Q109" t="s">
        <v>39</v>
      </c>
      <c r="R109">
        <v>4</v>
      </c>
      <c r="S109" t="s">
        <v>38</v>
      </c>
      <c r="T109">
        <v>8</v>
      </c>
      <c r="U109">
        <v>6.4</v>
      </c>
      <c r="V109">
        <v>27.2</v>
      </c>
      <c r="W109" t="s">
        <v>39</v>
      </c>
      <c r="X109" t="s">
        <v>123</v>
      </c>
      <c r="Y109" t="s">
        <v>39</v>
      </c>
      <c r="Z109" t="s">
        <v>179</v>
      </c>
      <c r="AA109" t="s">
        <v>103</v>
      </c>
      <c r="AB109" t="s">
        <v>55</v>
      </c>
      <c r="AC109">
        <f t="shared" si="11"/>
        <v>0</v>
      </c>
      <c r="AD109" s="12">
        <f t="shared" si="15"/>
        <v>0</v>
      </c>
      <c r="AE109" s="12">
        <f t="shared" si="16"/>
        <v>1</v>
      </c>
      <c r="AF109">
        <f t="shared" si="12"/>
        <v>1</v>
      </c>
      <c r="AG109">
        <f t="shared" si="17"/>
        <v>0</v>
      </c>
      <c r="AH109">
        <f t="shared" si="18"/>
        <v>1</v>
      </c>
      <c r="AI109">
        <f t="shared" si="19"/>
        <v>0</v>
      </c>
      <c r="AJ109">
        <f t="shared" si="20"/>
        <v>0</v>
      </c>
      <c r="AK109">
        <f t="shared" si="13"/>
        <v>0</v>
      </c>
      <c r="AL109">
        <f t="shared" si="21"/>
        <v>0</v>
      </c>
    </row>
    <row r="110" spans="1:38">
      <c r="A110" t="s">
        <v>453</v>
      </c>
      <c r="B110" t="s">
        <v>454</v>
      </c>
      <c r="C110" s="1">
        <f t="shared" si="14"/>
        <v>45292</v>
      </c>
      <c r="D110" t="s">
        <v>455</v>
      </c>
      <c r="E110">
        <v>201.1</v>
      </c>
      <c r="F110">
        <v>8.4</v>
      </c>
      <c r="G110" t="s">
        <v>68</v>
      </c>
      <c r="H110" t="s">
        <v>456</v>
      </c>
      <c r="I110" t="s">
        <v>48</v>
      </c>
      <c r="J110">
        <v>120</v>
      </c>
      <c r="K110" t="s">
        <v>33</v>
      </c>
      <c r="L110" t="s">
        <v>70</v>
      </c>
      <c r="M110" t="s">
        <v>35</v>
      </c>
      <c r="N110" t="s">
        <v>97</v>
      </c>
      <c r="O110" t="s">
        <v>37</v>
      </c>
      <c r="P110" t="s">
        <v>39</v>
      </c>
      <c r="Q110" t="s">
        <v>38</v>
      </c>
      <c r="R110">
        <v>0</v>
      </c>
      <c r="S110" t="s">
        <v>38</v>
      </c>
      <c r="T110">
        <v>6</v>
      </c>
      <c r="U110">
        <v>4.5999999999999996</v>
      </c>
      <c r="V110">
        <v>47.4</v>
      </c>
      <c r="W110" t="s">
        <v>38</v>
      </c>
      <c r="X110" t="s">
        <v>63</v>
      </c>
      <c r="Y110" t="s">
        <v>39</v>
      </c>
      <c r="Z110" t="s">
        <v>41</v>
      </c>
      <c r="AA110" t="s">
        <v>103</v>
      </c>
      <c r="AB110" t="s">
        <v>83</v>
      </c>
      <c r="AC110">
        <f t="shared" si="11"/>
        <v>0</v>
      </c>
      <c r="AD110" s="12">
        <f t="shared" si="15"/>
        <v>1</v>
      </c>
      <c r="AE110" s="12">
        <f t="shared" si="16"/>
        <v>0</v>
      </c>
      <c r="AF110">
        <f t="shared" si="12"/>
        <v>0</v>
      </c>
      <c r="AG110">
        <f t="shared" si="17"/>
        <v>0</v>
      </c>
      <c r="AH110">
        <f t="shared" si="18"/>
        <v>1</v>
      </c>
      <c r="AI110">
        <f t="shared" si="19"/>
        <v>0</v>
      </c>
      <c r="AJ110">
        <f t="shared" si="20"/>
        <v>0</v>
      </c>
      <c r="AK110">
        <f t="shared" si="13"/>
        <v>0</v>
      </c>
      <c r="AL110">
        <f t="shared" si="21"/>
        <v>0</v>
      </c>
    </row>
    <row r="111" spans="1:38">
      <c r="A111" t="s">
        <v>457</v>
      </c>
      <c r="B111" t="s">
        <v>458</v>
      </c>
      <c r="C111" s="1">
        <f t="shared" si="14"/>
        <v>45383</v>
      </c>
      <c r="D111" t="s">
        <v>459</v>
      </c>
      <c r="E111">
        <v>193.4</v>
      </c>
      <c r="F111">
        <v>8.1</v>
      </c>
      <c r="G111" t="s">
        <v>30</v>
      </c>
      <c r="H111" t="s">
        <v>159</v>
      </c>
      <c r="I111" t="s">
        <v>32</v>
      </c>
      <c r="J111">
        <v>240</v>
      </c>
      <c r="K111" t="s">
        <v>49</v>
      </c>
      <c r="L111" t="s">
        <v>113</v>
      </c>
      <c r="M111" t="s">
        <v>35</v>
      </c>
      <c r="N111" t="s">
        <v>72</v>
      </c>
      <c r="O111" t="s">
        <v>51</v>
      </c>
      <c r="P111" t="s">
        <v>38</v>
      </c>
      <c r="Q111" t="s">
        <v>38</v>
      </c>
      <c r="R111">
        <v>1</v>
      </c>
      <c r="S111" t="s">
        <v>38</v>
      </c>
      <c r="T111">
        <v>9</v>
      </c>
      <c r="U111">
        <v>2.2000000000000002</v>
      </c>
      <c r="V111">
        <v>35.700000000000003</v>
      </c>
      <c r="W111" t="s">
        <v>39</v>
      </c>
      <c r="X111" t="s">
        <v>40</v>
      </c>
      <c r="Y111" t="s">
        <v>38</v>
      </c>
      <c r="Z111" t="s">
        <v>81</v>
      </c>
      <c r="AA111" t="s">
        <v>109</v>
      </c>
      <c r="AB111" t="s">
        <v>83</v>
      </c>
      <c r="AC111">
        <f t="shared" si="11"/>
        <v>0</v>
      </c>
      <c r="AD111" s="12">
        <f t="shared" si="15"/>
        <v>0</v>
      </c>
      <c r="AE111" s="12">
        <f t="shared" si="16"/>
        <v>0</v>
      </c>
      <c r="AF111">
        <f t="shared" si="12"/>
        <v>1</v>
      </c>
      <c r="AG111">
        <f t="shared" si="17"/>
        <v>0</v>
      </c>
      <c r="AH111">
        <f t="shared" si="18"/>
        <v>0</v>
      </c>
      <c r="AI111">
        <f t="shared" si="19"/>
        <v>0</v>
      </c>
      <c r="AJ111">
        <f t="shared" si="20"/>
        <v>1</v>
      </c>
      <c r="AK111">
        <f t="shared" si="13"/>
        <v>1</v>
      </c>
      <c r="AL111">
        <f t="shared" si="21"/>
        <v>1</v>
      </c>
    </row>
    <row r="112" spans="1:38">
      <c r="A112" t="s">
        <v>460</v>
      </c>
      <c r="B112" t="s">
        <v>461</v>
      </c>
      <c r="C112" s="1">
        <f t="shared" si="14"/>
        <v>45323</v>
      </c>
      <c r="D112" t="s">
        <v>462</v>
      </c>
      <c r="E112">
        <v>38.6</v>
      </c>
      <c r="F112">
        <v>1.6</v>
      </c>
      <c r="G112" t="s">
        <v>87</v>
      </c>
      <c r="H112" t="s">
        <v>309</v>
      </c>
      <c r="I112" t="s">
        <v>95</v>
      </c>
      <c r="J112">
        <v>48</v>
      </c>
      <c r="K112" t="s">
        <v>49</v>
      </c>
      <c r="L112" t="s">
        <v>70</v>
      </c>
      <c r="M112" t="s">
        <v>35</v>
      </c>
      <c r="N112" t="s">
        <v>192</v>
      </c>
      <c r="O112" t="s">
        <v>37</v>
      </c>
      <c r="P112" t="s">
        <v>39</v>
      </c>
      <c r="Q112" t="s">
        <v>38</v>
      </c>
      <c r="R112">
        <v>0</v>
      </c>
      <c r="S112" t="s">
        <v>38</v>
      </c>
      <c r="T112">
        <v>7</v>
      </c>
      <c r="U112">
        <v>1.6</v>
      </c>
      <c r="V112">
        <v>22.5</v>
      </c>
      <c r="W112" t="s">
        <v>38</v>
      </c>
      <c r="X112" t="s">
        <v>123</v>
      </c>
      <c r="Y112" t="s">
        <v>39</v>
      </c>
      <c r="Z112" t="s">
        <v>41</v>
      </c>
      <c r="AA112" t="s">
        <v>82</v>
      </c>
      <c r="AB112" t="s">
        <v>83</v>
      </c>
      <c r="AC112">
        <f t="shared" si="11"/>
        <v>0</v>
      </c>
      <c r="AD112" s="12">
        <f t="shared" si="15"/>
        <v>0</v>
      </c>
      <c r="AE112" s="12">
        <f t="shared" si="16"/>
        <v>1</v>
      </c>
      <c r="AF112">
        <f t="shared" si="12"/>
        <v>0</v>
      </c>
      <c r="AG112">
        <f t="shared" si="17"/>
        <v>0</v>
      </c>
      <c r="AH112">
        <f t="shared" si="18"/>
        <v>0</v>
      </c>
      <c r="AI112">
        <f t="shared" si="19"/>
        <v>1</v>
      </c>
      <c r="AJ112">
        <f t="shared" si="20"/>
        <v>0</v>
      </c>
      <c r="AK112">
        <f t="shared" si="13"/>
        <v>0</v>
      </c>
      <c r="AL112">
        <f t="shared" si="21"/>
        <v>0</v>
      </c>
    </row>
    <row r="113" spans="1:38">
      <c r="A113" t="s">
        <v>463</v>
      </c>
      <c r="B113" t="s">
        <v>464</v>
      </c>
      <c r="C113" s="1">
        <f t="shared" si="14"/>
        <v>45597</v>
      </c>
      <c r="D113" t="s">
        <v>465</v>
      </c>
      <c r="E113">
        <v>73.7</v>
      </c>
      <c r="F113">
        <v>3.1</v>
      </c>
      <c r="G113" t="s">
        <v>59</v>
      </c>
      <c r="H113" t="s">
        <v>466</v>
      </c>
      <c r="I113" t="s">
        <v>48</v>
      </c>
      <c r="J113">
        <v>120</v>
      </c>
      <c r="K113" t="s">
        <v>49</v>
      </c>
      <c r="L113" t="s">
        <v>96</v>
      </c>
      <c r="M113" t="s">
        <v>35</v>
      </c>
      <c r="N113" t="s">
        <v>80</v>
      </c>
      <c r="O113" t="s">
        <v>51</v>
      </c>
      <c r="P113" t="s">
        <v>38</v>
      </c>
      <c r="Q113" t="s">
        <v>38</v>
      </c>
      <c r="R113">
        <v>1</v>
      </c>
      <c r="S113" t="s">
        <v>38</v>
      </c>
      <c r="T113">
        <v>9</v>
      </c>
      <c r="U113">
        <v>2.4</v>
      </c>
      <c r="V113">
        <v>17.5</v>
      </c>
      <c r="W113" t="s">
        <v>39</v>
      </c>
      <c r="X113" t="s">
        <v>63</v>
      </c>
      <c r="Y113" t="s">
        <v>38</v>
      </c>
      <c r="Z113" t="s">
        <v>81</v>
      </c>
      <c r="AA113" t="s">
        <v>82</v>
      </c>
      <c r="AB113" t="s">
        <v>55</v>
      </c>
      <c r="AC113">
        <f t="shared" si="11"/>
        <v>0</v>
      </c>
      <c r="AD113" s="12">
        <f t="shared" si="15"/>
        <v>1</v>
      </c>
      <c r="AE113" s="12">
        <f t="shared" si="16"/>
        <v>0</v>
      </c>
      <c r="AF113">
        <f t="shared" si="12"/>
        <v>1</v>
      </c>
      <c r="AG113">
        <f t="shared" si="17"/>
        <v>0</v>
      </c>
      <c r="AH113">
        <f t="shared" si="18"/>
        <v>1</v>
      </c>
      <c r="AI113">
        <f t="shared" si="19"/>
        <v>0</v>
      </c>
      <c r="AJ113">
        <f t="shared" si="20"/>
        <v>0</v>
      </c>
      <c r="AK113">
        <f t="shared" si="13"/>
        <v>0</v>
      </c>
      <c r="AL113">
        <f t="shared" si="21"/>
        <v>1</v>
      </c>
    </row>
    <row r="114" spans="1:38">
      <c r="A114" t="s">
        <v>467</v>
      </c>
      <c r="B114" t="s">
        <v>468</v>
      </c>
      <c r="C114" s="1">
        <f t="shared" si="14"/>
        <v>45383</v>
      </c>
      <c r="D114" t="s">
        <v>469</v>
      </c>
      <c r="E114">
        <v>179</v>
      </c>
      <c r="F114">
        <v>7.5</v>
      </c>
      <c r="G114" t="s">
        <v>101</v>
      </c>
      <c r="H114" t="s">
        <v>102</v>
      </c>
      <c r="I114" t="s">
        <v>32</v>
      </c>
      <c r="J114">
        <v>240</v>
      </c>
      <c r="K114" t="s">
        <v>49</v>
      </c>
      <c r="L114" t="s">
        <v>70</v>
      </c>
      <c r="M114" t="s">
        <v>35</v>
      </c>
      <c r="N114" t="s">
        <v>107</v>
      </c>
      <c r="O114" t="s">
        <v>37</v>
      </c>
      <c r="P114" t="s">
        <v>38</v>
      </c>
      <c r="Q114" t="s">
        <v>38</v>
      </c>
      <c r="R114">
        <v>1</v>
      </c>
      <c r="S114" t="s">
        <v>38</v>
      </c>
      <c r="T114">
        <v>9</v>
      </c>
      <c r="U114">
        <v>5.3</v>
      </c>
      <c r="V114">
        <v>50.9</v>
      </c>
      <c r="W114" t="s">
        <v>39</v>
      </c>
      <c r="X114" t="s">
        <v>63</v>
      </c>
      <c r="Y114" t="s">
        <v>39</v>
      </c>
      <c r="Z114" t="s">
        <v>73</v>
      </c>
      <c r="AA114" t="s">
        <v>54</v>
      </c>
      <c r="AB114" t="s">
        <v>83</v>
      </c>
      <c r="AC114">
        <f t="shared" si="11"/>
        <v>0</v>
      </c>
      <c r="AD114" s="12">
        <f t="shared" si="15"/>
        <v>1</v>
      </c>
      <c r="AE114" s="12">
        <f t="shared" si="16"/>
        <v>0</v>
      </c>
      <c r="AF114">
        <f t="shared" si="12"/>
        <v>0</v>
      </c>
      <c r="AG114">
        <f t="shared" si="17"/>
        <v>0</v>
      </c>
      <c r="AH114">
        <f t="shared" si="18"/>
        <v>0</v>
      </c>
      <c r="AI114">
        <f t="shared" si="19"/>
        <v>0</v>
      </c>
      <c r="AJ114">
        <f t="shared" si="20"/>
        <v>1</v>
      </c>
      <c r="AK114">
        <f t="shared" si="13"/>
        <v>0</v>
      </c>
      <c r="AL114">
        <f t="shared" si="21"/>
        <v>0</v>
      </c>
    </row>
    <row r="115" spans="1:38">
      <c r="A115" t="s">
        <v>470</v>
      </c>
      <c r="B115" t="s">
        <v>471</v>
      </c>
      <c r="C115" s="1">
        <f t="shared" si="14"/>
        <v>45413</v>
      </c>
      <c r="D115" t="s">
        <v>472</v>
      </c>
      <c r="E115">
        <v>106.7</v>
      </c>
      <c r="F115">
        <v>4.4000000000000004</v>
      </c>
      <c r="G115" t="s">
        <v>30</v>
      </c>
      <c r="H115" t="s">
        <v>31</v>
      </c>
      <c r="I115" t="s">
        <v>48</v>
      </c>
      <c r="J115">
        <v>120</v>
      </c>
      <c r="K115" t="s">
        <v>49</v>
      </c>
      <c r="L115" t="s">
        <v>34</v>
      </c>
      <c r="M115" t="s">
        <v>35</v>
      </c>
      <c r="N115" t="s">
        <v>192</v>
      </c>
      <c r="O115" t="s">
        <v>7232</v>
      </c>
      <c r="P115" t="s">
        <v>39</v>
      </c>
      <c r="Q115" t="s">
        <v>38</v>
      </c>
      <c r="R115">
        <v>0</v>
      </c>
      <c r="S115" t="s">
        <v>39</v>
      </c>
      <c r="T115">
        <v>9</v>
      </c>
      <c r="U115">
        <v>2.8</v>
      </c>
      <c r="V115">
        <v>36.9</v>
      </c>
      <c r="W115" t="s">
        <v>38</v>
      </c>
      <c r="X115" t="s">
        <v>123</v>
      </c>
      <c r="Y115" t="s">
        <v>39</v>
      </c>
      <c r="Z115" t="s">
        <v>73</v>
      </c>
      <c r="AA115" t="s">
        <v>42</v>
      </c>
      <c r="AB115" t="s">
        <v>83</v>
      </c>
      <c r="AC115">
        <f t="shared" si="11"/>
        <v>0</v>
      </c>
      <c r="AD115" s="12">
        <f t="shared" si="15"/>
        <v>0</v>
      </c>
      <c r="AE115" s="12">
        <f t="shared" si="16"/>
        <v>1</v>
      </c>
      <c r="AF115">
        <f t="shared" si="12"/>
        <v>0</v>
      </c>
      <c r="AG115">
        <f t="shared" si="17"/>
        <v>1</v>
      </c>
      <c r="AH115">
        <f t="shared" si="18"/>
        <v>1</v>
      </c>
      <c r="AI115">
        <f t="shared" si="19"/>
        <v>0</v>
      </c>
      <c r="AJ115">
        <f t="shared" si="20"/>
        <v>0</v>
      </c>
      <c r="AK115">
        <f t="shared" si="13"/>
        <v>1</v>
      </c>
      <c r="AL115">
        <f t="shared" si="21"/>
        <v>0</v>
      </c>
    </row>
    <row r="116" spans="1:38">
      <c r="A116" t="s">
        <v>473</v>
      </c>
      <c r="B116" t="s">
        <v>474</v>
      </c>
      <c r="C116" s="1">
        <f t="shared" si="14"/>
        <v>45536</v>
      </c>
      <c r="D116" t="s">
        <v>475</v>
      </c>
      <c r="E116">
        <v>147.80000000000001</v>
      </c>
      <c r="F116">
        <v>6.2</v>
      </c>
      <c r="G116" t="s">
        <v>30</v>
      </c>
      <c r="H116" t="s">
        <v>31</v>
      </c>
      <c r="I116" t="s">
        <v>32</v>
      </c>
      <c r="J116">
        <v>240</v>
      </c>
      <c r="K116" t="s">
        <v>49</v>
      </c>
      <c r="L116" t="s">
        <v>96</v>
      </c>
      <c r="M116" t="s">
        <v>35</v>
      </c>
      <c r="N116" t="s">
        <v>220</v>
      </c>
      <c r="O116" t="s">
        <v>7232</v>
      </c>
      <c r="P116" t="s">
        <v>39</v>
      </c>
      <c r="Q116" t="s">
        <v>38</v>
      </c>
      <c r="R116">
        <v>0</v>
      </c>
      <c r="S116" t="s">
        <v>38</v>
      </c>
      <c r="T116">
        <v>8</v>
      </c>
      <c r="U116">
        <v>6.4</v>
      </c>
      <c r="V116">
        <v>27.6</v>
      </c>
      <c r="W116" t="s">
        <v>39</v>
      </c>
      <c r="X116" t="s">
        <v>63</v>
      </c>
      <c r="Y116" t="s">
        <v>38</v>
      </c>
      <c r="Z116" t="s">
        <v>179</v>
      </c>
      <c r="AA116" t="s">
        <v>103</v>
      </c>
      <c r="AB116" t="s">
        <v>55</v>
      </c>
      <c r="AC116">
        <f t="shared" si="11"/>
        <v>0</v>
      </c>
      <c r="AD116" s="12">
        <f t="shared" si="15"/>
        <v>1</v>
      </c>
      <c r="AE116" s="12">
        <f t="shared" si="16"/>
        <v>0</v>
      </c>
      <c r="AF116">
        <f t="shared" si="12"/>
        <v>0</v>
      </c>
      <c r="AG116">
        <f t="shared" si="17"/>
        <v>1</v>
      </c>
      <c r="AH116">
        <f t="shared" si="18"/>
        <v>0</v>
      </c>
      <c r="AI116">
        <f t="shared" si="19"/>
        <v>0</v>
      </c>
      <c r="AJ116">
        <f t="shared" si="20"/>
        <v>1</v>
      </c>
      <c r="AK116">
        <f t="shared" si="13"/>
        <v>1</v>
      </c>
      <c r="AL116">
        <f t="shared" si="21"/>
        <v>1</v>
      </c>
    </row>
    <row r="117" spans="1:38">
      <c r="A117" t="s">
        <v>476</v>
      </c>
      <c r="B117" t="s">
        <v>477</v>
      </c>
      <c r="C117" s="1">
        <f t="shared" si="14"/>
        <v>45474</v>
      </c>
      <c r="D117" t="s">
        <v>478</v>
      </c>
      <c r="E117">
        <v>150.80000000000001</v>
      </c>
      <c r="F117">
        <v>6.3</v>
      </c>
      <c r="G117" t="s">
        <v>101</v>
      </c>
      <c r="H117" t="s">
        <v>102</v>
      </c>
      <c r="I117" t="s">
        <v>32</v>
      </c>
      <c r="J117">
        <v>240</v>
      </c>
      <c r="K117" t="s">
        <v>49</v>
      </c>
      <c r="L117" t="s">
        <v>70</v>
      </c>
      <c r="M117" t="s">
        <v>35</v>
      </c>
      <c r="N117" t="s">
        <v>36</v>
      </c>
      <c r="O117" t="s">
        <v>51</v>
      </c>
      <c r="P117" t="s">
        <v>39</v>
      </c>
      <c r="Q117" t="s">
        <v>38</v>
      </c>
      <c r="R117">
        <v>0</v>
      </c>
      <c r="S117" t="s">
        <v>38</v>
      </c>
      <c r="T117">
        <v>10</v>
      </c>
      <c r="U117">
        <v>3.7</v>
      </c>
      <c r="V117">
        <v>42.4</v>
      </c>
      <c r="W117" t="s">
        <v>39</v>
      </c>
      <c r="X117" t="s">
        <v>52</v>
      </c>
      <c r="Y117" t="s">
        <v>39</v>
      </c>
      <c r="Z117" t="s">
        <v>73</v>
      </c>
      <c r="AA117" t="s">
        <v>109</v>
      </c>
      <c r="AB117" t="s">
        <v>55</v>
      </c>
      <c r="AC117">
        <f t="shared" si="11"/>
        <v>1</v>
      </c>
      <c r="AD117" s="12">
        <f t="shared" si="15"/>
        <v>0</v>
      </c>
      <c r="AE117" s="12">
        <f t="shared" si="16"/>
        <v>0</v>
      </c>
      <c r="AF117">
        <f t="shared" si="12"/>
        <v>1</v>
      </c>
      <c r="AG117">
        <f t="shared" si="17"/>
        <v>0</v>
      </c>
      <c r="AH117">
        <f t="shared" si="18"/>
        <v>0</v>
      </c>
      <c r="AI117">
        <f t="shared" si="19"/>
        <v>0</v>
      </c>
      <c r="AJ117">
        <f t="shared" si="20"/>
        <v>1</v>
      </c>
      <c r="AK117">
        <f t="shared" si="13"/>
        <v>0</v>
      </c>
      <c r="AL117">
        <f t="shared" si="21"/>
        <v>0</v>
      </c>
    </row>
    <row r="118" spans="1:38">
      <c r="A118" t="s">
        <v>479</v>
      </c>
      <c r="B118" t="s">
        <v>480</v>
      </c>
      <c r="C118" s="1">
        <f t="shared" si="14"/>
        <v>45536</v>
      </c>
      <c r="D118" t="s">
        <v>481</v>
      </c>
      <c r="E118">
        <v>315.2</v>
      </c>
      <c r="F118">
        <v>13.1</v>
      </c>
      <c r="G118" t="s">
        <v>142</v>
      </c>
      <c r="H118" t="s">
        <v>240</v>
      </c>
      <c r="I118" t="s">
        <v>32</v>
      </c>
      <c r="J118">
        <v>240</v>
      </c>
      <c r="K118" t="s">
        <v>33</v>
      </c>
      <c r="L118" t="s">
        <v>96</v>
      </c>
      <c r="M118" t="s">
        <v>71</v>
      </c>
      <c r="N118" t="s">
        <v>138</v>
      </c>
      <c r="O118" t="s">
        <v>7232</v>
      </c>
      <c r="P118" t="s">
        <v>38</v>
      </c>
      <c r="Q118" t="s">
        <v>39</v>
      </c>
      <c r="R118">
        <v>3</v>
      </c>
      <c r="S118" t="s">
        <v>38</v>
      </c>
      <c r="T118">
        <v>6</v>
      </c>
      <c r="U118">
        <v>4.8</v>
      </c>
      <c r="V118">
        <v>60.8</v>
      </c>
      <c r="W118" t="s">
        <v>38</v>
      </c>
      <c r="X118" t="s">
        <v>52</v>
      </c>
      <c r="Y118" t="s">
        <v>39</v>
      </c>
      <c r="Z118" t="s">
        <v>108</v>
      </c>
      <c r="AA118" t="s">
        <v>54</v>
      </c>
      <c r="AB118" t="s">
        <v>83</v>
      </c>
      <c r="AC118">
        <f t="shared" si="11"/>
        <v>1</v>
      </c>
      <c r="AD118" s="12">
        <f t="shared" si="15"/>
        <v>0</v>
      </c>
      <c r="AE118" s="12">
        <f t="shared" si="16"/>
        <v>0</v>
      </c>
      <c r="AF118">
        <f t="shared" si="12"/>
        <v>0</v>
      </c>
      <c r="AG118">
        <f t="shared" si="17"/>
        <v>1</v>
      </c>
      <c r="AH118">
        <f t="shared" si="18"/>
        <v>0</v>
      </c>
      <c r="AI118">
        <f t="shared" si="19"/>
        <v>0</v>
      </c>
      <c r="AJ118">
        <f t="shared" si="20"/>
        <v>1</v>
      </c>
      <c r="AK118">
        <f t="shared" si="13"/>
        <v>0</v>
      </c>
      <c r="AL118">
        <f t="shared" si="21"/>
        <v>0</v>
      </c>
    </row>
    <row r="119" spans="1:38">
      <c r="A119" t="s">
        <v>482</v>
      </c>
      <c r="B119" t="s">
        <v>483</v>
      </c>
      <c r="C119" s="1">
        <f t="shared" si="14"/>
        <v>45597</v>
      </c>
      <c r="D119" t="s">
        <v>484</v>
      </c>
      <c r="E119">
        <v>270.10000000000002</v>
      </c>
      <c r="F119">
        <v>11.3</v>
      </c>
      <c r="G119" t="s">
        <v>59</v>
      </c>
      <c r="H119" t="s">
        <v>466</v>
      </c>
      <c r="I119" t="s">
        <v>32</v>
      </c>
      <c r="J119">
        <v>240</v>
      </c>
      <c r="K119" t="s">
        <v>33</v>
      </c>
      <c r="L119" t="s">
        <v>34</v>
      </c>
      <c r="M119" t="s">
        <v>71</v>
      </c>
      <c r="N119" t="s">
        <v>97</v>
      </c>
      <c r="O119" t="s">
        <v>51</v>
      </c>
      <c r="P119" t="s">
        <v>38</v>
      </c>
      <c r="Q119" t="s">
        <v>39</v>
      </c>
      <c r="R119">
        <v>1</v>
      </c>
      <c r="S119" t="s">
        <v>38</v>
      </c>
      <c r="T119">
        <v>4</v>
      </c>
      <c r="U119">
        <v>0.5</v>
      </c>
      <c r="V119">
        <v>23.1</v>
      </c>
      <c r="W119" t="s">
        <v>38</v>
      </c>
      <c r="X119" t="s">
        <v>52</v>
      </c>
      <c r="Y119" t="s">
        <v>38</v>
      </c>
      <c r="Z119" t="s">
        <v>108</v>
      </c>
      <c r="AA119" t="s">
        <v>103</v>
      </c>
      <c r="AB119" t="s">
        <v>83</v>
      </c>
      <c r="AC119">
        <f t="shared" si="11"/>
        <v>1</v>
      </c>
      <c r="AD119" s="12">
        <f t="shared" si="15"/>
        <v>0</v>
      </c>
      <c r="AE119" s="12">
        <f t="shared" si="16"/>
        <v>0</v>
      </c>
      <c r="AF119">
        <f t="shared" si="12"/>
        <v>1</v>
      </c>
      <c r="AG119">
        <f t="shared" si="17"/>
        <v>0</v>
      </c>
      <c r="AH119">
        <f t="shared" si="18"/>
        <v>0</v>
      </c>
      <c r="AI119">
        <f t="shared" si="19"/>
        <v>0</v>
      </c>
      <c r="AJ119">
        <f t="shared" si="20"/>
        <v>1</v>
      </c>
      <c r="AK119">
        <f t="shared" si="13"/>
        <v>0</v>
      </c>
      <c r="AL119">
        <f t="shared" si="21"/>
        <v>1</v>
      </c>
    </row>
    <row r="120" spans="1:38">
      <c r="A120" t="s">
        <v>485</v>
      </c>
      <c r="B120" t="s">
        <v>486</v>
      </c>
      <c r="C120" s="1">
        <f t="shared" si="14"/>
        <v>45444</v>
      </c>
      <c r="D120" t="s">
        <v>487</v>
      </c>
      <c r="E120">
        <v>459.3</v>
      </c>
      <c r="F120">
        <v>19.100000000000001</v>
      </c>
      <c r="G120" t="s">
        <v>77</v>
      </c>
      <c r="H120" t="s">
        <v>78</v>
      </c>
      <c r="I120" t="s">
        <v>79</v>
      </c>
      <c r="J120">
        <v>360</v>
      </c>
      <c r="K120" t="s">
        <v>33</v>
      </c>
      <c r="L120" t="s">
        <v>113</v>
      </c>
      <c r="M120" t="s">
        <v>35</v>
      </c>
      <c r="N120" t="s">
        <v>61</v>
      </c>
      <c r="O120" t="s">
        <v>7232</v>
      </c>
      <c r="P120" t="s">
        <v>38</v>
      </c>
      <c r="Q120" t="s">
        <v>38</v>
      </c>
      <c r="R120">
        <v>1</v>
      </c>
      <c r="S120" t="s">
        <v>38</v>
      </c>
      <c r="T120">
        <v>4</v>
      </c>
      <c r="U120">
        <v>4.3</v>
      </c>
      <c r="V120">
        <v>2.8</v>
      </c>
      <c r="W120" t="s">
        <v>38</v>
      </c>
      <c r="X120" t="s">
        <v>63</v>
      </c>
      <c r="Y120" t="s">
        <v>39</v>
      </c>
      <c r="Z120" t="s">
        <v>115</v>
      </c>
      <c r="AA120" t="s">
        <v>82</v>
      </c>
      <c r="AB120" t="s">
        <v>55</v>
      </c>
      <c r="AC120">
        <f t="shared" si="11"/>
        <v>0</v>
      </c>
      <c r="AD120" s="12">
        <f t="shared" si="15"/>
        <v>1</v>
      </c>
      <c r="AE120" s="12">
        <f t="shared" si="16"/>
        <v>0</v>
      </c>
      <c r="AF120">
        <f t="shared" si="12"/>
        <v>0</v>
      </c>
      <c r="AG120">
        <f t="shared" si="17"/>
        <v>1</v>
      </c>
      <c r="AH120">
        <f t="shared" si="18"/>
        <v>0</v>
      </c>
      <c r="AI120">
        <f t="shared" si="19"/>
        <v>0</v>
      </c>
      <c r="AJ120">
        <f t="shared" si="20"/>
        <v>0</v>
      </c>
      <c r="AK120">
        <f t="shared" si="13"/>
        <v>0</v>
      </c>
      <c r="AL120">
        <f t="shared" si="21"/>
        <v>0</v>
      </c>
    </row>
    <row r="121" spans="1:38">
      <c r="A121" t="s">
        <v>488</v>
      </c>
      <c r="B121" t="s">
        <v>489</v>
      </c>
      <c r="C121" s="1">
        <f t="shared" si="14"/>
        <v>45383</v>
      </c>
      <c r="D121" t="s">
        <v>490</v>
      </c>
      <c r="E121">
        <v>268.3</v>
      </c>
      <c r="F121">
        <v>11.2</v>
      </c>
      <c r="G121" t="s">
        <v>101</v>
      </c>
      <c r="H121" t="s">
        <v>295</v>
      </c>
      <c r="I121" t="s">
        <v>32</v>
      </c>
      <c r="J121">
        <v>240</v>
      </c>
      <c r="K121" t="s">
        <v>33</v>
      </c>
      <c r="L121" t="s">
        <v>70</v>
      </c>
      <c r="M121" t="s">
        <v>35</v>
      </c>
      <c r="N121" t="s">
        <v>168</v>
      </c>
      <c r="O121" t="s">
        <v>51</v>
      </c>
      <c r="P121" t="s">
        <v>39</v>
      </c>
      <c r="Q121" t="s">
        <v>38</v>
      </c>
      <c r="R121">
        <v>0</v>
      </c>
      <c r="S121" t="s">
        <v>38</v>
      </c>
      <c r="T121">
        <v>5</v>
      </c>
      <c r="U121">
        <v>0.9</v>
      </c>
      <c r="V121">
        <v>15.5</v>
      </c>
      <c r="W121" t="s">
        <v>39</v>
      </c>
      <c r="X121" t="s">
        <v>63</v>
      </c>
      <c r="Y121" t="s">
        <v>38</v>
      </c>
      <c r="Z121" t="s">
        <v>81</v>
      </c>
      <c r="AA121" t="s">
        <v>82</v>
      </c>
      <c r="AB121" t="s">
        <v>83</v>
      </c>
      <c r="AC121">
        <f t="shared" si="11"/>
        <v>0</v>
      </c>
      <c r="AD121" s="12">
        <f t="shared" si="15"/>
        <v>1</v>
      </c>
      <c r="AE121" s="12">
        <f t="shared" si="16"/>
        <v>0</v>
      </c>
      <c r="AF121">
        <f t="shared" si="12"/>
        <v>1</v>
      </c>
      <c r="AG121">
        <f t="shared" si="17"/>
        <v>0</v>
      </c>
      <c r="AH121">
        <f t="shared" si="18"/>
        <v>0</v>
      </c>
      <c r="AI121">
        <f t="shared" si="19"/>
        <v>0</v>
      </c>
      <c r="AJ121">
        <f t="shared" si="20"/>
        <v>1</v>
      </c>
      <c r="AK121">
        <f t="shared" si="13"/>
        <v>0</v>
      </c>
      <c r="AL121">
        <f t="shared" si="21"/>
        <v>1</v>
      </c>
    </row>
    <row r="122" spans="1:38">
      <c r="A122" t="s">
        <v>491</v>
      </c>
      <c r="B122" t="s">
        <v>492</v>
      </c>
      <c r="C122" s="1">
        <f t="shared" si="14"/>
        <v>45597</v>
      </c>
      <c r="D122" t="s">
        <v>493</v>
      </c>
      <c r="E122">
        <v>215.4</v>
      </c>
      <c r="F122">
        <v>9</v>
      </c>
      <c r="G122" t="s">
        <v>30</v>
      </c>
      <c r="H122" t="s">
        <v>172</v>
      </c>
      <c r="I122" t="s">
        <v>48</v>
      </c>
      <c r="J122">
        <v>120</v>
      </c>
      <c r="K122" t="s">
        <v>33</v>
      </c>
      <c r="L122" t="s">
        <v>96</v>
      </c>
      <c r="M122" t="s">
        <v>71</v>
      </c>
      <c r="N122" t="s">
        <v>107</v>
      </c>
      <c r="O122" t="s">
        <v>37</v>
      </c>
      <c r="P122" t="s">
        <v>38</v>
      </c>
      <c r="Q122" t="s">
        <v>39</v>
      </c>
      <c r="R122">
        <v>1</v>
      </c>
      <c r="S122" t="s">
        <v>38</v>
      </c>
      <c r="T122">
        <v>7</v>
      </c>
      <c r="U122">
        <v>4.7</v>
      </c>
      <c r="V122">
        <v>15.2</v>
      </c>
      <c r="W122" t="s">
        <v>39</v>
      </c>
      <c r="X122" t="s">
        <v>123</v>
      </c>
      <c r="Y122" t="s">
        <v>39</v>
      </c>
      <c r="Z122" t="s">
        <v>64</v>
      </c>
      <c r="AA122" t="s">
        <v>103</v>
      </c>
      <c r="AB122" t="s">
        <v>83</v>
      </c>
      <c r="AC122">
        <f t="shared" si="11"/>
        <v>0</v>
      </c>
      <c r="AD122" s="12">
        <f t="shared" si="15"/>
        <v>0</v>
      </c>
      <c r="AE122" s="12">
        <f t="shared" si="16"/>
        <v>1</v>
      </c>
      <c r="AF122">
        <f t="shared" si="12"/>
        <v>0</v>
      </c>
      <c r="AG122">
        <f t="shared" si="17"/>
        <v>0</v>
      </c>
      <c r="AH122">
        <f t="shared" si="18"/>
        <v>1</v>
      </c>
      <c r="AI122">
        <f t="shared" si="19"/>
        <v>0</v>
      </c>
      <c r="AJ122">
        <f t="shared" si="20"/>
        <v>0</v>
      </c>
      <c r="AK122">
        <f t="shared" si="13"/>
        <v>1</v>
      </c>
      <c r="AL122">
        <f t="shared" si="21"/>
        <v>0</v>
      </c>
    </row>
    <row r="123" spans="1:38">
      <c r="A123" t="s">
        <v>494</v>
      </c>
      <c r="B123" t="s">
        <v>495</v>
      </c>
      <c r="C123" s="1">
        <f t="shared" si="14"/>
        <v>45352</v>
      </c>
      <c r="D123" t="s">
        <v>496</v>
      </c>
      <c r="E123">
        <v>188.4</v>
      </c>
      <c r="F123">
        <v>7.9</v>
      </c>
      <c r="G123" t="s">
        <v>101</v>
      </c>
      <c r="H123" t="s">
        <v>442</v>
      </c>
      <c r="I123" t="s">
        <v>32</v>
      </c>
      <c r="J123">
        <v>240</v>
      </c>
      <c r="K123" t="s">
        <v>49</v>
      </c>
      <c r="L123" t="s">
        <v>34</v>
      </c>
      <c r="M123" t="s">
        <v>71</v>
      </c>
      <c r="N123" t="s">
        <v>134</v>
      </c>
      <c r="O123" t="s">
        <v>37</v>
      </c>
      <c r="P123" t="s">
        <v>38</v>
      </c>
      <c r="Q123" t="s">
        <v>39</v>
      </c>
      <c r="R123">
        <v>1</v>
      </c>
      <c r="S123" t="s">
        <v>38</v>
      </c>
      <c r="T123">
        <v>10</v>
      </c>
      <c r="U123">
        <v>3.4</v>
      </c>
      <c r="V123">
        <v>0</v>
      </c>
      <c r="W123" t="s">
        <v>38</v>
      </c>
      <c r="X123" t="s">
        <v>52</v>
      </c>
      <c r="Y123" t="s">
        <v>39</v>
      </c>
      <c r="Z123" t="s">
        <v>115</v>
      </c>
      <c r="AA123" t="s">
        <v>82</v>
      </c>
      <c r="AB123" t="s">
        <v>83</v>
      </c>
      <c r="AC123">
        <f t="shared" si="11"/>
        <v>1</v>
      </c>
      <c r="AD123" s="12">
        <f t="shared" si="15"/>
        <v>0</v>
      </c>
      <c r="AE123" s="12">
        <f t="shared" si="16"/>
        <v>0</v>
      </c>
      <c r="AF123">
        <f t="shared" si="12"/>
        <v>0</v>
      </c>
      <c r="AG123">
        <f t="shared" si="17"/>
        <v>0</v>
      </c>
      <c r="AH123">
        <f t="shared" si="18"/>
        <v>0</v>
      </c>
      <c r="AI123">
        <f t="shared" si="19"/>
        <v>0</v>
      </c>
      <c r="AJ123">
        <f t="shared" si="20"/>
        <v>1</v>
      </c>
      <c r="AK123">
        <f t="shared" si="13"/>
        <v>0</v>
      </c>
      <c r="AL123">
        <f t="shared" si="21"/>
        <v>0</v>
      </c>
    </row>
    <row r="124" spans="1:38">
      <c r="A124" t="s">
        <v>497</v>
      </c>
      <c r="B124" t="s">
        <v>498</v>
      </c>
      <c r="C124" s="1">
        <f t="shared" si="14"/>
        <v>45627</v>
      </c>
      <c r="D124" t="s">
        <v>499</v>
      </c>
      <c r="E124">
        <v>346.4</v>
      </c>
      <c r="F124">
        <v>14.4</v>
      </c>
      <c r="G124" t="s">
        <v>30</v>
      </c>
      <c r="H124" t="s">
        <v>31</v>
      </c>
      <c r="I124" t="s">
        <v>32</v>
      </c>
      <c r="J124">
        <v>240</v>
      </c>
      <c r="K124" t="s">
        <v>33</v>
      </c>
      <c r="L124" t="s">
        <v>70</v>
      </c>
      <c r="M124" t="s">
        <v>71</v>
      </c>
      <c r="N124" t="s">
        <v>299</v>
      </c>
      <c r="O124" t="s">
        <v>7232</v>
      </c>
      <c r="P124" t="s">
        <v>38</v>
      </c>
      <c r="Q124" t="s">
        <v>39</v>
      </c>
      <c r="R124">
        <v>2</v>
      </c>
      <c r="S124" t="s">
        <v>38</v>
      </c>
      <c r="T124">
        <v>4</v>
      </c>
      <c r="U124">
        <v>2.5</v>
      </c>
      <c r="V124">
        <v>25.4</v>
      </c>
      <c r="W124" t="s">
        <v>39</v>
      </c>
      <c r="X124" t="s">
        <v>63</v>
      </c>
      <c r="Y124" t="s">
        <v>38</v>
      </c>
      <c r="Z124" t="s">
        <v>108</v>
      </c>
      <c r="AA124" t="s">
        <v>82</v>
      </c>
      <c r="AB124" t="s">
        <v>55</v>
      </c>
      <c r="AC124">
        <f t="shared" si="11"/>
        <v>0</v>
      </c>
      <c r="AD124" s="12">
        <f t="shared" si="15"/>
        <v>1</v>
      </c>
      <c r="AE124" s="12">
        <f t="shared" si="16"/>
        <v>0</v>
      </c>
      <c r="AF124">
        <f t="shared" si="12"/>
        <v>0</v>
      </c>
      <c r="AG124">
        <f t="shared" si="17"/>
        <v>1</v>
      </c>
      <c r="AH124">
        <f t="shared" si="18"/>
        <v>0</v>
      </c>
      <c r="AI124">
        <f t="shared" si="19"/>
        <v>0</v>
      </c>
      <c r="AJ124">
        <f t="shared" si="20"/>
        <v>1</v>
      </c>
      <c r="AK124">
        <f t="shared" si="13"/>
        <v>1</v>
      </c>
      <c r="AL124">
        <f t="shared" si="21"/>
        <v>1</v>
      </c>
    </row>
    <row r="125" spans="1:38">
      <c r="A125" t="s">
        <v>500</v>
      </c>
      <c r="B125" t="s">
        <v>501</v>
      </c>
      <c r="C125" s="1">
        <f t="shared" si="14"/>
        <v>45383</v>
      </c>
      <c r="D125" t="s">
        <v>502</v>
      </c>
      <c r="E125">
        <v>247</v>
      </c>
      <c r="F125">
        <v>10.3</v>
      </c>
      <c r="G125" t="s">
        <v>93</v>
      </c>
      <c r="H125" t="s">
        <v>291</v>
      </c>
      <c r="I125" t="s">
        <v>79</v>
      </c>
      <c r="J125">
        <v>360</v>
      </c>
      <c r="K125" t="s">
        <v>49</v>
      </c>
      <c r="L125" t="s">
        <v>113</v>
      </c>
      <c r="M125" t="s">
        <v>35</v>
      </c>
      <c r="N125" t="s">
        <v>144</v>
      </c>
      <c r="O125" t="s">
        <v>7232</v>
      </c>
      <c r="P125" t="s">
        <v>39</v>
      </c>
      <c r="Q125" t="s">
        <v>38</v>
      </c>
      <c r="R125">
        <v>0</v>
      </c>
      <c r="S125" t="s">
        <v>38</v>
      </c>
      <c r="T125">
        <v>10</v>
      </c>
      <c r="U125">
        <v>2.1</v>
      </c>
      <c r="V125">
        <v>19.3</v>
      </c>
      <c r="W125" t="s">
        <v>38</v>
      </c>
      <c r="X125" t="s">
        <v>63</v>
      </c>
      <c r="Y125" t="s">
        <v>39</v>
      </c>
      <c r="Z125" t="s">
        <v>179</v>
      </c>
      <c r="AA125" t="s">
        <v>54</v>
      </c>
      <c r="AB125" t="s">
        <v>83</v>
      </c>
      <c r="AC125">
        <f t="shared" si="11"/>
        <v>0</v>
      </c>
      <c r="AD125" s="12">
        <f t="shared" si="15"/>
        <v>1</v>
      </c>
      <c r="AE125" s="12">
        <f t="shared" si="16"/>
        <v>0</v>
      </c>
      <c r="AF125">
        <f t="shared" si="12"/>
        <v>0</v>
      </c>
      <c r="AG125">
        <f t="shared" si="17"/>
        <v>1</v>
      </c>
      <c r="AH125">
        <f t="shared" si="18"/>
        <v>0</v>
      </c>
      <c r="AI125">
        <f t="shared" si="19"/>
        <v>0</v>
      </c>
      <c r="AJ125">
        <f t="shared" si="20"/>
        <v>0</v>
      </c>
      <c r="AK125">
        <f t="shared" si="13"/>
        <v>0</v>
      </c>
      <c r="AL125">
        <f t="shared" si="21"/>
        <v>0</v>
      </c>
    </row>
    <row r="126" spans="1:38">
      <c r="A126" t="s">
        <v>503</v>
      </c>
      <c r="B126" t="s">
        <v>504</v>
      </c>
      <c r="C126" s="1">
        <f t="shared" si="14"/>
        <v>45566</v>
      </c>
      <c r="D126" t="s">
        <v>505</v>
      </c>
      <c r="E126">
        <v>99</v>
      </c>
      <c r="F126">
        <v>4.0999999999999996</v>
      </c>
      <c r="G126" t="s">
        <v>68</v>
      </c>
      <c r="H126" t="s">
        <v>456</v>
      </c>
      <c r="I126" t="s">
        <v>48</v>
      </c>
      <c r="J126">
        <v>120</v>
      </c>
      <c r="K126" t="s">
        <v>49</v>
      </c>
      <c r="L126" t="s">
        <v>34</v>
      </c>
      <c r="M126" t="s">
        <v>71</v>
      </c>
      <c r="N126" t="s">
        <v>506</v>
      </c>
      <c r="O126" t="s">
        <v>7232</v>
      </c>
      <c r="P126" t="s">
        <v>38</v>
      </c>
      <c r="Q126" t="s">
        <v>39</v>
      </c>
      <c r="R126">
        <v>2</v>
      </c>
      <c r="S126" t="s">
        <v>38</v>
      </c>
      <c r="T126">
        <v>10</v>
      </c>
      <c r="U126">
        <v>0.9</v>
      </c>
      <c r="V126">
        <v>7.3</v>
      </c>
      <c r="W126" t="s">
        <v>39</v>
      </c>
      <c r="X126" t="s">
        <v>123</v>
      </c>
      <c r="Y126" t="s">
        <v>39</v>
      </c>
      <c r="Z126" t="s">
        <v>81</v>
      </c>
      <c r="AA126" t="s">
        <v>42</v>
      </c>
      <c r="AB126" t="s">
        <v>83</v>
      </c>
      <c r="AC126">
        <f t="shared" si="11"/>
        <v>0</v>
      </c>
      <c r="AD126" s="12">
        <f t="shared" si="15"/>
        <v>0</v>
      </c>
      <c r="AE126" s="12">
        <f t="shared" si="16"/>
        <v>1</v>
      </c>
      <c r="AF126">
        <f t="shared" si="12"/>
        <v>0</v>
      </c>
      <c r="AG126">
        <f t="shared" si="17"/>
        <v>1</v>
      </c>
      <c r="AH126">
        <f t="shared" si="18"/>
        <v>1</v>
      </c>
      <c r="AI126">
        <f t="shared" si="19"/>
        <v>0</v>
      </c>
      <c r="AJ126">
        <f t="shared" si="20"/>
        <v>0</v>
      </c>
      <c r="AK126">
        <f t="shared" si="13"/>
        <v>0</v>
      </c>
      <c r="AL126">
        <f t="shared" si="21"/>
        <v>0</v>
      </c>
    </row>
    <row r="127" spans="1:38">
      <c r="A127" t="s">
        <v>507</v>
      </c>
      <c r="B127" t="s">
        <v>508</v>
      </c>
      <c r="C127" s="1">
        <f t="shared" si="14"/>
        <v>45536</v>
      </c>
      <c r="D127" t="s">
        <v>509</v>
      </c>
      <c r="E127">
        <v>283</v>
      </c>
      <c r="F127">
        <v>11.8</v>
      </c>
      <c r="G127" t="s">
        <v>87</v>
      </c>
      <c r="H127" t="s">
        <v>183</v>
      </c>
      <c r="I127" t="s">
        <v>32</v>
      </c>
      <c r="J127">
        <v>240</v>
      </c>
      <c r="K127" t="s">
        <v>33</v>
      </c>
      <c r="L127" t="s">
        <v>96</v>
      </c>
      <c r="M127" t="s">
        <v>35</v>
      </c>
      <c r="N127" t="s">
        <v>97</v>
      </c>
      <c r="O127" t="s">
        <v>7232</v>
      </c>
      <c r="P127" t="s">
        <v>38</v>
      </c>
      <c r="Q127" t="s">
        <v>38</v>
      </c>
      <c r="R127">
        <v>1</v>
      </c>
      <c r="S127" t="s">
        <v>38</v>
      </c>
      <c r="T127">
        <v>2</v>
      </c>
      <c r="U127">
        <v>0.1</v>
      </c>
      <c r="V127">
        <v>17.899999999999999</v>
      </c>
      <c r="W127" t="s">
        <v>38</v>
      </c>
      <c r="X127" t="s">
        <v>123</v>
      </c>
      <c r="Y127" t="s">
        <v>38</v>
      </c>
      <c r="Z127" t="s">
        <v>73</v>
      </c>
      <c r="AA127" t="s">
        <v>109</v>
      </c>
      <c r="AB127" t="s">
        <v>55</v>
      </c>
      <c r="AC127">
        <f t="shared" si="11"/>
        <v>0</v>
      </c>
      <c r="AD127" s="12">
        <f t="shared" si="15"/>
        <v>0</v>
      </c>
      <c r="AE127" s="12">
        <f t="shared" si="16"/>
        <v>1</v>
      </c>
      <c r="AF127">
        <f t="shared" si="12"/>
        <v>0</v>
      </c>
      <c r="AG127">
        <f t="shared" si="17"/>
        <v>1</v>
      </c>
      <c r="AH127">
        <f t="shared" si="18"/>
        <v>0</v>
      </c>
      <c r="AI127">
        <f t="shared" si="19"/>
        <v>0</v>
      </c>
      <c r="AJ127">
        <f t="shared" si="20"/>
        <v>1</v>
      </c>
      <c r="AK127">
        <f t="shared" si="13"/>
        <v>0</v>
      </c>
      <c r="AL127">
        <f t="shared" si="21"/>
        <v>1</v>
      </c>
    </row>
    <row r="128" spans="1:38">
      <c r="A128" t="s">
        <v>510</v>
      </c>
      <c r="B128" t="s">
        <v>511</v>
      </c>
      <c r="C128" s="1">
        <f t="shared" si="14"/>
        <v>45444</v>
      </c>
      <c r="D128" t="s">
        <v>512</v>
      </c>
      <c r="E128">
        <v>290.60000000000002</v>
      </c>
      <c r="F128">
        <v>12.1</v>
      </c>
      <c r="G128" t="s">
        <v>93</v>
      </c>
      <c r="H128" t="s">
        <v>163</v>
      </c>
      <c r="I128" t="s">
        <v>79</v>
      </c>
      <c r="J128">
        <v>360</v>
      </c>
      <c r="K128" t="s">
        <v>49</v>
      </c>
      <c r="L128" t="s">
        <v>70</v>
      </c>
      <c r="M128" t="s">
        <v>35</v>
      </c>
      <c r="N128" t="s">
        <v>36</v>
      </c>
      <c r="O128" t="s">
        <v>7232</v>
      </c>
      <c r="P128" t="s">
        <v>38</v>
      </c>
      <c r="Q128" t="s">
        <v>38</v>
      </c>
      <c r="R128">
        <v>1</v>
      </c>
      <c r="S128" t="s">
        <v>38</v>
      </c>
      <c r="T128">
        <v>7</v>
      </c>
      <c r="U128">
        <v>4.8</v>
      </c>
      <c r="V128">
        <v>8.3000000000000007</v>
      </c>
      <c r="W128" t="s">
        <v>38</v>
      </c>
      <c r="X128" t="s">
        <v>63</v>
      </c>
      <c r="Y128" t="s">
        <v>39</v>
      </c>
      <c r="Z128" t="s">
        <v>108</v>
      </c>
      <c r="AA128" t="s">
        <v>109</v>
      </c>
      <c r="AB128" t="s">
        <v>55</v>
      </c>
      <c r="AC128">
        <f t="shared" si="11"/>
        <v>0</v>
      </c>
      <c r="AD128" s="12">
        <f t="shared" si="15"/>
        <v>1</v>
      </c>
      <c r="AE128" s="12">
        <f t="shared" si="16"/>
        <v>0</v>
      </c>
      <c r="AF128">
        <f t="shared" si="12"/>
        <v>0</v>
      </c>
      <c r="AG128">
        <f t="shared" si="17"/>
        <v>1</v>
      </c>
      <c r="AH128">
        <f t="shared" si="18"/>
        <v>0</v>
      </c>
      <c r="AI128">
        <f t="shared" si="19"/>
        <v>0</v>
      </c>
      <c r="AJ128">
        <f t="shared" si="20"/>
        <v>0</v>
      </c>
      <c r="AK128">
        <f t="shared" si="13"/>
        <v>0</v>
      </c>
      <c r="AL128">
        <f t="shared" si="21"/>
        <v>0</v>
      </c>
    </row>
    <row r="129" spans="1:38">
      <c r="A129" t="s">
        <v>513</v>
      </c>
      <c r="B129" t="s">
        <v>514</v>
      </c>
      <c r="C129" s="1">
        <f t="shared" si="14"/>
        <v>45352</v>
      </c>
      <c r="D129" t="s">
        <v>515</v>
      </c>
      <c r="E129">
        <v>181.1</v>
      </c>
      <c r="F129">
        <v>7.5</v>
      </c>
      <c r="G129" t="s">
        <v>30</v>
      </c>
      <c r="H129" t="s">
        <v>172</v>
      </c>
      <c r="I129" t="s">
        <v>32</v>
      </c>
      <c r="J129">
        <v>240</v>
      </c>
      <c r="K129" t="s">
        <v>49</v>
      </c>
      <c r="L129" t="s">
        <v>96</v>
      </c>
      <c r="M129" t="s">
        <v>35</v>
      </c>
      <c r="N129" t="s">
        <v>164</v>
      </c>
      <c r="O129" t="s">
        <v>7232</v>
      </c>
      <c r="P129" t="s">
        <v>38</v>
      </c>
      <c r="Q129" t="s">
        <v>38</v>
      </c>
      <c r="R129">
        <v>1</v>
      </c>
      <c r="S129" t="s">
        <v>38</v>
      </c>
      <c r="T129">
        <v>8</v>
      </c>
      <c r="U129">
        <v>1.2</v>
      </c>
      <c r="V129">
        <v>14.4</v>
      </c>
      <c r="W129" t="s">
        <v>39</v>
      </c>
      <c r="X129" t="s">
        <v>40</v>
      </c>
      <c r="Y129" t="s">
        <v>39</v>
      </c>
      <c r="Z129" t="s">
        <v>53</v>
      </c>
      <c r="AA129" t="s">
        <v>109</v>
      </c>
      <c r="AB129" t="s">
        <v>83</v>
      </c>
      <c r="AC129">
        <f t="shared" si="11"/>
        <v>0</v>
      </c>
      <c r="AD129" s="12">
        <f t="shared" si="15"/>
        <v>0</v>
      </c>
      <c r="AE129" s="12">
        <f t="shared" si="16"/>
        <v>0</v>
      </c>
      <c r="AF129">
        <f t="shared" si="12"/>
        <v>0</v>
      </c>
      <c r="AG129">
        <f t="shared" si="17"/>
        <v>1</v>
      </c>
      <c r="AH129">
        <f t="shared" si="18"/>
        <v>0</v>
      </c>
      <c r="AI129">
        <f t="shared" si="19"/>
        <v>0</v>
      </c>
      <c r="AJ129">
        <f t="shared" si="20"/>
        <v>1</v>
      </c>
      <c r="AK129">
        <f t="shared" si="13"/>
        <v>1</v>
      </c>
      <c r="AL129">
        <f t="shared" si="21"/>
        <v>0</v>
      </c>
    </row>
    <row r="130" spans="1:38">
      <c r="A130" t="s">
        <v>516</v>
      </c>
      <c r="B130" t="s">
        <v>517</v>
      </c>
      <c r="C130" s="1">
        <f t="shared" si="14"/>
        <v>45474</v>
      </c>
      <c r="D130" t="s">
        <v>518</v>
      </c>
      <c r="E130">
        <v>100.4</v>
      </c>
      <c r="F130">
        <v>4.2</v>
      </c>
      <c r="G130" t="s">
        <v>101</v>
      </c>
      <c r="H130" t="s">
        <v>102</v>
      </c>
      <c r="I130" t="s">
        <v>48</v>
      </c>
      <c r="J130">
        <v>120</v>
      </c>
      <c r="K130" t="s">
        <v>49</v>
      </c>
      <c r="L130" t="s">
        <v>70</v>
      </c>
      <c r="M130" t="s">
        <v>35</v>
      </c>
      <c r="N130" t="s">
        <v>97</v>
      </c>
      <c r="O130" t="s">
        <v>37</v>
      </c>
      <c r="P130" t="s">
        <v>39</v>
      </c>
      <c r="Q130" t="s">
        <v>38</v>
      </c>
      <c r="R130">
        <v>0</v>
      </c>
      <c r="S130" t="s">
        <v>38</v>
      </c>
      <c r="T130">
        <v>10</v>
      </c>
      <c r="U130">
        <v>0.9</v>
      </c>
      <c r="V130">
        <v>0</v>
      </c>
      <c r="W130" t="s">
        <v>39</v>
      </c>
      <c r="X130" t="s">
        <v>63</v>
      </c>
      <c r="Y130" t="s">
        <v>38</v>
      </c>
      <c r="Z130" t="s">
        <v>81</v>
      </c>
      <c r="AA130" t="s">
        <v>103</v>
      </c>
      <c r="AB130" t="s">
        <v>83</v>
      </c>
      <c r="AC130">
        <f t="shared" ref="AC130:AC193" si="22">IF(X130="Poor", 1, 0)</f>
        <v>0</v>
      </c>
      <c r="AD130" s="12">
        <f t="shared" si="15"/>
        <v>1</v>
      </c>
      <c r="AE130" s="12">
        <f t="shared" si="16"/>
        <v>0</v>
      </c>
      <c r="AF130">
        <f t="shared" ref="AF130:AF193" si="23">IF(O130="Junior", 1, 0)</f>
        <v>0</v>
      </c>
      <c r="AG130">
        <f t="shared" si="17"/>
        <v>0</v>
      </c>
      <c r="AH130">
        <f t="shared" si="18"/>
        <v>1</v>
      </c>
      <c r="AI130">
        <f t="shared" si="19"/>
        <v>0</v>
      </c>
      <c r="AJ130">
        <f t="shared" si="20"/>
        <v>0</v>
      </c>
      <c r="AK130">
        <f t="shared" ref="AK130:AK193" si="24">IF(G130="Access Requests", 1, 0)</f>
        <v>0</v>
      </c>
      <c r="AL130">
        <f t="shared" si="21"/>
        <v>1</v>
      </c>
    </row>
    <row r="131" spans="1:38">
      <c r="A131" t="s">
        <v>519</v>
      </c>
      <c r="B131" t="s">
        <v>520</v>
      </c>
      <c r="C131" s="1">
        <f t="shared" ref="C131:C194" si="25">DATE(YEAR(B131),MONTH(B131),1)</f>
        <v>45413</v>
      </c>
      <c r="D131" t="s">
        <v>521</v>
      </c>
      <c r="E131">
        <v>197.9</v>
      </c>
      <c r="F131">
        <v>8.1999999999999993</v>
      </c>
      <c r="G131" t="s">
        <v>87</v>
      </c>
      <c r="H131" t="s">
        <v>183</v>
      </c>
      <c r="I131" t="s">
        <v>32</v>
      </c>
      <c r="J131">
        <v>240</v>
      </c>
      <c r="K131" t="s">
        <v>49</v>
      </c>
      <c r="L131" t="s">
        <v>34</v>
      </c>
      <c r="M131" t="s">
        <v>71</v>
      </c>
      <c r="N131" t="s">
        <v>119</v>
      </c>
      <c r="O131" t="s">
        <v>7232</v>
      </c>
      <c r="P131" t="s">
        <v>38</v>
      </c>
      <c r="Q131" t="s">
        <v>39</v>
      </c>
      <c r="R131">
        <v>4</v>
      </c>
      <c r="S131" t="s">
        <v>38</v>
      </c>
      <c r="T131">
        <v>8</v>
      </c>
      <c r="U131">
        <v>2.2000000000000002</v>
      </c>
      <c r="V131">
        <v>22.7</v>
      </c>
      <c r="W131" t="s">
        <v>39</v>
      </c>
      <c r="X131" t="s">
        <v>63</v>
      </c>
      <c r="Y131" t="s">
        <v>38</v>
      </c>
      <c r="Z131" t="s">
        <v>41</v>
      </c>
      <c r="AA131" t="s">
        <v>109</v>
      </c>
      <c r="AB131" t="s">
        <v>83</v>
      </c>
      <c r="AC131">
        <f t="shared" si="22"/>
        <v>0</v>
      </c>
      <c r="AD131" s="12">
        <f t="shared" ref="AD131:AD194" si="26">IF(X131="Fair", 1, 0)</f>
        <v>1</v>
      </c>
      <c r="AE131" s="12">
        <f t="shared" ref="AE131:AE194" si="27">IF(X131="Good", 1, 0)</f>
        <v>0</v>
      </c>
      <c r="AF131">
        <f t="shared" si="23"/>
        <v>0</v>
      </c>
      <c r="AG131">
        <f t="shared" ref="AG131:AG194" si="28">IF(O131="Mid", 1, 0)</f>
        <v>1</v>
      </c>
      <c r="AH131">
        <f t="shared" ref="AH131:AH194" si="29">IF(I131="High", 1, 0)</f>
        <v>0</v>
      </c>
      <c r="AI131">
        <f t="shared" ref="AI131:AI194" si="30">IF(I131="Critical", 1, 0)</f>
        <v>0</v>
      </c>
      <c r="AJ131">
        <f t="shared" ref="AJ131:AJ194" si="31">IF(I131="Medium", 1, 0)</f>
        <v>1</v>
      </c>
      <c r="AK131">
        <f t="shared" si="24"/>
        <v>0</v>
      </c>
      <c r="AL131">
        <f t="shared" ref="AL131:AL194" si="32">IF(Y131="No", 1, 0)</f>
        <v>1</v>
      </c>
    </row>
    <row r="132" spans="1:38">
      <c r="A132" t="s">
        <v>522</v>
      </c>
      <c r="B132" t="s">
        <v>523</v>
      </c>
      <c r="C132" s="1">
        <f t="shared" si="25"/>
        <v>45292</v>
      </c>
      <c r="D132" t="s">
        <v>524</v>
      </c>
      <c r="E132">
        <v>269.10000000000002</v>
      </c>
      <c r="F132">
        <v>11.2</v>
      </c>
      <c r="G132" t="s">
        <v>77</v>
      </c>
      <c r="H132" t="s">
        <v>267</v>
      </c>
      <c r="I132" t="s">
        <v>79</v>
      </c>
      <c r="J132">
        <v>360</v>
      </c>
      <c r="K132" t="s">
        <v>49</v>
      </c>
      <c r="L132" t="s">
        <v>70</v>
      </c>
      <c r="M132" t="s">
        <v>35</v>
      </c>
      <c r="N132" t="s">
        <v>107</v>
      </c>
      <c r="O132" t="s">
        <v>37</v>
      </c>
      <c r="P132" t="s">
        <v>39</v>
      </c>
      <c r="Q132" t="s">
        <v>38</v>
      </c>
      <c r="R132">
        <v>0</v>
      </c>
      <c r="S132" t="s">
        <v>39</v>
      </c>
      <c r="T132">
        <v>9</v>
      </c>
      <c r="U132">
        <v>3</v>
      </c>
      <c r="V132">
        <v>4.4000000000000004</v>
      </c>
      <c r="W132" t="s">
        <v>39</v>
      </c>
      <c r="X132" t="s">
        <v>63</v>
      </c>
      <c r="Y132" t="s">
        <v>39</v>
      </c>
      <c r="Z132" t="s">
        <v>108</v>
      </c>
      <c r="AA132" t="s">
        <v>82</v>
      </c>
      <c r="AB132" t="s">
        <v>83</v>
      </c>
      <c r="AC132">
        <f t="shared" si="22"/>
        <v>0</v>
      </c>
      <c r="AD132" s="12">
        <f t="shared" si="26"/>
        <v>1</v>
      </c>
      <c r="AE132" s="12">
        <f t="shared" si="27"/>
        <v>0</v>
      </c>
      <c r="AF132">
        <f t="shared" si="23"/>
        <v>0</v>
      </c>
      <c r="AG132">
        <f t="shared" si="28"/>
        <v>0</v>
      </c>
      <c r="AH132">
        <f t="shared" si="29"/>
        <v>0</v>
      </c>
      <c r="AI132">
        <f t="shared" si="30"/>
        <v>0</v>
      </c>
      <c r="AJ132">
        <f t="shared" si="31"/>
        <v>0</v>
      </c>
      <c r="AK132">
        <f t="shared" si="24"/>
        <v>0</v>
      </c>
      <c r="AL132">
        <f t="shared" si="32"/>
        <v>0</v>
      </c>
    </row>
    <row r="133" spans="1:38">
      <c r="A133" t="s">
        <v>525</v>
      </c>
      <c r="B133" t="s">
        <v>526</v>
      </c>
      <c r="C133" s="1">
        <f t="shared" si="25"/>
        <v>45536</v>
      </c>
      <c r="D133" t="s">
        <v>527</v>
      </c>
      <c r="E133">
        <v>171</v>
      </c>
      <c r="F133">
        <v>7.1</v>
      </c>
      <c r="G133" t="s">
        <v>68</v>
      </c>
      <c r="H133" t="s">
        <v>212</v>
      </c>
      <c r="I133" t="s">
        <v>32</v>
      </c>
      <c r="J133">
        <v>240</v>
      </c>
      <c r="K133" t="s">
        <v>49</v>
      </c>
      <c r="L133" t="s">
        <v>96</v>
      </c>
      <c r="M133" t="s">
        <v>71</v>
      </c>
      <c r="N133" t="s">
        <v>277</v>
      </c>
      <c r="O133" t="s">
        <v>7232</v>
      </c>
      <c r="P133" t="s">
        <v>38</v>
      </c>
      <c r="Q133" t="s">
        <v>39</v>
      </c>
      <c r="R133">
        <v>3</v>
      </c>
      <c r="S133" t="s">
        <v>38</v>
      </c>
      <c r="T133">
        <v>9</v>
      </c>
      <c r="U133">
        <v>7.1</v>
      </c>
      <c r="V133">
        <v>31</v>
      </c>
      <c r="W133" t="s">
        <v>39</v>
      </c>
      <c r="X133" t="s">
        <v>123</v>
      </c>
      <c r="Y133" t="s">
        <v>39</v>
      </c>
      <c r="Z133" t="s">
        <v>53</v>
      </c>
      <c r="AA133" t="s">
        <v>82</v>
      </c>
      <c r="AB133" t="s">
        <v>83</v>
      </c>
      <c r="AC133">
        <f t="shared" si="22"/>
        <v>0</v>
      </c>
      <c r="AD133" s="12">
        <f t="shared" si="26"/>
        <v>0</v>
      </c>
      <c r="AE133" s="12">
        <f t="shared" si="27"/>
        <v>1</v>
      </c>
      <c r="AF133">
        <f t="shared" si="23"/>
        <v>0</v>
      </c>
      <c r="AG133">
        <f t="shared" si="28"/>
        <v>1</v>
      </c>
      <c r="AH133">
        <f t="shared" si="29"/>
        <v>0</v>
      </c>
      <c r="AI133">
        <f t="shared" si="30"/>
        <v>0</v>
      </c>
      <c r="AJ133">
        <f t="shared" si="31"/>
        <v>1</v>
      </c>
      <c r="AK133">
        <f t="shared" si="24"/>
        <v>0</v>
      </c>
      <c r="AL133">
        <f t="shared" si="32"/>
        <v>0</v>
      </c>
    </row>
    <row r="134" spans="1:38">
      <c r="A134" t="s">
        <v>528</v>
      </c>
      <c r="B134" t="s">
        <v>529</v>
      </c>
      <c r="C134" s="1">
        <f t="shared" si="25"/>
        <v>45323</v>
      </c>
      <c r="D134" t="s">
        <v>530</v>
      </c>
      <c r="E134">
        <v>147.80000000000001</v>
      </c>
      <c r="F134">
        <v>6.2</v>
      </c>
      <c r="G134" t="s">
        <v>87</v>
      </c>
      <c r="H134" t="s">
        <v>151</v>
      </c>
      <c r="I134" t="s">
        <v>48</v>
      </c>
      <c r="J134">
        <v>120</v>
      </c>
      <c r="K134" t="s">
        <v>33</v>
      </c>
      <c r="L134" t="s">
        <v>96</v>
      </c>
      <c r="M134" t="s">
        <v>35</v>
      </c>
      <c r="N134" t="s">
        <v>192</v>
      </c>
      <c r="O134" t="s">
        <v>51</v>
      </c>
      <c r="P134" t="s">
        <v>38</v>
      </c>
      <c r="Q134" t="s">
        <v>38</v>
      </c>
      <c r="R134">
        <v>1</v>
      </c>
      <c r="S134" t="s">
        <v>38</v>
      </c>
      <c r="T134">
        <v>6</v>
      </c>
      <c r="U134">
        <v>3.7</v>
      </c>
      <c r="V134">
        <v>26.8</v>
      </c>
      <c r="W134" t="s">
        <v>38</v>
      </c>
      <c r="X134" t="s">
        <v>63</v>
      </c>
      <c r="Y134" t="s">
        <v>39</v>
      </c>
      <c r="Z134" t="s">
        <v>64</v>
      </c>
      <c r="AA134" t="s">
        <v>82</v>
      </c>
      <c r="AB134" t="s">
        <v>55</v>
      </c>
      <c r="AC134">
        <f t="shared" si="22"/>
        <v>0</v>
      </c>
      <c r="AD134" s="12">
        <f t="shared" si="26"/>
        <v>1</v>
      </c>
      <c r="AE134" s="12">
        <f t="shared" si="27"/>
        <v>0</v>
      </c>
      <c r="AF134">
        <f t="shared" si="23"/>
        <v>1</v>
      </c>
      <c r="AG134">
        <f t="shared" si="28"/>
        <v>0</v>
      </c>
      <c r="AH134">
        <f t="shared" si="29"/>
        <v>1</v>
      </c>
      <c r="AI134">
        <f t="shared" si="30"/>
        <v>0</v>
      </c>
      <c r="AJ134">
        <f t="shared" si="31"/>
        <v>0</v>
      </c>
      <c r="AK134">
        <f t="shared" si="24"/>
        <v>0</v>
      </c>
      <c r="AL134">
        <f t="shared" si="32"/>
        <v>0</v>
      </c>
    </row>
    <row r="135" spans="1:38">
      <c r="A135" t="s">
        <v>531</v>
      </c>
      <c r="B135" t="s">
        <v>532</v>
      </c>
      <c r="C135" s="1">
        <f t="shared" si="25"/>
        <v>45536</v>
      </c>
      <c r="D135" t="s">
        <v>533</v>
      </c>
      <c r="E135">
        <v>269.89999999999998</v>
      </c>
      <c r="F135">
        <v>11.2</v>
      </c>
      <c r="G135" t="s">
        <v>142</v>
      </c>
      <c r="H135" t="s">
        <v>260</v>
      </c>
      <c r="I135" t="s">
        <v>79</v>
      </c>
      <c r="J135">
        <v>360</v>
      </c>
      <c r="K135" t="s">
        <v>49</v>
      </c>
      <c r="L135" t="s">
        <v>96</v>
      </c>
      <c r="M135" t="s">
        <v>35</v>
      </c>
      <c r="N135" t="s">
        <v>114</v>
      </c>
      <c r="O135" t="s">
        <v>37</v>
      </c>
      <c r="P135" t="s">
        <v>38</v>
      </c>
      <c r="Q135" t="s">
        <v>38</v>
      </c>
      <c r="R135">
        <v>1</v>
      </c>
      <c r="S135" t="s">
        <v>39</v>
      </c>
      <c r="T135">
        <v>8</v>
      </c>
      <c r="U135">
        <v>1.9</v>
      </c>
      <c r="V135">
        <v>17.8</v>
      </c>
      <c r="W135" t="s">
        <v>39</v>
      </c>
      <c r="X135" t="s">
        <v>123</v>
      </c>
      <c r="Y135" t="s">
        <v>39</v>
      </c>
      <c r="Z135" t="s">
        <v>73</v>
      </c>
      <c r="AA135" t="s">
        <v>54</v>
      </c>
      <c r="AB135" t="s">
        <v>55</v>
      </c>
      <c r="AC135">
        <f t="shared" si="22"/>
        <v>0</v>
      </c>
      <c r="AD135" s="12">
        <f t="shared" si="26"/>
        <v>0</v>
      </c>
      <c r="AE135" s="12">
        <f t="shared" si="27"/>
        <v>1</v>
      </c>
      <c r="AF135">
        <f t="shared" si="23"/>
        <v>0</v>
      </c>
      <c r="AG135">
        <f t="shared" si="28"/>
        <v>0</v>
      </c>
      <c r="AH135">
        <f t="shared" si="29"/>
        <v>0</v>
      </c>
      <c r="AI135">
        <f t="shared" si="30"/>
        <v>0</v>
      </c>
      <c r="AJ135">
        <f t="shared" si="31"/>
        <v>0</v>
      </c>
      <c r="AK135">
        <f t="shared" si="24"/>
        <v>0</v>
      </c>
      <c r="AL135">
        <f t="shared" si="32"/>
        <v>0</v>
      </c>
    </row>
    <row r="136" spans="1:38">
      <c r="A136" t="s">
        <v>534</v>
      </c>
      <c r="B136" t="s">
        <v>535</v>
      </c>
      <c r="C136" s="1">
        <f t="shared" si="25"/>
        <v>45292</v>
      </c>
      <c r="D136" t="s">
        <v>536</v>
      </c>
      <c r="E136">
        <v>107.5</v>
      </c>
      <c r="F136">
        <v>4.5</v>
      </c>
      <c r="G136" t="s">
        <v>87</v>
      </c>
      <c r="H136" t="s">
        <v>151</v>
      </c>
      <c r="I136" t="s">
        <v>48</v>
      </c>
      <c r="J136">
        <v>120</v>
      </c>
      <c r="K136" t="s">
        <v>49</v>
      </c>
      <c r="L136" t="s">
        <v>96</v>
      </c>
      <c r="M136" t="s">
        <v>35</v>
      </c>
      <c r="N136" t="s">
        <v>168</v>
      </c>
      <c r="O136" t="s">
        <v>51</v>
      </c>
      <c r="P136" t="s">
        <v>38</v>
      </c>
      <c r="Q136" t="s">
        <v>38</v>
      </c>
      <c r="R136">
        <v>1</v>
      </c>
      <c r="S136" t="s">
        <v>38</v>
      </c>
      <c r="T136">
        <v>9</v>
      </c>
      <c r="U136">
        <v>0.2</v>
      </c>
      <c r="V136">
        <v>13.8</v>
      </c>
      <c r="W136" t="s">
        <v>39</v>
      </c>
      <c r="X136" t="s">
        <v>40</v>
      </c>
      <c r="Y136" t="s">
        <v>39</v>
      </c>
      <c r="Z136" t="s">
        <v>73</v>
      </c>
      <c r="AA136" t="s">
        <v>82</v>
      </c>
      <c r="AB136" t="s">
        <v>83</v>
      </c>
      <c r="AC136">
        <f t="shared" si="22"/>
        <v>0</v>
      </c>
      <c r="AD136" s="12">
        <f t="shared" si="26"/>
        <v>0</v>
      </c>
      <c r="AE136" s="12">
        <f t="shared" si="27"/>
        <v>0</v>
      </c>
      <c r="AF136">
        <f t="shared" si="23"/>
        <v>1</v>
      </c>
      <c r="AG136">
        <f t="shared" si="28"/>
        <v>0</v>
      </c>
      <c r="AH136">
        <f t="shared" si="29"/>
        <v>1</v>
      </c>
      <c r="AI136">
        <f t="shared" si="30"/>
        <v>0</v>
      </c>
      <c r="AJ136">
        <f t="shared" si="31"/>
        <v>0</v>
      </c>
      <c r="AK136">
        <f t="shared" si="24"/>
        <v>0</v>
      </c>
      <c r="AL136">
        <f t="shared" si="32"/>
        <v>0</v>
      </c>
    </row>
    <row r="137" spans="1:38">
      <c r="A137" t="s">
        <v>537</v>
      </c>
      <c r="B137" t="s">
        <v>538</v>
      </c>
      <c r="C137" s="1">
        <f t="shared" si="25"/>
        <v>45383</v>
      </c>
      <c r="D137" t="s">
        <v>539</v>
      </c>
      <c r="E137">
        <v>152.1</v>
      </c>
      <c r="F137">
        <v>6.3</v>
      </c>
      <c r="G137" t="s">
        <v>142</v>
      </c>
      <c r="H137" t="s">
        <v>240</v>
      </c>
      <c r="I137" t="s">
        <v>32</v>
      </c>
      <c r="J137">
        <v>240</v>
      </c>
      <c r="K137" t="s">
        <v>49</v>
      </c>
      <c r="L137" t="s">
        <v>34</v>
      </c>
      <c r="M137" t="s">
        <v>35</v>
      </c>
      <c r="N137" t="s">
        <v>119</v>
      </c>
      <c r="O137" t="s">
        <v>37</v>
      </c>
      <c r="P137" t="s">
        <v>38</v>
      </c>
      <c r="Q137" t="s">
        <v>38</v>
      </c>
      <c r="R137">
        <v>1</v>
      </c>
      <c r="S137" t="s">
        <v>38</v>
      </c>
      <c r="T137">
        <v>5</v>
      </c>
      <c r="U137">
        <v>3.3</v>
      </c>
      <c r="V137">
        <v>24.1</v>
      </c>
      <c r="W137" t="s">
        <v>39</v>
      </c>
      <c r="X137" t="s">
        <v>63</v>
      </c>
      <c r="Y137" t="s">
        <v>38</v>
      </c>
      <c r="Z137" t="s">
        <v>115</v>
      </c>
      <c r="AA137" t="s">
        <v>82</v>
      </c>
      <c r="AB137" t="s">
        <v>83</v>
      </c>
      <c r="AC137">
        <f t="shared" si="22"/>
        <v>0</v>
      </c>
      <c r="AD137" s="12">
        <f t="shared" si="26"/>
        <v>1</v>
      </c>
      <c r="AE137" s="12">
        <f t="shared" si="27"/>
        <v>0</v>
      </c>
      <c r="AF137">
        <f t="shared" si="23"/>
        <v>0</v>
      </c>
      <c r="AG137">
        <f t="shared" si="28"/>
        <v>0</v>
      </c>
      <c r="AH137">
        <f t="shared" si="29"/>
        <v>0</v>
      </c>
      <c r="AI137">
        <f t="shared" si="30"/>
        <v>0</v>
      </c>
      <c r="AJ137">
        <f t="shared" si="31"/>
        <v>1</v>
      </c>
      <c r="AK137">
        <f t="shared" si="24"/>
        <v>0</v>
      </c>
      <c r="AL137">
        <f t="shared" si="32"/>
        <v>1</v>
      </c>
    </row>
    <row r="138" spans="1:38">
      <c r="A138" t="s">
        <v>540</v>
      </c>
      <c r="B138" t="s">
        <v>541</v>
      </c>
      <c r="C138" s="1">
        <f t="shared" si="25"/>
        <v>45444</v>
      </c>
      <c r="D138" t="s">
        <v>542</v>
      </c>
      <c r="E138">
        <v>101.3</v>
      </c>
      <c r="F138">
        <v>4.2</v>
      </c>
      <c r="G138" t="s">
        <v>59</v>
      </c>
      <c r="H138" t="s">
        <v>127</v>
      </c>
      <c r="I138" t="s">
        <v>48</v>
      </c>
      <c r="J138">
        <v>120</v>
      </c>
      <c r="K138" t="s">
        <v>49</v>
      </c>
      <c r="L138" t="s">
        <v>70</v>
      </c>
      <c r="M138" t="s">
        <v>71</v>
      </c>
      <c r="N138" t="s">
        <v>192</v>
      </c>
      <c r="O138" t="s">
        <v>51</v>
      </c>
      <c r="P138" t="s">
        <v>38</v>
      </c>
      <c r="Q138" t="s">
        <v>39</v>
      </c>
      <c r="R138">
        <v>4</v>
      </c>
      <c r="S138" t="s">
        <v>38</v>
      </c>
      <c r="T138">
        <v>9</v>
      </c>
      <c r="U138">
        <v>3.1</v>
      </c>
      <c r="V138">
        <v>28</v>
      </c>
      <c r="W138" t="s">
        <v>38</v>
      </c>
      <c r="X138" t="s">
        <v>40</v>
      </c>
      <c r="Y138" t="s">
        <v>38</v>
      </c>
      <c r="Z138" t="s">
        <v>53</v>
      </c>
      <c r="AA138" t="s">
        <v>103</v>
      </c>
      <c r="AB138" t="s">
        <v>83</v>
      </c>
      <c r="AC138">
        <f t="shared" si="22"/>
        <v>0</v>
      </c>
      <c r="AD138" s="12">
        <f t="shared" si="26"/>
        <v>0</v>
      </c>
      <c r="AE138" s="12">
        <f t="shared" si="27"/>
        <v>0</v>
      </c>
      <c r="AF138">
        <f t="shared" si="23"/>
        <v>1</v>
      </c>
      <c r="AG138">
        <f t="shared" si="28"/>
        <v>0</v>
      </c>
      <c r="AH138">
        <f t="shared" si="29"/>
        <v>1</v>
      </c>
      <c r="AI138">
        <f t="shared" si="30"/>
        <v>0</v>
      </c>
      <c r="AJ138">
        <f t="shared" si="31"/>
        <v>0</v>
      </c>
      <c r="AK138">
        <f t="shared" si="24"/>
        <v>0</v>
      </c>
      <c r="AL138">
        <f t="shared" si="32"/>
        <v>1</v>
      </c>
    </row>
    <row r="139" spans="1:38">
      <c r="A139" t="s">
        <v>543</v>
      </c>
      <c r="B139" t="s">
        <v>544</v>
      </c>
      <c r="C139" s="1">
        <f t="shared" si="25"/>
        <v>45566</v>
      </c>
      <c r="D139" t="s">
        <v>545</v>
      </c>
      <c r="E139">
        <v>38.4</v>
      </c>
      <c r="F139">
        <v>1.6</v>
      </c>
      <c r="G139" t="s">
        <v>68</v>
      </c>
      <c r="H139" t="s">
        <v>456</v>
      </c>
      <c r="I139" t="s">
        <v>95</v>
      </c>
      <c r="J139">
        <v>48</v>
      </c>
      <c r="K139" t="s">
        <v>49</v>
      </c>
      <c r="L139" t="s">
        <v>96</v>
      </c>
      <c r="M139" t="s">
        <v>71</v>
      </c>
      <c r="N139" t="s">
        <v>192</v>
      </c>
      <c r="O139" t="s">
        <v>37</v>
      </c>
      <c r="P139" t="s">
        <v>38</v>
      </c>
      <c r="Q139" t="s">
        <v>39</v>
      </c>
      <c r="R139">
        <v>3</v>
      </c>
      <c r="S139" t="s">
        <v>38</v>
      </c>
      <c r="T139">
        <v>8</v>
      </c>
      <c r="U139">
        <v>1.3</v>
      </c>
      <c r="V139">
        <v>32.6</v>
      </c>
      <c r="W139" t="s">
        <v>39</v>
      </c>
      <c r="X139" t="s">
        <v>63</v>
      </c>
      <c r="Y139" t="s">
        <v>39</v>
      </c>
      <c r="Z139" t="s">
        <v>81</v>
      </c>
      <c r="AA139" t="s">
        <v>103</v>
      </c>
      <c r="AB139" t="s">
        <v>55</v>
      </c>
      <c r="AC139">
        <f t="shared" si="22"/>
        <v>0</v>
      </c>
      <c r="AD139" s="12">
        <f t="shared" si="26"/>
        <v>1</v>
      </c>
      <c r="AE139" s="12">
        <f t="shared" si="27"/>
        <v>0</v>
      </c>
      <c r="AF139">
        <f t="shared" si="23"/>
        <v>0</v>
      </c>
      <c r="AG139">
        <f t="shared" si="28"/>
        <v>0</v>
      </c>
      <c r="AH139">
        <f t="shared" si="29"/>
        <v>0</v>
      </c>
      <c r="AI139">
        <f t="shared" si="30"/>
        <v>1</v>
      </c>
      <c r="AJ139">
        <f t="shared" si="31"/>
        <v>0</v>
      </c>
      <c r="AK139">
        <f t="shared" si="24"/>
        <v>0</v>
      </c>
      <c r="AL139">
        <f t="shared" si="32"/>
        <v>0</v>
      </c>
    </row>
    <row r="140" spans="1:38">
      <c r="A140" t="s">
        <v>546</v>
      </c>
      <c r="B140" t="s">
        <v>547</v>
      </c>
      <c r="C140" s="1">
        <f t="shared" si="25"/>
        <v>45444</v>
      </c>
      <c r="D140" t="s">
        <v>548</v>
      </c>
      <c r="E140">
        <v>84.3</v>
      </c>
      <c r="F140">
        <v>3.5</v>
      </c>
      <c r="G140" t="s">
        <v>93</v>
      </c>
      <c r="H140" t="s">
        <v>163</v>
      </c>
      <c r="I140" t="s">
        <v>48</v>
      </c>
      <c r="J140">
        <v>120</v>
      </c>
      <c r="K140" t="s">
        <v>49</v>
      </c>
      <c r="L140" t="s">
        <v>70</v>
      </c>
      <c r="M140" t="s">
        <v>35</v>
      </c>
      <c r="N140" t="s">
        <v>128</v>
      </c>
      <c r="O140" t="s">
        <v>7232</v>
      </c>
      <c r="P140" t="s">
        <v>38</v>
      </c>
      <c r="Q140" t="s">
        <v>38</v>
      </c>
      <c r="R140">
        <v>1</v>
      </c>
      <c r="S140" t="s">
        <v>39</v>
      </c>
      <c r="T140">
        <v>7</v>
      </c>
      <c r="U140">
        <v>2.9</v>
      </c>
      <c r="V140">
        <v>2.1</v>
      </c>
      <c r="W140" t="s">
        <v>39</v>
      </c>
      <c r="X140" t="s">
        <v>63</v>
      </c>
      <c r="Y140" t="s">
        <v>39</v>
      </c>
      <c r="Z140" t="s">
        <v>73</v>
      </c>
      <c r="AA140" t="s">
        <v>82</v>
      </c>
      <c r="AB140" t="s">
        <v>55</v>
      </c>
      <c r="AC140">
        <f t="shared" si="22"/>
        <v>0</v>
      </c>
      <c r="AD140" s="12">
        <f t="shared" si="26"/>
        <v>1</v>
      </c>
      <c r="AE140" s="12">
        <f t="shared" si="27"/>
        <v>0</v>
      </c>
      <c r="AF140">
        <f t="shared" si="23"/>
        <v>0</v>
      </c>
      <c r="AG140">
        <f t="shared" si="28"/>
        <v>1</v>
      </c>
      <c r="AH140">
        <f t="shared" si="29"/>
        <v>1</v>
      </c>
      <c r="AI140">
        <f t="shared" si="30"/>
        <v>0</v>
      </c>
      <c r="AJ140">
        <f t="shared" si="31"/>
        <v>0</v>
      </c>
      <c r="AK140">
        <f t="shared" si="24"/>
        <v>0</v>
      </c>
      <c r="AL140">
        <f t="shared" si="32"/>
        <v>0</v>
      </c>
    </row>
    <row r="141" spans="1:38">
      <c r="A141" t="s">
        <v>549</v>
      </c>
      <c r="B141" t="s">
        <v>550</v>
      </c>
      <c r="C141" s="1">
        <f t="shared" si="25"/>
        <v>45352</v>
      </c>
      <c r="D141" t="s">
        <v>551</v>
      </c>
      <c r="E141">
        <v>148.6</v>
      </c>
      <c r="F141">
        <v>6.2</v>
      </c>
      <c r="G141" t="s">
        <v>101</v>
      </c>
      <c r="H141" t="s">
        <v>102</v>
      </c>
      <c r="I141" t="s">
        <v>32</v>
      </c>
      <c r="J141">
        <v>240</v>
      </c>
      <c r="K141" t="s">
        <v>49</v>
      </c>
      <c r="L141" t="s">
        <v>96</v>
      </c>
      <c r="M141" t="s">
        <v>35</v>
      </c>
      <c r="N141" t="s">
        <v>89</v>
      </c>
      <c r="O141" t="s">
        <v>51</v>
      </c>
      <c r="P141" t="s">
        <v>38</v>
      </c>
      <c r="Q141" t="s">
        <v>38</v>
      </c>
      <c r="R141">
        <v>1</v>
      </c>
      <c r="S141" t="s">
        <v>38</v>
      </c>
      <c r="T141">
        <v>8</v>
      </c>
      <c r="U141">
        <v>1.2</v>
      </c>
      <c r="V141">
        <v>20.2</v>
      </c>
      <c r="W141" t="s">
        <v>39</v>
      </c>
      <c r="X141" t="s">
        <v>40</v>
      </c>
      <c r="Y141" t="s">
        <v>38</v>
      </c>
      <c r="Z141" t="s">
        <v>179</v>
      </c>
      <c r="AA141" t="s">
        <v>109</v>
      </c>
      <c r="AB141" t="s">
        <v>83</v>
      </c>
      <c r="AC141">
        <f t="shared" si="22"/>
        <v>0</v>
      </c>
      <c r="AD141" s="12">
        <f t="shared" si="26"/>
        <v>0</v>
      </c>
      <c r="AE141" s="12">
        <f t="shared" si="27"/>
        <v>0</v>
      </c>
      <c r="AF141">
        <f t="shared" si="23"/>
        <v>1</v>
      </c>
      <c r="AG141">
        <f t="shared" si="28"/>
        <v>0</v>
      </c>
      <c r="AH141">
        <f t="shared" si="29"/>
        <v>0</v>
      </c>
      <c r="AI141">
        <f t="shared" si="30"/>
        <v>0</v>
      </c>
      <c r="AJ141">
        <f t="shared" si="31"/>
        <v>1</v>
      </c>
      <c r="AK141">
        <f t="shared" si="24"/>
        <v>0</v>
      </c>
      <c r="AL141">
        <f t="shared" si="32"/>
        <v>1</v>
      </c>
    </row>
    <row r="142" spans="1:38">
      <c r="A142" t="s">
        <v>552</v>
      </c>
      <c r="B142" t="s">
        <v>553</v>
      </c>
      <c r="C142" s="1">
        <f t="shared" si="25"/>
        <v>45627</v>
      </c>
      <c r="D142" t="s">
        <v>554</v>
      </c>
      <c r="E142">
        <v>249</v>
      </c>
      <c r="F142">
        <v>10.4</v>
      </c>
      <c r="G142" t="s">
        <v>77</v>
      </c>
      <c r="H142" t="s">
        <v>187</v>
      </c>
      <c r="I142" t="s">
        <v>79</v>
      </c>
      <c r="J142">
        <v>360</v>
      </c>
      <c r="K142" t="s">
        <v>49</v>
      </c>
      <c r="L142" t="s">
        <v>34</v>
      </c>
      <c r="M142" t="s">
        <v>35</v>
      </c>
      <c r="N142" t="s">
        <v>80</v>
      </c>
      <c r="O142" t="s">
        <v>37</v>
      </c>
      <c r="P142" t="s">
        <v>39</v>
      </c>
      <c r="Q142" t="s">
        <v>38</v>
      </c>
      <c r="R142">
        <v>0</v>
      </c>
      <c r="S142" t="s">
        <v>38</v>
      </c>
      <c r="T142">
        <v>10</v>
      </c>
      <c r="U142">
        <v>6.4</v>
      </c>
      <c r="V142">
        <v>8.5</v>
      </c>
      <c r="W142" t="s">
        <v>38</v>
      </c>
      <c r="X142" t="s">
        <v>123</v>
      </c>
      <c r="Y142" t="s">
        <v>38</v>
      </c>
      <c r="Z142" t="s">
        <v>108</v>
      </c>
      <c r="AA142" t="s">
        <v>42</v>
      </c>
      <c r="AB142" t="s">
        <v>55</v>
      </c>
      <c r="AC142">
        <f t="shared" si="22"/>
        <v>0</v>
      </c>
      <c r="AD142" s="12">
        <f t="shared" si="26"/>
        <v>0</v>
      </c>
      <c r="AE142" s="12">
        <f t="shared" si="27"/>
        <v>1</v>
      </c>
      <c r="AF142">
        <f t="shared" si="23"/>
        <v>0</v>
      </c>
      <c r="AG142">
        <f t="shared" si="28"/>
        <v>0</v>
      </c>
      <c r="AH142">
        <f t="shared" si="29"/>
        <v>0</v>
      </c>
      <c r="AI142">
        <f t="shared" si="30"/>
        <v>0</v>
      </c>
      <c r="AJ142">
        <f t="shared" si="31"/>
        <v>0</v>
      </c>
      <c r="AK142">
        <f t="shared" si="24"/>
        <v>0</v>
      </c>
      <c r="AL142">
        <f t="shared" si="32"/>
        <v>1</v>
      </c>
    </row>
    <row r="143" spans="1:38">
      <c r="A143" t="s">
        <v>555</v>
      </c>
      <c r="B143" t="s">
        <v>556</v>
      </c>
      <c r="C143" s="1">
        <f t="shared" si="25"/>
        <v>45505</v>
      </c>
      <c r="D143" t="s">
        <v>557</v>
      </c>
      <c r="E143">
        <v>425</v>
      </c>
      <c r="F143">
        <v>17.7</v>
      </c>
      <c r="G143" t="s">
        <v>30</v>
      </c>
      <c r="H143" t="s">
        <v>172</v>
      </c>
      <c r="I143" t="s">
        <v>79</v>
      </c>
      <c r="J143">
        <v>360</v>
      </c>
      <c r="K143" t="s">
        <v>33</v>
      </c>
      <c r="L143" t="s">
        <v>96</v>
      </c>
      <c r="M143" t="s">
        <v>35</v>
      </c>
      <c r="N143" t="s">
        <v>36</v>
      </c>
      <c r="O143" t="s">
        <v>7232</v>
      </c>
      <c r="P143" t="s">
        <v>39</v>
      </c>
      <c r="Q143" t="s">
        <v>38</v>
      </c>
      <c r="R143">
        <v>0</v>
      </c>
      <c r="S143" t="s">
        <v>38</v>
      </c>
      <c r="T143">
        <v>6</v>
      </c>
      <c r="U143">
        <v>1.4</v>
      </c>
      <c r="V143">
        <v>27.5</v>
      </c>
      <c r="W143" t="s">
        <v>39</v>
      </c>
      <c r="X143" t="s">
        <v>123</v>
      </c>
      <c r="Y143" t="s">
        <v>38</v>
      </c>
      <c r="Z143" t="s">
        <v>53</v>
      </c>
      <c r="AA143" t="s">
        <v>103</v>
      </c>
      <c r="AB143" t="s">
        <v>83</v>
      </c>
      <c r="AC143">
        <f t="shared" si="22"/>
        <v>0</v>
      </c>
      <c r="AD143" s="12">
        <f t="shared" si="26"/>
        <v>0</v>
      </c>
      <c r="AE143" s="12">
        <f t="shared" si="27"/>
        <v>1</v>
      </c>
      <c r="AF143">
        <f t="shared" si="23"/>
        <v>0</v>
      </c>
      <c r="AG143">
        <f t="shared" si="28"/>
        <v>1</v>
      </c>
      <c r="AH143">
        <f t="shared" si="29"/>
        <v>0</v>
      </c>
      <c r="AI143">
        <f t="shared" si="30"/>
        <v>0</v>
      </c>
      <c r="AJ143">
        <f t="shared" si="31"/>
        <v>0</v>
      </c>
      <c r="AK143">
        <f t="shared" si="24"/>
        <v>1</v>
      </c>
      <c r="AL143">
        <f t="shared" si="32"/>
        <v>1</v>
      </c>
    </row>
    <row r="144" spans="1:38">
      <c r="A144" t="s">
        <v>558</v>
      </c>
      <c r="B144" t="s">
        <v>559</v>
      </c>
      <c r="C144" s="1">
        <f t="shared" si="25"/>
        <v>45597</v>
      </c>
      <c r="D144" t="s">
        <v>560</v>
      </c>
      <c r="E144">
        <v>269</v>
      </c>
      <c r="F144">
        <v>11.2</v>
      </c>
      <c r="G144" t="s">
        <v>30</v>
      </c>
      <c r="H144" t="s">
        <v>172</v>
      </c>
      <c r="I144" t="s">
        <v>79</v>
      </c>
      <c r="J144">
        <v>360</v>
      </c>
      <c r="K144" t="s">
        <v>49</v>
      </c>
      <c r="L144" t="s">
        <v>96</v>
      </c>
      <c r="M144" t="s">
        <v>35</v>
      </c>
      <c r="N144" t="s">
        <v>97</v>
      </c>
      <c r="O144" t="s">
        <v>51</v>
      </c>
      <c r="P144" t="s">
        <v>38</v>
      </c>
      <c r="Q144" t="s">
        <v>38</v>
      </c>
      <c r="R144">
        <v>1</v>
      </c>
      <c r="S144" t="s">
        <v>38</v>
      </c>
      <c r="T144">
        <v>10</v>
      </c>
      <c r="U144">
        <v>5.7</v>
      </c>
      <c r="V144">
        <v>3.4</v>
      </c>
      <c r="W144" t="s">
        <v>39</v>
      </c>
      <c r="X144" t="s">
        <v>63</v>
      </c>
      <c r="Y144" t="s">
        <v>39</v>
      </c>
      <c r="Z144" t="s">
        <v>41</v>
      </c>
      <c r="AA144" t="s">
        <v>103</v>
      </c>
      <c r="AB144" t="s">
        <v>55</v>
      </c>
      <c r="AC144">
        <f t="shared" si="22"/>
        <v>0</v>
      </c>
      <c r="AD144" s="12">
        <f t="shared" si="26"/>
        <v>1</v>
      </c>
      <c r="AE144" s="12">
        <f t="shared" si="27"/>
        <v>0</v>
      </c>
      <c r="AF144">
        <f t="shared" si="23"/>
        <v>1</v>
      </c>
      <c r="AG144">
        <f t="shared" si="28"/>
        <v>0</v>
      </c>
      <c r="AH144">
        <f t="shared" si="29"/>
        <v>0</v>
      </c>
      <c r="AI144">
        <f t="shared" si="30"/>
        <v>0</v>
      </c>
      <c r="AJ144">
        <f t="shared" si="31"/>
        <v>0</v>
      </c>
      <c r="AK144">
        <f t="shared" si="24"/>
        <v>1</v>
      </c>
      <c r="AL144">
        <f t="shared" si="32"/>
        <v>0</v>
      </c>
    </row>
    <row r="145" spans="1:38">
      <c r="A145" t="s">
        <v>561</v>
      </c>
      <c r="B145" t="s">
        <v>562</v>
      </c>
      <c r="C145" s="1">
        <f t="shared" si="25"/>
        <v>45566</v>
      </c>
      <c r="D145" t="s">
        <v>563</v>
      </c>
      <c r="E145">
        <v>273.5</v>
      </c>
      <c r="F145">
        <v>11.4</v>
      </c>
      <c r="G145" t="s">
        <v>93</v>
      </c>
      <c r="H145" t="s">
        <v>163</v>
      </c>
      <c r="I145" t="s">
        <v>79</v>
      </c>
      <c r="J145">
        <v>360</v>
      </c>
      <c r="K145" t="s">
        <v>49</v>
      </c>
      <c r="L145" t="s">
        <v>96</v>
      </c>
      <c r="M145" t="s">
        <v>35</v>
      </c>
      <c r="N145" t="s">
        <v>144</v>
      </c>
      <c r="O145" t="s">
        <v>7232</v>
      </c>
      <c r="P145" t="s">
        <v>39</v>
      </c>
      <c r="Q145" t="s">
        <v>38</v>
      </c>
      <c r="R145">
        <v>0</v>
      </c>
      <c r="S145" t="s">
        <v>39</v>
      </c>
      <c r="T145">
        <v>8</v>
      </c>
      <c r="U145">
        <v>0.1</v>
      </c>
      <c r="V145">
        <v>23</v>
      </c>
      <c r="W145" t="s">
        <v>38</v>
      </c>
      <c r="X145" t="s">
        <v>123</v>
      </c>
      <c r="Y145" t="s">
        <v>38</v>
      </c>
      <c r="Z145" t="s">
        <v>41</v>
      </c>
      <c r="AA145" t="s">
        <v>54</v>
      </c>
      <c r="AB145" t="s">
        <v>83</v>
      </c>
      <c r="AC145">
        <f t="shared" si="22"/>
        <v>0</v>
      </c>
      <c r="AD145" s="12">
        <f t="shared" si="26"/>
        <v>0</v>
      </c>
      <c r="AE145" s="12">
        <f t="shared" si="27"/>
        <v>1</v>
      </c>
      <c r="AF145">
        <f t="shared" si="23"/>
        <v>0</v>
      </c>
      <c r="AG145">
        <f t="shared" si="28"/>
        <v>1</v>
      </c>
      <c r="AH145">
        <f t="shared" si="29"/>
        <v>0</v>
      </c>
      <c r="AI145">
        <f t="shared" si="30"/>
        <v>0</v>
      </c>
      <c r="AJ145">
        <f t="shared" si="31"/>
        <v>0</v>
      </c>
      <c r="AK145">
        <f t="shared" si="24"/>
        <v>0</v>
      </c>
      <c r="AL145">
        <f t="shared" si="32"/>
        <v>1</v>
      </c>
    </row>
    <row r="146" spans="1:38">
      <c r="A146" t="s">
        <v>564</v>
      </c>
      <c r="B146" t="s">
        <v>565</v>
      </c>
      <c r="C146" s="1">
        <f t="shared" si="25"/>
        <v>45627</v>
      </c>
      <c r="D146" t="s">
        <v>566</v>
      </c>
      <c r="E146">
        <v>401</v>
      </c>
      <c r="F146">
        <v>16.7</v>
      </c>
      <c r="G146" t="s">
        <v>77</v>
      </c>
      <c r="H146" t="s">
        <v>267</v>
      </c>
      <c r="I146" t="s">
        <v>79</v>
      </c>
      <c r="J146">
        <v>360</v>
      </c>
      <c r="K146" t="s">
        <v>33</v>
      </c>
      <c r="L146" t="s">
        <v>70</v>
      </c>
      <c r="M146" t="s">
        <v>35</v>
      </c>
      <c r="N146" t="s">
        <v>134</v>
      </c>
      <c r="O146" t="s">
        <v>7232</v>
      </c>
      <c r="P146" t="s">
        <v>39</v>
      </c>
      <c r="Q146" t="s">
        <v>38</v>
      </c>
      <c r="R146">
        <v>0</v>
      </c>
      <c r="S146" t="s">
        <v>39</v>
      </c>
      <c r="T146">
        <v>7</v>
      </c>
      <c r="U146">
        <v>0.9</v>
      </c>
      <c r="V146">
        <v>9.4</v>
      </c>
      <c r="W146" t="s">
        <v>39</v>
      </c>
      <c r="X146" t="s">
        <v>52</v>
      </c>
      <c r="Y146" t="s">
        <v>39</v>
      </c>
      <c r="Z146" t="s">
        <v>73</v>
      </c>
      <c r="AA146" t="s">
        <v>54</v>
      </c>
      <c r="AB146" t="s">
        <v>55</v>
      </c>
      <c r="AC146">
        <f t="shared" si="22"/>
        <v>1</v>
      </c>
      <c r="AD146" s="12">
        <f t="shared" si="26"/>
        <v>0</v>
      </c>
      <c r="AE146" s="12">
        <f t="shared" si="27"/>
        <v>0</v>
      </c>
      <c r="AF146">
        <f t="shared" si="23"/>
        <v>0</v>
      </c>
      <c r="AG146">
        <f t="shared" si="28"/>
        <v>1</v>
      </c>
      <c r="AH146">
        <f t="shared" si="29"/>
        <v>0</v>
      </c>
      <c r="AI146">
        <f t="shared" si="30"/>
        <v>0</v>
      </c>
      <c r="AJ146">
        <f t="shared" si="31"/>
        <v>0</v>
      </c>
      <c r="AK146">
        <f t="shared" si="24"/>
        <v>0</v>
      </c>
      <c r="AL146">
        <f t="shared" si="32"/>
        <v>0</v>
      </c>
    </row>
    <row r="147" spans="1:38">
      <c r="A147" t="s">
        <v>567</v>
      </c>
      <c r="B147" t="s">
        <v>568</v>
      </c>
      <c r="C147" s="1">
        <f t="shared" si="25"/>
        <v>45323</v>
      </c>
      <c r="D147" t="s">
        <v>569</v>
      </c>
      <c r="E147">
        <v>276</v>
      </c>
      <c r="F147">
        <v>11.5</v>
      </c>
      <c r="G147" t="s">
        <v>77</v>
      </c>
      <c r="H147" t="s">
        <v>267</v>
      </c>
      <c r="I147" t="s">
        <v>79</v>
      </c>
      <c r="J147">
        <v>360</v>
      </c>
      <c r="K147" t="s">
        <v>49</v>
      </c>
      <c r="L147" t="s">
        <v>96</v>
      </c>
      <c r="M147" t="s">
        <v>35</v>
      </c>
      <c r="N147" t="s">
        <v>119</v>
      </c>
      <c r="O147" t="s">
        <v>37</v>
      </c>
      <c r="P147" t="s">
        <v>39</v>
      </c>
      <c r="Q147" t="s">
        <v>38</v>
      </c>
      <c r="R147">
        <v>0</v>
      </c>
      <c r="S147" t="s">
        <v>39</v>
      </c>
      <c r="T147">
        <v>10</v>
      </c>
      <c r="U147">
        <v>1.5</v>
      </c>
      <c r="V147">
        <v>28.8</v>
      </c>
      <c r="W147" t="s">
        <v>39</v>
      </c>
      <c r="X147" t="s">
        <v>52</v>
      </c>
      <c r="Y147" t="s">
        <v>39</v>
      </c>
      <c r="Z147" t="s">
        <v>81</v>
      </c>
      <c r="AA147" t="s">
        <v>54</v>
      </c>
      <c r="AB147" t="s">
        <v>43</v>
      </c>
      <c r="AC147">
        <f t="shared" si="22"/>
        <v>1</v>
      </c>
      <c r="AD147" s="12">
        <f t="shared" si="26"/>
        <v>0</v>
      </c>
      <c r="AE147" s="12">
        <f t="shared" si="27"/>
        <v>0</v>
      </c>
      <c r="AF147">
        <f t="shared" si="23"/>
        <v>0</v>
      </c>
      <c r="AG147">
        <f t="shared" si="28"/>
        <v>0</v>
      </c>
      <c r="AH147">
        <f t="shared" si="29"/>
        <v>0</v>
      </c>
      <c r="AI147">
        <f t="shared" si="30"/>
        <v>0</v>
      </c>
      <c r="AJ147">
        <f t="shared" si="31"/>
        <v>0</v>
      </c>
      <c r="AK147">
        <f t="shared" si="24"/>
        <v>0</v>
      </c>
      <c r="AL147">
        <f t="shared" si="32"/>
        <v>0</v>
      </c>
    </row>
    <row r="148" spans="1:38">
      <c r="A148" t="s">
        <v>570</v>
      </c>
      <c r="B148" t="s">
        <v>571</v>
      </c>
      <c r="C148" s="1">
        <f t="shared" si="25"/>
        <v>45505</v>
      </c>
      <c r="D148" t="s">
        <v>572</v>
      </c>
      <c r="E148">
        <v>177.2</v>
      </c>
      <c r="F148">
        <v>7.4</v>
      </c>
      <c r="G148" t="s">
        <v>68</v>
      </c>
      <c r="H148" t="s">
        <v>219</v>
      </c>
      <c r="I148" t="s">
        <v>48</v>
      </c>
      <c r="J148">
        <v>120</v>
      </c>
      <c r="K148" t="s">
        <v>33</v>
      </c>
      <c r="L148" t="s">
        <v>70</v>
      </c>
      <c r="M148" t="s">
        <v>71</v>
      </c>
      <c r="N148" t="s">
        <v>119</v>
      </c>
      <c r="O148" t="s">
        <v>7232</v>
      </c>
      <c r="P148" t="s">
        <v>38</v>
      </c>
      <c r="Q148" t="s">
        <v>39</v>
      </c>
      <c r="R148">
        <v>4</v>
      </c>
      <c r="S148" t="s">
        <v>39</v>
      </c>
      <c r="T148">
        <v>5</v>
      </c>
      <c r="U148">
        <v>3.8</v>
      </c>
      <c r="V148">
        <v>24.5</v>
      </c>
      <c r="W148" t="s">
        <v>39</v>
      </c>
      <c r="X148" t="s">
        <v>52</v>
      </c>
      <c r="Y148" t="s">
        <v>38</v>
      </c>
      <c r="Z148" t="s">
        <v>64</v>
      </c>
      <c r="AA148" t="s">
        <v>42</v>
      </c>
      <c r="AB148" t="s">
        <v>83</v>
      </c>
      <c r="AC148">
        <f t="shared" si="22"/>
        <v>1</v>
      </c>
      <c r="AD148" s="12">
        <f t="shared" si="26"/>
        <v>0</v>
      </c>
      <c r="AE148" s="12">
        <f t="shared" si="27"/>
        <v>0</v>
      </c>
      <c r="AF148">
        <f t="shared" si="23"/>
        <v>0</v>
      </c>
      <c r="AG148">
        <f t="shared" si="28"/>
        <v>1</v>
      </c>
      <c r="AH148">
        <f t="shared" si="29"/>
        <v>1</v>
      </c>
      <c r="AI148">
        <f t="shared" si="30"/>
        <v>0</v>
      </c>
      <c r="AJ148">
        <f t="shared" si="31"/>
        <v>0</v>
      </c>
      <c r="AK148">
        <f t="shared" si="24"/>
        <v>0</v>
      </c>
      <c r="AL148">
        <f t="shared" si="32"/>
        <v>1</v>
      </c>
    </row>
    <row r="149" spans="1:38">
      <c r="A149" t="s">
        <v>573</v>
      </c>
      <c r="B149" t="s">
        <v>574</v>
      </c>
      <c r="C149" s="1">
        <f t="shared" si="25"/>
        <v>45383</v>
      </c>
      <c r="D149" t="s">
        <v>575</v>
      </c>
      <c r="E149">
        <v>206</v>
      </c>
      <c r="F149">
        <v>8.6</v>
      </c>
      <c r="G149" t="s">
        <v>142</v>
      </c>
      <c r="H149" t="s">
        <v>240</v>
      </c>
      <c r="I149" t="s">
        <v>32</v>
      </c>
      <c r="J149">
        <v>240</v>
      </c>
      <c r="K149" t="s">
        <v>49</v>
      </c>
      <c r="L149" t="s">
        <v>70</v>
      </c>
      <c r="M149" t="s">
        <v>35</v>
      </c>
      <c r="N149" t="s">
        <v>506</v>
      </c>
      <c r="O149" t="s">
        <v>7232</v>
      </c>
      <c r="P149" t="s">
        <v>39</v>
      </c>
      <c r="Q149" t="s">
        <v>38</v>
      </c>
      <c r="R149">
        <v>0</v>
      </c>
      <c r="S149" t="s">
        <v>38</v>
      </c>
      <c r="T149">
        <v>10</v>
      </c>
      <c r="U149">
        <v>0.5</v>
      </c>
      <c r="V149">
        <v>17.399999999999999</v>
      </c>
      <c r="W149" t="s">
        <v>39</v>
      </c>
      <c r="X149" t="s">
        <v>123</v>
      </c>
      <c r="Y149" t="s">
        <v>38</v>
      </c>
      <c r="Z149" t="s">
        <v>73</v>
      </c>
      <c r="AA149" t="s">
        <v>42</v>
      </c>
      <c r="AB149" t="s">
        <v>83</v>
      </c>
      <c r="AC149">
        <f t="shared" si="22"/>
        <v>0</v>
      </c>
      <c r="AD149" s="12">
        <f t="shared" si="26"/>
        <v>0</v>
      </c>
      <c r="AE149" s="12">
        <f t="shared" si="27"/>
        <v>1</v>
      </c>
      <c r="AF149">
        <f t="shared" si="23"/>
        <v>0</v>
      </c>
      <c r="AG149">
        <f t="shared" si="28"/>
        <v>1</v>
      </c>
      <c r="AH149">
        <f t="shared" si="29"/>
        <v>0</v>
      </c>
      <c r="AI149">
        <f t="shared" si="30"/>
        <v>0</v>
      </c>
      <c r="AJ149">
        <f t="shared" si="31"/>
        <v>1</v>
      </c>
      <c r="AK149">
        <f t="shared" si="24"/>
        <v>0</v>
      </c>
      <c r="AL149">
        <f t="shared" si="32"/>
        <v>1</v>
      </c>
    </row>
    <row r="150" spans="1:38">
      <c r="A150" t="s">
        <v>576</v>
      </c>
      <c r="B150" t="s">
        <v>577</v>
      </c>
      <c r="C150" s="1">
        <f t="shared" si="25"/>
        <v>45444</v>
      </c>
      <c r="D150" t="s">
        <v>578</v>
      </c>
      <c r="E150">
        <v>860.4</v>
      </c>
      <c r="F150">
        <v>35.9</v>
      </c>
      <c r="G150" t="s">
        <v>101</v>
      </c>
      <c r="H150" t="s">
        <v>368</v>
      </c>
      <c r="I150" t="s">
        <v>79</v>
      </c>
      <c r="J150">
        <v>360</v>
      </c>
      <c r="K150" t="s">
        <v>33</v>
      </c>
      <c r="L150" t="s">
        <v>96</v>
      </c>
      <c r="M150" t="s">
        <v>35</v>
      </c>
      <c r="N150" t="s">
        <v>72</v>
      </c>
      <c r="O150" t="s">
        <v>51</v>
      </c>
      <c r="P150" t="s">
        <v>38</v>
      </c>
      <c r="Q150" t="s">
        <v>38</v>
      </c>
      <c r="R150">
        <v>1</v>
      </c>
      <c r="S150" t="s">
        <v>38</v>
      </c>
      <c r="T150">
        <v>5</v>
      </c>
      <c r="U150">
        <v>2.4</v>
      </c>
      <c r="V150">
        <v>0</v>
      </c>
      <c r="W150" t="s">
        <v>39</v>
      </c>
      <c r="X150" t="s">
        <v>52</v>
      </c>
      <c r="Y150" t="s">
        <v>39</v>
      </c>
      <c r="Z150" t="s">
        <v>41</v>
      </c>
      <c r="AA150" t="s">
        <v>109</v>
      </c>
      <c r="AB150" t="s">
        <v>83</v>
      </c>
      <c r="AC150">
        <f t="shared" si="22"/>
        <v>1</v>
      </c>
      <c r="AD150" s="12">
        <f t="shared" si="26"/>
        <v>0</v>
      </c>
      <c r="AE150" s="12">
        <f t="shared" si="27"/>
        <v>0</v>
      </c>
      <c r="AF150">
        <f t="shared" si="23"/>
        <v>1</v>
      </c>
      <c r="AG150">
        <f t="shared" si="28"/>
        <v>0</v>
      </c>
      <c r="AH150">
        <f t="shared" si="29"/>
        <v>0</v>
      </c>
      <c r="AI150">
        <f t="shared" si="30"/>
        <v>0</v>
      </c>
      <c r="AJ150">
        <f t="shared" si="31"/>
        <v>0</v>
      </c>
      <c r="AK150">
        <f t="shared" si="24"/>
        <v>0</v>
      </c>
      <c r="AL150">
        <f t="shared" si="32"/>
        <v>0</v>
      </c>
    </row>
    <row r="151" spans="1:38">
      <c r="A151" t="s">
        <v>579</v>
      </c>
      <c r="B151" t="s">
        <v>580</v>
      </c>
      <c r="C151" s="1">
        <f t="shared" si="25"/>
        <v>45505</v>
      </c>
      <c r="D151" t="s">
        <v>581</v>
      </c>
      <c r="E151">
        <v>200</v>
      </c>
      <c r="F151">
        <v>8.3000000000000007</v>
      </c>
      <c r="G151" t="s">
        <v>142</v>
      </c>
      <c r="H151" t="s">
        <v>260</v>
      </c>
      <c r="I151" t="s">
        <v>32</v>
      </c>
      <c r="J151">
        <v>240</v>
      </c>
      <c r="K151" t="s">
        <v>49</v>
      </c>
      <c r="L151" t="s">
        <v>34</v>
      </c>
      <c r="M151" t="s">
        <v>35</v>
      </c>
      <c r="N151" t="s">
        <v>144</v>
      </c>
      <c r="O151" t="s">
        <v>51</v>
      </c>
      <c r="P151" t="s">
        <v>39</v>
      </c>
      <c r="Q151" t="s">
        <v>38</v>
      </c>
      <c r="R151">
        <v>0</v>
      </c>
      <c r="S151" t="s">
        <v>39</v>
      </c>
      <c r="T151">
        <v>10</v>
      </c>
      <c r="U151">
        <v>4.8</v>
      </c>
      <c r="V151">
        <v>7</v>
      </c>
      <c r="W151" t="s">
        <v>39</v>
      </c>
      <c r="X151" t="s">
        <v>63</v>
      </c>
      <c r="Y151" t="s">
        <v>39</v>
      </c>
      <c r="Z151" t="s">
        <v>81</v>
      </c>
      <c r="AA151" t="s">
        <v>82</v>
      </c>
      <c r="AB151" t="s">
        <v>83</v>
      </c>
      <c r="AC151">
        <f t="shared" si="22"/>
        <v>0</v>
      </c>
      <c r="AD151" s="12">
        <f t="shared" si="26"/>
        <v>1</v>
      </c>
      <c r="AE151" s="12">
        <f t="shared" si="27"/>
        <v>0</v>
      </c>
      <c r="AF151">
        <f t="shared" si="23"/>
        <v>1</v>
      </c>
      <c r="AG151">
        <f t="shared" si="28"/>
        <v>0</v>
      </c>
      <c r="AH151">
        <f t="shared" si="29"/>
        <v>0</v>
      </c>
      <c r="AI151">
        <f t="shared" si="30"/>
        <v>0</v>
      </c>
      <c r="AJ151">
        <f t="shared" si="31"/>
        <v>1</v>
      </c>
      <c r="AK151">
        <f t="shared" si="24"/>
        <v>0</v>
      </c>
      <c r="AL151">
        <f t="shared" si="32"/>
        <v>0</v>
      </c>
    </row>
    <row r="152" spans="1:38">
      <c r="A152" t="s">
        <v>582</v>
      </c>
      <c r="B152" t="s">
        <v>583</v>
      </c>
      <c r="C152" s="1">
        <f t="shared" si="25"/>
        <v>45323</v>
      </c>
      <c r="D152" t="s">
        <v>584</v>
      </c>
      <c r="E152">
        <v>738.6</v>
      </c>
      <c r="F152">
        <v>30.8</v>
      </c>
      <c r="G152" t="s">
        <v>59</v>
      </c>
      <c r="H152" t="s">
        <v>281</v>
      </c>
      <c r="I152" t="s">
        <v>79</v>
      </c>
      <c r="J152">
        <v>360</v>
      </c>
      <c r="K152" t="s">
        <v>33</v>
      </c>
      <c r="L152" t="s">
        <v>96</v>
      </c>
      <c r="M152" t="s">
        <v>35</v>
      </c>
      <c r="N152" t="s">
        <v>89</v>
      </c>
      <c r="O152" t="s">
        <v>51</v>
      </c>
      <c r="P152" t="s">
        <v>38</v>
      </c>
      <c r="Q152" t="s">
        <v>38</v>
      </c>
      <c r="R152">
        <v>1</v>
      </c>
      <c r="S152" t="s">
        <v>38</v>
      </c>
      <c r="T152">
        <v>7</v>
      </c>
      <c r="U152">
        <v>4.7</v>
      </c>
      <c r="V152">
        <v>30.4</v>
      </c>
      <c r="W152" t="s">
        <v>39</v>
      </c>
      <c r="X152" t="s">
        <v>63</v>
      </c>
      <c r="Y152" t="s">
        <v>39</v>
      </c>
      <c r="Z152" t="s">
        <v>41</v>
      </c>
      <c r="AA152" t="s">
        <v>82</v>
      </c>
      <c r="AB152" t="s">
        <v>55</v>
      </c>
      <c r="AC152">
        <f t="shared" si="22"/>
        <v>0</v>
      </c>
      <c r="AD152" s="12">
        <f t="shared" si="26"/>
        <v>1</v>
      </c>
      <c r="AE152" s="12">
        <f t="shared" si="27"/>
        <v>0</v>
      </c>
      <c r="AF152">
        <f t="shared" si="23"/>
        <v>1</v>
      </c>
      <c r="AG152">
        <f t="shared" si="28"/>
        <v>0</v>
      </c>
      <c r="AH152">
        <f t="shared" si="29"/>
        <v>0</v>
      </c>
      <c r="AI152">
        <f t="shared" si="30"/>
        <v>0</v>
      </c>
      <c r="AJ152">
        <f t="shared" si="31"/>
        <v>0</v>
      </c>
      <c r="AK152">
        <f t="shared" si="24"/>
        <v>0</v>
      </c>
      <c r="AL152">
        <f t="shared" si="32"/>
        <v>0</v>
      </c>
    </row>
    <row r="153" spans="1:38">
      <c r="A153" t="s">
        <v>585</v>
      </c>
      <c r="B153" t="s">
        <v>586</v>
      </c>
      <c r="C153" s="1">
        <f t="shared" si="25"/>
        <v>45323</v>
      </c>
      <c r="D153" t="s">
        <v>587</v>
      </c>
      <c r="E153">
        <v>380.5</v>
      </c>
      <c r="F153">
        <v>15.9</v>
      </c>
      <c r="G153" t="s">
        <v>142</v>
      </c>
      <c r="H153" t="s">
        <v>260</v>
      </c>
      <c r="I153" t="s">
        <v>79</v>
      </c>
      <c r="J153">
        <v>360</v>
      </c>
      <c r="K153" t="s">
        <v>33</v>
      </c>
      <c r="L153" t="s">
        <v>96</v>
      </c>
      <c r="M153" t="s">
        <v>71</v>
      </c>
      <c r="N153" t="s">
        <v>36</v>
      </c>
      <c r="O153" t="s">
        <v>51</v>
      </c>
      <c r="P153" t="s">
        <v>38</v>
      </c>
      <c r="Q153" t="s">
        <v>39</v>
      </c>
      <c r="R153">
        <v>1</v>
      </c>
      <c r="S153" t="s">
        <v>38</v>
      </c>
      <c r="T153">
        <v>8</v>
      </c>
      <c r="U153">
        <v>2.8</v>
      </c>
      <c r="V153">
        <v>9.3000000000000007</v>
      </c>
      <c r="W153" t="s">
        <v>39</v>
      </c>
      <c r="X153" t="s">
        <v>63</v>
      </c>
      <c r="Y153" t="s">
        <v>38</v>
      </c>
      <c r="Z153" t="s">
        <v>53</v>
      </c>
      <c r="AA153" t="s">
        <v>82</v>
      </c>
      <c r="AB153" t="s">
        <v>55</v>
      </c>
      <c r="AC153">
        <f t="shared" si="22"/>
        <v>0</v>
      </c>
      <c r="AD153" s="12">
        <f t="shared" si="26"/>
        <v>1</v>
      </c>
      <c r="AE153" s="12">
        <f t="shared" si="27"/>
        <v>0</v>
      </c>
      <c r="AF153">
        <f t="shared" si="23"/>
        <v>1</v>
      </c>
      <c r="AG153">
        <f t="shared" si="28"/>
        <v>0</v>
      </c>
      <c r="AH153">
        <f t="shared" si="29"/>
        <v>0</v>
      </c>
      <c r="AI153">
        <f t="shared" si="30"/>
        <v>0</v>
      </c>
      <c r="AJ153">
        <f t="shared" si="31"/>
        <v>0</v>
      </c>
      <c r="AK153">
        <f t="shared" si="24"/>
        <v>0</v>
      </c>
      <c r="AL153">
        <f t="shared" si="32"/>
        <v>1</v>
      </c>
    </row>
    <row r="154" spans="1:38">
      <c r="A154" t="s">
        <v>588</v>
      </c>
      <c r="B154" t="s">
        <v>589</v>
      </c>
      <c r="C154" s="1">
        <f t="shared" si="25"/>
        <v>45474</v>
      </c>
      <c r="D154" t="s">
        <v>590</v>
      </c>
      <c r="E154">
        <v>336.8</v>
      </c>
      <c r="F154">
        <v>14</v>
      </c>
      <c r="G154" t="s">
        <v>101</v>
      </c>
      <c r="H154" t="s">
        <v>442</v>
      </c>
      <c r="I154" t="s">
        <v>32</v>
      </c>
      <c r="J154">
        <v>240</v>
      </c>
      <c r="K154" t="s">
        <v>33</v>
      </c>
      <c r="L154" t="s">
        <v>70</v>
      </c>
      <c r="M154" t="s">
        <v>35</v>
      </c>
      <c r="N154" t="s">
        <v>134</v>
      </c>
      <c r="O154" t="s">
        <v>7232</v>
      </c>
      <c r="P154" t="s">
        <v>39</v>
      </c>
      <c r="Q154" t="s">
        <v>38</v>
      </c>
      <c r="R154">
        <v>0</v>
      </c>
      <c r="S154" t="s">
        <v>38</v>
      </c>
      <c r="T154">
        <v>7</v>
      </c>
      <c r="U154">
        <v>1.5</v>
      </c>
      <c r="V154">
        <v>21.5</v>
      </c>
      <c r="W154" t="s">
        <v>39</v>
      </c>
      <c r="X154" t="s">
        <v>40</v>
      </c>
      <c r="Y154" t="s">
        <v>39</v>
      </c>
      <c r="Z154" t="s">
        <v>81</v>
      </c>
      <c r="AA154" t="s">
        <v>42</v>
      </c>
      <c r="AB154" t="s">
        <v>55</v>
      </c>
      <c r="AC154">
        <f t="shared" si="22"/>
        <v>0</v>
      </c>
      <c r="AD154" s="12">
        <f t="shared" si="26"/>
        <v>0</v>
      </c>
      <c r="AE154" s="12">
        <f t="shared" si="27"/>
        <v>0</v>
      </c>
      <c r="AF154">
        <f t="shared" si="23"/>
        <v>0</v>
      </c>
      <c r="AG154">
        <f t="shared" si="28"/>
        <v>1</v>
      </c>
      <c r="AH154">
        <f t="shared" si="29"/>
        <v>0</v>
      </c>
      <c r="AI154">
        <f t="shared" si="30"/>
        <v>0</v>
      </c>
      <c r="AJ154">
        <f t="shared" si="31"/>
        <v>1</v>
      </c>
      <c r="AK154">
        <f t="shared" si="24"/>
        <v>0</v>
      </c>
      <c r="AL154">
        <f t="shared" si="32"/>
        <v>0</v>
      </c>
    </row>
    <row r="155" spans="1:38">
      <c r="A155" t="s">
        <v>591</v>
      </c>
      <c r="B155" t="s">
        <v>592</v>
      </c>
      <c r="C155" s="1">
        <f t="shared" si="25"/>
        <v>45627</v>
      </c>
      <c r="D155" t="s">
        <v>593</v>
      </c>
      <c r="E155">
        <v>730.7</v>
      </c>
      <c r="F155">
        <v>30.4</v>
      </c>
      <c r="G155" t="s">
        <v>142</v>
      </c>
      <c r="H155" t="s">
        <v>143</v>
      </c>
      <c r="I155" t="s">
        <v>79</v>
      </c>
      <c r="J155">
        <v>360</v>
      </c>
      <c r="K155" t="s">
        <v>33</v>
      </c>
      <c r="L155" t="s">
        <v>96</v>
      </c>
      <c r="M155" t="s">
        <v>35</v>
      </c>
      <c r="N155" t="s">
        <v>107</v>
      </c>
      <c r="O155" t="s">
        <v>37</v>
      </c>
      <c r="P155" t="s">
        <v>38</v>
      </c>
      <c r="Q155" t="s">
        <v>38</v>
      </c>
      <c r="R155">
        <v>1</v>
      </c>
      <c r="S155" t="s">
        <v>38</v>
      </c>
      <c r="T155">
        <v>7</v>
      </c>
      <c r="U155">
        <v>5.5</v>
      </c>
      <c r="V155">
        <v>7.9</v>
      </c>
      <c r="W155" t="s">
        <v>39</v>
      </c>
      <c r="X155" t="s">
        <v>63</v>
      </c>
      <c r="Y155" t="s">
        <v>39</v>
      </c>
      <c r="Z155" t="s">
        <v>41</v>
      </c>
      <c r="AA155" t="s">
        <v>103</v>
      </c>
      <c r="AB155" t="s">
        <v>55</v>
      </c>
      <c r="AC155">
        <f t="shared" si="22"/>
        <v>0</v>
      </c>
      <c r="AD155" s="12">
        <f t="shared" si="26"/>
        <v>1</v>
      </c>
      <c r="AE155" s="12">
        <f t="shared" si="27"/>
        <v>0</v>
      </c>
      <c r="AF155">
        <f t="shared" si="23"/>
        <v>0</v>
      </c>
      <c r="AG155">
        <f t="shared" si="28"/>
        <v>0</v>
      </c>
      <c r="AH155">
        <f t="shared" si="29"/>
        <v>0</v>
      </c>
      <c r="AI155">
        <f t="shared" si="30"/>
        <v>0</v>
      </c>
      <c r="AJ155">
        <f t="shared" si="31"/>
        <v>0</v>
      </c>
      <c r="AK155">
        <f t="shared" si="24"/>
        <v>0</v>
      </c>
      <c r="AL155">
        <f t="shared" si="32"/>
        <v>0</v>
      </c>
    </row>
    <row r="156" spans="1:38">
      <c r="A156" t="s">
        <v>594</v>
      </c>
      <c r="B156" t="s">
        <v>595</v>
      </c>
      <c r="C156" s="1">
        <f t="shared" si="25"/>
        <v>45474</v>
      </c>
      <c r="D156" t="s">
        <v>596</v>
      </c>
      <c r="E156">
        <v>74.099999999999994</v>
      </c>
      <c r="F156">
        <v>3.1</v>
      </c>
      <c r="G156" t="s">
        <v>68</v>
      </c>
      <c r="H156" t="s">
        <v>69</v>
      </c>
      <c r="I156" t="s">
        <v>48</v>
      </c>
      <c r="J156">
        <v>120</v>
      </c>
      <c r="K156" t="s">
        <v>49</v>
      </c>
      <c r="L156" t="s">
        <v>34</v>
      </c>
      <c r="M156" t="s">
        <v>35</v>
      </c>
      <c r="N156" t="s">
        <v>107</v>
      </c>
      <c r="O156" t="s">
        <v>51</v>
      </c>
      <c r="P156" t="s">
        <v>39</v>
      </c>
      <c r="Q156" t="s">
        <v>38</v>
      </c>
      <c r="R156">
        <v>0</v>
      </c>
      <c r="S156" t="s">
        <v>38</v>
      </c>
      <c r="T156">
        <v>7</v>
      </c>
      <c r="U156">
        <v>4.0999999999999996</v>
      </c>
      <c r="V156">
        <v>19.8</v>
      </c>
      <c r="W156" t="s">
        <v>38</v>
      </c>
      <c r="X156" t="s">
        <v>63</v>
      </c>
      <c r="Y156" t="s">
        <v>39</v>
      </c>
      <c r="Z156" t="s">
        <v>108</v>
      </c>
      <c r="AA156" t="s">
        <v>82</v>
      </c>
      <c r="AB156" t="s">
        <v>83</v>
      </c>
      <c r="AC156">
        <f t="shared" si="22"/>
        <v>0</v>
      </c>
      <c r="AD156" s="12">
        <f t="shared" si="26"/>
        <v>1</v>
      </c>
      <c r="AE156" s="12">
        <f t="shared" si="27"/>
        <v>0</v>
      </c>
      <c r="AF156">
        <f t="shared" si="23"/>
        <v>1</v>
      </c>
      <c r="AG156">
        <f t="shared" si="28"/>
        <v>0</v>
      </c>
      <c r="AH156">
        <f t="shared" si="29"/>
        <v>1</v>
      </c>
      <c r="AI156">
        <f t="shared" si="30"/>
        <v>0</v>
      </c>
      <c r="AJ156">
        <f t="shared" si="31"/>
        <v>0</v>
      </c>
      <c r="AK156">
        <f t="shared" si="24"/>
        <v>0</v>
      </c>
      <c r="AL156">
        <f t="shared" si="32"/>
        <v>0</v>
      </c>
    </row>
    <row r="157" spans="1:38">
      <c r="A157" t="s">
        <v>597</v>
      </c>
      <c r="B157" t="s">
        <v>598</v>
      </c>
      <c r="C157" s="1">
        <f t="shared" si="25"/>
        <v>45444</v>
      </c>
      <c r="D157" t="s">
        <v>599</v>
      </c>
      <c r="E157">
        <v>303.8</v>
      </c>
      <c r="F157">
        <v>12.7</v>
      </c>
      <c r="G157" t="s">
        <v>77</v>
      </c>
      <c r="H157" t="s">
        <v>267</v>
      </c>
      <c r="I157" t="s">
        <v>79</v>
      </c>
      <c r="J157">
        <v>360</v>
      </c>
      <c r="K157" t="s">
        <v>49</v>
      </c>
      <c r="L157" t="s">
        <v>34</v>
      </c>
      <c r="M157" t="s">
        <v>35</v>
      </c>
      <c r="N157" t="s">
        <v>299</v>
      </c>
      <c r="O157" t="s">
        <v>7232</v>
      </c>
      <c r="P157" t="s">
        <v>39</v>
      </c>
      <c r="Q157" t="s">
        <v>38</v>
      </c>
      <c r="R157">
        <v>0</v>
      </c>
      <c r="S157" t="s">
        <v>38</v>
      </c>
      <c r="T157">
        <v>8</v>
      </c>
      <c r="U157">
        <v>0.6</v>
      </c>
      <c r="V157">
        <v>12.7</v>
      </c>
      <c r="W157" t="s">
        <v>39</v>
      </c>
      <c r="X157" t="s">
        <v>63</v>
      </c>
      <c r="Y157" t="s">
        <v>39</v>
      </c>
      <c r="Z157" t="s">
        <v>41</v>
      </c>
      <c r="AA157" t="s">
        <v>82</v>
      </c>
      <c r="AB157" t="s">
        <v>83</v>
      </c>
      <c r="AC157">
        <f t="shared" si="22"/>
        <v>0</v>
      </c>
      <c r="AD157" s="12">
        <f t="shared" si="26"/>
        <v>1</v>
      </c>
      <c r="AE157" s="12">
        <f t="shared" si="27"/>
        <v>0</v>
      </c>
      <c r="AF157">
        <f t="shared" si="23"/>
        <v>0</v>
      </c>
      <c r="AG157">
        <f t="shared" si="28"/>
        <v>1</v>
      </c>
      <c r="AH157">
        <f t="shared" si="29"/>
        <v>0</v>
      </c>
      <c r="AI157">
        <f t="shared" si="30"/>
        <v>0</v>
      </c>
      <c r="AJ157">
        <f t="shared" si="31"/>
        <v>0</v>
      </c>
      <c r="AK157">
        <f t="shared" si="24"/>
        <v>0</v>
      </c>
      <c r="AL157">
        <f t="shared" si="32"/>
        <v>0</v>
      </c>
    </row>
    <row r="158" spans="1:38">
      <c r="A158" t="s">
        <v>600</v>
      </c>
      <c r="B158" t="s">
        <v>601</v>
      </c>
      <c r="C158" s="1">
        <f t="shared" si="25"/>
        <v>45444</v>
      </c>
      <c r="D158" t="s">
        <v>602</v>
      </c>
      <c r="E158">
        <v>510.5</v>
      </c>
      <c r="F158">
        <v>21.3</v>
      </c>
      <c r="G158" t="s">
        <v>77</v>
      </c>
      <c r="H158" t="s">
        <v>244</v>
      </c>
      <c r="I158" t="s">
        <v>79</v>
      </c>
      <c r="J158">
        <v>360</v>
      </c>
      <c r="K158" t="s">
        <v>33</v>
      </c>
      <c r="L158" t="s">
        <v>133</v>
      </c>
      <c r="M158" t="s">
        <v>35</v>
      </c>
      <c r="N158" t="s">
        <v>50</v>
      </c>
      <c r="O158" t="s">
        <v>7232</v>
      </c>
      <c r="P158" t="s">
        <v>39</v>
      </c>
      <c r="Q158" t="s">
        <v>38</v>
      </c>
      <c r="R158">
        <v>0</v>
      </c>
      <c r="S158" t="s">
        <v>38</v>
      </c>
      <c r="T158">
        <v>6</v>
      </c>
      <c r="U158">
        <v>2.4</v>
      </c>
      <c r="V158">
        <v>29.2</v>
      </c>
      <c r="W158" t="s">
        <v>38</v>
      </c>
      <c r="X158" t="s">
        <v>63</v>
      </c>
      <c r="Y158" t="s">
        <v>38</v>
      </c>
      <c r="Z158" t="s">
        <v>108</v>
      </c>
      <c r="AA158" t="s">
        <v>82</v>
      </c>
      <c r="AB158" t="s">
        <v>55</v>
      </c>
      <c r="AC158">
        <f t="shared" si="22"/>
        <v>0</v>
      </c>
      <c r="AD158" s="12">
        <f t="shared" si="26"/>
        <v>1</v>
      </c>
      <c r="AE158" s="12">
        <f t="shared" si="27"/>
        <v>0</v>
      </c>
      <c r="AF158">
        <f t="shared" si="23"/>
        <v>0</v>
      </c>
      <c r="AG158">
        <f t="shared" si="28"/>
        <v>1</v>
      </c>
      <c r="AH158">
        <f t="shared" si="29"/>
        <v>0</v>
      </c>
      <c r="AI158">
        <f t="shared" si="30"/>
        <v>0</v>
      </c>
      <c r="AJ158">
        <f t="shared" si="31"/>
        <v>0</v>
      </c>
      <c r="AK158">
        <f t="shared" si="24"/>
        <v>0</v>
      </c>
      <c r="AL158">
        <f t="shared" si="32"/>
        <v>1</v>
      </c>
    </row>
    <row r="159" spans="1:38">
      <c r="A159" t="s">
        <v>603</v>
      </c>
      <c r="B159" t="s">
        <v>604</v>
      </c>
      <c r="C159" s="1">
        <f t="shared" si="25"/>
        <v>45536</v>
      </c>
      <c r="D159" t="s">
        <v>605</v>
      </c>
      <c r="E159">
        <v>265.60000000000002</v>
      </c>
      <c r="F159">
        <v>11.1</v>
      </c>
      <c r="G159" t="s">
        <v>101</v>
      </c>
      <c r="H159" t="s">
        <v>102</v>
      </c>
      <c r="I159" t="s">
        <v>48</v>
      </c>
      <c r="J159">
        <v>120</v>
      </c>
      <c r="K159" t="s">
        <v>33</v>
      </c>
      <c r="L159" t="s">
        <v>70</v>
      </c>
      <c r="M159" t="s">
        <v>35</v>
      </c>
      <c r="N159" t="s">
        <v>164</v>
      </c>
      <c r="O159" t="s">
        <v>37</v>
      </c>
      <c r="P159" t="s">
        <v>38</v>
      </c>
      <c r="Q159" t="s">
        <v>38</v>
      </c>
      <c r="R159">
        <v>1</v>
      </c>
      <c r="S159" t="s">
        <v>38</v>
      </c>
      <c r="T159">
        <v>7</v>
      </c>
      <c r="U159">
        <v>2.6</v>
      </c>
      <c r="V159">
        <v>3.8</v>
      </c>
      <c r="W159" t="s">
        <v>39</v>
      </c>
      <c r="X159" t="s">
        <v>52</v>
      </c>
      <c r="Y159" t="s">
        <v>39</v>
      </c>
      <c r="Z159" t="s">
        <v>73</v>
      </c>
      <c r="AA159" t="s">
        <v>54</v>
      </c>
      <c r="AB159" t="s">
        <v>83</v>
      </c>
      <c r="AC159">
        <f t="shared" si="22"/>
        <v>1</v>
      </c>
      <c r="AD159" s="12">
        <f t="shared" si="26"/>
        <v>0</v>
      </c>
      <c r="AE159" s="12">
        <f t="shared" si="27"/>
        <v>0</v>
      </c>
      <c r="AF159">
        <f t="shared" si="23"/>
        <v>0</v>
      </c>
      <c r="AG159">
        <f t="shared" si="28"/>
        <v>0</v>
      </c>
      <c r="AH159">
        <f t="shared" si="29"/>
        <v>1</v>
      </c>
      <c r="AI159">
        <f t="shared" si="30"/>
        <v>0</v>
      </c>
      <c r="AJ159">
        <f t="shared" si="31"/>
        <v>0</v>
      </c>
      <c r="AK159">
        <f t="shared" si="24"/>
        <v>0</v>
      </c>
      <c r="AL159">
        <f t="shared" si="32"/>
        <v>0</v>
      </c>
    </row>
    <row r="160" spans="1:38">
      <c r="A160" t="s">
        <v>606</v>
      </c>
      <c r="B160" t="s">
        <v>607</v>
      </c>
      <c r="C160" s="1">
        <f t="shared" si="25"/>
        <v>45444</v>
      </c>
      <c r="D160" t="s">
        <v>608</v>
      </c>
      <c r="E160">
        <v>199.8</v>
      </c>
      <c r="F160">
        <v>8.3000000000000007</v>
      </c>
      <c r="G160" t="s">
        <v>77</v>
      </c>
      <c r="H160" t="s">
        <v>187</v>
      </c>
      <c r="I160" t="s">
        <v>32</v>
      </c>
      <c r="J160">
        <v>240</v>
      </c>
      <c r="K160" t="s">
        <v>49</v>
      </c>
      <c r="L160" t="s">
        <v>96</v>
      </c>
      <c r="M160" t="s">
        <v>35</v>
      </c>
      <c r="N160" t="s">
        <v>119</v>
      </c>
      <c r="O160" t="s">
        <v>51</v>
      </c>
      <c r="P160" t="s">
        <v>39</v>
      </c>
      <c r="Q160" t="s">
        <v>38</v>
      </c>
      <c r="R160">
        <v>0</v>
      </c>
      <c r="S160" t="s">
        <v>38</v>
      </c>
      <c r="T160">
        <v>10</v>
      </c>
      <c r="U160">
        <v>2.8</v>
      </c>
      <c r="V160">
        <v>23.4</v>
      </c>
      <c r="W160" t="s">
        <v>39</v>
      </c>
      <c r="X160" t="s">
        <v>123</v>
      </c>
      <c r="Y160" t="s">
        <v>38</v>
      </c>
      <c r="Z160" t="s">
        <v>115</v>
      </c>
      <c r="AA160" t="s">
        <v>54</v>
      </c>
      <c r="AB160" t="s">
        <v>83</v>
      </c>
      <c r="AC160">
        <f t="shared" si="22"/>
        <v>0</v>
      </c>
      <c r="AD160" s="12">
        <f t="shared" si="26"/>
        <v>0</v>
      </c>
      <c r="AE160" s="12">
        <f t="shared" si="27"/>
        <v>1</v>
      </c>
      <c r="AF160">
        <f t="shared" si="23"/>
        <v>1</v>
      </c>
      <c r="AG160">
        <f t="shared" si="28"/>
        <v>0</v>
      </c>
      <c r="AH160">
        <f t="shared" si="29"/>
        <v>0</v>
      </c>
      <c r="AI160">
        <f t="shared" si="30"/>
        <v>0</v>
      </c>
      <c r="AJ160">
        <f t="shared" si="31"/>
        <v>1</v>
      </c>
      <c r="AK160">
        <f t="shared" si="24"/>
        <v>0</v>
      </c>
      <c r="AL160">
        <f t="shared" si="32"/>
        <v>1</v>
      </c>
    </row>
    <row r="161" spans="1:38">
      <c r="A161" t="s">
        <v>609</v>
      </c>
      <c r="B161" t="s">
        <v>610</v>
      </c>
      <c r="C161" s="1">
        <f t="shared" si="25"/>
        <v>45566</v>
      </c>
      <c r="D161" t="s">
        <v>611</v>
      </c>
      <c r="E161">
        <v>312.89999999999998</v>
      </c>
      <c r="F161">
        <v>13</v>
      </c>
      <c r="G161" t="s">
        <v>77</v>
      </c>
      <c r="H161" t="s">
        <v>187</v>
      </c>
      <c r="I161" t="s">
        <v>79</v>
      </c>
      <c r="J161">
        <v>360</v>
      </c>
      <c r="K161" t="s">
        <v>49</v>
      </c>
      <c r="L161" t="s">
        <v>96</v>
      </c>
      <c r="M161" t="s">
        <v>35</v>
      </c>
      <c r="N161" t="s">
        <v>202</v>
      </c>
      <c r="O161" t="s">
        <v>37</v>
      </c>
      <c r="P161" t="s">
        <v>38</v>
      </c>
      <c r="Q161" t="s">
        <v>38</v>
      </c>
      <c r="R161">
        <v>1</v>
      </c>
      <c r="S161" t="s">
        <v>38</v>
      </c>
      <c r="T161">
        <v>8</v>
      </c>
      <c r="U161">
        <v>0.1</v>
      </c>
      <c r="V161">
        <v>26.4</v>
      </c>
      <c r="W161" t="s">
        <v>39</v>
      </c>
      <c r="X161" t="s">
        <v>63</v>
      </c>
      <c r="Y161" t="s">
        <v>39</v>
      </c>
      <c r="Z161" t="s">
        <v>41</v>
      </c>
      <c r="AA161" t="s">
        <v>42</v>
      </c>
      <c r="AB161" t="s">
        <v>55</v>
      </c>
      <c r="AC161">
        <f t="shared" si="22"/>
        <v>0</v>
      </c>
      <c r="AD161" s="12">
        <f t="shared" si="26"/>
        <v>1</v>
      </c>
      <c r="AE161" s="12">
        <f t="shared" si="27"/>
        <v>0</v>
      </c>
      <c r="AF161">
        <f t="shared" si="23"/>
        <v>0</v>
      </c>
      <c r="AG161">
        <f t="shared" si="28"/>
        <v>0</v>
      </c>
      <c r="AH161">
        <f t="shared" si="29"/>
        <v>0</v>
      </c>
      <c r="AI161">
        <f t="shared" si="30"/>
        <v>0</v>
      </c>
      <c r="AJ161">
        <f t="shared" si="31"/>
        <v>0</v>
      </c>
      <c r="AK161">
        <f t="shared" si="24"/>
        <v>0</v>
      </c>
      <c r="AL161">
        <f t="shared" si="32"/>
        <v>0</v>
      </c>
    </row>
    <row r="162" spans="1:38">
      <c r="A162" t="s">
        <v>612</v>
      </c>
      <c r="B162" t="s">
        <v>613</v>
      </c>
      <c r="C162" s="1">
        <f t="shared" si="25"/>
        <v>45323</v>
      </c>
      <c r="D162" t="s">
        <v>614</v>
      </c>
      <c r="E162">
        <v>180.4</v>
      </c>
      <c r="F162">
        <v>7.5</v>
      </c>
      <c r="G162" t="s">
        <v>142</v>
      </c>
      <c r="H162" t="s">
        <v>240</v>
      </c>
      <c r="I162" t="s">
        <v>32</v>
      </c>
      <c r="J162">
        <v>240</v>
      </c>
      <c r="K162" t="s">
        <v>49</v>
      </c>
      <c r="L162" t="s">
        <v>113</v>
      </c>
      <c r="M162" t="s">
        <v>35</v>
      </c>
      <c r="N162" t="s">
        <v>506</v>
      </c>
      <c r="O162" t="s">
        <v>37</v>
      </c>
      <c r="P162" t="s">
        <v>39</v>
      </c>
      <c r="Q162" t="s">
        <v>38</v>
      </c>
      <c r="R162">
        <v>0</v>
      </c>
      <c r="S162" t="s">
        <v>38</v>
      </c>
      <c r="T162">
        <v>9</v>
      </c>
      <c r="U162">
        <v>5</v>
      </c>
      <c r="V162">
        <v>22.5</v>
      </c>
      <c r="W162" t="s">
        <v>39</v>
      </c>
      <c r="X162" t="s">
        <v>63</v>
      </c>
      <c r="Y162" t="s">
        <v>39</v>
      </c>
      <c r="Z162" t="s">
        <v>64</v>
      </c>
      <c r="AA162" t="s">
        <v>82</v>
      </c>
      <c r="AB162" t="s">
        <v>55</v>
      </c>
      <c r="AC162">
        <f t="shared" si="22"/>
        <v>0</v>
      </c>
      <c r="AD162" s="12">
        <f t="shared" si="26"/>
        <v>1</v>
      </c>
      <c r="AE162" s="12">
        <f t="shared" si="27"/>
        <v>0</v>
      </c>
      <c r="AF162">
        <f t="shared" si="23"/>
        <v>0</v>
      </c>
      <c r="AG162">
        <f t="shared" si="28"/>
        <v>0</v>
      </c>
      <c r="AH162">
        <f t="shared" si="29"/>
        <v>0</v>
      </c>
      <c r="AI162">
        <f t="shared" si="30"/>
        <v>0</v>
      </c>
      <c r="AJ162">
        <f t="shared" si="31"/>
        <v>1</v>
      </c>
      <c r="AK162">
        <f t="shared" si="24"/>
        <v>0</v>
      </c>
      <c r="AL162">
        <f t="shared" si="32"/>
        <v>0</v>
      </c>
    </row>
    <row r="163" spans="1:38">
      <c r="A163" t="s">
        <v>615</v>
      </c>
      <c r="B163" t="s">
        <v>616</v>
      </c>
      <c r="C163" s="1">
        <f t="shared" si="25"/>
        <v>45444</v>
      </c>
      <c r="D163" t="s">
        <v>617</v>
      </c>
      <c r="E163">
        <v>263</v>
      </c>
      <c r="F163">
        <v>11</v>
      </c>
      <c r="G163" t="s">
        <v>93</v>
      </c>
      <c r="H163" t="s">
        <v>163</v>
      </c>
      <c r="I163" t="s">
        <v>79</v>
      </c>
      <c r="J163">
        <v>360</v>
      </c>
      <c r="K163" t="s">
        <v>49</v>
      </c>
      <c r="L163" t="s">
        <v>96</v>
      </c>
      <c r="M163" t="s">
        <v>71</v>
      </c>
      <c r="N163" t="s">
        <v>299</v>
      </c>
      <c r="O163" t="s">
        <v>7232</v>
      </c>
      <c r="P163" t="s">
        <v>38</v>
      </c>
      <c r="Q163" t="s">
        <v>39</v>
      </c>
      <c r="R163">
        <v>3</v>
      </c>
      <c r="S163" t="s">
        <v>39</v>
      </c>
      <c r="T163">
        <v>7</v>
      </c>
      <c r="U163">
        <v>1.6</v>
      </c>
      <c r="V163">
        <v>23</v>
      </c>
      <c r="W163" t="s">
        <v>39</v>
      </c>
      <c r="X163" t="s">
        <v>123</v>
      </c>
      <c r="Y163" t="s">
        <v>38</v>
      </c>
      <c r="Z163" t="s">
        <v>41</v>
      </c>
      <c r="AA163" t="s">
        <v>82</v>
      </c>
      <c r="AB163" t="s">
        <v>83</v>
      </c>
      <c r="AC163">
        <f t="shared" si="22"/>
        <v>0</v>
      </c>
      <c r="AD163" s="12">
        <f t="shared" si="26"/>
        <v>0</v>
      </c>
      <c r="AE163" s="12">
        <f t="shared" si="27"/>
        <v>1</v>
      </c>
      <c r="AF163">
        <f t="shared" si="23"/>
        <v>0</v>
      </c>
      <c r="AG163">
        <f t="shared" si="28"/>
        <v>1</v>
      </c>
      <c r="AH163">
        <f t="shared" si="29"/>
        <v>0</v>
      </c>
      <c r="AI163">
        <f t="shared" si="30"/>
        <v>0</v>
      </c>
      <c r="AJ163">
        <f t="shared" si="31"/>
        <v>0</v>
      </c>
      <c r="AK163">
        <f t="shared" si="24"/>
        <v>0</v>
      </c>
      <c r="AL163">
        <f t="shared" si="32"/>
        <v>1</v>
      </c>
    </row>
    <row r="164" spans="1:38">
      <c r="A164" t="s">
        <v>618</v>
      </c>
      <c r="B164" t="s">
        <v>619</v>
      </c>
      <c r="C164" s="1">
        <f t="shared" si="25"/>
        <v>45444</v>
      </c>
      <c r="D164" t="s">
        <v>620</v>
      </c>
      <c r="E164">
        <v>45.4</v>
      </c>
      <c r="F164">
        <v>1.9</v>
      </c>
      <c r="G164" t="s">
        <v>93</v>
      </c>
      <c r="H164" t="s">
        <v>94</v>
      </c>
      <c r="I164" t="s">
        <v>95</v>
      </c>
      <c r="J164">
        <v>48</v>
      </c>
      <c r="K164" t="s">
        <v>49</v>
      </c>
      <c r="L164" t="s">
        <v>70</v>
      </c>
      <c r="M164" t="s">
        <v>35</v>
      </c>
      <c r="N164" t="s">
        <v>128</v>
      </c>
      <c r="O164" t="s">
        <v>7232</v>
      </c>
      <c r="P164" t="s">
        <v>38</v>
      </c>
      <c r="Q164" t="s">
        <v>38</v>
      </c>
      <c r="R164">
        <v>1</v>
      </c>
      <c r="S164" t="s">
        <v>38</v>
      </c>
      <c r="T164">
        <v>8</v>
      </c>
      <c r="U164">
        <v>5.2</v>
      </c>
      <c r="V164">
        <v>24.6</v>
      </c>
      <c r="W164" t="s">
        <v>39</v>
      </c>
      <c r="X164" t="s">
        <v>63</v>
      </c>
      <c r="Y164" t="s">
        <v>39</v>
      </c>
      <c r="Z164" t="s">
        <v>64</v>
      </c>
      <c r="AA164" t="s">
        <v>82</v>
      </c>
      <c r="AB164" t="s">
        <v>43</v>
      </c>
      <c r="AC164">
        <f t="shared" si="22"/>
        <v>0</v>
      </c>
      <c r="AD164" s="12">
        <f t="shared" si="26"/>
        <v>1</v>
      </c>
      <c r="AE164" s="12">
        <f t="shared" si="27"/>
        <v>0</v>
      </c>
      <c r="AF164">
        <f t="shared" si="23"/>
        <v>0</v>
      </c>
      <c r="AG164">
        <f t="shared" si="28"/>
        <v>1</v>
      </c>
      <c r="AH164">
        <f t="shared" si="29"/>
        <v>0</v>
      </c>
      <c r="AI164">
        <f t="shared" si="30"/>
        <v>1</v>
      </c>
      <c r="AJ164">
        <f t="shared" si="31"/>
        <v>0</v>
      </c>
      <c r="AK164">
        <f t="shared" si="24"/>
        <v>0</v>
      </c>
      <c r="AL164">
        <f t="shared" si="32"/>
        <v>0</v>
      </c>
    </row>
    <row r="165" spans="1:38">
      <c r="A165" t="s">
        <v>621</v>
      </c>
      <c r="B165" t="s">
        <v>622</v>
      </c>
      <c r="C165" s="1">
        <f t="shared" si="25"/>
        <v>45505</v>
      </c>
      <c r="D165" t="s">
        <v>623</v>
      </c>
      <c r="E165">
        <v>212.8</v>
      </c>
      <c r="F165">
        <v>8.9</v>
      </c>
      <c r="G165" t="s">
        <v>142</v>
      </c>
      <c r="H165" t="s">
        <v>319</v>
      </c>
      <c r="I165" t="s">
        <v>32</v>
      </c>
      <c r="J165">
        <v>240</v>
      </c>
      <c r="K165" t="s">
        <v>49</v>
      </c>
      <c r="L165" t="s">
        <v>70</v>
      </c>
      <c r="M165" t="s">
        <v>71</v>
      </c>
      <c r="N165" t="s">
        <v>36</v>
      </c>
      <c r="O165" t="s">
        <v>7232</v>
      </c>
      <c r="P165" t="s">
        <v>38</v>
      </c>
      <c r="Q165" t="s">
        <v>39</v>
      </c>
      <c r="R165">
        <v>1</v>
      </c>
      <c r="S165" t="s">
        <v>38</v>
      </c>
      <c r="T165">
        <v>8</v>
      </c>
      <c r="U165">
        <v>3.3</v>
      </c>
      <c r="V165">
        <v>36.200000000000003</v>
      </c>
      <c r="W165" t="s">
        <v>38</v>
      </c>
      <c r="X165" t="s">
        <v>63</v>
      </c>
      <c r="Y165" t="s">
        <v>39</v>
      </c>
      <c r="Z165" t="s">
        <v>81</v>
      </c>
      <c r="AA165" t="s">
        <v>109</v>
      </c>
      <c r="AB165" t="s">
        <v>83</v>
      </c>
      <c r="AC165">
        <f t="shared" si="22"/>
        <v>0</v>
      </c>
      <c r="AD165" s="12">
        <f t="shared" si="26"/>
        <v>1</v>
      </c>
      <c r="AE165" s="12">
        <f t="shared" si="27"/>
        <v>0</v>
      </c>
      <c r="AF165">
        <f t="shared" si="23"/>
        <v>0</v>
      </c>
      <c r="AG165">
        <f t="shared" si="28"/>
        <v>1</v>
      </c>
      <c r="AH165">
        <f t="shared" si="29"/>
        <v>0</v>
      </c>
      <c r="AI165">
        <f t="shared" si="30"/>
        <v>0</v>
      </c>
      <c r="AJ165">
        <f t="shared" si="31"/>
        <v>1</v>
      </c>
      <c r="AK165">
        <f t="shared" si="24"/>
        <v>0</v>
      </c>
      <c r="AL165">
        <f t="shared" si="32"/>
        <v>0</v>
      </c>
    </row>
    <row r="166" spans="1:38">
      <c r="A166" t="s">
        <v>624</v>
      </c>
      <c r="B166" t="s">
        <v>625</v>
      </c>
      <c r="C166" s="1">
        <f t="shared" si="25"/>
        <v>45383</v>
      </c>
      <c r="D166" t="s">
        <v>626</v>
      </c>
      <c r="E166">
        <v>327.5</v>
      </c>
      <c r="F166">
        <v>13.6</v>
      </c>
      <c r="G166" t="s">
        <v>142</v>
      </c>
      <c r="H166" t="s">
        <v>260</v>
      </c>
      <c r="I166" t="s">
        <v>32</v>
      </c>
      <c r="J166">
        <v>240</v>
      </c>
      <c r="K166" t="s">
        <v>33</v>
      </c>
      <c r="L166" t="s">
        <v>34</v>
      </c>
      <c r="M166" t="s">
        <v>35</v>
      </c>
      <c r="N166" t="s">
        <v>50</v>
      </c>
      <c r="O166" t="s">
        <v>37</v>
      </c>
      <c r="P166" t="s">
        <v>38</v>
      </c>
      <c r="Q166" t="s">
        <v>38</v>
      </c>
      <c r="R166">
        <v>1</v>
      </c>
      <c r="S166" t="s">
        <v>39</v>
      </c>
      <c r="T166">
        <v>6</v>
      </c>
      <c r="U166">
        <v>3.1</v>
      </c>
      <c r="V166">
        <v>36.299999999999997</v>
      </c>
      <c r="W166" t="s">
        <v>39</v>
      </c>
      <c r="X166" t="s">
        <v>63</v>
      </c>
      <c r="Y166" t="s">
        <v>39</v>
      </c>
      <c r="Z166" t="s">
        <v>179</v>
      </c>
      <c r="AA166" t="s">
        <v>109</v>
      </c>
      <c r="AB166" t="s">
        <v>55</v>
      </c>
      <c r="AC166">
        <f t="shared" si="22"/>
        <v>0</v>
      </c>
      <c r="AD166" s="12">
        <f t="shared" si="26"/>
        <v>1</v>
      </c>
      <c r="AE166" s="12">
        <f t="shared" si="27"/>
        <v>0</v>
      </c>
      <c r="AF166">
        <f t="shared" si="23"/>
        <v>0</v>
      </c>
      <c r="AG166">
        <f t="shared" si="28"/>
        <v>0</v>
      </c>
      <c r="AH166">
        <f t="shared" si="29"/>
        <v>0</v>
      </c>
      <c r="AI166">
        <f t="shared" si="30"/>
        <v>0</v>
      </c>
      <c r="AJ166">
        <f t="shared" si="31"/>
        <v>1</v>
      </c>
      <c r="AK166">
        <f t="shared" si="24"/>
        <v>0</v>
      </c>
      <c r="AL166">
        <f t="shared" si="32"/>
        <v>0</v>
      </c>
    </row>
    <row r="167" spans="1:38">
      <c r="A167" t="s">
        <v>627</v>
      </c>
      <c r="B167" t="s">
        <v>628</v>
      </c>
      <c r="C167" s="1">
        <f t="shared" si="25"/>
        <v>45444</v>
      </c>
      <c r="D167" t="s">
        <v>629</v>
      </c>
      <c r="E167">
        <v>625.79999999999995</v>
      </c>
      <c r="F167">
        <v>26.1</v>
      </c>
      <c r="G167" t="s">
        <v>77</v>
      </c>
      <c r="H167" t="s">
        <v>267</v>
      </c>
      <c r="I167" t="s">
        <v>79</v>
      </c>
      <c r="J167">
        <v>360</v>
      </c>
      <c r="K167" t="s">
        <v>33</v>
      </c>
      <c r="L167" t="s">
        <v>70</v>
      </c>
      <c r="M167" t="s">
        <v>35</v>
      </c>
      <c r="N167" t="s">
        <v>134</v>
      </c>
      <c r="O167" t="s">
        <v>37</v>
      </c>
      <c r="P167" t="s">
        <v>39</v>
      </c>
      <c r="Q167" t="s">
        <v>38</v>
      </c>
      <c r="R167">
        <v>0</v>
      </c>
      <c r="S167" t="s">
        <v>38</v>
      </c>
      <c r="T167">
        <v>10</v>
      </c>
      <c r="U167">
        <v>3.9</v>
      </c>
      <c r="V167">
        <v>14.5</v>
      </c>
      <c r="W167" t="s">
        <v>39</v>
      </c>
      <c r="X167" t="s">
        <v>123</v>
      </c>
      <c r="Y167" t="s">
        <v>39</v>
      </c>
      <c r="Z167" t="s">
        <v>41</v>
      </c>
      <c r="AA167" t="s">
        <v>103</v>
      </c>
      <c r="AB167" t="s">
        <v>55</v>
      </c>
      <c r="AC167">
        <f t="shared" si="22"/>
        <v>0</v>
      </c>
      <c r="AD167" s="12">
        <f t="shared" si="26"/>
        <v>0</v>
      </c>
      <c r="AE167" s="12">
        <f t="shared" si="27"/>
        <v>1</v>
      </c>
      <c r="AF167">
        <f t="shared" si="23"/>
        <v>0</v>
      </c>
      <c r="AG167">
        <f t="shared" si="28"/>
        <v>0</v>
      </c>
      <c r="AH167">
        <f t="shared" si="29"/>
        <v>0</v>
      </c>
      <c r="AI167">
        <f t="shared" si="30"/>
        <v>0</v>
      </c>
      <c r="AJ167">
        <f t="shared" si="31"/>
        <v>0</v>
      </c>
      <c r="AK167">
        <f t="shared" si="24"/>
        <v>0</v>
      </c>
      <c r="AL167">
        <f t="shared" si="32"/>
        <v>0</v>
      </c>
    </row>
    <row r="168" spans="1:38">
      <c r="A168" t="s">
        <v>630</v>
      </c>
      <c r="B168" t="s">
        <v>631</v>
      </c>
      <c r="C168" s="1">
        <f t="shared" si="25"/>
        <v>45383</v>
      </c>
      <c r="D168" t="s">
        <v>632</v>
      </c>
      <c r="E168">
        <v>318.89999999999998</v>
      </c>
      <c r="F168">
        <v>13.3</v>
      </c>
      <c r="G168" t="s">
        <v>142</v>
      </c>
      <c r="H168" t="s">
        <v>319</v>
      </c>
      <c r="I168" t="s">
        <v>79</v>
      </c>
      <c r="J168">
        <v>360</v>
      </c>
      <c r="K168" t="s">
        <v>49</v>
      </c>
      <c r="L168" t="s">
        <v>70</v>
      </c>
      <c r="M168" t="s">
        <v>35</v>
      </c>
      <c r="N168" t="s">
        <v>89</v>
      </c>
      <c r="O168" t="s">
        <v>7232</v>
      </c>
      <c r="P168" t="s">
        <v>39</v>
      </c>
      <c r="Q168" t="s">
        <v>38</v>
      </c>
      <c r="R168">
        <v>0</v>
      </c>
      <c r="S168" t="s">
        <v>38</v>
      </c>
      <c r="T168">
        <v>9</v>
      </c>
      <c r="U168">
        <v>3.1</v>
      </c>
      <c r="V168">
        <v>14.9</v>
      </c>
      <c r="W168" t="s">
        <v>39</v>
      </c>
      <c r="X168" t="s">
        <v>123</v>
      </c>
      <c r="Y168" t="s">
        <v>38</v>
      </c>
      <c r="Z168" t="s">
        <v>73</v>
      </c>
      <c r="AA168" t="s">
        <v>103</v>
      </c>
      <c r="AB168" t="s">
        <v>55</v>
      </c>
      <c r="AC168">
        <f t="shared" si="22"/>
        <v>0</v>
      </c>
      <c r="AD168" s="12">
        <f t="shared" si="26"/>
        <v>0</v>
      </c>
      <c r="AE168" s="12">
        <f t="shared" si="27"/>
        <v>1</v>
      </c>
      <c r="AF168">
        <f t="shared" si="23"/>
        <v>0</v>
      </c>
      <c r="AG168">
        <f t="shared" si="28"/>
        <v>1</v>
      </c>
      <c r="AH168">
        <f t="shared" si="29"/>
        <v>0</v>
      </c>
      <c r="AI168">
        <f t="shared" si="30"/>
        <v>0</v>
      </c>
      <c r="AJ168">
        <f t="shared" si="31"/>
        <v>0</v>
      </c>
      <c r="AK168">
        <f t="shared" si="24"/>
        <v>0</v>
      </c>
      <c r="AL168">
        <f t="shared" si="32"/>
        <v>1</v>
      </c>
    </row>
    <row r="169" spans="1:38">
      <c r="A169" t="s">
        <v>633</v>
      </c>
      <c r="B169" t="s">
        <v>634</v>
      </c>
      <c r="C169" s="1">
        <f t="shared" si="25"/>
        <v>45474</v>
      </c>
      <c r="D169" t="s">
        <v>635</v>
      </c>
      <c r="E169">
        <v>322.3</v>
      </c>
      <c r="F169">
        <v>13.4</v>
      </c>
      <c r="G169" t="s">
        <v>142</v>
      </c>
      <c r="H169" t="s">
        <v>143</v>
      </c>
      <c r="I169" t="s">
        <v>79</v>
      </c>
      <c r="J169">
        <v>360</v>
      </c>
      <c r="K169" t="s">
        <v>49</v>
      </c>
      <c r="L169" t="s">
        <v>34</v>
      </c>
      <c r="M169" t="s">
        <v>35</v>
      </c>
      <c r="N169" t="s">
        <v>50</v>
      </c>
      <c r="O169" t="s">
        <v>7232</v>
      </c>
      <c r="P169" t="s">
        <v>39</v>
      </c>
      <c r="Q169" t="s">
        <v>38</v>
      </c>
      <c r="R169">
        <v>0</v>
      </c>
      <c r="S169" t="s">
        <v>38</v>
      </c>
      <c r="T169">
        <v>10</v>
      </c>
      <c r="U169">
        <v>3</v>
      </c>
      <c r="V169">
        <v>7.8</v>
      </c>
      <c r="W169" t="s">
        <v>39</v>
      </c>
      <c r="X169" t="s">
        <v>52</v>
      </c>
      <c r="Y169" t="s">
        <v>38</v>
      </c>
      <c r="Z169" t="s">
        <v>64</v>
      </c>
      <c r="AA169" t="s">
        <v>42</v>
      </c>
      <c r="AB169" t="s">
        <v>83</v>
      </c>
      <c r="AC169">
        <f t="shared" si="22"/>
        <v>1</v>
      </c>
      <c r="AD169" s="12">
        <f t="shared" si="26"/>
        <v>0</v>
      </c>
      <c r="AE169" s="12">
        <f t="shared" si="27"/>
        <v>0</v>
      </c>
      <c r="AF169">
        <f t="shared" si="23"/>
        <v>0</v>
      </c>
      <c r="AG169">
        <f t="shared" si="28"/>
        <v>1</v>
      </c>
      <c r="AH169">
        <f t="shared" si="29"/>
        <v>0</v>
      </c>
      <c r="AI169">
        <f t="shared" si="30"/>
        <v>0</v>
      </c>
      <c r="AJ169">
        <f t="shared" si="31"/>
        <v>0</v>
      </c>
      <c r="AK169">
        <f t="shared" si="24"/>
        <v>0</v>
      </c>
      <c r="AL169">
        <f t="shared" si="32"/>
        <v>1</v>
      </c>
    </row>
    <row r="170" spans="1:38">
      <c r="A170" t="s">
        <v>636</v>
      </c>
      <c r="B170" t="s">
        <v>637</v>
      </c>
      <c r="C170" s="1">
        <f t="shared" si="25"/>
        <v>45352</v>
      </c>
      <c r="D170" t="s">
        <v>638</v>
      </c>
      <c r="E170">
        <v>124.2</v>
      </c>
      <c r="F170">
        <v>5.2</v>
      </c>
      <c r="G170" t="s">
        <v>59</v>
      </c>
      <c r="H170" t="s">
        <v>281</v>
      </c>
      <c r="I170" t="s">
        <v>48</v>
      </c>
      <c r="J170">
        <v>120</v>
      </c>
      <c r="K170" t="s">
        <v>33</v>
      </c>
      <c r="L170" t="s">
        <v>70</v>
      </c>
      <c r="M170" t="s">
        <v>35</v>
      </c>
      <c r="N170" t="s">
        <v>220</v>
      </c>
      <c r="O170" t="s">
        <v>37</v>
      </c>
      <c r="P170" t="s">
        <v>38</v>
      </c>
      <c r="Q170" t="s">
        <v>38</v>
      </c>
      <c r="R170">
        <v>1</v>
      </c>
      <c r="S170" t="s">
        <v>38</v>
      </c>
      <c r="T170">
        <v>7</v>
      </c>
      <c r="U170">
        <v>4.5</v>
      </c>
      <c r="V170">
        <v>19.399999999999999</v>
      </c>
      <c r="W170" t="s">
        <v>39</v>
      </c>
      <c r="X170" t="s">
        <v>63</v>
      </c>
      <c r="Y170" t="s">
        <v>39</v>
      </c>
      <c r="Z170" t="s">
        <v>81</v>
      </c>
      <c r="AA170" t="s">
        <v>82</v>
      </c>
      <c r="AB170" t="s">
        <v>83</v>
      </c>
      <c r="AC170">
        <f t="shared" si="22"/>
        <v>0</v>
      </c>
      <c r="AD170" s="12">
        <f t="shared" si="26"/>
        <v>1</v>
      </c>
      <c r="AE170" s="12">
        <f t="shared" si="27"/>
        <v>0</v>
      </c>
      <c r="AF170">
        <f t="shared" si="23"/>
        <v>0</v>
      </c>
      <c r="AG170">
        <f t="shared" si="28"/>
        <v>0</v>
      </c>
      <c r="AH170">
        <f t="shared" si="29"/>
        <v>1</v>
      </c>
      <c r="AI170">
        <f t="shared" si="30"/>
        <v>0</v>
      </c>
      <c r="AJ170">
        <f t="shared" si="31"/>
        <v>0</v>
      </c>
      <c r="AK170">
        <f t="shared" si="24"/>
        <v>0</v>
      </c>
      <c r="AL170">
        <f t="shared" si="32"/>
        <v>0</v>
      </c>
    </row>
    <row r="171" spans="1:38">
      <c r="A171" t="s">
        <v>639</v>
      </c>
      <c r="B171" t="s">
        <v>640</v>
      </c>
      <c r="C171" s="1">
        <f t="shared" si="25"/>
        <v>45352</v>
      </c>
      <c r="D171" t="s">
        <v>641</v>
      </c>
      <c r="E171">
        <v>197.6</v>
      </c>
      <c r="F171">
        <v>8.1999999999999993</v>
      </c>
      <c r="G171" t="s">
        <v>142</v>
      </c>
      <c r="H171" t="s">
        <v>260</v>
      </c>
      <c r="I171" t="s">
        <v>32</v>
      </c>
      <c r="J171">
        <v>240</v>
      </c>
      <c r="K171" t="s">
        <v>49</v>
      </c>
      <c r="L171" t="s">
        <v>96</v>
      </c>
      <c r="M171" t="s">
        <v>35</v>
      </c>
      <c r="N171" t="s">
        <v>192</v>
      </c>
      <c r="O171" t="s">
        <v>51</v>
      </c>
      <c r="P171" t="s">
        <v>38</v>
      </c>
      <c r="Q171" t="s">
        <v>38</v>
      </c>
      <c r="R171">
        <v>1</v>
      </c>
      <c r="S171" t="s">
        <v>39</v>
      </c>
      <c r="T171">
        <v>8</v>
      </c>
      <c r="U171">
        <v>0.1</v>
      </c>
      <c r="V171">
        <v>22</v>
      </c>
      <c r="W171" t="s">
        <v>39</v>
      </c>
      <c r="X171" t="s">
        <v>63</v>
      </c>
      <c r="Y171" t="s">
        <v>39</v>
      </c>
      <c r="Z171" t="s">
        <v>81</v>
      </c>
      <c r="AA171" t="s">
        <v>109</v>
      </c>
      <c r="AB171" t="s">
        <v>83</v>
      </c>
      <c r="AC171">
        <f t="shared" si="22"/>
        <v>0</v>
      </c>
      <c r="AD171" s="12">
        <f t="shared" si="26"/>
        <v>1</v>
      </c>
      <c r="AE171" s="12">
        <f t="shared" si="27"/>
        <v>0</v>
      </c>
      <c r="AF171">
        <f t="shared" si="23"/>
        <v>1</v>
      </c>
      <c r="AG171">
        <f t="shared" si="28"/>
        <v>0</v>
      </c>
      <c r="AH171">
        <f t="shared" si="29"/>
        <v>0</v>
      </c>
      <c r="AI171">
        <f t="shared" si="30"/>
        <v>0</v>
      </c>
      <c r="AJ171">
        <f t="shared" si="31"/>
        <v>1</v>
      </c>
      <c r="AK171">
        <f t="shared" si="24"/>
        <v>0</v>
      </c>
      <c r="AL171">
        <f t="shared" si="32"/>
        <v>0</v>
      </c>
    </row>
    <row r="172" spans="1:38">
      <c r="A172" t="s">
        <v>642</v>
      </c>
      <c r="B172" t="s">
        <v>643</v>
      </c>
      <c r="C172" s="1">
        <f t="shared" si="25"/>
        <v>45352</v>
      </c>
      <c r="D172" t="s">
        <v>644</v>
      </c>
      <c r="E172">
        <v>165.4</v>
      </c>
      <c r="F172">
        <v>6.9</v>
      </c>
      <c r="G172" t="s">
        <v>77</v>
      </c>
      <c r="H172" t="s">
        <v>78</v>
      </c>
      <c r="I172" t="s">
        <v>48</v>
      </c>
      <c r="J172">
        <v>120</v>
      </c>
      <c r="K172" t="s">
        <v>33</v>
      </c>
      <c r="L172" t="s">
        <v>96</v>
      </c>
      <c r="M172" t="s">
        <v>35</v>
      </c>
      <c r="N172" t="s">
        <v>220</v>
      </c>
      <c r="O172" t="s">
        <v>37</v>
      </c>
      <c r="P172" t="s">
        <v>39</v>
      </c>
      <c r="Q172" t="s">
        <v>38</v>
      </c>
      <c r="R172">
        <v>0</v>
      </c>
      <c r="S172" t="s">
        <v>38</v>
      </c>
      <c r="T172">
        <v>8</v>
      </c>
      <c r="U172">
        <v>1.4</v>
      </c>
      <c r="V172">
        <v>21.2</v>
      </c>
      <c r="W172" t="s">
        <v>39</v>
      </c>
      <c r="X172" t="s">
        <v>40</v>
      </c>
      <c r="Y172" t="s">
        <v>38</v>
      </c>
      <c r="Z172" t="s">
        <v>108</v>
      </c>
      <c r="AA172" t="s">
        <v>103</v>
      </c>
      <c r="AB172" t="s">
        <v>83</v>
      </c>
      <c r="AC172">
        <f t="shared" si="22"/>
        <v>0</v>
      </c>
      <c r="AD172" s="12">
        <f t="shared" si="26"/>
        <v>0</v>
      </c>
      <c r="AE172" s="12">
        <f t="shared" si="27"/>
        <v>0</v>
      </c>
      <c r="AF172">
        <f t="shared" si="23"/>
        <v>0</v>
      </c>
      <c r="AG172">
        <f t="shared" si="28"/>
        <v>0</v>
      </c>
      <c r="AH172">
        <f t="shared" si="29"/>
        <v>1</v>
      </c>
      <c r="AI172">
        <f t="shared" si="30"/>
        <v>0</v>
      </c>
      <c r="AJ172">
        <f t="shared" si="31"/>
        <v>0</v>
      </c>
      <c r="AK172">
        <f t="shared" si="24"/>
        <v>0</v>
      </c>
      <c r="AL172">
        <f t="shared" si="32"/>
        <v>1</v>
      </c>
    </row>
    <row r="173" spans="1:38">
      <c r="A173" t="s">
        <v>645</v>
      </c>
      <c r="B173" t="s">
        <v>646</v>
      </c>
      <c r="C173" s="1">
        <f t="shared" si="25"/>
        <v>45505</v>
      </c>
      <c r="D173" t="s">
        <v>647</v>
      </c>
      <c r="E173">
        <v>219.9</v>
      </c>
      <c r="F173">
        <v>9.1999999999999993</v>
      </c>
      <c r="G173" t="s">
        <v>93</v>
      </c>
      <c r="H173" t="s">
        <v>163</v>
      </c>
      <c r="I173" t="s">
        <v>32</v>
      </c>
      <c r="J173">
        <v>240</v>
      </c>
      <c r="K173" t="s">
        <v>49</v>
      </c>
      <c r="L173" t="s">
        <v>113</v>
      </c>
      <c r="M173" t="s">
        <v>35</v>
      </c>
      <c r="N173" t="s">
        <v>144</v>
      </c>
      <c r="O173" t="s">
        <v>37</v>
      </c>
      <c r="P173" t="s">
        <v>38</v>
      </c>
      <c r="Q173" t="s">
        <v>38</v>
      </c>
      <c r="R173">
        <v>1</v>
      </c>
      <c r="S173" t="s">
        <v>38</v>
      </c>
      <c r="T173">
        <v>8</v>
      </c>
      <c r="U173">
        <v>1.4</v>
      </c>
      <c r="V173">
        <v>36.4</v>
      </c>
      <c r="W173" t="s">
        <v>39</v>
      </c>
      <c r="X173" t="s">
        <v>63</v>
      </c>
      <c r="Y173" t="s">
        <v>39</v>
      </c>
      <c r="Z173" t="s">
        <v>115</v>
      </c>
      <c r="AA173" t="s">
        <v>109</v>
      </c>
      <c r="AB173" t="s">
        <v>83</v>
      </c>
      <c r="AC173">
        <f t="shared" si="22"/>
        <v>0</v>
      </c>
      <c r="AD173" s="12">
        <f t="shared" si="26"/>
        <v>1</v>
      </c>
      <c r="AE173" s="12">
        <f t="shared" si="27"/>
        <v>0</v>
      </c>
      <c r="AF173">
        <f t="shared" si="23"/>
        <v>0</v>
      </c>
      <c r="AG173">
        <f t="shared" si="28"/>
        <v>0</v>
      </c>
      <c r="AH173">
        <f t="shared" si="29"/>
        <v>0</v>
      </c>
      <c r="AI173">
        <f t="shared" si="30"/>
        <v>0</v>
      </c>
      <c r="AJ173">
        <f t="shared" si="31"/>
        <v>1</v>
      </c>
      <c r="AK173">
        <f t="shared" si="24"/>
        <v>0</v>
      </c>
      <c r="AL173">
        <f t="shared" si="32"/>
        <v>0</v>
      </c>
    </row>
    <row r="174" spans="1:38">
      <c r="A174" t="s">
        <v>648</v>
      </c>
      <c r="B174" t="s">
        <v>649</v>
      </c>
      <c r="C174" s="1">
        <f t="shared" si="25"/>
        <v>45413</v>
      </c>
      <c r="D174" t="s">
        <v>650</v>
      </c>
      <c r="E174">
        <v>204.9</v>
      </c>
      <c r="F174">
        <v>8.5</v>
      </c>
      <c r="G174" t="s">
        <v>142</v>
      </c>
      <c r="H174" t="s">
        <v>143</v>
      </c>
      <c r="I174" t="s">
        <v>32</v>
      </c>
      <c r="J174">
        <v>240</v>
      </c>
      <c r="K174" t="s">
        <v>49</v>
      </c>
      <c r="L174" t="s">
        <v>34</v>
      </c>
      <c r="M174" t="s">
        <v>35</v>
      </c>
      <c r="N174" t="s">
        <v>414</v>
      </c>
      <c r="O174" t="s">
        <v>7232</v>
      </c>
      <c r="P174" t="s">
        <v>38</v>
      </c>
      <c r="Q174" t="s">
        <v>38</v>
      </c>
      <c r="R174">
        <v>1</v>
      </c>
      <c r="S174" t="s">
        <v>38</v>
      </c>
      <c r="T174">
        <v>7</v>
      </c>
      <c r="U174">
        <v>3</v>
      </c>
      <c r="V174">
        <v>24.8</v>
      </c>
      <c r="W174" t="s">
        <v>38</v>
      </c>
      <c r="X174" t="s">
        <v>123</v>
      </c>
      <c r="Y174" t="s">
        <v>39</v>
      </c>
      <c r="Z174" t="s">
        <v>53</v>
      </c>
      <c r="AA174" t="s">
        <v>42</v>
      </c>
      <c r="AB174" t="s">
        <v>43</v>
      </c>
      <c r="AC174">
        <f t="shared" si="22"/>
        <v>0</v>
      </c>
      <c r="AD174" s="12">
        <f t="shared" si="26"/>
        <v>0</v>
      </c>
      <c r="AE174" s="12">
        <f t="shared" si="27"/>
        <v>1</v>
      </c>
      <c r="AF174">
        <f t="shared" si="23"/>
        <v>0</v>
      </c>
      <c r="AG174">
        <f t="shared" si="28"/>
        <v>1</v>
      </c>
      <c r="AH174">
        <f t="shared" si="29"/>
        <v>0</v>
      </c>
      <c r="AI174">
        <f t="shared" si="30"/>
        <v>0</v>
      </c>
      <c r="AJ174">
        <f t="shared" si="31"/>
        <v>1</v>
      </c>
      <c r="AK174">
        <f t="shared" si="24"/>
        <v>0</v>
      </c>
      <c r="AL174">
        <f t="shared" si="32"/>
        <v>0</v>
      </c>
    </row>
    <row r="175" spans="1:38">
      <c r="A175" t="s">
        <v>651</v>
      </c>
      <c r="B175" t="s">
        <v>652</v>
      </c>
      <c r="C175" s="1">
        <f t="shared" si="25"/>
        <v>45352</v>
      </c>
      <c r="D175" t="s">
        <v>653</v>
      </c>
      <c r="E175">
        <v>179.3</v>
      </c>
      <c r="F175">
        <v>7.5</v>
      </c>
      <c r="G175" t="s">
        <v>59</v>
      </c>
      <c r="H175" t="s">
        <v>466</v>
      </c>
      <c r="I175" t="s">
        <v>32</v>
      </c>
      <c r="J175">
        <v>240</v>
      </c>
      <c r="K175" t="s">
        <v>49</v>
      </c>
      <c r="L175" t="s">
        <v>96</v>
      </c>
      <c r="M175" t="s">
        <v>35</v>
      </c>
      <c r="N175" t="s">
        <v>138</v>
      </c>
      <c r="O175" t="s">
        <v>37</v>
      </c>
      <c r="P175" t="s">
        <v>38</v>
      </c>
      <c r="Q175" t="s">
        <v>38</v>
      </c>
      <c r="R175">
        <v>1</v>
      </c>
      <c r="S175" t="s">
        <v>38</v>
      </c>
      <c r="T175">
        <v>5</v>
      </c>
      <c r="U175">
        <v>3.1</v>
      </c>
      <c r="V175">
        <v>27.9</v>
      </c>
      <c r="W175" t="s">
        <v>39</v>
      </c>
      <c r="X175" t="s">
        <v>123</v>
      </c>
      <c r="Y175" t="s">
        <v>39</v>
      </c>
      <c r="Z175" t="s">
        <v>81</v>
      </c>
      <c r="AA175" t="s">
        <v>82</v>
      </c>
      <c r="AB175" t="s">
        <v>43</v>
      </c>
      <c r="AC175">
        <f t="shared" si="22"/>
        <v>0</v>
      </c>
      <c r="AD175" s="12">
        <f t="shared" si="26"/>
        <v>0</v>
      </c>
      <c r="AE175" s="12">
        <f t="shared" si="27"/>
        <v>1</v>
      </c>
      <c r="AF175">
        <f t="shared" si="23"/>
        <v>0</v>
      </c>
      <c r="AG175">
        <f t="shared" si="28"/>
        <v>0</v>
      </c>
      <c r="AH175">
        <f t="shared" si="29"/>
        <v>0</v>
      </c>
      <c r="AI175">
        <f t="shared" si="30"/>
        <v>0</v>
      </c>
      <c r="AJ175">
        <f t="shared" si="31"/>
        <v>1</v>
      </c>
      <c r="AK175">
        <f t="shared" si="24"/>
        <v>0</v>
      </c>
      <c r="AL175">
        <f t="shared" si="32"/>
        <v>0</v>
      </c>
    </row>
    <row r="176" spans="1:38">
      <c r="A176" t="s">
        <v>654</v>
      </c>
      <c r="B176" t="s">
        <v>655</v>
      </c>
      <c r="C176" s="1">
        <f t="shared" si="25"/>
        <v>45383</v>
      </c>
      <c r="D176" t="s">
        <v>656</v>
      </c>
      <c r="E176">
        <v>35.700000000000003</v>
      </c>
      <c r="F176">
        <v>1.5</v>
      </c>
      <c r="G176" t="s">
        <v>30</v>
      </c>
      <c r="H176" t="s">
        <v>47</v>
      </c>
      <c r="I176" t="s">
        <v>95</v>
      </c>
      <c r="J176">
        <v>48</v>
      </c>
      <c r="K176" t="s">
        <v>49</v>
      </c>
      <c r="L176" t="s">
        <v>96</v>
      </c>
      <c r="M176" t="s">
        <v>35</v>
      </c>
      <c r="N176" t="s">
        <v>155</v>
      </c>
      <c r="O176" t="s">
        <v>51</v>
      </c>
      <c r="P176" t="s">
        <v>39</v>
      </c>
      <c r="Q176" t="s">
        <v>38</v>
      </c>
      <c r="R176">
        <v>0</v>
      </c>
      <c r="S176" t="s">
        <v>38</v>
      </c>
      <c r="T176">
        <v>10</v>
      </c>
      <c r="U176">
        <v>2.7</v>
      </c>
      <c r="V176">
        <v>40.299999999999997</v>
      </c>
      <c r="W176" t="s">
        <v>39</v>
      </c>
      <c r="X176" t="s">
        <v>63</v>
      </c>
      <c r="Y176" t="s">
        <v>38</v>
      </c>
      <c r="Z176" t="s">
        <v>108</v>
      </c>
      <c r="AA176" t="s">
        <v>82</v>
      </c>
      <c r="AB176" t="s">
        <v>83</v>
      </c>
      <c r="AC176">
        <f t="shared" si="22"/>
        <v>0</v>
      </c>
      <c r="AD176" s="12">
        <f t="shared" si="26"/>
        <v>1</v>
      </c>
      <c r="AE176" s="12">
        <f t="shared" si="27"/>
        <v>0</v>
      </c>
      <c r="AF176">
        <f t="shared" si="23"/>
        <v>1</v>
      </c>
      <c r="AG176">
        <f t="shared" si="28"/>
        <v>0</v>
      </c>
      <c r="AH176">
        <f t="shared" si="29"/>
        <v>0</v>
      </c>
      <c r="AI176">
        <f t="shared" si="30"/>
        <v>1</v>
      </c>
      <c r="AJ176">
        <f t="shared" si="31"/>
        <v>0</v>
      </c>
      <c r="AK176">
        <f t="shared" si="24"/>
        <v>1</v>
      </c>
      <c r="AL176">
        <f t="shared" si="32"/>
        <v>1</v>
      </c>
    </row>
    <row r="177" spans="1:38">
      <c r="A177" t="s">
        <v>657</v>
      </c>
      <c r="B177" t="s">
        <v>658</v>
      </c>
      <c r="C177" s="1">
        <f t="shared" si="25"/>
        <v>45323</v>
      </c>
      <c r="D177" t="s">
        <v>659</v>
      </c>
      <c r="E177">
        <v>176.3</v>
      </c>
      <c r="F177">
        <v>7.3</v>
      </c>
      <c r="G177" t="s">
        <v>93</v>
      </c>
      <c r="H177" t="s">
        <v>449</v>
      </c>
      <c r="I177" t="s">
        <v>32</v>
      </c>
      <c r="J177">
        <v>240</v>
      </c>
      <c r="K177" t="s">
        <v>49</v>
      </c>
      <c r="L177" t="s">
        <v>113</v>
      </c>
      <c r="M177" t="s">
        <v>35</v>
      </c>
      <c r="N177" t="s">
        <v>50</v>
      </c>
      <c r="O177" t="s">
        <v>7232</v>
      </c>
      <c r="P177" t="s">
        <v>38</v>
      </c>
      <c r="Q177" t="s">
        <v>38</v>
      </c>
      <c r="R177">
        <v>1</v>
      </c>
      <c r="S177" t="s">
        <v>38</v>
      </c>
      <c r="T177">
        <v>8</v>
      </c>
      <c r="U177">
        <v>1.1000000000000001</v>
      </c>
      <c r="V177">
        <v>47.4</v>
      </c>
      <c r="W177" t="s">
        <v>39</v>
      </c>
      <c r="X177" t="s">
        <v>63</v>
      </c>
      <c r="Y177" t="s">
        <v>39</v>
      </c>
      <c r="Z177" t="s">
        <v>108</v>
      </c>
      <c r="AA177" t="s">
        <v>82</v>
      </c>
      <c r="AB177" t="s">
        <v>55</v>
      </c>
      <c r="AC177">
        <f t="shared" si="22"/>
        <v>0</v>
      </c>
      <c r="AD177" s="12">
        <f t="shared" si="26"/>
        <v>1</v>
      </c>
      <c r="AE177" s="12">
        <f t="shared" si="27"/>
        <v>0</v>
      </c>
      <c r="AF177">
        <f t="shared" si="23"/>
        <v>0</v>
      </c>
      <c r="AG177">
        <f t="shared" si="28"/>
        <v>1</v>
      </c>
      <c r="AH177">
        <f t="shared" si="29"/>
        <v>0</v>
      </c>
      <c r="AI177">
        <f t="shared" si="30"/>
        <v>0</v>
      </c>
      <c r="AJ177">
        <f t="shared" si="31"/>
        <v>1</v>
      </c>
      <c r="AK177">
        <f t="shared" si="24"/>
        <v>0</v>
      </c>
      <c r="AL177">
        <f t="shared" si="32"/>
        <v>0</v>
      </c>
    </row>
    <row r="178" spans="1:38">
      <c r="A178" t="s">
        <v>660</v>
      </c>
      <c r="B178" t="s">
        <v>661</v>
      </c>
      <c r="C178" s="1">
        <f t="shared" si="25"/>
        <v>45566</v>
      </c>
      <c r="D178" t="s">
        <v>662</v>
      </c>
      <c r="E178">
        <v>304.3</v>
      </c>
      <c r="F178">
        <v>12.7</v>
      </c>
      <c r="G178" t="s">
        <v>142</v>
      </c>
      <c r="H178" t="s">
        <v>260</v>
      </c>
      <c r="I178" t="s">
        <v>32</v>
      </c>
      <c r="J178">
        <v>240</v>
      </c>
      <c r="K178" t="s">
        <v>33</v>
      </c>
      <c r="L178" t="s">
        <v>34</v>
      </c>
      <c r="M178" t="s">
        <v>35</v>
      </c>
      <c r="N178" t="s">
        <v>188</v>
      </c>
      <c r="O178" t="s">
        <v>7232</v>
      </c>
      <c r="P178" t="s">
        <v>38</v>
      </c>
      <c r="Q178" t="s">
        <v>38</v>
      </c>
      <c r="R178">
        <v>1</v>
      </c>
      <c r="S178" t="s">
        <v>38</v>
      </c>
      <c r="T178">
        <v>6</v>
      </c>
      <c r="U178">
        <v>0.7</v>
      </c>
      <c r="V178">
        <v>9.1</v>
      </c>
      <c r="W178" t="s">
        <v>39</v>
      </c>
      <c r="X178" t="s">
        <v>123</v>
      </c>
      <c r="Y178" t="s">
        <v>38</v>
      </c>
      <c r="Z178" t="s">
        <v>53</v>
      </c>
      <c r="AA178" t="s">
        <v>109</v>
      </c>
      <c r="AB178" t="s">
        <v>55</v>
      </c>
      <c r="AC178">
        <f t="shared" si="22"/>
        <v>0</v>
      </c>
      <c r="AD178" s="12">
        <f t="shared" si="26"/>
        <v>0</v>
      </c>
      <c r="AE178" s="12">
        <f t="shared" si="27"/>
        <v>1</v>
      </c>
      <c r="AF178">
        <f t="shared" si="23"/>
        <v>0</v>
      </c>
      <c r="AG178">
        <f t="shared" si="28"/>
        <v>1</v>
      </c>
      <c r="AH178">
        <f t="shared" si="29"/>
        <v>0</v>
      </c>
      <c r="AI178">
        <f t="shared" si="30"/>
        <v>0</v>
      </c>
      <c r="AJ178">
        <f t="shared" si="31"/>
        <v>1</v>
      </c>
      <c r="AK178">
        <f t="shared" si="24"/>
        <v>0</v>
      </c>
      <c r="AL178">
        <f t="shared" si="32"/>
        <v>1</v>
      </c>
    </row>
    <row r="179" spans="1:38">
      <c r="A179" t="s">
        <v>663</v>
      </c>
      <c r="B179" t="s">
        <v>664</v>
      </c>
      <c r="C179" s="1">
        <f t="shared" si="25"/>
        <v>45352</v>
      </c>
      <c r="D179" t="s">
        <v>665</v>
      </c>
      <c r="E179">
        <v>256.10000000000002</v>
      </c>
      <c r="F179">
        <v>10.7</v>
      </c>
      <c r="G179" t="s">
        <v>30</v>
      </c>
      <c r="H179" t="s">
        <v>31</v>
      </c>
      <c r="I179" t="s">
        <v>79</v>
      </c>
      <c r="J179">
        <v>360</v>
      </c>
      <c r="K179" t="s">
        <v>49</v>
      </c>
      <c r="L179" t="s">
        <v>96</v>
      </c>
      <c r="M179" t="s">
        <v>71</v>
      </c>
      <c r="N179" t="s">
        <v>119</v>
      </c>
      <c r="O179" t="s">
        <v>51</v>
      </c>
      <c r="P179" t="s">
        <v>38</v>
      </c>
      <c r="Q179" t="s">
        <v>39</v>
      </c>
      <c r="R179">
        <v>2</v>
      </c>
      <c r="S179" t="s">
        <v>38</v>
      </c>
      <c r="T179">
        <v>6</v>
      </c>
      <c r="U179">
        <v>4.4000000000000004</v>
      </c>
      <c r="V179">
        <v>24.7</v>
      </c>
      <c r="W179" t="s">
        <v>38</v>
      </c>
      <c r="X179" t="s">
        <v>63</v>
      </c>
      <c r="Y179" t="s">
        <v>38</v>
      </c>
      <c r="Z179" t="s">
        <v>53</v>
      </c>
      <c r="AA179" t="s">
        <v>82</v>
      </c>
      <c r="AB179" t="s">
        <v>55</v>
      </c>
      <c r="AC179">
        <f t="shared" si="22"/>
        <v>0</v>
      </c>
      <c r="AD179" s="12">
        <f t="shared" si="26"/>
        <v>1</v>
      </c>
      <c r="AE179" s="12">
        <f t="shared" si="27"/>
        <v>0</v>
      </c>
      <c r="AF179">
        <f t="shared" si="23"/>
        <v>1</v>
      </c>
      <c r="AG179">
        <f t="shared" si="28"/>
        <v>0</v>
      </c>
      <c r="AH179">
        <f t="shared" si="29"/>
        <v>0</v>
      </c>
      <c r="AI179">
        <f t="shared" si="30"/>
        <v>0</v>
      </c>
      <c r="AJ179">
        <f t="shared" si="31"/>
        <v>0</v>
      </c>
      <c r="AK179">
        <f t="shared" si="24"/>
        <v>1</v>
      </c>
      <c r="AL179">
        <f t="shared" si="32"/>
        <v>1</v>
      </c>
    </row>
    <row r="180" spans="1:38">
      <c r="A180" t="s">
        <v>666</v>
      </c>
      <c r="B180" t="s">
        <v>667</v>
      </c>
      <c r="C180" s="1">
        <f t="shared" si="25"/>
        <v>45383</v>
      </c>
      <c r="D180" t="s">
        <v>668</v>
      </c>
      <c r="E180">
        <v>341.8</v>
      </c>
      <c r="F180">
        <v>14.2</v>
      </c>
      <c r="G180" t="s">
        <v>77</v>
      </c>
      <c r="H180" t="s">
        <v>244</v>
      </c>
      <c r="I180" t="s">
        <v>79</v>
      </c>
      <c r="J180">
        <v>360</v>
      </c>
      <c r="K180" t="s">
        <v>49</v>
      </c>
      <c r="L180" t="s">
        <v>96</v>
      </c>
      <c r="M180" t="s">
        <v>35</v>
      </c>
      <c r="N180" t="s">
        <v>61</v>
      </c>
      <c r="O180" t="s">
        <v>7232</v>
      </c>
      <c r="P180" t="s">
        <v>39</v>
      </c>
      <c r="Q180" t="s">
        <v>38</v>
      </c>
      <c r="R180">
        <v>0</v>
      </c>
      <c r="S180" t="s">
        <v>39</v>
      </c>
      <c r="T180">
        <v>10</v>
      </c>
      <c r="U180">
        <v>3.1</v>
      </c>
      <c r="V180">
        <v>0</v>
      </c>
      <c r="W180" t="s">
        <v>39</v>
      </c>
      <c r="X180" t="s">
        <v>123</v>
      </c>
      <c r="Y180" t="s">
        <v>39</v>
      </c>
      <c r="Z180" t="s">
        <v>108</v>
      </c>
      <c r="AA180" t="s">
        <v>42</v>
      </c>
      <c r="AB180" t="s">
        <v>55</v>
      </c>
      <c r="AC180">
        <f t="shared" si="22"/>
        <v>0</v>
      </c>
      <c r="AD180" s="12">
        <f t="shared" si="26"/>
        <v>0</v>
      </c>
      <c r="AE180" s="12">
        <f t="shared" si="27"/>
        <v>1</v>
      </c>
      <c r="AF180">
        <f t="shared" si="23"/>
        <v>0</v>
      </c>
      <c r="AG180">
        <f t="shared" si="28"/>
        <v>1</v>
      </c>
      <c r="AH180">
        <f t="shared" si="29"/>
        <v>0</v>
      </c>
      <c r="AI180">
        <f t="shared" si="30"/>
        <v>0</v>
      </c>
      <c r="AJ180">
        <f t="shared" si="31"/>
        <v>0</v>
      </c>
      <c r="AK180">
        <f t="shared" si="24"/>
        <v>0</v>
      </c>
      <c r="AL180">
        <f t="shared" si="32"/>
        <v>0</v>
      </c>
    </row>
    <row r="181" spans="1:38">
      <c r="A181" t="s">
        <v>669</v>
      </c>
      <c r="B181" t="s">
        <v>670</v>
      </c>
      <c r="C181" s="1">
        <f t="shared" si="25"/>
        <v>45627</v>
      </c>
      <c r="D181" t="s">
        <v>671</v>
      </c>
      <c r="E181">
        <v>99.4</v>
      </c>
      <c r="F181">
        <v>4.0999999999999996</v>
      </c>
      <c r="G181" t="s">
        <v>59</v>
      </c>
      <c r="H181" t="s">
        <v>132</v>
      </c>
      <c r="I181" t="s">
        <v>48</v>
      </c>
      <c r="J181">
        <v>120</v>
      </c>
      <c r="K181" t="s">
        <v>49</v>
      </c>
      <c r="L181" t="s">
        <v>70</v>
      </c>
      <c r="M181" t="s">
        <v>71</v>
      </c>
      <c r="N181" t="s">
        <v>144</v>
      </c>
      <c r="O181" t="s">
        <v>7232</v>
      </c>
      <c r="P181" t="s">
        <v>38</v>
      </c>
      <c r="Q181" t="s">
        <v>39</v>
      </c>
      <c r="R181">
        <v>1</v>
      </c>
      <c r="S181" t="s">
        <v>38</v>
      </c>
      <c r="T181">
        <v>10</v>
      </c>
      <c r="U181">
        <v>0.4</v>
      </c>
      <c r="V181">
        <v>0</v>
      </c>
      <c r="W181" t="s">
        <v>39</v>
      </c>
      <c r="X181" t="s">
        <v>52</v>
      </c>
      <c r="Y181" t="s">
        <v>38</v>
      </c>
      <c r="Z181" t="s">
        <v>179</v>
      </c>
      <c r="AA181" t="s">
        <v>42</v>
      </c>
      <c r="AB181" t="s">
        <v>43</v>
      </c>
      <c r="AC181">
        <f t="shared" si="22"/>
        <v>1</v>
      </c>
      <c r="AD181" s="12">
        <f t="shared" si="26"/>
        <v>0</v>
      </c>
      <c r="AE181" s="12">
        <f t="shared" si="27"/>
        <v>0</v>
      </c>
      <c r="AF181">
        <f t="shared" si="23"/>
        <v>0</v>
      </c>
      <c r="AG181">
        <f t="shared" si="28"/>
        <v>1</v>
      </c>
      <c r="AH181">
        <f t="shared" si="29"/>
        <v>1</v>
      </c>
      <c r="AI181">
        <f t="shared" si="30"/>
        <v>0</v>
      </c>
      <c r="AJ181">
        <f t="shared" si="31"/>
        <v>0</v>
      </c>
      <c r="AK181">
        <f t="shared" si="24"/>
        <v>0</v>
      </c>
      <c r="AL181">
        <f t="shared" si="32"/>
        <v>1</v>
      </c>
    </row>
    <row r="182" spans="1:38">
      <c r="A182" t="s">
        <v>672</v>
      </c>
      <c r="B182" t="s">
        <v>673</v>
      </c>
      <c r="C182" s="1">
        <f t="shared" si="25"/>
        <v>45566</v>
      </c>
      <c r="D182" t="s">
        <v>674</v>
      </c>
      <c r="E182">
        <v>81.900000000000006</v>
      </c>
      <c r="F182">
        <v>3.4</v>
      </c>
      <c r="G182" t="s">
        <v>87</v>
      </c>
      <c r="H182" t="s">
        <v>88</v>
      </c>
      <c r="I182" t="s">
        <v>48</v>
      </c>
      <c r="J182">
        <v>120</v>
      </c>
      <c r="K182" t="s">
        <v>49</v>
      </c>
      <c r="L182" t="s">
        <v>96</v>
      </c>
      <c r="M182" t="s">
        <v>71</v>
      </c>
      <c r="N182" t="s">
        <v>134</v>
      </c>
      <c r="O182" t="s">
        <v>51</v>
      </c>
      <c r="P182" t="s">
        <v>38</v>
      </c>
      <c r="Q182" t="s">
        <v>39</v>
      </c>
      <c r="R182">
        <v>2</v>
      </c>
      <c r="S182" t="s">
        <v>38</v>
      </c>
      <c r="T182">
        <v>7</v>
      </c>
      <c r="U182">
        <v>1.3</v>
      </c>
      <c r="V182">
        <v>32.299999999999997</v>
      </c>
      <c r="W182" t="s">
        <v>38</v>
      </c>
      <c r="X182" t="s">
        <v>52</v>
      </c>
      <c r="Y182" t="s">
        <v>39</v>
      </c>
      <c r="Z182" t="s">
        <v>115</v>
      </c>
      <c r="AA182" t="s">
        <v>42</v>
      </c>
      <c r="AB182" t="s">
        <v>83</v>
      </c>
      <c r="AC182">
        <f t="shared" si="22"/>
        <v>1</v>
      </c>
      <c r="AD182" s="12">
        <f t="shared" si="26"/>
        <v>0</v>
      </c>
      <c r="AE182" s="12">
        <f t="shared" si="27"/>
        <v>0</v>
      </c>
      <c r="AF182">
        <f t="shared" si="23"/>
        <v>1</v>
      </c>
      <c r="AG182">
        <f t="shared" si="28"/>
        <v>0</v>
      </c>
      <c r="AH182">
        <f t="shared" si="29"/>
        <v>1</v>
      </c>
      <c r="AI182">
        <f t="shared" si="30"/>
        <v>0</v>
      </c>
      <c r="AJ182">
        <f t="shared" si="31"/>
        <v>0</v>
      </c>
      <c r="AK182">
        <f t="shared" si="24"/>
        <v>0</v>
      </c>
      <c r="AL182">
        <f t="shared" si="32"/>
        <v>0</v>
      </c>
    </row>
    <row r="183" spans="1:38">
      <c r="A183" t="s">
        <v>675</v>
      </c>
      <c r="B183" t="s">
        <v>676</v>
      </c>
      <c r="C183" s="1">
        <f t="shared" si="25"/>
        <v>45292</v>
      </c>
      <c r="D183" t="s">
        <v>677</v>
      </c>
      <c r="E183">
        <v>113.3</v>
      </c>
      <c r="F183">
        <v>4.7</v>
      </c>
      <c r="G183" t="s">
        <v>30</v>
      </c>
      <c r="H183" t="s">
        <v>159</v>
      </c>
      <c r="I183" t="s">
        <v>48</v>
      </c>
      <c r="J183">
        <v>120</v>
      </c>
      <c r="K183" t="s">
        <v>49</v>
      </c>
      <c r="L183" t="s">
        <v>96</v>
      </c>
      <c r="M183" t="s">
        <v>35</v>
      </c>
      <c r="N183" t="s">
        <v>107</v>
      </c>
      <c r="O183" t="s">
        <v>7232</v>
      </c>
      <c r="P183" t="s">
        <v>38</v>
      </c>
      <c r="Q183" t="s">
        <v>38</v>
      </c>
      <c r="R183">
        <v>1</v>
      </c>
      <c r="S183" t="s">
        <v>39</v>
      </c>
      <c r="T183">
        <v>8</v>
      </c>
      <c r="U183">
        <v>7.4</v>
      </c>
      <c r="V183">
        <v>15.3</v>
      </c>
      <c r="W183" t="s">
        <v>39</v>
      </c>
      <c r="X183" t="s">
        <v>63</v>
      </c>
      <c r="Y183" t="s">
        <v>38</v>
      </c>
      <c r="Z183" t="s">
        <v>179</v>
      </c>
      <c r="AA183" t="s">
        <v>103</v>
      </c>
      <c r="AB183" t="s">
        <v>83</v>
      </c>
      <c r="AC183">
        <f t="shared" si="22"/>
        <v>0</v>
      </c>
      <c r="AD183" s="12">
        <f t="shared" si="26"/>
        <v>1</v>
      </c>
      <c r="AE183" s="12">
        <f t="shared" si="27"/>
        <v>0</v>
      </c>
      <c r="AF183">
        <f t="shared" si="23"/>
        <v>0</v>
      </c>
      <c r="AG183">
        <f t="shared" si="28"/>
        <v>1</v>
      </c>
      <c r="AH183">
        <f t="shared" si="29"/>
        <v>1</v>
      </c>
      <c r="AI183">
        <f t="shared" si="30"/>
        <v>0</v>
      </c>
      <c r="AJ183">
        <f t="shared" si="31"/>
        <v>0</v>
      </c>
      <c r="AK183">
        <f t="shared" si="24"/>
        <v>1</v>
      </c>
      <c r="AL183">
        <f t="shared" si="32"/>
        <v>1</v>
      </c>
    </row>
    <row r="184" spans="1:38">
      <c r="A184" t="s">
        <v>678</v>
      </c>
      <c r="B184" t="s">
        <v>679</v>
      </c>
      <c r="C184" s="1">
        <f t="shared" si="25"/>
        <v>45383</v>
      </c>
      <c r="D184" t="s">
        <v>680</v>
      </c>
      <c r="E184">
        <v>32.9</v>
      </c>
      <c r="F184">
        <v>1.4</v>
      </c>
      <c r="G184" t="s">
        <v>87</v>
      </c>
      <c r="H184" t="s">
        <v>309</v>
      </c>
      <c r="I184" t="s">
        <v>95</v>
      </c>
      <c r="J184">
        <v>48</v>
      </c>
      <c r="K184" t="s">
        <v>49</v>
      </c>
      <c r="L184" t="s">
        <v>70</v>
      </c>
      <c r="M184" t="s">
        <v>35</v>
      </c>
      <c r="N184" t="s">
        <v>164</v>
      </c>
      <c r="O184" t="s">
        <v>37</v>
      </c>
      <c r="P184" t="s">
        <v>38</v>
      </c>
      <c r="Q184" t="s">
        <v>38</v>
      </c>
      <c r="R184">
        <v>1</v>
      </c>
      <c r="S184" t="s">
        <v>38</v>
      </c>
      <c r="T184">
        <v>9</v>
      </c>
      <c r="U184">
        <v>2</v>
      </c>
      <c r="V184">
        <v>16.100000000000001</v>
      </c>
      <c r="W184" t="s">
        <v>38</v>
      </c>
      <c r="X184" t="s">
        <v>52</v>
      </c>
      <c r="Y184" t="s">
        <v>38</v>
      </c>
      <c r="Z184" t="s">
        <v>73</v>
      </c>
      <c r="AA184" t="s">
        <v>54</v>
      </c>
      <c r="AB184" t="s">
        <v>55</v>
      </c>
      <c r="AC184">
        <f t="shared" si="22"/>
        <v>1</v>
      </c>
      <c r="AD184" s="12">
        <f t="shared" si="26"/>
        <v>0</v>
      </c>
      <c r="AE184" s="12">
        <f t="shared" si="27"/>
        <v>0</v>
      </c>
      <c r="AF184">
        <f t="shared" si="23"/>
        <v>0</v>
      </c>
      <c r="AG184">
        <f t="shared" si="28"/>
        <v>0</v>
      </c>
      <c r="AH184">
        <f t="shared" si="29"/>
        <v>0</v>
      </c>
      <c r="AI184">
        <f t="shared" si="30"/>
        <v>1</v>
      </c>
      <c r="AJ184">
        <f t="shared" si="31"/>
        <v>0</v>
      </c>
      <c r="AK184">
        <f t="shared" si="24"/>
        <v>0</v>
      </c>
      <c r="AL184">
        <f t="shared" si="32"/>
        <v>1</v>
      </c>
    </row>
    <row r="185" spans="1:38">
      <c r="A185" t="s">
        <v>681</v>
      </c>
      <c r="B185" t="s">
        <v>682</v>
      </c>
      <c r="C185" s="1">
        <f t="shared" si="25"/>
        <v>45505</v>
      </c>
      <c r="D185" t="s">
        <v>683</v>
      </c>
      <c r="E185">
        <v>31.1</v>
      </c>
      <c r="F185">
        <v>1.3</v>
      </c>
      <c r="G185" t="s">
        <v>59</v>
      </c>
      <c r="H185" t="s">
        <v>132</v>
      </c>
      <c r="I185" t="s">
        <v>95</v>
      </c>
      <c r="J185">
        <v>48</v>
      </c>
      <c r="K185" t="s">
        <v>49</v>
      </c>
      <c r="L185" t="s">
        <v>70</v>
      </c>
      <c r="M185" t="s">
        <v>35</v>
      </c>
      <c r="N185" t="s">
        <v>299</v>
      </c>
      <c r="O185" t="s">
        <v>51</v>
      </c>
      <c r="P185" t="s">
        <v>38</v>
      </c>
      <c r="Q185" t="s">
        <v>38</v>
      </c>
      <c r="R185">
        <v>1</v>
      </c>
      <c r="S185" t="s">
        <v>38</v>
      </c>
      <c r="T185">
        <v>8</v>
      </c>
      <c r="U185">
        <v>0.5</v>
      </c>
      <c r="V185">
        <v>29.2</v>
      </c>
      <c r="W185" t="s">
        <v>39</v>
      </c>
      <c r="X185" t="s">
        <v>63</v>
      </c>
      <c r="Y185" t="s">
        <v>39</v>
      </c>
      <c r="Z185" t="s">
        <v>41</v>
      </c>
      <c r="AA185" t="s">
        <v>42</v>
      </c>
      <c r="AB185" t="s">
        <v>55</v>
      </c>
      <c r="AC185">
        <f t="shared" si="22"/>
        <v>0</v>
      </c>
      <c r="AD185" s="12">
        <f t="shared" si="26"/>
        <v>1</v>
      </c>
      <c r="AE185" s="12">
        <f t="shared" si="27"/>
        <v>0</v>
      </c>
      <c r="AF185">
        <f t="shared" si="23"/>
        <v>1</v>
      </c>
      <c r="AG185">
        <f t="shared" si="28"/>
        <v>0</v>
      </c>
      <c r="AH185">
        <f t="shared" si="29"/>
        <v>0</v>
      </c>
      <c r="AI185">
        <f t="shared" si="30"/>
        <v>1</v>
      </c>
      <c r="AJ185">
        <f t="shared" si="31"/>
        <v>0</v>
      </c>
      <c r="AK185">
        <f t="shared" si="24"/>
        <v>0</v>
      </c>
      <c r="AL185">
        <f t="shared" si="32"/>
        <v>0</v>
      </c>
    </row>
    <row r="186" spans="1:38">
      <c r="A186" t="s">
        <v>684</v>
      </c>
      <c r="B186" t="s">
        <v>685</v>
      </c>
      <c r="C186" s="1">
        <f t="shared" si="25"/>
        <v>45444</v>
      </c>
      <c r="D186" t="s">
        <v>686</v>
      </c>
      <c r="E186">
        <v>330.9</v>
      </c>
      <c r="F186">
        <v>13.8</v>
      </c>
      <c r="G186" t="s">
        <v>93</v>
      </c>
      <c r="H186" t="s">
        <v>291</v>
      </c>
      <c r="I186" t="s">
        <v>79</v>
      </c>
      <c r="J186">
        <v>360</v>
      </c>
      <c r="K186" t="s">
        <v>49</v>
      </c>
      <c r="L186" t="s">
        <v>70</v>
      </c>
      <c r="M186" t="s">
        <v>71</v>
      </c>
      <c r="N186" t="s">
        <v>202</v>
      </c>
      <c r="O186" t="s">
        <v>37</v>
      </c>
      <c r="P186" t="s">
        <v>38</v>
      </c>
      <c r="Q186" t="s">
        <v>39</v>
      </c>
      <c r="R186">
        <v>3</v>
      </c>
      <c r="S186" t="s">
        <v>38</v>
      </c>
      <c r="T186">
        <v>10</v>
      </c>
      <c r="U186">
        <v>1.5</v>
      </c>
      <c r="V186">
        <v>19.399999999999999</v>
      </c>
      <c r="W186" t="s">
        <v>39</v>
      </c>
      <c r="X186" t="s">
        <v>123</v>
      </c>
      <c r="Y186" t="s">
        <v>39</v>
      </c>
      <c r="Z186" t="s">
        <v>41</v>
      </c>
      <c r="AA186" t="s">
        <v>109</v>
      </c>
      <c r="AB186" t="s">
        <v>43</v>
      </c>
      <c r="AC186">
        <f t="shared" si="22"/>
        <v>0</v>
      </c>
      <c r="AD186" s="12">
        <f t="shared" si="26"/>
        <v>0</v>
      </c>
      <c r="AE186" s="12">
        <f t="shared" si="27"/>
        <v>1</v>
      </c>
      <c r="AF186">
        <f t="shared" si="23"/>
        <v>0</v>
      </c>
      <c r="AG186">
        <f t="shared" si="28"/>
        <v>0</v>
      </c>
      <c r="AH186">
        <f t="shared" si="29"/>
        <v>0</v>
      </c>
      <c r="AI186">
        <f t="shared" si="30"/>
        <v>0</v>
      </c>
      <c r="AJ186">
        <f t="shared" si="31"/>
        <v>0</v>
      </c>
      <c r="AK186">
        <f t="shared" si="24"/>
        <v>0</v>
      </c>
      <c r="AL186">
        <f t="shared" si="32"/>
        <v>0</v>
      </c>
    </row>
    <row r="187" spans="1:38">
      <c r="A187" t="s">
        <v>687</v>
      </c>
      <c r="B187" t="s">
        <v>688</v>
      </c>
      <c r="C187" s="1">
        <f t="shared" si="25"/>
        <v>45536</v>
      </c>
      <c r="D187" t="s">
        <v>689</v>
      </c>
      <c r="E187">
        <v>194.5</v>
      </c>
      <c r="F187">
        <v>8.1</v>
      </c>
      <c r="G187" t="s">
        <v>30</v>
      </c>
      <c r="H187" t="s">
        <v>159</v>
      </c>
      <c r="I187" t="s">
        <v>32</v>
      </c>
      <c r="J187">
        <v>240</v>
      </c>
      <c r="K187" t="s">
        <v>49</v>
      </c>
      <c r="L187" t="s">
        <v>113</v>
      </c>
      <c r="M187" t="s">
        <v>35</v>
      </c>
      <c r="N187" t="s">
        <v>277</v>
      </c>
      <c r="O187" t="s">
        <v>37</v>
      </c>
      <c r="P187" t="s">
        <v>38</v>
      </c>
      <c r="Q187" t="s">
        <v>38</v>
      </c>
      <c r="R187">
        <v>1</v>
      </c>
      <c r="S187" t="s">
        <v>38</v>
      </c>
      <c r="T187">
        <v>9</v>
      </c>
      <c r="U187">
        <v>4.9000000000000004</v>
      </c>
      <c r="V187">
        <v>31</v>
      </c>
      <c r="W187" t="s">
        <v>38</v>
      </c>
      <c r="X187" t="s">
        <v>63</v>
      </c>
      <c r="Y187" t="s">
        <v>39</v>
      </c>
      <c r="Z187" t="s">
        <v>64</v>
      </c>
      <c r="AA187" t="s">
        <v>54</v>
      </c>
      <c r="AB187" t="s">
        <v>55</v>
      </c>
      <c r="AC187">
        <f t="shared" si="22"/>
        <v>0</v>
      </c>
      <c r="AD187" s="12">
        <f t="shared" si="26"/>
        <v>1</v>
      </c>
      <c r="AE187" s="12">
        <f t="shared" si="27"/>
        <v>0</v>
      </c>
      <c r="AF187">
        <f t="shared" si="23"/>
        <v>0</v>
      </c>
      <c r="AG187">
        <f t="shared" si="28"/>
        <v>0</v>
      </c>
      <c r="AH187">
        <f t="shared" si="29"/>
        <v>0</v>
      </c>
      <c r="AI187">
        <f t="shared" si="30"/>
        <v>0</v>
      </c>
      <c r="AJ187">
        <f t="shared" si="31"/>
        <v>1</v>
      </c>
      <c r="AK187">
        <f t="shared" si="24"/>
        <v>1</v>
      </c>
      <c r="AL187">
        <f t="shared" si="32"/>
        <v>0</v>
      </c>
    </row>
    <row r="188" spans="1:38">
      <c r="A188" t="s">
        <v>690</v>
      </c>
      <c r="B188" t="s">
        <v>691</v>
      </c>
      <c r="C188" s="1">
        <f t="shared" si="25"/>
        <v>45292</v>
      </c>
      <c r="D188" t="s">
        <v>692</v>
      </c>
      <c r="E188">
        <v>85.6</v>
      </c>
      <c r="F188">
        <v>3.6</v>
      </c>
      <c r="G188" t="s">
        <v>68</v>
      </c>
      <c r="H188" t="s">
        <v>212</v>
      </c>
      <c r="I188" t="s">
        <v>48</v>
      </c>
      <c r="J188">
        <v>120</v>
      </c>
      <c r="K188" t="s">
        <v>49</v>
      </c>
      <c r="L188" t="s">
        <v>133</v>
      </c>
      <c r="M188" t="s">
        <v>35</v>
      </c>
      <c r="N188" t="s">
        <v>192</v>
      </c>
      <c r="O188" t="s">
        <v>7232</v>
      </c>
      <c r="P188" t="s">
        <v>39</v>
      </c>
      <c r="Q188" t="s">
        <v>38</v>
      </c>
      <c r="R188">
        <v>0</v>
      </c>
      <c r="S188" t="s">
        <v>38</v>
      </c>
      <c r="T188">
        <v>9</v>
      </c>
      <c r="U188">
        <v>1.7</v>
      </c>
      <c r="V188">
        <v>32</v>
      </c>
      <c r="W188" t="s">
        <v>39</v>
      </c>
      <c r="X188" t="s">
        <v>123</v>
      </c>
      <c r="Y188" t="s">
        <v>38</v>
      </c>
      <c r="Z188" t="s">
        <v>41</v>
      </c>
      <c r="AA188" t="s">
        <v>54</v>
      </c>
      <c r="AB188" t="s">
        <v>83</v>
      </c>
      <c r="AC188">
        <f t="shared" si="22"/>
        <v>0</v>
      </c>
      <c r="AD188" s="12">
        <f t="shared" si="26"/>
        <v>0</v>
      </c>
      <c r="AE188" s="12">
        <f t="shared" si="27"/>
        <v>1</v>
      </c>
      <c r="AF188">
        <f t="shared" si="23"/>
        <v>0</v>
      </c>
      <c r="AG188">
        <f t="shared" si="28"/>
        <v>1</v>
      </c>
      <c r="AH188">
        <f t="shared" si="29"/>
        <v>1</v>
      </c>
      <c r="AI188">
        <f t="shared" si="30"/>
        <v>0</v>
      </c>
      <c r="AJ188">
        <f t="shared" si="31"/>
        <v>0</v>
      </c>
      <c r="AK188">
        <f t="shared" si="24"/>
        <v>0</v>
      </c>
      <c r="AL188">
        <f t="shared" si="32"/>
        <v>1</v>
      </c>
    </row>
    <row r="189" spans="1:38">
      <c r="A189" t="s">
        <v>693</v>
      </c>
      <c r="B189" t="s">
        <v>694</v>
      </c>
      <c r="C189" s="1">
        <f t="shared" si="25"/>
        <v>45413</v>
      </c>
      <c r="D189" t="s">
        <v>695</v>
      </c>
      <c r="E189">
        <v>244.4</v>
      </c>
      <c r="F189">
        <v>10.199999999999999</v>
      </c>
      <c r="G189" t="s">
        <v>101</v>
      </c>
      <c r="H189" t="s">
        <v>102</v>
      </c>
      <c r="I189" t="s">
        <v>32</v>
      </c>
      <c r="J189">
        <v>240</v>
      </c>
      <c r="K189" t="s">
        <v>33</v>
      </c>
      <c r="L189" t="s">
        <v>96</v>
      </c>
      <c r="M189" t="s">
        <v>35</v>
      </c>
      <c r="N189" t="s">
        <v>89</v>
      </c>
      <c r="O189" t="s">
        <v>7232</v>
      </c>
      <c r="P189" t="s">
        <v>38</v>
      </c>
      <c r="Q189" t="s">
        <v>38</v>
      </c>
      <c r="R189">
        <v>1</v>
      </c>
      <c r="S189" t="s">
        <v>38</v>
      </c>
      <c r="T189">
        <v>3</v>
      </c>
      <c r="U189">
        <v>4.0999999999999996</v>
      </c>
      <c r="V189">
        <v>36.1</v>
      </c>
      <c r="W189" t="s">
        <v>39</v>
      </c>
      <c r="X189" t="s">
        <v>63</v>
      </c>
      <c r="Y189" t="s">
        <v>38</v>
      </c>
      <c r="Z189" t="s">
        <v>81</v>
      </c>
      <c r="AA189" t="s">
        <v>42</v>
      </c>
      <c r="AB189" t="s">
        <v>55</v>
      </c>
      <c r="AC189">
        <f t="shared" si="22"/>
        <v>0</v>
      </c>
      <c r="AD189" s="12">
        <f t="shared" si="26"/>
        <v>1</v>
      </c>
      <c r="AE189" s="12">
        <f t="shared" si="27"/>
        <v>0</v>
      </c>
      <c r="AF189">
        <f t="shared" si="23"/>
        <v>0</v>
      </c>
      <c r="AG189">
        <f t="shared" si="28"/>
        <v>1</v>
      </c>
      <c r="AH189">
        <f t="shared" si="29"/>
        <v>0</v>
      </c>
      <c r="AI189">
        <f t="shared" si="30"/>
        <v>0</v>
      </c>
      <c r="AJ189">
        <f t="shared" si="31"/>
        <v>1</v>
      </c>
      <c r="AK189">
        <f t="shared" si="24"/>
        <v>0</v>
      </c>
      <c r="AL189">
        <f t="shared" si="32"/>
        <v>1</v>
      </c>
    </row>
    <row r="190" spans="1:38">
      <c r="A190" t="s">
        <v>696</v>
      </c>
      <c r="B190" t="s">
        <v>697</v>
      </c>
      <c r="C190" s="1">
        <f t="shared" si="25"/>
        <v>45597</v>
      </c>
      <c r="D190" t="s">
        <v>698</v>
      </c>
      <c r="E190">
        <v>202.2</v>
      </c>
      <c r="F190">
        <v>8.4</v>
      </c>
      <c r="G190" t="s">
        <v>30</v>
      </c>
      <c r="H190" t="s">
        <v>31</v>
      </c>
      <c r="I190" t="s">
        <v>32</v>
      </c>
      <c r="J190">
        <v>240</v>
      </c>
      <c r="K190" t="s">
        <v>49</v>
      </c>
      <c r="L190" t="s">
        <v>70</v>
      </c>
      <c r="M190" t="s">
        <v>35</v>
      </c>
      <c r="N190" t="s">
        <v>138</v>
      </c>
      <c r="O190" t="s">
        <v>7232</v>
      </c>
      <c r="P190" t="s">
        <v>39</v>
      </c>
      <c r="Q190" t="s">
        <v>38</v>
      </c>
      <c r="R190">
        <v>0</v>
      </c>
      <c r="S190" t="s">
        <v>39</v>
      </c>
      <c r="T190">
        <v>10</v>
      </c>
      <c r="U190">
        <v>0.6</v>
      </c>
      <c r="V190">
        <v>17.8</v>
      </c>
      <c r="W190" t="s">
        <v>38</v>
      </c>
      <c r="X190" t="s">
        <v>63</v>
      </c>
      <c r="Y190" t="s">
        <v>38</v>
      </c>
      <c r="Z190" t="s">
        <v>41</v>
      </c>
      <c r="AA190" t="s">
        <v>54</v>
      </c>
      <c r="AB190" t="s">
        <v>55</v>
      </c>
      <c r="AC190">
        <f t="shared" si="22"/>
        <v>0</v>
      </c>
      <c r="AD190" s="12">
        <f t="shared" si="26"/>
        <v>1</v>
      </c>
      <c r="AE190" s="12">
        <f t="shared" si="27"/>
        <v>0</v>
      </c>
      <c r="AF190">
        <f t="shared" si="23"/>
        <v>0</v>
      </c>
      <c r="AG190">
        <f t="shared" si="28"/>
        <v>1</v>
      </c>
      <c r="AH190">
        <f t="shared" si="29"/>
        <v>0</v>
      </c>
      <c r="AI190">
        <f t="shared" si="30"/>
        <v>0</v>
      </c>
      <c r="AJ190">
        <f t="shared" si="31"/>
        <v>1</v>
      </c>
      <c r="AK190">
        <f t="shared" si="24"/>
        <v>1</v>
      </c>
      <c r="AL190">
        <f t="shared" si="32"/>
        <v>1</v>
      </c>
    </row>
    <row r="191" spans="1:38">
      <c r="A191" t="s">
        <v>699</v>
      </c>
      <c r="B191" t="s">
        <v>700</v>
      </c>
      <c r="C191" s="1">
        <f t="shared" si="25"/>
        <v>45352</v>
      </c>
      <c r="D191" t="s">
        <v>701</v>
      </c>
      <c r="E191">
        <v>28.9</v>
      </c>
      <c r="F191">
        <v>1.2</v>
      </c>
      <c r="G191" t="s">
        <v>87</v>
      </c>
      <c r="H191" t="s">
        <v>151</v>
      </c>
      <c r="I191" t="s">
        <v>95</v>
      </c>
      <c r="J191">
        <v>48</v>
      </c>
      <c r="K191" t="s">
        <v>49</v>
      </c>
      <c r="L191" t="s">
        <v>70</v>
      </c>
      <c r="M191" t="s">
        <v>71</v>
      </c>
      <c r="N191" t="s">
        <v>164</v>
      </c>
      <c r="O191" t="s">
        <v>7232</v>
      </c>
      <c r="P191" t="s">
        <v>38</v>
      </c>
      <c r="Q191" t="s">
        <v>39</v>
      </c>
      <c r="R191">
        <v>1</v>
      </c>
      <c r="S191" t="s">
        <v>39</v>
      </c>
      <c r="T191">
        <v>9</v>
      </c>
      <c r="U191">
        <v>2.2999999999999998</v>
      </c>
      <c r="V191">
        <v>0.4</v>
      </c>
      <c r="W191" t="s">
        <v>39</v>
      </c>
      <c r="X191" t="s">
        <v>52</v>
      </c>
      <c r="Y191" t="s">
        <v>39</v>
      </c>
      <c r="Z191" t="s">
        <v>108</v>
      </c>
      <c r="AA191" t="s">
        <v>54</v>
      </c>
      <c r="AB191" t="s">
        <v>43</v>
      </c>
      <c r="AC191">
        <f t="shared" si="22"/>
        <v>1</v>
      </c>
      <c r="AD191" s="12">
        <f t="shared" si="26"/>
        <v>0</v>
      </c>
      <c r="AE191" s="12">
        <f t="shared" si="27"/>
        <v>0</v>
      </c>
      <c r="AF191">
        <f t="shared" si="23"/>
        <v>0</v>
      </c>
      <c r="AG191">
        <f t="shared" si="28"/>
        <v>1</v>
      </c>
      <c r="AH191">
        <f t="shared" si="29"/>
        <v>0</v>
      </c>
      <c r="AI191">
        <f t="shared" si="30"/>
        <v>1</v>
      </c>
      <c r="AJ191">
        <f t="shared" si="31"/>
        <v>0</v>
      </c>
      <c r="AK191">
        <f t="shared" si="24"/>
        <v>0</v>
      </c>
      <c r="AL191">
        <f t="shared" si="32"/>
        <v>0</v>
      </c>
    </row>
    <row r="192" spans="1:38">
      <c r="A192" t="s">
        <v>702</v>
      </c>
      <c r="B192" t="s">
        <v>703</v>
      </c>
      <c r="C192" s="1">
        <f t="shared" si="25"/>
        <v>45323</v>
      </c>
      <c r="D192" t="s">
        <v>704</v>
      </c>
      <c r="E192">
        <v>197.8</v>
      </c>
      <c r="F192">
        <v>8.1999999999999993</v>
      </c>
      <c r="G192" t="s">
        <v>30</v>
      </c>
      <c r="H192" t="s">
        <v>31</v>
      </c>
      <c r="I192" t="s">
        <v>32</v>
      </c>
      <c r="J192">
        <v>240</v>
      </c>
      <c r="K192" t="s">
        <v>49</v>
      </c>
      <c r="L192" t="s">
        <v>34</v>
      </c>
      <c r="M192" t="s">
        <v>35</v>
      </c>
      <c r="N192" t="s">
        <v>80</v>
      </c>
      <c r="O192" t="s">
        <v>7232</v>
      </c>
      <c r="P192" t="s">
        <v>38</v>
      </c>
      <c r="Q192" t="s">
        <v>38</v>
      </c>
      <c r="R192">
        <v>1</v>
      </c>
      <c r="S192" t="s">
        <v>38</v>
      </c>
      <c r="T192">
        <v>8</v>
      </c>
      <c r="U192">
        <v>0.1</v>
      </c>
      <c r="V192">
        <v>14.5</v>
      </c>
      <c r="W192" t="s">
        <v>39</v>
      </c>
      <c r="X192" t="s">
        <v>123</v>
      </c>
      <c r="Y192" t="s">
        <v>39</v>
      </c>
      <c r="Z192" t="s">
        <v>53</v>
      </c>
      <c r="AA192" t="s">
        <v>42</v>
      </c>
      <c r="AB192" t="s">
        <v>43</v>
      </c>
      <c r="AC192">
        <f t="shared" si="22"/>
        <v>0</v>
      </c>
      <c r="AD192" s="12">
        <f t="shared" si="26"/>
        <v>0</v>
      </c>
      <c r="AE192" s="12">
        <f t="shared" si="27"/>
        <v>1</v>
      </c>
      <c r="AF192">
        <f t="shared" si="23"/>
        <v>0</v>
      </c>
      <c r="AG192">
        <f t="shared" si="28"/>
        <v>1</v>
      </c>
      <c r="AH192">
        <f t="shared" si="29"/>
        <v>0</v>
      </c>
      <c r="AI192">
        <f t="shared" si="30"/>
        <v>0</v>
      </c>
      <c r="AJ192">
        <f t="shared" si="31"/>
        <v>1</v>
      </c>
      <c r="AK192">
        <f t="shared" si="24"/>
        <v>1</v>
      </c>
      <c r="AL192">
        <f t="shared" si="32"/>
        <v>0</v>
      </c>
    </row>
    <row r="193" spans="1:38">
      <c r="A193" t="s">
        <v>705</v>
      </c>
      <c r="B193" t="s">
        <v>706</v>
      </c>
      <c r="C193" s="1">
        <f t="shared" si="25"/>
        <v>45474</v>
      </c>
      <c r="D193" t="s">
        <v>707</v>
      </c>
      <c r="E193">
        <v>152.30000000000001</v>
      </c>
      <c r="F193">
        <v>6.3</v>
      </c>
      <c r="G193" t="s">
        <v>30</v>
      </c>
      <c r="H193" t="s">
        <v>172</v>
      </c>
      <c r="I193" t="s">
        <v>32</v>
      </c>
      <c r="J193">
        <v>240</v>
      </c>
      <c r="K193" t="s">
        <v>49</v>
      </c>
      <c r="L193" t="s">
        <v>34</v>
      </c>
      <c r="M193" t="s">
        <v>35</v>
      </c>
      <c r="N193" t="s">
        <v>188</v>
      </c>
      <c r="O193" t="s">
        <v>51</v>
      </c>
      <c r="P193" t="s">
        <v>39</v>
      </c>
      <c r="Q193" t="s">
        <v>38</v>
      </c>
      <c r="R193">
        <v>0</v>
      </c>
      <c r="S193" t="s">
        <v>38</v>
      </c>
      <c r="T193">
        <v>10</v>
      </c>
      <c r="U193">
        <v>4</v>
      </c>
      <c r="V193">
        <v>19.8</v>
      </c>
      <c r="W193" t="s">
        <v>39</v>
      </c>
      <c r="X193" t="s">
        <v>63</v>
      </c>
      <c r="Y193" t="s">
        <v>39</v>
      </c>
      <c r="Z193" t="s">
        <v>108</v>
      </c>
      <c r="AA193" t="s">
        <v>109</v>
      </c>
      <c r="AB193" t="s">
        <v>83</v>
      </c>
      <c r="AC193">
        <f t="shared" si="22"/>
        <v>0</v>
      </c>
      <c r="AD193" s="12">
        <f t="shared" si="26"/>
        <v>1</v>
      </c>
      <c r="AE193" s="12">
        <f t="shared" si="27"/>
        <v>0</v>
      </c>
      <c r="AF193">
        <f t="shared" si="23"/>
        <v>1</v>
      </c>
      <c r="AG193">
        <f t="shared" si="28"/>
        <v>0</v>
      </c>
      <c r="AH193">
        <f t="shared" si="29"/>
        <v>0</v>
      </c>
      <c r="AI193">
        <f t="shared" si="30"/>
        <v>0</v>
      </c>
      <c r="AJ193">
        <f t="shared" si="31"/>
        <v>1</v>
      </c>
      <c r="AK193">
        <f t="shared" si="24"/>
        <v>1</v>
      </c>
      <c r="AL193">
        <f t="shared" si="32"/>
        <v>0</v>
      </c>
    </row>
    <row r="194" spans="1:38">
      <c r="A194" t="s">
        <v>708</v>
      </c>
      <c r="B194" t="s">
        <v>709</v>
      </c>
      <c r="C194" s="1">
        <f t="shared" si="25"/>
        <v>45474</v>
      </c>
      <c r="D194" t="s">
        <v>710</v>
      </c>
      <c r="E194">
        <v>208.3</v>
      </c>
      <c r="F194">
        <v>8.6999999999999993</v>
      </c>
      <c r="G194" t="s">
        <v>77</v>
      </c>
      <c r="H194" t="s">
        <v>267</v>
      </c>
      <c r="I194" t="s">
        <v>32</v>
      </c>
      <c r="J194">
        <v>240</v>
      </c>
      <c r="K194" t="s">
        <v>49</v>
      </c>
      <c r="L194" t="s">
        <v>34</v>
      </c>
      <c r="M194" t="s">
        <v>35</v>
      </c>
      <c r="N194" t="s">
        <v>61</v>
      </c>
      <c r="O194" t="s">
        <v>51</v>
      </c>
      <c r="P194" t="s">
        <v>39</v>
      </c>
      <c r="Q194" t="s">
        <v>38</v>
      </c>
      <c r="R194">
        <v>0</v>
      </c>
      <c r="S194" t="s">
        <v>39</v>
      </c>
      <c r="T194">
        <v>10</v>
      </c>
      <c r="U194">
        <v>4.3</v>
      </c>
      <c r="V194">
        <v>10.1</v>
      </c>
      <c r="W194" t="s">
        <v>39</v>
      </c>
      <c r="X194" t="s">
        <v>123</v>
      </c>
      <c r="Y194" t="s">
        <v>39</v>
      </c>
      <c r="Z194" t="s">
        <v>179</v>
      </c>
      <c r="AA194" t="s">
        <v>103</v>
      </c>
      <c r="AB194" t="s">
        <v>43</v>
      </c>
      <c r="AC194">
        <f t="shared" ref="AC194:AC257" si="33">IF(X194="Poor", 1, 0)</f>
        <v>0</v>
      </c>
      <c r="AD194" s="12">
        <f t="shared" si="26"/>
        <v>0</v>
      </c>
      <c r="AE194" s="12">
        <f t="shared" si="27"/>
        <v>1</v>
      </c>
      <c r="AF194">
        <f t="shared" ref="AF194:AF257" si="34">IF(O194="Junior", 1, 0)</f>
        <v>1</v>
      </c>
      <c r="AG194">
        <f t="shared" si="28"/>
        <v>0</v>
      </c>
      <c r="AH194">
        <f t="shared" si="29"/>
        <v>0</v>
      </c>
      <c r="AI194">
        <f t="shared" si="30"/>
        <v>0</v>
      </c>
      <c r="AJ194">
        <f t="shared" si="31"/>
        <v>1</v>
      </c>
      <c r="AK194">
        <f t="shared" ref="AK194:AK257" si="35">IF(G194="Access Requests", 1, 0)</f>
        <v>0</v>
      </c>
      <c r="AL194">
        <f t="shared" si="32"/>
        <v>0</v>
      </c>
    </row>
    <row r="195" spans="1:38">
      <c r="A195" t="s">
        <v>711</v>
      </c>
      <c r="B195" t="s">
        <v>712</v>
      </c>
      <c r="C195" s="1">
        <f t="shared" ref="C195:C258" si="36">DATE(YEAR(B195),MONTH(B195),1)</f>
        <v>45323</v>
      </c>
      <c r="D195" t="s">
        <v>713</v>
      </c>
      <c r="E195">
        <v>246.9</v>
      </c>
      <c r="F195">
        <v>10.3</v>
      </c>
      <c r="G195" t="s">
        <v>77</v>
      </c>
      <c r="H195" t="s">
        <v>187</v>
      </c>
      <c r="I195" t="s">
        <v>79</v>
      </c>
      <c r="J195">
        <v>360</v>
      </c>
      <c r="K195" t="s">
        <v>49</v>
      </c>
      <c r="L195" t="s">
        <v>113</v>
      </c>
      <c r="M195" t="s">
        <v>35</v>
      </c>
      <c r="N195" t="s">
        <v>299</v>
      </c>
      <c r="O195" t="s">
        <v>7232</v>
      </c>
      <c r="P195" t="s">
        <v>39</v>
      </c>
      <c r="Q195" t="s">
        <v>38</v>
      </c>
      <c r="R195">
        <v>0</v>
      </c>
      <c r="S195" t="s">
        <v>38</v>
      </c>
      <c r="T195">
        <v>10</v>
      </c>
      <c r="U195">
        <v>3.7</v>
      </c>
      <c r="V195">
        <v>27.8</v>
      </c>
      <c r="W195" t="s">
        <v>39</v>
      </c>
      <c r="X195" t="s">
        <v>63</v>
      </c>
      <c r="Y195" t="s">
        <v>39</v>
      </c>
      <c r="Z195" t="s">
        <v>64</v>
      </c>
      <c r="AA195" t="s">
        <v>42</v>
      </c>
      <c r="AB195" t="s">
        <v>55</v>
      </c>
      <c r="AC195">
        <f t="shared" si="33"/>
        <v>0</v>
      </c>
      <c r="AD195" s="12">
        <f t="shared" ref="AD195:AD258" si="37">IF(X195="Fair", 1, 0)</f>
        <v>1</v>
      </c>
      <c r="AE195" s="12">
        <f t="shared" ref="AE195:AE258" si="38">IF(X195="Good", 1, 0)</f>
        <v>0</v>
      </c>
      <c r="AF195">
        <f t="shared" si="34"/>
        <v>0</v>
      </c>
      <c r="AG195">
        <f t="shared" ref="AG195:AG258" si="39">IF(O195="Mid", 1, 0)</f>
        <v>1</v>
      </c>
      <c r="AH195">
        <f t="shared" ref="AH195:AH258" si="40">IF(I195="High", 1, 0)</f>
        <v>0</v>
      </c>
      <c r="AI195">
        <f t="shared" ref="AI195:AI258" si="41">IF(I195="Critical", 1, 0)</f>
        <v>0</v>
      </c>
      <c r="AJ195">
        <f t="shared" ref="AJ195:AJ258" si="42">IF(I195="Medium", 1, 0)</f>
        <v>0</v>
      </c>
      <c r="AK195">
        <f t="shared" si="35"/>
        <v>0</v>
      </c>
      <c r="AL195">
        <f t="shared" ref="AL195:AL258" si="43">IF(Y195="No", 1, 0)</f>
        <v>0</v>
      </c>
    </row>
    <row r="196" spans="1:38">
      <c r="A196" t="s">
        <v>714</v>
      </c>
      <c r="B196" t="s">
        <v>715</v>
      </c>
      <c r="C196" s="1">
        <f t="shared" si="36"/>
        <v>45597</v>
      </c>
      <c r="D196" t="s">
        <v>716</v>
      </c>
      <c r="E196">
        <v>181.5</v>
      </c>
      <c r="F196">
        <v>7.6</v>
      </c>
      <c r="G196" t="s">
        <v>59</v>
      </c>
      <c r="H196" t="s">
        <v>127</v>
      </c>
      <c r="I196" t="s">
        <v>32</v>
      </c>
      <c r="J196">
        <v>240</v>
      </c>
      <c r="K196" t="s">
        <v>49</v>
      </c>
      <c r="L196" t="s">
        <v>70</v>
      </c>
      <c r="M196" t="s">
        <v>71</v>
      </c>
      <c r="N196" t="s">
        <v>119</v>
      </c>
      <c r="O196" t="s">
        <v>7232</v>
      </c>
      <c r="P196" t="s">
        <v>38</v>
      </c>
      <c r="Q196" t="s">
        <v>39</v>
      </c>
      <c r="R196">
        <v>3</v>
      </c>
      <c r="S196" t="s">
        <v>38</v>
      </c>
      <c r="T196">
        <v>6</v>
      </c>
      <c r="U196">
        <v>3.8</v>
      </c>
      <c r="V196">
        <v>32.5</v>
      </c>
      <c r="W196" t="s">
        <v>38</v>
      </c>
      <c r="X196" t="s">
        <v>123</v>
      </c>
      <c r="Y196" t="s">
        <v>38</v>
      </c>
      <c r="Z196" t="s">
        <v>53</v>
      </c>
      <c r="AA196" t="s">
        <v>54</v>
      </c>
      <c r="AB196" t="s">
        <v>43</v>
      </c>
      <c r="AC196">
        <f t="shared" si="33"/>
        <v>0</v>
      </c>
      <c r="AD196" s="12">
        <f t="shared" si="37"/>
        <v>0</v>
      </c>
      <c r="AE196" s="12">
        <f t="shared" si="38"/>
        <v>1</v>
      </c>
      <c r="AF196">
        <f t="shared" si="34"/>
        <v>0</v>
      </c>
      <c r="AG196">
        <f t="shared" si="39"/>
        <v>1</v>
      </c>
      <c r="AH196">
        <f t="shared" si="40"/>
        <v>0</v>
      </c>
      <c r="AI196">
        <f t="shared" si="41"/>
        <v>0</v>
      </c>
      <c r="AJ196">
        <f t="shared" si="42"/>
        <v>1</v>
      </c>
      <c r="AK196">
        <f t="shared" si="35"/>
        <v>0</v>
      </c>
      <c r="AL196">
        <f t="shared" si="43"/>
        <v>1</v>
      </c>
    </row>
    <row r="197" spans="1:38">
      <c r="A197" t="s">
        <v>717</v>
      </c>
      <c r="B197" t="s">
        <v>718</v>
      </c>
      <c r="C197" s="1">
        <f t="shared" si="36"/>
        <v>45627</v>
      </c>
      <c r="D197" t="s">
        <v>719</v>
      </c>
      <c r="E197">
        <v>304.7</v>
      </c>
      <c r="F197">
        <v>12.7</v>
      </c>
      <c r="G197" t="s">
        <v>77</v>
      </c>
      <c r="H197" t="s">
        <v>187</v>
      </c>
      <c r="I197" t="s">
        <v>79</v>
      </c>
      <c r="J197">
        <v>360</v>
      </c>
      <c r="K197" t="s">
        <v>49</v>
      </c>
      <c r="L197" t="s">
        <v>34</v>
      </c>
      <c r="M197" t="s">
        <v>35</v>
      </c>
      <c r="N197" t="s">
        <v>506</v>
      </c>
      <c r="O197" t="s">
        <v>7232</v>
      </c>
      <c r="P197" t="s">
        <v>39</v>
      </c>
      <c r="Q197" t="s">
        <v>38</v>
      </c>
      <c r="R197">
        <v>0</v>
      </c>
      <c r="S197" t="s">
        <v>38</v>
      </c>
      <c r="T197">
        <v>8</v>
      </c>
      <c r="U197">
        <v>5</v>
      </c>
      <c r="V197">
        <v>17.600000000000001</v>
      </c>
      <c r="W197" t="s">
        <v>38</v>
      </c>
      <c r="X197" t="s">
        <v>123</v>
      </c>
      <c r="Y197" t="s">
        <v>39</v>
      </c>
      <c r="Z197" t="s">
        <v>179</v>
      </c>
      <c r="AA197" t="s">
        <v>109</v>
      </c>
      <c r="AB197" t="s">
        <v>55</v>
      </c>
      <c r="AC197">
        <f t="shared" si="33"/>
        <v>0</v>
      </c>
      <c r="AD197" s="12">
        <f t="shared" si="37"/>
        <v>0</v>
      </c>
      <c r="AE197" s="12">
        <f t="shared" si="38"/>
        <v>1</v>
      </c>
      <c r="AF197">
        <f t="shared" si="34"/>
        <v>0</v>
      </c>
      <c r="AG197">
        <f t="shared" si="39"/>
        <v>1</v>
      </c>
      <c r="AH197">
        <f t="shared" si="40"/>
        <v>0</v>
      </c>
      <c r="AI197">
        <f t="shared" si="41"/>
        <v>0</v>
      </c>
      <c r="AJ197">
        <f t="shared" si="42"/>
        <v>0</v>
      </c>
      <c r="AK197">
        <f t="shared" si="35"/>
        <v>0</v>
      </c>
      <c r="AL197">
        <f t="shared" si="43"/>
        <v>0</v>
      </c>
    </row>
    <row r="198" spans="1:38">
      <c r="A198" t="s">
        <v>720</v>
      </c>
      <c r="B198" t="s">
        <v>721</v>
      </c>
      <c r="C198" s="1">
        <f t="shared" si="36"/>
        <v>45627</v>
      </c>
      <c r="D198" t="s">
        <v>722</v>
      </c>
      <c r="E198">
        <v>105</v>
      </c>
      <c r="F198">
        <v>4.4000000000000004</v>
      </c>
      <c r="G198" t="s">
        <v>30</v>
      </c>
      <c r="H198" t="s">
        <v>172</v>
      </c>
      <c r="I198" t="s">
        <v>48</v>
      </c>
      <c r="J198">
        <v>120</v>
      </c>
      <c r="K198" t="s">
        <v>49</v>
      </c>
      <c r="L198" t="s">
        <v>70</v>
      </c>
      <c r="M198" t="s">
        <v>35</v>
      </c>
      <c r="N198" t="s">
        <v>80</v>
      </c>
      <c r="O198" t="s">
        <v>51</v>
      </c>
      <c r="P198" t="s">
        <v>39</v>
      </c>
      <c r="Q198" t="s">
        <v>38</v>
      </c>
      <c r="R198">
        <v>0</v>
      </c>
      <c r="S198" t="s">
        <v>38</v>
      </c>
      <c r="T198">
        <v>10</v>
      </c>
      <c r="U198">
        <v>5.0999999999999996</v>
      </c>
      <c r="V198">
        <v>0</v>
      </c>
      <c r="W198" t="s">
        <v>39</v>
      </c>
      <c r="X198" t="s">
        <v>52</v>
      </c>
      <c r="Y198" t="s">
        <v>38</v>
      </c>
      <c r="Z198" t="s">
        <v>108</v>
      </c>
      <c r="AA198" t="s">
        <v>82</v>
      </c>
      <c r="AB198" t="s">
        <v>55</v>
      </c>
      <c r="AC198">
        <f t="shared" si="33"/>
        <v>1</v>
      </c>
      <c r="AD198" s="12">
        <f t="shared" si="37"/>
        <v>0</v>
      </c>
      <c r="AE198" s="12">
        <f t="shared" si="38"/>
        <v>0</v>
      </c>
      <c r="AF198">
        <f t="shared" si="34"/>
        <v>1</v>
      </c>
      <c r="AG198">
        <f t="shared" si="39"/>
        <v>0</v>
      </c>
      <c r="AH198">
        <f t="shared" si="40"/>
        <v>1</v>
      </c>
      <c r="AI198">
        <f t="shared" si="41"/>
        <v>0</v>
      </c>
      <c r="AJ198">
        <f t="shared" si="42"/>
        <v>0</v>
      </c>
      <c r="AK198">
        <f t="shared" si="35"/>
        <v>1</v>
      </c>
      <c r="AL198">
        <f t="shared" si="43"/>
        <v>1</v>
      </c>
    </row>
    <row r="199" spans="1:38">
      <c r="A199" t="s">
        <v>723</v>
      </c>
      <c r="B199" t="s">
        <v>724</v>
      </c>
      <c r="C199" s="1">
        <f t="shared" si="36"/>
        <v>45566</v>
      </c>
      <c r="D199" t="s">
        <v>725</v>
      </c>
      <c r="E199">
        <v>30.4</v>
      </c>
      <c r="F199">
        <v>1.3</v>
      </c>
      <c r="G199" t="s">
        <v>30</v>
      </c>
      <c r="H199" t="s">
        <v>172</v>
      </c>
      <c r="I199" t="s">
        <v>95</v>
      </c>
      <c r="J199">
        <v>48</v>
      </c>
      <c r="K199" t="s">
        <v>49</v>
      </c>
      <c r="L199" t="s">
        <v>133</v>
      </c>
      <c r="M199" t="s">
        <v>35</v>
      </c>
      <c r="N199" t="s">
        <v>188</v>
      </c>
      <c r="O199" t="s">
        <v>7232</v>
      </c>
      <c r="P199" t="s">
        <v>39</v>
      </c>
      <c r="Q199" t="s">
        <v>38</v>
      </c>
      <c r="R199">
        <v>0</v>
      </c>
      <c r="S199" t="s">
        <v>38</v>
      </c>
      <c r="T199">
        <v>10</v>
      </c>
      <c r="U199">
        <v>0.7</v>
      </c>
      <c r="V199">
        <v>13.1</v>
      </c>
      <c r="W199" t="s">
        <v>39</v>
      </c>
      <c r="X199" t="s">
        <v>63</v>
      </c>
      <c r="Y199" t="s">
        <v>38</v>
      </c>
      <c r="Z199" t="s">
        <v>81</v>
      </c>
      <c r="AA199" t="s">
        <v>103</v>
      </c>
      <c r="AB199" t="s">
        <v>55</v>
      </c>
      <c r="AC199">
        <f t="shared" si="33"/>
        <v>0</v>
      </c>
      <c r="AD199" s="12">
        <f t="shared" si="37"/>
        <v>1</v>
      </c>
      <c r="AE199" s="12">
        <f t="shared" si="38"/>
        <v>0</v>
      </c>
      <c r="AF199">
        <f t="shared" si="34"/>
        <v>0</v>
      </c>
      <c r="AG199">
        <f t="shared" si="39"/>
        <v>1</v>
      </c>
      <c r="AH199">
        <f t="shared" si="40"/>
        <v>0</v>
      </c>
      <c r="AI199">
        <f t="shared" si="41"/>
        <v>1</v>
      </c>
      <c r="AJ199">
        <f t="shared" si="42"/>
        <v>0</v>
      </c>
      <c r="AK199">
        <f t="shared" si="35"/>
        <v>1</v>
      </c>
      <c r="AL199">
        <f t="shared" si="43"/>
        <v>1</v>
      </c>
    </row>
    <row r="200" spans="1:38">
      <c r="A200" t="s">
        <v>726</v>
      </c>
      <c r="B200" t="s">
        <v>727</v>
      </c>
      <c r="C200" s="1">
        <f t="shared" si="36"/>
        <v>45474</v>
      </c>
      <c r="D200" t="s">
        <v>728</v>
      </c>
      <c r="E200">
        <v>312</v>
      </c>
      <c r="F200">
        <v>13</v>
      </c>
      <c r="G200" t="s">
        <v>142</v>
      </c>
      <c r="H200" t="s">
        <v>729</v>
      </c>
      <c r="I200" t="s">
        <v>48</v>
      </c>
      <c r="J200">
        <v>120</v>
      </c>
      <c r="K200" t="s">
        <v>33</v>
      </c>
      <c r="L200" t="s">
        <v>96</v>
      </c>
      <c r="M200" t="s">
        <v>35</v>
      </c>
      <c r="N200" t="s">
        <v>277</v>
      </c>
      <c r="O200" t="s">
        <v>7232</v>
      </c>
      <c r="P200" t="s">
        <v>38</v>
      </c>
      <c r="Q200" t="s">
        <v>38</v>
      </c>
      <c r="R200">
        <v>1</v>
      </c>
      <c r="S200" t="s">
        <v>38</v>
      </c>
      <c r="T200">
        <v>4</v>
      </c>
      <c r="U200">
        <v>1.5</v>
      </c>
      <c r="V200">
        <v>17.399999999999999</v>
      </c>
      <c r="W200" t="s">
        <v>39</v>
      </c>
      <c r="X200" t="s">
        <v>63</v>
      </c>
      <c r="Y200" t="s">
        <v>38</v>
      </c>
      <c r="Z200" t="s">
        <v>64</v>
      </c>
      <c r="AA200" t="s">
        <v>109</v>
      </c>
      <c r="AB200" t="s">
        <v>83</v>
      </c>
      <c r="AC200">
        <f t="shared" si="33"/>
        <v>0</v>
      </c>
      <c r="AD200" s="12">
        <f t="shared" si="37"/>
        <v>1</v>
      </c>
      <c r="AE200" s="12">
        <f t="shared" si="38"/>
        <v>0</v>
      </c>
      <c r="AF200">
        <f t="shared" si="34"/>
        <v>0</v>
      </c>
      <c r="AG200">
        <f t="shared" si="39"/>
        <v>1</v>
      </c>
      <c r="AH200">
        <f t="shared" si="40"/>
        <v>1</v>
      </c>
      <c r="AI200">
        <f t="shared" si="41"/>
        <v>0</v>
      </c>
      <c r="AJ200">
        <f t="shared" si="42"/>
        <v>0</v>
      </c>
      <c r="AK200">
        <f t="shared" si="35"/>
        <v>0</v>
      </c>
      <c r="AL200">
        <f t="shared" si="43"/>
        <v>1</v>
      </c>
    </row>
    <row r="201" spans="1:38">
      <c r="A201" t="s">
        <v>730</v>
      </c>
      <c r="B201" t="s">
        <v>731</v>
      </c>
      <c r="C201" s="1">
        <f t="shared" si="36"/>
        <v>45323</v>
      </c>
      <c r="D201" t="s">
        <v>732</v>
      </c>
      <c r="E201">
        <v>112.1</v>
      </c>
      <c r="F201">
        <v>4.7</v>
      </c>
      <c r="G201" t="s">
        <v>68</v>
      </c>
      <c r="H201" t="s">
        <v>219</v>
      </c>
      <c r="I201" t="s">
        <v>48</v>
      </c>
      <c r="J201">
        <v>120</v>
      </c>
      <c r="K201" t="s">
        <v>49</v>
      </c>
      <c r="L201" t="s">
        <v>70</v>
      </c>
      <c r="M201" t="s">
        <v>35</v>
      </c>
      <c r="N201" t="s">
        <v>299</v>
      </c>
      <c r="O201" t="s">
        <v>37</v>
      </c>
      <c r="P201" t="s">
        <v>39</v>
      </c>
      <c r="Q201" t="s">
        <v>38</v>
      </c>
      <c r="R201">
        <v>0</v>
      </c>
      <c r="S201" t="s">
        <v>39</v>
      </c>
      <c r="T201">
        <v>10</v>
      </c>
      <c r="U201">
        <v>0.1</v>
      </c>
      <c r="V201">
        <v>22.9</v>
      </c>
      <c r="W201" t="s">
        <v>38</v>
      </c>
      <c r="X201" t="s">
        <v>52</v>
      </c>
      <c r="Y201" t="s">
        <v>39</v>
      </c>
      <c r="Z201" t="s">
        <v>53</v>
      </c>
      <c r="AA201" t="s">
        <v>42</v>
      </c>
      <c r="AB201" t="s">
        <v>83</v>
      </c>
      <c r="AC201">
        <f t="shared" si="33"/>
        <v>1</v>
      </c>
      <c r="AD201" s="12">
        <f t="shared" si="37"/>
        <v>0</v>
      </c>
      <c r="AE201" s="12">
        <f t="shared" si="38"/>
        <v>0</v>
      </c>
      <c r="AF201">
        <f t="shared" si="34"/>
        <v>0</v>
      </c>
      <c r="AG201">
        <f t="shared" si="39"/>
        <v>0</v>
      </c>
      <c r="AH201">
        <f t="shared" si="40"/>
        <v>1</v>
      </c>
      <c r="AI201">
        <f t="shared" si="41"/>
        <v>0</v>
      </c>
      <c r="AJ201">
        <f t="shared" si="42"/>
        <v>0</v>
      </c>
      <c r="AK201">
        <f t="shared" si="35"/>
        <v>0</v>
      </c>
      <c r="AL201">
        <f t="shared" si="43"/>
        <v>0</v>
      </c>
    </row>
    <row r="202" spans="1:38">
      <c r="A202" t="s">
        <v>733</v>
      </c>
      <c r="B202" t="s">
        <v>734</v>
      </c>
      <c r="C202" s="1">
        <f t="shared" si="36"/>
        <v>45292</v>
      </c>
      <c r="D202" t="s">
        <v>735</v>
      </c>
      <c r="E202">
        <v>250.8</v>
      </c>
      <c r="F202">
        <v>10.5</v>
      </c>
      <c r="G202" t="s">
        <v>101</v>
      </c>
      <c r="H202" t="s">
        <v>368</v>
      </c>
      <c r="I202" t="s">
        <v>32</v>
      </c>
      <c r="J202">
        <v>240</v>
      </c>
      <c r="K202" t="s">
        <v>33</v>
      </c>
      <c r="L202" t="s">
        <v>113</v>
      </c>
      <c r="M202" t="s">
        <v>35</v>
      </c>
      <c r="N202" t="s">
        <v>97</v>
      </c>
      <c r="O202" t="s">
        <v>7232</v>
      </c>
      <c r="P202" t="s">
        <v>39</v>
      </c>
      <c r="Q202" t="s">
        <v>38</v>
      </c>
      <c r="R202">
        <v>0</v>
      </c>
      <c r="S202" t="s">
        <v>38</v>
      </c>
      <c r="T202">
        <v>6</v>
      </c>
      <c r="U202">
        <v>0.2</v>
      </c>
      <c r="V202">
        <v>27.8</v>
      </c>
      <c r="W202" t="s">
        <v>39</v>
      </c>
      <c r="X202" t="s">
        <v>63</v>
      </c>
      <c r="Y202" t="s">
        <v>38</v>
      </c>
      <c r="Z202" t="s">
        <v>73</v>
      </c>
      <c r="AA202" t="s">
        <v>82</v>
      </c>
      <c r="AB202" t="s">
        <v>43</v>
      </c>
      <c r="AC202">
        <f t="shared" si="33"/>
        <v>0</v>
      </c>
      <c r="AD202" s="12">
        <f t="shared" si="37"/>
        <v>1</v>
      </c>
      <c r="AE202" s="12">
        <f t="shared" si="38"/>
        <v>0</v>
      </c>
      <c r="AF202">
        <f t="shared" si="34"/>
        <v>0</v>
      </c>
      <c r="AG202">
        <f t="shared" si="39"/>
        <v>1</v>
      </c>
      <c r="AH202">
        <f t="shared" si="40"/>
        <v>0</v>
      </c>
      <c r="AI202">
        <f t="shared" si="41"/>
        <v>0</v>
      </c>
      <c r="AJ202">
        <f t="shared" si="42"/>
        <v>1</v>
      </c>
      <c r="AK202">
        <f t="shared" si="35"/>
        <v>0</v>
      </c>
      <c r="AL202">
        <f t="shared" si="43"/>
        <v>1</v>
      </c>
    </row>
    <row r="203" spans="1:38">
      <c r="A203" t="s">
        <v>736</v>
      </c>
      <c r="B203" t="s">
        <v>737</v>
      </c>
      <c r="C203" s="1">
        <f t="shared" si="36"/>
        <v>45474</v>
      </c>
      <c r="D203" t="s">
        <v>738</v>
      </c>
      <c r="E203">
        <v>290.3</v>
      </c>
      <c r="F203">
        <v>12.1</v>
      </c>
      <c r="G203" t="s">
        <v>68</v>
      </c>
      <c r="H203" t="s">
        <v>212</v>
      </c>
      <c r="I203" t="s">
        <v>79</v>
      </c>
      <c r="J203">
        <v>360</v>
      </c>
      <c r="K203" t="s">
        <v>49</v>
      </c>
      <c r="L203" t="s">
        <v>70</v>
      </c>
      <c r="M203" t="s">
        <v>35</v>
      </c>
      <c r="N203" t="s">
        <v>506</v>
      </c>
      <c r="O203" t="s">
        <v>7232</v>
      </c>
      <c r="P203" t="s">
        <v>39</v>
      </c>
      <c r="Q203" t="s">
        <v>38</v>
      </c>
      <c r="R203">
        <v>0</v>
      </c>
      <c r="S203" t="s">
        <v>38</v>
      </c>
      <c r="T203">
        <v>10</v>
      </c>
      <c r="U203">
        <v>3.3</v>
      </c>
      <c r="V203">
        <v>25.4</v>
      </c>
      <c r="W203" t="s">
        <v>39</v>
      </c>
      <c r="X203" t="s">
        <v>52</v>
      </c>
      <c r="Y203" t="s">
        <v>38</v>
      </c>
      <c r="Z203" t="s">
        <v>64</v>
      </c>
      <c r="AA203" t="s">
        <v>54</v>
      </c>
      <c r="AB203" t="s">
        <v>83</v>
      </c>
      <c r="AC203">
        <f t="shared" si="33"/>
        <v>1</v>
      </c>
      <c r="AD203" s="12">
        <f t="shared" si="37"/>
        <v>0</v>
      </c>
      <c r="AE203" s="12">
        <f t="shared" si="38"/>
        <v>0</v>
      </c>
      <c r="AF203">
        <f t="shared" si="34"/>
        <v>0</v>
      </c>
      <c r="AG203">
        <f t="shared" si="39"/>
        <v>1</v>
      </c>
      <c r="AH203">
        <f t="shared" si="40"/>
        <v>0</v>
      </c>
      <c r="AI203">
        <f t="shared" si="41"/>
        <v>0</v>
      </c>
      <c r="AJ203">
        <f t="shared" si="42"/>
        <v>0</v>
      </c>
      <c r="AK203">
        <f t="shared" si="35"/>
        <v>0</v>
      </c>
      <c r="AL203">
        <f t="shared" si="43"/>
        <v>1</v>
      </c>
    </row>
    <row r="204" spans="1:38">
      <c r="A204" t="s">
        <v>739</v>
      </c>
      <c r="B204" t="s">
        <v>740</v>
      </c>
      <c r="C204" s="1">
        <f t="shared" si="36"/>
        <v>45383</v>
      </c>
      <c r="D204" t="s">
        <v>741</v>
      </c>
      <c r="E204">
        <v>273.89999999999998</v>
      </c>
      <c r="F204">
        <v>11.4</v>
      </c>
      <c r="G204" t="s">
        <v>142</v>
      </c>
      <c r="H204" t="s">
        <v>729</v>
      </c>
      <c r="I204" t="s">
        <v>79</v>
      </c>
      <c r="J204">
        <v>360</v>
      </c>
      <c r="K204" t="s">
        <v>49</v>
      </c>
      <c r="L204" t="s">
        <v>34</v>
      </c>
      <c r="M204" t="s">
        <v>71</v>
      </c>
      <c r="N204" t="s">
        <v>134</v>
      </c>
      <c r="O204" t="s">
        <v>37</v>
      </c>
      <c r="P204" t="s">
        <v>38</v>
      </c>
      <c r="Q204" t="s">
        <v>39</v>
      </c>
      <c r="R204">
        <v>2</v>
      </c>
      <c r="S204" t="s">
        <v>38</v>
      </c>
      <c r="T204">
        <v>8</v>
      </c>
      <c r="U204">
        <v>3.6</v>
      </c>
      <c r="V204">
        <v>12.5</v>
      </c>
      <c r="W204" t="s">
        <v>39</v>
      </c>
      <c r="X204" t="s">
        <v>63</v>
      </c>
      <c r="Y204" t="s">
        <v>38</v>
      </c>
      <c r="Z204" t="s">
        <v>81</v>
      </c>
      <c r="AA204" t="s">
        <v>103</v>
      </c>
      <c r="AB204" t="s">
        <v>83</v>
      </c>
      <c r="AC204">
        <f t="shared" si="33"/>
        <v>0</v>
      </c>
      <c r="AD204" s="12">
        <f t="shared" si="37"/>
        <v>1</v>
      </c>
      <c r="AE204" s="12">
        <f t="shared" si="38"/>
        <v>0</v>
      </c>
      <c r="AF204">
        <f t="shared" si="34"/>
        <v>0</v>
      </c>
      <c r="AG204">
        <f t="shared" si="39"/>
        <v>0</v>
      </c>
      <c r="AH204">
        <f t="shared" si="40"/>
        <v>0</v>
      </c>
      <c r="AI204">
        <f t="shared" si="41"/>
        <v>0</v>
      </c>
      <c r="AJ204">
        <f t="shared" si="42"/>
        <v>0</v>
      </c>
      <c r="AK204">
        <f t="shared" si="35"/>
        <v>0</v>
      </c>
      <c r="AL204">
        <f t="shared" si="43"/>
        <v>1</v>
      </c>
    </row>
    <row r="205" spans="1:38">
      <c r="A205" t="s">
        <v>742</v>
      </c>
      <c r="B205" t="s">
        <v>743</v>
      </c>
      <c r="C205" s="1">
        <f t="shared" si="36"/>
        <v>45566</v>
      </c>
      <c r="D205" t="s">
        <v>744</v>
      </c>
      <c r="E205">
        <v>106.8</v>
      </c>
      <c r="F205">
        <v>4.5</v>
      </c>
      <c r="G205" t="s">
        <v>59</v>
      </c>
      <c r="H205" t="s">
        <v>227</v>
      </c>
      <c r="I205" t="s">
        <v>48</v>
      </c>
      <c r="J205">
        <v>120</v>
      </c>
      <c r="K205" t="s">
        <v>49</v>
      </c>
      <c r="L205" t="s">
        <v>70</v>
      </c>
      <c r="M205" t="s">
        <v>35</v>
      </c>
      <c r="N205" t="s">
        <v>89</v>
      </c>
      <c r="O205" t="s">
        <v>37</v>
      </c>
      <c r="P205" t="s">
        <v>39</v>
      </c>
      <c r="Q205" t="s">
        <v>38</v>
      </c>
      <c r="R205">
        <v>0</v>
      </c>
      <c r="S205" t="s">
        <v>38</v>
      </c>
      <c r="T205">
        <v>10</v>
      </c>
      <c r="U205">
        <v>0.6</v>
      </c>
      <c r="V205">
        <v>26.3</v>
      </c>
      <c r="W205" t="s">
        <v>39</v>
      </c>
      <c r="X205" t="s">
        <v>63</v>
      </c>
      <c r="Y205" t="s">
        <v>39</v>
      </c>
      <c r="Z205" t="s">
        <v>41</v>
      </c>
      <c r="AA205" t="s">
        <v>42</v>
      </c>
      <c r="AB205" t="s">
        <v>55</v>
      </c>
      <c r="AC205">
        <f t="shared" si="33"/>
        <v>0</v>
      </c>
      <c r="AD205" s="12">
        <f t="shared" si="37"/>
        <v>1</v>
      </c>
      <c r="AE205" s="12">
        <f t="shared" si="38"/>
        <v>0</v>
      </c>
      <c r="AF205">
        <f t="shared" si="34"/>
        <v>0</v>
      </c>
      <c r="AG205">
        <f t="shared" si="39"/>
        <v>0</v>
      </c>
      <c r="AH205">
        <f t="shared" si="40"/>
        <v>1</v>
      </c>
      <c r="AI205">
        <f t="shared" si="41"/>
        <v>0</v>
      </c>
      <c r="AJ205">
        <f t="shared" si="42"/>
        <v>0</v>
      </c>
      <c r="AK205">
        <f t="shared" si="35"/>
        <v>0</v>
      </c>
      <c r="AL205">
        <f t="shared" si="43"/>
        <v>0</v>
      </c>
    </row>
    <row r="206" spans="1:38">
      <c r="A206" t="s">
        <v>745</v>
      </c>
      <c r="B206" t="s">
        <v>746</v>
      </c>
      <c r="C206" s="1">
        <f t="shared" si="36"/>
        <v>45383</v>
      </c>
      <c r="D206" t="s">
        <v>747</v>
      </c>
      <c r="E206">
        <v>109.8</v>
      </c>
      <c r="F206">
        <v>4.5999999999999996</v>
      </c>
      <c r="G206" t="s">
        <v>93</v>
      </c>
      <c r="H206" t="s">
        <v>449</v>
      </c>
      <c r="I206" t="s">
        <v>48</v>
      </c>
      <c r="J206">
        <v>120</v>
      </c>
      <c r="K206" t="s">
        <v>49</v>
      </c>
      <c r="L206" t="s">
        <v>34</v>
      </c>
      <c r="M206" t="s">
        <v>35</v>
      </c>
      <c r="N206" t="s">
        <v>36</v>
      </c>
      <c r="O206" t="s">
        <v>51</v>
      </c>
      <c r="P206" t="s">
        <v>38</v>
      </c>
      <c r="Q206" t="s">
        <v>38</v>
      </c>
      <c r="R206">
        <v>1</v>
      </c>
      <c r="S206" t="s">
        <v>38</v>
      </c>
      <c r="T206">
        <v>8</v>
      </c>
      <c r="U206">
        <v>2</v>
      </c>
      <c r="V206">
        <v>9.6</v>
      </c>
      <c r="W206" t="s">
        <v>39</v>
      </c>
      <c r="X206" t="s">
        <v>123</v>
      </c>
      <c r="Y206" t="s">
        <v>39</v>
      </c>
      <c r="Z206" t="s">
        <v>115</v>
      </c>
      <c r="AA206" t="s">
        <v>103</v>
      </c>
      <c r="AB206" t="s">
        <v>83</v>
      </c>
      <c r="AC206">
        <f t="shared" si="33"/>
        <v>0</v>
      </c>
      <c r="AD206" s="12">
        <f t="shared" si="37"/>
        <v>0</v>
      </c>
      <c r="AE206" s="12">
        <f t="shared" si="38"/>
        <v>1</v>
      </c>
      <c r="AF206">
        <f t="shared" si="34"/>
        <v>1</v>
      </c>
      <c r="AG206">
        <f t="shared" si="39"/>
        <v>0</v>
      </c>
      <c r="AH206">
        <f t="shared" si="40"/>
        <v>1</v>
      </c>
      <c r="AI206">
        <f t="shared" si="41"/>
        <v>0</v>
      </c>
      <c r="AJ206">
        <f t="shared" si="42"/>
        <v>0</v>
      </c>
      <c r="AK206">
        <f t="shared" si="35"/>
        <v>0</v>
      </c>
      <c r="AL206">
        <f t="shared" si="43"/>
        <v>0</v>
      </c>
    </row>
    <row r="207" spans="1:38">
      <c r="A207" t="s">
        <v>748</v>
      </c>
      <c r="B207" t="s">
        <v>749</v>
      </c>
      <c r="C207" s="1">
        <f t="shared" si="36"/>
        <v>45444</v>
      </c>
      <c r="D207" t="s">
        <v>750</v>
      </c>
      <c r="E207">
        <v>296.89999999999998</v>
      </c>
      <c r="F207">
        <v>12.4</v>
      </c>
      <c r="G207" t="s">
        <v>142</v>
      </c>
      <c r="H207" t="s">
        <v>260</v>
      </c>
      <c r="I207" t="s">
        <v>79</v>
      </c>
      <c r="J207">
        <v>360</v>
      </c>
      <c r="K207" t="s">
        <v>49</v>
      </c>
      <c r="L207" t="s">
        <v>70</v>
      </c>
      <c r="M207" t="s">
        <v>35</v>
      </c>
      <c r="N207" t="s">
        <v>61</v>
      </c>
      <c r="O207" t="s">
        <v>7232</v>
      </c>
      <c r="P207" t="s">
        <v>38</v>
      </c>
      <c r="Q207" t="s">
        <v>38</v>
      </c>
      <c r="R207">
        <v>1</v>
      </c>
      <c r="S207" t="s">
        <v>39</v>
      </c>
      <c r="T207">
        <v>10</v>
      </c>
      <c r="U207">
        <v>2.2000000000000002</v>
      </c>
      <c r="V207">
        <v>13.1</v>
      </c>
      <c r="W207" t="s">
        <v>39</v>
      </c>
      <c r="X207" t="s">
        <v>52</v>
      </c>
      <c r="Y207" t="s">
        <v>39</v>
      </c>
      <c r="Z207" t="s">
        <v>73</v>
      </c>
      <c r="AA207" t="s">
        <v>109</v>
      </c>
      <c r="AB207" t="s">
        <v>43</v>
      </c>
      <c r="AC207">
        <f t="shared" si="33"/>
        <v>1</v>
      </c>
      <c r="AD207" s="12">
        <f t="shared" si="37"/>
        <v>0</v>
      </c>
      <c r="AE207" s="12">
        <f t="shared" si="38"/>
        <v>0</v>
      </c>
      <c r="AF207">
        <f t="shared" si="34"/>
        <v>0</v>
      </c>
      <c r="AG207">
        <f t="shared" si="39"/>
        <v>1</v>
      </c>
      <c r="AH207">
        <f t="shared" si="40"/>
        <v>0</v>
      </c>
      <c r="AI207">
        <f t="shared" si="41"/>
        <v>0</v>
      </c>
      <c r="AJ207">
        <f t="shared" si="42"/>
        <v>0</v>
      </c>
      <c r="AK207">
        <f t="shared" si="35"/>
        <v>0</v>
      </c>
      <c r="AL207">
        <f t="shared" si="43"/>
        <v>0</v>
      </c>
    </row>
    <row r="208" spans="1:38">
      <c r="A208" t="s">
        <v>751</v>
      </c>
      <c r="B208" t="s">
        <v>752</v>
      </c>
      <c r="C208" s="1">
        <f t="shared" si="36"/>
        <v>45444</v>
      </c>
      <c r="D208" t="s">
        <v>753</v>
      </c>
      <c r="E208">
        <v>291.60000000000002</v>
      </c>
      <c r="F208">
        <v>12.2</v>
      </c>
      <c r="G208" t="s">
        <v>68</v>
      </c>
      <c r="H208" t="s">
        <v>456</v>
      </c>
      <c r="I208" t="s">
        <v>48</v>
      </c>
      <c r="J208">
        <v>120</v>
      </c>
      <c r="K208" t="s">
        <v>33</v>
      </c>
      <c r="L208" t="s">
        <v>96</v>
      </c>
      <c r="M208" t="s">
        <v>35</v>
      </c>
      <c r="N208" t="s">
        <v>36</v>
      </c>
      <c r="O208" t="s">
        <v>51</v>
      </c>
      <c r="P208" t="s">
        <v>39</v>
      </c>
      <c r="Q208" t="s">
        <v>38</v>
      </c>
      <c r="R208">
        <v>0</v>
      </c>
      <c r="S208" t="s">
        <v>39</v>
      </c>
      <c r="T208">
        <v>10</v>
      </c>
      <c r="U208">
        <v>2.2000000000000002</v>
      </c>
      <c r="V208">
        <v>22.3</v>
      </c>
      <c r="W208" t="s">
        <v>39</v>
      </c>
      <c r="X208" t="s">
        <v>123</v>
      </c>
      <c r="Y208" t="s">
        <v>38</v>
      </c>
      <c r="Z208" t="s">
        <v>108</v>
      </c>
      <c r="AA208" t="s">
        <v>54</v>
      </c>
      <c r="AB208" t="s">
        <v>43</v>
      </c>
      <c r="AC208">
        <f t="shared" si="33"/>
        <v>0</v>
      </c>
      <c r="AD208" s="12">
        <f t="shared" si="37"/>
        <v>0</v>
      </c>
      <c r="AE208" s="12">
        <f t="shared" si="38"/>
        <v>1</v>
      </c>
      <c r="AF208">
        <f t="shared" si="34"/>
        <v>1</v>
      </c>
      <c r="AG208">
        <f t="shared" si="39"/>
        <v>0</v>
      </c>
      <c r="AH208">
        <f t="shared" si="40"/>
        <v>1</v>
      </c>
      <c r="AI208">
        <f t="shared" si="41"/>
        <v>0</v>
      </c>
      <c r="AJ208">
        <f t="shared" si="42"/>
        <v>0</v>
      </c>
      <c r="AK208">
        <f t="shared" si="35"/>
        <v>0</v>
      </c>
      <c r="AL208">
        <f t="shared" si="43"/>
        <v>1</v>
      </c>
    </row>
    <row r="209" spans="1:38">
      <c r="A209" t="s">
        <v>754</v>
      </c>
      <c r="B209" t="s">
        <v>755</v>
      </c>
      <c r="C209" s="1">
        <f t="shared" si="36"/>
        <v>45413</v>
      </c>
      <c r="D209" t="s">
        <v>756</v>
      </c>
      <c r="E209">
        <v>278.7</v>
      </c>
      <c r="F209">
        <v>11.6</v>
      </c>
      <c r="G209" t="s">
        <v>77</v>
      </c>
      <c r="H209" t="s">
        <v>78</v>
      </c>
      <c r="I209" t="s">
        <v>79</v>
      </c>
      <c r="J209">
        <v>360</v>
      </c>
      <c r="K209" t="s">
        <v>49</v>
      </c>
      <c r="L209" t="s">
        <v>113</v>
      </c>
      <c r="M209" t="s">
        <v>35</v>
      </c>
      <c r="N209" t="s">
        <v>80</v>
      </c>
      <c r="O209" t="s">
        <v>51</v>
      </c>
      <c r="P209" t="s">
        <v>39</v>
      </c>
      <c r="Q209" t="s">
        <v>38</v>
      </c>
      <c r="R209">
        <v>0</v>
      </c>
      <c r="S209" t="s">
        <v>38</v>
      </c>
      <c r="T209">
        <v>10</v>
      </c>
      <c r="U209">
        <v>3.3</v>
      </c>
      <c r="V209">
        <v>3.5</v>
      </c>
      <c r="W209" t="s">
        <v>39</v>
      </c>
      <c r="X209" t="s">
        <v>63</v>
      </c>
      <c r="Y209" t="s">
        <v>39</v>
      </c>
      <c r="Z209" t="s">
        <v>53</v>
      </c>
      <c r="AA209" t="s">
        <v>109</v>
      </c>
      <c r="AB209" t="s">
        <v>83</v>
      </c>
      <c r="AC209">
        <f t="shared" si="33"/>
        <v>0</v>
      </c>
      <c r="AD209" s="12">
        <f t="shared" si="37"/>
        <v>1</v>
      </c>
      <c r="AE209" s="12">
        <f t="shared" si="38"/>
        <v>0</v>
      </c>
      <c r="AF209">
        <f t="shared" si="34"/>
        <v>1</v>
      </c>
      <c r="AG209">
        <f t="shared" si="39"/>
        <v>0</v>
      </c>
      <c r="AH209">
        <f t="shared" si="40"/>
        <v>0</v>
      </c>
      <c r="AI209">
        <f t="shared" si="41"/>
        <v>0</v>
      </c>
      <c r="AJ209">
        <f t="shared" si="42"/>
        <v>0</v>
      </c>
      <c r="AK209">
        <f t="shared" si="35"/>
        <v>0</v>
      </c>
      <c r="AL209">
        <f t="shared" si="43"/>
        <v>0</v>
      </c>
    </row>
    <row r="210" spans="1:38">
      <c r="A210" t="s">
        <v>757</v>
      </c>
      <c r="B210" t="s">
        <v>758</v>
      </c>
      <c r="C210" s="1">
        <f t="shared" si="36"/>
        <v>45323</v>
      </c>
      <c r="D210" t="s">
        <v>759</v>
      </c>
      <c r="E210">
        <v>221.4</v>
      </c>
      <c r="F210">
        <v>9.1999999999999993</v>
      </c>
      <c r="G210" t="s">
        <v>77</v>
      </c>
      <c r="H210" t="s">
        <v>187</v>
      </c>
      <c r="I210" t="s">
        <v>79</v>
      </c>
      <c r="J210">
        <v>360</v>
      </c>
      <c r="K210" t="s">
        <v>49</v>
      </c>
      <c r="L210" t="s">
        <v>70</v>
      </c>
      <c r="M210" t="s">
        <v>35</v>
      </c>
      <c r="N210" t="s">
        <v>114</v>
      </c>
      <c r="O210" t="s">
        <v>51</v>
      </c>
      <c r="P210" t="s">
        <v>39</v>
      </c>
      <c r="Q210" t="s">
        <v>38</v>
      </c>
      <c r="R210">
        <v>0</v>
      </c>
      <c r="S210" t="s">
        <v>38</v>
      </c>
      <c r="T210">
        <v>9</v>
      </c>
      <c r="U210">
        <v>1.7</v>
      </c>
      <c r="V210">
        <v>10.6</v>
      </c>
      <c r="W210" t="s">
        <v>38</v>
      </c>
      <c r="X210" t="s">
        <v>40</v>
      </c>
      <c r="Y210" t="s">
        <v>38</v>
      </c>
      <c r="Z210" t="s">
        <v>73</v>
      </c>
      <c r="AA210" t="s">
        <v>103</v>
      </c>
      <c r="AB210" t="s">
        <v>55</v>
      </c>
      <c r="AC210">
        <f t="shared" si="33"/>
        <v>0</v>
      </c>
      <c r="AD210" s="12">
        <f t="shared" si="37"/>
        <v>0</v>
      </c>
      <c r="AE210" s="12">
        <f t="shared" si="38"/>
        <v>0</v>
      </c>
      <c r="AF210">
        <f t="shared" si="34"/>
        <v>1</v>
      </c>
      <c r="AG210">
        <f t="shared" si="39"/>
        <v>0</v>
      </c>
      <c r="AH210">
        <f t="shared" si="40"/>
        <v>0</v>
      </c>
      <c r="AI210">
        <f t="shared" si="41"/>
        <v>0</v>
      </c>
      <c r="AJ210">
        <f t="shared" si="42"/>
        <v>0</v>
      </c>
      <c r="AK210">
        <f t="shared" si="35"/>
        <v>0</v>
      </c>
      <c r="AL210">
        <f t="shared" si="43"/>
        <v>1</v>
      </c>
    </row>
    <row r="211" spans="1:38">
      <c r="A211" t="s">
        <v>760</v>
      </c>
      <c r="B211" t="s">
        <v>761</v>
      </c>
      <c r="C211" s="1">
        <f t="shared" si="36"/>
        <v>45474</v>
      </c>
      <c r="D211" t="s">
        <v>762</v>
      </c>
      <c r="E211">
        <v>669.3</v>
      </c>
      <c r="F211">
        <v>27.9</v>
      </c>
      <c r="G211" t="s">
        <v>93</v>
      </c>
      <c r="H211" t="s">
        <v>94</v>
      </c>
      <c r="I211" t="s">
        <v>79</v>
      </c>
      <c r="J211">
        <v>360</v>
      </c>
      <c r="K211" t="s">
        <v>33</v>
      </c>
      <c r="L211" t="s">
        <v>96</v>
      </c>
      <c r="M211" t="s">
        <v>35</v>
      </c>
      <c r="N211" t="s">
        <v>61</v>
      </c>
      <c r="O211" t="s">
        <v>51</v>
      </c>
      <c r="P211" t="s">
        <v>38</v>
      </c>
      <c r="Q211" t="s">
        <v>38</v>
      </c>
      <c r="R211">
        <v>1</v>
      </c>
      <c r="S211" t="s">
        <v>38</v>
      </c>
      <c r="T211">
        <v>5</v>
      </c>
      <c r="U211">
        <v>2.5</v>
      </c>
      <c r="V211">
        <v>5.6</v>
      </c>
      <c r="W211" t="s">
        <v>39</v>
      </c>
      <c r="X211" t="s">
        <v>123</v>
      </c>
      <c r="Y211" t="s">
        <v>39</v>
      </c>
      <c r="Z211" t="s">
        <v>179</v>
      </c>
      <c r="AA211" t="s">
        <v>103</v>
      </c>
      <c r="AB211" t="s">
        <v>83</v>
      </c>
      <c r="AC211">
        <f t="shared" si="33"/>
        <v>0</v>
      </c>
      <c r="AD211" s="12">
        <f t="shared" si="37"/>
        <v>0</v>
      </c>
      <c r="AE211" s="12">
        <f t="shared" si="38"/>
        <v>1</v>
      </c>
      <c r="AF211">
        <f t="shared" si="34"/>
        <v>1</v>
      </c>
      <c r="AG211">
        <f t="shared" si="39"/>
        <v>0</v>
      </c>
      <c r="AH211">
        <f t="shared" si="40"/>
        <v>0</v>
      </c>
      <c r="AI211">
        <f t="shared" si="41"/>
        <v>0</v>
      </c>
      <c r="AJ211">
        <f t="shared" si="42"/>
        <v>0</v>
      </c>
      <c r="AK211">
        <f t="shared" si="35"/>
        <v>0</v>
      </c>
      <c r="AL211">
        <f t="shared" si="43"/>
        <v>0</v>
      </c>
    </row>
    <row r="212" spans="1:38">
      <c r="A212" t="s">
        <v>763</v>
      </c>
      <c r="B212" t="s">
        <v>764</v>
      </c>
      <c r="C212" s="1">
        <f t="shared" si="36"/>
        <v>45566</v>
      </c>
      <c r="D212" t="s">
        <v>765</v>
      </c>
      <c r="E212">
        <v>233.3</v>
      </c>
      <c r="F212">
        <v>9.6999999999999993</v>
      </c>
      <c r="G212" t="s">
        <v>68</v>
      </c>
      <c r="H212" t="s">
        <v>212</v>
      </c>
      <c r="I212" t="s">
        <v>79</v>
      </c>
      <c r="J212">
        <v>360</v>
      </c>
      <c r="K212" t="s">
        <v>49</v>
      </c>
      <c r="L212" t="s">
        <v>113</v>
      </c>
      <c r="M212" t="s">
        <v>35</v>
      </c>
      <c r="N212" t="s">
        <v>202</v>
      </c>
      <c r="O212" t="s">
        <v>7232</v>
      </c>
      <c r="P212" t="s">
        <v>38</v>
      </c>
      <c r="Q212" t="s">
        <v>38</v>
      </c>
      <c r="R212">
        <v>1</v>
      </c>
      <c r="S212" t="s">
        <v>38</v>
      </c>
      <c r="T212">
        <v>9</v>
      </c>
      <c r="U212">
        <v>2</v>
      </c>
      <c r="V212">
        <v>27.6</v>
      </c>
      <c r="W212" t="s">
        <v>39</v>
      </c>
      <c r="X212" t="s">
        <v>123</v>
      </c>
      <c r="Y212" t="s">
        <v>38</v>
      </c>
      <c r="Z212" t="s">
        <v>108</v>
      </c>
      <c r="AA212" t="s">
        <v>42</v>
      </c>
      <c r="AB212" t="s">
        <v>55</v>
      </c>
      <c r="AC212">
        <f t="shared" si="33"/>
        <v>0</v>
      </c>
      <c r="AD212" s="12">
        <f t="shared" si="37"/>
        <v>0</v>
      </c>
      <c r="AE212" s="12">
        <f t="shared" si="38"/>
        <v>1</v>
      </c>
      <c r="AF212">
        <f t="shared" si="34"/>
        <v>0</v>
      </c>
      <c r="AG212">
        <f t="shared" si="39"/>
        <v>1</v>
      </c>
      <c r="AH212">
        <f t="shared" si="40"/>
        <v>0</v>
      </c>
      <c r="AI212">
        <f t="shared" si="41"/>
        <v>0</v>
      </c>
      <c r="AJ212">
        <f t="shared" si="42"/>
        <v>0</v>
      </c>
      <c r="AK212">
        <f t="shared" si="35"/>
        <v>0</v>
      </c>
      <c r="AL212">
        <f t="shared" si="43"/>
        <v>1</v>
      </c>
    </row>
    <row r="213" spans="1:38">
      <c r="A213" t="s">
        <v>766</v>
      </c>
      <c r="B213" t="s">
        <v>767</v>
      </c>
      <c r="C213" s="1">
        <f t="shared" si="36"/>
        <v>45566</v>
      </c>
      <c r="D213" t="s">
        <v>768</v>
      </c>
      <c r="E213">
        <v>679.8</v>
      </c>
      <c r="F213">
        <v>28.3</v>
      </c>
      <c r="G213" t="s">
        <v>30</v>
      </c>
      <c r="H213" t="s">
        <v>47</v>
      </c>
      <c r="I213" t="s">
        <v>32</v>
      </c>
      <c r="J213">
        <v>240</v>
      </c>
      <c r="K213" t="s">
        <v>33</v>
      </c>
      <c r="L213" t="s">
        <v>96</v>
      </c>
      <c r="M213" t="s">
        <v>35</v>
      </c>
      <c r="N213" t="s">
        <v>277</v>
      </c>
      <c r="O213" t="s">
        <v>51</v>
      </c>
      <c r="P213" t="s">
        <v>38</v>
      </c>
      <c r="Q213" t="s">
        <v>38</v>
      </c>
      <c r="R213">
        <v>1</v>
      </c>
      <c r="S213" t="s">
        <v>38</v>
      </c>
      <c r="T213">
        <v>6</v>
      </c>
      <c r="U213">
        <v>1.3</v>
      </c>
      <c r="V213">
        <v>4.8</v>
      </c>
      <c r="W213" t="s">
        <v>39</v>
      </c>
      <c r="X213" t="s">
        <v>52</v>
      </c>
      <c r="Y213" t="s">
        <v>38</v>
      </c>
      <c r="Z213" t="s">
        <v>64</v>
      </c>
      <c r="AA213" t="s">
        <v>103</v>
      </c>
      <c r="AB213" t="s">
        <v>83</v>
      </c>
      <c r="AC213">
        <f t="shared" si="33"/>
        <v>1</v>
      </c>
      <c r="AD213" s="12">
        <f t="shared" si="37"/>
        <v>0</v>
      </c>
      <c r="AE213" s="12">
        <f t="shared" si="38"/>
        <v>0</v>
      </c>
      <c r="AF213">
        <f t="shared" si="34"/>
        <v>1</v>
      </c>
      <c r="AG213">
        <f t="shared" si="39"/>
        <v>0</v>
      </c>
      <c r="AH213">
        <f t="shared" si="40"/>
        <v>0</v>
      </c>
      <c r="AI213">
        <f t="shared" si="41"/>
        <v>0</v>
      </c>
      <c r="AJ213">
        <f t="shared" si="42"/>
        <v>1</v>
      </c>
      <c r="AK213">
        <f t="shared" si="35"/>
        <v>1</v>
      </c>
      <c r="AL213">
        <f t="shared" si="43"/>
        <v>1</v>
      </c>
    </row>
    <row r="214" spans="1:38">
      <c r="A214" t="s">
        <v>769</v>
      </c>
      <c r="B214" t="s">
        <v>770</v>
      </c>
      <c r="C214" s="1">
        <f t="shared" si="36"/>
        <v>45413</v>
      </c>
      <c r="D214" t="s">
        <v>771</v>
      </c>
      <c r="E214">
        <v>147.6</v>
      </c>
      <c r="F214">
        <v>6.1</v>
      </c>
      <c r="G214" t="s">
        <v>101</v>
      </c>
      <c r="H214" t="s">
        <v>295</v>
      </c>
      <c r="I214" t="s">
        <v>48</v>
      </c>
      <c r="J214">
        <v>120</v>
      </c>
      <c r="K214" t="s">
        <v>33</v>
      </c>
      <c r="L214" t="s">
        <v>96</v>
      </c>
      <c r="M214" t="s">
        <v>35</v>
      </c>
      <c r="N214" t="s">
        <v>114</v>
      </c>
      <c r="O214" t="s">
        <v>7232</v>
      </c>
      <c r="P214" t="s">
        <v>38</v>
      </c>
      <c r="Q214" t="s">
        <v>38</v>
      </c>
      <c r="R214">
        <v>1</v>
      </c>
      <c r="S214" t="s">
        <v>38</v>
      </c>
      <c r="T214">
        <v>8</v>
      </c>
      <c r="U214">
        <v>6</v>
      </c>
      <c r="V214">
        <v>8</v>
      </c>
      <c r="W214" t="s">
        <v>39</v>
      </c>
      <c r="X214" t="s">
        <v>40</v>
      </c>
      <c r="Y214" t="s">
        <v>39</v>
      </c>
      <c r="Z214" t="s">
        <v>41</v>
      </c>
      <c r="AA214" t="s">
        <v>109</v>
      </c>
      <c r="AB214" t="s">
        <v>55</v>
      </c>
      <c r="AC214">
        <f t="shared" si="33"/>
        <v>0</v>
      </c>
      <c r="AD214" s="12">
        <f t="shared" si="37"/>
        <v>0</v>
      </c>
      <c r="AE214" s="12">
        <f t="shared" si="38"/>
        <v>0</v>
      </c>
      <c r="AF214">
        <f t="shared" si="34"/>
        <v>0</v>
      </c>
      <c r="AG214">
        <f t="shared" si="39"/>
        <v>1</v>
      </c>
      <c r="AH214">
        <f t="shared" si="40"/>
        <v>1</v>
      </c>
      <c r="AI214">
        <f t="shared" si="41"/>
        <v>0</v>
      </c>
      <c r="AJ214">
        <f t="shared" si="42"/>
        <v>0</v>
      </c>
      <c r="AK214">
        <f t="shared" si="35"/>
        <v>0</v>
      </c>
      <c r="AL214">
        <f t="shared" si="43"/>
        <v>0</v>
      </c>
    </row>
    <row r="215" spans="1:38">
      <c r="A215" t="s">
        <v>772</v>
      </c>
      <c r="B215" t="s">
        <v>773</v>
      </c>
      <c r="C215" s="1">
        <f t="shared" si="36"/>
        <v>45413</v>
      </c>
      <c r="D215" t="s">
        <v>774</v>
      </c>
      <c r="E215">
        <v>341</v>
      </c>
      <c r="F215">
        <v>14.2</v>
      </c>
      <c r="G215" t="s">
        <v>142</v>
      </c>
      <c r="H215" t="s">
        <v>729</v>
      </c>
      <c r="I215" t="s">
        <v>79</v>
      </c>
      <c r="J215">
        <v>360</v>
      </c>
      <c r="K215" t="s">
        <v>49</v>
      </c>
      <c r="L215" t="s">
        <v>133</v>
      </c>
      <c r="M215" t="s">
        <v>71</v>
      </c>
      <c r="N215" t="s">
        <v>299</v>
      </c>
      <c r="O215" t="s">
        <v>51</v>
      </c>
      <c r="P215" t="s">
        <v>38</v>
      </c>
      <c r="Q215" t="s">
        <v>39</v>
      </c>
      <c r="R215">
        <v>2</v>
      </c>
      <c r="S215" t="s">
        <v>38</v>
      </c>
      <c r="T215">
        <v>5</v>
      </c>
      <c r="U215">
        <v>3.4</v>
      </c>
      <c r="V215">
        <v>1.4</v>
      </c>
      <c r="W215" t="s">
        <v>39</v>
      </c>
      <c r="X215" t="s">
        <v>123</v>
      </c>
      <c r="Y215" t="s">
        <v>38</v>
      </c>
      <c r="Z215" t="s">
        <v>53</v>
      </c>
      <c r="AA215" t="s">
        <v>42</v>
      </c>
      <c r="AB215" t="s">
        <v>55</v>
      </c>
      <c r="AC215">
        <f t="shared" si="33"/>
        <v>0</v>
      </c>
      <c r="AD215" s="12">
        <f t="shared" si="37"/>
        <v>0</v>
      </c>
      <c r="AE215" s="12">
        <f t="shared" si="38"/>
        <v>1</v>
      </c>
      <c r="AF215">
        <f t="shared" si="34"/>
        <v>1</v>
      </c>
      <c r="AG215">
        <f t="shared" si="39"/>
        <v>0</v>
      </c>
      <c r="AH215">
        <f t="shared" si="40"/>
        <v>0</v>
      </c>
      <c r="AI215">
        <f t="shared" si="41"/>
        <v>0</v>
      </c>
      <c r="AJ215">
        <f t="shared" si="42"/>
        <v>0</v>
      </c>
      <c r="AK215">
        <f t="shared" si="35"/>
        <v>0</v>
      </c>
      <c r="AL215">
        <f t="shared" si="43"/>
        <v>1</v>
      </c>
    </row>
    <row r="216" spans="1:38">
      <c r="A216" t="s">
        <v>775</v>
      </c>
      <c r="B216" t="s">
        <v>776</v>
      </c>
      <c r="C216" s="1">
        <f t="shared" si="36"/>
        <v>45383</v>
      </c>
      <c r="D216" t="s">
        <v>777</v>
      </c>
      <c r="E216">
        <v>357</v>
      </c>
      <c r="F216">
        <v>14.9</v>
      </c>
      <c r="G216" t="s">
        <v>87</v>
      </c>
      <c r="H216" t="s">
        <v>309</v>
      </c>
      <c r="I216" t="s">
        <v>48</v>
      </c>
      <c r="J216">
        <v>120</v>
      </c>
      <c r="K216" t="s">
        <v>33</v>
      </c>
      <c r="L216" t="s">
        <v>70</v>
      </c>
      <c r="M216" t="s">
        <v>71</v>
      </c>
      <c r="N216" t="s">
        <v>80</v>
      </c>
      <c r="O216" t="s">
        <v>7232</v>
      </c>
      <c r="P216" t="s">
        <v>38</v>
      </c>
      <c r="Q216" t="s">
        <v>39</v>
      </c>
      <c r="R216">
        <v>3</v>
      </c>
      <c r="S216" t="s">
        <v>38</v>
      </c>
      <c r="T216">
        <v>7</v>
      </c>
      <c r="U216">
        <v>3.4</v>
      </c>
      <c r="V216">
        <v>22.1</v>
      </c>
      <c r="W216" t="s">
        <v>39</v>
      </c>
      <c r="X216" t="s">
        <v>63</v>
      </c>
      <c r="Y216" t="s">
        <v>38</v>
      </c>
      <c r="Z216" t="s">
        <v>108</v>
      </c>
      <c r="AA216" t="s">
        <v>42</v>
      </c>
      <c r="AB216" t="s">
        <v>55</v>
      </c>
      <c r="AC216">
        <f t="shared" si="33"/>
        <v>0</v>
      </c>
      <c r="AD216" s="12">
        <f t="shared" si="37"/>
        <v>1</v>
      </c>
      <c r="AE216" s="12">
        <f t="shared" si="38"/>
        <v>0</v>
      </c>
      <c r="AF216">
        <f t="shared" si="34"/>
        <v>0</v>
      </c>
      <c r="AG216">
        <f t="shared" si="39"/>
        <v>1</v>
      </c>
      <c r="AH216">
        <f t="shared" si="40"/>
        <v>1</v>
      </c>
      <c r="AI216">
        <f t="shared" si="41"/>
        <v>0</v>
      </c>
      <c r="AJ216">
        <f t="shared" si="42"/>
        <v>0</v>
      </c>
      <c r="AK216">
        <f t="shared" si="35"/>
        <v>0</v>
      </c>
      <c r="AL216">
        <f t="shared" si="43"/>
        <v>1</v>
      </c>
    </row>
    <row r="217" spans="1:38">
      <c r="A217" t="s">
        <v>778</v>
      </c>
      <c r="B217" t="s">
        <v>779</v>
      </c>
      <c r="C217" s="1">
        <f t="shared" si="36"/>
        <v>45352</v>
      </c>
      <c r="D217" t="s">
        <v>780</v>
      </c>
      <c r="E217">
        <v>329.5</v>
      </c>
      <c r="F217">
        <v>13.7</v>
      </c>
      <c r="G217" t="s">
        <v>77</v>
      </c>
      <c r="H217" t="s">
        <v>78</v>
      </c>
      <c r="I217" t="s">
        <v>32</v>
      </c>
      <c r="J217">
        <v>240</v>
      </c>
      <c r="K217" t="s">
        <v>33</v>
      </c>
      <c r="L217" t="s">
        <v>96</v>
      </c>
      <c r="M217" t="s">
        <v>35</v>
      </c>
      <c r="N217" t="s">
        <v>61</v>
      </c>
      <c r="O217" t="s">
        <v>7232</v>
      </c>
      <c r="P217" t="s">
        <v>39</v>
      </c>
      <c r="Q217" t="s">
        <v>38</v>
      </c>
      <c r="R217">
        <v>0</v>
      </c>
      <c r="S217" t="s">
        <v>39</v>
      </c>
      <c r="T217">
        <v>6</v>
      </c>
      <c r="U217">
        <v>3.5</v>
      </c>
      <c r="V217">
        <v>16.3</v>
      </c>
      <c r="W217" t="s">
        <v>39</v>
      </c>
      <c r="X217" t="s">
        <v>40</v>
      </c>
      <c r="Y217" t="s">
        <v>39</v>
      </c>
      <c r="Z217" t="s">
        <v>73</v>
      </c>
      <c r="AA217" t="s">
        <v>109</v>
      </c>
      <c r="AB217" t="s">
        <v>43</v>
      </c>
      <c r="AC217">
        <f t="shared" si="33"/>
        <v>0</v>
      </c>
      <c r="AD217" s="12">
        <f t="shared" si="37"/>
        <v>0</v>
      </c>
      <c r="AE217" s="12">
        <f t="shared" si="38"/>
        <v>0</v>
      </c>
      <c r="AF217">
        <f t="shared" si="34"/>
        <v>0</v>
      </c>
      <c r="AG217">
        <f t="shared" si="39"/>
        <v>1</v>
      </c>
      <c r="AH217">
        <f t="shared" si="40"/>
        <v>0</v>
      </c>
      <c r="AI217">
        <f t="shared" si="41"/>
        <v>0</v>
      </c>
      <c r="AJ217">
        <f t="shared" si="42"/>
        <v>1</v>
      </c>
      <c r="AK217">
        <f t="shared" si="35"/>
        <v>0</v>
      </c>
      <c r="AL217">
        <f t="shared" si="43"/>
        <v>0</v>
      </c>
    </row>
    <row r="218" spans="1:38">
      <c r="A218" t="s">
        <v>781</v>
      </c>
      <c r="B218" t="s">
        <v>782</v>
      </c>
      <c r="C218" s="1">
        <f t="shared" si="36"/>
        <v>45413</v>
      </c>
      <c r="D218" t="s">
        <v>783</v>
      </c>
      <c r="E218">
        <v>159.5</v>
      </c>
      <c r="F218">
        <v>6.6</v>
      </c>
      <c r="G218" t="s">
        <v>101</v>
      </c>
      <c r="H218" t="s">
        <v>442</v>
      </c>
      <c r="I218" t="s">
        <v>32</v>
      </c>
      <c r="J218">
        <v>240</v>
      </c>
      <c r="K218" t="s">
        <v>49</v>
      </c>
      <c r="L218" t="s">
        <v>113</v>
      </c>
      <c r="M218" t="s">
        <v>35</v>
      </c>
      <c r="N218" t="s">
        <v>89</v>
      </c>
      <c r="O218" t="s">
        <v>37</v>
      </c>
      <c r="P218" t="s">
        <v>38</v>
      </c>
      <c r="Q218" t="s">
        <v>38</v>
      </c>
      <c r="R218">
        <v>1</v>
      </c>
      <c r="S218" t="s">
        <v>38</v>
      </c>
      <c r="T218">
        <v>7</v>
      </c>
      <c r="U218">
        <v>4</v>
      </c>
      <c r="V218">
        <v>31.7</v>
      </c>
      <c r="W218" t="s">
        <v>39</v>
      </c>
      <c r="X218" t="s">
        <v>123</v>
      </c>
      <c r="Y218" t="s">
        <v>39</v>
      </c>
      <c r="Z218" t="s">
        <v>179</v>
      </c>
      <c r="AA218" t="s">
        <v>42</v>
      </c>
      <c r="AB218" t="s">
        <v>55</v>
      </c>
      <c r="AC218">
        <f t="shared" si="33"/>
        <v>0</v>
      </c>
      <c r="AD218" s="12">
        <f t="shared" si="37"/>
        <v>0</v>
      </c>
      <c r="AE218" s="12">
        <f t="shared" si="38"/>
        <v>1</v>
      </c>
      <c r="AF218">
        <f t="shared" si="34"/>
        <v>0</v>
      </c>
      <c r="AG218">
        <f t="shared" si="39"/>
        <v>0</v>
      </c>
      <c r="AH218">
        <f t="shared" si="40"/>
        <v>0</v>
      </c>
      <c r="AI218">
        <f t="shared" si="41"/>
        <v>0</v>
      </c>
      <c r="AJ218">
        <f t="shared" si="42"/>
        <v>1</v>
      </c>
      <c r="AK218">
        <f t="shared" si="35"/>
        <v>0</v>
      </c>
      <c r="AL218">
        <f t="shared" si="43"/>
        <v>0</v>
      </c>
    </row>
    <row r="219" spans="1:38">
      <c r="A219" t="s">
        <v>784</v>
      </c>
      <c r="B219" t="s">
        <v>785</v>
      </c>
      <c r="C219" s="1">
        <f t="shared" si="36"/>
        <v>45474</v>
      </c>
      <c r="D219" t="s">
        <v>786</v>
      </c>
      <c r="E219">
        <v>244.6</v>
      </c>
      <c r="F219">
        <v>10.199999999999999</v>
      </c>
      <c r="G219" t="s">
        <v>30</v>
      </c>
      <c r="H219" t="s">
        <v>31</v>
      </c>
      <c r="I219" t="s">
        <v>32</v>
      </c>
      <c r="J219">
        <v>240</v>
      </c>
      <c r="K219" t="s">
        <v>33</v>
      </c>
      <c r="L219" t="s">
        <v>34</v>
      </c>
      <c r="M219" t="s">
        <v>35</v>
      </c>
      <c r="N219" t="s">
        <v>72</v>
      </c>
      <c r="O219" t="s">
        <v>51</v>
      </c>
      <c r="P219" t="s">
        <v>38</v>
      </c>
      <c r="Q219" t="s">
        <v>38</v>
      </c>
      <c r="R219">
        <v>1</v>
      </c>
      <c r="S219" t="s">
        <v>38</v>
      </c>
      <c r="T219">
        <v>5</v>
      </c>
      <c r="U219">
        <v>4.0999999999999996</v>
      </c>
      <c r="V219">
        <v>2.7</v>
      </c>
      <c r="W219" t="s">
        <v>39</v>
      </c>
      <c r="X219" t="s">
        <v>40</v>
      </c>
      <c r="Y219" t="s">
        <v>39</v>
      </c>
      <c r="Z219" t="s">
        <v>53</v>
      </c>
      <c r="AA219" t="s">
        <v>109</v>
      </c>
      <c r="AB219" t="s">
        <v>83</v>
      </c>
      <c r="AC219">
        <f t="shared" si="33"/>
        <v>0</v>
      </c>
      <c r="AD219" s="12">
        <f t="shared" si="37"/>
        <v>0</v>
      </c>
      <c r="AE219" s="12">
        <f t="shared" si="38"/>
        <v>0</v>
      </c>
      <c r="AF219">
        <f t="shared" si="34"/>
        <v>1</v>
      </c>
      <c r="AG219">
        <f t="shared" si="39"/>
        <v>0</v>
      </c>
      <c r="AH219">
        <f t="shared" si="40"/>
        <v>0</v>
      </c>
      <c r="AI219">
        <f t="shared" si="41"/>
        <v>0</v>
      </c>
      <c r="AJ219">
        <f t="shared" si="42"/>
        <v>1</v>
      </c>
      <c r="AK219">
        <f t="shared" si="35"/>
        <v>1</v>
      </c>
      <c r="AL219">
        <f t="shared" si="43"/>
        <v>0</v>
      </c>
    </row>
    <row r="220" spans="1:38">
      <c r="A220" t="s">
        <v>787</v>
      </c>
      <c r="B220" t="s">
        <v>788</v>
      </c>
      <c r="C220" s="1">
        <f t="shared" si="36"/>
        <v>45536</v>
      </c>
      <c r="D220" t="s">
        <v>789</v>
      </c>
      <c r="E220">
        <v>81</v>
      </c>
      <c r="F220">
        <v>3.4</v>
      </c>
      <c r="G220" t="s">
        <v>59</v>
      </c>
      <c r="H220" t="s">
        <v>132</v>
      </c>
      <c r="I220" t="s">
        <v>48</v>
      </c>
      <c r="J220">
        <v>120</v>
      </c>
      <c r="K220" t="s">
        <v>49</v>
      </c>
      <c r="L220" t="s">
        <v>113</v>
      </c>
      <c r="M220" t="s">
        <v>71</v>
      </c>
      <c r="N220" t="s">
        <v>134</v>
      </c>
      <c r="O220" t="s">
        <v>51</v>
      </c>
      <c r="P220" t="s">
        <v>38</v>
      </c>
      <c r="Q220" t="s">
        <v>39</v>
      </c>
      <c r="R220">
        <v>2</v>
      </c>
      <c r="S220" t="s">
        <v>38</v>
      </c>
      <c r="T220">
        <v>8</v>
      </c>
      <c r="U220">
        <v>4</v>
      </c>
      <c r="V220">
        <v>27.8</v>
      </c>
      <c r="W220" t="s">
        <v>38</v>
      </c>
      <c r="X220" t="s">
        <v>52</v>
      </c>
      <c r="Y220" t="s">
        <v>39</v>
      </c>
      <c r="Z220" t="s">
        <v>53</v>
      </c>
      <c r="AA220" t="s">
        <v>103</v>
      </c>
      <c r="AB220" t="s">
        <v>83</v>
      </c>
      <c r="AC220">
        <f t="shared" si="33"/>
        <v>1</v>
      </c>
      <c r="AD220" s="12">
        <f t="shared" si="37"/>
        <v>0</v>
      </c>
      <c r="AE220" s="12">
        <f t="shared" si="38"/>
        <v>0</v>
      </c>
      <c r="AF220">
        <f t="shared" si="34"/>
        <v>1</v>
      </c>
      <c r="AG220">
        <f t="shared" si="39"/>
        <v>0</v>
      </c>
      <c r="AH220">
        <f t="shared" si="40"/>
        <v>1</v>
      </c>
      <c r="AI220">
        <f t="shared" si="41"/>
        <v>0</v>
      </c>
      <c r="AJ220">
        <f t="shared" si="42"/>
        <v>0</v>
      </c>
      <c r="AK220">
        <f t="shared" si="35"/>
        <v>0</v>
      </c>
      <c r="AL220">
        <f t="shared" si="43"/>
        <v>0</v>
      </c>
    </row>
    <row r="221" spans="1:38">
      <c r="A221" t="s">
        <v>790</v>
      </c>
      <c r="B221" t="s">
        <v>791</v>
      </c>
      <c r="C221" s="1">
        <f t="shared" si="36"/>
        <v>45352</v>
      </c>
      <c r="D221" t="s">
        <v>792</v>
      </c>
      <c r="E221">
        <v>158</v>
      </c>
      <c r="F221">
        <v>6.6</v>
      </c>
      <c r="G221" t="s">
        <v>30</v>
      </c>
      <c r="H221" t="s">
        <v>172</v>
      </c>
      <c r="I221" t="s">
        <v>32</v>
      </c>
      <c r="J221">
        <v>240</v>
      </c>
      <c r="K221" t="s">
        <v>49</v>
      </c>
      <c r="L221" t="s">
        <v>34</v>
      </c>
      <c r="M221" t="s">
        <v>35</v>
      </c>
      <c r="N221" t="s">
        <v>168</v>
      </c>
      <c r="O221" t="s">
        <v>7232</v>
      </c>
      <c r="P221" t="s">
        <v>38</v>
      </c>
      <c r="Q221" t="s">
        <v>38</v>
      </c>
      <c r="R221">
        <v>1</v>
      </c>
      <c r="S221" t="s">
        <v>38</v>
      </c>
      <c r="T221">
        <v>10</v>
      </c>
      <c r="U221">
        <v>1.8</v>
      </c>
      <c r="V221">
        <v>34.799999999999997</v>
      </c>
      <c r="W221" t="s">
        <v>38</v>
      </c>
      <c r="X221" t="s">
        <v>52</v>
      </c>
      <c r="Y221" t="s">
        <v>39</v>
      </c>
      <c r="Z221" t="s">
        <v>73</v>
      </c>
      <c r="AA221" t="s">
        <v>109</v>
      </c>
      <c r="AB221" t="s">
        <v>55</v>
      </c>
      <c r="AC221">
        <f t="shared" si="33"/>
        <v>1</v>
      </c>
      <c r="AD221" s="12">
        <f t="shared" si="37"/>
        <v>0</v>
      </c>
      <c r="AE221" s="12">
        <f t="shared" si="38"/>
        <v>0</v>
      </c>
      <c r="AF221">
        <f t="shared" si="34"/>
        <v>0</v>
      </c>
      <c r="AG221">
        <f t="shared" si="39"/>
        <v>1</v>
      </c>
      <c r="AH221">
        <f t="shared" si="40"/>
        <v>0</v>
      </c>
      <c r="AI221">
        <f t="shared" si="41"/>
        <v>0</v>
      </c>
      <c r="AJ221">
        <f t="shared" si="42"/>
        <v>1</v>
      </c>
      <c r="AK221">
        <f t="shared" si="35"/>
        <v>1</v>
      </c>
      <c r="AL221">
        <f t="shared" si="43"/>
        <v>0</v>
      </c>
    </row>
    <row r="222" spans="1:38">
      <c r="A222" t="s">
        <v>793</v>
      </c>
      <c r="B222" t="s">
        <v>794</v>
      </c>
      <c r="C222" s="1">
        <f t="shared" si="36"/>
        <v>45505</v>
      </c>
      <c r="D222" t="s">
        <v>795</v>
      </c>
      <c r="E222">
        <v>336.8</v>
      </c>
      <c r="F222">
        <v>14</v>
      </c>
      <c r="G222" t="s">
        <v>87</v>
      </c>
      <c r="H222" t="s">
        <v>183</v>
      </c>
      <c r="I222" t="s">
        <v>79</v>
      </c>
      <c r="J222">
        <v>360</v>
      </c>
      <c r="K222" t="s">
        <v>49</v>
      </c>
      <c r="L222" t="s">
        <v>96</v>
      </c>
      <c r="M222" t="s">
        <v>71</v>
      </c>
      <c r="N222" t="s">
        <v>168</v>
      </c>
      <c r="O222" t="s">
        <v>37</v>
      </c>
      <c r="P222" t="s">
        <v>38</v>
      </c>
      <c r="Q222" t="s">
        <v>39</v>
      </c>
      <c r="R222">
        <v>3</v>
      </c>
      <c r="S222" t="s">
        <v>39</v>
      </c>
      <c r="T222">
        <v>8</v>
      </c>
      <c r="U222">
        <v>5.3</v>
      </c>
      <c r="V222">
        <v>26.5</v>
      </c>
      <c r="W222" t="s">
        <v>39</v>
      </c>
      <c r="X222" t="s">
        <v>63</v>
      </c>
      <c r="Y222" t="s">
        <v>38</v>
      </c>
      <c r="Z222" t="s">
        <v>81</v>
      </c>
      <c r="AA222" t="s">
        <v>54</v>
      </c>
      <c r="AB222" t="s">
        <v>83</v>
      </c>
      <c r="AC222">
        <f t="shared" si="33"/>
        <v>0</v>
      </c>
      <c r="AD222" s="12">
        <f t="shared" si="37"/>
        <v>1</v>
      </c>
      <c r="AE222" s="12">
        <f t="shared" si="38"/>
        <v>0</v>
      </c>
      <c r="AF222">
        <f t="shared" si="34"/>
        <v>0</v>
      </c>
      <c r="AG222">
        <f t="shared" si="39"/>
        <v>0</v>
      </c>
      <c r="AH222">
        <f t="shared" si="40"/>
        <v>0</v>
      </c>
      <c r="AI222">
        <f t="shared" si="41"/>
        <v>0</v>
      </c>
      <c r="AJ222">
        <f t="shared" si="42"/>
        <v>0</v>
      </c>
      <c r="AK222">
        <f t="shared" si="35"/>
        <v>0</v>
      </c>
      <c r="AL222">
        <f t="shared" si="43"/>
        <v>1</v>
      </c>
    </row>
    <row r="223" spans="1:38">
      <c r="A223" t="s">
        <v>796</v>
      </c>
      <c r="B223" t="s">
        <v>797</v>
      </c>
      <c r="C223" s="1">
        <f t="shared" si="36"/>
        <v>45444</v>
      </c>
      <c r="D223" t="s">
        <v>798</v>
      </c>
      <c r="E223">
        <v>196.3</v>
      </c>
      <c r="F223">
        <v>8.1999999999999993</v>
      </c>
      <c r="G223" t="s">
        <v>30</v>
      </c>
      <c r="H223" t="s">
        <v>31</v>
      </c>
      <c r="I223" t="s">
        <v>32</v>
      </c>
      <c r="J223">
        <v>240</v>
      </c>
      <c r="K223" t="s">
        <v>49</v>
      </c>
      <c r="L223" t="s">
        <v>96</v>
      </c>
      <c r="M223" t="s">
        <v>35</v>
      </c>
      <c r="N223" t="s">
        <v>134</v>
      </c>
      <c r="O223" t="s">
        <v>51</v>
      </c>
      <c r="P223" t="s">
        <v>38</v>
      </c>
      <c r="Q223" t="s">
        <v>38</v>
      </c>
      <c r="R223">
        <v>1</v>
      </c>
      <c r="S223" t="s">
        <v>38</v>
      </c>
      <c r="T223">
        <v>6</v>
      </c>
      <c r="U223">
        <v>5.8</v>
      </c>
      <c r="V223">
        <v>15.5</v>
      </c>
      <c r="W223" t="s">
        <v>39</v>
      </c>
      <c r="X223" t="s">
        <v>52</v>
      </c>
      <c r="Y223" t="s">
        <v>39</v>
      </c>
      <c r="Z223" t="s">
        <v>81</v>
      </c>
      <c r="AA223" t="s">
        <v>82</v>
      </c>
      <c r="AB223" t="s">
        <v>83</v>
      </c>
      <c r="AC223">
        <f t="shared" si="33"/>
        <v>1</v>
      </c>
      <c r="AD223" s="12">
        <f t="shared" si="37"/>
        <v>0</v>
      </c>
      <c r="AE223" s="12">
        <f t="shared" si="38"/>
        <v>0</v>
      </c>
      <c r="AF223">
        <f t="shared" si="34"/>
        <v>1</v>
      </c>
      <c r="AG223">
        <f t="shared" si="39"/>
        <v>0</v>
      </c>
      <c r="AH223">
        <f t="shared" si="40"/>
        <v>0</v>
      </c>
      <c r="AI223">
        <f t="shared" si="41"/>
        <v>0</v>
      </c>
      <c r="AJ223">
        <f t="shared" si="42"/>
        <v>1</v>
      </c>
      <c r="AK223">
        <f t="shared" si="35"/>
        <v>1</v>
      </c>
      <c r="AL223">
        <f t="shared" si="43"/>
        <v>0</v>
      </c>
    </row>
    <row r="224" spans="1:38">
      <c r="A224" t="s">
        <v>799</v>
      </c>
      <c r="B224" t="s">
        <v>800</v>
      </c>
      <c r="C224" s="1">
        <f t="shared" si="36"/>
        <v>45566</v>
      </c>
      <c r="D224" t="s">
        <v>801</v>
      </c>
      <c r="E224">
        <v>335.4</v>
      </c>
      <c r="F224">
        <v>14</v>
      </c>
      <c r="G224" t="s">
        <v>30</v>
      </c>
      <c r="H224" t="s">
        <v>159</v>
      </c>
      <c r="I224" t="s">
        <v>79</v>
      </c>
      <c r="J224">
        <v>360</v>
      </c>
      <c r="K224" t="s">
        <v>49</v>
      </c>
      <c r="L224" t="s">
        <v>96</v>
      </c>
      <c r="M224" t="s">
        <v>71</v>
      </c>
      <c r="N224" t="s">
        <v>128</v>
      </c>
      <c r="O224" t="s">
        <v>51</v>
      </c>
      <c r="P224" t="s">
        <v>38</v>
      </c>
      <c r="Q224" t="s">
        <v>39</v>
      </c>
      <c r="R224">
        <v>4</v>
      </c>
      <c r="S224" t="s">
        <v>38</v>
      </c>
      <c r="T224">
        <v>7</v>
      </c>
      <c r="U224">
        <v>0.4</v>
      </c>
      <c r="V224">
        <v>19.100000000000001</v>
      </c>
      <c r="W224" t="s">
        <v>39</v>
      </c>
      <c r="X224" t="s">
        <v>52</v>
      </c>
      <c r="Y224" t="s">
        <v>39</v>
      </c>
      <c r="Z224" t="s">
        <v>64</v>
      </c>
      <c r="AA224" t="s">
        <v>109</v>
      </c>
      <c r="AB224" t="s">
        <v>55</v>
      </c>
      <c r="AC224">
        <f t="shared" si="33"/>
        <v>1</v>
      </c>
      <c r="AD224" s="12">
        <f t="shared" si="37"/>
        <v>0</v>
      </c>
      <c r="AE224" s="12">
        <f t="shared" si="38"/>
        <v>0</v>
      </c>
      <c r="AF224">
        <f t="shared" si="34"/>
        <v>1</v>
      </c>
      <c r="AG224">
        <f t="shared" si="39"/>
        <v>0</v>
      </c>
      <c r="AH224">
        <f t="shared" si="40"/>
        <v>0</v>
      </c>
      <c r="AI224">
        <f t="shared" si="41"/>
        <v>0</v>
      </c>
      <c r="AJ224">
        <f t="shared" si="42"/>
        <v>0</v>
      </c>
      <c r="AK224">
        <f t="shared" si="35"/>
        <v>1</v>
      </c>
      <c r="AL224">
        <f t="shared" si="43"/>
        <v>0</v>
      </c>
    </row>
    <row r="225" spans="1:38">
      <c r="A225" t="s">
        <v>802</v>
      </c>
      <c r="B225" t="s">
        <v>803</v>
      </c>
      <c r="C225" s="1">
        <f t="shared" si="36"/>
        <v>45566</v>
      </c>
      <c r="D225" t="s">
        <v>804</v>
      </c>
      <c r="E225">
        <v>168.8</v>
      </c>
      <c r="F225">
        <v>7</v>
      </c>
      <c r="G225" t="s">
        <v>101</v>
      </c>
      <c r="H225" t="s">
        <v>295</v>
      </c>
      <c r="I225" t="s">
        <v>48</v>
      </c>
      <c r="J225">
        <v>120</v>
      </c>
      <c r="K225" t="s">
        <v>33</v>
      </c>
      <c r="L225" t="s">
        <v>96</v>
      </c>
      <c r="M225" t="s">
        <v>35</v>
      </c>
      <c r="N225" t="s">
        <v>61</v>
      </c>
      <c r="O225" t="s">
        <v>51</v>
      </c>
      <c r="P225" t="s">
        <v>38</v>
      </c>
      <c r="Q225" t="s">
        <v>38</v>
      </c>
      <c r="R225">
        <v>1</v>
      </c>
      <c r="S225" t="s">
        <v>38</v>
      </c>
      <c r="T225">
        <v>7</v>
      </c>
      <c r="U225">
        <v>3.3</v>
      </c>
      <c r="V225">
        <v>7.8</v>
      </c>
      <c r="W225" t="s">
        <v>39</v>
      </c>
      <c r="X225" t="s">
        <v>123</v>
      </c>
      <c r="Y225" t="s">
        <v>39</v>
      </c>
      <c r="Z225" t="s">
        <v>53</v>
      </c>
      <c r="AA225" t="s">
        <v>109</v>
      </c>
      <c r="AB225" t="s">
        <v>55</v>
      </c>
      <c r="AC225">
        <f t="shared" si="33"/>
        <v>0</v>
      </c>
      <c r="AD225" s="12">
        <f t="shared" si="37"/>
        <v>0</v>
      </c>
      <c r="AE225" s="12">
        <f t="shared" si="38"/>
        <v>1</v>
      </c>
      <c r="AF225">
        <f t="shared" si="34"/>
        <v>1</v>
      </c>
      <c r="AG225">
        <f t="shared" si="39"/>
        <v>0</v>
      </c>
      <c r="AH225">
        <f t="shared" si="40"/>
        <v>1</v>
      </c>
      <c r="AI225">
        <f t="shared" si="41"/>
        <v>0</v>
      </c>
      <c r="AJ225">
        <f t="shared" si="42"/>
        <v>0</v>
      </c>
      <c r="AK225">
        <f t="shared" si="35"/>
        <v>0</v>
      </c>
      <c r="AL225">
        <f t="shared" si="43"/>
        <v>0</v>
      </c>
    </row>
    <row r="226" spans="1:38">
      <c r="A226" t="s">
        <v>805</v>
      </c>
      <c r="B226" t="s">
        <v>806</v>
      </c>
      <c r="C226" s="1">
        <f t="shared" si="36"/>
        <v>45627</v>
      </c>
      <c r="D226" t="s">
        <v>807</v>
      </c>
      <c r="E226">
        <v>102.7</v>
      </c>
      <c r="F226">
        <v>4.3</v>
      </c>
      <c r="G226" t="s">
        <v>30</v>
      </c>
      <c r="H226" t="s">
        <v>31</v>
      </c>
      <c r="I226" t="s">
        <v>48</v>
      </c>
      <c r="J226">
        <v>120</v>
      </c>
      <c r="K226" t="s">
        <v>49</v>
      </c>
      <c r="L226" t="s">
        <v>96</v>
      </c>
      <c r="M226" t="s">
        <v>35</v>
      </c>
      <c r="N226" t="s">
        <v>202</v>
      </c>
      <c r="O226" t="s">
        <v>7232</v>
      </c>
      <c r="P226" t="s">
        <v>38</v>
      </c>
      <c r="Q226" t="s">
        <v>38</v>
      </c>
      <c r="R226">
        <v>1</v>
      </c>
      <c r="S226" t="s">
        <v>38</v>
      </c>
      <c r="T226">
        <v>9</v>
      </c>
      <c r="U226">
        <v>1.2</v>
      </c>
      <c r="V226">
        <v>32.9</v>
      </c>
      <c r="W226" t="s">
        <v>39</v>
      </c>
      <c r="X226" t="s">
        <v>63</v>
      </c>
      <c r="Y226" t="s">
        <v>38</v>
      </c>
      <c r="Z226" t="s">
        <v>73</v>
      </c>
      <c r="AA226" t="s">
        <v>103</v>
      </c>
      <c r="AB226" t="s">
        <v>83</v>
      </c>
      <c r="AC226">
        <f t="shared" si="33"/>
        <v>0</v>
      </c>
      <c r="AD226" s="12">
        <f t="shared" si="37"/>
        <v>1</v>
      </c>
      <c r="AE226" s="12">
        <f t="shared" si="38"/>
        <v>0</v>
      </c>
      <c r="AF226">
        <f t="shared" si="34"/>
        <v>0</v>
      </c>
      <c r="AG226">
        <f t="shared" si="39"/>
        <v>1</v>
      </c>
      <c r="AH226">
        <f t="shared" si="40"/>
        <v>1</v>
      </c>
      <c r="AI226">
        <f t="shared" si="41"/>
        <v>0</v>
      </c>
      <c r="AJ226">
        <f t="shared" si="42"/>
        <v>0</v>
      </c>
      <c r="AK226">
        <f t="shared" si="35"/>
        <v>1</v>
      </c>
      <c r="AL226">
        <f t="shared" si="43"/>
        <v>1</v>
      </c>
    </row>
    <row r="227" spans="1:38">
      <c r="A227" t="s">
        <v>808</v>
      </c>
      <c r="B227" t="s">
        <v>809</v>
      </c>
      <c r="C227" s="1">
        <f t="shared" si="36"/>
        <v>45474</v>
      </c>
      <c r="D227" t="s">
        <v>810</v>
      </c>
      <c r="E227">
        <v>834.7</v>
      </c>
      <c r="F227">
        <v>34.799999999999997</v>
      </c>
      <c r="G227" t="s">
        <v>77</v>
      </c>
      <c r="H227" t="s">
        <v>187</v>
      </c>
      <c r="I227" t="s">
        <v>79</v>
      </c>
      <c r="J227">
        <v>360</v>
      </c>
      <c r="K227" t="s">
        <v>33</v>
      </c>
      <c r="L227" t="s">
        <v>113</v>
      </c>
      <c r="M227" t="s">
        <v>35</v>
      </c>
      <c r="N227" t="s">
        <v>61</v>
      </c>
      <c r="O227" t="s">
        <v>51</v>
      </c>
      <c r="P227" t="s">
        <v>39</v>
      </c>
      <c r="Q227" t="s">
        <v>38</v>
      </c>
      <c r="R227">
        <v>0</v>
      </c>
      <c r="S227" t="s">
        <v>38</v>
      </c>
      <c r="T227">
        <v>9</v>
      </c>
      <c r="U227">
        <v>4.2</v>
      </c>
      <c r="V227">
        <v>26.2</v>
      </c>
      <c r="W227" t="s">
        <v>38</v>
      </c>
      <c r="X227" t="s">
        <v>52</v>
      </c>
      <c r="Y227" t="s">
        <v>38</v>
      </c>
      <c r="Z227" t="s">
        <v>115</v>
      </c>
      <c r="AA227" t="s">
        <v>109</v>
      </c>
      <c r="AB227" t="s">
        <v>83</v>
      </c>
      <c r="AC227">
        <f t="shared" si="33"/>
        <v>1</v>
      </c>
      <c r="AD227" s="12">
        <f t="shared" si="37"/>
        <v>0</v>
      </c>
      <c r="AE227" s="12">
        <f t="shared" si="38"/>
        <v>0</v>
      </c>
      <c r="AF227">
        <f t="shared" si="34"/>
        <v>1</v>
      </c>
      <c r="AG227">
        <f t="shared" si="39"/>
        <v>0</v>
      </c>
      <c r="AH227">
        <f t="shared" si="40"/>
        <v>0</v>
      </c>
      <c r="AI227">
        <f t="shared" si="41"/>
        <v>0</v>
      </c>
      <c r="AJ227">
        <f t="shared" si="42"/>
        <v>0</v>
      </c>
      <c r="AK227">
        <f t="shared" si="35"/>
        <v>0</v>
      </c>
      <c r="AL227">
        <f t="shared" si="43"/>
        <v>1</v>
      </c>
    </row>
    <row r="228" spans="1:38">
      <c r="A228" t="s">
        <v>811</v>
      </c>
      <c r="B228" t="s">
        <v>812</v>
      </c>
      <c r="C228" s="1">
        <f t="shared" si="36"/>
        <v>45383</v>
      </c>
      <c r="D228" t="s">
        <v>813</v>
      </c>
      <c r="E228">
        <v>164.2</v>
      </c>
      <c r="F228">
        <v>6.8</v>
      </c>
      <c r="G228" t="s">
        <v>30</v>
      </c>
      <c r="H228" t="s">
        <v>47</v>
      </c>
      <c r="I228" t="s">
        <v>32</v>
      </c>
      <c r="J228">
        <v>240</v>
      </c>
      <c r="K228" t="s">
        <v>49</v>
      </c>
      <c r="L228" t="s">
        <v>113</v>
      </c>
      <c r="M228" t="s">
        <v>35</v>
      </c>
      <c r="N228" t="s">
        <v>506</v>
      </c>
      <c r="O228" t="s">
        <v>51</v>
      </c>
      <c r="P228" t="s">
        <v>38</v>
      </c>
      <c r="Q228" t="s">
        <v>38</v>
      </c>
      <c r="R228">
        <v>1</v>
      </c>
      <c r="S228" t="s">
        <v>38</v>
      </c>
      <c r="T228">
        <v>8</v>
      </c>
      <c r="U228">
        <v>1.6</v>
      </c>
      <c r="V228">
        <v>26.2</v>
      </c>
      <c r="W228" t="s">
        <v>38</v>
      </c>
      <c r="X228" t="s">
        <v>123</v>
      </c>
      <c r="Y228" t="s">
        <v>38</v>
      </c>
      <c r="Z228" t="s">
        <v>179</v>
      </c>
      <c r="AA228" t="s">
        <v>82</v>
      </c>
      <c r="AB228" t="s">
        <v>55</v>
      </c>
      <c r="AC228">
        <f t="shared" si="33"/>
        <v>0</v>
      </c>
      <c r="AD228" s="12">
        <f t="shared" si="37"/>
        <v>0</v>
      </c>
      <c r="AE228" s="12">
        <f t="shared" si="38"/>
        <v>1</v>
      </c>
      <c r="AF228">
        <f t="shared" si="34"/>
        <v>1</v>
      </c>
      <c r="AG228">
        <f t="shared" si="39"/>
        <v>0</v>
      </c>
      <c r="AH228">
        <f t="shared" si="40"/>
        <v>0</v>
      </c>
      <c r="AI228">
        <f t="shared" si="41"/>
        <v>0</v>
      </c>
      <c r="AJ228">
        <f t="shared" si="42"/>
        <v>1</v>
      </c>
      <c r="AK228">
        <f t="shared" si="35"/>
        <v>1</v>
      </c>
      <c r="AL228">
        <f t="shared" si="43"/>
        <v>1</v>
      </c>
    </row>
    <row r="229" spans="1:38">
      <c r="A229" t="s">
        <v>814</v>
      </c>
      <c r="B229" t="s">
        <v>815</v>
      </c>
      <c r="C229" s="1">
        <f t="shared" si="36"/>
        <v>45323</v>
      </c>
      <c r="D229" t="s">
        <v>816</v>
      </c>
      <c r="E229">
        <v>85.2</v>
      </c>
      <c r="F229">
        <v>3.6</v>
      </c>
      <c r="G229" t="s">
        <v>87</v>
      </c>
      <c r="H229" t="s">
        <v>309</v>
      </c>
      <c r="I229" t="s">
        <v>48</v>
      </c>
      <c r="J229">
        <v>120</v>
      </c>
      <c r="K229" t="s">
        <v>49</v>
      </c>
      <c r="L229" t="s">
        <v>96</v>
      </c>
      <c r="M229" t="s">
        <v>71</v>
      </c>
      <c r="N229" t="s">
        <v>36</v>
      </c>
      <c r="O229" t="s">
        <v>7232</v>
      </c>
      <c r="P229" t="s">
        <v>38</v>
      </c>
      <c r="Q229" t="s">
        <v>39</v>
      </c>
      <c r="R229">
        <v>4</v>
      </c>
      <c r="S229" t="s">
        <v>38</v>
      </c>
      <c r="T229">
        <v>10</v>
      </c>
      <c r="U229">
        <v>1.8</v>
      </c>
      <c r="V229">
        <v>15</v>
      </c>
      <c r="W229" t="s">
        <v>39</v>
      </c>
      <c r="X229" t="s">
        <v>63</v>
      </c>
      <c r="Y229" t="s">
        <v>38</v>
      </c>
      <c r="Z229" t="s">
        <v>53</v>
      </c>
      <c r="AA229" t="s">
        <v>42</v>
      </c>
      <c r="AB229" t="s">
        <v>83</v>
      </c>
      <c r="AC229">
        <f t="shared" si="33"/>
        <v>0</v>
      </c>
      <c r="AD229" s="12">
        <f t="shared" si="37"/>
        <v>1</v>
      </c>
      <c r="AE229" s="12">
        <f t="shared" si="38"/>
        <v>0</v>
      </c>
      <c r="AF229">
        <f t="shared" si="34"/>
        <v>0</v>
      </c>
      <c r="AG229">
        <f t="shared" si="39"/>
        <v>1</v>
      </c>
      <c r="AH229">
        <f t="shared" si="40"/>
        <v>1</v>
      </c>
      <c r="AI229">
        <f t="shared" si="41"/>
        <v>0</v>
      </c>
      <c r="AJ229">
        <f t="shared" si="42"/>
        <v>0</v>
      </c>
      <c r="AK229">
        <f t="shared" si="35"/>
        <v>0</v>
      </c>
      <c r="AL229">
        <f t="shared" si="43"/>
        <v>1</v>
      </c>
    </row>
    <row r="230" spans="1:38">
      <c r="A230" t="s">
        <v>817</v>
      </c>
      <c r="B230" t="s">
        <v>818</v>
      </c>
      <c r="C230" s="1">
        <f t="shared" si="36"/>
        <v>45383</v>
      </c>
      <c r="D230" t="s">
        <v>819</v>
      </c>
      <c r="E230">
        <v>103.5</v>
      </c>
      <c r="F230">
        <v>4.3</v>
      </c>
      <c r="G230" t="s">
        <v>101</v>
      </c>
      <c r="H230" t="s">
        <v>442</v>
      </c>
      <c r="I230" t="s">
        <v>48</v>
      </c>
      <c r="J230">
        <v>120</v>
      </c>
      <c r="K230" t="s">
        <v>49</v>
      </c>
      <c r="L230" t="s">
        <v>70</v>
      </c>
      <c r="M230" t="s">
        <v>35</v>
      </c>
      <c r="N230" t="s">
        <v>89</v>
      </c>
      <c r="O230" t="s">
        <v>51</v>
      </c>
      <c r="P230" t="s">
        <v>39</v>
      </c>
      <c r="Q230" t="s">
        <v>38</v>
      </c>
      <c r="R230">
        <v>0</v>
      </c>
      <c r="S230" t="s">
        <v>38</v>
      </c>
      <c r="T230">
        <v>10</v>
      </c>
      <c r="U230">
        <v>2.1</v>
      </c>
      <c r="V230">
        <v>43</v>
      </c>
      <c r="W230" t="s">
        <v>39</v>
      </c>
      <c r="X230" t="s">
        <v>63</v>
      </c>
      <c r="Y230" t="s">
        <v>39</v>
      </c>
      <c r="Z230" t="s">
        <v>53</v>
      </c>
      <c r="AA230" t="s">
        <v>54</v>
      </c>
      <c r="AB230" t="s">
        <v>55</v>
      </c>
      <c r="AC230">
        <f t="shared" si="33"/>
        <v>0</v>
      </c>
      <c r="AD230" s="12">
        <f t="shared" si="37"/>
        <v>1</v>
      </c>
      <c r="AE230" s="12">
        <f t="shared" si="38"/>
        <v>0</v>
      </c>
      <c r="AF230">
        <f t="shared" si="34"/>
        <v>1</v>
      </c>
      <c r="AG230">
        <f t="shared" si="39"/>
        <v>0</v>
      </c>
      <c r="AH230">
        <f t="shared" si="40"/>
        <v>1</v>
      </c>
      <c r="AI230">
        <f t="shared" si="41"/>
        <v>0</v>
      </c>
      <c r="AJ230">
        <f t="shared" si="42"/>
        <v>0</v>
      </c>
      <c r="AK230">
        <f t="shared" si="35"/>
        <v>0</v>
      </c>
      <c r="AL230">
        <f t="shared" si="43"/>
        <v>0</v>
      </c>
    </row>
    <row r="231" spans="1:38">
      <c r="A231" t="s">
        <v>820</v>
      </c>
      <c r="B231" t="s">
        <v>821</v>
      </c>
      <c r="C231" s="1">
        <f t="shared" si="36"/>
        <v>45505</v>
      </c>
      <c r="D231" t="s">
        <v>822</v>
      </c>
      <c r="E231">
        <v>394.6</v>
      </c>
      <c r="F231">
        <v>16.399999999999999</v>
      </c>
      <c r="G231" t="s">
        <v>77</v>
      </c>
      <c r="H231" t="s">
        <v>244</v>
      </c>
      <c r="I231" t="s">
        <v>79</v>
      </c>
      <c r="J231">
        <v>360</v>
      </c>
      <c r="K231" t="s">
        <v>33</v>
      </c>
      <c r="L231" t="s">
        <v>34</v>
      </c>
      <c r="M231" t="s">
        <v>35</v>
      </c>
      <c r="N231" t="s">
        <v>114</v>
      </c>
      <c r="O231" t="s">
        <v>37</v>
      </c>
      <c r="P231" t="s">
        <v>38</v>
      </c>
      <c r="Q231" t="s">
        <v>38</v>
      </c>
      <c r="R231">
        <v>1</v>
      </c>
      <c r="S231" t="s">
        <v>38</v>
      </c>
      <c r="T231">
        <v>5</v>
      </c>
      <c r="U231">
        <v>5.0999999999999996</v>
      </c>
      <c r="V231">
        <v>21.1</v>
      </c>
      <c r="W231" t="s">
        <v>39</v>
      </c>
      <c r="X231" t="s">
        <v>63</v>
      </c>
      <c r="Y231" t="s">
        <v>39</v>
      </c>
      <c r="Z231" t="s">
        <v>53</v>
      </c>
      <c r="AA231" t="s">
        <v>54</v>
      </c>
      <c r="AB231" t="s">
        <v>83</v>
      </c>
      <c r="AC231">
        <f t="shared" si="33"/>
        <v>0</v>
      </c>
      <c r="AD231" s="12">
        <f t="shared" si="37"/>
        <v>1</v>
      </c>
      <c r="AE231" s="12">
        <f t="shared" si="38"/>
        <v>0</v>
      </c>
      <c r="AF231">
        <f t="shared" si="34"/>
        <v>0</v>
      </c>
      <c r="AG231">
        <f t="shared" si="39"/>
        <v>0</v>
      </c>
      <c r="AH231">
        <f t="shared" si="40"/>
        <v>0</v>
      </c>
      <c r="AI231">
        <f t="shared" si="41"/>
        <v>0</v>
      </c>
      <c r="AJ231">
        <f t="shared" si="42"/>
        <v>0</v>
      </c>
      <c r="AK231">
        <f t="shared" si="35"/>
        <v>0</v>
      </c>
      <c r="AL231">
        <f t="shared" si="43"/>
        <v>0</v>
      </c>
    </row>
    <row r="232" spans="1:38">
      <c r="A232" t="s">
        <v>823</v>
      </c>
      <c r="B232" t="s">
        <v>824</v>
      </c>
      <c r="C232" s="1">
        <f t="shared" si="36"/>
        <v>45597</v>
      </c>
      <c r="D232" t="s">
        <v>825</v>
      </c>
      <c r="E232">
        <v>340.9</v>
      </c>
      <c r="F232">
        <v>14.2</v>
      </c>
      <c r="G232" t="s">
        <v>30</v>
      </c>
      <c r="H232" t="s">
        <v>47</v>
      </c>
      <c r="I232" t="s">
        <v>32</v>
      </c>
      <c r="J232">
        <v>240</v>
      </c>
      <c r="K232" t="s">
        <v>33</v>
      </c>
      <c r="L232" t="s">
        <v>70</v>
      </c>
      <c r="M232" t="s">
        <v>35</v>
      </c>
      <c r="N232" t="s">
        <v>164</v>
      </c>
      <c r="O232" t="s">
        <v>37</v>
      </c>
      <c r="P232" t="s">
        <v>39</v>
      </c>
      <c r="Q232" t="s">
        <v>38</v>
      </c>
      <c r="R232">
        <v>0</v>
      </c>
      <c r="S232" t="s">
        <v>38</v>
      </c>
      <c r="T232">
        <v>5</v>
      </c>
      <c r="U232">
        <v>3.2</v>
      </c>
      <c r="V232">
        <v>9.6999999999999993</v>
      </c>
      <c r="W232" t="s">
        <v>39</v>
      </c>
      <c r="X232" t="s">
        <v>63</v>
      </c>
      <c r="Y232" t="s">
        <v>39</v>
      </c>
      <c r="Z232" t="s">
        <v>179</v>
      </c>
      <c r="AA232" t="s">
        <v>54</v>
      </c>
      <c r="AB232" t="s">
        <v>83</v>
      </c>
      <c r="AC232">
        <f t="shared" si="33"/>
        <v>0</v>
      </c>
      <c r="AD232" s="12">
        <f t="shared" si="37"/>
        <v>1</v>
      </c>
      <c r="AE232" s="12">
        <f t="shared" si="38"/>
        <v>0</v>
      </c>
      <c r="AF232">
        <f t="shared" si="34"/>
        <v>0</v>
      </c>
      <c r="AG232">
        <f t="shared" si="39"/>
        <v>0</v>
      </c>
      <c r="AH232">
        <f t="shared" si="40"/>
        <v>0</v>
      </c>
      <c r="AI232">
        <f t="shared" si="41"/>
        <v>0</v>
      </c>
      <c r="AJ232">
        <f t="shared" si="42"/>
        <v>1</v>
      </c>
      <c r="AK232">
        <f t="shared" si="35"/>
        <v>1</v>
      </c>
      <c r="AL232">
        <f t="shared" si="43"/>
        <v>0</v>
      </c>
    </row>
    <row r="233" spans="1:38">
      <c r="A233" t="s">
        <v>826</v>
      </c>
      <c r="B233" t="s">
        <v>827</v>
      </c>
      <c r="C233" s="1">
        <f t="shared" si="36"/>
        <v>45292</v>
      </c>
      <c r="D233" t="s">
        <v>828</v>
      </c>
      <c r="E233">
        <v>288.89999999999998</v>
      </c>
      <c r="F233">
        <v>12</v>
      </c>
      <c r="G233" t="s">
        <v>30</v>
      </c>
      <c r="H233" t="s">
        <v>172</v>
      </c>
      <c r="I233" t="s">
        <v>32</v>
      </c>
      <c r="J233">
        <v>240</v>
      </c>
      <c r="K233" t="s">
        <v>33</v>
      </c>
      <c r="L233" t="s">
        <v>96</v>
      </c>
      <c r="M233" t="s">
        <v>35</v>
      </c>
      <c r="N233" t="s">
        <v>114</v>
      </c>
      <c r="O233" t="s">
        <v>51</v>
      </c>
      <c r="P233" t="s">
        <v>38</v>
      </c>
      <c r="Q233" t="s">
        <v>38</v>
      </c>
      <c r="R233">
        <v>1</v>
      </c>
      <c r="S233" t="s">
        <v>38</v>
      </c>
      <c r="T233">
        <v>6</v>
      </c>
      <c r="U233">
        <v>0.1</v>
      </c>
      <c r="V233">
        <v>18.399999999999999</v>
      </c>
      <c r="W233" t="s">
        <v>38</v>
      </c>
      <c r="X233" t="s">
        <v>123</v>
      </c>
      <c r="Y233" t="s">
        <v>39</v>
      </c>
      <c r="Z233" t="s">
        <v>73</v>
      </c>
      <c r="AA233" t="s">
        <v>54</v>
      </c>
      <c r="AB233" t="s">
        <v>83</v>
      </c>
      <c r="AC233">
        <f t="shared" si="33"/>
        <v>0</v>
      </c>
      <c r="AD233" s="12">
        <f t="shared" si="37"/>
        <v>0</v>
      </c>
      <c r="AE233" s="12">
        <f t="shared" si="38"/>
        <v>1</v>
      </c>
      <c r="AF233">
        <f t="shared" si="34"/>
        <v>1</v>
      </c>
      <c r="AG233">
        <f t="shared" si="39"/>
        <v>0</v>
      </c>
      <c r="AH233">
        <f t="shared" si="40"/>
        <v>0</v>
      </c>
      <c r="AI233">
        <f t="shared" si="41"/>
        <v>0</v>
      </c>
      <c r="AJ233">
        <f t="shared" si="42"/>
        <v>1</v>
      </c>
      <c r="AK233">
        <f t="shared" si="35"/>
        <v>1</v>
      </c>
      <c r="AL233">
        <f t="shared" si="43"/>
        <v>0</v>
      </c>
    </row>
    <row r="234" spans="1:38">
      <c r="A234" t="s">
        <v>829</v>
      </c>
      <c r="B234" t="s">
        <v>830</v>
      </c>
      <c r="C234" s="1">
        <f t="shared" si="36"/>
        <v>45323</v>
      </c>
      <c r="D234" t="s">
        <v>831</v>
      </c>
      <c r="E234">
        <v>284.5</v>
      </c>
      <c r="F234">
        <v>11.9</v>
      </c>
      <c r="G234" t="s">
        <v>87</v>
      </c>
      <c r="H234" t="s">
        <v>88</v>
      </c>
      <c r="I234" t="s">
        <v>48</v>
      </c>
      <c r="J234">
        <v>120</v>
      </c>
      <c r="K234" t="s">
        <v>33</v>
      </c>
      <c r="L234" t="s">
        <v>34</v>
      </c>
      <c r="M234" t="s">
        <v>35</v>
      </c>
      <c r="N234" t="s">
        <v>138</v>
      </c>
      <c r="O234" t="s">
        <v>51</v>
      </c>
      <c r="P234" t="s">
        <v>39</v>
      </c>
      <c r="Q234" t="s">
        <v>38</v>
      </c>
      <c r="R234">
        <v>0</v>
      </c>
      <c r="S234" t="s">
        <v>38</v>
      </c>
      <c r="T234">
        <v>5</v>
      </c>
      <c r="U234">
        <v>4.5</v>
      </c>
      <c r="V234">
        <v>29.6</v>
      </c>
      <c r="W234" t="s">
        <v>39</v>
      </c>
      <c r="X234" t="s">
        <v>63</v>
      </c>
      <c r="Y234" t="s">
        <v>39</v>
      </c>
      <c r="Z234" t="s">
        <v>73</v>
      </c>
      <c r="AA234" t="s">
        <v>82</v>
      </c>
      <c r="AB234" t="s">
        <v>83</v>
      </c>
      <c r="AC234">
        <f t="shared" si="33"/>
        <v>0</v>
      </c>
      <c r="AD234" s="12">
        <f t="shared" si="37"/>
        <v>1</v>
      </c>
      <c r="AE234" s="12">
        <f t="shared" si="38"/>
        <v>0</v>
      </c>
      <c r="AF234">
        <f t="shared" si="34"/>
        <v>1</v>
      </c>
      <c r="AG234">
        <f t="shared" si="39"/>
        <v>0</v>
      </c>
      <c r="AH234">
        <f t="shared" si="40"/>
        <v>1</v>
      </c>
      <c r="AI234">
        <f t="shared" si="41"/>
        <v>0</v>
      </c>
      <c r="AJ234">
        <f t="shared" si="42"/>
        <v>0</v>
      </c>
      <c r="AK234">
        <f t="shared" si="35"/>
        <v>0</v>
      </c>
      <c r="AL234">
        <f t="shared" si="43"/>
        <v>0</v>
      </c>
    </row>
    <row r="235" spans="1:38">
      <c r="A235" t="s">
        <v>832</v>
      </c>
      <c r="B235" t="s">
        <v>833</v>
      </c>
      <c r="C235" s="1">
        <f t="shared" si="36"/>
        <v>45383</v>
      </c>
      <c r="D235" t="s">
        <v>834</v>
      </c>
      <c r="E235">
        <v>319.60000000000002</v>
      </c>
      <c r="F235">
        <v>13.3</v>
      </c>
      <c r="G235" t="s">
        <v>30</v>
      </c>
      <c r="H235" t="s">
        <v>47</v>
      </c>
      <c r="I235" t="s">
        <v>79</v>
      </c>
      <c r="J235">
        <v>360</v>
      </c>
      <c r="K235" t="s">
        <v>49</v>
      </c>
      <c r="L235" t="s">
        <v>34</v>
      </c>
      <c r="M235" t="s">
        <v>35</v>
      </c>
      <c r="N235" t="s">
        <v>164</v>
      </c>
      <c r="O235" t="s">
        <v>7232</v>
      </c>
      <c r="P235" t="s">
        <v>38</v>
      </c>
      <c r="Q235" t="s">
        <v>38</v>
      </c>
      <c r="R235">
        <v>1</v>
      </c>
      <c r="S235" t="s">
        <v>39</v>
      </c>
      <c r="T235">
        <v>8</v>
      </c>
      <c r="U235">
        <v>0.4</v>
      </c>
      <c r="V235">
        <v>30.8</v>
      </c>
      <c r="W235" t="s">
        <v>39</v>
      </c>
      <c r="X235" t="s">
        <v>123</v>
      </c>
      <c r="Y235" t="s">
        <v>39</v>
      </c>
      <c r="Z235" t="s">
        <v>64</v>
      </c>
      <c r="AA235" t="s">
        <v>42</v>
      </c>
      <c r="AB235" t="s">
        <v>83</v>
      </c>
      <c r="AC235">
        <f t="shared" si="33"/>
        <v>0</v>
      </c>
      <c r="AD235" s="12">
        <f t="shared" si="37"/>
        <v>0</v>
      </c>
      <c r="AE235" s="12">
        <f t="shared" si="38"/>
        <v>1</v>
      </c>
      <c r="AF235">
        <f t="shared" si="34"/>
        <v>0</v>
      </c>
      <c r="AG235">
        <f t="shared" si="39"/>
        <v>1</v>
      </c>
      <c r="AH235">
        <f t="shared" si="40"/>
        <v>0</v>
      </c>
      <c r="AI235">
        <f t="shared" si="41"/>
        <v>0</v>
      </c>
      <c r="AJ235">
        <f t="shared" si="42"/>
        <v>0</v>
      </c>
      <c r="AK235">
        <f t="shared" si="35"/>
        <v>1</v>
      </c>
      <c r="AL235">
        <f t="shared" si="43"/>
        <v>0</v>
      </c>
    </row>
    <row r="236" spans="1:38">
      <c r="A236" t="s">
        <v>835</v>
      </c>
      <c r="B236" t="s">
        <v>836</v>
      </c>
      <c r="C236" s="1">
        <f t="shared" si="36"/>
        <v>45292</v>
      </c>
      <c r="D236" t="s">
        <v>837</v>
      </c>
      <c r="E236">
        <v>158.1</v>
      </c>
      <c r="F236">
        <v>6.6</v>
      </c>
      <c r="G236" t="s">
        <v>142</v>
      </c>
      <c r="H236" t="s">
        <v>729</v>
      </c>
      <c r="I236" t="s">
        <v>32</v>
      </c>
      <c r="J236">
        <v>240</v>
      </c>
      <c r="K236" t="s">
        <v>49</v>
      </c>
      <c r="L236" t="s">
        <v>96</v>
      </c>
      <c r="M236" t="s">
        <v>35</v>
      </c>
      <c r="N236" t="s">
        <v>119</v>
      </c>
      <c r="O236" t="s">
        <v>51</v>
      </c>
      <c r="P236" t="s">
        <v>38</v>
      </c>
      <c r="Q236" t="s">
        <v>38</v>
      </c>
      <c r="R236">
        <v>1</v>
      </c>
      <c r="S236" t="s">
        <v>38</v>
      </c>
      <c r="T236">
        <v>10</v>
      </c>
      <c r="U236">
        <v>4.7</v>
      </c>
      <c r="V236">
        <v>30.6</v>
      </c>
      <c r="W236" t="s">
        <v>39</v>
      </c>
      <c r="X236" t="s">
        <v>123</v>
      </c>
      <c r="Y236" t="s">
        <v>39</v>
      </c>
      <c r="Z236" t="s">
        <v>179</v>
      </c>
      <c r="AA236" t="s">
        <v>109</v>
      </c>
      <c r="AB236" t="s">
        <v>83</v>
      </c>
      <c r="AC236">
        <f t="shared" si="33"/>
        <v>0</v>
      </c>
      <c r="AD236" s="12">
        <f t="shared" si="37"/>
        <v>0</v>
      </c>
      <c r="AE236" s="12">
        <f t="shared" si="38"/>
        <v>1</v>
      </c>
      <c r="AF236">
        <f t="shared" si="34"/>
        <v>1</v>
      </c>
      <c r="AG236">
        <f t="shared" si="39"/>
        <v>0</v>
      </c>
      <c r="AH236">
        <f t="shared" si="40"/>
        <v>0</v>
      </c>
      <c r="AI236">
        <f t="shared" si="41"/>
        <v>0</v>
      </c>
      <c r="AJ236">
        <f t="shared" si="42"/>
        <v>1</v>
      </c>
      <c r="AK236">
        <f t="shared" si="35"/>
        <v>0</v>
      </c>
      <c r="AL236">
        <f t="shared" si="43"/>
        <v>0</v>
      </c>
    </row>
    <row r="237" spans="1:38">
      <c r="A237" t="s">
        <v>838</v>
      </c>
      <c r="B237" t="s">
        <v>839</v>
      </c>
      <c r="C237" s="1">
        <f t="shared" si="36"/>
        <v>45536</v>
      </c>
      <c r="D237" t="s">
        <v>840</v>
      </c>
      <c r="E237">
        <v>224.7</v>
      </c>
      <c r="F237">
        <v>9.4</v>
      </c>
      <c r="G237" t="s">
        <v>30</v>
      </c>
      <c r="H237" t="s">
        <v>172</v>
      </c>
      <c r="I237" t="s">
        <v>32</v>
      </c>
      <c r="J237">
        <v>240</v>
      </c>
      <c r="K237" t="s">
        <v>49</v>
      </c>
      <c r="L237" t="s">
        <v>70</v>
      </c>
      <c r="M237" t="s">
        <v>35</v>
      </c>
      <c r="N237" t="s">
        <v>97</v>
      </c>
      <c r="O237" t="s">
        <v>7232</v>
      </c>
      <c r="P237" t="s">
        <v>39</v>
      </c>
      <c r="Q237" t="s">
        <v>38</v>
      </c>
      <c r="R237">
        <v>0</v>
      </c>
      <c r="S237" t="s">
        <v>38</v>
      </c>
      <c r="T237">
        <v>8</v>
      </c>
      <c r="U237">
        <v>3.1</v>
      </c>
      <c r="V237">
        <v>26.5</v>
      </c>
      <c r="W237" t="s">
        <v>39</v>
      </c>
      <c r="X237" t="s">
        <v>52</v>
      </c>
      <c r="Y237" t="s">
        <v>38</v>
      </c>
      <c r="Z237" t="s">
        <v>64</v>
      </c>
      <c r="AA237" t="s">
        <v>54</v>
      </c>
      <c r="AB237" t="s">
        <v>83</v>
      </c>
      <c r="AC237">
        <f t="shared" si="33"/>
        <v>1</v>
      </c>
      <c r="AD237" s="12">
        <f t="shared" si="37"/>
        <v>0</v>
      </c>
      <c r="AE237" s="12">
        <f t="shared" si="38"/>
        <v>0</v>
      </c>
      <c r="AF237">
        <f t="shared" si="34"/>
        <v>0</v>
      </c>
      <c r="AG237">
        <f t="shared" si="39"/>
        <v>1</v>
      </c>
      <c r="AH237">
        <f t="shared" si="40"/>
        <v>0</v>
      </c>
      <c r="AI237">
        <f t="shared" si="41"/>
        <v>0</v>
      </c>
      <c r="AJ237">
        <f t="shared" si="42"/>
        <v>1</v>
      </c>
      <c r="AK237">
        <f t="shared" si="35"/>
        <v>1</v>
      </c>
      <c r="AL237">
        <f t="shared" si="43"/>
        <v>1</v>
      </c>
    </row>
    <row r="238" spans="1:38">
      <c r="A238" t="s">
        <v>841</v>
      </c>
      <c r="B238" t="s">
        <v>842</v>
      </c>
      <c r="C238" s="1">
        <f t="shared" si="36"/>
        <v>45536</v>
      </c>
      <c r="D238" t="s">
        <v>843</v>
      </c>
      <c r="E238">
        <v>327.7</v>
      </c>
      <c r="F238">
        <v>13.7</v>
      </c>
      <c r="G238" t="s">
        <v>30</v>
      </c>
      <c r="H238" t="s">
        <v>159</v>
      </c>
      <c r="I238" t="s">
        <v>79</v>
      </c>
      <c r="J238">
        <v>360</v>
      </c>
      <c r="K238" t="s">
        <v>49</v>
      </c>
      <c r="L238" t="s">
        <v>70</v>
      </c>
      <c r="M238" t="s">
        <v>35</v>
      </c>
      <c r="N238" t="s">
        <v>61</v>
      </c>
      <c r="O238" t="s">
        <v>7232</v>
      </c>
      <c r="P238" t="s">
        <v>39</v>
      </c>
      <c r="Q238" t="s">
        <v>38</v>
      </c>
      <c r="R238">
        <v>0</v>
      </c>
      <c r="S238" t="s">
        <v>38</v>
      </c>
      <c r="T238">
        <v>5</v>
      </c>
      <c r="U238">
        <v>2</v>
      </c>
      <c r="V238">
        <v>12.4</v>
      </c>
      <c r="W238" t="s">
        <v>39</v>
      </c>
      <c r="X238" t="s">
        <v>63</v>
      </c>
      <c r="Y238" t="s">
        <v>39</v>
      </c>
      <c r="Z238" t="s">
        <v>73</v>
      </c>
      <c r="AA238" t="s">
        <v>82</v>
      </c>
      <c r="AB238" t="s">
        <v>83</v>
      </c>
      <c r="AC238">
        <f t="shared" si="33"/>
        <v>0</v>
      </c>
      <c r="AD238" s="12">
        <f t="shared" si="37"/>
        <v>1</v>
      </c>
      <c r="AE238" s="12">
        <f t="shared" si="38"/>
        <v>0</v>
      </c>
      <c r="AF238">
        <f t="shared" si="34"/>
        <v>0</v>
      </c>
      <c r="AG238">
        <f t="shared" si="39"/>
        <v>1</v>
      </c>
      <c r="AH238">
        <f t="shared" si="40"/>
        <v>0</v>
      </c>
      <c r="AI238">
        <f t="shared" si="41"/>
        <v>0</v>
      </c>
      <c r="AJ238">
        <f t="shared" si="42"/>
        <v>0</v>
      </c>
      <c r="AK238">
        <f t="shared" si="35"/>
        <v>1</v>
      </c>
      <c r="AL238">
        <f t="shared" si="43"/>
        <v>0</v>
      </c>
    </row>
    <row r="239" spans="1:38">
      <c r="A239" t="s">
        <v>844</v>
      </c>
      <c r="B239" t="s">
        <v>845</v>
      </c>
      <c r="C239" s="1">
        <f t="shared" si="36"/>
        <v>45413</v>
      </c>
      <c r="D239" t="s">
        <v>846</v>
      </c>
      <c r="E239">
        <v>37.4</v>
      </c>
      <c r="F239">
        <v>1.6</v>
      </c>
      <c r="G239" t="s">
        <v>68</v>
      </c>
      <c r="H239" t="s">
        <v>212</v>
      </c>
      <c r="I239" t="s">
        <v>95</v>
      </c>
      <c r="J239">
        <v>48</v>
      </c>
      <c r="K239" t="s">
        <v>49</v>
      </c>
      <c r="L239" t="s">
        <v>34</v>
      </c>
      <c r="M239" t="s">
        <v>35</v>
      </c>
      <c r="N239" t="s">
        <v>97</v>
      </c>
      <c r="O239" t="s">
        <v>37</v>
      </c>
      <c r="P239" t="s">
        <v>38</v>
      </c>
      <c r="Q239" t="s">
        <v>38</v>
      </c>
      <c r="R239">
        <v>1</v>
      </c>
      <c r="S239" t="s">
        <v>38</v>
      </c>
      <c r="T239">
        <v>9</v>
      </c>
      <c r="U239">
        <v>4</v>
      </c>
      <c r="V239">
        <v>15</v>
      </c>
      <c r="W239" t="s">
        <v>39</v>
      </c>
      <c r="X239" t="s">
        <v>63</v>
      </c>
      <c r="Y239" t="s">
        <v>38</v>
      </c>
      <c r="Z239" t="s">
        <v>41</v>
      </c>
      <c r="AA239" t="s">
        <v>82</v>
      </c>
      <c r="AB239" t="s">
        <v>43</v>
      </c>
      <c r="AC239">
        <f t="shared" si="33"/>
        <v>0</v>
      </c>
      <c r="AD239" s="12">
        <f t="shared" si="37"/>
        <v>1</v>
      </c>
      <c r="AE239" s="12">
        <f t="shared" si="38"/>
        <v>0</v>
      </c>
      <c r="AF239">
        <f t="shared" si="34"/>
        <v>0</v>
      </c>
      <c r="AG239">
        <f t="shared" si="39"/>
        <v>0</v>
      </c>
      <c r="AH239">
        <f t="shared" si="40"/>
        <v>0</v>
      </c>
      <c r="AI239">
        <f t="shared" si="41"/>
        <v>1</v>
      </c>
      <c r="AJ239">
        <f t="shared" si="42"/>
        <v>0</v>
      </c>
      <c r="AK239">
        <f t="shared" si="35"/>
        <v>0</v>
      </c>
      <c r="AL239">
        <f t="shared" si="43"/>
        <v>1</v>
      </c>
    </row>
    <row r="240" spans="1:38">
      <c r="A240" t="s">
        <v>847</v>
      </c>
      <c r="B240" t="s">
        <v>848</v>
      </c>
      <c r="C240" s="1">
        <f t="shared" si="36"/>
        <v>45474</v>
      </c>
      <c r="D240" t="s">
        <v>849</v>
      </c>
      <c r="E240">
        <v>95.2</v>
      </c>
      <c r="F240">
        <v>4</v>
      </c>
      <c r="G240" t="s">
        <v>30</v>
      </c>
      <c r="H240" t="s">
        <v>31</v>
      </c>
      <c r="I240" t="s">
        <v>48</v>
      </c>
      <c r="J240">
        <v>120</v>
      </c>
      <c r="K240" t="s">
        <v>49</v>
      </c>
      <c r="L240" t="s">
        <v>133</v>
      </c>
      <c r="M240" t="s">
        <v>35</v>
      </c>
      <c r="N240" t="s">
        <v>299</v>
      </c>
      <c r="O240" t="s">
        <v>7232</v>
      </c>
      <c r="P240" t="s">
        <v>38</v>
      </c>
      <c r="Q240" t="s">
        <v>38</v>
      </c>
      <c r="R240">
        <v>1</v>
      </c>
      <c r="S240" t="s">
        <v>38</v>
      </c>
      <c r="T240">
        <v>6</v>
      </c>
      <c r="U240">
        <v>3.8</v>
      </c>
      <c r="V240">
        <v>9.1999999999999993</v>
      </c>
      <c r="W240" t="s">
        <v>38</v>
      </c>
      <c r="X240" t="s">
        <v>123</v>
      </c>
      <c r="Y240" t="s">
        <v>39</v>
      </c>
      <c r="Z240" t="s">
        <v>41</v>
      </c>
      <c r="AA240" t="s">
        <v>54</v>
      </c>
      <c r="AB240" t="s">
        <v>83</v>
      </c>
      <c r="AC240">
        <f t="shared" si="33"/>
        <v>0</v>
      </c>
      <c r="AD240" s="12">
        <f t="shared" si="37"/>
        <v>0</v>
      </c>
      <c r="AE240" s="12">
        <f t="shared" si="38"/>
        <v>1</v>
      </c>
      <c r="AF240">
        <f t="shared" si="34"/>
        <v>0</v>
      </c>
      <c r="AG240">
        <f t="shared" si="39"/>
        <v>1</v>
      </c>
      <c r="AH240">
        <f t="shared" si="40"/>
        <v>1</v>
      </c>
      <c r="AI240">
        <f t="shared" si="41"/>
        <v>0</v>
      </c>
      <c r="AJ240">
        <f t="shared" si="42"/>
        <v>0</v>
      </c>
      <c r="AK240">
        <f t="shared" si="35"/>
        <v>1</v>
      </c>
      <c r="AL240">
        <f t="shared" si="43"/>
        <v>0</v>
      </c>
    </row>
    <row r="241" spans="1:38">
      <c r="A241" t="s">
        <v>850</v>
      </c>
      <c r="B241" t="s">
        <v>851</v>
      </c>
      <c r="C241" s="1">
        <f t="shared" si="36"/>
        <v>45566</v>
      </c>
      <c r="D241" t="s">
        <v>852</v>
      </c>
      <c r="E241">
        <v>154.4</v>
      </c>
      <c r="F241">
        <v>6.4</v>
      </c>
      <c r="G241" t="s">
        <v>59</v>
      </c>
      <c r="H241" t="s">
        <v>466</v>
      </c>
      <c r="I241" t="s">
        <v>48</v>
      </c>
      <c r="J241">
        <v>120</v>
      </c>
      <c r="K241" t="s">
        <v>33</v>
      </c>
      <c r="L241" t="s">
        <v>133</v>
      </c>
      <c r="M241" t="s">
        <v>35</v>
      </c>
      <c r="N241" t="s">
        <v>155</v>
      </c>
      <c r="O241" t="s">
        <v>7232</v>
      </c>
      <c r="P241" t="s">
        <v>38</v>
      </c>
      <c r="Q241" t="s">
        <v>38</v>
      </c>
      <c r="R241">
        <v>1</v>
      </c>
      <c r="S241" t="s">
        <v>39</v>
      </c>
      <c r="T241">
        <v>6</v>
      </c>
      <c r="U241">
        <v>7.4</v>
      </c>
      <c r="V241">
        <v>31.4</v>
      </c>
      <c r="W241" t="s">
        <v>38</v>
      </c>
      <c r="X241" t="s">
        <v>63</v>
      </c>
      <c r="Y241" t="s">
        <v>39</v>
      </c>
      <c r="Z241" t="s">
        <v>179</v>
      </c>
      <c r="AA241" t="s">
        <v>109</v>
      </c>
      <c r="AB241" t="s">
        <v>83</v>
      </c>
      <c r="AC241">
        <f t="shared" si="33"/>
        <v>0</v>
      </c>
      <c r="AD241" s="12">
        <f t="shared" si="37"/>
        <v>1</v>
      </c>
      <c r="AE241" s="12">
        <f t="shared" si="38"/>
        <v>0</v>
      </c>
      <c r="AF241">
        <f t="shared" si="34"/>
        <v>0</v>
      </c>
      <c r="AG241">
        <f t="shared" si="39"/>
        <v>1</v>
      </c>
      <c r="AH241">
        <f t="shared" si="40"/>
        <v>1</v>
      </c>
      <c r="AI241">
        <f t="shared" si="41"/>
        <v>0</v>
      </c>
      <c r="AJ241">
        <f t="shared" si="42"/>
        <v>0</v>
      </c>
      <c r="AK241">
        <f t="shared" si="35"/>
        <v>0</v>
      </c>
      <c r="AL241">
        <f t="shared" si="43"/>
        <v>0</v>
      </c>
    </row>
    <row r="242" spans="1:38">
      <c r="A242" t="s">
        <v>853</v>
      </c>
      <c r="B242" t="s">
        <v>854</v>
      </c>
      <c r="C242" s="1">
        <f t="shared" si="36"/>
        <v>45505</v>
      </c>
      <c r="D242" t="s">
        <v>855</v>
      </c>
      <c r="E242">
        <v>217.2</v>
      </c>
      <c r="F242">
        <v>9</v>
      </c>
      <c r="G242" t="s">
        <v>30</v>
      </c>
      <c r="H242" t="s">
        <v>31</v>
      </c>
      <c r="I242" t="s">
        <v>79</v>
      </c>
      <c r="J242">
        <v>360</v>
      </c>
      <c r="K242" t="s">
        <v>49</v>
      </c>
      <c r="L242" t="s">
        <v>34</v>
      </c>
      <c r="M242" t="s">
        <v>35</v>
      </c>
      <c r="N242" t="s">
        <v>506</v>
      </c>
      <c r="O242" t="s">
        <v>51</v>
      </c>
      <c r="P242" t="s">
        <v>38</v>
      </c>
      <c r="Q242" t="s">
        <v>38</v>
      </c>
      <c r="R242">
        <v>1</v>
      </c>
      <c r="S242" t="s">
        <v>38</v>
      </c>
      <c r="T242">
        <v>7</v>
      </c>
      <c r="U242">
        <v>2.7</v>
      </c>
      <c r="V242">
        <v>13.8</v>
      </c>
      <c r="W242" t="s">
        <v>39</v>
      </c>
      <c r="X242" t="s">
        <v>123</v>
      </c>
      <c r="Y242" t="s">
        <v>39</v>
      </c>
      <c r="Z242" t="s">
        <v>179</v>
      </c>
      <c r="AA242" t="s">
        <v>42</v>
      </c>
      <c r="AB242" t="s">
        <v>55</v>
      </c>
      <c r="AC242">
        <f t="shared" si="33"/>
        <v>0</v>
      </c>
      <c r="AD242" s="12">
        <f t="shared" si="37"/>
        <v>0</v>
      </c>
      <c r="AE242" s="12">
        <f t="shared" si="38"/>
        <v>1</v>
      </c>
      <c r="AF242">
        <f t="shared" si="34"/>
        <v>1</v>
      </c>
      <c r="AG242">
        <f t="shared" si="39"/>
        <v>0</v>
      </c>
      <c r="AH242">
        <f t="shared" si="40"/>
        <v>0</v>
      </c>
      <c r="AI242">
        <f t="shared" si="41"/>
        <v>0</v>
      </c>
      <c r="AJ242">
        <f t="shared" si="42"/>
        <v>0</v>
      </c>
      <c r="AK242">
        <f t="shared" si="35"/>
        <v>1</v>
      </c>
      <c r="AL242">
        <f t="shared" si="43"/>
        <v>0</v>
      </c>
    </row>
    <row r="243" spans="1:38">
      <c r="A243" t="s">
        <v>856</v>
      </c>
      <c r="B243" t="s">
        <v>857</v>
      </c>
      <c r="C243" s="1">
        <f t="shared" si="36"/>
        <v>45597</v>
      </c>
      <c r="D243" t="s">
        <v>858</v>
      </c>
      <c r="E243">
        <v>96.2</v>
      </c>
      <c r="F243">
        <v>4</v>
      </c>
      <c r="G243" t="s">
        <v>87</v>
      </c>
      <c r="H243" t="s">
        <v>88</v>
      </c>
      <c r="I243" t="s">
        <v>48</v>
      </c>
      <c r="J243">
        <v>120</v>
      </c>
      <c r="K243" t="s">
        <v>49</v>
      </c>
      <c r="L243" t="s">
        <v>34</v>
      </c>
      <c r="M243" t="s">
        <v>35</v>
      </c>
      <c r="N243" t="s">
        <v>414</v>
      </c>
      <c r="O243" t="s">
        <v>37</v>
      </c>
      <c r="P243" t="s">
        <v>38</v>
      </c>
      <c r="Q243" t="s">
        <v>38</v>
      </c>
      <c r="R243">
        <v>1</v>
      </c>
      <c r="S243" t="s">
        <v>38</v>
      </c>
      <c r="T243">
        <v>6</v>
      </c>
      <c r="U243">
        <v>5.4</v>
      </c>
      <c r="V243">
        <v>27.1</v>
      </c>
      <c r="W243" t="s">
        <v>38</v>
      </c>
      <c r="X243" t="s">
        <v>40</v>
      </c>
      <c r="Y243" t="s">
        <v>39</v>
      </c>
      <c r="Z243" t="s">
        <v>108</v>
      </c>
      <c r="AA243" t="s">
        <v>42</v>
      </c>
      <c r="AB243" t="s">
        <v>55</v>
      </c>
      <c r="AC243">
        <f t="shared" si="33"/>
        <v>0</v>
      </c>
      <c r="AD243" s="12">
        <f t="shared" si="37"/>
        <v>0</v>
      </c>
      <c r="AE243" s="12">
        <f t="shared" si="38"/>
        <v>0</v>
      </c>
      <c r="AF243">
        <f t="shared" si="34"/>
        <v>0</v>
      </c>
      <c r="AG243">
        <f t="shared" si="39"/>
        <v>0</v>
      </c>
      <c r="AH243">
        <f t="shared" si="40"/>
        <v>1</v>
      </c>
      <c r="AI243">
        <f t="shared" si="41"/>
        <v>0</v>
      </c>
      <c r="AJ243">
        <f t="shared" si="42"/>
        <v>0</v>
      </c>
      <c r="AK243">
        <f t="shared" si="35"/>
        <v>0</v>
      </c>
      <c r="AL243">
        <f t="shared" si="43"/>
        <v>0</v>
      </c>
    </row>
    <row r="244" spans="1:38">
      <c r="A244" t="s">
        <v>859</v>
      </c>
      <c r="B244" t="s">
        <v>860</v>
      </c>
      <c r="C244" s="1">
        <f t="shared" si="36"/>
        <v>45505</v>
      </c>
      <c r="D244" t="s">
        <v>861</v>
      </c>
      <c r="E244">
        <v>102.9</v>
      </c>
      <c r="F244">
        <v>4.3</v>
      </c>
      <c r="G244" t="s">
        <v>87</v>
      </c>
      <c r="H244" t="s">
        <v>183</v>
      </c>
      <c r="I244" t="s">
        <v>48</v>
      </c>
      <c r="J244">
        <v>120</v>
      </c>
      <c r="K244" t="s">
        <v>49</v>
      </c>
      <c r="L244" t="s">
        <v>133</v>
      </c>
      <c r="M244" t="s">
        <v>35</v>
      </c>
      <c r="N244" t="s">
        <v>36</v>
      </c>
      <c r="O244" t="s">
        <v>7232</v>
      </c>
      <c r="P244" t="s">
        <v>38</v>
      </c>
      <c r="Q244" t="s">
        <v>38</v>
      </c>
      <c r="R244">
        <v>1</v>
      </c>
      <c r="S244" t="s">
        <v>38</v>
      </c>
      <c r="T244">
        <v>5</v>
      </c>
      <c r="U244">
        <v>0.1</v>
      </c>
      <c r="V244">
        <v>12.6</v>
      </c>
      <c r="W244" t="s">
        <v>39</v>
      </c>
      <c r="X244" t="s">
        <v>52</v>
      </c>
      <c r="Y244" t="s">
        <v>39</v>
      </c>
      <c r="Z244" t="s">
        <v>115</v>
      </c>
      <c r="AA244" t="s">
        <v>54</v>
      </c>
      <c r="AB244" t="s">
        <v>83</v>
      </c>
      <c r="AC244">
        <f t="shared" si="33"/>
        <v>1</v>
      </c>
      <c r="AD244" s="12">
        <f t="shared" si="37"/>
        <v>0</v>
      </c>
      <c r="AE244" s="12">
        <f t="shared" si="38"/>
        <v>0</v>
      </c>
      <c r="AF244">
        <f t="shared" si="34"/>
        <v>0</v>
      </c>
      <c r="AG244">
        <f t="shared" si="39"/>
        <v>1</v>
      </c>
      <c r="AH244">
        <f t="shared" si="40"/>
        <v>1</v>
      </c>
      <c r="AI244">
        <f t="shared" si="41"/>
        <v>0</v>
      </c>
      <c r="AJ244">
        <f t="shared" si="42"/>
        <v>0</v>
      </c>
      <c r="AK244">
        <f t="shared" si="35"/>
        <v>0</v>
      </c>
      <c r="AL244">
        <f t="shared" si="43"/>
        <v>0</v>
      </c>
    </row>
    <row r="245" spans="1:38">
      <c r="A245" t="s">
        <v>862</v>
      </c>
      <c r="B245" t="s">
        <v>863</v>
      </c>
      <c r="C245" s="1">
        <f t="shared" si="36"/>
        <v>45383</v>
      </c>
      <c r="D245" t="s">
        <v>864</v>
      </c>
      <c r="E245">
        <v>168.1</v>
      </c>
      <c r="F245">
        <v>7</v>
      </c>
      <c r="G245" t="s">
        <v>30</v>
      </c>
      <c r="H245" t="s">
        <v>31</v>
      </c>
      <c r="I245" t="s">
        <v>32</v>
      </c>
      <c r="J245">
        <v>240</v>
      </c>
      <c r="K245" t="s">
        <v>49</v>
      </c>
      <c r="L245" t="s">
        <v>70</v>
      </c>
      <c r="M245" t="s">
        <v>35</v>
      </c>
      <c r="N245" t="s">
        <v>97</v>
      </c>
      <c r="O245" t="s">
        <v>51</v>
      </c>
      <c r="P245" t="s">
        <v>38</v>
      </c>
      <c r="Q245" t="s">
        <v>38</v>
      </c>
      <c r="R245">
        <v>1</v>
      </c>
      <c r="S245" t="s">
        <v>38</v>
      </c>
      <c r="T245">
        <v>9</v>
      </c>
      <c r="U245">
        <v>2.4</v>
      </c>
      <c r="V245">
        <v>12.3</v>
      </c>
      <c r="W245" t="s">
        <v>38</v>
      </c>
      <c r="X245" t="s">
        <v>63</v>
      </c>
      <c r="Y245" t="s">
        <v>38</v>
      </c>
      <c r="Z245" t="s">
        <v>53</v>
      </c>
      <c r="AA245" t="s">
        <v>42</v>
      </c>
      <c r="AB245" t="s">
        <v>83</v>
      </c>
      <c r="AC245">
        <f t="shared" si="33"/>
        <v>0</v>
      </c>
      <c r="AD245" s="12">
        <f t="shared" si="37"/>
        <v>1</v>
      </c>
      <c r="AE245" s="12">
        <f t="shared" si="38"/>
        <v>0</v>
      </c>
      <c r="AF245">
        <f t="shared" si="34"/>
        <v>1</v>
      </c>
      <c r="AG245">
        <f t="shared" si="39"/>
        <v>0</v>
      </c>
      <c r="AH245">
        <f t="shared" si="40"/>
        <v>0</v>
      </c>
      <c r="AI245">
        <f t="shared" si="41"/>
        <v>0</v>
      </c>
      <c r="AJ245">
        <f t="shared" si="42"/>
        <v>1</v>
      </c>
      <c r="AK245">
        <f t="shared" si="35"/>
        <v>1</v>
      </c>
      <c r="AL245">
        <f t="shared" si="43"/>
        <v>1</v>
      </c>
    </row>
    <row r="246" spans="1:38">
      <c r="A246" t="s">
        <v>865</v>
      </c>
      <c r="B246" t="s">
        <v>866</v>
      </c>
      <c r="C246" s="1">
        <f t="shared" si="36"/>
        <v>45536</v>
      </c>
      <c r="D246" t="s">
        <v>867</v>
      </c>
      <c r="E246">
        <v>161.9</v>
      </c>
      <c r="F246">
        <v>6.7</v>
      </c>
      <c r="G246" t="s">
        <v>30</v>
      </c>
      <c r="H246" t="s">
        <v>31</v>
      </c>
      <c r="I246" t="s">
        <v>32</v>
      </c>
      <c r="J246">
        <v>240</v>
      </c>
      <c r="K246" t="s">
        <v>49</v>
      </c>
      <c r="L246" t="s">
        <v>113</v>
      </c>
      <c r="M246" t="s">
        <v>35</v>
      </c>
      <c r="N246" t="s">
        <v>188</v>
      </c>
      <c r="O246" t="s">
        <v>7232</v>
      </c>
      <c r="P246" t="s">
        <v>38</v>
      </c>
      <c r="Q246" t="s">
        <v>38</v>
      </c>
      <c r="R246">
        <v>1</v>
      </c>
      <c r="S246" t="s">
        <v>38</v>
      </c>
      <c r="T246">
        <v>8</v>
      </c>
      <c r="U246">
        <v>3.6</v>
      </c>
      <c r="V246">
        <v>27.2</v>
      </c>
      <c r="W246" t="s">
        <v>39</v>
      </c>
      <c r="X246" t="s">
        <v>52</v>
      </c>
      <c r="Y246" t="s">
        <v>39</v>
      </c>
      <c r="Z246" t="s">
        <v>108</v>
      </c>
      <c r="AA246" t="s">
        <v>42</v>
      </c>
      <c r="AB246" t="s">
        <v>83</v>
      </c>
      <c r="AC246">
        <f t="shared" si="33"/>
        <v>1</v>
      </c>
      <c r="AD246" s="12">
        <f t="shared" si="37"/>
        <v>0</v>
      </c>
      <c r="AE246" s="12">
        <f t="shared" si="38"/>
        <v>0</v>
      </c>
      <c r="AF246">
        <f t="shared" si="34"/>
        <v>0</v>
      </c>
      <c r="AG246">
        <f t="shared" si="39"/>
        <v>1</v>
      </c>
      <c r="AH246">
        <f t="shared" si="40"/>
        <v>0</v>
      </c>
      <c r="AI246">
        <f t="shared" si="41"/>
        <v>0</v>
      </c>
      <c r="AJ246">
        <f t="shared" si="42"/>
        <v>1</v>
      </c>
      <c r="AK246">
        <f t="shared" si="35"/>
        <v>1</v>
      </c>
      <c r="AL246">
        <f t="shared" si="43"/>
        <v>0</v>
      </c>
    </row>
    <row r="247" spans="1:38">
      <c r="A247" t="s">
        <v>868</v>
      </c>
      <c r="B247" t="s">
        <v>869</v>
      </c>
      <c r="C247" s="1">
        <f t="shared" si="36"/>
        <v>45597</v>
      </c>
      <c r="D247" t="s">
        <v>870</v>
      </c>
      <c r="E247">
        <v>126.8</v>
      </c>
      <c r="F247">
        <v>5.3</v>
      </c>
      <c r="G247" t="s">
        <v>68</v>
      </c>
      <c r="H247" t="s">
        <v>456</v>
      </c>
      <c r="I247" t="s">
        <v>48</v>
      </c>
      <c r="J247">
        <v>120</v>
      </c>
      <c r="K247" t="s">
        <v>33</v>
      </c>
      <c r="L247" t="s">
        <v>113</v>
      </c>
      <c r="M247" t="s">
        <v>71</v>
      </c>
      <c r="N247" t="s">
        <v>72</v>
      </c>
      <c r="O247" t="s">
        <v>37</v>
      </c>
      <c r="P247" t="s">
        <v>38</v>
      </c>
      <c r="Q247" t="s">
        <v>39</v>
      </c>
      <c r="R247">
        <v>3</v>
      </c>
      <c r="S247" t="s">
        <v>39</v>
      </c>
      <c r="T247">
        <v>3</v>
      </c>
      <c r="U247">
        <v>2.2999999999999998</v>
      </c>
      <c r="V247">
        <v>11.9</v>
      </c>
      <c r="W247" t="s">
        <v>38</v>
      </c>
      <c r="X247" t="s">
        <v>63</v>
      </c>
      <c r="Y247" t="s">
        <v>39</v>
      </c>
      <c r="Z247" t="s">
        <v>115</v>
      </c>
      <c r="AA247" t="s">
        <v>103</v>
      </c>
      <c r="AB247" t="s">
        <v>55</v>
      </c>
      <c r="AC247">
        <f t="shared" si="33"/>
        <v>0</v>
      </c>
      <c r="AD247" s="12">
        <f t="shared" si="37"/>
        <v>1</v>
      </c>
      <c r="AE247" s="12">
        <f t="shared" si="38"/>
        <v>0</v>
      </c>
      <c r="AF247">
        <f t="shared" si="34"/>
        <v>0</v>
      </c>
      <c r="AG247">
        <f t="shared" si="39"/>
        <v>0</v>
      </c>
      <c r="AH247">
        <f t="shared" si="40"/>
        <v>1</v>
      </c>
      <c r="AI247">
        <f t="shared" si="41"/>
        <v>0</v>
      </c>
      <c r="AJ247">
        <f t="shared" si="42"/>
        <v>0</v>
      </c>
      <c r="AK247">
        <f t="shared" si="35"/>
        <v>0</v>
      </c>
      <c r="AL247">
        <f t="shared" si="43"/>
        <v>0</v>
      </c>
    </row>
    <row r="248" spans="1:38">
      <c r="A248" t="s">
        <v>871</v>
      </c>
      <c r="B248" t="s">
        <v>872</v>
      </c>
      <c r="C248" s="1">
        <f t="shared" si="36"/>
        <v>45474</v>
      </c>
      <c r="D248" t="s">
        <v>873</v>
      </c>
      <c r="E248">
        <v>106.7</v>
      </c>
      <c r="F248">
        <v>4.4000000000000004</v>
      </c>
      <c r="G248" t="s">
        <v>68</v>
      </c>
      <c r="H248" t="s">
        <v>456</v>
      </c>
      <c r="I248" t="s">
        <v>48</v>
      </c>
      <c r="J248">
        <v>120</v>
      </c>
      <c r="K248" t="s">
        <v>49</v>
      </c>
      <c r="L248" t="s">
        <v>96</v>
      </c>
      <c r="M248" t="s">
        <v>35</v>
      </c>
      <c r="N248" t="s">
        <v>80</v>
      </c>
      <c r="O248" t="s">
        <v>7232</v>
      </c>
      <c r="P248" t="s">
        <v>39</v>
      </c>
      <c r="Q248" t="s">
        <v>38</v>
      </c>
      <c r="R248">
        <v>0</v>
      </c>
      <c r="S248" t="s">
        <v>38</v>
      </c>
      <c r="T248">
        <v>10</v>
      </c>
      <c r="U248">
        <v>1.1000000000000001</v>
      </c>
      <c r="V248">
        <v>21.4</v>
      </c>
      <c r="W248" t="s">
        <v>39</v>
      </c>
      <c r="X248" t="s">
        <v>40</v>
      </c>
      <c r="Y248" t="s">
        <v>39</v>
      </c>
      <c r="Z248" t="s">
        <v>64</v>
      </c>
      <c r="AA248" t="s">
        <v>103</v>
      </c>
      <c r="AB248" t="s">
        <v>83</v>
      </c>
      <c r="AC248">
        <f t="shared" si="33"/>
        <v>0</v>
      </c>
      <c r="AD248" s="12">
        <f t="shared" si="37"/>
        <v>0</v>
      </c>
      <c r="AE248" s="12">
        <f t="shared" si="38"/>
        <v>0</v>
      </c>
      <c r="AF248">
        <f t="shared" si="34"/>
        <v>0</v>
      </c>
      <c r="AG248">
        <f t="shared" si="39"/>
        <v>1</v>
      </c>
      <c r="AH248">
        <f t="shared" si="40"/>
        <v>1</v>
      </c>
      <c r="AI248">
        <f t="shared" si="41"/>
        <v>0</v>
      </c>
      <c r="AJ248">
        <f t="shared" si="42"/>
        <v>0</v>
      </c>
      <c r="AK248">
        <f t="shared" si="35"/>
        <v>0</v>
      </c>
      <c r="AL248">
        <f t="shared" si="43"/>
        <v>0</v>
      </c>
    </row>
    <row r="249" spans="1:38">
      <c r="A249" t="s">
        <v>874</v>
      </c>
      <c r="B249" t="s">
        <v>875</v>
      </c>
      <c r="C249" s="1">
        <f t="shared" si="36"/>
        <v>45536</v>
      </c>
      <c r="D249" t="s">
        <v>876</v>
      </c>
      <c r="E249">
        <v>90.1</v>
      </c>
      <c r="F249">
        <v>3.8</v>
      </c>
      <c r="G249" t="s">
        <v>142</v>
      </c>
      <c r="H249" t="s">
        <v>143</v>
      </c>
      <c r="I249" t="s">
        <v>48</v>
      </c>
      <c r="J249">
        <v>120</v>
      </c>
      <c r="K249" t="s">
        <v>49</v>
      </c>
      <c r="L249" t="s">
        <v>133</v>
      </c>
      <c r="M249" t="s">
        <v>35</v>
      </c>
      <c r="N249" t="s">
        <v>277</v>
      </c>
      <c r="O249" t="s">
        <v>51</v>
      </c>
      <c r="P249" t="s">
        <v>38</v>
      </c>
      <c r="Q249" t="s">
        <v>38</v>
      </c>
      <c r="R249">
        <v>1</v>
      </c>
      <c r="S249" t="s">
        <v>38</v>
      </c>
      <c r="T249">
        <v>10</v>
      </c>
      <c r="U249">
        <v>4.0999999999999996</v>
      </c>
      <c r="V249">
        <v>10</v>
      </c>
      <c r="W249" t="s">
        <v>38</v>
      </c>
      <c r="X249" t="s">
        <v>63</v>
      </c>
      <c r="Y249" t="s">
        <v>39</v>
      </c>
      <c r="Z249" t="s">
        <v>64</v>
      </c>
      <c r="AA249" t="s">
        <v>82</v>
      </c>
      <c r="AB249" t="s">
        <v>55</v>
      </c>
      <c r="AC249">
        <f t="shared" si="33"/>
        <v>0</v>
      </c>
      <c r="AD249" s="12">
        <f t="shared" si="37"/>
        <v>1</v>
      </c>
      <c r="AE249" s="12">
        <f t="shared" si="38"/>
        <v>0</v>
      </c>
      <c r="AF249">
        <f t="shared" si="34"/>
        <v>1</v>
      </c>
      <c r="AG249">
        <f t="shared" si="39"/>
        <v>0</v>
      </c>
      <c r="AH249">
        <f t="shared" si="40"/>
        <v>1</v>
      </c>
      <c r="AI249">
        <f t="shared" si="41"/>
        <v>0</v>
      </c>
      <c r="AJ249">
        <f t="shared" si="42"/>
        <v>0</v>
      </c>
      <c r="AK249">
        <f t="shared" si="35"/>
        <v>0</v>
      </c>
      <c r="AL249">
        <f t="shared" si="43"/>
        <v>0</v>
      </c>
    </row>
    <row r="250" spans="1:38">
      <c r="A250" t="s">
        <v>877</v>
      </c>
      <c r="B250" t="s">
        <v>878</v>
      </c>
      <c r="C250" s="1">
        <f t="shared" si="36"/>
        <v>45413</v>
      </c>
      <c r="D250" t="s">
        <v>879</v>
      </c>
      <c r="E250">
        <v>294.8</v>
      </c>
      <c r="F250">
        <v>12.3</v>
      </c>
      <c r="G250" t="s">
        <v>77</v>
      </c>
      <c r="H250" t="s">
        <v>187</v>
      </c>
      <c r="I250" t="s">
        <v>79</v>
      </c>
      <c r="J250">
        <v>360</v>
      </c>
      <c r="K250" t="s">
        <v>49</v>
      </c>
      <c r="L250" t="s">
        <v>34</v>
      </c>
      <c r="M250" t="s">
        <v>35</v>
      </c>
      <c r="N250" t="s">
        <v>119</v>
      </c>
      <c r="O250" t="s">
        <v>37</v>
      </c>
      <c r="P250" t="s">
        <v>38</v>
      </c>
      <c r="Q250" t="s">
        <v>38</v>
      </c>
      <c r="R250">
        <v>1</v>
      </c>
      <c r="S250" t="s">
        <v>38</v>
      </c>
      <c r="T250">
        <v>9</v>
      </c>
      <c r="U250">
        <v>0.2</v>
      </c>
      <c r="V250">
        <v>15.3</v>
      </c>
      <c r="W250" t="s">
        <v>38</v>
      </c>
      <c r="X250" t="s">
        <v>123</v>
      </c>
      <c r="Y250" t="s">
        <v>39</v>
      </c>
      <c r="Z250" t="s">
        <v>81</v>
      </c>
      <c r="AA250" t="s">
        <v>54</v>
      </c>
      <c r="AB250" t="s">
        <v>83</v>
      </c>
      <c r="AC250">
        <f t="shared" si="33"/>
        <v>0</v>
      </c>
      <c r="AD250" s="12">
        <f t="shared" si="37"/>
        <v>0</v>
      </c>
      <c r="AE250" s="12">
        <f t="shared" si="38"/>
        <v>1</v>
      </c>
      <c r="AF250">
        <f t="shared" si="34"/>
        <v>0</v>
      </c>
      <c r="AG250">
        <f t="shared" si="39"/>
        <v>0</v>
      </c>
      <c r="AH250">
        <f t="shared" si="40"/>
        <v>0</v>
      </c>
      <c r="AI250">
        <f t="shared" si="41"/>
        <v>0</v>
      </c>
      <c r="AJ250">
        <f t="shared" si="42"/>
        <v>0</v>
      </c>
      <c r="AK250">
        <f t="shared" si="35"/>
        <v>0</v>
      </c>
      <c r="AL250">
        <f t="shared" si="43"/>
        <v>0</v>
      </c>
    </row>
    <row r="251" spans="1:38">
      <c r="A251" t="s">
        <v>880</v>
      </c>
      <c r="B251" t="s">
        <v>881</v>
      </c>
      <c r="C251" s="1">
        <f t="shared" si="36"/>
        <v>45505</v>
      </c>
      <c r="D251" t="s">
        <v>882</v>
      </c>
      <c r="E251">
        <v>41.7</v>
      </c>
      <c r="F251">
        <v>1.7</v>
      </c>
      <c r="G251" t="s">
        <v>87</v>
      </c>
      <c r="H251" t="s">
        <v>88</v>
      </c>
      <c r="I251" t="s">
        <v>95</v>
      </c>
      <c r="J251">
        <v>48</v>
      </c>
      <c r="K251" t="s">
        <v>49</v>
      </c>
      <c r="L251" t="s">
        <v>70</v>
      </c>
      <c r="M251" t="s">
        <v>71</v>
      </c>
      <c r="N251" t="s">
        <v>506</v>
      </c>
      <c r="O251" t="s">
        <v>7232</v>
      </c>
      <c r="P251" t="s">
        <v>38</v>
      </c>
      <c r="Q251" t="s">
        <v>39</v>
      </c>
      <c r="R251">
        <v>2</v>
      </c>
      <c r="S251" t="s">
        <v>38</v>
      </c>
      <c r="T251">
        <v>10</v>
      </c>
      <c r="U251">
        <v>4.4000000000000004</v>
      </c>
      <c r="V251">
        <v>27.6</v>
      </c>
      <c r="W251" t="s">
        <v>38</v>
      </c>
      <c r="X251" t="s">
        <v>40</v>
      </c>
      <c r="Y251" t="s">
        <v>39</v>
      </c>
      <c r="Z251" t="s">
        <v>64</v>
      </c>
      <c r="AA251" t="s">
        <v>82</v>
      </c>
      <c r="AB251" t="s">
        <v>43</v>
      </c>
      <c r="AC251">
        <f t="shared" si="33"/>
        <v>0</v>
      </c>
      <c r="AD251" s="12">
        <f t="shared" si="37"/>
        <v>0</v>
      </c>
      <c r="AE251" s="12">
        <f t="shared" si="38"/>
        <v>0</v>
      </c>
      <c r="AF251">
        <f t="shared" si="34"/>
        <v>0</v>
      </c>
      <c r="AG251">
        <f t="shared" si="39"/>
        <v>1</v>
      </c>
      <c r="AH251">
        <f t="shared" si="40"/>
        <v>0</v>
      </c>
      <c r="AI251">
        <f t="shared" si="41"/>
        <v>1</v>
      </c>
      <c r="AJ251">
        <f t="shared" si="42"/>
        <v>0</v>
      </c>
      <c r="AK251">
        <f t="shared" si="35"/>
        <v>0</v>
      </c>
      <c r="AL251">
        <f t="shared" si="43"/>
        <v>0</v>
      </c>
    </row>
    <row r="252" spans="1:38">
      <c r="A252" t="s">
        <v>883</v>
      </c>
      <c r="B252" t="s">
        <v>884</v>
      </c>
      <c r="C252" s="1">
        <f t="shared" si="36"/>
        <v>45627</v>
      </c>
      <c r="D252" t="s">
        <v>885</v>
      </c>
      <c r="E252">
        <v>336.7</v>
      </c>
      <c r="F252">
        <v>14</v>
      </c>
      <c r="G252" t="s">
        <v>142</v>
      </c>
      <c r="H252" t="s">
        <v>143</v>
      </c>
      <c r="I252" t="s">
        <v>79</v>
      </c>
      <c r="J252">
        <v>360</v>
      </c>
      <c r="K252" t="s">
        <v>49</v>
      </c>
      <c r="L252" t="s">
        <v>113</v>
      </c>
      <c r="M252" t="s">
        <v>71</v>
      </c>
      <c r="N252" t="s">
        <v>164</v>
      </c>
      <c r="O252" t="s">
        <v>37</v>
      </c>
      <c r="P252" t="s">
        <v>38</v>
      </c>
      <c r="Q252" t="s">
        <v>39</v>
      </c>
      <c r="R252">
        <v>4</v>
      </c>
      <c r="S252" t="s">
        <v>38</v>
      </c>
      <c r="T252">
        <v>10</v>
      </c>
      <c r="U252">
        <v>0.1</v>
      </c>
      <c r="V252">
        <v>18.899999999999999</v>
      </c>
      <c r="W252" t="s">
        <v>38</v>
      </c>
      <c r="X252" t="s">
        <v>63</v>
      </c>
      <c r="Y252" t="s">
        <v>38</v>
      </c>
      <c r="Z252" t="s">
        <v>81</v>
      </c>
      <c r="AA252" t="s">
        <v>82</v>
      </c>
      <c r="AB252" t="s">
        <v>83</v>
      </c>
      <c r="AC252">
        <f t="shared" si="33"/>
        <v>0</v>
      </c>
      <c r="AD252" s="12">
        <f t="shared" si="37"/>
        <v>1</v>
      </c>
      <c r="AE252" s="12">
        <f t="shared" si="38"/>
        <v>0</v>
      </c>
      <c r="AF252">
        <f t="shared" si="34"/>
        <v>0</v>
      </c>
      <c r="AG252">
        <f t="shared" si="39"/>
        <v>0</v>
      </c>
      <c r="AH252">
        <f t="shared" si="40"/>
        <v>0</v>
      </c>
      <c r="AI252">
        <f t="shared" si="41"/>
        <v>0</v>
      </c>
      <c r="AJ252">
        <f t="shared" si="42"/>
        <v>0</v>
      </c>
      <c r="AK252">
        <f t="shared" si="35"/>
        <v>0</v>
      </c>
      <c r="AL252">
        <f t="shared" si="43"/>
        <v>1</v>
      </c>
    </row>
    <row r="253" spans="1:38">
      <c r="A253" t="s">
        <v>886</v>
      </c>
      <c r="B253" t="s">
        <v>887</v>
      </c>
      <c r="C253" s="1">
        <f t="shared" si="36"/>
        <v>45627</v>
      </c>
      <c r="D253" t="s">
        <v>888</v>
      </c>
      <c r="E253">
        <v>437.6</v>
      </c>
      <c r="F253">
        <v>18.2</v>
      </c>
      <c r="G253" t="s">
        <v>101</v>
      </c>
      <c r="H253" t="s">
        <v>442</v>
      </c>
      <c r="I253" t="s">
        <v>79</v>
      </c>
      <c r="J253">
        <v>360</v>
      </c>
      <c r="K253" t="s">
        <v>33</v>
      </c>
      <c r="L253" t="s">
        <v>34</v>
      </c>
      <c r="M253" t="s">
        <v>35</v>
      </c>
      <c r="N253" t="s">
        <v>192</v>
      </c>
      <c r="O253" t="s">
        <v>37</v>
      </c>
      <c r="P253" t="s">
        <v>39</v>
      </c>
      <c r="Q253" t="s">
        <v>38</v>
      </c>
      <c r="R253">
        <v>0</v>
      </c>
      <c r="S253" t="s">
        <v>38</v>
      </c>
      <c r="T253">
        <v>8</v>
      </c>
      <c r="U253">
        <v>3.9</v>
      </c>
      <c r="V253">
        <v>17.600000000000001</v>
      </c>
      <c r="W253" t="s">
        <v>38</v>
      </c>
      <c r="X253" t="s">
        <v>52</v>
      </c>
      <c r="Y253" t="s">
        <v>38</v>
      </c>
      <c r="Z253" t="s">
        <v>81</v>
      </c>
      <c r="AA253" t="s">
        <v>42</v>
      </c>
      <c r="AB253" t="s">
        <v>43</v>
      </c>
      <c r="AC253">
        <f t="shared" si="33"/>
        <v>1</v>
      </c>
      <c r="AD253" s="12">
        <f t="shared" si="37"/>
        <v>0</v>
      </c>
      <c r="AE253" s="12">
        <f t="shared" si="38"/>
        <v>0</v>
      </c>
      <c r="AF253">
        <f t="shared" si="34"/>
        <v>0</v>
      </c>
      <c r="AG253">
        <f t="shared" si="39"/>
        <v>0</v>
      </c>
      <c r="AH253">
        <f t="shared" si="40"/>
        <v>0</v>
      </c>
      <c r="AI253">
        <f t="shared" si="41"/>
        <v>0</v>
      </c>
      <c r="AJ253">
        <f t="shared" si="42"/>
        <v>0</v>
      </c>
      <c r="AK253">
        <f t="shared" si="35"/>
        <v>0</v>
      </c>
      <c r="AL253">
        <f t="shared" si="43"/>
        <v>1</v>
      </c>
    </row>
    <row r="254" spans="1:38">
      <c r="A254" t="s">
        <v>889</v>
      </c>
      <c r="B254" t="s">
        <v>890</v>
      </c>
      <c r="C254" s="1">
        <f t="shared" si="36"/>
        <v>45627</v>
      </c>
      <c r="D254" t="s">
        <v>891</v>
      </c>
      <c r="E254">
        <v>198.2</v>
      </c>
      <c r="F254">
        <v>8.3000000000000007</v>
      </c>
      <c r="G254" t="s">
        <v>68</v>
      </c>
      <c r="H254" t="s">
        <v>456</v>
      </c>
      <c r="I254" t="s">
        <v>48</v>
      </c>
      <c r="J254">
        <v>120</v>
      </c>
      <c r="K254" t="s">
        <v>33</v>
      </c>
      <c r="L254" t="s">
        <v>96</v>
      </c>
      <c r="M254" t="s">
        <v>35</v>
      </c>
      <c r="N254" t="s">
        <v>50</v>
      </c>
      <c r="O254" t="s">
        <v>51</v>
      </c>
      <c r="P254" t="s">
        <v>39</v>
      </c>
      <c r="Q254" t="s">
        <v>38</v>
      </c>
      <c r="R254">
        <v>0</v>
      </c>
      <c r="S254" t="s">
        <v>39</v>
      </c>
      <c r="T254">
        <v>8</v>
      </c>
      <c r="U254">
        <v>4.0999999999999996</v>
      </c>
      <c r="V254">
        <v>10.3</v>
      </c>
      <c r="W254" t="s">
        <v>38</v>
      </c>
      <c r="X254" t="s">
        <v>52</v>
      </c>
      <c r="Y254" t="s">
        <v>39</v>
      </c>
      <c r="Z254" t="s">
        <v>81</v>
      </c>
      <c r="AA254" t="s">
        <v>82</v>
      </c>
      <c r="AB254" t="s">
        <v>55</v>
      </c>
      <c r="AC254">
        <f t="shared" si="33"/>
        <v>1</v>
      </c>
      <c r="AD254" s="12">
        <f t="shared" si="37"/>
        <v>0</v>
      </c>
      <c r="AE254" s="12">
        <f t="shared" si="38"/>
        <v>0</v>
      </c>
      <c r="AF254">
        <f t="shared" si="34"/>
        <v>1</v>
      </c>
      <c r="AG254">
        <f t="shared" si="39"/>
        <v>0</v>
      </c>
      <c r="AH254">
        <f t="shared" si="40"/>
        <v>1</v>
      </c>
      <c r="AI254">
        <f t="shared" si="41"/>
        <v>0</v>
      </c>
      <c r="AJ254">
        <f t="shared" si="42"/>
        <v>0</v>
      </c>
      <c r="AK254">
        <f t="shared" si="35"/>
        <v>0</v>
      </c>
      <c r="AL254">
        <f t="shared" si="43"/>
        <v>0</v>
      </c>
    </row>
    <row r="255" spans="1:38">
      <c r="A255" t="s">
        <v>892</v>
      </c>
      <c r="B255" t="s">
        <v>893</v>
      </c>
      <c r="C255" s="1">
        <f t="shared" si="36"/>
        <v>45323</v>
      </c>
      <c r="D255" t="s">
        <v>894</v>
      </c>
      <c r="E255">
        <v>361.5</v>
      </c>
      <c r="F255">
        <v>15.1</v>
      </c>
      <c r="G255" t="s">
        <v>101</v>
      </c>
      <c r="H255" t="s">
        <v>442</v>
      </c>
      <c r="I255" t="s">
        <v>79</v>
      </c>
      <c r="J255">
        <v>360</v>
      </c>
      <c r="K255" t="s">
        <v>33</v>
      </c>
      <c r="L255" t="s">
        <v>34</v>
      </c>
      <c r="M255" t="s">
        <v>35</v>
      </c>
      <c r="N255" t="s">
        <v>50</v>
      </c>
      <c r="O255" t="s">
        <v>37</v>
      </c>
      <c r="P255" t="s">
        <v>38</v>
      </c>
      <c r="Q255" t="s">
        <v>38</v>
      </c>
      <c r="R255">
        <v>1</v>
      </c>
      <c r="S255" t="s">
        <v>38</v>
      </c>
      <c r="T255">
        <v>6</v>
      </c>
      <c r="U255">
        <v>0.1</v>
      </c>
      <c r="V255">
        <v>24.7</v>
      </c>
      <c r="W255" t="s">
        <v>39</v>
      </c>
      <c r="X255" t="s">
        <v>123</v>
      </c>
      <c r="Y255" t="s">
        <v>38</v>
      </c>
      <c r="Z255" t="s">
        <v>64</v>
      </c>
      <c r="AA255" t="s">
        <v>103</v>
      </c>
      <c r="AB255" t="s">
        <v>83</v>
      </c>
      <c r="AC255">
        <f t="shared" si="33"/>
        <v>0</v>
      </c>
      <c r="AD255" s="12">
        <f t="shared" si="37"/>
        <v>0</v>
      </c>
      <c r="AE255" s="12">
        <f t="shared" si="38"/>
        <v>1</v>
      </c>
      <c r="AF255">
        <f t="shared" si="34"/>
        <v>0</v>
      </c>
      <c r="AG255">
        <f t="shared" si="39"/>
        <v>0</v>
      </c>
      <c r="AH255">
        <f t="shared" si="40"/>
        <v>0</v>
      </c>
      <c r="AI255">
        <f t="shared" si="41"/>
        <v>0</v>
      </c>
      <c r="AJ255">
        <f t="shared" si="42"/>
        <v>0</v>
      </c>
      <c r="AK255">
        <f t="shared" si="35"/>
        <v>0</v>
      </c>
      <c r="AL255">
        <f t="shared" si="43"/>
        <v>1</v>
      </c>
    </row>
    <row r="256" spans="1:38">
      <c r="A256" t="s">
        <v>895</v>
      </c>
      <c r="B256" t="s">
        <v>896</v>
      </c>
      <c r="C256" s="1">
        <f t="shared" si="36"/>
        <v>45383</v>
      </c>
      <c r="D256" t="s">
        <v>897</v>
      </c>
      <c r="E256">
        <v>319</v>
      </c>
      <c r="F256">
        <v>13.3</v>
      </c>
      <c r="G256" t="s">
        <v>30</v>
      </c>
      <c r="H256" t="s">
        <v>159</v>
      </c>
      <c r="I256" t="s">
        <v>32</v>
      </c>
      <c r="J256">
        <v>240</v>
      </c>
      <c r="K256" t="s">
        <v>33</v>
      </c>
      <c r="L256" t="s">
        <v>34</v>
      </c>
      <c r="M256" t="s">
        <v>35</v>
      </c>
      <c r="N256" t="s">
        <v>128</v>
      </c>
      <c r="O256" t="s">
        <v>51</v>
      </c>
      <c r="P256" t="s">
        <v>39</v>
      </c>
      <c r="Q256" t="s">
        <v>38</v>
      </c>
      <c r="R256">
        <v>0</v>
      </c>
      <c r="S256" t="s">
        <v>38</v>
      </c>
      <c r="T256">
        <v>5</v>
      </c>
      <c r="U256">
        <v>1</v>
      </c>
      <c r="V256">
        <v>24.8</v>
      </c>
      <c r="W256" t="s">
        <v>39</v>
      </c>
      <c r="X256" t="s">
        <v>40</v>
      </c>
      <c r="Y256" t="s">
        <v>39</v>
      </c>
      <c r="Z256" t="s">
        <v>41</v>
      </c>
      <c r="AA256" t="s">
        <v>103</v>
      </c>
      <c r="AB256" t="s">
        <v>55</v>
      </c>
      <c r="AC256">
        <f t="shared" si="33"/>
        <v>0</v>
      </c>
      <c r="AD256" s="12">
        <f t="shared" si="37"/>
        <v>0</v>
      </c>
      <c r="AE256" s="12">
        <f t="shared" si="38"/>
        <v>0</v>
      </c>
      <c r="AF256">
        <f t="shared" si="34"/>
        <v>1</v>
      </c>
      <c r="AG256">
        <f t="shared" si="39"/>
        <v>0</v>
      </c>
      <c r="AH256">
        <f t="shared" si="40"/>
        <v>0</v>
      </c>
      <c r="AI256">
        <f t="shared" si="41"/>
        <v>0</v>
      </c>
      <c r="AJ256">
        <f t="shared" si="42"/>
        <v>1</v>
      </c>
      <c r="AK256">
        <f t="shared" si="35"/>
        <v>1</v>
      </c>
      <c r="AL256">
        <f t="shared" si="43"/>
        <v>0</v>
      </c>
    </row>
    <row r="257" spans="1:38">
      <c r="A257" t="s">
        <v>898</v>
      </c>
      <c r="B257" t="s">
        <v>899</v>
      </c>
      <c r="C257" s="1">
        <f t="shared" si="36"/>
        <v>45323</v>
      </c>
      <c r="D257" t="s">
        <v>900</v>
      </c>
      <c r="E257">
        <v>295.89999999999998</v>
      </c>
      <c r="F257">
        <v>12.3</v>
      </c>
      <c r="G257" t="s">
        <v>101</v>
      </c>
      <c r="H257" t="s">
        <v>368</v>
      </c>
      <c r="I257" t="s">
        <v>32</v>
      </c>
      <c r="J257">
        <v>240</v>
      </c>
      <c r="K257" t="s">
        <v>33</v>
      </c>
      <c r="L257" t="s">
        <v>70</v>
      </c>
      <c r="M257" t="s">
        <v>35</v>
      </c>
      <c r="N257" t="s">
        <v>168</v>
      </c>
      <c r="O257" t="s">
        <v>37</v>
      </c>
      <c r="P257" t="s">
        <v>38</v>
      </c>
      <c r="Q257" t="s">
        <v>38</v>
      </c>
      <c r="R257">
        <v>1</v>
      </c>
      <c r="S257" t="s">
        <v>39</v>
      </c>
      <c r="T257">
        <v>7</v>
      </c>
      <c r="U257">
        <v>0.1</v>
      </c>
      <c r="V257">
        <v>8.9</v>
      </c>
      <c r="W257" t="s">
        <v>38</v>
      </c>
      <c r="X257" t="s">
        <v>52</v>
      </c>
      <c r="Y257" t="s">
        <v>38</v>
      </c>
      <c r="Z257" t="s">
        <v>41</v>
      </c>
      <c r="AA257" t="s">
        <v>54</v>
      </c>
      <c r="AB257" t="s">
        <v>43</v>
      </c>
      <c r="AC257">
        <f t="shared" si="33"/>
        <v>1</v>
      </c>
      <c r="AD257" s="12">
        <f t="shared" si="37"/>
        <v>0</v>
      </c>
      <c r="AE257" s="12">
        <f t="shared" si="38"/>
        <v>0</v>
      </c>
      <c r="AF257">
        <f t="shared" si="34"/>
        <v>0</v>
      </c>
      <c r="AG257">
        <f t="shared" si="39"/>
        <v>0</v>
      </c>
      <c r="AH257">
        <f t="shared" si="40"/>
        <v>0</v>
      </c>
      <c r="AI257">
        <f t="shared" si="41"/>
        <v>0</v>
      </c>
      <c r="AJ257">
        <f t="shared" si="42"/>
        <v>1</v>
      </c>
      <c r="AK257">
        <f t="shared" si="35"/>
        <v>0</v>
      </c>
      <c r="AL257">
        <f t="shared" si="43"/>
        <v>1</v>
      </c>
    </row>
    <row r="258" spans="1:38">
      <c r="A258" t="s">
        <v>901</v>
      </c>
      <c r="B258" t="s">
        <v>902</v>
      </c>
      <c r="C258" s="1">
        <f t="shared" si="36"/>
        <v>45474</v>
      </c>
      <c r="D258" t="s">
        <v>903</v>
      </c>
      <c r="E258">
        <v>96</v>
      </c>
      <c r="F258">
        <v>4</v>
      </c>
      <c r="G258" t="s">
        <v>101</v>
      </c>
      <c r="H258" t="s">
        <v>295</v>
      </c>
      <c r="I258" t="s">
        <v>48</v>
      </c>
      <c r="J258">
        <v>120</v>
      </c>
      <c r="K258" t="s">
        <v>49</v>
      </c>
      <c r="L258" t="s">
        <v>96</v>
      </c>
      <c r="M258" t="s">
        <v>35</v>
      </c>
      <c r="N258" t="s">
        <v>128</v>
      </c>
      <c r="O258" t="s">
        <v>7232</v>
      </c>
      <c r="P258" t="s">
        <v>38</v>
      </c>
      <c r="Q258" t="s">
        <v>38</v>
      </c>
      <c r="R258">
        <v>1</v>
      </c>
      <c r="S258" t="s">
        <v>38</v>
      </c>
      <c r="T258">
        <v>9</v>
      </c>
      <c r="U258">
        <v>0.1</v>
      </c>
      <c r="V258">
        <v>36.1</v>
      </c>
      <c r="W258" t="s">
        <v>38</v>
      </c>
      <c r="X258" t="s">
        <v>52</v>
      </c>
      <c r="Y258" t="s">
        <v>38</v>
      </c>
      <c r="Z258" t="s">
        <v>115</v>
      </c>
      <c r="AA258" t="s">
        <v>82</v>
      </c>
      <c r="AB258" t="s">
        <v>83</v>
      </c>
      <c r="AC258">
        <f t="shared" ref="AC258:AC321" si="44">IF(X258="Poor", 1, 0)</f>
        <v>1</v>
      </c>
      <c r="AD258" s="12">
        <f t="shared" si="37"/>
        <v>0</v>
      </c>
      <c r="AE258" s="12">
        <f t="shared" si="38"/>
        <v>0</v>
      </c>
      <c r="AF258">
        <f t="shared" ref="AF258:AF321" si="45">IF(O258="Junior", 1, 0)</f>
        <v>0</v>
      </c>
      <c r="AG258">
        <f t="shared" si="39"/>
        <v>1</v>
      </c>
      <c r="AH258">
        <f t="shared" si="40"/>
        <v>1</v>
      </c>
      <c r="AI258">
        <f t="shared" si="41"/>
        <v>0</v>
      </c>
      <c r="AJ258">
        <f t="shared" si="42"/>
        <v>0</v>
      </c>
      <c r="AK258">
        <f t="shared" ref="AK258:AK321" si="46">IF(G258="Access Requests", 1, 0)</f>
        <v>0</v>
      </c>
      <c r="AL258">
        <f t="shared" si="43"/>
        <v>1</v>
      </c>
    </row>
    <row r="259" spans="1:38">
      <c r="A259" t="s">
        <v>904</v>
      </c>
      <c r="B259" t="s">
        <v>905</v>
      </c>
      <c r="C259" s="1">
        <f t="shared" ref="C259:C322" si="47">DATE(YEAR(B259),MONTH(B259),1)</f>
        <v>45536</v>
      </c>
      <c r="D259" t="s">
        <v>906</v>
      </c>
      <c r="E259">
        <v>204.8</v>
      </c>
      <c r="F259">
        <v>8.5</v>
      </c>
      <c r="G259" t="s">
        <v>101</v>
      </c>
      <c r="H259" t="s">
        <v>102</v>
      </c>
      <c r="I259" t="s">
        <v>32</v>
      </c>
      <c r="J259">
        <v>240</v>
      </c>
      <c r="K259" t="s">
        <v>49</v>
      </c>
      <c r="L259" t="s">
        <v>70</v>
      </c>
      <c r="M259" t="s">
        <v>35</v>
      </c>
      <c r="N259" t="s">
        <v>36</v>
      </c>
      <c r="O259" t="s">
        <v>51</v>
      </c>
      <c r="P259" t="s">
        <v>38</v>
      </c>
      <c r="Q259" t="s">
        <v>38</v>
      </c>
      <c r="R259">
        <v>1</v>
      </c>
      <c r="S259" t="s">
        <v>38</v>
      </c>
      <c r="T259">
        <v>9</v>
      </c>
      <c r="U259">
        <v>3.7</v>
      </c>
      <c r="V259">
        <v>22.2</v>
      </c>
      <c r="W259" t="s">
        <v>38</v>
      </c>
      <c r="X259" t="s">
        <v>123</v>
      </c>
      <c r="Y259" t="s">
        <v>38</v>
      </c>
      <c r="Z259" t="s">
        <v>81</v>
      </c>
      <c r="AA259" t="s">
        <v>54</v>
      </c>
      <c r="AB259" t="s">
        <v>55</v>
      </c>
      <c r="AC259">
        <f t="shared" si="44"/>
        <v>0</v>
      </c>
      <c r="AD259" s="12">
        <f t="shared" ref="AD259:AD322" si="48">IF(X259="Fair", 1, 0)</f>
        <v>0</v>
      </c>
      <c r="AE259" s="12">
        <f t="shared" ref="AE259:AE322" si="49">IF(X259="Good", 1, 0)</f>
        <v>1</v>
      </c>
      <c r="AF259">
        <f t="shared" si="45"/>
        <v>1</v>
      </c>
      <c r="AG259">
        <f t="shared" ref="AG259:AG322" si="50">IF(O259="Mid", 1, 0)</f>
        <v>0</v>
      </c>
      <c r="AH259">
        <f t="shared" ref="AH259:AH322" si="51">IF(I259="High", 1, 0)</f>
        <v>0</v>
      </c>
      <c r="AI259">
        <f t="shared" ref="AI259:AI322" si="52">IF(I259="Critical", 1, 0)</f>
        <v>0</v>
      </c>
      <c r="AJ259">
        <f t="shared" ref="AJ259:AJ322" si="53">IF(I259="Medium", 1, 0)</f>
        <v>1</v>
      </c>
      <c r="AK259">
        <f t="shared" si="46"/>
        <v>0</v>
      </c>
      <c r="AL259">
        <f t="shared" ref="AL259:AL322" si="54">IF(Y259="No", 1, 0)</f>
        <v>1</v>
      </c>
    </row>
    <row r="260" spans="1:38">
      <c r="A260" t="s">
        <v>907</v>
      </c>
      <c r="B260" t="s">
        <v>908</v>
      </c>
      <c r="C260" s="1">
        <f t="shared" si="47"/>
        <v>45292</v>
      </c>
      <c r="D260" t="s">
        <v>909</v>
      </c>
      <c r="E260">
        <v>187.8</v>
      </c>
      <c r="F260">
        <v>7.8</v>
      </c>
      <c r="G260" t="s">
        <v>101</v>
      </c>
      <c r="H260" t="s">
        <v>102</v>
      </c>
      <c r="I260" t="s">
        <v>32</v>
      </c>
      <c r="J260">
        <v>240</v>
      </c>
      <c r="K260" t="s">
        <v>49</v>
      </c>
      <c r="L260" t="s">
        <v>96</v>
      </c>
      <c r="M260" t="s">
        <v>35</v>
      </c>
      <c r="N260" t="s">
        <v>114</v>
      </c>
      <c r="O260" t="s">
        <v>51</v>
      </c>
      <c r="P260" t="s">
        <v>38</v>
      </c>
      <c r="Q260" t="s">
        <v>38</v>
      </c>
      <c r="R260">
        <v>1</v>
      </c>
      <c r="S260" t="s">
        <v>38</v>
      </c>
      <c r="T260">
        <v>7</v>
      </c>
      <c r="U260">
        <v>1.5</v>
      </c>
      <c r="V260">
        <v>21.7</v>
      </c>
      <c r="W260" t="s">
        <v>39</v>
      </c>
      <c r="X260" t="s">
        <v>123</v>
      </c>
      <c r="Y260" t="s">
        <v>39</v>
      </c>
      <c r="Z260" t="s">
        <v>53</v>
      </c>
      <c r="AA260" t="s">
        <v>42</v>
      </c>
      <c r="AB260" t="s">
        <v>43</v>
      </c>
      <c r="AC260">
        <f t="shared" si="44"/>
        <v>0</v>
      </c>
      <c r="AD260" s="12">
        <f t="shared" si="48"/>
        <v>0</v>
      </c>
      <c r="AE260" s="12">
        <f t="shared" si="49"/>
        <v>1</v>
      </c>
      <c r="AF260">
        <f t="shared" si="45"/>
        <v>1</v>
      </c>
      <c r="AG260">
        <f t="shared" si="50"/>
        <v>0</v>
      </c>
      <c r="AH260">
        <f t="shared" si="51"/>
        <v>0</v>
      </c>
      <c r="AI260">
        <f t="shared" si="52"/>
        <v>0</v>
      </c>
      <c r="AJ260">
        <f t="shared" si="53"/>
        <v>1</v>
      </c>
      <c r="AK260">
        <f t="shared" si="46"/>
        <v>0</v>
      </c>
      <c r="AL260">
        <f t="shared" si="54"/>
        <v>0</v>
      </c>
    </row>
    <row r="261" spans="1:38">
      <c r="A261" t="s">
        <v>910</v>
      </c>
      <c r="B261" t="s">
        <v>911</v>
      </c>
      <c r="C261" s="1">
        <f t="shared" si="47"/>
        <v>45536</v>
      </c>
      <c r="D261" t="s">
        <v>912</v>
      </c>
      <c r="E261">
        <v>220.4</v>
      </c>
      <c r="F261">
        <v>9.1999999999999993</v>
      </c>
      <c r="G261" t="s">
        <v>77</v>
      </c>
      <c r="H261" t="s">
        <v>78</v>
      </c>
      <c r="I261" t="s">
        <v>79</v>
      </c>
      <c r="J261">
        <v>360</v>
      </c>
      <c r="K261" t="s">
        <v>49</v>
      </c>
      <c r="L261" t="s">
        <v>96</v>
      </c>
      <c r="M261" t="s">
        <v>35</v>
      </c>
      <c r="N261" t="s">
        <v>107</v>
      </c>
      <c r="O261" t="s">
        <v>7232</v>
      </c>
      <c r="P261" t="s">
        <v>39</v>
      </c>
      <c r="Q261" t="s">
        <v>38</v>
      </c>
      <c r="R261">
        <v>0</v>
      </c>
      <c r="S261" t="s">
        <v>38</v>
      </c>
      <c r="T261">
        <v>10</v>
      </c>
      <c r="U261">
        <v>5.9</v>
      </c>
      <c r="V261">
        <v>0</v>
      </c>
      <c r="W261" t="s">
        <v>38</v>
      </c>
      <c r="X261" t="s">
        <v>40</v>
      </c>
      <c r="Y261" t="s">
        <v>38</v>
      </c>
      <c r="Z261" t="s">
        <v>53</v>
      </c>
      <c r="AA261" t="s">
        <v>54</v>
      </c>
      <c r="AB261" t="s">
        <v>83</v>
      </c>
      <c r="AC261">
        <f t="shared" si="44"/>
        <v>0</v>
      </c>
      <c r="AD261" s="12">
        <f t="shared" si="48"/>
        <v>0</v>
      </c>
      <c r="AE261" s="12">
        <f t="shared" si="49"/>
        <v>0</v>
      </c>
      <c r="AF261">
        <f t="shared" si="45"/>
        <v>0</v>
      </c>
      <c r="AG261">
        <f t="shared" si="50"/>
        <v>1</v>
      </c>
      <c r="AH261">
        <f t="shared" si="51"/>
        <v>0</v>
      </c>
      <c r="AI261">
        <f t="shared" si="52"/>
        <v>0</v>
      </c>
      <c r="AJ261">
        <f t="shared" si="53"/>
        <v>0</v>
      </c>
      <c r="AK261">
        <f t="shared" si="46"/>
        <v>0</v>
      </c>
      <c r="AL261">
        <f t="shared" si="54"/>
        <v>1</v>
      </c>
    </row>
    <row r="262" spans="1:38">
      <c r="A262" t="s">
        <v>913</v>
      </c>
      <c r="B262" t="s">
        <v>914</v>
      </c>
      <c r="C262" s="1">
        <f t="shared" si="47"/>
        <v>45323</v>
      </c>
      <c r="D262" t="s">
        <v>915</v>
      </c>
      <c r="E262">
        <v>179.2</v>
      </c>
      <c r="F262">
        <v>7.5</v>
      </c>
      <c r="G262" t="s">
        <v>68</v>
      </c>
      <c r="H262" t="s">
        <v>69</v>
      </c>
      <c r="I262" t="s">
        <v>32</v>
      </c>
      <c r="J262">
        <v>240</v>
      </c>
      <c r="K262" t="s">
        <v>49</v>
      </c>
      <c r="L262" t="s">
        <v>96</v>
      </c>
      <c r="M262" t="s">
        <v>71</v>
      </c>
      <c r="N262" t="s">
        <v>506</v>
      </c>
      <c r="O262" t="s">
        <v>51</v>
      </c>
      <c r="P262" t="s">
        <v>38</v>
      </c>
      <c r="Q262" t="s">
        <v>39</v>
      </c>
      <c r="R262">
        <v>3</v>
      </c>
      <c r="S262" t="s">
        <v>38</v>
      </c>
      <c r="T262">
        <v>10</v>
      </c>
      <c r="U262">
        <v>4.5</v>
      </c>
      <c r="V262">
        <v>31.8</v>
      </c>
      <c r="W262" t="s">
        <v>38</v>
      </c>
      <c r="X262" t="s">
        <v>63</v>
      </c>
      <c r="Y262" t="s">
        <v>39</v>
      </c>
      <c r="Z262" t="s">
        <v>53</v>
      </c>
      <c r="AA262" t="s">
        <v>54</v>
      </c>
      <c r="AB262" t="s">
        <v>55</v>
      </c>
      <c r="AC262">
        <f t="shared" si="44"/>
        <v>0</v>
      </c>
      <c r="AD262" s="12">
        <f t="shared" si="48"/>
        <v>1</v>
      </c>
      <c r="AE262" s="12">
        <f t="shared" si="49"/>
        <v>0</v>
      </c>
      <c r="AF262">
        <f t="shared" si="45"/>
        <v>1</v>
      </c>
      <c r="AG262">
        <f t="shared" si="50"/>
        <v>0</v>
      </c>
      <c r="AH262">
        <f t="shared" si="51"/>
        <v>0</v>
      </c>
      <c r="AI262">
        <f t="shared" si="52"/>
        <v>0</v>
      </c>
      <c r="AJ262">
        <f t="shared" si="53"/>
        <v>1</v>
      </c>
      <c r="AK262">
        <f t="shared" si="46"/>
        <v>0</v>
      </c>
      <c r="AL262">
        <f t="shared" si="54"/>
        <v>0</v>
      </c>
    </row>
    <row r="263" spans="1:38">
      <c r="A263" t="s">
        <v>916</v>
      </c>
      <c r="B263" t="s">
        <v>917</v>
      </c>
      <c r="C263" s="1">
        <f t="shared" si="47"/>
        <v>45413</v>
      </c>
      <c r="D263" t="s">
        <v>918</v>
      </c>
      <c r="E263">
        <v>156.9</v>
      </c>
      <c r="F263">
        <v>6.5</v>
      </c>
      <c r="G263" t="s">
        <v>68</v>
      </c>
      <c r="H263" t="s">
        <v>212</v>
      </c>
      <c r="I263" t="s">
        <v>32</v>
      </c>
      <c r="J263">
        <v>240</v>
      </c>
      <c r="K263" t="s">
        <v>49</v>
      </c>
      <c r="L263" t="s">
        <v>70</v>
      </c>
      <c r="M263" t="s">
        <v>35</v>
      </c>
      <c r="N263" t="s">
        <v>61</v>
      </c>
      <c r="O263" t="s">
        <v>51</v>
      </c>
      <c r="P263" t="s">
        <v>39</v>
      </c>
      <c r="Q263" t="s">
        <v>38</v>
      </c>
      <c r="R263">
        <v>0</v>
      </c>
      <c r="S263" t="s">
        <v>38</v>
      </c>
      <c r="T263">
        <v>8</v>
      </c>
      <c r="U263">
        <v>0.2</v>
      </c>
      <c r="V263">
        <v>21.4</v>
      </c>
      <c r="W263" t="s">
        <v>39</v>
      </c>
      <c r="X263" t="s">
        <v>123</v>
      </c>
      <c r="Y263" t="s">
        <v>39</v>
      </c>
      <c r="Z263" t="s">
        <v>115</v>
      </c>
      <c r="AA263" t="s">
        <v>54</v>
      </c>
      <c r="AB263" t="s">
        <v>83</v>
      </c>
      <c r="AC263">
        <f t="shared" si="44"/>
        <v>0</v>
      </c>
      <c r="AD263" s="12">
        <f t="shared" si="48"/>
        <v>0</v>
      </c>
      <c r="AE263" s="12">
        <f t="shared" si="49"/>
        <v>1</v>
      </c>
      <c r="AF263">
        <f t="shared" si="45"/>
        <v>1</v>
      </c>
      <c r="AG263">
        <f t="shared" si="50"/>
        <v>0</v>
      </c>
      <c r="AH263">
        <f t="shared" si="51"/>
        <v>0</v>
      </c>
      <c r="AI263">
        <f t="shared" si="52"/>
        <v>0</v>
      </c>
      <c r="AJ263">
        <f t="shared" si="53"/>
        <v>1</v>
      </c>
      <c r="AK263">
        <f t="shared" si="46"/>
        <v>0</v>
      </c>
      <c r="AL263">
        <f t="shared" si="54"/>
        <v>0</v>
      </c>
    </row>
    <row r="264" spans="1:38">
      <c r="A264" t="s">
        <v>919</v>
      </c>
      <c r="B264" t="s">
        <v>920</v>
      </c>
      <c r="C264" s="1">
        <f t="shared" si="47"/>
        <v>45444</v>
      </c>
      <c r="D264" t="s">
        <v>921</v>
      </c>
      <c r="E264">
        <v>74.599999999999994</v>
      </c>
      <c r="F264">
        <v>3.1</v>
      </c>
      <c r="G264" t="s">
        <v>87</v>
      </c>
      <c r="H264" t="s">
        <v>88</v>
      </c>
      <c r="I264" t="s">
        <v>48</v>
      </c>
      <c r="J264">
        <v>120</v>
      </c>
      <c r="K264" t="s">
        <v>49</v>
      </c>
      <c r="L264" t="s">
        <v>34</v>
      </c>
      <c r="M264" t="s">
        <v>35</v>
      </c>
      <c r="N264" t="s">
        <v>119</v>
      </c>
      <c r="O264" t="s">
        <v>7232</v>
      </c>
      <c r="P264" t="s">
        <v>38</v>
      </c>
      <c r="Q264" t="s">
        <v>38</v>
      </c>
      <c r="R264">
        <v>1</v>
      </c>
      <c r="S264" t="s">
        <v>38</v>
      </c>
      <c r="T264">
        <v>6</v>
      </c>
      <c r="U264">
        <v>3.3</v>
      </c>
      <c r="V264">
        <v>8.4</v>
      </c>
      <c r="W264" t="s">
        <v>39</v>
      </c>
      <c r="X264" t="s">
        <v>63</v>
      </c>
      <c r="Y264" t="s">
        <v>39</v>
      </c>
      <c r="Z264" t="s">
        <v>53</v>
      </c>
      <c r="AA264" t="s">
        <v>42</v>
      </c>
      <c r="AB264" t="s">
        <v>83</v>
      </c>
      <c r="AC264">
        <f t="shared" si="44"/>
        <v>0</v>
      </c>
      <c r="AD264" s="12">
        <f t="shared" si="48"/>
        <v>1</v>
      </c>
      <c r="AE264" s="12">
        <f t="shared" si="49"/>
        <v>0</v>
      </c>
      <c r="AF264">
        <f t="shared" si="45"/>
        <v>0</v>
      </c>
      <c r="AG264">
        <f t="shared" si="50"/>
        <v>1</v>
      </c>
      <c r="AH264">
        <f t="shared" si="51"/>
        <v>1</v>
      </c>
      <c r="AI264">
        <f t="shared" si="52"/>
        <v>0</v>
      </c>
      <c r="AJ264">
        <f t="shared" si="53"/>
        <v>0</v>
      </c>
      <c r="AK264">
        <f t="shared" si="46"/>
        <v>0</v>
      </c>
      <c r="AL264">
        <f t="shared" si="54"/>
        <v>0</v>
      </c>
    </row>
    <row r="265" spans="1:38">
      <c r="A265" t="s">
        <v>922</v>
      </c>
      <c r="B265" t="s">
        <v>923</v>
      </c>
      <c r="C265" s="1">
        <f t="shared" si="47"/>
        <v>45352</v>
      </c>
      <c r="D265" t="s">
        <v>924</v>
      </c>
      <c r="E265">
        <v>73.099999999999994</v>
      </c>
      <c r="F265">
        <v>3</v>
      </c>
      <c r="G265" t="s">
        <v>68</v>
      </c>
      <c r="H265" t="s">
        <v>219</v>
      </c>
      <c r="I265" t="s">
        <v>48</v>
      </c>
      <c r="J265">
        <v>120</v>
      </c>
      <c r="K265" t="s">
        <v>49</v>
      </c>
      <c r="L265" t="s">
        <v>113</v>
      </c>
      <c r="M265" t="s">
        <v>35</v>
      </c>
      <c r="N265" t="s">
        <v>114</v>
      </c>
      <c r="O265" t="s">
        <v>51</v>
      </c>
      <c r="P265" t="s">
        <v>38</v>
      </c>
      <c r="Q265" t="s">
        <v>38</v>
      </c>
      <c r="R265">
        <v>1</v>
      </c>
      <c r="S265" t="s">
        <v>38</v>
      </c>
      <c r="T265">
        <v>6</v>
      </c>
      <c r="U265">
        <v>0.9</v>
      </c>
      <c r="V265">
        <v>26.1</v>
      </c>
      <c r="W265" t="s">
        <v>39</v>
      </c>
      <c r="X265" t="s">
        <v>63</v>
      </c>
      <c r="Y265" t="s">
        <v>39</v>
      </c>
      <c r="Z265" t="s">
        <v>64</v>
      </c>
      <c r="AA265" t="s">
        <v>103</v>
      </c>
      <c r="AB265" t="s">
        <v>43</v>
      </c>
      <c r="AC265">
        <f t="shared" si="44"/>
        <v>0</v>
      </c>
      <c r="AD265" s="12">
        <f t="shared" si="48"/>
        <v>1</v>
      </c>
      <c r="AE265" s="12">
        <f t="shared" si="49"/>
        <v>0</v>
      </c>
      <c r="AF265">
        <f t="shared" si="45"/>
        <v>1</v>
      </c>
      <c r="AG265">
        <f t="shared" si="50"/>
        <v>0</v>
      </c>
      <c r="AH265">
        <f t="shared" si="51"/>
        <v>1</v>
      </c>
      <c r="AI265">
        <f t="shared" si="52"/>
        <v>0</v>
      </c>
      <c r="AJ265">
        <f t="shared" si="53"/>
        <v>0</v>
      </c>
      <c r="AK265">
        <f t="shared" si="46"/>
        <v>0</v>
      </c>
      <c r="AL265">
        <f t="shared" si="54"/>
        <v>0</v>
      </c>
    </row>
    <row r="266" spans="1:38">
      <c r="A266" t="s">
        <v>925</v>
      </c>
      <c r="B266" t="s">
        <v>926</v>
      </c>
      <c r="C266" s="1">
        <f t="shared" si="47"/>
        <v>45323</v>
      </c>
      <c r="D266" t="s">
        <v>927</v>
      </c>
      <c r="E266">
        <v>67.099999999999994</v>
      </c>
      <c r="F266">
        <v>2.8</v>
      </c>
      <c r="G266" t="s">
        <v>101</v>
      </c>
      <c r="H266" t="s">
        <v>368</v>
      </c>
      <c r="I266" t="s">
        <v>95</v>
      </c>
      <c r="J266">
        <v>48</v>
      </c>
      <c r="K266" t="s">
        <v>33</v>
      </c>
      <c r="L266" t="s">
        <v>96</v>
      </c>
      <c r="M266" t="s">
        <v>35</v>
      </c>
      <c r="N266" t="s">
        <v>119</v>
      </c>
      <c r="O266" t="s">
        <v>37</v>
      </c>
      <c r="P266" t="s">
        <v>38</v>
      </c>
      <c r="Q266" t="s">
        <v>38</v>
      </c>
      <c r="R266">
        <v>1</v>
      </c>
      <c r="S266" t="s">
        <v>38</v>
      </c>
      <c r="T266">
        <v>2</v>
      </c>
      <c r="U266">
        <v>1.8</v>
      </c>
      <c r="V266">
        <v>25.1</v>
      </c>
      <c r="W266" t="s">
        <v>39</v>
      </c>
      <c r="X266" t="s">
        <v>63</v>
      </c>
      <c r="Y266" t="s">
        <v>38</v>
      </c>
      <c r="Z266" t="s">
        <v>64</v>
      </c>
      <c r="AA266" t="s">
        <v>42</v>
      </c>
      <c r="AB266" t="s">
        <v>83</v>
      </c>
      <c r="AC266">
        <f t="shared" si="44"/>
        <v>0</v>
      </c>
      <c r="AD266" s="12">
        <f t="shared" si="48"/>
        <v>1</v>
      </c>
      <c r="AE266" s="12">
        <f t="shared" si="49"/>
        <v>0</v>
      </c>
      <c r="AF266">
        <f t="shared" si="45"/>
        <v>0</v>
      </c>
      <c r="AG266">
        <f t="shared" si="50"/>
        <v>0</v>
      </c>
      <c r="AH266">
        <f t="shared" si="51"/>
        <v>0</v>
      </c>
      <c r="AI266">
        <f t="shared" si="52"/>
        <v>1</v>
      </c>
      <c r="AJ266">
        <f t="shared" si="53"/>
        <v>0</v>
      </c>
      <c r="AK266">
        <f t="shared" si="46"/>
        <v>0</v>
      </c>
      <c r="AL266">
        <f t="shared" si="54"/>
        <v>1</v>
      </c>
    </row>
    <row r="267" spans="1:38">
      <c r="A267" t="s">
        <v>928</v>
      </c>
      <c r="B267" t="s">
        <v>929</v>
      </c>
      <c r="C267" s="1">
        <f t="shared" si="47"/>
        <v>45292</v>
      </c>
      <c r="D267" t="s">
        <v>930</v>
      </c>
      <c r="E267">
        <v>254.3</v>
      </c>
      <c r="F267">
        <v>10.6</v>
      </c>
      <c r="G267" t="s">
        <v>77</v>
      </c>
      <c r="H267" t="s">
        <v>244</v>
      </c>
      <c r="I267" t="s">
        <v>79</v>
      </c>
      <c r="J267">
        <v>360</v>
      </c>
      <c r="K267" t="s">
        <v>49</v>
      </c>
      <c r="L267" t="s">
        <v>70</v>
      </c>
      <c r="M267" t="s">
        <v>35</v>
      </c>
      <c r="N267" t="s">
        <v>277</v>
      </c>
      <c r="O267" t="s">
        <v>51</v>
      </c>
      <c r="P267" t="s">
        <v>39</v>
      </c>
      <c r="Q267" t="s">
        <v>38</v>
      </c>
      <c r="R267">
        <v>0</v>
      </c>
      <c r="S267" t="s">
        <v>38</v>
      </c>
      <c r="T267">
        <v>10</v>
      </c>
      <c r="U267">
        <v>2.9</v>
      </c>
      <c r="V267">
        <v>25.2</v>
      </c>
      <c r="W267" t="s">
        <v>39</v>
      </c>
      <c r="X267" t="s">
        <v>63</v>
      </c>
      <c r="Y267" t="s">
        <v>39</v>
      </c>
      <c r="Z267" t="s">
        <v>179</v>
      </c>
      <c r="AA267" t="s">
        <v>109</v>
      </c>
      <c r="AB267" t="s">
        <v>83</v>
      </c>
      <c r="AC267">
        <f t="shared" si="44"/>
        <v>0</v>
      </c>
      <c r="AD267" s="12">
        <f t="shared" si="48"/>
        <v>1</v>
      </c>
      <c r="AE267" s="12">
        <f t="shared" si="49"/>
        <v>0</v>
      </c>
      <c r="AF267">
        <f t="shared" si="45"/>
        <v>1</v>
      </c>
      <c r="AG267">
        <f t="shared" si="50"/>
        <v>0</v>
      </c>
      <c r="AH267">
        <f t="shared" si="51"/>
        <v>0</v>
      </c>
      <c r="AI267">
        <f t="shared" si="52"/>
        <v>0</v>
      </c>
      <c r="AJ267">
        <f t="shared" si="53"/>
        <v>0</v>
      </c>
      <c r="AK267">
        <f t="shared" si="46"/>
        <v>0</v>
      </c>
      <c r="AL267">
        <f t="shared" si="54"/>
        <v>0</v>
      </c>
    </row>
    <row r="268" spans="1:38">
      <c r="A268" t="s">
        <v>931</v>
      </c>
      <c r="B268" t="s">
        <v>932</v>
      </c>
      <c r="C268" s="1">
        <f t="shared" si="47"/>
        <v>45444</v>
      </c>
      <c r="D268" t="s">
        <v>933</v>
      </c>
      <c r="E268">
        <v>164</v>
      </c>
      <c r="F268">
        <v>6.8</v>
      </c>
      <c r="G268" t="s">
        <v>59</v>
      </c>
      <c r="H268" t="s">
        <v>60</v>
      </c>
      <c r="I268" t="s">
        <v>32</v>
      </c>
      <c r="J268">
        <v>240</v>
      </c>
      <c r="K268" t="s">
        <v>49</v>
      </c>
      <c r="L268" t="s">
        <v>70</v>
      </c>
      <c r="M268" t="s">
        <v>35</v>
      </c>
      <c r="N268" t="s">
        <v>299</v>
      </c>
      <c r="O268" t="s">
        <v>7232</v>
      </c>
      <c r="P268" t="s">
        <v>39</v>
      </c>
      <c r="Q268" t="s">
        <v>38</v>
      </c>
      <c r="R268">
        <v>0</v>
      </c>
      <c r="S268" t="s">
        <v>38</v>
      </c>
      <c r="T268">
        <v>10</v>
      </c>
      <c r="U268">
        <v>2.8</v>
      </c>
      <c r="V268">
        <v>2.8</v>
      </c>
      <c r="W268" t="s">
        <v>39</v>
      </c>
      <c r="X268" t="s">
        <v>123</v>
      </c>
      <c r="Y268" t="s">
        <v>39</v>
      </c>
      <c r="Z268" t="s">
        <v>73</v>
      </c>
      <c r="AA268" t="s">
        <v>54</v>
      </c>
      <c r="AB268" t="s">
        <v>55</v>
      </c>
      <c r="AC268">
        <f t="shared" si="44"/>
        <v>0</v>
      </c>
      <c r="AD268" s="12">
        <f t="shared" si="48"/>
        <v>0</v>
      </c>
      <c r="AE268" s="12">
        <f t="shared" si="49"/>
        <v>1</v>
      </c>
      <c r="AF268">
        <f t="shared" si="45"/>
        <v>0</v>
      </c>
      <c r="AG268">
        <f t="shared" si="50"/>
        <v>1</v>
      </c>
      <c r="AH268">
        <f t="shared" si="51"/>
        <v>0</v>
      </c>
      <c r="AI268">
        <f t="shared" si="52"/>
        <v>0</v>
      </c>
      <c r="AJ268">
        <f t="shared" si="53"/>
        <v>1</v>
      </c>
      <c r="AK268">
        <f t="shared" si="46"/>
        <v>0</v>
      </c>
      <c r="AL268">
        <f t="shared" si="54"/>
        <v>0</v>
      </c>
    </row>
    <row r="269" spans="1:38">
      <c r="A269" t="s">
        <v>934</v>
      </c>
      <c r="B269" t="s">
        <v>935</v>
      </c>
      <c r="C269" s="1">
        <f t="shared" si="47"/>
        <v>45413</v>
      </c>
      <c r="D269" t="s">
        <v>936</v>
      </c>
      <c r="E269">
        <v>283.60000000000002</v>
      </c>
      <c r="F269">
        <v>11.8</v>
      </c>
      <c r="G269" t="s">
        <v>87</v>
      </c>
      <c r="H269" t="s">
        <v>183</v>
      </c>
      <c r="I269" t="s">
        <v>79</v>
      </c>
      <c r="J269">
        <v>360</v>
      </c>
      <c r="K269" t="s">
        <v>49</v>
      </c>
      <c r="L269" t="s">
        <v>34</v>
      </c>
      <c r="M269" t="s">
        <v>35</v>
      </c>
      <c r="N269" t="s">
        <v>61</v>
      </c>
      <c r="O269" t="s">
        <v>7232</v>
      </c>
      <c r="P269" t="s">
        <v>38</v>
      </c>
      <c r="Q269" t="s">
        <v>38</v>
      </c>
      <c r="R269">
        <v>1</v>
      </c>
      <c r="S269" t="s">
        <v>38</v>
      </c>
      <c r="T269">
        <v>6</v>
      </c>
      <c r="U269">
        <v>1.4</v>
      </c>
      <c r="V269">
        <v>21.1</v>
      </c>
      <c r="W269" t="s">
        <v>38</v>
      </c>
      <c r="X269" t="s">
        <v>52</v>
      </c>
      <c r="Y269" t="s">
        <v>39</v>
      </c>
      <c r="Z269" t="s">
        <v>73</v>
      </c>
      <c r="AA269" t="s">
        <v>54</v>
      </c>
      <c r="AB269" t="s">
        <v>83</v>
      </c>
      <c r="AC269">
        <f t="shared" si="44"/>
        <v>1</v>
      </c>
      <c r="AD269" s="12">
        <f t="shared" si="48"/>
        <v>0</v>
      </c>
      <c r="AE269" s="12">
        <f t="shared" si="49"/>
        <v>0</v>
      </c>
      <c r="AF269">
        <f t="shared" si="45"/>
        <v>0</v>
      </c>
      <c r="AG269">
        <f t="shared" si="50"/>
        <v>1</v>
      </c>
      <c r="AH269">
        <f t="shared" si="51"/>
        <v>0</v>
      </c>
      <c r="AI269">
        <f t="shared" si="52"/>
        <v>0</v>
      </c>
      <c r="AJ269">
        <f t="shared" si="53"/>
        <v>0</v>
      </c>
      <c r="AK269">
        <f t="shared" si="46"/>
        <v>0</v>
      </c>
      <c r="AL269">
        <f t="shared" si="54"/>
        <v>0</v>
      </c>
    </row>
    <row r="270" spans="1:38">
      <c r="A270" t="s">
        <v>937</v>
      </c>
      <c r="B270" t="s">
        <v>938</v>
      </c>
      <c r="C270" s="1">
        <f t="shared" si="47"/>
        <v>45597</v>
      </c>
      <c r="D270" t="s">
        <v>939</v>
      </c>
      <c r="E270">
        <v>181.8</v>
      </c>
      <c r="F270">
        <v>7.6</v>
      </c>
      <c r="G270" t="s">
        <v>142</v>
      </c>
      <c r="H270" t="s">
        <v>260</v>
      </c>
      <c r="I270" t="s">
        <v>32</v>
      </c>
      <c r="J270">
        <v>240</v>
      </c>
      <c r="K270" t="s">
        <v>49</v>
      </c>
      <c r="L270" t="s">
        <v>96</v>
      </c>
      <c r="M270" t="s">
        <v>71</v>
      </c>
      <c r="N270" t="s">
        <v>89</v>
      </c>
      <c r="O270" t="s">
        <v>7232</v>
      </c>
      <c r="P270" t="s">
        <v>38</v>
      </c>
      <c r="Q270" t="s">
        <v>39</v>
      </c>
      <c r="R270">
        <v>3</v>
      </c>
      <c r="S270" t="s">
        <v>38</v>
      </c>
      <c r="T270">
        <v>8</v>
      </c>
      <c r="U270">
        <v>3.5</v>
      </c>
      <c r="V270">
        <v>35.799999999999997</v>
      </c>
      <c r="W270" t="s">
        <v>39</v>
      </c>
      <c r="X270" t="s">
        <v>52</v>
      </c>
      <c r="Y270" t="s">
        <v>39</v>
      </c>
      <c r="Z270" t="s">
        <v>64</v>
      </c>
      <c r="AA270" t="s">
        <v>42</v>
      </c>
      <c r="AB270" t="s">
        <v>55</v>
      </c>
      <c r="AC270">
        <f t="shared" si="44"/>
        <v>1</v>
      </c>
      <c r="AD270" s="12">
        <f t="shared" si="48"/>
        <v>0</v>
      </c>
      <c r="AE270" s="12">
        <f t="shared" si="49"/>
        <v>0</v>
      </c>
      <c r="AF270">
        <f t="shared" si="45"/>
        <v>0</v>
      </c>
      <c r="AG270">
        <f t="shared" si="50"/>
        <v>1</v>
      </c>
      <c r="AH270">
        <f t="shared" si="51"/>
        <v>0</v>
      </c>
      <c r="AI270">
        <f t="shared" si="52"/>
        <v>0</v>
      </c>
      <c r="AJ270">
        <f t="shared" si="53"/>
        <v>1</v>
      </c>
      <c r="AK270">
        <f t="shared" si="46"/>
        <v>0</v>
      </c>
      <c r="AL270">
        <f t="shared" si="54"/>
        <v>0</v>
      </c>
    </row>
    <row r="271" spans="1:38">
      <c r="A271" t="s">
        <v>940</v>
      </c>
      <c r="B271" t="s">
        <v>941</v>
      </c>
      <c r="C271" s="1">
        <f t="shared" si="47"/>
        <v>45292</v>
      </c>
      <c r="D271" t="s">
        <v>942</v>
      </c>
      <c r="E271">
        <v>310.89999999999998</v>
      </c>
      <c r="F271">
        <v>13</v>
      </c>
      <c r="G271" t="s">
        <v>77</v>
      </c>
      <c r="H271" t="s">
        <v>78</v>
      </c>
      <c r="I271" t="s">
        <v>79</v>
      </c>
      <c r="J271">
        <v>360</v>
      </c>
      <c r="K271" t="s">
        <v>49</v>
      </c>
      <c r="L271" t="s">
        <v>34</v>
      </c>
      <c r="M271" t="s">
        <v>35</v>
      </c>
      <c r="N271" t="s">
        <v>192</v>
      </c>
      <c r="O271" t="s">
        <v>51</v>
      </c>
      <c r="P271" t="s">
        <v>39</v>
      </c>
      <c r="Q271" t="s">
        <v>38</v>
      </c>
      <c r="R271">
        <v>0</v>
      </c>
      <c r="S271" t="s">
        <v>38</v>
      </c>
      <c r="T271">
        <v>10</v>
      </c>
      <c r="U271">
        <v>4.9000000000000004</v>
      </c>
      <c r="V271">
        <v>31.4</v>
      </c>
      <c r="W271" t="s">
        <v>38</v>
      </c>
      <c r="X271" t="s">
        <v>63</v>
      </c>
      <c r="Y271" t="s">
        <v>38</v>
      </c>
      <c r="Z271" t="s">
        <v>53</v>
      </c>
      <c r="AA271" t="s">
        <v>54</v>
      </c>
      <c r="AB271" t="s">
        <v>55</v>
      </c>
      <c r="AC271">
        <f t="shared" si="44"/>
        <v>0</v>
      </c>
      <c r="AD271" s="12">
        <f t="shared" si="48"/>
        <v>1</v>
      </c>
      <c r="AE271" s="12">
        <f t="shared" si="49"/>
        <v>0</v>
      </c>
      <c r="AF271">
        <f t="shared" si="45"/>
        <v>1</v>
      </c>
      <c r="AG271">
        <f t="shared" si="50"/>
        <v>0</v>
      </c>
      <c r="AH271">
        <f t="shared" si="51"/>
        <v>0</v>
      </c>
      <c r="AI271">
        <f t="shared" si="52"/>
        <v>0</v>
      </c>
      <c r="AJ271">
        <f t="shared" si="53"/>
        <v>0</v>
      </c>
      <c r="AK271">
        <f t="shared" si="46"/>
        <v>0</v>
      </c>
      <c r="AL271">
        <f t="shared" si="54"/>
        <v>1</v>
      </c>
    </row>
    <row r="272" spans="1:38">
      <c r="A272" t="s">
        <v>943</v>
      </c>
      <c r="B272" t="s">
        <v>944</v>
      </c>
      <c r="C272" s="1">
        <f t="shared" si="47"/>
        <v>45597</v>
      </c>
      <c r="D272" t="s">
        <v>945</v>
      </c>
      <c r="E272">
        <v>34.700000000000003</v>
      </c>
      <c r="F272">
        <v>1.4</v>
      </c>
      <c r="G272" t="s">
        <v>93</v>
      </c>
      <c r="H272" t="s">
        <v>291</v>
      </c>
      <c r="I272" t="s">
        <v>95</v>
      </c>
      <c r="J272">
        <v>48</v>
      </c>
      <c r="K272" t="s">
        <v>49</v>
      </c>
      <c r="L272" t="s">
        <v>34</v>
      </c>
      <c r="M272" t="s">
        <v>71</v>
      </c>
      <c r="N272" t="s">
        <v>134</v>
      </c>
      <c r="O272" t="s">
        <v>51</v>
      </c>
      <c r="P272" t="s">
        <v>38</v>
      </c>
      <c r="Q272" t="s">
        <v>39</v>
      </c>
      <c r="R272">
        <v>4</v>
      </c>
      <c r="S272" t="s">
        <v>38</v>
      </c>
      <c r="T272">
        <v>7</v>
      </c>
      <c r="U272">
        <v>4.3</v>
      </c>
      <c r="V272">
        <v>16.100000000000001</v>
      </c>
      <c r="W272" t="s">
        <v>38</v>
      </c>
      <c r="X272" t="s">
        <v>63</v>
      </c>
      <c r="Y272" t="s">
        <v>38</v>
      </c>
      <c r="Z272" t="s">
        <v>41</v>
      </c>
      <c r="AA272" t="s">
        <v>54</v>
      </c>
      <c r="AB272" t="s">
        <v>83</v>
      </c>
      <c r="AC272">
        <f t="shared" si="44"/>
        <v>0</v>
      </c>
      <c r="AD272" s="12">
        <f t="shared" si="48"/>
        <v>1</v>
      </c>
      <c r="AE272" s="12">
        <f t="shared" si="49"/>
        <v>0</v>
      </c>
      <c r="AF272">
        <f t="shared" si="45"/>
        <v>1</v>
      </c>
      <c r="AG272">
        <f t="shared" si="50"/>
        <v>0</v>
      </c>
      <c r="AH272">
        <f t="shared" si="51"/>
        <v>0</v>
      </c>
      <c r="AI272">
        <f t="shared" si="52"/>
        <v>1</v>
      </c>
      <c r="AJ272">
        <f t="shared" si="53"/>
        <v>0</v>
      </c>
      <c r="AK272">
        <f t="shared" si="46"/>
        <v>0</v>
      </c>
      <c r="AL272">
        <f t="shared" si="54"/>
        <v>1</v>
      </c>
    </row>
    <row r="273" spans="1:38">
      <c r="A273" t="s">
        <v>946</v>
      </c>
      <c r="B273" t="s">
        <v>947</v>
      </c>
      <c r="C273" s="1">
        <f t="shared" si="47"/>
        <v>45444</v>
      </c>
      <c r="D273" t="s">
        <v>948</v>
      </c>
      <c r="E273">
        <v>84.3</v>
      </c>
      <c r="F273">
        <v>3.5</v>
      </c>
      <c r="G273" t="s">
        <v>59</v>
      </c>
      <c r="H273" t="s">
        <v>466</v>
      </c>
      <c r="I273" t="s">
        <v>48</v>
      </c>
      <c r="J273">
        <v>120</v>
      </c>
      <c r="K273" t="s">
        <v>49</v>
      </c>
      <c r="L273" t="s">
        <v>96</v>
      </c>
      <c r="M273" t="s">
        <v>71</v>
      </c>
      <c r="N273" t="s">
        <v>414</v>
      </c>
      <c r="O273" t="s">
        <v>37</v>
      </c>
      <c r="P273" t="s">
        <v>38</v>
      </c>
      <c r="Q273" t="s">
        <v>39</v>
      </c>
      <c r="R273">
        <v>1</v>
      </c>
      <c r="S273" t="s">
        <v>38</v>
      </c>
      <c r="T273">
        <v>7</v>
      </c>
      <c r="U273">
        <v>1.6</v>
      </c>
      <c r="V273">
        <v>3.9</v>
      </c>
      <c r="W273" t="s">
        <v>39</v>
      </c>
      <c r="X273" t="s">
        <v>123</v>
      </c>
      <c r="Y273" t="s">
        <v>39</v>
      </c>
      <c r="Z273" t="s">
        <v>81</v>
      </c>
      <c r="AA273" t="s">
        <v>109</v>
      </c>
      <c r="AB273" t="s">
        <v>55</v>
      </c>
      <c r="AC273">
        <f t="shared" si="44"/>
        <v>0</v>
      </c>
      <c r="AD273" s="12">
        <f t="shared" si="48"/>
        <v>0</v>
      </c>
      <c r="AE273" s="12">
        <f t="shared" si="49"/>
        <v>1</v>
      </c>
      <c r="AF273">
        <f t="shared" si="45"/>
        <v>0</v>
      </c>
      <c r="AG273">
        <f t="shared" si="50"/>
        <v>0</v>
      </c>
      <c r="AH273">
        <f t="shared" si="51"/>
        <v>1</v>
      </c>
      <c r="AI273">
        <f t="shared" si="52"/>
        <v>0</v>
      </c>
      <c r="AJ273">
        <f t="shared" si="53"/>
        <v>0</v>
      </c>
      <c r="AK273">
        <f t="shared" si="46"/>
        <v>0</v>
      </c>
      <c r="AL273">
        <f t="shared" si="54"/>
        <v>0</v>
      </c>
    </row>
    <row r="274" spans="1:38">
      <c r="A274" t="s">
        <v>949</v>
      </c>
      <c r="B274" t="s">
        <v>950</v>
      </c>
      <c r="C274" s="1">
        <f t="shared" si="47"/>
        <v>45536</v>
      </c>
      <c r="D274" t="s">
        <v>951</v>
      </c>
      <c r="E274">
        <v>217.7</v>
      </c>
      <c r="F274">
        <v>9.1</v>
      </c>
      <c r="G274" t="s">
        <v>93</v>
      </c>
      <c r="H274" t="s">
        <v>449</v>
      </c>
      <c r="I274" t="s">
        <v>32</v>
      </c>
      <c r="J274">
        <v>240</v>
      </c>
      <c r="K274" t="s">
        <v>49</v>
      </c>
      <c r="L274" t="s">
        <v>70</v>
      </c>
      <c r="M274" t="s">
        <v>35</v>
      </c>
      <c r="N274" t="s">
        <v>144</v>
      </c>
      <c r="O274" t="s">
        <v>7232</v>
      </c>
      <c r="P274" t="s">
        <v>39</v>
      </c>
      <c r="Q274" t="s">
        <v>38</v>
      </c>
      <c r="R274">
        <v>0</v>
      </c>
      <c r="S274" t="s">
        <v>38</v>
      </c>
      <c r="T274">
        <v>10</v>
      </c>
      <c r="U274">
        <v>4.8</v>
      </c>
      <c r="V274">
        <v>9.8000000000000007</v>
      </c>
      <c r="W274" t="s">
        <v>39</v>
      </c>
      <c r="X274" t="s">
        <v>123</v>
      </c>
      <c r="Y274" t="s">
        <v>39</v>
      </c>
      <c r="Z274" t="s">
        <v>108</v>
      </c>
      <c r="AA274" t="s">
        <v>82</v>
      </c>
      <c r="AB274" t="s">
        <v>43</v>
      </c>
      <c r="AC274">
        <f t="shared" si="44"/>
        <v>0</v>
      </c>
      <c r="AD274" s="12">
        <f t="shared" si="48"/>
        <v>0</v>
      </c>
      <c r="AE274" s="12">
        <f t="shared" si="49"/>
        <v>1</v>
      </c>
      <c r="AF274">
        <f t="shared" si="45"/>
        <v>0</v>
      </c>
      <c r="AG274">
        <f t="shared" si="50"/>
        <v>1</v>
      </c>
      <c r="AH274">
        <f t="shared" si="51"/>
        <v>0</v>
      </c>
      <c r="AI274">
        <f t="shared" si="52"/>
        <v>0</v>
      </c>
      <c r="AJ274">
        <f t="shared" si="53"/>
        <v>1</v>
      </c>
      <c r="AK274">
        <f t="shared" si="46"/>
        <v>0</v>
      </c>
      <c r="AL274">
        <f t="shared" si="54"/>
        <v>0</v>
      </c>
    </row>
    <row r="275" spans="1:38">
      <c r="A275" t="s">
        <v>952</v>
      </c>
      <c r="B275" t="s">
        <v>953</v>
      </c>
      <c r="C275" s="1">
        <f t="shared" si="47"/>
        <v>45444</v>
      </c>
      <c r="D275" t="s">
        <v>954</v>
      </c>
      <c r="E275">
        <v>318.60000000000002</v>
      </c>
      <c r="F275">
        <v>13.3</v>
      </c>
      <c r="G275" t="s">
        <v>101</v>
      </c>
      <c r="H275" t="s">
        <v>102</v>
      </c>
      <c r="I275" t="s">
        <v>32</v>
      </c>
      <c r="J275">
        <v>240</v>
      </c>
      <c r="K275" t="s">
        <v>33</v>
      </c>
      <c r="L275" t="s">
        <v>34</v>
      </c>
      <c r="M275" t="s">
        <v>35</v>
      </c>
      <c r="N275" t="s">
        <v>138</v>
      </c>
      <c r="O275" t="s">
        <v>51</v>
      </c>
      <c r="P275" t="s">
        <v>38</v>
      </c>
      <c r="Q275" t="s">
        <v>38</v>
      </c>
      <c r="R275">
        <v>1</v>
      </c>
      <c r="S275" t="s">
        <v>38</v>
      </c>
      <c r="T275">
        <v>5</v>
      </c>
      <c r="U275">
        <v>4.9000000000000004</v>
      </c>
      <c r="V275">
        <v>34.4</v>
      </c>
      <c r="W275" t="s">
        <v>39</v>
      </c>
      <c r="X275" t="s">
        <v>123</v>
      </c>
      <c r="Y275" t="s">
        <v>38</v>
      </c>
      <c r="Z275" t="s">
        <v>53</v>
      </c>
      <c r="AA275" t="s">
        <v>82</v>
      </c>
      <c r="AB275" t="s">
        <v>43</v>
      </c>
      <c r="AC275">
        <f t="shared" si="44"/>
        <v>0</v>
      </c>
      <c r="AD275" s="12">
        <f t="shared" si="48"/>
        <v>0</v>
      </c>
      <c r="AE275" s="12">
        <f t="shared" si="49"/>
        <v>1</v>
      </c>
      <c r="AF275">
        <f t="shared" si="45"/>
        <v>1</v>
      </c>
      <c r="AG275">
        <f t="shared" si="50"/>
        <v>0</v>
      </c>
      <c r="AH275">
        <f t="shared" si="51"/>
        <v>0</v>
      </c>
      <c r="AI275">
        <f t="shared" si="52"/>
        <v>0</v>
      </c>
      <c r="AJ275">
        <f t="shared" si="53"/>
        <v>1</v>
      </c>
      <c r="AK275">
        <f t="shared" si="46"/>
        <v>0</v>
      </c>
      <c r="AL275">
        <f t="shared" si="54"/>
        <v>1</v>
      </c>
    </row>
    <row r="276" spans="1:38">
      <c r="A276" t="s">
        <v>955</v>
      </c>
      <c r="B276" t="s">
        <v>956</v>
      </c>
      <c r="C276" s="1">
        <f t="shared" si="47"/>
        <v>45474</v>
      </c>
      <c r="D276" t="s">
        <v>957</v>
      </c>
      <c r="E276">
        <v>155.80000000000001</v>
      </c>
      <c r="F276">
        <v>6.5</v>
      </c>
      <c r="G276" t="s">
        <v>142</v>
      </c>
      <c r="H276" t="s">
        <v>240</v>
      </c>
      <c r="I276" t="s">
        <v>32</v>
      </c>
      <c r="J276">
        <v>240</v>
      </c>
      <c r="K276" t="s">
        <v>49</v>
      </c>
      <c r="L276" t="s">
        <v>34</v>
      </c>
      <c r="M276" t="s">
        <v>71</v>
      </c>
      <c r="N276" t="s">
        <v>277</v>
      </c>
      <c r="O276" t="s">
        <v>7232</v>
      </c>
      <c r="P276" t="s">
        <v>38</v>
      </c>
      <c r="Q276" t="s">
        <v>39</v>
      </c>
      <c r="R276">
        <v>4</v>
      </c>
      <c r="S276" t="s">
        <v>38</v>
      </c>
      <c r="T276">
        <v>8</v>
      </c>
      <c r="U276">
        <v>0.1</v>
      </c>
      <c r="V276">
        <v>24.4</v>
      </c>
      <c r="W276" t="s">
        <v>39</v>
      </c>
      <c r="X276" t="s">
        <v>63</v>
      </c>
      <c r="Y276" t="s">
        <v>39</v>
      </c>
      <c r="Z276" t="s">
        <v>179</v>
      </c>
      <c r="AA276" t="s">
        <v>103</v>
      </c>
      <c r="AB276" t="s">
        <v>83</v>
      </c>
      <c r="AC276">
        <f t="shared" si="44"/>
        <v>0</v>
      </c>
      <c r="AD276" s="12">
        <f t="shared" si="48"/>
        <v>1</v>
      </c>
      <c r="AE276" s="12">
        <f t="shared" si="49"/>
        <v>0</v>
      </c>
      <c r="AF276">
        <f t="shared" si="45"/>
        <v>0</v>
      </c>
      <c r="AG276">
        <f t="shared" si="50"/>
        <v>1</v>
      </c>
      <c r="AH276">
        <f t="shared" si="51"/>
        <v>0</v>
      </c>
      <c r="AI276">
        <f t="shared" si="52"/>
        <v>0</v>
      </c>
      <c r="AJ276">
        <f t="shared" si="53"/>
        <v>1</v>
      </c>
      <c r="AK276">
        <f t="shared" si="46"/>
        <v>0</v>
      </c>
      <c r="AL276">
        <f t="shared" si="54"/>
        <v>0</v>
      </c>
    </row>
    <row r="277" spans="1:38">
      <c r="A277" t="s">
        <v>958</v>
      </c>
      <c r="B277" t="s">
        <v>959</v>
      </c>
      <c r="C277" s="1">
        <f t="shared" si="47"/>
        <v>45352</v>
      </c>
      <c r="D277" t="s">
        <v>960</v>
      </c>
      <c r="E277">
        <v>269.5</v>
      </c>
      <c r="F277">
        <v>11.2</v>
      </c>
      <c r="G277" t="s">
        <v>30</v>
      </c>
      <c r="H277" t="s">
        <v>31</v>
      </c>
      <c r="I277" t="s">
        <v>79</v>
      </c>
      <c r="J277">
        <v>360</v>
      </c>
      <c r="K277" t="s">
        <v>49</v>
      </c>
      <c r="L277" t="s">
        <v>70</v>
      </c>
      <c r="M277" t="s">
        <v>35</v>
      </c>
      <c r="N277" t="s">
        <v>128</v>
      </c>
      <c r="O277" t="s">
        <v>7232</v>
      </c>
      <c r="P277" t="s">
        <v>39</v>
      </c>
      <c r="Q277" t="s">
        <v>38</v>
      </c>
      <c r="R277">
        <v>0</v>
      </c>
      <c r="S277" t="s">
        <v>38</v>
      </c>
      <c r="T277">
        <v>6</v>
      </c>
      <c r="U277">
        <v>6</v>
      </c>
      <c r="V277">
        <v>23.1</v>
      </c>
      <c r="W277" t="s">
        <v>38</v>
      </c>
      <c r="X277" t="s">
        <v>123</v>
      </c>
      <c r="Y277" t="s">
        <v>38</v>
      </c>
      <c r="Z277" t="s">
        <v>41</v>
      </c>
      <c r="AA277" t="s">
        <v>82</v>
      </c>
      <c r="AB277" t="s">
        <v>55</v>
      </c>
      <c r="AC277">
        <f t="shared" si="44"/>
        <v>0</v>
      </c>
      <c r="AD277" s="12">
        <f t="shared" si="48"/>
        <v>0</v>
      </c>
      <c r="AE277" s="12">
        <f t="shared" si="49"/>
        <v>1</v>
      </c>
      <c r="AF277">
        <f t="shared" si="45"/>
        <v>0</v>
      </c>
      <c r="AG277">
        <f t="shared" si="50"/>
        <v>1</v>
      </c>
      <c r="AH277">
        <f t="shared" si="51"/>
        <v>0</v>
      </c>
      <c r="AI277">
        <f t="shared" si="52"/>
        <v>0</v>
      </c>
      <c r="AJ277">
        <f t="shared" si="53"/>
        <v>0</v>
      </c>
      <c r="AK277">
        <f t="shared" si="46"/>
        <v>1</v>
      </c>
      <c r="AL277">
        <f t="shared" si="54"/>
        <v>1</v>
      </c>
    </row>
    <row r="278" spans="1:38">
      <c r="A278" t="s">
        <v>961</v>
      </c>
      <c r="B278" t="s">
        <v>962</v>
      </c>
      <c r="C278" s="1">
        <f t="shared" si="47"/>
        <v>45566</v>
      </c>
      <c r="D278" t="s">
        <v>963</v>
      </c>
      <c r="E278">
        <v>247.2</v>
      </c>
      <c r="F278">
        <v>10.3</v>
      </c>
      <c r="G278" t="s">
        <v>77</v>
      </c>
      <c r="H278" t="s">
        <v>187</v>
      </c>
      <c r="I278" t="s">
        <v>79</v>
      </c>
      <c r="J278">
        <v>360</v>
      </c>
      <c r="K278" t="s">
        <v>49</v>
      </c>
      <c r="L278" t="s">
        <v>96</v>
      </c>
      <c r="M278" t="s">
        <v>35</v>
      </c>
      <c r="N278" t="s">
        <v>114</v>
      </c>
      <c r="O278" t="s">
        <v>7232</v>
      </c>
      <c r="P278" t="s">
        <v>39</v>
      </c>
      <c r="Q278" t="s">
        <v>38</v>
      </c>
      <c r="R278">
        <v>0</v>
      </c>
      <c r="S278" t="s">
        <v>38</v>
      </c>
      <c r="T278">
        <v>10</v>
      </c>
      <c r="U278">
        <v>4</v>
      </c>
      <c r="V278">
        <v>40.799999999999997</v>
      </c>
      <c r="W278" t="s">
        <v>38</v>
      </c>
      <c r="X278" t="s">
        <v>63</v>
      </c>
      <c r="Y278" t="s">
        <v>39</v>
      </c>
      <c r="Z278" t="s">
        <v>115</v>
      </c>
      <c r="AA278" t="s">
        <v>54</v>
      </c>
      <c r="AB278" t="s">
        <v>83</v>
      </c>
      <c r="AC278">
        <f t="shared" si="44"/>
        <v>0</v>
      </c>
      <c r="AD278" s="12">
        <f t="shared" si="48"/>
        <v>1</v>
      </c>
      <c r="AE278" s="12">
        <f t="shared" si="49"/>
        <v>0</v>
      </c>
      <c r="AF278">
        <f t="shared" si="45"/>
        <v>0</v>
      </c>
      <c r="AG278">
        <f t="shared" si="50"/>
        <v>1</v>
      </c>
      <c r="AH278">
        <f t="shared" si="51"/>
        <v>0</v>
      </c>
      <c r="AI278">
        <f t="shared" si="52"/>
        <v>0</v>
      </c>
      <c r="AJ278">
        <f t="shared" si="53"/>
        <v>0</v>
      </c>
      <c r="AK278">
        <f t="shared" si="46"/>
        <v>0</v>
      </c>
      <c r="AL278">
        <f t="shared" si="54"/>
        <v>0</v>
      </c>
    </row>
    <row r="279" spans="1:38">
      <c r="A279" t="s">
        <v>964</v>
      </c>
      <c r="B279" t="s">
        <v>965</v>
      </c>
      <c r="C279" s="1">
        <f t="shared" si="47"/>
        <v>45505</v>
      </c>
      <c r="D279" t="s">
        <v>966</v>
      </c>
      <c r="E279">
        <v>146.1</v>
      </c>
      <c r="F279">
        <v>6.1</v>
      </c>
      <c r="G279" t="s">
        <v>142</v>
      </c>
      <c r="H279" t="s">
        <v>729</v>
      </c>
      <c r="I279" t="s">
        <v>32</v>
      </c>
      <c r="J279">
        <v>240</v>
      </c>
      <c r="K279" t="s">
        <v>49</v>
      </c>
      <c r="L279" t="s">
        <v>34</v>
      </c>
      <c r="M279" t="s">
        <v>71</v>
      </c>
      <c r="N279" t="s">
        <v>164</v>
      </c>
      <c r="O279" t="s">
        <v>7232</v>
      </c>
      <c r="P279" t="s">
        <v>38</v>
      </c>
      <c r="Q279" t="s">
        <v>39</v>
      </c>
      <c r="R279">
        <v>1</v>
      </c>
      <c r="S279" t="s">
        <v>38</v>
      </c>
      <c r="T279">
        <v>7</v>
      </c>
      <c r="U279">
        <v>1.8</v>
      </c>
      <c r="V279">
        <v>25.2</v>
      </c>
      <c r="W279" t="s">
        <v>38</v>
      </c>
      <c r="X279" t="s">
        <v>63</v>
      </c>
      <c r="Y279" t="s">
        <v>39</v>
      </c>
      <c r="Z279" t="s">
        <v>108</v>
      </c>
      <c r="AA279" t="s">
        <v>54</v>
      </c>
      <c r="AB279" t="s">
        <v>83</v>
      </c>
      <c r="AC279">
        <f t="shared" si="44"/>
        <v>0</v>
      </c>
      <c r="AD279" s="12">
        <f t="shared" si="48"/>
        <v>1</v>
      </c>
      <c r="AE279" s="12">
        <f t="shared" si="49"/>
        <v>0</v>
      </c>
      <c r="AF279">
        <f t="shared" si="45"/>
        <v>0</v>
      </c>
      <c r="AG279">
        <f t="shared" si="50"/>
        <v>1</v>
      </c>
      <c r="AH279">
        <f t="shared" si="51"/>
        <v>0</v>
      </c>
      <c r="AI279">
        <f t="shared" si="52"/>
        <v>0</v>
      </c>
      <c r="AJ279">
        <f t="shared" si="53"/>
        <v>1</v>
      </c>
      <c r="AK279">
        <f t="shared" si="46"/>
        <v>0</v>
      </c>
      <c r="AL279">
        <f t="shared" si="54"/>
        <v>0</v>
      </c>
    </row>
    <row r="280" spans="1:38">
      <c r="A280" t="s">
        <v>967</v>
      </c>
      <c r="B280" t="s">
        <v>968</v>
      </c>
      <c r="C280" s="1">
        <f t="shared" si="47"/>
        <v>45474</v>
      </c>
      <c r="D280" t="s">
        <v>969</v>
      </c>
      <c r="E280">
        <v>159.80000000000001</v>
      </c>
      <c r="F280">
        <v>6.7</v>
      </c>
      <c r="G280" t="s">
        <v>101</v>
      </c>
      <c r="H280" t="s">
        <v>102</v>
      </c>
      <c r="I280" t="s">
        <v>32</v>
      </c>
      <c r="J280">
        <v>240</v>
      </c>
      <c r="K280" t="s">
        <v>49</v>
      </c>
      <c r="L280" t="s">
        <v>34</v>
      </c>
      <c r="M280" t="s">
        <v>35</v>
      </c>
      <c r="N280" t="s">
        <v>144</v>
      </c>
      <c r="O280" t="s">
        <v>7232</v>
      </c>
      <c r="P280" t="s">
        <v>38</v>
      </c>
      <c r="Q280" t="s">
        <v>38</v>
      </c>
      <c r="R280">
        <v>1</v>
      </c>
      <c r="S280" t="s">
        <v>38</v>
      </c>
      <c r="T280">
        <v>10</v>
      </c>
      <c r="U280">
        <v>0.1</v>
      </c>
      <c r="V280">
        <v>14.8</v>
      </c>
      <c r="W280" t="s">
        <v>38</v>
      </c>
      <c r="X280" t="s">
        <v>63</v>
      </c>
      <c r="Y280" t="s">
        <v>39</v>
      </c>
      <c r="Z280" t="s">
        <v>73</v>
      </c>
      <c r="AA280" t="s">
        <v>103</v>
      </c>
      <c r="AB280" t="s">
        <v>83</v>
      </c>
      <c r="AC280">
        <f t="shared" si="44"/>
        <v>0</v>
      </c>
      <c r="AD280" s="12">
        <f t="shared" si="48"/>
        <v>1</v>
      </c>
      <c r="AE280" s="12">
        <f t="shared" si="49"/>
        <v>0</v>
      </c>
      <c r="AF280">
        <f t="shared" si="45"/>
        <v>0</v>
      </c>
      <c r="AG280">
        <f t="shared" si="50"/>
        <v>1</v>
      </c>
      <c r="AH280">
        <f t="shared" si="51"/>
        <v>0</v>
      </c>
      <c r="AI280">
        <f t="shared" si="52"/>
        <v>0</v>
      </c>
      <c r="AJ280">
        <f t="shared" si="53"/>
        <v>1</v>
      </c>
      <c r="AK280">
        <f t="shared" si="46"/>
        <v>0</v>
      </c>
      <c r="AL280">
        <f t="shared" si="54"/>
        <v>0</v>
      </c>
    </row>
    <row r="281" spans="1:38">
      <c r="A281" t="s">
        <v>970</v>
      </c>
      <c r="B281" t="s">
        <v>971</v>
      </c>
      <c r="C281" s="1">
        <f t="shared" si="47"/>
        <v>45505</v>
      </c>
      <c r="D281" t="s">
        <v>972</v>
      </c>
      <c r="E281">
        <v>102.1</v>
      </c>
      <c r="F281">
        <v>4.3</v>
      </c>
      <c r="G281" t="s">
        <v>87</v>
      </c>
      <c r="H281" t="s">
        <v>151</v>
      </c>
      <c r="I281" t="s">
        <v>48</v>
      </c>
      <c r="J281">
        <v>120</v>
      </c>
      <c r="K281" t="s">
        <v>49</v>
      </c>
      <c r="L281" t="s">
        <v>34</v>
      </c>
      <c r="M281" t="s">
        <v>35</v>
      </c>
      <c r="N281" t="s">
        <v>506</v>
      </c>
      <c r="O281" t="s">
        <v>37</v>
      </c>
      <c r="P281" t="s">
        <v>38</v>
      </c>
      <c r="Q281" t="s">
        <v>38</v>
      </c>
      <c r="R281">
        <v>1</v>
      </c>
      <c r="S281" t="s">
        <v>38</v>
      </c>
      <c r="T281">
        <v>8</v>
      </c>
      <c r="U281">
        <v>4.0999999999999996</v>
      </c>
      <c r="V281">
        <v>18.2</v>
      </c>
      <c r="W281" t="s">
        <v>39</v>
      </c>
      <c r="X281" t="s">
        <v>40</v>
      </c>
      <c r="Y281" t="s">
        <v>39</v>
      </c>
      <c r="Z281" t="s">
        <v>41</v>
      </c>
      <c r="AA281" t="s">
        <v>103</v>
      </c>
      <c r="AB281" t="s">
        <v>55</v>
      </c>
      <c r="AC281">
        <f t="shared" si="44"/>
        <v>0</v>
      </c>
      <c r="AD281" s="12">
        <f t="shared" si="48"/>
        <v>0</v>
      </c>
      <c r="AE281" s="12">
        <f t="shared" si="49"/>
        <v>0</v>
      </c>
      <c r="AF281">
        <f t="shared" si="45"/>
        <v>0</v>
      </c>
      <c r="AG281">
        <f t="shared" si="50"/>
        <v>0</v>
      </c>
      <c r="AH281">
        <f t="shared" si="51"/>
        <v>1</v>
      </c>
      <c r="AI281">
        <f t="shared" si="52"/>
        <v>0</v>
      </c>
      <c r="AJ281">
        <f t="shared" si="53"/>
        <v>0</v>
      </c>
      <c r="AK281">
        <f t="shared" si="46"/>
        <v>0</v>
      </c>
      <c r="AL281">
        <f t="shared" si="54"/>
        <v>0</v>
      </c>
    </row>
    <row r="282" spans="1:38">
      <c r="A282" t="s">
        <v>973</v>
      </c>
      <c r="B282" t="s">
        <v>974</v>
      </c>
      <c r="C282" s="1">
        <f t="shared" si="47"/>
        <v>45352</v>
      </c>
      <c r="D282" t="s">
        <v>975</v>
      </c>
      <c r="E282">
        <v>523.29999999999995</v>
      </c>
      <c r="F282">
        <v>21.8</v>
      </c>
      <c r="G282" t="s">
        <v>77</v>
      </c>
      <c r="H282" t="s">
        <v>267</v>
      </c>
      <c r="I282" t="s">
        <v>79</v>
      </c>
      <c r="J282">
        <v>360</v>
      </c>
      <c r="K282" t="s">
        <v>33</v>
      </c>
      <c r="L282" t="s">
        <v>34</v>
      </c>
      <c r="M282" t="s">
        <v>35</v>
      </c>
      <c r="N282" t="s">
        <v>299</v>
      </c>
      <c r="O282" t="s">
        <v>37</v>
      </c>
      <c r="P282" t="s">
        <v>38</v>
      </c>
      <c r="Q282" t="s">
        <v>38</v>
      </c>
      <c r="R282">
        <v>1</v>
      </c>
      <c r="S282" t="s">
        <v>38</v>
      </c>
      <c r="T282">
        <v>5</v>
      </c>
      <c r="U282">
        <v>3.3</v>
      </c>
      <c r="V282">
        <v>8</v>
      </c>
      <c r="W282" t="s">
        <v>39</v>
      </c>
      <c r="X282" t="s">
        <v>123</v>
      </c>
      <c r="Y282" t="s">
        <v>39</v>
      </c>
      <c r="Z282" t="s">
        <v>64</v>
      </c>
      <c r="AA282" t="s">
        <v>82</v>
      </c>
      <c r="AB282" t="s">
        <v>83</v>
      </c>
      <c r="AC282">
        <f t="shared" si="44"/>
        <v>0</v>
      </c>
      <c r="AD282" s="12">
        <f t="shared" si="48"/>
        <v>0</v>
      </c>
      <c r="AE282" s="12">
        <f t="shared" si="49"/>
        <v>1</v>
      </c>
      <c r="AF282">
        <f t="shared" si="45"/>
        <v>0</v>
      </c>
      <c r="AG282">
        <f t="shared" si="50"/>
        <v>0</v>
      </c>
      <c r="AH282">
        <f t="shared" si="51"/>
        <v>0</v>
      </c>
      <c r="AI282">
        <f t="shared" si="52"/>
        <v>0</v>
      </c>
      <c r="AJ282">
        <f t="shared" si="53"/>
        <v>0</v>
      </c>
      <c r="AK282">
        <f t="shared" si="46"/>
        <v>0</v>
      </c>
      <c r="AL282">
        <f t="shared" si="54"/>
        <v>0</v>
      </c>
    </row>
    <row r="283" spans="1:38">
      <c r="A283" t="s">
        <v>976</v>
      </c>
      <c r="B283" t="s">
        <v>977</v>
      </c>
      <c r="C283" s="1">
        <f t="shared" si="47"/>
        <v>45413</v>
      </c>
      <c r="D283" t="s">
        <v>978</v>
      </c>
      <c r="E283">
        <v>297.5</v>
      </c>
      <c r="F283">
        <v>12.4</v>
      </c>
      <c r="G283" t="s">
        <v>30</v>
      </c>
      <c r="H283" t="s">
        <v>159</v>
      </c>
      <c r="I283" t="s">
        <v>79</v>
      </c>
      <c r="J283">
        <v>360</v>
      </c>
      <c r="K283" t="s">
        <v>49</v>
      </c>
      <c r="L283" t="s">
        <v>70</v>
      </c>
      <c r="M283" t="s">
        <v>35</v>
      </c>
      <c r="N283" t="s">
        <v>168</v>
      </c>
      <c r="O283" t="s">
        <v>51</v>
      </c>
      <c r="P283" t="s">
        <v>38</v>
      </c>
      <c r="Q283" t="s">
        <v>38</v>
      </c>
      <c r="R283">
        <v>1</v>
      </c>
      <c r="S283" t="s">
        <v>39</v>
      </c>
      <c r="T283">
        <v>9</v>
      </c>
      <c r="U283">
        <v>2.9</v>
      </c>
      <c r="V283">
        <v>2.7</v>
      </c>
      <c r="W283" t="s">
        <v>39</v>
      </c>
      <c r="X283" t="s">
        <v>52</v>
      </c>
      <c r="Y283" t="s">
        <v>38</v>
      </c>
      <c r="Z283" t="s">
        <v>53</v>
      </c>
      <c r="AA283" t="s">
        <v>109</v>
      </c>
      <c r="AB283" t="s">
        <v>83</v>
      </c>
      <c r="AC283">
        <f t="shared" si="44"/>
        <v>1</v>
      </c>
      <c r="AD283" s="12">
        <f t="shared" si="48"/>
        <v>0</v>
      </c>
      <c r="AE283" s="12">
        <f t="shared" si="49"/>
        <v>0</v>
      </c>
      <c r="AF283">
        <f t="shared" si="45"/>
        <v>1</v>
      </c>
      <c r="AG283">
        <f t="shared" si="50"/>
        <v>0</v>
      </c>
      <c r="AH283">
        <f t="shared" si="51"/>
        <v>0</v>
      </c>
      <c r="AI283">
        <f t="shared" si="52"/>
        <v>0</v>
      </c>
      <c r="AJ283">
        <f t="shared" si="53"/>
        <v>0</v>
      </c>
      <c r="AK283">
        <f t="shared" si="46"/>
        <v>1</v>
      </c>
      <c r="AL283">
        <f t="shared" si="54"/>
        <v>1</v>
      </c>
    </row>
    <row r="284" spans="1:38">
      <c r="A284" t="s">
        <v>979</v>
      </c>
      <c r="B284" t="s">
        <v>980</v>
      </c>
      <c r="C284" s="1">
        <f t="shared" si="47"/>
        <v>45383</v>
      </c>
      <c r="D284" t="s">
        <v>981</v>
      </c>
      <c r="E284">
        <v>314</v>
      </c>
      <c r="F284">
        <v>13.1</v>
      </c>
      <c r="G284" t="s">
        <v>30</v>
      </c>
      <c r="H284" t="s">
        <v>172</v>
      </c>
      <c r="I284" t="s">
        <v>79</v>
      </c>
      <c r="J284">
        <v>360</v>
      </c>
      <c r="K284" t="s">
        <v>49</v>
      </c>
      <c r="L284" t="s">
        <v>96</v>
      </c>
      <c r="M284" t="s">
        <v>35</v>
      </c>
      <c r="N284" t="s">
        <v>119</v>
      </c>
      <c r="O284" t="s">
        <v>7232</v>
      </c>
      <c r="P284" t="s">
        <v>38</v>
      </c>
      <c r="Q284" t="s">
        <v>38</v>
      </c>
      <c r="R284">
        <v>1</v>
      </c>
      <c r="S284" t="s">
        <v>38</v>
      </c>
      <c r="T284">
        <v>6</v>
      </c>
      <c r="U284">
        <v>1.6</v>
      </c>
      <c r="V284">
        <v>7.6</v>
      </c>
      <c r="W284" t="s">
        <v>39</v>
      </c>
      <c r="X284" t="s">
        <v>123</v>
      </c>
      <c r="Y284" t="s">
        <v>38</v>
      </c>
      <c r="Z284" t="s">
        <v>41</v>
      </c>
      <c r="AA284" t="s">
        <v>82</v>
      </c>
      <c r="AB284" t="s">
        <v>83</v>
      </c>
      <c r="AC284">
        <f t="shared" si="44"/>
        <v>0</v>
      </c>
      <c r="AD284" s="12">
        <f t="shared" si="48"/>
        <v>0</v>
      </c>
      <c r="AE284" s="12">
        <f t="shared" si="49"/>
        <v>1</v>
      </c>
      <c r="AF284">
        <f t="shared" si="45"/>
        <v>0</v>
      </c>
      <c r="AG284">
        <f t="shared" si="50"/>
        <v>1</v>
      </c>
      <c r="AH284">
        <f t="shared" si="51"/>
        <v>0</v>
      </c>
      <c r="AI284">
        <f t="shared" si="52"/>
        <v>0</v>
      </c>
      <c r="AJ284">
        <f t="shared" si="53"/>
        <v>0</v>
      </c>
      <c r="AK284">
        <f t="shared" si="46"/>
        <v>1</v>
      </c>
      <c r="AL284">
        <f t="shared" si="54"/>
        <v>1</v>
      </c>
    </row>
    <row r="285" spans="1:38">
      <c r="A285" t="s">
        <v>982</v>
      </c>
      <c r="B285" t="s">
        <v>983</v>
      </c>
      <c r="C285" s="1">
        <f t="shared" si="47"/>
        <v>45352</v>
      </c>
      <c r="D285" t="s">
        <v>984</v>
      </c>
      <c r="E285">
        <v>182</v>
      </c>
      <c r="F285">
        <v>7.6</v>
      </c>
      <c r="G285" t="s">
        <v>30</v>
      </c>
      <c r="H285" t="s">
        <v>159</v>
      </c>
      <c r="I285" t="s">
        <v>32</v>
      </c>
      <c r="J285">
        <v>240</v>
      </c>
      <c r="K285" t="s">
        <v>49</v>
      </c>
      <c r="L285" t="s">
        <v>34</v>
      </c>
      <c r="M285" t="s">
        <v>71</v>
      </c>
      <c r="N285" t="s">
        <v>72</v>
      </c>
      <c r="O285" t="s">
        <v>7232</v>
      </c>
      <c r="P285" t="s">
        <v>38</v>
      </c>
      <c r="Q285" t="s">
        <v>39</v>
      </c>
      <c r="R285">
        <v>4</v>
      </c>
      <c r="S285" t="s">
        <v>39</v>
      </c>
      <c r="T285">
        <v>9</v>
      </c>
      <c r="U285">
        <v>6.7</v>
      </c>
      <c r="V285">
        <v>4.9000000000000004</v>
      </c>
      <c r="W285" t="s">
        <v>39</v>
      </c>
      <c r="X285" t="s">
        <v>40</v>
      </c>
      <c r="Y285" t="s">
        <v>39</v>
      </c>
      <c r="Z285" t="s">
        <v>115</v>
      </c>
      <c r="AA285" t="s">
        <v>103</v>
      </c>
      <c r="AB285" t="s">
        <v>55</v>
      </c>
      <c r="AC285">
        <f t="shared" si="44"/>
        <v>0</v>
      </c>
      <c r="AD285" s="12">
        <f t="shared" si="48"/>
        <v>0</v>
      </c>
      <c r="AE285" s="12">
        <f t="shared" si="49"/>
        <v>0</v>
      </c>
      <c r="AF285">
        <f t="shared" si="45"/>
        <v>0</v>
      </c>
      <c r="AG285">
        <f t="shared" si="50"/>
        <v>1</v>
      </c>
      <c r="AH285">
        <f t="shared" si="51"/>
        <v>0</v>
      </c>
      <c r="AI285">
        <f t="shared" si="52"/>
        <v>0</v>
      </c>
      <c r="AJ285">
        <f t="shared" si="53"/>
        <v>1</v>
      </c>
      <c r="AK285">
        <f t="shared" si="46"/>
        <v>1</v>
      </c>
      <c r="AL285">
        <f t="shared" si="54"/>
        <v>0</v>
      </c>
    </row>
    <row r="286" spans="1:38">
      <c r="A286" t="s">
        <v>985</v>
      </c>
      <c r="B286" t="s">
        <v>986</v>
      </c>
      <c r="C286" s="1">
        <f t="shared" si="47"/>
        <v>45566</v>
      </c>
      <c r="D286" t="s">
        <v>987</v>
      </c>
      <c r="E286">
        <v>78.2</v>
      </c>
      <c r="F286">
        <v>3.3</v>
      </c>
      <c r="G286" t="s">
        <v>101</v>
      </c>
      <c r="H286" t="s">
        <v>102</v>
      </c>
      <c r="I286" t="s">
        <v>48</v>
      </c>
      <c r="J286">
        <v>120</v>
      </c>
      <c r="K286" t="s">
        <v>49</v>
      </c>
      <c r="L286" t="s">
        <v>113</v>
      </c>
      <c r="M286" t="s">
        <v>35</v>
      </c>
      <c r="N286" t="s">
        <v>114</v>
      </c>
      <c r="O286" t="s">
        <v>37</v>
      </c>
      <c r="P286" t="s">
        <v>39</v>
      </c>
      <c r="Q286" t="s">
        <v>38</v>
      </c>
      <c r="R286">
        <v>0</v>
      </c>
      <c r="S286" t="s">
        <v>38</v>
      </c>
      <c r="T286">
        <v>10</v>
      </c>
      <c r="U286">
        <v>2.2000000000000002</v>
      </c>
      <c r="V286">
        <v>26.9</v>
      </c>
      <c r="W286" t="s">
        <v>39</v>
      </c>
      <c r="X286" t="s">
        <v>63</v>
      </c>
      <c r="Y286" t="s">
        <v>39</v>
      </c>
      <c r="Z286" t="s">
        <v>108</v>
      </c>
      <c r="AA286" t="s">
        <v>54</v>
      </c>
      <c r="AB286" t="s">
        <v>43</v>
      </c>
      <c r="AC286">
        <f t="shared" si="44"/>
        <v>0</v>
      </c>
      <c r="AD286" s="12">
        <f t="shared" si="48"/>
        <v>1</v>
      </c>
      <c r="AE286" s="12">
        <f t="shared" si="49"/>
        <v>0</v>
      </c>
      <c r="AF286">
        <f t="shared" si="45"/>
        <v>0</v>
      </c>
      <c r="AG286">
        <f t="shared" si="50"/>
        <v>0</v>
      </c>
      <c r="AH286">
        <f t="shared" si="51"/>
        <v>1</v>
      </c>
      <c r="AI286">
        <f t="shared" si="52"/>
        <v>0</v>
      </c>
      <c r="AJ286">
        <f t="shared" si="53"/>
        <v>0</v>
      </c>
      <c r="AK286">
        <f t="shared" si="46"/>
        <v>0</v>
      </c>
      <c r="AL286">
        <f t="shared" si="54"/>
        <v>0</v>
      </c>
    </row>
    <row r="287" spans="1:38">
      <c r="A287" t="s">
        <v>988</v>
      </c>
      <c r="B287" t="s">
        <v>989</v>
      </c>
      <c r="C287" s="1">
        <f t="shared" si="47"/>
        <v>45536</v>
      </c>
      <c r="D287" t="s">
        <v>990</v>
      </c>
      <c r="E287">
        <v>302.3</v>
      </c>
      <c r="F287">
        <v>12.6</v>
      </c>
      <c r="G287" t="s">
        <v>93</v>
      </c>
      <c r="H287" t="s">
        <v>94</v>
      </c>
      <c r="I287" t="s">
        <v>79</v>
      </c>
      <c r="J287">
        <v>360</v>
      </c>
      <c r="K287" t="s">
        <v>49</v>
      </c>
      <c r="L287" t="s">
        <v>96</v>
      </c>
      <c r="M287" t="s">
        <v>35</v>
      </c>
      <c r="N287" t="s">
        <v>80</v>
      </c>
      <c r="O287" t="s">
        <v>51</v>
      </c>
      <c r="P287" t="s">
        <v>38</v>
      </c>
      <c r="Q287" t="s">
        <v>38</v>
      </c>
      <c r="R287">
        <v>1</v>
      </c>
      <c r="S287" t="s">
        <v>38</v>
      </c>
      <c r="T287">
        <v>10</v>
      </c>
      <c r="U287">
        <v>0.5</v>
      </c>
      <c r="V287">
        <v>28.8</v>
      </c>
      <c r="W287" t="s">
        <v>39</v>
      </c>
      <c r="X287" t="s">
        <v>123</v>
      </c>
      <c r="Y287" t="s">
        <v>38</v>
      </c>
      <c r="Z287" t="s">
        <v>64</v>
      </c>
      <c r="AA287" t="s">
        <v>103</v>
      </c>
      <c r="AB287" t="s">
        <v>43</v>
      </c>
      <c r="AC287">
        <f t="shared" si="44"/>
        <v>0</v>
      </c>
      <c r="AD287" s="12">
        <f t="shared" si="48"/>
        <v>0</v>
      </c>
      <c r="AE287" s="12">
        <f t="shared" si="49"/>
        <v>1</v>
      </c>
      <c r="AF287">
        <f t="shared" si="45"/>
        <v>1</v>
      </c>
      <c r="AG287">
        <f t="shared" si="50"/>
        <v>0</v>
      </c>
      <c r="AH287">
        <f t="shared" si="51"/>
        <v>0</v>
      </c>
      <c r="AI287">
        <f t="shared" si="52"/>
        <v>0</v>
      </c>
      <c r="AJ287">
        <f t="shared" si="53"/>
        <v>0</v>
      </c>
      <c r="AK287">
        <f t="shared" si="46"/>
        <v>0</v>
      </c>
      <c r="AL287">
        <f t="shared" si="54"/>
        <v>1</v>
      </c>
    </row>
    <row r="288" spans="1:38">
      <c r="A288" t="s">
        <v>991</v>
      </c>
      <c r="B288" t="s">
        <v>992</v>
      </c>
      <c r="C288" s="1">
        <f t="shared" si="47"/>
        <v>45413</v>
      </c>
      <c r="D288" t="s">
        <v>993</v>
      </c>
      <c r="E288">
        <v>162.5</v>
      </c>
      <c r="F288">
        <v>6.8</v>
      </c>
      <c r="G288" t="s">
        <v>142</v>
      </c>
      <c r="H288" t="s">
        <v>729</v>
      </c>
      <c r="I288" t="s">
        <v>32</v>
      </c>
      <c r="J288">
        <v>240</v>
      </c>
      <c r="K288" t="s">
        <v>49</v>
      </c>
      <c r="L288" t="s">
        <v>70</v>
      </c>
      <c r="M288" t="s">
        <v>35</v>
      </c>
      <c r="N288" t="s">
        <v>202</v>
      </c>
      <c r="O288" t="s">
        <v>7232</v>
      </c>
      <c r="P288" t="s">
        <v>39</v>
      </c>
      <c r="Q288" t="s">
        <v>38</v>
      </c>
      <c r="R288">
        <v>0</v>
      </c>
      <c r="S288" t="s">
        <v>38</v>
      </c>
      <c r="T288">
        <v>10</v>
      </c>
      <c r="U288">
        <v>4</v>
      </c>
      <c r="V288">
        <v>31</v>
      </c>
      <c r="W288" t="s">
        <v>38</v>
      </c>
      <c r="X288" t="s">
        <v>52</v>
      </c>
      <c r="Y288" t="s">
        <v>39</v>
      </c>
      <c r="Z288" t="s">
        <v>115</v>
      </c>
      <c r="AA288" t="s">
        <v>109</v>
      </c>
      <c r="AB288" t="s">
        <v>83</v>
      </c>
      <c r="AC288">
        <f t="shared" si="44"/>
        <v>1</v>
      </c>
      <c r="AD288" s="12">
        <f t="shared" si="48"/>
        <v>0</v>
      </c>
      <c r="AE288" s="12">
        <f t="shared" si="49"/>
        <v>0</v>
      </c>
      <c r="AF288">
        <f t="shared" si="45"/>
        <v>0</v>
      </c>
      <c r="AG288">
        <f t="shared" si="50"/>
        <v>1</v>
      </c>
      <c r="AH288">
        <f t="shared" si="51"/>
        <v>0</v>
      </c>
      <c r="AI288">
        <f t="shared" si="52"/>
        <v>0</v>
      </c>
      <c r="AJ288">
        <f t="shared" si="53"/>
        <v>1</v>
      </c>
      <c r="AK288">
        <f t="shared" si="46"/>
        <v>0</v>
      </c>
      <c r="AL288">
        <f t="shared" si="54"/>
        <v>0</v>
      </c>
    </row>
    <row r="289" spans="1:38">
      <c r="A289" t="s">
        <v>994</v>
      </c>
      <c r="B289" t="s">
        <v>995</v>
      </c>
      <c r="C289" s="1">
        <f t="shared" si="47"/>
        <v>45413</v>
      </c>
      <c r="D289" t="s">
        <v>996</v>
      </c>
      <c r="E289">
        <v>106.7</v>
      </c>
      <c r="F289">
        <v>4.4000000000000004</v>
      </c>
      <c r="G289" t="s">
        <v>87</v>
      </c>
      <c r="H289" t="s">
        <v>88</v>
      </c>
      <c r="I289" t="s">
        <v>48</v>
      </c>
      <c r="J289">
        <v>120</v>
      </c>
      <c r="K289" t="s">
        <v>49</v>
      </c>
      <c r="L289" t="s">
        <v>133</v>
      </c>
      <c r="M289" t="s">
        <v>35</v>
      </c>
      <c r="N289" t="s">
        <v>277</v>
      </c>
      <c r="O289" t="s">
        <v>7232</v>
      </c>
      <c r="P289" t="s">
        <v>38</v>
      </c>
      <c r="Q289" t="s">
        <v>38</v>
      </c>
      <c r="R289">
        <v>1</v>
      </c>
      <c r="S289" t="s">
        <v>39</v>
      </c>
      <c r="T289">
        <v>8</v>
      </c>
      <c r="U289">
        <v>2.1</v>
      </c>
      <c r="V289">
        <v>23.9</v>
      </c>
      <c r="W289" t="s">
        <v>39</v>
      </c>
      <c r="X289" t="s">
        <v>123</v>
      </c>
      <c r="Y289" t="s">
        <v>38</v>
      </c>
      <c r="Z289" t="s">
        <v>41</v>
      </c>
      <c r="AA289" t="s">
        <v>82</v>
      </c>
      <c r="AB289" t="s">
        <v>83</v>
      </c>
      <c r="AC289">
        <f t="shared" si="44"/>
        <v>0</v>
      </c>
      <c r="AD289" s="12">
        <f t="shared" si="48"/>
        <v>0</v>
      </c>
      <c r="AE289" s="12">
        <f t="shared" si="49"/>
        <v>1</v>
      </c>
      <c r="AF289">
        <f t="shared" si="45"/>
        <v>0</v>
      </c>
      <c r="AG289">
        <f t="shared" si="50"/>
        <v>1</v>
      </c>
      <c r="AH289">
        <f t="shared" si="51"/>
        <v>1</v>
      </c>
      <c r="AI289">
        <f t="shared" si="52"/>
        <v>0</v>
      </c>
      <c r="AJ289">
        <f t="shared" si="53"/>
        <v>0</v>
      </c>
      <c r="AK289">
        <f t="shared" si="46"/>
        <v>0</v>
      </c>
      <c r="AL289">
        <f t="shared" si="54"/>
        <v>1</v>
      </c>
    </row>
    <row r="290" spans="1:38">
      <c r="A290" t="s">
        <v>997</v>
      </c>
      <c r="B290" t="s">
        <v>998</v>
      </c>
      <c r="C290" s="1">
        <f t="shared" si="47"/>
        <v>45352</v>
      </c>
      <c r="D290" t="s">
        <v>999</v>
      </c>
      <c r="E290">
        <v>467.1</v>
      </c>
      <c r="F290">
        <v>19.5</v>
      </c>
      <c r="G290" t="s">
        <v>101</v>
      </c>
      <c r="H290" t="s">
        <v>368</v>
      </c>
      <c r="I290" t="s">
        <v>32</v>
      </c>
      <c r="J290">
        <v>240</v>
      </c>
      <c r="K290" t="s">
        <v>33</v>
      </c>
      <c r="L290" t="s">
        <v>70</v>
      </c>
      <c r="M290" t="s">
        <v>35</v>
      </c>
      <c r="N290" t="s">
        <v>144</v>
      </c>
      <c r="O290" t="s">
        <v>37</v>
      </c>
      <c r="P290" t="s">
        <v>38</v>
      </c>
      <c r="Q290" t="s">
        <v>38</v>
      </c>
      <c r="R290">
        <v>1</v>
      </c>
      <c r="S290" t="s">
        <v>38</v>
      </c>
      <c r="T290">
        <v>6</v>
      </c>
      <c r="U290">
        <v>3.6</v>
      </c>
      <c r="V290">
        <v>31.9</v>
      </c>
      <c r="W290" t="s">
        <v>39</v>
      </c>
      <c r="X290" t="s">
        <v>63</v>
      </c>
      <c r="Y290" t="s">
        <v>38</v>
      </c>
      <c r="Z290" t="s">
        <v>81</v>
      </c>
      <c r="AA290" t="s">
        <v>42</v>
      </c>
      <c r="AB290" t="s">
        <v>83</v>
      </c>
      <c r="AC290">
        <f t="shared" si="44"/>
        <v>0</v>
      </c>
      <c r="AD290" s="12">
        <f t="shared" si="48"/>
        <v>1</v>
      </c>
      <c r="AE290" s="12">
        <f t="shared" si="49"/>
        <v>0</v>
      </c>
      <c r="AF290">
        <f t="shared" si="45"/>
        <v>0</v>
      </c>
      <c r="AG290">
        <f t="shared" si="50"/>
        <v>0</v>
      </c>
      <c r="AH290">
        <f t="shared" si="51"/>
        <v>0</v>
      </c>
      <c r="AI290">
        <f t="shared" si="52"/>
        <v>0</v>
      </c>
      <c r="AJ290">
        <f t="shared" si="53"/>
        <v>1</v>
      </c>
      <c r="AK290">
        <f t="shared" si="46"/>
        <v>0</v>
      </c>
      <c r="AL290">
        <f t="shared" si="54"/>
        <v>1</v>
      </c>
    </row>
    <row r="291" spans="1:38">
      <c r="A291" t="s">
        <v>1000</v>
      </c>
      <c r="B291" t="s">
        <v>1001</v>
      </c>
      <c r="C291" s="1">
        <f t="shared" si="47"/>
        <v>45474</v>
      </c>
      <c r="D291" t="s">
        <v>1002</v>
      </c>
      <c r="E291">
        <v>110.9</v>
      </c>
      <c r="F291">
        <v>4.5999999999999996</v>
      </c>
      <c r="G291" t="s">
        <v>142</v>
      </c>
      <c r="H291" t="s">
        <v>240</v>
      </c>
      <c r="I291" t="s">
        <v>48</v>
      </c>
      <c r="J291">
        <v>120</v>
      </c>
      <c r="K291" t="s">
        <v>49</v>
      </c>
      <c r="L291" t="s">
        <v>113</v>
      </c>
      <c r="M291" t="s">
        <v>35</v>
      </c>
      <c r="N291" t="s">
        <v>168</v>
      </c>
      <c r="O291" t="s">
        <v>51</v>
      </c>
      <c r="P291" t="s">
        <v>38</v>
      </c>
      <c r="Q291" t="s">
        <v>38</v>
      </c>
      <c r="R291">
        <v>1</v>
      </c>
      <c r="S291" t="s">
        <v>38</v>
      </c>
      <c r="T291">
        <v>9</v>
      </c>
      <c r="U291">
        <v>0.1</v>
      </c>
      <c r="V291">
        <v>39.700000000000003</v>
      </c>
      <c r="W291" t="s">
        <v>39</v>
      </c>
      <c r="X291" t="s">
        <v>123</v>
      </c>
      <c r="Y291" t="s">
        <v>38</v>
      </c>
      <c r="Z291" t="s">
        <v>81</v>
      </c>
      <c r="AA291" t="s">
        <v>109</v>
      </c>
      <c r="AB291" t="s">
        <v>83</v>
      </c>
      <c r="AC291">
        <f t="shared" si="44"/>
        <v>0</v>
      </c>
      <c r="AD291" s="12">
        <f t="shared" si="48"/>
        <v>0</v>
      </c>
      <c r="AE291" s="12">
        <f t="shared" si="49"/>
        <v>1</v>
      </c>
      <c r="AF291">
        <f t="shared" si="45"/>
        <v>1</v>
      </c>
      <c r="AG291">
        <f t="shared" si="50"/>
        <v>0</v>
      </c>
      <c r="AH291">
        <f t="shared" si="51"/>
        <v>1</v>
      </c>
      <c r="AI291">
        <f t="shared" si="52"/>
        <v>0</v>
      </c>
      <c r="AJ291">
        <f t="shared" si="53"/>
        <v>0</v>
      </c>
      <c r="AK291">
        <f t="shared" si="46"/>
        <v>0</v>
      </c>
      <c r="AL291">
        <f t="shared" si="54"/>
        <v>1</v>
      </c>
    </row>
    <row r="292" spans="1:38">
      <c r="A292" t="s">
        <v>1003</v>
      </c>
      <c r="B292" t="s">
        <v>1004</v>
      </c>
      <c r="C292" s="1">
        <f t="shared" si="47"/>
        <v>45352</v>
      </c>
      <c r="D292" t="s">
        <v>1005</v>
      </c>
      <c r="E292">
        <v>245.3</v>
      </c>
      <c r="F292">
        <v>10.199999999999999</v>
      </c>
      <c r="G292" t="s">
        <v>101</v>
      </c>
      <c r="H292" t="s">
        <v>102</v>
      </c>
      <c r="I292" t="s">
        <v>79</v>
      </c>
      <c r="J292">
        <v>360</v>
      </c>
      <c r="K292" t="s">
        <v>49</v>
      </c>
      <c r="L292" t="s">
        <v>96</v>
      </c>
      <c r="M292" t="s">
        <v>35</v>
      </c>
      <c r="N292" t="s">
        <v>119</v>
      </c>
      <c r="O292" t="s">
        <v>51</v>
      </c>
      <c r="P292" t="s">
        <v>38</v>
      </c>
      <c r="Q292" t="s">
        <v>38</v>
      </c>
      <c r="R292">
        <v>1</v>
      </c>
      <c r="S292" t="s">
        <v>39</v>
      </c>
      <c r="T292">
        <v>6</v>
      </c>
      <c r="U292">
        <v>0.3</v>
      </c>
      <c r="V292">
        <v>0</v>
      </c>
      <c r="W292" t="s">
        <v>38</v>
      </c>
      <c r="X292" t="s">
        <v>123</v>
      </c>
      <c r="Y292" t="s">
        <v>38</v>
      </c>
      <c r="Z292" t="s">
        <v>81</v>
      </c>
      <c r="AA292" t="s">
        <v>82</v>
      </c>
      <c r="AB292" t="s">
        <v>43</v>
      </c>
      <c r="AC292">
        <f t="shared" si="44"/>
        <v>0</v>
      </c>
      <c r="AD292" s="12">
        <f t="shared" si="48"/>
        <v>0</v>
      </c>
      <c r="AE292" s="12">
        <f t="shared" si="49"/>
        <v>1</v>
      </c>
      <c r="AF292">
        <f t="shared" si="45"/>
        <v>1</v>
      </c>
      <c r="AG292">
        <f t="shared" si="50"/>
        <v>0</v>
      </c>
      <c r="AH292">
        <f t="shared" si="51"/>
        <v>0</v>
      </c>
      <c r="AI292">
        <f t="shared" si="52"/>
        <v>0</v>
      </c>
      <c r="AJ292">
        <f t="shared" si="53"/>
        <v>0</v>
      </c>
      <c r="AK292">
        <f t="shared" si="46"/>
        <v>0</v>
      </c>
      <c r="AL292">
        <f t="shared" si="54"/>
        <v>1</v>
      </c>
    </row>
    <row r="293" spans="1:38">
      <c r="A293" t="s">
        <v>1006</v>
      </c>
      <c r="B293" t="s">
        <v>1007</v>
      </c>
      <c r="C293" s="1">
        <f t="shared" si="47"/>
        <v>45323</v>
      </c>
      <c r="D293" t="s">
        <v>1008</v>
      </c>
      <c r="E293">
        <v>181.9</v>
      </c>
      <c r="F293">
        <v>7.6</v>
      </c>
      <c r="G293" t="s">
        <v>87</v>
      </c>
      <c r="H293" t="s">
        <v>309</v>
      </c>
      <c r="I293" t="s">
        <v>32</v>
      </c>
      <c r="J293">
        <v>240</v>
      </c>
      <c r="K293" t="s">
        <v>49</v>
      </c>
      <c r="L293" t="s">
        <v>34</v>
      </c>
      <c r="M293" t="s">
        <v>35</v>
      </c>
      <c r="N293" t="s">
        <v>80</v>
      </c>
      <c r="O293" t="s">
        <v>37</v>
      </c>
      <c r="P293" t="s">
        <v>39</v>
      </c>
      <c r="Q293" t="s">
        <v>38</v>
      </c>
      <c r="R293">
        <v>0</v>
      </c>
      <c r="S293" t="s">
        <v>38</v>
      </c>
      <c r="T293">
        <v>9</v>
      </c>
      <c r="U293">
        <v>0.2</v>
      </c>
      <c r="V293">
        <v>17.600000000000001</v>
      </c>
      <c r="W293" t="s">
        <v>39</v>
      </c>
      <c r="X293" t="s">
        <v>123</v>
      </c>
      <c r="Y293" t="s">
        <v>39</v>
      </c>
      <c r="Z293" t="s">
        <v>73</v>
      </c>
      <c r="AA293" t="s">
        <v>109</v>
      </c>
      <c r="AB293" t="s">
        <v>43</v>
      </c>
      <c r="AC293">
        <f t="shared" si="44"/>
        <v>0</v>
      </c>
      <c r="AD293" s="12">
        <f t="shared" si="48"/>
        <v>0</v>
      </c>
      <c r="AE293" s="12">
        <f t="shared" si="49"/>
        <v>1</v>
      </c>
      <c r="AF293">
        <f t="shared" si="45"/>
        <v>0</v>
      </c>
      <c r="AG293">
        <f t="shared" si="50"/>
        <v>0</v>
      </c>
      <c r="AH293">
        <f t="shared" si="51"/>
        <v>0</v>
      </c>
      <c r="AI293">
        <f t="shared" si="52"/>
        <v>0</v>
      </c>
      <c r="AJ293">
        <f t="shared" si="53"/>
        <v>1</v>
      </c>
      <c r="AK293">
        <f t="shared" si="46"/>
        <v>0</v>
      </c>
      <c r="AL293">
        <f t="shared" si="54"/>
        <v>0</v>
      </c>
    </row>
    <row r="294" spans="1:38">
      <c r="A294" t="s">
        <v>1009</v>
      </c>
      <c r="B294" t="s">
        <v>1010</v>
      </c>
      <c r="C294" s="1">
        <f t="shared" si="47"/>
        <v>45597</v>
      </c>
      <c r="D294" t="s">
        <v>1011</v>
      </c>
      <c r="E294">
        <v>149.80000000000001</v>
      </c>
      <c r="F294">
        <v>6.2</v>
      </c>
      <c r="G294" t="s">
        <v>142</v>
      </c>
      <c r="H294" t="s">
        <v>143</v>
      </c>
      <c r="I294" t="s">
        <v>32</v>
      </c>
      <c r="J294">
        <v>240</v>
      </c>
      <c r="K294" t="s">
        <v>49</v>
      </c>
      <c r="L294" t="s">
        <v>96</v>
      </c>
      <c r="M294" t="s">
        <v>71</v>
      </c>
      <c r="N294" t="s">
        <v>414</v>
      </c>
      <c r="O294" t="s">
        <v>51</v>
      </c>
      <c r="P294" t="s">
        <v>38</v>
      </c>
      <c r="Q294" t="s">
        <v>39</v>
      </c>
      <c r="R294">
        <v>1</v>
      </c>
      <c r="S294" t="s">
        <v>38</v>
      </c>
      <c r="T294">
        <v>6</v>
      </c>
      <c r="U294">
        <v>0.8</v>
      </c>
      <c r="V294">
        <v>18.5</v>
      </c>
      <c r="W294" t="s">
        <v>38</v>
      </c>
      <c r="X294" t="s">
        <v>63</v>
      </c>
      <c r="Y294" t="s">
        <v>39</v>
      </c>
      <c r="Z294" t="s">
        <v>108</v>
      </c>
      <c r="AA294" t="s">
        <v>42</v>
      </c>
      <c r="AB294" t="s">
        <v>55</v>
      </c>
      <c r="AC294">
        <f t="shared" si="44"/>
        <v>0</v>
      </c>
      <c r="AD294" s="12">
        <f t="shared" si="48"/>
        <v>1</v>
      </c>
      <c r="AE294" s="12">
        <f t="shared" si="49"/>
        <v>0</v>
      </c>
      <c r="AF294">
        <f t="shared" si="45"/>
        <v>1</v>
      </c>
      <c r="AG294">
        <f t="shared" si="50"/>
        <v>0</v>
      </c>
      <c r="AH294">
        <f t="shared" si="51"/>
        <v>0</v>
      </c>
      <c r="AI294">
        <f t="shared" si="52"/>
        <v>0</v>
      </c>
      <c r="AJ294">
        <f t="shared" si="53"/>
        <v>1</v>
      </c>
      <c r="AK294">
        <f t="shared" si="46"/>
        <v>0</v>
      </c>
      <c r="AL294">
        <f t="shared" si="54"/>
        <v>0</v>
      </c>
    </row>
    <row r="295" spans="1:38">
      <c r="A295" t="s">
        <v>1012</v>
      </c>
      <c r="B295" t="s">
        <v>1013</v>
      </c>
      <c r="C295" s="1">
        <f t="shared" si="47"/>
        <v>45566</v>
      </c>
      <c r="D295" t="s">
        <v>1014</v>
      </c>
      <c r="E295">
        <v>157.80000000000001</v>
      </c>
      <c r="F295">
        <v>6.6</v>
      </c>
      <c r="G295" t="s">
        <v>30</v>
      </c>
      <c r="H295" t="s">
        <v>31</v>
      </c>
      <c r="I295" t="s">
        <v>48</v>
      </c>
      <c r="J295">
        <v>120</v>
      </c>
      <c r="K295" t="s">
        <v>33</v>
      </c>
      <c r="L295" t="s">
        <v>96</v>
      </c>
      <c r="M295" t="s">
        <v>71</v>
      </c>
      <c r="N295" t="s">
        <v>202</v>
      </c>
      <c r="O295" t="s">
        <v>51</v>
      </c>
      <c r="P295" t="s">
        <v>38</v>
      </c>
      <c r="Q295" t="s">
        <v>39</v>
      </c>
      <c r="R295">
        <v>3</v>
      </c>
      <c r="S295" t="s">
        <v>39</v>
      </c>
      <c r="T295">
        <v>6</v>
      </c>
      <c r="U295">
        <v>3.8</v>
      </c>
      <c r="V295">
        <v>27.6</v>
      </c>
      <c r="W295" t="s">
        <v>39</v>
      </c>
      <c r="X295" t="s">
        <v>123</v>
      </c>
      <c r="Y295" t="s">
        <v>39</v>
      </c>
      <c r="Z295" t="s">
        <v>179</v>
      </c>
      <c r="AA295" t="s">
        <v>42</v>
      </c>
      <c r="AB295" t="s">
        <v>83</v>
      </c>
      <c r="AC295">
        <f t="shared" si="44"/>
        <v>0</v>
      </c>
      <c r="AD295" s="12">
        <f t="shared" si="48"/>
        <v>0</v>
      </c>
      <c r="AE295" s="12">
        <f t="shared" si="49"/>
        <v>1</v>
      </c>
      <c r="AF295">
        <f t="shared" si="45"/>
        <v>1</v>
      </c>
      <c r="AG295">
        <f t="shared" si="50"/>
        <v>0</v>
      </c>
      <c r="AH295">
        <f t="shared" si="51"/>
        <v>1</v>
      </c>
      <c r="AI295">
        <f t="shared" si="52"/>
        <v>0</v>
      </c>
      <c r="AJ295">
        <f t="shared" si="53"/>
        <v>0</v>
      </c>
      <c r="AK295">
        <f t="shared" si="46"/>
        <v>1</v>
      </c>
      <c r="AL295">
        <f t="shared" si="54"/>
        <v>0</v>
      </c>
    </row>
    <row r="296" spans="1:38">
      <c r="A296" t="s">
        <v>1015</v>
      </c>
      <c r="B296" t="s">
        <v>1016</v>
      </c>
      <c r="C296" s="1">
        <f t="shared" si="47"/>
        <v>45413</v>
      </c>
      <c r="D296" t="s">
        <v>1017</v>
      </c>
      <c r="E296">
        <v>253.5</v>
      </c>
      <c r="F296">
        <v>10.6</v>
      </c>
      <c r="G296" t="s">
        <v>142</v>
      </c>
      <c r="H296" t="s">
        <v>260</v>
      </c>
      <c r="I296" t="s">
        <v>79</v>
      </c>
      <c r="J296">
        <v>360</v>
      </c>
      <c r="K296" t="s">
        <v>49</v>
      </c>
      <c r="L296" t="s">
        <v>70</v>
      </c>
      <c r="M296" t="s">
        <v>35</v>
      </c>
      <c r="N296" t="s">
        <v>128</v>
      </c>
      <c r="O296" t="s">
        <v>7232</v>
      </c>
      <c r="P296" t="s">
        <v>38</v>
      </c>
      <c r="Q296" t="s">
        <v>38</v>
      </c>
      <c r="R296">
        <v>1</v>
      </c>
      <c r="S296" t="s">
        <v>39</v>
      </c>
      <c r="T296">
        <v>10</v>
      </c>
      <c r="U296">
        <v>0.8</v>
      </c>
      <c r="V296">
        <v>15</v>
      </c>
      <c r="W296" t="s">
        <v>38</v>
      </c>
      <c r="X296" t="s">
        <v>63</v>
      </c>
      <c r="Y296" t="s">
        <v>39</v>
      </c>
      <c r="Z296" t="s">
        <v>53</v>
      </c>
      <c r="AA296" t="s">
        <v>42</v>
      </c>
      <c r="AB296" t="s">
        <v>83</v>
      </c>
      <c r="AC296">
        <f t="shared" si="44"/>
        <v>0</v>
      </c>
      <c r="AD296" s="12">
        <f t="shared" si="48"/>
        <v>1</v>
      </c>
      <c r="AE296" s="12">
        <f t="shared" si="49"/>
        <v>0</v>
      </c>
      <c r="AF296">
        <f t="shared" si="45"/>
        <v>0</v>
      </c>
      <c r="AG296">
        <f t="shared" si="50"/>
        <v>1</v>
      </c>
      <c r="AH296">
        <f t="shared" si="51"/>
        <v>0</v>
      </c>
      <c r="AI296">
        <f t="shared" si="52"/>
        <v>0</v>
      </c>
      <c r="AJ296">
        <f t="shared" si="53"/>
        <v>0</v>
      </c>
      <c r="AK296">
        <f t="shared" si="46"/>
        <v>0</v>
      </c>
      <c r="AL296">
        <f t="shared" si="54"/>
        <v>0</v>
      </c>
    </row>
    <row r="297" spans="1:38">
      <c r="A297" t="s">
        <v>1018</v>
      </c>
      <c r="B297" t="s">
        <v>1019</v>
      </c>
      <c r="C297" s="1">
        <f t="shared" si="47"/>
        <v>45536</v>
      </c>
      <c r="D297" t="s">
        <v>1020</v>
      </c>
      <c r="E297">
        <v>45.1</v>
      </c>
      <c r="F297">
        <v>1.9</v>
      </c>
      <c r="G297" t="s">
        <v>93</v>
      </c>
      <c r="H297" t="s">
        <v>163</v>
      </c>
      <c r="I297" t="s">
        <v>95</v>
      </c>
      <c r="J297">
        <v>48</v>
      </c>
      <c r="K297" t="s">
        <v>49</v>
      </c>
      <c r="L297" t="s">
        <v>34</v>
      </c>
      <c r="M297" t="s">
        <v>35</v>
      </c>
      <c r="N297" t="s">
        <v>128</v>
      </c>
      <c r="O297" t="s">
        <v>7232</v>
      </c>
      <c r="P297" t="s">
        <v>38</v>
      </c>
      <c r="Q297" t="s">
        <v>38</v>
      </c>
      <c r="R297">
        <v>1</v>
      </c>
      <c r="S297" t="s">
        <v>38</v>
      </c>
      <c r="T297">
        <v>9</v>
      </c>
      <c r="U297">
        <v>3.7</v>
      </c>
      <c r="V297">
        <v>19.3</v>
      </c>
      <c r="W297" t="s">
        <v>39</v>
      </c>
      <c r="X297" t="s">
        <v>123</v>
      </c>
      <c r="Y297" t="s">
        <v>38</v>
      </c>
      <c r="Z297" t="s">
        <v>64</v>
      </c>
      <c r="AA297" t="s">
        <v>109</v>
      </c>
      <c r="AB297" t="s">
        <v>55</v>
      </c>
      <c r="AC297">
        <f t="shared" si="44"/>
        <v>0</v>
      </c>
      <c r="AD297" s="12">
        <f t="shared" si="48"/>
        <v>0</v>
      </c>
      <c r="AE297" s="12">
        <f t="shared" si="49"/>
        <v>1</v>
      </c>
      <c r="AF297">
        <f t="shared" si="45"/>
        <v>0</v>
      </c>
      <c r="AG297">
        <f t="shared" si="50"/>
        <v>1</v>
      </c>
      <c r="AH297">
        <f t="shared" si="51"/>
        <v>0</v>
      </c>
      <c r="AI297">
        <f t="shared" si="52"/>
        <v>1</v>
      </c>
      <c r="AJ297">
        <f t="shared" si="53"/>
        <v>0</v>
      </c>
      <c r="AK297">
        <f t="shared" si="46"/>
        <v>0</v>
      </c>
      <c r="AL297">
        <f t="shared" si="54"/>
        <v>1</v>
      </c>
    </row>
    <row r="298" spans="1:38">
      <c r="A298" t="s">
        <v>1021</v>
      </c>
      <c r="B298" t="s">
        <v>1022</v>
      </c>
      <c r="C298" s="1">
        <f t="shared" si="47"/>
        <v>45627</v>
      </c>
      <c r="D298" t="s">
        <v>1023</v>
      </c>
      <c r="E298">
        <v>294.2</v>
      </c>
      <c r="F298">
        <v>12.3</v>
      </c>
      <c r="G298" t="s">
        <v>59</v>
      </c>
      <c r="H298" t="s">
        <v>466</v>
      </c>
      <c r="I298" t="s">
        <v>32</v>
      </c>
      <c r="J298">
        <v>240</v>
      </c>
      <c r="K298" t="s">
        <v>33</v>
      </c>
      <c r="L298" t="s">
        <v>70</v>
      </c>
      <c r="M298" t="s">
        <v>35</v>
      </c>
      <c r="N298" t="s">
        <v>107</v>
      </c>
      <c r="O298" t="s">
        <v>7232</v>
      </c>
      <c r="P298" t="s">
        <v>38</v>
      </c>
      <c r="Q298" t="s">
        <v>38</v>
      </c>
      <c r="R298">
        <v>1</v>
      </c>
      <c r="S298" t="s">
        <v>38</v>
      </c>
      <c r="T298">
        <v>4</v>
      </c>
      <c r="U298">
        <v>2.8</v>
      </c>
      <c r="V298">
        <v>10.1</v>
      </c>
      <c r="W298" t="s">
        <v>38</v>
      </c>
      <c r="X298" t="s">
        <v>63</v>
      </c>
      <c r="Y298" t="s">
        <v>39</v>
      </c>
      <c r="Z298" t="s">
        <v>81</v>
      </c>
      <c r="AA298" t="s">
        <v>54</v>
      </c>
      <c r="AB298" t="s">
        <v>55</v>
      </c>
      <c r="AC298">
        <f t="shared" si="44"/>
        <v>0</v>
      </c>
      <c r="AD298" s="12">
        <f t="shared" si="48"/>
        <v>1</v>
      </c>
      <c r="AE298" s="12">
        <f t="shared" si="49"/>
        <v>0</v>
      </c>
      <c r="AF298">
        <f t="shared" si="45"/>
        <v>0</v>
      </c>
      <c r="AG298">
        <f t="shared" si="50"/>
        <v>1</v>
      </c>
      <c r="AH298">
        <f t="shared" si="51"/>
        <v>0</v>
      </c>
      <c r="AI298">
        <f t="shared" si="52"/>
        <v>0</v>
      </c>
      <c r="AJ298">
        <f t="shared" si="53"/>
        <v>1</v>
      </c>
      <c r="AK298">
        <f t="shared" si="46"/>
        <v>0</v>
      </c>
      <c r="AL298">
        <f t="shared" si="54"/>
        <v>0</v>
      </c>
    </row>
    <row r="299" spans="1:38">
      <c r="A299" t="s">
        <v>1024</v>
      </c>
      <c r="B299" t="s">
        <v>1025</v>
      </c>
      <c r="C299" s="1">
        <f t="shared" si="47"/>
        <v>45474</v>
      </c>
      <c r="D299" t="s">
        <v>1026</v>
      </c>
      <c r="E299">
        <v>110.1</v>
      </c>
      <c r="F299">
        <v>4.5999999999999996</v>
      </c>
      <c r="G299" t="s">
        <v>77</v>
      </c>
      <c r="H299" t="s">
        <v>187</v>
      </c>
      <c r="I299" t="s">
        <v>48</v>
      </c>
      <c r="J299">
        <v>120</v>
      </c>
      <c r="K299" t="s">
        <v>49</v>
      </c>
      <c r="L299" t="s">
        <v>96</v>
      </c>
      <c r="M299" t="s">
        <v>35</v>
      </c>
      <c r="N299" t="s">
        <v>36</v>
      </c>
      <c r="O299" t="s">
        <v>7232</v>
      </c>
      <c r="P299" t="s">
        <v>39</v>
      </c>
      <c r="Q299" t="s">
        <v>38</v>
      </c>
      <c r="R299">
        <v>0</v>
      </c>
      <c r="S299" t="s">
        <v>38</v>
      </c>
      <c r="T299">
        <v>7</v>
      </c>
      <c r="U299">
        <v>3.7</v>
      </c>
      <c r="V299">
        <v>0.3</v>
      </c>
      <c r="W299" t="s">
        <v>39</v>
      </c>
      <c r="X299" t="s">
        <v>40</v>
      </c>
      <c r="Y299" t="s">
        <v>39</v>
      </c>
      <c r="Z299" t="s">
        <v>41</v>
      </c>
      <c r="AA299" t="s">
        <v>103</v>
      </c>
      <c r="AB299" t="s">
        <v>83</v>
      </c>
      <c r="AC299">
        <f t="shared" si="44"/>
        <v>0</v>
      </c>
      <c r="AD299" s="12">
        <f t="shared" si="48"/>
        <v>0</v>
      </c>
      <c r="AE299" s="12">
        <f t="shared" si="49"/>
        <v>0</v>
      </c>
      <c r="AF299">
        <f t="shared" si="45"/>
        <v>0</v>
      </c>
      <c r="AG299">
        <f t="shared" si="50"/>
        <v>1</v>
      </c>
      <c r="AH299">
        <f t="shared" si="51"/>
        <v>1</v>
      </c>
      <c r="AI299">
        <f t="shared" si="52"/>
        <v>0</v>
      </c>
      <c r="AJ299">
        <f t="shared" si="53"/>
        <v>0</v>
      </c>
      <c r="AK299">
        <f t="shared" si="46"/>
        <v>0</v>
      </c>
      <c r="AL299">
        <f t="shared" si="54"/>
        <v>0</v>
      </c>
    </row>
    <row r="300" spans="1:38">
      <c r="A300" t="s">
        <v>1027</v>
      </c>
      <c r="B300" t="s">
        <v>1028</v>
      </c>
      <c r="C300" s="1">
        <f t="shared" si="47"/>
        <v>45566</v>
      </c>
      <c r="D300" t="s">
        <v>1029</v>
      </c>
      <c r="E300">
        <v>187.3</v>
      </c>
      <c r="F300">
        <v>7.8</v>
      </c>
      <c r="G300" t="s">
        <v>59</v>
      </c>
      <c r="H300" t="s">
        <v>466</v>
      </c>
      <c r="I300" t="s">
        <v>48</v>
      </c>
      <c r="J300">
        <v>120</v>
      </c>
      <c r="K300" t="s">
        <v>33</v>
      </c>
      <c r="L300" t="s">
        <v>70</v>
      </c>
      <c r="M300" t="s">
        <v>71</v>
      </c>
      <c r="N300" t="s">
        <v>72</v>
      </c>
      <c r="O300" t="s">
        <v>51</v>
      </c>
      <c r="P300" t="s">
        <v>38</v>
      </c>
      <c r="Q300" t="s">
        <v>39</v>
      </c>
      <c r="R300">
        <v>2</v>
      </c>
      <c r="S300" t="s">
        <v>38</v>
      </c>
      <c r="T300">
        <v>5</v>
      </c>
      <c r="U300">
        <v>4.3</v>
      </c>
      <c r="V300">
        <v>21</v>
      </c>
      <c r="W300" t="s">
        <v>39</v>
      </c>
      <c r="X300" t="s">
        <v>123</v>
      </c>
      <c r="Y300" t="s">
        <v>39</v>
      </c>
      <c r="Z300" t="s">
        <v>41</v>
      </c>
      <c r="AA300" t="s">
        <v>42</v>
      </c>
      <c r="AB300" t="s">
        <v>83</v>
      </c>
      <c r="AC300">
        <f t="shared" si="44"/>
        <v>0</v>
      </c>
      <c r="AD300" s="12">
        <f t="shared" si="48"/>
        <v>0</v>
      </c>
      <c r="AE300" s="12">
        <f t="shared" si="49"/>
        <v>1</v>
      </c>
      <c r="AF300">
        <f t="shared" si="45"/>
        <v>1</v>
      </c>
      <c r="AG300">
        <f t="shared" si="50"/>
        <v>0</v>
      </c>
      <c r="AH300">
        <f t="shared" si="51"/>
        <v>1</v>
      </c>
      <c r="AI300">
        <f t="shared" si="52"/>
        <v>0</v>
      </c>
      <c r="AJ300">
        <f t="shared" si="53"/>
        <v>0</v>
      </c>
      <c r="AK300">
        <f t="shared" si="46"/>
        <v>0</v>
      </c>
      <c r="AL300">
        <f t="shared" si="54"/>
        <v>0</v>
      </c>
    </row>
    <row r="301" spans="1:38">
      <c r="A301" t="s">
        <v>1030</v>
      </c>
      <c r="B301" t="s">
        <v>1031</v>
      </c>
      <c r="C301" s="1">
        <f t="shared" si="47"/>
        <v>45323</v>
      </c>
      <c r="D301" t="s">
        <v>1032</v>
      </c>
      <c r="E301">
        <v>100.2</v>
      </c>
      <c r="F301">
        <v>4.2</v>
      </c>
      <c r="G301" t="s">
        <v>87</v>
      </c>
      <c r="H301" t="s">
        <v>88</v>
      </c>
      <c r="I301" t="s">
        <v>48</v>
      </c>
      <c r="J301">
        <v>120</v>
      </c>
      <c r="K301" t="s">
        <v>49</v>
      </c>
      <c r="L301" t="s">
        <v>96</v>
      </c>
      <c r="M301" t="s">
        <v>71</v>
      </c>
      <c r="N301" t="s">
        <v>414</v>
      </c>
      <c r="O301" t="s">
        <v>7232</v>
      </c>
      <c r="P301" t="s">
        <v>38</v>
      </c>
      <c r="Q301" t="s">
        <v>39</v>
      </c>
      <c r="R301">
        <v>2</v>
      </c>
      <c r="S301" t="s">
        <v>38</v>
      </c>
      <c r="T301">
        <v>6</v>
      </c>
      <c r="U301">
        <v>3.2</v>
      </c>
      <c r="V301">
        <v>36.799999999999997</v>
      </c>
      <c r="W301" t="s">
        <v>39</v>
      </c>
      <c r="X301" t="s">
        <v>123</v>
      </c>
      <c r="Y301" t="s">
        <v>39</v>
      </c>
      <c r="Z301" t="s">
        <v>179</v>
      </c>
      <c r="AA301" t="s">
        <v>82</v>
      </c>
      <c r="AB301" t="s">
        <v>83</v>
      </c>
      <c r="AC301">
        <f t="shared" si="44"/>
        <v>0</v>
      </c>
      <c r="AD301" s="12">
        <f t="shared" si="48"/>
        <v>0</v>
      </c>
      <c r="AE301" s="12">
        <f t="shared" si="49"/>
        <v>1</v>
      </c>
      <c r="AF301">
        <f t="shared" si="45"/>
        <v>0</v>
      </c>
      <c r="AG301">
        <f t="shared" si="50"/>
        <v>1</v>
      </c>
      <c r="AH301">
        <f t="shared" si="51"/>
        <v>1</v>
      </c>
      <c r="AI301">
        <f t="shared" si="52"/>
        <v>0</v>
      </c>
      <c r="AJ301">
        <f t="shared" si="53"/>
        <v>0</v>
      </c>
      <c r="AK301">
        <f t="shared" si="46"/>
        <v>0</v>
      </c>
      <c r="AL301">
        <f t="shared" si="54"/>
        <v>0</v>
      </c>
    </row>
    <row r="302" spans="1:38">
      <c r="A302" t="s">
        <v>1033</v>
      </c>
      <c r="B302" t="s">
        <v>1034</v>
      </c>
      <c r="C302" s="1">
        <f t="shared" si="47"/>
        <v>45627</v>
      </c>
      <c r="D302" t="s">
        <v>1035</v>
      </c>
      <c r="E302">
        <v>570.9</v>
      </c>
      <c r="F302">
        <v>23.8</v>
      </c>
      <c r="G302" t="s">
        <v>30</v>
      </c>
      <c r="H302" t="s">
        <v>47</v>
      </c>
      <c r="I302" t="s">
        <v>32</v>
      </c>
      <c r="J302">
        <v>240</v>
      </c>
      <c r="K302" t="s">
        <v>33</v>
      </c>
      <c r="L302" t="s">
        <v>34</v>
      </c>
      <c r="M302" t="s">
        <v>35</v>
      </c>
      <c r="N302" t="s">
        <v>188</v>
      </c>
      <c r="O302" t="s">
        <v>7232</v>
      </c>
      <c r="P302" t="s">
        <v>39</v>
      </c>
      <c r="Q302" t="s">
        <v>38</v>
      </c>
      <c r="R302">
        <v>0</v>
      </c>
      <c r="S302" t="s">
        <v>38</v>
      </c>
      <c r="T302">
        <v>5</v>
      </c>
      <c r="U302">
        <v>4.7</v>
      </c>
      <c r="V302">
        <v>29.4</v>
      </c>
      <c r="W302" t="s">
        <v>39</v>
      </c>
      <c r="X302" t="s">
        <v>123</v>
      </c>
      <c r="Y302" t="s">
        <v>38</v>
      </c>
      <c r="Z302" t="s">
        <v>108</v>
      </c>
      <c r="AA302" t="s">
        <v>109</v>
      </c>
      <c r="AB302" t="s">
        <v>55</v>
      </c>
      <c r="AC302">
        <f t="shared" si="44"/>
        <v>0</v>
      </c>
      <c r="AD302" s="12">
        <f t="shared" si="48"/>
        <v>0</v>
      </c>
      <c r="AE302" s="12">
        <f t="shared" si="49"/>
        <v>1</v>
      </c>
      <c r="AF302">
        <f t="shared" si="45"/>
        <v>0</v>
      </c>
      <c r="AG302">
        <f t="shared" si="50"/>
        <v>1</v>
      </c>
      <c r="AH302">
        <f t="shared" si="51"/>
        <v>0</v>
      </c>
      <c r="AI302">
        <f t="shared" si="52"/>
        <v>0</v>
      </c>
      <c r="AJ302">
        <f t="shared" si="53"/>
        <v>1</v>
      </c>
      <c r="AK302">
        <f t="shared" si="46"/>
        <v>1</v>
      </c>
      <c r="AL302">
        <f t="shared" si="54"/>
        <v>1</v>
      </c>
    </row>
    <row r="303" spans="1:38">
      <c r="A303" t="s">
        <v>1036</v>
      </c>
      <c r="B303" t="s">
        <v>1037</v>
      </c>
      <c r="C303" s="1">
        <f t="shared" si="47"/>
        <v>45292</v>
      </c>
      <c r="D303" t="s">
        <v>1038</v>
      </c>
      <c r="E303">
        <v>355.8</v>
      </c>
      <c r="F303">
        <v>14.8</v>
      </c>
      <c r="G303" t="s">
        <v>30</v>
      </c>
      <c r="H303" t="s">
        <v>172</v>
      </c>
      <c r="I303" t="s">
        <v>32</v>
      </c>
      <c r="J303">
        <v>240</v>
      </c>
      <c r="K303" t="s">
        <v>33</v>
      </c>
      <c r="L303" t="s">
        <v>70</v>
      </c>
      <c r="M303" t="s">
        <v>35</v>
      </c>
      <c r="N303" t="s">
        <v>277</v>
      </c>
      <c r="O303" t="s">
        <v>7232</v>
      </c>
      <c r="P303" t="s">
        <v>38</v>
      </c>
      <c r="Q303" t="s">
        <v>38</v>
      </c>
      <c r="R303">
        <v>1</v>
      </c>
      <c r="S303" t="s">
        <v>38</v>
      </c>
      <c r="T303">
        <v>5</v>
      </c>
      <c r="U303">
        <v>0.1</v>
      </c>
      <c r="V303">
        <v>26.7</v>
      </c>
      <c r="W303" t="s">
        <v>39</v>
      </c>
      <c r="X303" t="s">
        <v>123</v>
      </c>
      <c r="Y303" t="s">
        <v>38</v>
      </c>
      <c r="Z303" t="s">
        <v>64</v>
      </c>
      <c r="AA303" t="s">
        <v>109</v>
      </c>
      <c r="AB303" t="s">
        <v>43</v>
      </c>
      <c r="AC303">
        <f t="shared" si="44"/>
        <v>0</v>
      </c>
      <c r="AD303" s="12">
        <f t="shared" si="48"/>
        <v>0</v>
      </c>
      <c r="AE303" s="12">
        <f t="shared" si="49"/>
        <v>1</v>
      </c>
      <c r="AF303">
        <f t="shared" si="45"/>
        <v>0</v>
      </c>
      <c r="AG303">
        <f t="shared" si="50"/>
        <v>1</v>
      </c>
      <c r="AH303">
        <f t="shared" si="51"/>
        <v>0</v>
      </c>
      <c r="AI303">
        <f t="shared" si="52"/>
        <v>0</v>
      </c>
      <c r="AJ303">
        <f t="shared" si="53"/>
        <v>1</v>
      </c>
      <c r="AK303">
        <f t="shared" si="46"/>
        <v>1</v>
      </c>
      <c r="AL303">
        <f t="shared" si="54"/>
        <v>1</v>
      </c>
    </row>
    <row r="304" spans="1:38">
      <c r="A304" t="s">
        <v>1039</v>
      </c>
      <c r="B304" t="s">
        <v>1040</v>
      </c>
      <c r="C304" s="1">
        <f t="shared" si="47"/>
        <v>45444</v>
      </c>
      <c r="D304" t="s">
        <v>1041</v>
      </c>
      <c r="E304">
        <v>107</v>
      </c>
      <c r="F304">
        <v>4.5</v>
      </c>
      <c r="G304" t="s">
        <v>142</v>
      </c>
      <c r="H304" t="s">
        <v>143</v>
      </c>
      <c r="I304" t="s">
        <v>48</v>
      </c>
      <c r="J304">
        <v>120</v>
      </c>
      <c r="K304" t="s">
        <v>49</v>
      </c>
      <c r="L304" t="s">
        <v>96</v>
      </c>
      <c r="M304" t="s">
        <v>35</v>
      </c>
      <c r="N304" t="s">
        <v>97</v>
      </c>
      <c r="O304" t="s">
        <v>37</v>
      </c>
      <c r="P304" t="s">
        <v>38</v>
      </c>
      <c r="Q304" t="s">
        <v>38</v>
      </c>
      <c r="R304">
        <v>1</v>
      </c>
      <c r="S304" t="s">
        <v>38</v>
      </c>
      <c r="T304">
        <v>9</v>
      </c>
      <c r="U304">
        <v>4.3</v>
      </c>
      <c r="V304">
        <v>35.299999999999997</v>
      </c>
      <c r="W304" t="s">
        <v>39</v>
      </c>
      <c r="X304" t="s">
        <v>63</v>
      </c>
      <c r="Y304" t="s">
        <v>39</v>
      </c>
      <c r="Z304" t="s">
        <v>41</v>
      </c>
      <c r="AA304" t="s">
        <v>82</v>
      </c>
      <c r="AB304" t="s">
        <v>43</v>
      </c>
      <c r="AC304">
        <f t="shared" si="44"/>
        <v>0</v>
      </c>
      <c r="AD304" s="12">
        <f t="shared" si="48"/>
        <v>1</v>
      </c>
      <c r="AE304" s="12">
        <f t="shared" si="49"/>
        <v>0</v>
      </c>
      <c r="AF304">
        <f t="shared" si="45"/>
        <v>0</v>
      </c>
      <c r="AG304">
        <f t="shared" si="50"/>
        <v>0</v>
      </c>
      <c r="AH304">
        <f t="shared" si="51"/>
        <v>1</v>
      </c>
      <c r="AI304">
        <f t="shared" si="52"/>
        <v>0</v>
      </c>
      <c r="AJ304">
        <f t="shared" si="53"/>
        <v>0</v>
      </c>
      <c r="AK304">
        <f t="shared" si="46"/>
        <v>0</v>
      </c>
      <c r="AL304">
        <f t="shared" si="54"/>
        <v>0</v>
      </c>
    </row>
    <row r="305" spans="1:38">
      <c r="A305" t="s">
        <v>1042</v>
      </c>
      <c r="B305" t="s">
        <v>1043</v>
      </c>
      <c r="C305" s="1">
        <f t="shared" si="47"/>
        <v>45413</v>
      </c>
      <c r="D305" t="s">
        <v>1044</v>
      </c>
      <c r="E305">
        <v>225</v>
      </c>
      <c r="F305">
        <v>9.4</v>
      </c>
      <c r="G305" t="s">
        <v>77</v>
      </c>
      <c r="H305" t="s">
        <v>267</v>
      </c>
      <c r="I305" t="s">
        <v>79</v>
      </c>
      <c r="J305">
        <v>360</v>
      </c>
      <c r="K305" t="s">
        <v>49</v>
      </c>
      <c r="L305" t="s">
        <v>96</v>
      </c>
      <c r="M305" t="s">
        <v>35</v>
      </c>
      <c r="N305" t="s">
        <v>134</v>
      </c>
      <c r="O305" t="s">
        <v>51</v>
      </c>
      <c r="P305" t="s">
        <v>38</v>
      </c>
      <c r="Q305" t="s">
        <v>38</v>
      </c>
      <c r="R305">
        <v>1</v>
      </c>
      <c r="S305" t="s">
        <v>38</v>
      </c>
      <c r="T305">
        <v>8</v>
      </c>
      <c r="U305">
        <v>2.1</v>
      </c>
      <c r="V305">
        <v>21.8</v>
      </c>
      <c r="W305" t="s">
        <v>38</v>
      </c>
      <c r="X305" t="s">
        <v>123</v>
      </c>
      <c r="Y305" t="s">
        <v>39</v>
      </c>
      <c r="Z305" t="s">
        <v>108</v>
      </c>
      <c r="AA305" t="s">
        <v>103</v>
      </c>
      <c r="AB305" t="s">
        <v>43</v>
      </c>
      <c r="AC305">
        <f t="shared" si="44"/>
        <v>0</v>
      </c>
      <c r="AD305" s="12">
        <f t="shared" si="48"/>
        <v>0</v>
      </c>
      <c r="AE305" s="12">
        <f t="shared" si="49"/>
        <v>1</v>
      </c>
      <c r="AF305">
        <f t="shared" si="45"/>
        <v>1</v>
      </c>
      <c r="AG305">
        <f t="shared" si="50"/>
        <v>0</v>
      </c>
      <c r="AH305">
        <f t="shared" si="51"/>
        <v>0</v>
      </c>
      <c r="AI305">
        <f t="shared" si="52"/>
        <v>0</v>
      </c>
      <c r="AJ305">
        <f t="shared" si="53"/>
        <v>0</v>
      </c>
      <c r="AK305">
        <f t="shared" si="46"/>
        <v>0</v>
      </c>
      <c r="AL305">
        <f t="shared" si="54"/>
        <v>0</v>
      </c>
    </row>
    <row r="306" spans="1:38">
      <c r="A306" t="s">
        <v>1045</v>
      </c>
      <c r="B306" t="s">
        <v>1046</v>
      </c>
      <c r="C306" s="1">
        <f t="shared" si="47"/>
        <v>45444</v>
      </c>
      <c r="D306" t="s">
        <v>1047</v>
      </c>
      <c r="E306">
        <v>252.7</v>
      </c>
      <c r="F306">
        <v>10.5</v>
      </c>
      <c r="G306" t="s">
        <v>77</v>
      </c>
      <c r="H306" t="s">
        <v>267</v>
      </c>
      <c r="I306" t="s">
        <v>79</v>
      </c>
      <c r="J306">
        <v>360</v>
      </c>
      <c r="K306" t="s">
        <v>49</v>
      </c>
      <c r="L306" t="s">
        <v>70</v>
      </c>
      <c r="M306" t="s">
        <v>35</v>
      </c>
      <c r="N306" t="s">
        <v>220</v>
      </c>
      <c r="O306" t="s">
        <v>37</v>
      </c>
      <c r="P306" t="s">
        <v>38</v>
      </c>
      <c r="Q306" t="s">
        <v>38</v>
      </c>
      <c r="R306">
        <v>1</v>
      </c>
      <c r="S306" t="s">
        <v>38</v>
      </c>
      <c r="T306">
        <v>8</v>
      </c>
      <c r="U306">
        <v>4.3</v>
      </c>
      <c r="V306">
        <v>23</v>
      </c>
      <c r="W306" t="s">
        <v>39</v>
      </c>
      <c r="X306" t="s">
        <v>63</v>
      </c>
      <c r="Y306" t="s">
        <v>38</v>
      </c>
      <c r="Z306" t="s">
        <v>64</v>
      </c>
      <c r="AA306" t="s">
        <v>82</v>
      </c>
      <c r="AB306" t="s">
        <v>55</v>
      </c>
      <c r="AC306">
        <f t="shared" si="44"/>
        <v>0</v>
      </c>
      <c r="AD306" s="12">
        <f t="shared" si="48"/>
        <v>1</v>
      </c>
      <c r="AE306" s="12">
        <f t="shared" si="49"/>
        <v>0</v>
      </c>
      <c r="AF306">
        <f t="shared" si="45"/>
        <v>0</v>
      </c>
      <c r="AG306">
        <f t="shared" si="50"/>
        <v>0</v>
      </c>
      <c r="AH306">
        <f t="shared" si="51"/>
        <v>0</v>
      </c>
      <c r="AI306">
        <f t="shared" si="52"/>
        <v>0</v>
      </c>
      <c r="AJ306">
        <f t="shared" si="53"/>
        <v>0</v>
      </c>
      <c r="AK306">
        <f t="shared" si="46"/>
        <v>0</v>
      </c>
      <c r="AL306">
        <f t="shared" si="54"/>
        <v>1</v>
      </c>
    </row>
    <row r="307" spans="1:38">
      <c r="A307" t="s">
        <v>1048</v>
      </c>
      <c r="B307" t="s">
        <v>1049</v>
      </c>
      <c r="C307" s="1">
        <f t="shared" si="47"/>
        <v>45536</v>
      </c>
      <c r="D307" t="s">
        <v>1050</v>
      </c>
      <c r="E307">
        <v>188.8</v>
      </c>
      <c r="F307">
        <v>7.9</v>
      </c>
      <c r="G307" t="s">
        <v>142</v>
      </c>
      <c r="H307" t="s">
        <v>260</v>
      </c>
      <c r="I307" t="s">
        <v>32</v>
      </c>
      <c r="J307">
        <v>240</v>
      </c>
      <c r="K307" t="s">
        <v>49</v>
      </c>
      <c r="L307" t="s">
        <v>96</v>
      </c>
      <c r="M307" t="s">
        <v>35</v>
      </c>
      <c r="N307" t="s">
        <v>155</v>
      </c>
      <c r="O307" t="s">
        <v>51</v>
      </c>
      <c r="P307" t="s">
        <v>38</v>
      </c>
      <c r="Q307" t="s">
        <v>38</v>
      </c>
      <c r="R307">
        <v>1</v>
      </c>
      <c r="S307" t="s">
        <v>38</v>
      </c>
      <c r="T307">
        <v>6</v>
      </c>
      <c r="U307">
        <v>2.6</v>
      </c>
      <c r="V307">
        <v>11.2</v>
      </c>
      <c r="W307" t="s">
        <v>39</v>
      </c>
      <c r="X307" t="s">
        <v>63</v>
      </c>
      <c r="Y307" t="s">
        <v>39</v>
      </c>
      <c r="Z307" t="s">
        <v>81</v>
      </c>
      <c r="AA307" t="s">
        <v>103</v>
      </c>
      <c r="AB307" t="s">
        <v>43</v>
      </c>
      <c r="AC307">
        <f t="shared" si="44"/>
        <v>0</v>
      </c>
      <c r="AD307" s="12">
        <f t="shared" si="48"/>
        <v>1</v>
      </c>
      <c r="AE307" s="12">
        <f t="shared" si="49"/>
        <v>0</v>
      </c>
      <c r="AF307">
        <f t="shared" si="45"/>
        <v>1</v>
      </c>
      <c r="AG307">
        <f t="shared" si="50"/>
        <v>0</v>
      </c>
      <c r="AH307">
        <f t="shared" si="51"/>
        <v>0</v>
      </c>
      <c r="AI307">
        <f t="shared" si="52"/>
        <v>0</v>
      </c>
      <c r="AJ307">
        <f t="shared" si="53"/>
        <v>1</v>
      </c>
      <c r="AK307">
        <f t="shared" si="46"/>
        <v>0</v>
      </c>
      <c r="AL307">
        <f t="shared" si="54"/>
        <v>0</v>
      </c>
    </row>
    <row r="308" spans="1:38">
      <c r="A308" t="s">
        <v>1051</v>
      </c>
      <c r="B308" t="s">
        <v>1052</v>
      </c>
      <c r="C308" s="1">
        <f t="shared" si="47"/>
        <v>45383</v>
      </c>
      <c r="D308" t="s">
        <v>1053</v>
      </c>
      <c r="E308">
        <v>154.6</v>
      </c>
      <c r="F308">
        <v>6.4</v>
      </c>
      <c r="G308" t="s">
        <v>68</v>
      </c>
      <c r="H308" t="s">
        <v>456</v>
      </c>
      <c r="I308" t="s">
        <v>32</v>
      </c>
      <c r="J308">
        <v>240</v>
      </c>
      <c r="K308" t="s">
        <v>49</v>
      </c>
      <c r="L308" t="s">
        <v>96</v>
      </c>
      <c r="M308" t="s">
        <v>35</v>
      </c>
      <c r="N308" t="s">
        <v>89</v>
      </c>
      <c r="O308" t="s">
        <v>51</v>
      </c>
      <c r="P308" t="s">
        <v>39</v>
      </c>
      <c r="Q308" t="s">
        <v>38</v>
      </c>
      <c r="R308">
        <v>0</v>
      </c>
      <c r="S308" t="s">
        <v>38</v>
      </c>
      <c r="T308">
        <v>9</v>
      </c>
      <c r="U308">
        <v>1.9</v>
      </c>
      <c r="V308">
        <v>18.100000000000001</v>
      </c>
      <c r="W308" t="s">
        <v>38</v>
      </c>
      <c r="X308" t="s">
        <v>52</v>
      </c>
      <c r="Y308" t="s">
        <v>39</v>
      </c>
      <c r="Z308" t="s">
        <v>115</v>
      </c>
      <c r="AA308" t="s">
        <v>82</v>
      </c>
      <c r="AB308" t="s">
        <v>83</v>
      </c>
      <c r="AC308">
        <f t="shared" si="44"/>
        <v>1</v>
      </c>
      <c r="AD308" s="12">
        <f t="shared" si="48"/>
        <v>0</v>
      </c>
      <c r="AE308" s="12">
        <f t="shared" si="49"/>
        <v>0</v>
      </c>
      <c r="AF308">
        <f t="shared" si="45"/>
        <v>1</v>
      </c>
      <c r="AG308">
        <f t="shared" si="50"/>
        <v>0</v>
      </c>
      <c r="AH308">
        <f t="shared" si="51"/>
        <v>0</v>
      </c>
      <c r="AI308">
        <f t="shared" si="52"/>
        <v>0</v>
      </c>
      <c r="AJ308">
        <f t="shared" si="53"/>
        <v>1</v>
      </c>
      <c r="AK308">
        <f t="shared" si="46"/>
        <v>0</v>
      </c>
      <c r="AL308">
        <f t="shared" si="54"/>
        <v>0</v>
      </c>
    </row>
    <row r="309" spans="1:38">
      <c r="A309" t="s">
        <v>1054</v>
      </c>
      <c r="B309" t="s">
        <v>1055</v>
      </c>
      <c r="C309" s="1">
        <f t="shared" si="47"/>
        <v>45352</v>
      </c>
      <c r="D309" t="s">
        <v>1056</v>
      </c>
      <c r="E309">
        <v>348.6</v>
      </c>
      <c r="F309">
        <v>14.5</v>
      </c>
      <c r="G309" t="s">
        <v>142</v>
      </c>
      <c r="H309" t="s">
        <v>729</v>
      </c>
      <c r="I309" t="s">
        <v>32</v>
      </c>
      <c r="J309">
        <v>240</v>
      </c>
      <c r="K309" t="s">
        <v>33</v>
      </c>
      <c r="L309" t="s">
        <v>96</v>
      </c>
      <c r="M309" t="s">
        <v>35</v>
      </c>
      <c r="N309" t="s">
        <v>72</v>
      </c>
      <c r="O309" t="s">
        <v>37</v>
      </c>
      <c r="P309" t="s">
        <v>39</v>
      </c>
      <c r="Q309" t="s">
        <v>38</v>
      </c>
      <c r="R309">
        <v>0</v>
      </c>
      <c r="S309" t="s">
        <v>38</v>
      </c>
      <c r="T309">
        <v>7</v>
      </c>
      <c r="U309">
        <v>0.8</v>
      </c>
      <c r="V309">
        <v>27.8</v>
      </c>
      <c r="W309" t="s">
        <v>39</v>
      </c>
      <c r="X309" t="s">
        <v>63</v>
      </c>
      <c r="Y309" t="s">
        <v>38</v>
      </c>
      <c r="Z309" t="s">
        <v>41</v>
      </c>
      <c r="AA309" t="s">
        <v>103</v>
      </c>
      <c r="AB309" t="s">
        <v>55</v>
      </c>
      <c r="AC309">
        <f t="shared" si="44"/>
        <v>0</v>
      </c>
      <c r="AD309" s="12">
        <f t="shared" si="48"/>
        <v>1</v>
      </c>
      <c r="AE309" s="12">
        <f t="shared" si="49"/>
        <v>0</v>
      </c>
      <c r="AF309">
        <f t="shared" si="45"/>
        <v>0</v>
      </c>
      <c r="AG309">
        <f t="shared" si="50"/>
        <v>0</v>
      </c>
      <c r="AH309">
        <f t="shared" si="51"/>
        <v>0</v>
      </c>
      <c r="AI309">
        <f t="shared" si="52"/>
        <v>0</v>
      </c>
      <c r="AJ309">
        <f t="shared" si="53"/>
        <v>1</v>
      </c>
      <c r="AK309">
        <f t="shared" si="46"/>
        <v>0</v>
      </c>
      <c r="AL309">
        <f t="shared" si="54"/>
        <v>1</v>
      </c>
    </row>
    <row r="310" spans="1:38">
      <c r="A310" t="s">
        <v>1057</v>
      </c>
      <c r="B310" t="s">
        <v>1058</v>
      </c>
      <c r="C310" s="1">
        <f t="shared" si="47"/>
        <v>45474</v>
      </c>
      <c r="D310" t="s">
        <v>1059</v>
      </c>
      <c r="E310">
        <v>91.6</v>
      </c>
      <c r="F310">
        <v>3.8</v>
      </c>
      <c r="G310" t="s">
        <v>68</v>
      </c>
      <c r="H310" t="s">
        <v>212</v>
      </c>
      <c r="I310" t="s">
        <v>48</v>
      </c>
      <c r="J310">
        <v>120</v>
      </c>
      <c r="K310" t="s">
        <v>49</v>
      </c>
      <c r="L310" t="s">
        <v>70</v>
      </c>
      <c r="M310" t="s">
        <v>35</v>
      </c>
      <c r="N310" t="s">
        <v>144</v>
      </c>
      <c r="O310" t="s">
        <v>7232</v>
      </c>
      <c r="P310" t="s">
        <v>38</v>
      </c>
      <c r="Q310" t="s">
        <v>38</v>
      </c>
      <c r="R310">
        <v>1</v>
      </c>
      <c r="S310" t="s">
        <v>38</v>
      </c>
      <c r="T310">
        <v>6</v>
      </c>
      <c r="U310">
        <v>4</v>
      </c>
      <c r="V310">
        <v>33.6</v>
      </c>
      <c r="W310" t="s">
        <v>38</v>
      </c>
      <c r="X310" t="s">
        <v>63</v>
      </c>
      <c r="Y310" t="s">
        <v>39</v>
      </c>
      <c r="Z310" t="s">
        <v>41</v>
      </c>
      <c r="AA310" t="s">
        <v>103</v>
      </c>
      <c r="AB310" t="s">
        <v>83</v>
      </c>
      <c r="AC310">
        <f t="shared" si="44"/>
        <v>0</v>
      </c>
      <c r="AD310" s="12">
        <f t="shared" si="48"/>
        <v>1</v>
      </c>
      <c r="AE310" s="12">
        <f t="shared" si="49"/>
        <v>0</v>
      </c>
      <c r="AF310">
        <f t="shared" si="45"/>
        <v>0</v>
      </c>
      <c r="AG310">
        <f t="shared" si="50"/>
        <v>1</v>
      </c>
      <c r="AH310">
        <f t="shared" si="51"/>
        <v>1</v>
      </c>
      <c r="AI310">
        <f t="shared" si="52"/>
        <v>0</v>
      </c>
      <c r="AJ310">
        <f t="shared" si="53"/>
        <v>0</v>
      </c>
      <c r="AK310">
        <f t="shared" si="46"/>
        <v>0</v>
      </c>
      <c r="AL310">
        <f t="shared" si="54"/>
        <v>0</v>
      </c>
    </row>
    <row r="311" spans="1:38">
      <c r="A311" t="s">
        <v>1060</v>
      </c>
      <c r="B311" t="s">
        <v>1061</v>
      </c>
      <c r="C311" s="1">
        <f t="shared" si="47"/>
        <v>45444</v>
      </c>
      <c r="D311" t="s">
        <v>1062</v>
      </c>
      <c r="E311">
        <v>149.5</v>
      </c>
      <c r="F311">
        <v>6.2</v>
      </c>
      <c r="G311" t="s">
        <v>87</v>
      </c>
      <c r="H311" t="s">
        <v>183</v>
      </c>
      <c r="I311" t="s">
        <v>48</v>
      </c>
      <c r="J311">
        <v>120</v>
      </c>
      <c r="K311" t="s">
        <v>33</v>
      </c>
      <c r="L311" t="s">
        <v>70</v>
      </c>
      <c r="M311" t="s">
        <v>71</v>
      </c>
      <c r="N311" t="s">
        <v>89</v>
      </c>
      <c r="O311" t="s">
        <v>51</v>
      </c>
      <c r="P311" t="s">
        <v>38</v>
      </c>
      <c r="Q311" t="s">
        <v>39</v>
      </c>
      <c r="R311">
        <v>4</v>
      </c>
      <c r="S311" t="s">
        <v>39</v>
      </c>
      <c r="T311">
        <v>6</v>
      </c>
      <c r="U311">
        <v>3.3</v>
      </c>
      <c r="V311">
        <v>2.8</v>
      </c>
      <c r="W311" t="s">
        <v>39</v>
      </c>
      <c r="X311" t="s">
        <v>123</v>
      </c>
      <c r="Y311" t="s">
        <v>39</v>
      </c>
      <c r="Z311" t="s">
        <v>53</v>
      </c>
      <c r="AA311" t="s">
        <v>109</v>
      </c>
      <c r="AB311" t="s">
        <v>43</v>
      </c>
      <c r="AC311">
        <f t="shared" si="44"/>
        <v>0</v>
      </c>
      <c r="AD311" s="12">
        <f t="shared" si="48"/>
        <v>0</v>
      </c>
      <c r="AE311" s="12">
        <f t="shared" si="49"/>
        <v>1</v>
      </c>
      <c r="AF311">
        <f t="shared" si="45"/>
        <v>1</v>
      </c>
      <c r="AG311">
        <f t="shared" si="50"/>
        <v>0</v>
      </c>
      <c r="AH311">
        <f t="shared" si="51"/>
        <v>1</v>
      </c>
      <c r="AI311">
        <f t="shared" si="52"/>
        <v>0</v>
      </c>
      <c r="AJ311">
        <f t="shared" si="53"/>
        <v>0</v>
      </c>
      <c r="AK311">
        <f t="shared" si="46"/>
        <v>0</v>
      </c>
      <c r="AL311">
        <f t="shared" si="54"/>
        <v>0</v>
      </c>
    </row>
    <row r="312" spans="1:38">
      <c r="A312" t="s">
        <v>1063</v>
      </c>
      <c r="B312" t="s">
        <v>1064</v>
      </c>
      <c r="C312" s="1">
        <f t="shared" si="47"/>
        <v>45505</v>
      </c>
      <c r="D312" t="s">
        <v>1065</v>
      </c>
      <c r="E312">
        <v>81</v>
      </c>
      <c r="F312">
        <v>3.4</v>
      </c>
      <c r="G312" t="s">
        <v>59</v>
      </c>
      <c r="H312" t="s">
        <v>60</v>
      </c>
      <c r="I312" t="s">
        <v>48</v>
      </c>
      <c r="J312">
        <v>120</v>
      </c>
      <c r="K312" t="s">
        <v>49</v>
      </c>
      <c r="L312" t="s">
        <v>96</v>
      </c>
      <c r="M312" t="s">
        <v>35</v>
      </c>
      <c r="N312" t="s">
        <v>155</v>
      </c>
      <c r="O312" t="s">
        <v>7232</v>
      </c>
      <c r="P312" t="s">
        <v>38</v>
      </c>
      <c r="Q312" t="s">
        <v>38</v>
      </c>
      <c r="R312">
        <v>1</v>
      </c>
      <c r="S312" t="s">
        <v>38</v>
      </c>
      <c r="T312">
        <v>5</v>
      </c>
      <c r="U312">
        <v>1.9</v>
      </c>
      <c r="V312">
        <v>16.3</v>
      </c>
      <c r="W312" t="s">
        <v>38</v>
      </c>
      <c r="X312" t="s">
        <v>123</v>
      </c>
      <c r="Y312" t="s">
        <v>39</v>
      </c>
      <c r="Z312" t="s">
        <v>64</v>
      </c>
      <c r="AA312" t="s">
        <v>109</v>
      </c>
      <c r="AB312" t="s">
        <v>83</v>
      </c>
      <c r="AC312">
        <f t="shared" si="44"/>
        <v>0</v>
      </c>
      <c r="AD312" s="12">
        <f t="shared" si="48"/>
        <v>0</v>
      </c>
      <c r="AE312" s="12">
        <f t="shared" si="49"/>
        <v>1</v>
      </c>
      <c r="AF312">
        <f t="shared" si="45"/>
        <v>0</v>
      </c>
      <c r="AG312">
        <f t="shared" si="50"/>
        <v>1</v>
      </c>
      <c r="AH312">
        <f t="shared" si="51"/>
        <v>1</v>
      </c>
      <c r="AI312">
        <f t="shared" si="52"/>
        <v>0</v>
      </c>
      <c r="AJ312">
        <f t="shared" si="53"/>
        <v>0</v>
      </c>
      <c r="AK312">
        <f t="shared" si="46"/>
        <v>0</v>
      </c>
      <c r="AL312">
        <f t="shared" si="54"/>
        <v>0</v>
      </c>
    </row>
    <row r="313" spans="1:38">
      <c r="A313" t="s">
        <v>1066</v>
      </c>
      <c r="B313" t="s">
        <v>1067</v>
      </c>
      <c r="C313" s="1">
        <f t="shared" si="47"/>
        <v>45383</v>
      </c>
      <c r="D313" t="s">
        <v>1068</v>
      </c>
      <c r="E313">
        <v>285.10000000000002</v>
      </c>
      <c r="F313">
        <v>11.9</v>
      </c>
      <c r="G313" t="s">
        <v>30</v>
      </c>
      <c r="H313" t="s">
        <v>172</v>
      </c>
      <c r="I313" t="s">
        <v>79</v>
      </c>
      <c r="J313">
        <v>360</v>
      </c>
      <c r="K313" t="s">
        <v>49</v>
      </c>
      <c r="L313" t="s">
        <v>96</v>
      </c>
      <c r="M313" t="s">
        <v>35</v>
      </c>
      <c r="N313" t="s">
        <v>128</v>
      </c>
      <c r="O313" t="s">
        <v>51</v>
      </c>
      <c r="P313" t="s">
        <v>38</v>
      </c>
      <c r="Q313" t="s">
        <v>38</v>
      </c>
      <c r="R313">
        <v>1</v>
      </c>
      <c r="S313" t="s">
        <v>38</v>
      </c>
      <c r="T313">
        <v>9</v>
      </c>
      <c r="U313">
        <v>0.1</v>
      </c>
      <c r="V313">
        <v>21.2</v>
      </c>
      <c r="W313" t="s">
        <v>38</v>
      </c>
      <c r="X313" t="s">
        <v>40</v>
      </c>
      <c r="Y313" t="s">
        <v>39</v>
      </c>
      <c r="Z313" t="s">
        <v>41</v>
      </c>
      <c r="AA313" t="s">
        <v>82</v>
      </c>
      <c r="AB313" t="s">
        <v>55</v>
      </c>
      <c r="AC313">
        <f t="shared" si="44"/>
        <v>0</v>
      </c>
      <c r="AD313" s="12">
        <f t="shared" si="48"/>
        <v>0</v>
      </c>
      <c r="AE313" s="12">
        <f t="shared" si="49"/>
        <v>0</v>
      </c>
      <c r="AF313">
        <f t="shared" si="45"/>
        <v>1</v>
      </c>
      <c r="AG313">
        <f t="shared" si="50"/>
        <v>0</v>
      </c>
      <c r="AH313">
        <f t="shared" si="51"/>
        <v>0</v>
      </c>
      <c r="AI313">
        <f t="shared" si="52"/>
        <v>0</v>
      </c>
      <c r="AJ313">
        <f t="shared" si="53"/>
        <v>0</v>
      </c>
      <c r="AK313">
        <f t="shared" si="46"/>
        <v>1</v>
      </c>
      <c r="AL313">
        <f t="shared" si="54"/>
        <v>0</v>
      </c>
    </row>
    <row r="314" spans="1:38">
      <c r="A314" t="s">
        <v>1069</v>
      </c>
      <c r="B314" t="s">
        <v>1070</v>
      </c>
      <c r="C314" s="1">
        <f t="shared" si="47"/>
        <v>45627</v>
      </c>
      <c r="D314" t="s">
        <v>1071</v>
      </c>
      <c r="E314">
        <v>225.4</v>
      </c>
      <c r="F314">
        <v>9.4</v>
      </c>
      <c r="G314" t="s">
        <v>87</v>
      </c>
      <c r="H314" t="s">
        <v>88</v>
      </c>
      <c r="I314" t="s">
        <v>32</v>
      </c>
      <c r="J314">
        <v>240</v>
      </c>
      <c r="K314" t="s">
        <v>49</v>
      </c>
      <c r="L314" t="s">
        <v>96</v>
      </c>
      <c r="M314" t="s">
        <v>71</v>
      </c>
      <c r="N314" t="s">
        <v>202</v>
      </c>
      <c r="O314" t="s">
        <v>7232</v>
      </c>
      <c r="P314" t="s">
        <v>38</v>
      </c>
      <c r="Q314" t="s">
        <v>39</v>
      </c>
      <c r="R314">
        <v>4</v>
      </c>
      <c r="S314" t="s">
        <v>38</v>
      </c>
      <c r="T314">
        <v>7</v>
      </c>
      <c r="U314">
        <v>6.1</v>
      </c>
      <c r="V314">
        <v>3.8</v>
      </c>
      <c r="W314" t="s">
        <v>38</v>
      </c>
      <c r="X314" t="s">
        <v>63</v>
      </c>
      <c r="Y314" t="s">
        <v>39</v>
      </c>
      <c r="Z314" t="s">
        <v>64</v>
      </c>
      <c r="AA314" t="s">
        <v>109</v>
      </c>
      <c r="AB314" t="s">
        <v>55</v>
      </c>
      <c r="AC314">
        <f t="shared" si="44"/>
        <v>0</v>
      </c>
      <c r="AD314" s="12">
        <f t="shared" si="48"/>
        <v>1</v>
      </c>
      <c r="AE314" s="12">
        <f t="shared" si="49"/>
        <v>0</v>
      </c>
      <c r="AF314">
        <f t="shared" si="45"/>
        <v>0</v>
      </c>
      <c r="AG314">
        <f t="shared" si="50"/>
        <v>1</v>
      </c>
      <c r="AH314">
        <f t="shared" si="51"/>
        <v>0</v>
      </c>
      <c r="AI314">
        <f t="shared" si="52"/>
        <v>0</v>
      </c>
      <c r="AJ314">
        <f t="shared" si="53"/>
        <v>1</v>
      </c>
      <c r="AK314">
        <f t="shared" si="46"/>
        <v>0</v>
      </c>
      <c r="AL314">
        <f t="shared" si="54"/>
        <v>0</v>
      </c>
    </row>
    <row r="315" spans="1:38">
      <c r="A315" t="s">
        <v>1072</v>
      </c>
      <c r="B315" t="s">
        <v>1073</v>
      </c>
      <c r="C315" s="1">
        <f t="shared" si="47"/>
        <v>45413</v>
      </c>
      <c r="D315" t="s">
        <v>1074</v>
      </c>
      <c r="E315">
        <v>413.1</v>
      </c>
      <c r="F315">
        <v>17.2</v>
      </c>
      <c r="G315" t="s">
        <v>93</v>
      </c>
      <c r="H315" t="s">
        <v>163</v>
      </c>
      <c r="I315" t="s">
        <v>79</v>
      </c>
      <c r="J315">
        <v>360</v>
      </c>
      <c r="K315" t="s">
        <v>33</v>
      </c>
      <c r="L315" t="s">
        <v>96</v>
      </c>
      <c r="M315" t="s">
        <v>35</v>
      </c>
      <c r="N315" t="s">
        <v>61</v>
      </c>
      <c r="O315" t="s">
        <v>7232</v>
      </c>
      <c r="P315" t="s">
        <v>38</v>
      </c>
      <c r="Q315" t="s">
        <v>38</v>
      </c>
      <c r="R315">
        <v>1</v>
      </c>
      <c r="S315" t="s">
        <v>38</v>
      </c>
      <c r="T315">
        <v>6</v>
      </c>
      <c r="U315">
        <v>2.5</v>
      </c>
      <c r="V315">
        <v>21.4</v>
      </c>
      <c r="W315" t="s">
        <v>39</v>
      </c>
      <c r="X315" t="s">
        <v>63</v>
      </c>
      <c r="Y315" t="s">
        <v>39</v>
      </c>
      <c r="Z315" t="s">
        <v>179</v>
      </c>
      <c r="AA315" t="s">
        <v>109</v>
      </c>
      <c r="AB315" t="s">
        <v>83</v>
      </c>
      <c r="AC315">
        <f t="shared" si="44"/>
        <v>0</v>
      </c>
      <c r="AD315" s="12">
        <f t="shared" si="48"/>
        <v>1</v>
      </c>
      <c r="AE315" s="12">
        <f t="shared" si="49"/>
        <v>0</v>
      </c>
      <c r="AF315">
        <f t="shared" si="45"/>
        <v>0</v>
      </c>
      <c r="AG315">
        <f t="shared" si="50"/>
        <v>1</v>
      </c>
      <c r="AH315">
        <f t="shared" si="51"/>
        <v>0</v>
      </c>
      <c r="AI315">
        <f t="shared" si="52"/>
        <v>0</v>
      </c>
      <c r="AJ315">
        <f t="shared" si="53"/>
        <v>0</v>
      </c>
      <c r="AK315">
        <f t="shared" si="46"/>
        <v>0</v>
      </c>
      <c r="AL315">
        <f t="shared" si="54"/>
        <v>0</v>
      </c>
    </row>
    <row r="316" spans="1:38">
      <c r="A316" t="s">
        <v>1075</v>
      </c>
      <c r="B316" t="s">
        <v>1076</v>
      </c>
      <c r="C316" s="1">
        <f t="shared" si="47"/>
        <v>45444</v>
      </c>
      <c r="D316" t="s">
        <v>1077</v>
      </c>
      <c r="E316">
        <v>195.9</v>
      </c>
      <c r="F316">
        <v>8.1999999999999993</v>
      </c>
      <c r="G316" t="s">
        <v>101</v>
      </c>
      <c r="H316" t="s">
        <v>368</v>
      </c>
      <c r="I316" t="s">
        <v>48</v>
      </c>
      <c r="J316">
        <v>120</v>
      </c>
      <c r="K316" t="s">
        <v>33</v>
      </c>
      <c r="L316" t="s">
        <v>113</v>
      </c>
      <c r="M316" t="s">
        <v>35</v>
      </c>
      <c r="N316" t="s">
        <v>168</v>
      </c>
      <c r="O316" t="s">
        <v>7232</v>
      </c>
      <c r="P316" t="s">
        <v>39</v>
      </c>
      <c r="Q316" t="s">
        <v>38</v>
      </c>
      <c r="R316">
        <v>0</v>
      </c>
      <c r="S316" t="s">
        <v>38</v>
      </c>
      <c r="T316">
        <v>7</v>
      </c>
      <c r="U316">
        <v>2.8</v>
      </c>
      <c r="V316">
        <v>25.8</v>
      </c>
      <c r="W316" t="s">
        <v>39</v>
      </c>
      <c r="X316" t="s">
        <v>123</v>
      </c>
      <c r="Y316" t="s">
        <v>39</v>
      </c>
      <c r="Z316" t="s">
        <v>179</v>
      </c>
      <c r="AA316" t="s">
        <v>42</v>
      </c>
      <c r="AB316" t="s">
        <v>43</v>
      </c>
      <c r="AC316">
        <f t="shared" si="44"/>
        <v>0</v>
      </c>
      <c r="AD316" s="12">
        <f t="shared" si="48"/>
        <v>0</v>
      </c>
      <c r="AE316" s="12">
        <f t="shared" si="49"/>
        <v>1</v>
      </c>
      <c r="AF316">
        <f t="shared" si="45"/>
        <v>0</v>
      </c>
      <c r="AG316">
        <f t="shared" si="50"/>
        <v>1</v>
      </c>
      <c r="AH316">
        <f t="shared" si="51"/>
        <v>1</v>
      </c>
      <c r="AI316">
        <f t="shared" si="52"/>
        <v>0</v>
      </c>
      <c r="AJ316">
        <f t="shared" si="53"/>
        <v>0</v>
      </c>
      <c r="AK316">
        <f t="shared" si="46"/>
        <v>0</v>
      </c>
      <c r="AL316">
        <f t="shared" si="54"/>
        <v>0</v>
      </c>
    </row>
    <row r="317" spans="1:38">
      <c r="A317" t="s">
        <v>1078</v>
      </c>
      <c r="B317" t="s">
        <v>1079</v>
      </c>
      <c r="C317" s="1">
        <f t="shared" si="47"/>
        <v>45292</v>
      </c>
      <c r="D317" t="s">
        <v>1080</v>
      </c>
      <c r="E317">
        <v>196.8</v>
      </c>
      <c r="F317">
        <v>8.1999999999999993</v>
      </c>
      <c r="G317" t="s">
        <v>101</v>
      </c>
      <c r="H317" t="s">
        <v>368</v>
      </c>
      <c r="I317" t="s">
        <v>32</v>
      </c>
      <c r="J317">
        <v>240</v>
      </c>
      <c r="K317" t="s">
        <v>49</v>
      </c>
      <c r="L317" t="s">
        <v>96</v>
      </c>
      <c r="M317" t="s">
        <v>35</v>
      </c>
      <c r="N317" t="s">
        <v>414</v>
      </c>
      <c r="O317" t="s">
        <v>37</v>
      </c>
      <c r="P317" t="s">
        <v>39</v>
      </c>
      <c r="Q317" t="s">
        <v>38</v>
      </c>
      <c r="R317">
        <v>0</v>
      </c>
      <c r="S317" t="s">
        <v>38</v>
      </c>
      <c r="T317">
        <v>9</v>
      </c>
      <c r="U317">
        <v>5.2</v>
      </c>
      <c r="V317">
        <v>21.7</v>
      </c>
      <c r="W317" t="s">
        <v>39</v>
      </c>
      <c r="X317" t="s">
        <v>123</v>
      </c>
      <c r="Y317" t="s">
        <v>38</v>
      </c>
      <c r="Z317" t="s">
        <v>179</v>
      </c>
      <c r="AA317" t="s">
        <v>109</v>
      </c>
      <c r="AB317" t="s">
        <v>83</v>
      </c>
      <c r="AC317">
        <f t="shared" si="44"/>
        <v>0</v>
      </c>
      <c r="AD317" s="12">
        <f t="shared" si="48"/>
        <v>0</v>
      </c>
      <c r="AE317" s="12">
        <f t="shared" si="49"/>
        <v>1</v>
      </c>
      <c r="AF317">
        <f t="shared" si="45"/>
        <v>0</v>
      </c>
      <c r="AG317">
        <f t="shared" si="50"/>
        <v>0</v>
      </c>
      <c r="AH317">
        <f t="shared" si="51"/>
        <v>0</v>
      </c>
      <c r="AI317">
        <f t="shared" si="52"/>
        <v>0</v>
      </c>
      <c r="AJ317">
        <f t="shared" si="53"/>
        <v>1</v>
      </c>
      <c r="AK317">
        <f t="shared" si="46"/>
        <v>0</v>
      </c>
      <c r="AL317">
        <f t="shared" si="54"/>
        <v>1</v>
      </c>
    </row>
    <row r="318" spans="1:38">
      <c r="A318" t="s">
        <v>1081</v>
      </c>
      <c r="B318" t="s">
        <v>1082</v>
      </c>
      <c r="C318" s="1">
        <f t="shared" si="47"/>
        <v>45413</v>
      </c>
      <c r="D318" t="s">
        <v>1083</v>
      </c>
      <c r="E318">
        <v>197.8</v>
      </c>
      <c r="F318">
        <v>8.1999999999999993</v>
      </c>
      <c r="G318" t="s">
        <v>87</v>
      </c>
      <c r="H318" t="s">
        <v>309</v>
      </c>
      <c r="I318" t="s">
        <v>32</v>
      </c>
      <c r="J318">
        <v>240</v>
      </c>
      <c r="K318" t="s">
        <v>49</v>
      </c>
      <c r="L318" t="s">
        <v>34</v>
      </c>
      <c r="M318" t="s">
        <v>35</v>
      </c>
      <c r="N318" t="s">
        <v>36</v>
      </c>
      <c r="O318" t="s">
        <v>7232</v>
      </c>
      <c r="P318" t="s">
        <v>38</v>
      </c>
      <c r="Q318" t="s">
        <v>38</v>
      </c>
      <c r="R318">
        <v>1</v>
      </c>
      <c r="S318" t="s">
        <v>38</v>
      </c>
      <c r="T318">
        <v>7</v>
      </c>
      <c r="U318">
        <v>4.0999999999999996</v>
      </c>
      <c r="V318">
        <v>7.5</v>
      </c>
      <c r="W318" t="s">
        <v>39</v>
      </c>
      <c r="X318" t="s">
        <v>52</v>
      </c>
      <c r="Y318" t="s">
        <v>39</v>
      </c>
      <c r="Z318" t="s">
        <v>73</v>
      </c>
      <c r="AA318" t="s">
        <v>42</v>
      </c>
      <c r="AB318" t="s">
        <v>83</v>
      </c>
      <c r="AC318">
        <f t="shared" si="44"/>
        <v>1</v>
      </c>
      <c r="AD318" s="12">
        <f t="shared" si="48"/>
        <v>0</v>
      </c>
      <c r="AE318" s="12">
        <f t="shared" si="49"/>
        <v>0</v>
      </c>
      <c r="AF318">
        <f t="shared" si="45"/>
        <v>0</v>
      </c>
      <c r="AG318">
        <f t="shared" si="50"/>
        <v>1</v>
      </c>
      <c r="AH318">
        <f t="shared" si="51"/>
        <v>0</v>
      </c>
      <c r="AI318">
        <f t="shared" si="52"/>
        <v>0</v>
      </c>
      <c r="AJ318">
        <f t="shared" si="53"/>
        <v>1</v>
      </c>
      <c r="AK318">
        <f t="shared" si="46"/>
        <v>0</v>
      </c>
      <c r="AL318">
        <f t="shared" si="54"/>
        <v>0</v>
      </c>
    </row>
    <row r="319" spans="1:38">
      <c r="A319" t="s">
        <v>1084</v>
      </c>
      <c r="B319" t="s">
        <v>1085</v>
      </c>
      <c r="C319" s="1">
        <f t="shared" si="47"/>
        <v>45474</v>
      </c>
      <c r="D319" t="s">
        <v>1086</v>
      </c>
      <c r="E319">
        <v>324.39999999999998</v>
      </c>
      <c r="F319">
        <v>13.5</v>
      </c>
      <c r="G319" t="s">
        <v>77</v>
      </c>
      <c r="H319" t="s">
        <v>78</v>
      </c>
      <c r="I319" t="s">
        <v>79</v>
      </c>
      <c r="J319">
        <v>360</v>
      </c>
      <c r="K319" t="s">
        <v>49</v>
      </c>
      <c r="L319" t="s">
        <v>96</v>
      </c>
      <c r="M319" t="s">
        <v>35</v>
      </c>
      <c r="N319" t="s">
        <v>188</v>
      </c>
      <c r="O319" t="s">
        <v>37</v>
      </c>
      <c r="P319" t="s">
        <v>39</v>
      </c>
      <c r="Q319" t="s">
        <v>38</v>
      </c>
      <c r="R319">
        <v>0</v>
      </c>
      <c r="S319" t="s">
        <v>38</v>
      </c>
      <c r="T319">
        <v>10</v>
      </c>
      <c r="U319">
        <v>1</v>
      </c>
      <c r="V319">
        <v>7.2</v>
      </c>
      <c r="W319" t="s">
        <v>38</v>
      </c>
      <c r="X319" t="s">
        <v>123</v>
      </c>
      <c r="Y319" t="s">
        <v>38</v>
      </c>
      <c r="Z319" t="s">
        <v>115</v>
      </c>
      <c r="AA319" t="s">
        <v>54</v>
      </c>
      <c r="AB319" t="s">
        <v>43</v>
      </c>
      <c r="AC319">
        <f t="shared" si="44"/>
        <v>0</v>
      </c>
      <c r="AD319" s="12">
        <f t="shared" si="48"/>
        <v>0</v>
      </c>
      <c r="AE319" s="12">
        <f t="shared" si="49"/>
        <v>1</v>
      </c>
      <c r="AF319">
        <f t="shared" si="45"/>
        <v>0</v>
      </c>
      <c r="AG319">
        <f t="shared" si="50"/>
        <v>0</v>
      </c>
      <c r="AH319">
        <f t="shared" si="51"/>
        <v>0</v>
      </c>
      <c r="AI319">
        <f t="shared" si="52"/>
        <v>0</v>
      </c>
      <c r="AJ319">
        <f t="shared" si="53"/>
        <v>0</v>
      </c>
      <c r="AK319">
        <f t="shared" si="46"/>
        <v>0</v>
      </c>
      <c r="AL319">
        <f t="shared" si="54"/>
        <v>1</v>
      </c>
    </row>
    <row r="320" spans="1:38">
      <c r="A320" t="s">
        <v>1087</v>
      </c>
      <c r="B320" t="s">
        <v>1088</v>
      </c>
      <c r="C320" s="1">
        <f t="shared" si="47"/>
        <v>45597</v>
      </c>
      <c r="D320" t="s">
        <v>1089</v>
      </c>
      <c r="E320">
        <v>190.7</v>
      </c>
      <c r="F320">
        <v>7.9</v>
      </c>
      <c r="G320" t="s">
        <v>101</v>
      </c>
      <c r="H320" t="s">
        <v>442</v>
      </c>
      <c r="I320" t="s">
        <v>32</v>
      </c>
      <c r="J320">
        <v>240</v>
      </c>
      <c r="K320" t="s">
        <v>49</v>
      </c>
      <c r="L320" t="s">
        <v>96</v>
      </c>
      <c r="M320" t="s">
        <v>71</v>
      </c>
      <c r="N320" t="s">
        <v>192</v>
      </c>
      <c r="O320" t="s">
        <v>7232</v>
      </c>
      <c r="P320" t="s">
        <v>38</v>
      </c>
      <c r="Q320" t="s">
        <v>39</v>
      </c>
      <c r="R320">
        <v>1</v>
      </c>
      <c r="S320" t="s">
        <v>38</v>
      </c>
      <c r="T320">
        <v>10</v>
      </c>
      <c r="U320">
        <v>3.8</v>
      </c>
      <c r="V320">
        <v>30.9</v>
      </c>
      <c r="W320" t="s">
        <v>39</v>
      </c>
      <c r="X320" t="s">
        <v>123</v>
      </c>
      <c r="Y320" t="s">
        <v>38</v>
      </c>
      <c r="Z320" t="s">
        <v>81</v>
      </c>
      <c r="AA320" t="s">
        <v>103</v>
      </c>
      <c r="AB320" t="s">
        <v>55</v>
      </c>
      <c r="AC320">
        <f t="shared" si="44"/>
        <v>0</v>
      </c>
      <c r="AD320" s="12">
        <f t="shared" si="48"/>
        <v>0</v>
      </c>
      <c r="AE320" s="12">
        <f t="shared" si="49"/>
        <v>1</v>
      </c>
      <c r="AF320">
        <f t="shared" si="45"/>
        <v>0</v>
      </c>
      <c r="AG320">
        <f t="shared" si="50"/>
        <v>1</v>
      </c>
      <c r="AH320">
        <f t="shared" si="51"/>
        <v>0</v>
      </c>
      <c r="AI320">
        <f t="shared" si="52"/>
        <v>0</v>
      </c>
      <c r="AJ320">
        <f t="shared" si="53"/>
        <v>1</v>
      </c>
      <c r="AK320">
        <f t="shared" si="46"/>
        <v>0</v>
      </c>
      <c r="AL320">
        <f t="shared" si="54"/>
        <v>1</v>
      </c>
    </row>
    <row r="321" spans="1:38">
      <c r="A321" t="s">
        <v>1090</v>
      </c>
      <c r="B321" t="s">
        <v>1091</v>
      </c>
      <c r="C321" s="1">
        <f t="shared" si="47"/>
        <v>45352</v>
      </c>
      <c r="D321" t="s">
        <v>1092</v>
      </c>
      <c r="E321">
        <v>638.29999999999995</v>
      </c>
      <c r="F321">
        <v>26.6</v>
      </c>
      <c r="G321" t="s">
        <v>30</v>
      </c>
      <c r="H321" t="s">
        <v>159</v>
      </c>
      <c r="I321" t="s">
        <v>32</v>
      </c>
      <c r="J321">
        <v>240</v>
      </c>
      <c r="K321" t="s">
        <v>33</v>
      </c>
      <c r="L321" t="s">
        <v>96</v>
      </c>
      <c r="M321" t="s">
        <v>35</v>
      </c>
      <c r="N321" t="s">
        <v>144</v>
      </c>
      <c r="O321" t="s">
        <v>37</v>
      </c>
      <c r="P321" t="s">
        <v>38</v>
      </c>
      <c r="Q321" t="s">
        <v>38</v>
      </c>
      <c r="R321">
        <v>1</v>
      </c>
      <c r="S321" t="s">
        <v>39</v>
      </c>
      <c r="T321">
        <v>6</v>
      </c>
      <c r="U321">
        <v>1.4</v>
      </c>
      <c r="V321">
        <v>12</v>
      </c>
      <c r="W321" t="s">
        <v>38</v>
      </c>
      <c r="X321" t="s">
        <v>63</v>
      </c>
      <c r="Y321" t="s">
        <v>39</v>
      </c>
      <c r="Z321" t="s">
        <v>81</v>
      </c>
      <c r="AA321" t="s">
        <v>54</v>
      </c>
      <c r="AB321" t="s">
        <v>55</v>
      </c>
      <c r="AC321">
        <f t="shared" si="44"/>
        <v>0</v>
      </c>
      <c r="AD321" s="12">
        <f t="shared" si="48"/>
        <v>1</v>
      </c>
      <c r="AE321" s="12">
        <f t="shared" si="49"/>
        <v>0</v>
      </c>
      <c r="AF321">
        <f t="shared" si="45"/>
        <v>0</v>
      </c>
      <c r="AG321">
        <f t="shared" si="50"/>
        <v>0</v>
      </c>
      <c r="AH321">
        <f t="shared" si="51"/>
        <v>0</v>
      </c>
      <c r="AI321">
        <f t="shared" si="52"/>
        <v>0</v>
      </c>
      <c r="AJ321">
        <f t="shared" si="53"/>
        <v>1</v>
      </c>
      <c r="AK321">
        <f t="shared" si="46"/>
        <v>1</v>
      </c>
      <c r="AL321">
        <f t="shared" si="54"/>
        <v>0</v>
      </c>
    </row>
    <row r="322" spans="1:38">
      <c r="A322" t="s">
        <v>1093</v>
      </c>
      <c r="B322" t="s">
        <v>1094</v>
      </c>
      <c r="C322" s="1">
        <f t="shared" si="47"/>
        <v>45323</v>
      </c>
      <c r="D322" t="s">
        <v>1095</v>
      </c>
      <c r="E322">
        <v>244.4</v>
      </c>
      <c r="F322">
        <v>10.199999999999999</v>
      </c>
      <c r="G322" t="s">
        <v>77</v>
      </c>
      <c r="H322" t="s">
        <v>187</v>
      </c>
      <c r="I322" t="s">
        <v>79</v>
      </c>
      <c r="J322">
        <v>360</v>
      </c>
      <c r="K322" t="s">
        <v>49</v>
      </c>
      <c r="L322" t="s">
        <v>96</v>
      </c>
      <c r="M322" t="s">
        <v>35</v>
      </c>
      <c r="N322" t="s">
        <v>128</v>
      </c>
      <c r="O322" t="s">
        <v>51</v>
      </c>
      <c r="P322" t="s">
        <v>38</v>
      </c>
      <c r="Q322" t="s">
        <v>38</v>
      </c>
      <c r="R322">
        <v>1</v>
      </c>
      <c r="S322" t="s">
        <v>38</v>
      </c>
      <c r="T322">
        <v>10</v>
      </c>
      <c r="U322">
        <v>3.5</v>
      </c>
      <c r="V322">
        <v>0</v>
      </c>
      <c r="W322" t="s">
        <v>38</v>
      </c>
      <c r="X322" t="s">
        <v>52</v>
      </c>
      <c r="Y322" t="s">
        <v>38</v>
      </c>
      <c r="Z322" t="s">
        <v>115</v>
      </c>
      <c r="AA322" t="s">
        <v>109</v>
      </c>
      <c r="AB322" t="s">
        <v>55</v>
      </c>
      <c r="AC322">
        <f t="shared" ref="AC322:AC385" si="55">IF(X322="Poor", 1, 0)</f>
        <v>1</v>
      </c>
      <c r="AD322" s="12">
        <f t="shared" si="48"/>
        <v>0</v>
      </c>
      <c r="AE322" s="12">
        <f t="shared" si="49"/>
        <v>0</v>
      </c>
      <c r="AF322">
        <f t="shared" ref="AF322:AF385" si="56">IF(O322="Junior", 1, 0)</f>
        <v>1</v>
      </c>
      <c r="AG322">
        <f t="shared" si="50"/>
        <v>0</v>
      </c>
      <c r="AH322">
        <f t="shared" si="51"/>
        <v>0</v>
      </c>
      <c r="AI322">
        <f t="shared" si="52"/>
        <v>0</v>
      </c>
      <c r="AJ322">
        <f t="shared" si="53"/>
        <v>0</v>
      </c>
      <c r="AK322">
        <f t="shared" ref="AK322:AK385" si="57">IF(G322="Access Requests", 1, 0)</f>
        <v>0</v>
      </c>
      <c r="AL322">
        <f t="shared" si="54"/>
        <v>1</v>
      </c>
    </row>
    <row r="323" spans="1:38">
      <c r="A323" t="s">
        <v>1096</v>
      </c>
      <c r="B323" t="s">
        <v>1097</v>
      </c>
      <c r="C323" s="1">
        <f t="shared" ref="C323:C386" si="58">DATE(YEAR(B323),MONTH(B323),1)</f>
        <v>45292</v>
      </c>
      <c r="D323" t="s">
        <v>1098</v>
      </c>
      <c r="E323">
        <v>249.7</v>
      </c>
      <c r="F323">
        <v>10.4</v>
      </c>
      <c r="G323" t="s">
        <v>77</v>
      </c>
      <c r="H323" t="s">
        <v>78</v>
      </c>
      <c r="I323" t="s">
        <v>79</v>
      </c>
      <c r="J323">
        <v>360</v>
      </c>
      <c r="K323" t="s">
        <v>49</v>
      </c>
      <c r="L323" t="s">
        <v>113</v>
      </c>
      <c r="M323" t="s">
        <v>35</v>
      </c>
      <c r="N323" t="s">
        <v>188</v>
      </c>
      <c r="O323" t="s">
        <v>51</v>
      </c>
      <c r="P323" t="s">
        <v>39</v>
      </c>
      <c r="Q323" t="s">
        <v>38</v>
      </c>
      <c r="R323">
        <v>0</v>
      </c>
      <c r="S323" t="s">
        <v>38</v>
      </c>
      <c r="T323">
        <v>10</v>
      </c>
      <c r="U323">
        <v>1.7</v>
      </c>
      <c r="V323">
        <v>14.6</v>
      </c>
      <c r="W323" t="s">
        <v>39</v>
      </c>
      <c r="X323" t="s">
        <v>63</v>
      </c>
      <c r="Y323" t="s">
        <v>39</v>
      </c>
      <c r="Z323" t="s">
        <v>179</v>
      </c>
      <c r="AA323" t="s">
        <v>103</v>
      </c>
      <c r="AB323" t="s">
        <v>83</v>
      </c>
      <c r="AC323">
        <f t="shared" si="55"/>
        <v>0</v>
      </c>
      <c r="AD323" s="12">
        <f t="shared" ref="AD323:AD386" si="59">IF(X323="Fair", 1, 0)</f>
        <v>1</v>
      </c>
      <c r="AE323" s="12">
        <f t="shared" ref="AE323:AE386" si="60">IF(X323="Good", 1, 0)</f>
        <v>0</v>
      </c>
      <c r="AF323">
        <f t="shared" si="56"/>
        <v>1</v>
      </c>
      <c r="AG323">
        <f t="shared" ref="AG323:AG386" si="61">IF(O323="Mid", 1, 0)</f>
        <v>0</v>
      </c>
      <c r="AH323">
        <f t="shared" ref="AH323:AH386" si="62">IF(I323="High", 1, 0)</f>
        <v>0</v>
      </c>
      <c r="AI323">
        <f t="shared" ref="AI323:AI386" si="63">IF(I323="Critical", 1, 0)</f>
        <v>0</v>
      </c>
      <c r="AJ323">
        <f t="shared" ref="AJ323:AJ386" si="64">IF(I323="Medium", 1, 0)</f>
        <v>0</v>
      </c>
      <c r="AK323">
        <f t="shared" si="57"/>
        <v>0</v>
      </c>
      <c r="AL323">
        <f t="shared" ref="AL323:AL386" si="65">IF(Y323="No", 1, 0)</f>
        <v>0</v>
      </c>
    </row>
    <row r="324" spans="1:38">
      <c r="A324" t="s">
        <v>1099</v>
      </c>
      <c r="B324" t="s">
        <v>1100</v>
      </c>
      <c r="C324" s="1">
        <f t="shared" si="58"/>
        <v>45323</v>
      </c>
      <c r="D324" t="s">
        <v>1101</v>
      </c>
      <c r="E324">
        <v>193.4</v>
      </c>
      <c r="F324">
        <v>8.1</v>
      </c>
      <c r="G324" t="s">
        <v>30</v>
      </c>
      <c r="H324" t="s">
        <v>172</v>
      </c>
      <c r="I324" t="s">
        <v>32</v>
      </c>
      <c r="J324">
        <v>240</v>
      </c>
      <c r="K324" t="s">
        <v>49</v>
      </c>
      <c r="L324" t="s">
        <v>96</v>
      </c>
      <c r="M324" t="s">
        <v>35</v>
      </c>
      <c r="N324" t="s">
        <v>72</v>
      </c>
      <c r="O324" t="s">
        <v>37</v>
      </c>
      <c r="P324" t="s">
        <v>38</v>
      </c>
      <c r="Q324" t="s">
        <v>38</v>
      </c>
      <c r="R324">
        <v>1</v>
      </c>
      <c r="S324" t="s">
        <v>38</v>
      </c>
      <c r="T324">
        <v>9</v>
      </c>
      <c r="U324">
        <v>0.7</v>
      </c>
      <c r="V324">
        <v>15.5</v>
      </c>
      <c r="W324" t="s">
        <v>39</v>
      </c>
      <c r="X324" t="s">
        <v>123</v>
      </c>
      <c r="Y324" t="s">
        <v>39</v>
      </c>
      <c r="Z324" t="s">
        <v>179</v>
      </c>
      <c r="AA324" t="s">
        <v>82</v>
      </c>
      <c r="AB324" t="s">
        <v>55</v>
      </c>
      <c r="AC324">
        <f t="shared" si="55"/>
        <v>0</v>
      </c>
      <c r="AD324" s="12">
        <f t="shared" si="59"/>
        <v>0</v>
      </c>
      <c r="AE324" s="12">
        <f t="shared" si="60"/>
        <v>1</v>
      </c>
      <c r="AF324">
        <f t="shared" si="56"/>
        <v>0</v>
      </c>
      <c r="AG324">
        <f t="shared" si="61"/>
        <v>0</v>
      </c>
      <c r="AH324">
        <f t="shared" si="62"/>
        <v>0</v>
      </c>
      <c r="AI324">
        <f t="shared" si="63"/>
        <v>0</v>
      </c>
      <c r="AJ324">
        <f t="shared" si="64"/>
        <v>1</v>
      </c>
      <c r="AK324">
        <f t="shared" si="57"/>
        <v>1</v>
      </c>
      <c r="AL324">
        <f t="shared" si="65"/>
        <v>0</v>
      </c>
    </row>
    <row r="325" spans="1:38">
      <c r="A325" t="s">
        <v>1102</v>
      </c>
      <c r="B325" t="s">
        <v>1103</v>
      </c>
      <c r="C325" s="1">
        <f t="shared" si="58"/>
        <v>45444</v>
      </c>
      <c r="D325" t="s">
        <v>1104</v>
      </c>
      <c r="E325">
        <v>194.6</v>
      </c>
      <c r="F325">
        <v>8.1</v>
      </c>
      <c r="G325" t="s">
        <v>59</v>
      </c>
      <c r="H325" t="s">
        <v>281</v>
      </c>
      <c r="I325" t="s">
        <v>32</v>
      </c>
      <c r="J325">
        <v>240</v>
      </c>
      <c r="K325" t="s">
        <v>49</v>
      </c>
      <c r="L325" t="s">
        <v>96</v>
      </c>
      <c r="M325" t="s">
        <v>35</v>
      </c>
      <c r="N325" t="s">
        <v>202</v>
      </c>
      <c r="O325" t="s">
        <v>37</v>
      </c>
      <c r="P325" t="s">
        <v>39</v>
      </c>
      <c r="Q325" t="s">
        <v>38</v>
      </c>
      <c r="R325">
        <v>0</v>
      </c>
      <c r="S325" t="s">
        <v>38</v>
      </c>
      <c r="T325">
        <v>10</v>
      </c>
      <c r="U325">
        <v>1.4</v>
      </c>
      <c r="V325">
        <v>22.1</v>
      </c>
      <c r="W325" t="s">
        <v>38</v>
      </c>
      <c r="X325" t="s">
        <v>52</v>
      </c>
      <c r="Y325" t="s">
        <v>39</v>
      </c>
      <c r="Z325" t="s">
        <v>115</v>
      </c>
      <c r="AA325" t="s">
        <v>54</v>
      </c>
      <c r="AB325" t="s">
        <v>83</v>
      </c>
      <c r="AC325">
        <f t="shared" si="55"/>
        <v>1</v>
      </c>
      <c r="AD325" s="12">
        <f t="shared" si="59"/>
        <v>0</v>
      </c>
      <c r="AE325" s="12">
        <f t="shared" si="60"/>
        <v>0</v>
      </c>
      <c r="AF325">
        <f t="shared" si="56"/>
        <v>0</v>
      </c>
      <c r="AG325">
        <f t="shared" si="61"/>
        <v>0</v>
      </c>
      <c r="AH325">
        <f t="shared" si="62"/>
        <v>0</v>
      </c>
      <c r="AI325">
        <f t="shared" si="63"/>
        <v>0</v>
      </c>
      <c r="AJ325">
        <f t="shared" si="64"/>
        <v>1</v>
      </c>
      <c r="AK325">
        <f t="shared" si="57"/>
        <v>0</v>
      </c>
      <c r="AL325">
        <f t="shared" si="65"/>
        <v>0</v>
      </c>
    </row>
    <row r="326" spans="1:38">
      <c r="A326" t="s">
        <v>1105</v>
      </c>
      <c r="B326" t="s">
        <v>1106</v>
      </c>
      <c r="C326" s="1">
        <f t="shared" si="58"/>
        <v>45413</v>
      </c>
      <c r="D326" t="s">
        <v>1107</v>
      </c>
      <c r="E326">
        <v>215.4</v>
      </c>
      <c r="F326">
        <v>9</v>
      </c>
      <c r="G326" t="s">
        <v>77</v>
      </c>
      <c r="H326" t="s">
        <v>187</v>
      </c>
      <c r="I326" t="s">
        <v>32</v>
      </c>
      <c r="J326">
        <v>240</v>
      </c>
      <c r="K326" t="s">
        <v>49</v>
      </c>
      <c r="L326" t="s">
        <v>96</v>
      </c>
      <c r="M326" t="s">
        <v>35</v>
      </c>
      <c r="N326" t="s">
        <v>128</v>
      </c>
      <c r="O326" t="s">
        <v>51</v>
      </c>
      <c r="P326" t="s">
        <v>39</v>
      </c>
      <c r="Q326" t="s">
        <v>38</v>
      </c>
      <c r="R326">
        <v>0</v>
      </c>
      <c r="S326" t="s">
        <v>38</v>
      </c>
      <c r="T326">
        <v>8</v>
      </c>
      <c r="U326">
        <v>4.5999999999999996</v>
      </c>
      <c r="V326">
        <v>11.1</v>
      </c>
      <c r="W326" t="s">
        <v>39</v>
      </c>
      <c r="X326" t="s">
        <v>123</v>
      </c>
      <c r="Y326" t="s">
        <v>39</v>
      </c>
      <c r="Z326" t="s">
        <v>81</v>
      </c>
      <c r="AA326" t="s">
        <v>109</v>
      </c>
      <c r="AB326" t="s">
        <v>83</v>
      </c>
      <c r="AC326">
        <f t="shared" si="55"/>
        <v>0</v>
      </c>
      <c r="AD326" s="12">
        <f t="shared" si="59"/>
        <v>0</v>
      </c>
      <c r="AE326" s="12">
        <f t="shared" si="60"/>
        <v>1</v>
      </c>
      <c r="AF326">
        <f t="shared" si="56"/>
        <v>1</v>
      </c>
      <c r="AG326">
        <f t="shared" si="61"/>
        <v>0</v>
      </c>
      <c r="AH326">
        <f t="shared" si="62"/>
        <v>0</v>
      </c>
      <c r="AI326">
        <f t="shared" si="63"/>
        <v>0</v>
      </c>
      <c r="AJ326">
        <f t="shared" si="64"/>
        <v>1</v>
      </c>
      <c r="AK326">
        <f t="shared" si="57"/>
        <v>0</v>
      </c>
      <c r="AL326">
        <f t="shared" si="65"/>
        <v>0</v>
      </c>
    </row>
    <row r="327" spans="1:38">
      <c r="A327" t="s">
        <v>1108</v>
      </c>
      <c r="B327" t="s">
        <v>1109</v>
      </c>
      <c r="C327" s="1">
        <f t="shared" si="58"/>
        <v>45413</v>
      </c>
      <c r="D327" t="s">
        <v>1110</v>
      </c>
      <c r="E327">
        <v>78.599999999999994</v>
      </c>
      <c r="F327">
        <v>3.3</v>
      </c>
      <c r="G327" t="s">
        <v>87</v>
      </c>
      <c r="H327" t="s">
        <v>309</v>
      </c>
      <c r="I327" t="s">
        <v>48</v>
      </c>
      <c r="J327">
        <v>120</v>
      </c>
      <c r="K327" t="s">
        <v>49</v>
      </c>
      <c r="L327" t="s">
        <v>133</v>
      </c>
      <c r="M327" t="s">
        <v>71</v>
      </c>
      <c r="N327" t="s">
        <v>164</v>
      </c>
      <c r="O327" t="s">
        <v>37</v>
      </c>
      <c r="P327" t="s">
        <v>38</v>
      </c>
      <c r="Q327" t="s">
        <v>39</v>
      </c>
      <c r="R327">
        <v>1</v>
      </c>
      <c r="S327" t="s">
        <v>38</v>
      </c>
      <c r="T327">
        <v>9</v>
      </c>
      <c r="U327">
        <v>2.2999999999999998</v>
      </c>
      <c r="V327">
        <v>14.8</v>
      </c>
      <c r="W327" t="s">
        <v>39</v>
      </c>
      <c r="X327" t="s">
        <v>63</v>
      </c>
      <c r="Y327" t="s">
        <v>39</v>
      </c>
      <c r="Z327" t="s">
        <v>115</v>
      </c>
      <c r="AA327" t="s">
        <v>42</v>
      </c>
      <c r="AB327" t="s">
        <v>83</v>
      </c>
      <c r="AC327">
        <f t="shared" si="55"/>
        <v>0</v>
      </c>
      <c r="AD327" s="12">
        <f t="shared" si="59"/>
        <v>1</v>
      </c>
      <c r="AE327" s="12">
        <f t="shared" si="60"/>
        <v>0</v>
      </c>
      <c r="AF327">
        <f t="shared" si="56"/>
        <v>0</v>
      </c>
      <c r="AG327">
        <f t="shared" si="61"/>
        <v>0</v>
      </c>
      <c r="AH327">
        <f t="shared" si="62"/>
        <v>1</v>
      </c>
      <c r="AI327">
        <f t="shared" si="63"/>
        <v>0</v>
      </c>
      <c r="AJ327">
        <f t="shared" si="64"/>
        <v>0</v>
      </c>
      <c r="AK327">
        <f t="shared" si="57"/>
        <v>0</v>
      </c>
      <c r="AL327">
        <f t="shared" si="65"/>
        <v>0</v>
      </c>
    </row>
    <row r="328" spans="1:38">
      <c r="A328" t="s">
        <v>1111</v>
      </c>
      <c r="B328" t="s">
        <v>1112</v>
      </c>
      <c r="C328" s="1">
        <f t="shared" si="58"/>
        <v>45597</v>
      </c>
      <c r="D328" t="s">
        <v>1113</v>
      </c>
      <c r="E328">
        <v>290.5</v>
      </c>
      <c r="F328">
        <v>12.1</v>
      </c>
      <c r="G328" t="s">
        <v>142</v>
      </c>
      <c r="H328" t="s">
        <v>143</v>
      </c>
      <c r="I328" t="s">
        <v>32</v>
      </c>
      <c r="J328">
        <v>240</v>
      </c>
      <c r="K328" t="s">
        <v>33</v>
      </c>
      <c r="L328" t="s">
        <v>70</v>
      </c>
      <c r="M328" t="s">
        <v>71</v>
      </c>
      <c r="N328" t="s">
        <v>50</v>
      </c>
      <c r="O328" t="s">
        <v>37</v>
      </c>
      <c r="P328" t="s">
        <v>38</v>
      </c>
      <c r="Q328" t="s">
        <v>39</v>
      </c>
      <c r="R328">
        <v>3</v>
      </c>
      <c r="S328" t="s">
        <v>38</v>
      </c>
      <c r="T328">
        <v>4</v>
      </c>
      <c r="U328">
        <v>3.7</v>
      </c>
      <c r="V328">
        <v>32.9</v>
      </c>
      <c r="W328" t="s">
        <v>39</v>
      </c>
      <c r="X328" t="s">
        <v>52</v>
      </c>
      <c r="Y328" t="s">
        <v>39</v>
      </c>
      <c r="Z328" t="s">
        <v>179</v>
      </c>
      <c r="AA328" t="s">
        <v>82</v>
      </c>
      <c r="AB328" t="s">
        <v>55</v>
      </c>
      <c r="AC328">
        <f t="shared" si="55"/>
        <v>1</v>
      </c>
      <c r="AD328" s="12">
        <f t="shared" si="59"/>
        <v>0</v>
      </c>
      <c r="AE328" s="12">
        <f t="shared" si="60"/>
        <v>0</v>
      </c>
      <c r="AF328">
        <f t="shared" si="56"/>
        <v>0</v>
      </c>
      <c r="AG328">
        <f t="shared" si="61"/>
        <v>0</v>
      </c>
      <c r="AH328">
        <f t="shared" si="62"/>
        <v>0</v>
      </c>
      <c r="AI328">
        <f t="shared" si="63"/>
        <v>0</v>
      </c>
      <c r="AJ328">
        <f t="shared" si="64"/>
        <v>1</v>
      </c>
      <c r="AK328">
        <f t="shared" si="57"/>
        <v>0</v>
      </c>
      <c r="AL328">
        <f t="shared" si="65"/>
        <v>0</v>
      </c>
    </row>
    <row r="329" spans="1:38">
      <c r="A329" t="s">
        <v>1114</v>
      </c>
      <c r="B329" t="s">
        <v>1115</v>
      </c>
      <c r="C329" s="1">
        <f t="shared" si="58"/>
        <v>45292</v>
      </c>
      <c r="D329" t="s">
        <v>1116</v>
      </c>
      <c r="E329">
        <v>295.39999999999998</v>
      </c>
      <c r="F329">
        <v>12.3</v>
      </c>
      <c r="G329" t="s">
        <v>101</v>
      </c>
      <c r="H329" t="s">
        <v>102</v>
      </c>
      <c r="I329" t="s">
        <v>32</v>
      </c>
      <c r="J329">
        <v>240</v>
      </c>
      <c r="K329" t="s">
        <v>33</v>
      </c>
      <c r="L329" t="s">
        <v>34</v>
      </c>
      <c r="M329" t="s">
        <v>35</v>
      </c>
      <c r="N329" t="s">
        <v>138</v>
      </c>
      <c r="O329" t="s">
        <v>7232</v>
      </c>
      <c r="P329" t="s">
        <v>39</v>
      </c>
      <c r="Q329" t="s">
        <v>38</v>
      </c>
      <c r="R329">
        <v>0</v>
      </c>
      <c r="S329" t="s">
        <v>39</v>
      </c>
      <c r="T329">
        <v>8</v>
      </c>
      <c r="U329">
        <v>6.1</v>
      </c>
      <c r="V329">
        <v>1.8</v>
      </c>
      <c r="W329" t="s">
        <v>39</v>
      </c>
      <c r="X329" t="s">
        <v>63</v>
      </c>
      <c r="Y329" t="s">
        <v>39</v>
      </c>
      <c r="Z329" t="s">
        <v>115</v>
      </c>
      <c r="AA329" t="s">
        <v>42</v>
      </c>
      <c r="AB329" t="s">
        <v>83</v>
      </c>
      <c r="AC329">
        <f t="shared" si="55"/>
        <v>0</v>
      </c>
      <c r="AD329" s="12">
        <f t="shared" si="59"/>
        <v>1</v>
      </c>
      <c r="AE329" s="12">
        <f t="shared" si="60"/>
        <v>0</v>
      </c>
      <c r="AF329">
        <f t="shared" si="56"/>
        <v>0</v>
      </c>
      <c r="AG329">
        <f t="shared" si="61"/>
        <v>1</v>
      </c>
      <c r="AH329">
        <f t="shared" si="62"/>
        <v>0</v>
      </c>
      <c r="AI329">
        <f t="shared" si="63"/>
        <v>0</v>
      </c>
      <c r="AJ329">
        <f t="shared" si="64"/>
        <v>1</v>
      </c>
      <c r="AK329">
        <f t="shared" si="57"/>
        <v>0</v>
      </c>
      <c r="AL329">
        <f t="shared" si="65"/>
        <v>0</v>
      </c>
    </row>
    <row r="330" spans="1:38">
      <c r="A330" t="s">
        <v>1117</v>
      </c>
      <c r="B330" t="s">
        <v>1118</v>
      </c>
      <c r="C330" s="1">
        <f t="shared" si="58"/>
        <v>45597</v>
      </c>
      <c r="D330" t="s">
        <v>1119</v>
      </c>
      <c r="E330">
        <v>98.9</v>
      </c>
      <c r="F330">
        <v>4.0999999999999996</v>
      </c>
      <c r="G330" t="s">
        <v>59</v>
      </c>
      <c r="H330" t="s">
        <v>227</v>
      </c>
      <c r="I330" t="s">
        <v>48</v>
      </c>
      <c r="J330">
        <v>120</v>
      </c>
      <c r="K330" t="s">
        <v>49</v>
      </c>
      <c r="L330" t="s">
        <v>70</v>
      </c>
      <c r="M330" t="s">
        <v>71</v>
      </c>
      <c r="N330" t="s">
        <v>220</v>
      </c>
      <c r="O330" t="s">
        <v>51</v>
      </c>
      <c r="P330" t="s">
        <v>38</v>
      </c>
      <c r="Q330" t="s">
        <v>39</v>
      </c>
      <c r="R330">
        <v>2</v>
      </c>
      <c r="S330" t="s">
        <v>38</v>
      </c>
      <c r="T330">
        <v>7</v>
      </c>
      <c r="U330">
        <v>1.3</v>
      </c>
      <c r="V330">
        <v>18.8</v>
      </c>
      <c r="W330" t="s">
        <v>39</v>
      </c>
      <c r="X330" t="s">
        <v>52</v>
      </c>
      <c r="Y330" t="s">
        <v>39</v>
      </c>
      <c r="Z330" t="s">
        <v>179</v>
      </c>
      <c r="AA330" t="s">
        <v>82</v>
      </c>
      <c r="AB330" t="s">
        <v>83</v>
      </c>
      <c r="AC330">
        <f t="shared" si="55"/>
        <v>1</v>
      </c>
      <c r="AD330" s="12">
        <f t="shared" si="59"/>
        <v>0</v>
      </c>
      <c r="AE330" s="12">
        <f t="shared" si="60"/>
        <v>0</v>
      </c>
      <c r="AF330">
        <f t="shared" si="56"/>
        <v>1</v>
      </c>
      <c r="AG330">
        <f t="shared" si="61"/>
        <v>0</v>
      </c>
      <c r="AH330">
        <f t="shared" si="62"/>
        <v>1</v>
      </c>
      <c r="AI330">
        <f t="shared" si="63"/>
        <v>0</v>
      </c>
      <c r="AJ330">
        <f t="shared" si="64"/>
        <v>0</v>
      </c>
      <c r="AK330">
        <f t="shared" si="57"/>
        <v>0</v>
      </c>
      <c r="AL330">
        <f t="shared" si="65"/>
        <v>0</v>
      </c>
    </row>
    <row r="331" spans="1:38">
      <c r="A331" t="s">
        <v>1120</v>
      </c>
      <c r="B331" t="s">
        <v>1121</v>
      </c>
      <c r="C331" s="1">
        <f t="shared" si="58"/>
        <v>45627</v>
      </c>
      <c r="D331" t="s">
        <v>1122</v>
      </c>
      <c r="E331">
        <v>146</v>
      </c>
      <c r="F331">
        <v>6.1</v>
      </c>
      <c r="G331" t="s">
        <v>30</v>
      </c>
      <c r="H331" t="s">
        <v>172</v>
      </c>
      <c r="I331" t="s">
        <v>32</v>
      </c>
      <c r="J331">
        <v>240</v>
      </c>
      <c r="K331" t="s">
        <v>49</v>
      </c>
      <c r="L331" t="s">
        <v>70</v>
      </c>
      <c r="M331" t="s">
        <v>35</v>
      </c>
      <c r="N331" t="s">
        <v>144</v>
      </c>
      <c r="O331" t="s">
        <v>7232</v>
      </c>
      <c r="P331" t="s">
        <v>38</v>
      </c>
      <c r="Q331" t="s">
        <v>38</v>
      </c>
      <c r="R331">
        <v>1</v>
      </c>
      <c r="S331" t="s">
        <v>38</v>
      </c>
      <c r="T331">
        <v>7</v>
      </c>
      <c r="U331">
        <v>3.9</v>
      </c>
      <c r="V331">
        <v>0.8</v>
      </c>
      <c r="W331" t="s">
        <v>38</v>
      </c>
      <c r="X331" t="s">
        <v>40</v>
      </c>
      <c r="Y331" t="s">
        <v>39</v>
      </c>
      <c r="Z331" t="s">
        <v>41</v>
      </c>
      <c r="AA331" t="s">
        <v>109</v>
      </c>
      <c r="AB331" t="s">
        <v>55</v>
      </c>
      <c r="AC331">
        <f t="shared" si="55"/>
        <v>0</v>
      </c>
      <c r="AD331" s="12">
        <f t="shared" si="59"/>
        <v>0</v>
      </c>
      <c r="AE331" s="12">
        <f t="shared" si="60"/>
        <v>0</v>
      </c>
      <c r="AF331">
        <f t="shared" si="56"/>
        <v>0</v>
      </c>
      <c r="AG331">
        <f t="shared" si="61"/>
        <v>1</v>
      </c>
      <c r="AH331">
        <f t="shared" si="62"/>
        <v>0</v>
      </c>
      <c r="AI331">
        <f t="shared" si="63"/>
        <v>0</v>
      </c>
      <c r="AJ331">
        <f t="shared" si="64"/>
        <v>1</v>
      </c>
      <c r="AK331">
        <f t="shared" si="57"/>
        <v>1</v>
      </c>
      <c r="AL331">
        <f t="shared" si="65"/>
        <v>0</v>
      </c>
    </row>
    <row r="332" spans="1:38">
      <c r="A332" t="s">
        <v>1123</v>
      </c>
      <c r="B332" t="s">
        <v>1124</v>
      </c>
      <c r="C332" s="1">
        <f t="shared" si="58"/>
        <v>45383</v>
      </c>
      <c r="D332" t="s">
        <v>1125</v>
      </c>
      <c r="E332">
        <v>219.2</v>
      </c>
      <c r="F332">
        <v>9.1</v>
      </c>
      <c r="G332" t="s">
        <v>30</v>
      </c>
      <c r="H332" t="s">
        <v>159</v>
      </c>
      <c r="I332" t="s">
        <v>32</v>
      </c>
      <c r="J332">
        <v>240</v>
      </c>
      <c r="K332" t="s">
        <v>49</v>
      </c>
      <c r="L332" t="s">
        <v>133</v>
      </c>
      <c r="M332" t="s">
        <v>35</v>
      </c>
      <c r="N332" t="s">
        <v>155</v>
      </c>
      <c r="O332" t="s">
        <v>37</v>
      </c>
      <c r="P332" t="s">
        <v>38</v>
      </c>
      <c r="Q332" t="s">
        <v>38</v>
      </c>
      <c r="R332">
        <v>1</v>
      </c>
      <c r="S332" t="s">
        <v>38</v>
      </c>
      <c r="T332">
        <v>6</v>
      </c>
      <c r="U332">
        <v>3.4</v>
      </c>
      <c r="V332">
        <v>9.8000000000000007</v>
      </c>
      <c r="W332" t="s">
        <v>38</v>
      </c>
      <c r="X332" t="s">
        <v>123</v>
      </c>
      <c r="Y332" t="s">
        <v>39</v>
      </c>
      <c r="Z332" t="s">
        <v>64</v>
      </c>
      <c r="AA332" t="s">
        <v>103</v>
      </c>
      <c r="AB332" t="s">
        <v>55</v>
      </c>
      <c r="AC332">
        <f t="shared" si="55"/>
        <v>0</v>
      </c>
      <c r="AD332" s="12">
        <f t="shared" si="59"/>
        <v>0</v>
      </c>
      <c r="AE332" s="12">
        <f t="shared" si="60"/>
        <v>1</v>
      </c>
      <c r="AF332">
        <f t="shared" si="56"/>
        <v>0</v>
      </c>
      <c r="AG332">
        <f t="shared" si="61"/>
        <v>0</v>
      </c>
      <c r="AH332">
        <f t="shared" si="62"/>
        <v>0</v>
      </c>
      <c r="AI332">
        <f t="shared" si="63"/>
        <v>0</v>
      </c>
      <c r="AJ332">
        <f t="shared" si="64"/>
        <v>1</v>
      </c>
      <c r="AK332">
        <f t="shared" si="57"/>
        <v>1</v>
      </c>
      <c r="AL332">
        <f t="shared" si="65"/>
        <v>0</v>
      </c>
    </row>
    <row r="333" spans="1:38">
      <c r="A333" t="s">
        <v>1126</v>
      </c>
      <c r="B333" t="s">
        <v>1127</v>
      </c>
      <c r="C333" s="1">
        <f t="shared" si="58"/>
        <v>45474</v>
      </c>
      <c r="D333" t="s">
        <v>1128</v>
      </c>
      <c r="E333">
        <v>86.2</v>
      </c>
      <c r="F333">
        <v>3.6</v>
      </c>
      <c r="G333" t="s">
        <v>68</v>
      </c>
      <c r="H333" t="s">
        <v>219</v>
      </c>
      <c r="I333" t="s">
        <v>48</v>
      </c>
      <c r="J333">
        <v>120</v>
      </c>
      <c r="K333" t="s">
        <v>49</v>
      </c>
      <c r="L333" t="s">
        <v>34</v>
      </c>
      <c r="M333" t="s">
        <v>35</v>
      </c>
      <c r="N333" t="s">
        <v>107</v>
      </c>
      <c r="O333" t="s">
        <v>51</v>
      </c>
      <c r="P333" t="s">
        <v>39</v>
      </c>
      <c r="Q333" t="s">
        <v>38</v>
      </c>
      <c r="R333">
        <v>0</v>
      </c>
      <c r="S333" t="s">
        <v>38</v>
      </c>
      <c r="T333">
        <v>8</v>
      </c>
      <c r="U333">
        <v>0.1</v>
      </c>
      <c r="V333">
        <v>11</v>
      </c>
      <c r="W333" t="s">
        <v>39</v>
      </c>
      <c r="X333" t="s">
        <v>52</v>
      </c>
      <c r="Y333" t="s">
        <v>38</v>
      </c>
      <c r="Z333" t="s">
        <v>73</v>
      </c>
      <c r="AA333" t="s">
        <v>82</v>
      </c>
      <c r="AB333" t="s">
        <v>83</v>
      </c>
      <c r="AC333">
        <f t="shared" si="55"/>
        <v>1</v>
      </c>
      <c r="AD333" s="12">
        <f t="shared" si="59"/>
        <v>0</v>
      </c>
      <c r="AE333" s="12">
        <f t="shared" si="60"/>
        <v>0</v>
      </c>
      <c r="AF333">
        <f t="shared" si="56"/>
        <v>1</v>
      </c>
      <c r="AG333">
        <f t="shared" si="61"/>
        <v>0</v>
      </c>
      <c r="AH333">
        <f t="shared" si="62"/>
        <v>1</v>
      </c>
      <c r="AI333">
        <f t="shared" si="63"/>
        <v>0</v>
      </c>
      <c r="AJ333">
        <f t="shared" si="64"/>
        <v>0</v>
      </c>
      <c r="AK333">
        <f t="shared" si="57"/>
        <v>0</v>
      </c>
      <c r="AL333">
        <f t="shared" si="65"/>
        <v>1</v>
      </c>
    </row>
    <row r="334" spans="1:38">
      <c r="A334" t="s">
        <v>1129</v>
      </c>
      <c r="B334" t="s">
        <v>1130</v>
      </c>
      <c r="C334" s="1">
        <f t="shared" si="58"/>
        <v>45352</v>
      </c>
      <c r="D334" t="s">
        <v>1131</v>
      </c>
      <c r="E334">
        <v>532.20000000000005</v>
      </c>
      <c r="F334">
        <v>22.2</v>
      </c>
      <c r="G334" t="s">
        <v>77</v>
      </c>
      <c r="H334" t="s">
        <v>187</v>
      </c>
      <c r="I334" t="s">
        <v>79</v>
      </c>
      <c r="J334">
        <v>360</v>
      </c>
      <c r="K334" t="s">
        <v>33</v>
      </c>
      <c r="L334" t="s">
        <v>96</v>
      </c>
      <c r="M334" t="s">
        <v>35</v>
      </c>
      <c r="N334" t="s">
        <v>61</v>
      </c>
      <c r="O334" t="s">
        <v>7232</v>
      </c>
      <c r="P334" t="s">
        <v>39</v>
      </c>
      <c r="Q334" t="s">
        <v>38</v>
      </c>
      <c r="R334">
        <v>0</v>
      </c>
      <c r="S334" t="s">
        <v>38</v>
      </c>
      <c r="T334">
        <v>8</v>
      </c>
      <c r="U334">
        <v>4.4000000000000004</v>
      </c>
      <c r="V334">
        <v>26.3</v>
      </c>
      <c r="W334" t="s">
        <v>39</v>
      </c>
      <c r="X334" t="s">
        <v>52</v>
      </c>
      <c r="Y334" t="s">
        <v>39</v>
      </c>
      <c r="Z334" t="s">
        <v>64</v>
      </c>
      <c r="AA334" t="s">
        <v>103</v>
      </c>
      <c r="AB334" t="s">
        <v>83</v>
      </c>
      <c r="AC334">
        <f t="shared" si="55"/>
        <v>1</v>
      </c>
      <c r="AD334" s="12">
        <f t="shared" si="59"/>
        <v>0</v>
      </c>
      <c r="AE334" s="12">
        <f t="shared" si="60"/>
        <v>0</v>
      </c>
      <c r="AF334">
        <f t="shared" si="56"/>
        <v>0</v>
      </c>
      <c r="AG334">
        <f t="shared" si="61"/>
        <v>1</v>
      </c>
      <c r="AH334">
        <f t="shared" si="62"/>
        <v>0</v>
      </c>
      <c r="AI334">
        <f t="shared" si="63"/>
        <v>0</v>
      </c>
      <c r="AJ334">
        <f t="shared" si="64"/>
        <v>0</v>
      </c>
      <c r="AK334">
        <f t="shared" si="57"/>
        <v>0</v>
      </c>
      <c r="AL334">
        <f t="shared" si="65"/>
        <v>0</v>
      </c>
    </row>
    <row r="335" spans="1:38">
      <c r="A335" t="s">
        <v>1132</v>
      </c>
      <c r="B335" t="s">
        <v>1133</v>
      </c>
      <c r="C335" s="1">
        <f t="shared" si="58"/>
        <v>45566</v>
      </c>
      <c r="D335" t="s">
        <v>1134</v>
      </c>
      <c r="E335">
        <v>454.6</v>
      </c>
      <c r="F335">
        <v>18.899999999999999</v>
      </c>
      <c r="G335" t="s">
        <v>142</v>
      </c>
      <c r="H335" t="s">
        <v>260</v>
      </c>
      <c r="I335" t="s">
        <v>32</v>
      </c>
      <c r="J335">
        <v>240</v>
      </c>
      <c r="K335" t="s">
        <v>33</v>
      </c>
      <c r="L335" t="s">
        <v>70</v>
      </c>
      <c r="M335" t="s">
        <v>71</v>
      </c>
      <c r="N335" t="s">
        <v>89</v>
      </c>
      <c r="O335" t="s">
        <v>7232</v>
      </c>
      <c r="P335" t="s">
        <v>38</v>
      </c>
      <c r="Q335" t="s">
        <v>39</v>
      </c>
      <c r="R335">
        <v>2</v>
      </c>
      <c r="S335" t="s">
        <v>38</v>
      </c>
      <c r="T335">
        <v>5</v>
      </c>
      <c r="U335">
        <v>3.6</v>
      </c>
      <c r="V335">
        <v>16.600000000000001</v>
      </c>
      <c r="W335" t="s">
        <v>38</v>
      </c>
      <c r="X335" t="s">
        <v>123</v>
      </c>
      <c r="Y335" t="s">
        <v>39</v>
      </c>
      <c r="Z335" t="s">
        <v>108</v>
      </c>
      <c r="AA335" t="s">
        <v>109</v>
      </c>
      <c r="AB335" t="s">
        <v>83</v>
      </c>
      <c r="AC335">
        <f t="shared" si="55"/>
        <v>0</v>
      </c>
      <c r="AD335" s="12">
        <f t="shared" si="59"/>
        <v>0</v>
      </c>
      <c r="AE335" s="12">
        <f t="shared" si="60"/>
        <v>1</v>
      </c>
      <c r="AF335">
        <f t="shared" si="56"/>
        <v>0</v>
      </c>
      <c r="AG335">
        <f t="shared" si="61"/>
        <v>1</v>
      </c>
      <c r="AH335">
        <f t="shared" si="62"/>
        <v>0</v>
      </c>
      <c r="AI335">
        <f t="shared" si="63"/>
        <v>0</v>
      </c>
      <c r="AJ335">
        <f t="shared" si="64"/>
        <v>1</v>
      </c>
      <c r="AK335">
        <f t="shared" si="57"/>
        <v>0</v>
      </c>
      <c r="AL335">
        <f t="shared" si="65"/>
        <v>0</v>
      </c>
    </row>
    <row r="336" spans="1:38">
      <c r="A336" t="s">
        <v>1135</v>
      </c>
      <c r="B336" t="s">
        <v>1136</v>
      </c>
      <c r="C336" s="1">
        <f t="shared" si="58"/>
        <v>45566</v>
      </c>
      <c r="D336" t="s">
        <v>1137</v>
      </c>
      <c r="E336">
        <v>103.9</v>
      </c>
      <c r="F336">
        <v>4.3</v>
      </c>
      <c r="G336" t="s">
        <v>30</v>
      </c>
      <c r="H336" t="s">
        <v>159</v>
      </c>
      <c r="I336" t="s">
        <v>48</v>
      </c>
      <c r="J336">
        <v>120</v>
      </c>
      <c r="K336" t="s">
        <v>49</v>
      </c>
      <c r="L336" t="s">
        <v>34</v>
      </c>
      <c r="M336" t="s">
        <v>35</v>
      </c>
      <c r="N336" t="s">
        <v>128</v>
      </c>
      <c r="O336" t="s">
        <v>51</v>
      </c>
      <c r="P336" t="s">
        <v>38</v>
      </c>
      <c r="Q336" t="s">
        <v>38</v>
      </c>
      <c r="R336">
        <v>1</v>
      </c>
      <c r="S336" t="s">
        <v>39</v>
      </c>
      <c r="T336">
        <v>7</v>
      </c>
      <c r="U336">
        <v>1.9</v>
      </c>
      <c r="V336">
        <v>8.6</v>
      </c>
      <c r="W336" t="s">
        <v>39</v>
      </c>
      <c r="X336" t="s">
        <v>52</v>
      </c>
      <c r="Y336" t="s">
        <v>39</v>
      </c>
      <c r="Z336" t="s">
        <v>115</v>
      </c>
      <c r="AA336" t="s">
        <v>103</v>
      </c>
      <c r="AB336" t="s">
        <v>83</v>
      </c>
      <c r="AC336">
        <f t="shared" si="55"/>
        <v>1</v>
      </c>
      <c r="AD336" s="12">
        <f t="shared" si="59"/>
        <v>0</v>
      </c>
      <c r="AE336" s="12">
        <f t="shared" si="60"/>
        <v>0</v>
      </c>
      <c r="AF336">
        <f t="shared" si="56"/>
        <v>1</v>
      </c>
      <c r="AG336">
        <f t="shared" si="61"/>
        <v>0</v>
      </c>
      <c r="AH336">
        <f t="shared" si="62"/>
        <v>1</v>
      </c>
      <c r="AI336">
        <f t="shared" si="63"/>
        <v>0</v>
      </c>
      <c r="AJ336">
        <f t="shared" si="64"/>
        <v>0</v>
      </c>
      <c r="AK336">
        <f t="shared" si="57"/>
        <v>1</v>
      </c>
      <c r="AL336">
        <f t="shared" si="65"/>
        <v>0</v>
      </c>
    </row>
    <row r="337" spans="1:38">
      <c r="A337" t="s">
        <v>1138</v>
      </c>
      <c r="B337" t="s">
        <v>1139</v>
      </c>
      <c r="C337" s="1">
        <f t="shared" si="58"/>
        <v>45383</v>
      </c>
      <c r="D337" t="s">
        <v>1140</v>
      </c>
      <c r="E337">
        <v>243.4</v>
      </c>
      <c r="F337">
        <v>10.1</v>
      </c>
      <c r="G337" t="s">
        <v>93</v>
      </c>
      <c r="H337" t="s">
        <v>163</v>
      </c>
      <c r="I337" t="s">
        <v>79</v>
      </c>
      <c r="J337">
        <v>360</v>
      </c>
      <c r="K337" t="s">
        <v>49</v>
      </c>
      <c r="L337" t="s">
        <v>34</v>
      </c>
      <c r="M337" t="s">
        <v>35</v>
      </c>
      <c r="N337" t="s">
        <v>80</v>
      </c>
      <c r="O337" t="s">
        <v>7232</v>
      </c>
      <c r="P337" t="s">
        <v>38</v>
      </c>
      <c r="Q337" t="s">
        <v>38</v>
      </c>
      <c r="R337">
        <v>1</v>
      </c>
      <c r="S337" t="s">
        <v>38</v>
      </c>
      <c r="T337">
        <v>9</v>
      </c>
      <c r="U337">
        <v>0.4</v>
      </c>
      <c r="V337">
        <v>20.3</v>
      </c>
      <c r="W337" t="s">
        <v>39</v>
      </c>
      <c r="X337" t="s">
        <v>63</v>
      </c>
      <c r="Y337" t="s">
        <v>39</v>
      </c>
      <c r="Z337" t="s">
        <v>108</v>
      </c>
      <c r="AA337" t="s">
        <v>54</v>
      </c>
      <c r="AB337" t="s">
        <v>83</v>
      </c>
      <c r="AC337">
        <f t="shared" si="55"/>
        <v>0</v>
      </c>
      <c r="AD337" s="12">
        <f t="shared" si="59"/>
        <v>1</v>
      </c>
      <c r="AE337" s="12">
        <f t="shared" si="60"/>
        <v>0</v>
      </c>
      <c r="AF337">
        <f t="shared" si="56"/>
        <v>0</v>
      </c>
      <c r="AG337">
        <f t="shared" si="61"/>
        <v>1</v>
      </c>
      <c r="AH337">
        <f t="shared" si="62"/>
        <v>0</v>
      </c>
      <c r="AI337">
        <f t="shared" si="63"/>
        <v>0</v>
      </c>
      <c r="AJ337">
        <f t="shared" si="64"/>
        <v>0</v>
      </c>
      <c r="AK337">
        <f t="shared" si="57"/>
        <v>0</v>
      </c>
      <c r="AL337">
        <f t="shared" si="65"/>
        <v>0</v>
      </c>
    </row>
    <row r="338" spans="1:38">
      <c r="A338" t="s">
        <v>1141</v>
      </c>
      <c r="B338" t="s">
        <v>1142</v>
      </c>
      <c r="C338" s="1">
        <f t="shared" si="58"/>
        <v>45566</v>
      </c>
      <c r="D338" t="s">
        <v>1143</v>
      </c>
      <c r="E338">
        <v>259.5</v>
      </c>
      <c r="F338">
        <v>10.8</v>
      </c>
      <c r="G338" t="s">
        <v>68</v>
      </c>
      <c r="H338" t="s">
        <v>219</v>
      </c>
      <c r="I338" t="s">
        <v>32</v>
      </c>
      <c r="J338">
        <v>240</v>
      </c>
      <c r="K338" t="s">
        <v>33</v>
      </c>
      <c r="L338" t="s">
        <v>96</v>
      </c>
      <c r="M338" t="s">
        <v>35</v>
      </c>
      <c r="N338" t="s">
        <v>128</v>
      </c>
      <c r="O338" t="s">
        <v>7232</v>
      </c>
      <c r="P338" t="s">
        <v>38</v>
      </c>
      <c r="Q338" t="s">
        <v>38</v>
      </c>
      <c r="R338">
        <v>1</v>
      </c>
      <c r="S338" t="s">
        <v>39</v>
      </c>
      <c r="T338">
        <v>6</v>
      </c>
      <c r="U338">
        <v>4.7</v>
      </c>
      <c r="V338">
        <v>16.2</v>
      </c>
      <c r="W338" t="s">
        <v>38</v>
      </c>
      <c r="X338" t="s">
        <v>40</v>
      </c>
      <c r="Y338" t="s">
        <v>39</v>
      </c>
      <c r="Z338" t="s">
        <v>64</v>
      </c>
      <c r="AA338" t="s">
        <v>103</v>
      </c>
      <c r="AB338" t="s">
        <v>83</v>
      </c>
      <c r="AC338">
        <f t="shared" si="55"/>
        <v>0</v>
      </c>
      <c r="AD338" s="12">
        <f t="shared" si="59"/>
        <v>0</v>
      </c>
      <c r="AE338" s="12">
        <f t="shared" si="60"/>
        <v>0</v>
      </c>
      <c r="AF338">
        <f t="shared" si="56"/>
        <v>0</v>
      </c>
      <c r="AG338">
        <f t="shared" si="61"/>
        <v>1</v>
      </c>
      <c r="AH338">
        <f t="shared" si="62"/>
        <v>0</v>
      </c>
      <c r="AI338">
        <f t="shared" si="63"/>
        <v>0</v>
      </c>
      <c r="AJ338">
        <f t="shared" si="64"/>
        <v>1</v>
      </c>
      <c r="AK338">
        <f t="shared" si="57"/>
        <v>0</v>
      </c>
      <c r="AL338">
        <f t="shared" si="65"/>
        <v>0</v>
      </c>
    </row>
    <row r="339" spans="1:38">
      <c r="A339" t="s">
        <v>1144</v>
      </c>
      <c r="B339" t="s">
        <v>1145</v>
      </c>
      <c r="C339" s="1">
        <f t="shared" si="58"/>
        <v>45597</v>
      </c>
      <c r="D339" t="s">
        <v>1146</v>
      </c>
      <c r="E339">
        <v>81.599999999999994</v>
      </c>
      <c r="F339">
        <v>3.4</v>
      </c>
      <c r="G339" t="s">
        <v>59</v>
      </c>
      <c r="H339" t="s">
        <v>60</v>
      </c>
      <c r="I339" t="s">
        <v>48</v>
      </c>
      <c r="J339">
        <v>120</v>
      </c>
      <c r="K339" t="s">
        <v>49</v>
      </c>
      <c r="L339" t="s">
        <v>113</v>
      </c>
      <c r="M339" t="s">
        <v>71</v>
      </c>
      <c r="N339" t="s">
        <v>144</v>
      </c>
      <c r="O339" t="s">
        <v>7232</v>
      </c>
      <c r="P339" t="s">
        <v>38</v>
      </c>
      <c r="Q339" t="s">
        <v>39</v>
      </c>
      <c r="R339">
        <v>1</v>
      </c>
      <c r="S339" t="s">
        <v>39</v>
      </c>
      <c r="T339">
        <v>8</v>
      </c>
      <c r="U339">
        <v>0.7</v>
      </c>
      <c r="V339">
        <v>13.1</v>
      </c>
      <c r="W339" t="s">
        <v>38</v>
      </c>
      <c r="X339" t="s">
        <v>52</v>
      </c>
      <c r="Y339" t="s">
        <v>39</v>
      </c>
      <c r="Z339" t="s">
        <v>41</v>
      </c>
      <c r="AA339" t="s">
        <v>103</v>
      </c>
      <c r="AB339" t="s">
        <v>55</v>
      </c>
      <c r="AC339">
        <f t="shared" si="55"/>
        <v>1</v>
      </c>
      <c r="AD339" s="12">
        <f t="shared" si="59"/>
        <v>0</v>
      </c>
      <c r="AE339" s="12">
        <f t="shared" si="60"/>
        <v>0</v>
      </c>
      <c r="AF339">
        <f t="shared" si="56"/>
        <v>0</v>
      </c>
      <c r="AG339">
        <f t="shared" si="61"/>
        <v>1</v>
      </c>
      <c r="AH339">
        <f t="shared" si="62"/>
        <v>1</v>
      </c>
      <c r="AI339">
        <f t="shared" si="63"/>
        <v>0</v>
      </c>
      <c r="AJ339">
        <f t="shared" si="64"/>
        <v>0</v>
      </c>
      <c r="AK339">
        <f t="shared" si="57"/>
        <v>0</v>
      </c>
      <c r="AL339">
        <f t="shared" si="65"/>
        <v>0</v>
      </c>
    </row>
    <row r="340" spans="1:38">
      <c r="A340" t="s">
        <v>1147</v>
      </c>
      <c r="B340" t="s">
        <v>1148</v>
      </c>
      <c r="C340" s="1">
        <f t="shared" si="58"/>
        <v>45505</v>
      </c>
      <c r="D340" t="s">
        <v>1149</v>
      </c>
      <c r="E340">
        <v>356.8</v>
      </c>
      <c r="F340">
        <v>14.9</v>
      </c>
      <c r="G340" t="s">
        <v>59</v>
      </c>
      <c r="H340" t="s">
        <v>132</v>
      </c>
      <c r="I340" t="s">
        <v>48</v>
      </c>
      <c r="J340">
        <v>120</v>
      </c>
      <c r="K340" t="s">
        <v>33</v>
      </c>
      <c r="L340" t="s">
        <v>70</v>
      </c>
      <c r="M340" t="s">
        <v>71</v>
      </c>
      <c r="N340" t="s">
        <v>164</v>
      </c>
      <c r="O340" t="s">
        <v>7232</v>
      </c>
      <c r="P340" t="s">
        <v>38</v>
      </c>
      <c r="Q340" t="s">
        <v>39</v>
      </c>
      <c r="R340">
        <v>3</v>
      </c>
      <c r="S340" t="s">
        <v>38</v>
      </c>
      <c r="T340">
        <v>5</v>
      </c>
      <c r="U340">
        <v>1.4</v>
      </c>
      <c r="V340">
        <v>23.7</v>
      </c>
      <c r="W340" t="s">
        <v>39</v>
      </c>
      <c r="X340" t="s">
        <v>123</v>
      </c>
      <c r="Y340" t="s">
        <v>38</v>
      </c>
      <c r="Z340" t="s">
        <v>115</v>
      </c>
      <c r="AA340" t="s">
        <v>109</v>
      </c>
      <c r="AB340" t="s">
        <v>43</v>
      </c>
      <c r="AC340">
        <f t="shared" si="55"/>
        <v>0</v>
      </c>
      <c r="AD340" s="12">
        <f t="shared" si="59"/>
        <v>0</v>
      </c>
      <c r="AE340" s="12">
        <f t="shared" si="60"/>
        <v>1</v>
      </c>
      <c r="AF340">
        <f t="shared" si="56"/>
        <v>0</v>
      </c>
      <c r="AG340">
        <f t="shared" si="61"/>
        <v>1</v>
      </c>
      <c r="AH340">
        <f t="shared" si="62"/>
        <v>1</v>
      </c>
      <c r="AI340">
        <f t="shared" si="63"/>
        <v>0</v>
      </c>
      <c r="AJ340">
        <f t="shared" si="64"/>
        <v>0</v>
      </c>
      <c r="AK340">
        <f t="shared" si="57"/>
        <v>0</v>
      </c>
      <c r="AL340">
        <f t="shared" si="65"/>
        <v>1</v>
      </c>
    </row>
    <row r="341" spans="1:38">
      <c r="A341" t="s">
        <v>1150</v>
      </c>
      <c r="B341" t="s">
        <v>1151</v>
      </c>
      <c r="C341" s="1">
        <f t="shared" si="58"/>
        <v>45323</v>
      </c>
      <c r="D341" t="s">
        <v>1152</v>
      </c>
      <c r="E341">
        <v>358</v>
      </c>
      <c r="F341">
        <v>14.9</v>
      </c>
      <c r="G341" t="s">
        <v>142</v>
      </c>
      <c r="H341" t="s">
        <v>143</v>
      </c>
      <c r="I341" t="s">
        <v>32</v>
      </c>
      <c r="J341">
        <v>240</v>
      </c>
      <c r="K341" t="s">
        <v>33</v>
      </c>
      <c r="L341" t="s">
        <v>34</v>
      </c>
      <c r="M341" t="s">
        <v>35</v>
      </c>
      <c r="N341" t="s">
        <v>134</v>
      </c>
      <c r="O341" t="s">
        <v>37</v>
      </c>
      <c r="P341" t="s">
        <v>38</v>
      </c>
      <c r="Q341" t="s">
        <v>38</v>
      </c>
      <c r="R341">
        <v>1</v>
      </c>
      <c r="S341" t="s">
        <v>38</v>
      </c>
      <c r="T341">
        <v>4</v>
      </c>
      <c r="U341">
        <v>1.5</v>
      </c>
      <c r="V341">
        <v>0</v>
      </c>
      <c r="W341" t="s">
        <v>39</v>
      </c>
      <c r="X341" t="s">
        <v>63</v>
      </c>
      <c r="Y341" t="s">
        <v>39</v>
      </c>
      <c r="Z341" t="s">
        <v>108</v>
      </c>
      <c r="AA341" t="s">
        <v>42</v>
      </c>
      <c r="AB341" t="s">
        <v>83</v>
      </c>
      <c r="AC341">
        <f t="shared" si="55"/>
        <v>0</v>
      </c>
      <c r="AD341" s="12">
        <f t="shared" si="59"/>
        <v>1</v>
      </c>
      <c r="AE341" s="12">
        <f t="shared" si="60"/>
        <v>0</v>
      </c>
      <c r="AF341">
        <f t="shared" si="56"/>
        <v>0</v>
      </c>
      <c r="AG341">
        <f t="shared" si="61"/>
        <v>0</v>
      </c>
      <c r="AH341">
        <f t="shared" si="62"/>
        <v>0</v>
      </c>
      <c r="AI341">
        <f t="shared" si="63"/>
        <v>0</v>
      </c>
      <c r="AJ341">
        <f t="shared" si="64"/>
        <v>1</v>
      </c>
      <c r="AK341">
        <f t="shared" si="57"/>
        <v>0</v>
      </c>
      <c r="AL341">
        <f t="shared" si="65"/>
        <v>0</v>
      </c>
    </row>
    <row r="342" spans="1:38">
      <c r="A342" t="s">
        <v>1153</v>
      </c>
      <c r="B342" t="s">
        <v>1154</v>
      </c>
      <c r="C342" s="1">
        <f t="shared" si="58"/>
        <v>45444</v>
      </c>
      <c r="D342" t="s">
        <v>1155</v>
      </c>
      <c r="E342">
        <v>40.700000000000003</v>
      </c>
      <c r="F342">
        <v>1.7</v>
      </c>
      <c r="G342" t="s">
        <v>142</v>
      </c>
      <c r="H342" t="s">
        <v>729</v>
      </c>
      <c r="I342" t="s">
        <v>95</v>
      </c>
      <c r="J342">
        <v>48</v>
      </c>
      <c r="K342" t="s">
        <v>49</v>
      </c>
      <c r="L342" t="s">
        <v>34</v>
      </c>
      <c r="M342" t="s">
        <v>35</v>
      </c>
      <c r="N342" t="s">
        <v>61</v>
      </c>
      <c r="O342" t="s">
        <v>37</v>
      </c>
      <c r="P342" t="s">
        <v>39</v>
      </c>
      <c r="Q342" t="s">
        <v>38</v>
      </c>
      <c r="R342">
        <v>0</v>
      </c>
      <c r="S342" t="s">
        <v>38</v>
      </c>
      <c r="T342">
        <v>9</v>
      </c>
      <c r="U342">
        <v>6.1</v>
      </c>
      <c r="V342">
        <v>5.2</v>
      </c>
      <c r="W342" t="s">
        <v>38</v>
      </c>
      <c r="X342" t="s">
        <v>63</v>
      </c>
      <c r="Y342" t="s">
        <v>38</v>
      </c>
      <c r="Z342" t="s">
        <v>108</v>
      </c>
      <c r="AA342" t="s">
        <v>82</v>
      </c>
      <c r="AB342" t="s">
        <v>55</v>
      </c>
      <c r="AC342">
        <f t="shared" si="55"/>
        <v>0</v>
      </c>
      <c r="AD342" s="12">
        <f t="shared" si="59"/>
        <v>1</v>
      </c>
      <c r="AE342" s="12">
        <f t="shared" si="60"/>
        <v>0</v>
      </c>
      <c r="AF342">
        <f t="shared" si="56"/>
        <v>0</v>
      </c>
      <c r="AG342">
        <f t="shared" si="61"/>
        <v>0</v>
      </c>
      <c r="AH342">
        <f t="shared" si="62"/>
        <v>0</v>
      </c>
      <c r="AI342">
        <f t="shared" si="63"/>
        <v>1</v>
      </c>
      <c r="AJ342">
        <f t="shared" si="64"/>
        <v>0</v>
      </c>
      <c r="AK342">
        <f t="shared" si="57"/>
        <v>0</v>
      </c>
      <c r="AL342">
        <f t="shared" si="65"/>
        <v>1</v>
      </c>
    </row>
    <row r="343" spans="1:38">
      <c r="A343" t="s">
        <v>1156</v>
      </c>
      <c r="B343" t="s">
        <v>1157</v>
      </c>
      <c r="C343" s="1">
        <f t="shared" si="58"/>
        <v>45627</v>
      </c>
      <c r="D343" t="s">
        <v>1158</v>
      </c>
      <c r="E343">
        <v>153.6</v>
      </c>
      <c r="F343">
        <v>6.4</v>
      </c>
      <c r="G343" t="s">
        <v>87</v>
      </c>
      <c r="H343" t="s">
        <v>183</v>
      </c>
      <c r="I343" t="s">
        <v>32</v>
      </c>
      <c r="J343">
        <v>240</v>
      </c>
      <c r="K343" t="s">
        <v>49</v>
      </c>
      <c r="L343" t="s">
        <v>96</v>
      </c>
      <c r="M343" t="s">
        <v>35</v>
      </c>
      <c r="N343" t="s">
        <v>192</v>
      </c>
      <c r="O343" t="s">
        <v>51</v>
      </c>
      <c r="P343" t="s">
        <v>38</v>
      </c>
      <c r="Q343" t="s">
        <v>38</v>
      </c>
      <c r="R343">
        <v>1</v>
      </c>
      <c r="S343" t="s">
        <v>38</v>
      </c>
      <c r="T343">
        <v>7</v>
      </c>
      <c r="U343">
        <v>4.8</v>
      </c>
      <c r="V343">
        <v>9.6999999999999993</v>
      </c>
      <c r="W343" t="s">
        <v>38</v>
      </c>
      <c r="X343" t="s">
        <v>63</v>
      </c>
      <c r="Y343" t="s">
        <v>38</v>
      </c>
      <c r="Z343" t="s">
        <v>115</v>
      </c>
      <c r="AA343" t="s">
        <v>109</v>
      </c>
      <c r="AB343" t="s">
        <v>43</v>
      </c>
      <c r="AC343">
        <f t="shared" si="55"/>
        <v>0</v>
      </c>
      <c r="AD343" s="12">
        <f t="shared" si="59"/>
        <v>1</v>
      </c>
      <c r="AE343" s="12">
        <f t="shared" si="60"/>
        <v>0</v>
      </c>
      <c r="AF343">
        <f t="shared" si="56"/>
        <v>1</v>
      </c>
      <c r="AG343">
        <f t="shared" si="61"/>
        <v>0</v>
      </c>
      <c r="AH343">
        <f t="shared" si="62"/>
        <v>0</v>
      </c>
      <c r="AI343">
        <f t="shared" si="63"/>
        <v>0</v>
      </c>
      <c r="AJ343">
        <f t="shared" si="64"/>
        <v>1</v>
      </c>
      <c r="AK343">
        <f t="shared" si="57"/>
        <v>0</v>
      </c>
      <c r="AL343">
        <f t="shared" si="65"/>
        <v>1</v>
      </c>
    </row>
    <row r="344" spans="1:38">
      <c r="A344" t="s">
        <v>1159</v>
      </c>
      <c r="B344" t="s">
        <v>1160</v>
      </c>
      <c r="C344" s="1">
        <f t="shared" si="58"/>
        <v>45627</v>
      </c>
      <c r="D344" t="s">
        <v>1161</v>
      </c>
      <c r="E344">
        <v>180.3</v>
      </c>
      <c r="F344">
        <v>7.5</v>
      </c>
      <c r="G344" t="s">
        <v>101</v>
      </c>
      <c r="H344" t="s">
        <v>368</v>
      </c>
      <c r="I344" t="s">
        <v>32</v>
      </c>
      <c r="J344">
        <v>240</v>
      </c>
      <c r="K344" t="s">
        <v>49</v>
      </c>
      <c r="L344" t="s">
        <v>96</v>
      </c>
      <c r="M344" t="s">
        <v>35</v>
      </c>
      <c r="N344" t="s">
        <v>202</v>
      </c>
      <c r="O344" t="s">
        <v>37</v>
      </c>
      <c r="P344" t="s">
        <v>38</v>
      </c>
      <c r="Q344" t="s">
        <v>38</v>
      </c>
      <c r="R344">
        <v>1</v>
      </c>
      <c r="S344" t="s">
        <v>38</v>
      </c>
      <c r="T344">
        <v>10</v>
      </c>
      <c r="U344">
        <v>2.2999999999999998</v>
      </c>
      <c r="V344">
        <v>29.3</v>
      </c>
      <c r="W344" t="s">
        <v>39</v>
      </c>
      <c r="X344" t="s">
        <v>123</v>
      </c>
      <c r="Y344" t="s">
        <v>39</v>
      </c>
      <c r="Z344" t="s">
        <v>115</v>
      </c>
      <c r="AA344" t="s">
        <v>54</v>
      </c>
      <c r="AB344" t="s">
        <v>83</v>
      </c>
      <c r="AC344">
        <f t="shared" si="55"/>
        <v>0</v>
      </c>
      <c r="AD344" s="12">
        <f t="shared" si="59"/>
        <v>0</v>
      </c>
      <c r="AE344" s="12">
        <f t="shared" si="60"/>
        <v>1</v>
      </c>
      <c r="AF344">
        <f t="shared" si="56"/>
        <v>0</v>
      </c>
      <c r="AG344">
        <f t="shared" si="61"/>
        <v>0</v>
      </c>
      <c r="AH344">
        <f t="shared" si="62"/>
        <v>0</v>
      </c>
      <c r="AI344">
        <f t="shared" si="63"/>
        <v>0</v>
      </c>
      <c r="AJ344">
        <f t="shared" si="64"/>
        <v>1</v>
      </c>
      <c r="AK344">
        <f t="shared" si="57"/>
        <v>0</v>
      </c>
      <c r="AL344">
        <f t="shared" si="65"/>
        <v>0</v>
      </c>
    </row>
    <row r="345" spans="1:38">
      <c r="A345" t="s">
        <v>1162</v>
      </c>
      <c r="B345" t="s">
        <v>1163</v>
      </c>
      <c r="C345" s="1">
        <f t="shared" si="58"/>
        <v>45292</v>
      </c>
      <c r="D345" t="s">
        <v>1164</v>
      </c>
      <c r="E345">
        <v>163.6</v>
      </c>
      <c r="F345">
        <v>6.8</v>
      </c>
      <c r="G345" t="s">
        <v>68</v>
      </c>
      <c r="H345" t="s">
        <v>219</v>
      </c>
      <c r="I345" t="s">
        <v>32</v>
      </c>
      <c r="J345">
        <v>240</v>
      </c>
      <c r="K345" t="s">
        <v>49</v>
      </c>
      <c r="L345" t="s">
        <v>113</v>
      </c>
      <c r="M345" t="s">
        <v>35</v>
      </c>
      <c r="N345" t="s">
        <v>97</v>
      </c>
      <c r="O345" t="s">
        <v>51</v>
      </c>
      <c r="P345" t="s">
        <v>39</v>
      </c>
      <c r="Q345" t="s">
        <v>38</v>
      </c>
      <c r="R345">
        <v>0</v>
      </c>
      <c r="S345" t="s">
        <v>39</v>
      </c>
      <c r="T345">
        <v>10</v>
      </c>
      <c r="U345">
        <v>1</v>
      </c>
      <c r="V345">
        <v>0</v>
      </c>
      <c r="W345" t="s">
        <v>39</v>
      </c>
      <c r="X345" t="s">
        <v>63</v>
      </c>
      <c r="Y345" t="s">
        <v>38</v>
      </c>
      <c r="Z345" t="s">
        <v>41</v>
      </c>
      <c r="AA345" t="s">
        <v>42</v>
      </c>
      <c r="AB345" t="s">
        <v>83</v>
      </c>
      <c r="AC345">
        <f t="shared" si="55"/>
        <v>0</v>
      </c>
      <c r="AD345" s="12">
        <f t="shared" si="59"/>
        <v>1</v>
      </c>
      <c r="AE345" s="12">
        <f t="shared" si="60"/>
        <v>0</v>
      </c>
      <c r="AF345">
        <f t="shared" si="56"/>
        <v>1</v>
      </c>
      <c r="AG345">
        <f t="shared" si="61"/>
        <v>0</v>
      </c>
      <c r="AH345">
        <f t="shared" si="62"/>
        <v>0</v>
      </c>
      <c r="AI345">
        <f t="shared" si="63"/>
        <v>0</v>
      </c>
      <c r="AJ345">
        <f t="shared" si="64"/>
        <v>1</v>
      </c>
      <c r="AK345">
        <f t="shared" si="57"/>
        <v>0</v>
      </c>
      <c r="AL345">
        <f t="shared" si="65"/>
        <v>1</v>
      </c>
    </row>
    <row r="346" spans="1:38">
      <c r="A346" t="s">
        <v>1165</v>
      </c>
      <c r="B346" t="s">
        <v>1166</v>
      </c>
      <c r="C346" s="1">
        <f t="shared" si="58"/>
        <v>45505</v>
      </c>
      <c r="D346" t="s">
        <v>1167</v>
      </c>
      <c r="E346">
        <v>294.2</v>
      </c>
      <c r="F346">
        <v>12.3</v>
      </c>
      <c r="G346" t="s">
        <v>77</v>
      </c>
      <c r="H346" t="s">
        <v>244</v>
      </c>
      <c r="I346" t="s">
        <v>79</v>
      </c>
      <c r="J346">
        <v>360</v>
      </c>
      <c r="K346" t="s">
        <v>49</v>
      </c>
      <c r="L346" t="s">
        <v>96</v>
      </c>
      <c r="M346" t="s">
        <v>35</v>
      </c>
      <c r="N346" t="s">
        <v>72</v>
      </c>
      <c r="O346" t="s">
        <v>7232</v>
      </c>
      <c r="P346" t="s">
        <v>39</v>
      </c>
      <c r="Q346" t="s">
        <v>38</v>
      </c>
      <c r="R346">
        <v>0</v>
      </c>
      <c r="S346" t="s">
        <v>38</v>
      </c>
      <c r="T346">
        <v>8</v>
      </c>
      <c r="U346">
        <v>2.8</v>
      </c>
      <c r="V346">
        <v>12.7</v>
      </c>
      <c r="W346" t="s">
        <v>39</v>
      </c>
      <c r="X346" t="s">
        <v>63</v>
      </c>
      <c r="Y346" t="s">
        <v>39</v>
      </c>
      <c r="Z346" t="s">
        <v>108</v>
      </c>
      <c r="AA346" t="s">
        <v>42</v>
      </c>
      <c r="AB346" t="s">
        <v>55</v>
      </c>
      <c r="AC346">
        <f t="shared" si="55"/>
        <v>0</v>
      </c>
      <c r="AD346" s="12">
        <f t="shared" si="59"/>
        <v>1</v>
      </c>
      <c r="AE346" s="12">
        <f t="shared" si="60"/>
        <v>0</v>
      </c>
      <c r="AF346">
        <f t="shared" si="56"/>
        <v>0</v>
      </c>
      <c r="AG346">
        <f t="shared" si="61"/>
        <v>1</v>
      </c>
      <c r="AH346">
        <f t="shared" si="62"/>
        <v>0</v>
      </c>
      <c r="AI346">
        <f t="shared" si="63"/>
        <v>0</v>
      </c>
      <c r="AJ346">
        <f t="shared" si="64"/>
        <v>0</v>
      </c>
      <c r="AK346">
        <f t="shared" si="57"/>
        <v>0</v>
      </c>
      <c r="AL346">
        <f t="shared" si="65"/>
        <v>0</v>
      </c>
    </row>
    <row r="347" spans="1:38">
      <c r="A347" t="s">
        <v>1168</v>
      </c>
      <c r="B347" t="s">
        <v>1169</v>
      </c>
      <c r="C347" s="1">
        <f t="shared" si="58"/>
        <v>45292</v>
      </c>
      <c r="D347" t="s">
        <v>1170</v>
      </c>
      <c r="E347">
        <v>191.5</v>
      </c>
      <c r="F347">
        <v>8</v>
      </c>
      <c r="G347" t="s">
        <v>142</v>
      </c>
      <c r="H347" t="s">
        <v>319</v>
      </c>
      <c r="I347" t="s">
        <v>32</v>
      </c>
      <c r="J347">
        <v>240</v>
      </c>
      <c r="K347" t="s">
        <v>49</v>
      </c>
      <c r="L347" t="s">
        <v>70</v>
      </c>
      <c r="M347" t="s">
        <v>71</v>
      </c>
      <c r="N347" t="s">
        <v>220</v>
      </c>
      <c r="O347" t="s">
        <v>37</v>
      </c>
      <c r="P347" t="s">
        <v>38</v>
      </c>
      <c r="Q347" t="s">
        <v>39</v>
      </c>
      <c r="R347">
        <v>1</v>
      </c>
      <c r="S347" t="s">
        <v>38</v>
      </c>
      <c r="T347">
        <v>10</v>
      </c>
      <c r="U347">
        <v>4.9000000000000004</v>
      </c>
      <c r="V347">
        <v>11.1</v>
      </c>
      <c r="W347" t="s">
        <v>39</v>
      </c>
      <c r="X347" t="s">
        <v>63</v>
      </c>
      <c r="Y347" t="s">
        <v>38</v>
      </c>
      <c r="Z347" t="s">
        <v>108</v>
      </c>
      <c r="AA347" t="s">
        <v>103</v>
      </c>
      <c r="AB347" t="s">
        <v>55</v>
      </c>
      <c r="AC347">
        <f t="shared" si="55"/>
        <v>0</v>
      </c>
      <c r="AD347" s="12">
        <f t="shared" si="59"/>
        <v>1</v>
      </c>
      <c r="AE347" s="12">
        <f t="shared" si="60"/>
        <v>0</v>
      </c>
      <c r="AF347">
        <f t="shared" si="56"/>
        <v>0</v>
      </c>
      <c r="AG347">
        <f t="shared" si="61"/>
        <v>0</v>
      </c>
      <c r="AH347">
        <f t="shared" si="62"/>
        <v>0</v>
      </c>
      <c r="AI347">
        <f t="shared" si="63"/>
        <v>0</v>
      </c>
      <c r="AJ347">
        <f t="shared" si="64"/>
        <v>1</v>
      </c>
      <c r="AK347">
        <f t="shared" si="57"/>
        <v>0</v>
      </c>
      <c r="AL347">
        <f t="shared" si="65"/>
        <v>1</v>
      </c>
    </row>
    <row r="348" spans="1:38">
      <c r="A348" t="s">
        <v>1171</v>
      </c>
      <c r="B348" t="s">
        <v>1172</v>
      </c>
      <c r="C348" s="1">
        <f t="shared" si="58"/>
        <v>45413</v>
      </c>
      <c r="D348" t="s">
        <v>1173</v>
      </c>
      <c r="E348">
        <v>187.9</v>
      </c>
      <c r="F348">
        <v>7.8</v>
      </c>
      <c r="G348" t="s">
        <v>142</v>
      </c>
      <c r="H348" t="s">
        <v>319</v>
      </c>
      <c r="I348" t="s">
        <v>32</v>
      </c>
      <c r="J348">
        <v>240</v>
      </c>
      <c r="K348" t="s">
        <v>49</v>
      </c>
      <c r="L348" t="s">
        <v>113</v>
      </c>
      <c r="M348" t="s">
        <v>35</v>
      </c>
      <c r="N348" t="s">
        <v>188</v>
      </c>
      <c r="O348" t="s">
        <v>7232</v>
      </c>
      <c r="P348" t="s">
        <v>38</v>
      </c>
      <c r="Q348" t="s">
        <v>38</v>
      </c>
      <c r="R348">
        <v>1</v>
      </c>
      <c r="S348" t="s">
        <v>38</v>
      </c>
      <c r="T348">
        <v>10</v>
      </c>
      <c r="U348">
        <v>2.6</v>
      </c>
      <c r="V348">
        <v>20.3</v>
      </c>
      <c r="W348" t="s">
        <v>39</v>
      </c>
      <c r="X348" t="s">
        <v>52</v>
      </c>
      <c r="Y348" t="s">
        <v>39</v>
      </c>
      <c r="Z348" t="s">
        <v>108</v>
      </c>
      <c r="AA348" t="s">
        <v>109</v>
      </c>
      <c r="AB348" t="s">
        <v>55</v>
      </c>
      <c r="AC348">
        <f t="shared" si="55"/>
        <v>1</v>
      </c>
      <c r="AD348" s="12">
        <f t="shared" si="59"/>
        <v>0</v>
      </c>
      <c r="AE348" s="12">
        <f t="shared" si="60"/>
        <v>0</v>
      </c>
      <c r="AF348">
        <f t="shared" si="56"/>
        <v>0</v>
      </c>
      <c r="AG348">
        <f t="shared" si="61"/>
        <v>1</v>
      </c>
      <c r="AH348">
        <f t="shared" si="62"/>
        <v>0</v>
      </c>
      <c r="AI348">
        <f t="shared" si="63"/>
        <v>0</v>
      </c>
      <c r="AJ348">
        <f t="shared" si="64"/>
        <v>1</v>
      </c>
      <c r="AK348">
        <f t="shared" si="57"/>
        <v>0</v>
      </c>
      <c r="AL348">
        <f t="shared" si="65"/>
        <v>0</v>
      </c>
    </row>
    <row r="349" spans="1:38">
      <c r="A349" t="s">
        <v>1174</v>
      </c>
      <c r="B349" t="s">
        <v>1175</v>
      </c>
      <c r="C349" s="1">
        <f t="shared" si="58"/>
        <v>45627</v>
      </c>
      <c r="D349" t="s">
        <v>1176</v>
      </c>
      <c r="E349">
        <v>160.30000000000001</v>
      </c>
      <c r="F349">
        <v>6.7</v>
      </c>
      <c r="G349" t="s">
        <v>87</v>
      </c>
      <c r="H349" t="s">
        <v>309</v>
      </c>
      <c r="I349" t="s">
        <v>32</v>
      </c>
      <c r="J349">
        <v>240</v>
      </c>
      <c r="K349" t="s">
        <v>49</v>
      </c>
      <c r="L349" t="s">
        <v>70</v>
      </c>
      <c r="M349" t="s">
        <v>35</v>
      </c>
      <c r="N349" t="s">
        <v>97</v>
      </c>
      <c r="O349" t="s">
        <v>7232</v>
      </c>
      <c r="P349" t="s">
        <v>38</v>
      </c>
      <c r="Q349" t="s">
        <v>38</v>
      </c>
      <c r="R349">
        <v>1</v>
      </c>
      <c r="S349" t="s">
        <v>38</v>
      </c>
      <c r="T349">
        <v>7</v>
      </c>
      <c r="U349">
        <v>0.7</v>
      </c>
      <c r="V349">
        <v>13.6</v>
      </c>
      <c r="W349" t="s">
        <v>38</v>
      </c>
      <c r="X349" t="s">
        <v>52</v>
      </c>
      <c r="Y349" t="s">
        <v>38</v>
      </c>
      <c r="Z349" t="s">
        <v>179</v>
      </c>
      <c r="AA349" t="s">
        <v>82</v>
      </c>
      <c r="AB349" t="s">
        <v>55</v>
      </c>
      <c r="AC349">
        <f t="shared" si="55"/>
        <v>1</v>
      </c>
      <c r="AD349" s="12">
        <f t="shared" si="59"/>
        <v>0</v>
      </c>
      <c r="AE349" s="12">
        <f t="shared" si="60"/>
        <v>0</v>
      </c>
      <c r="AF349">
        <f t="shared" si="56"/>
        <v>0</v>
      </c>
      <c r="AG349">
        <f t="shared" si="61"/>
        <v>1</v>
      </c>
      <c r="AH349">
        <f t="shared" si="62"/>
        <v>0</v>
      </c>
      <c r="AI349">
        <f t="shared" si="63"/>
        <v>0</v>
      </c>
      <c r="AJ349">
        <f t="shared" si="64"/>
        <v>1</v>
      </c>
      <c r="AK349">
        <f t="shared" si="57"/>
        <v>0</v>
      </c>
      <c r="AL349">
        <f t="shared" si="65"/>
        <v>1</v>
      </c>
    </row>
    <row r="350" spans="1:38">
      <c r="A350" t="s">
        <v>1177</v>
      </c>
      <c r="B350" t="s">
        <v>1178</v>
      </c>
      <c r="C350" s="1">
        <f t="shared" si="58"/>
        <v>45323</v>
      </c>
      <c r="D350" t="s">
        <v>1179</v>
      </c>
      <c r="E350">
        <v>157</v>
      </c>
      <c r="F350">
        <v>6.5</v>
      </c>
      <c r="G350" t="s">
        <v>30</v>
      </c>
      <c r="H350" t="s">
        <v>47</v>
      </c>
      <c r="I350" t="s">
        <v>48</v>
      </c>
      <c r="J350">
        <v>120</v>
      </c>
      <c r="K350" t="s">
        <v>33</v>
      </c>
      <c r="L350" t="s">
        <v>96</v>
      </c>
      <c r="M350" t="s">
        <v>35</v>
      </c>
      <c r="N350" t="s">
        <v>72</v>
      </c>
      <c r="O350" t="s">
        <v>7232</v>
      </c>
      <c r="P350" t="s">
        <v>39</v>
      </c>
      <c r="Q350" t="s">
        <v>38</v>
      </c>
      <c r="R350">
        <v>0</v>
      </c>
      <c r="S350" t="s">
        <v>38</v>
      </c>
      <c r="T350">
        <v>7</v>
      </c>
      <c r="U350">
        <v>3.8</v>
      </c>
      <c r="V350">
        <v>2.1</v>
      </c>
      <c r="W350" t="s">
        <v>39</v>
      </c>
      <c r="X350" t="s">
        <v>63</v>
      </c>
      <c r="Y350" t="s">
        <v>39</v>
      </c>
      <c r="Z350" t="s">
        <v>41</v>
      </c>
      <c r="AA350" t="s">
        <v>54</v>
      </c>
      <c r="AB350" t="s">
        <v>83</v>
      </c>
      <c r="AC350">
        <f t="shared" si="55"/>
        <v>0</v>
      </c>
      <c r="AD350" s="12">
        <f t="shared" si="59"/>
        <v>1</v>
      </c>
      <c r="AE350" s="12">
        <f t="shared" si="60"/>
        <v>0</v>
      </c>
      <c r="AF350">
        <f t="shared" si="56"/>
        <v>0</v>
      </c>
      <c r="AG350">
        <f t="shared" si="61"/>
        <v>1</v>
      </c>
      <c r="AH350">
        <f t="shared" si="62"/>
        <v>1</v>
      </c>
      <c r="AI350">
        <f t="shared" si="63"/>
        <v>0</v>
      </c>
      <c r="AJ350">
        <f t="shared" si="64"/>
        <v>0</v>
      </c>
      <c r="AK350">
        <f t="shared" si="57"/>
        <v>1</v>
      </c>
      <c r="AL350">
        <f t="shared" si="65"/>
        <v>0</v>
      </c>
    </row>
    <row r="351" spans="1:38">
      <c r="A351" t="s">
        <v>1180</v>
      </c>
      <c r="B351" t="s">
        <v>1181</v>
      </c>
      <c r="C351" s="1">
        <f t="shared" si="58"/>
        <v>45413</v>
      </c>
      <c r="D351" t="s">
        <v>1182</v>
      </c>
      <c r="E351">
        <v>102.5</v>
      </c>
      <c r="F351">
        <v>4.3</v>
      </c>
      <c r="G351" t="s">
        <v>101</v>
      </c>
      <c r="H351" t="s">
        <v>295</v>
      </c>
      <c r="I351" t="s">
        <v>48</v>
      </c>
      <c r="J351">
        <v>120</v>
      </c>
      <c r="K351" t="s">
        <v>49</v>
      </c>
      <c r="L351" t="s">
        <v>34</v>
      </c>
      <c r="M351" t="s">
        <v>35</v>
      </c>
      <c r="N351" t="s">
        <v>89</v>
      </c>
      <c r="O351" t="s">
        <v>51</v>
      </c>
      <c r="P351" t="s">
        <v>39</v>
      </c>
      <c r="Q351" t="s">
        <v>38</v>
      </c>
      <c r="R351">
        <v>0</v>
      </c>
      <c r="S351" t="s">
        <v>38</v>
      </c>
      <c r="T351">
        <v>6</v>
      </c>
      <c r="U351">
        <v>5</v>
      </c>
      <c r="V351">
        <v>22.2</v>
      </c>
      <c r="W351" t="s">
        <v>39</v>
      </c>
      <c r="X351" t="s">
        <v>123</v>
      </c>
      <c r="Y351" t="s">
        <v>38</v>
      </c>
      <c r="Z351" t="s">
        <v>108</v>
      </c>
      <c r="AA351" t="s">
        <v>42</v>
      </c>
      <c r="AB351" t="s">
        <v>83</v>
      </c>
      <c r="AC351">
        <f t="shared" si="55"/>
        <v>0</v>
      </c>
      <c r="AD351" s="12">
        <f t="shared" si="59"/>
        <v>0</v>
      </c>
      <c r="AE351" s="12">
        <f t="shared" si="60"/>
        <v>1</v>
      </c>
      <c r="AF351">
        <f t="shared" si="56"/>
        <v>1</v>
      </c>
      <c r="AG351">
        <f t="shared" si="61"/>
        <v>0</v>
      </c>
      <c r="AH351">
        <f t="shared" si="62"/>
        <v>1</v>
      </c>
      <c r="AI351">
        <f t="shared" si="63"/>
        <v>0</v>
      </c>
      <c r="AJ351">
        <f t="shared" si="64"/>
        <v>0</v>
      </c>
      <c r="AK351">
        <f t="shared" si="57"/>
        <v>0</v>
      </c>
      <c r="AL351">
        <f t="shared" si="65"/>
        <v>1</v>
      </c>
    </row>
    <row r="352" spans="1:38">
      <c r="A352" t="s">
        <v>1183</v>
      </c>
      <c r="B352" t="s">
        <v>1184</v>
      </c>
      <c r="C352" s="1">
        <f t="shared" si="58"/>
        <v>45566</v>
      </c>
      <c r="D352" t="s">
        <v>1185</v>
      </c>
      <c r="E352">
        <v>220.2</v>
      </c>
      <c r="F352">
        <v>9.1999999999999993</v>
      </c>
      <c r="G352" t="s">
        <v>87</v>
      </c>
      <c r="H352" t="s">
        <v>183</v>
      </c>
      <c r="I352" t="s">
        <v>32</v>
      </c>
      <c r="J352">
        <v>240</v>
      </c>
      <c r="K352" t="s">
        <v>49</v>
      </c>
      <c r="L352" t="s">
        <v>70</v>
      </c>
      <c r="M352" t="s">
        <v>71</v>
      </c>
      <c r="N352" t="s">
        <v>50</v>
      </c>
      <c r="O352" t="s">
        <v>51</v>
      </c>
      <c r="P352" t="s">
        <v>38</v>
      </c>
      <c r="Q352" t="s">
        <v>39</v>
      </c>
      <c r="R352">
        <v>3</v>
      </c>
      <c r="S352" t="s">
        <v>38</v>
      </c>
      <c r="T352">
        <v>7</v>
      </c>
      <c r="U352">
        <v>2.2999999999999998</v>
      </c>
      <c r="V352">
        <v>18.7</v>
      </c>
      <c r="W352" t="s">
        <v>39</v>
      </c>
      <c r="X352" t="s">
        <v>52</v>
      </c>
      <c r="Y352" t="s">
        <v>39</v>
      </c>
      <c r="Z352" t="s">
        <v>108</v>
      </c>
      <c r="AA352" t="s">
        <v>54</v>
      </c>
      <c r="AB352" t="s">
        <v>43</v>
      </c>
      <c r="AC352">
        <f t="shared" si="55"/>
        <v>1</v>
      </c>
      <c r="AD352" s="12">
        <f t="shared" si="59"/>
        <v>0</v>
      </c>
      <c r="AE352" s="12">
        <f t="shared" si="60"/>
        <v>0</v>
      </c>
      <c r="AF352">
        <f t="shared" si="56"/>
        <v>1</v>
      </c>
      <c r="AG352">
        <f t="shared" si="61"/>
        <v>0</v>
      </c>
      <c r="AH352">
        <f t="shared" si="62"/>
        <v>0</v>
      </c>
      <c r="AI352">
        <f t="shared" si="63"/>
        <v>0</v>
      </c>
      <c r="AJ352">
        <f t="shared" si="64"/>
        <v>1</v>
      </c>
      <c r="AK352">
        <f t="shared" si="57"/>
        <v>0</v>
      </c>
      <c r="AL352">
        <f t="shared" si="65"/>
        <v>0</v>
      </c>
    </row>
    <row r="353" spans="1:38">
      <c r="A353" t="s">
        <v>1186</v>
      </c>
      <c r="B353" t="s">
        <v>1187</v>
      </c>
      <c r="C353" s="1">
        <f t="shared" si="58"/>
        <v>45474</v>
      </c>
      <c r="D353" t="s">
        <v>1188</v>
      </c>
      <c r="E353">
        <v>527.9</v>
      </c>
      <c r="F353">
        <v>22</v>
      </c>
      <c r="G353" t="s">
        <v>30</v>
      </c>
      <c r="H353" t="s">
        <v>31</v>
      </c>
      <c r="I353" t="s">
        <v>79</v>
      </c>
      <c r="J353">
        <v>360</v>
      </c>
      <c r="K353" t="s">
        <v>33</v>
      </c>
      <c r="L353" t="s">
        <v>34</v>
      </c>
      <c r="M353" t="s">
        <v>35</v>
      </c>
      <c r="N353" t="s">
        <v>80</v>
      </c>
      <c r="O353" t="s">
        <v>51</v>
      </c>
      <c r="P353" t="s">
        <v>39</v>
      </c>
      <c r="Q353" t="s">
        <v>38</v>
      </c>
      <c r="R353">
        <v>0</v>
      </c>
      <c r="S353" t="s">
        <v>39</v>
      </c>
      <c r="T353">
        <v>7</v>
      </c>
      <c r="U353">
        <v>2.9</v>
      </c>
      <c r="V353">
        <v>33.799999999999997</v>
      </c>
      <c r="W353" t="s">
        <v>38</v>
      </c>
      <c r="X353" t="s">
        <v>63</v>
      </c>
      <c r="Y353" t="s">
        <v>39</v>
      </c>
      <c r="Z353" t="s">
        <v>179</v>
      </c>
      <c r="AA353" t="s">
        <v>109</v>
      </c>
      <c r="AB353" t="s">
        <v>83</v>
      </c>
      <c r="AC353">
        <f t="shared" si="55"/>
        <v>0</v>
      </c>
      <c r="AD353" s="12">
        <f t="shared" si="59"/>
        <v>1</v>
      </c>
      <c r="AE353" s="12">
        <f t="shared" si="60"/>
        <v>0</v>
      </c>
      <c r="AF353">
        <f t="shared" si="56"/>
        <v>1</v>
      </c>
      <c r="AG353">
        <f t="shared" si="61"/>
        <v>0</v>
      </c>
      <c r="AH353">
        <f t="shared" si="62"/>
        <v>0</v>
      </c>
      <c r="AI353">
        <f t="shared" si="63"/>
        <v>0</v>
      </c>
      <c r="AJ353">
        <f t="shared" si="64"/>
        <v>0</v>
      </c>
      <c r="AK353">
        <f t="shared" si="57"/>
        <v>1</v>
      </c>
      <c r="AL353">
        <f t="shared" si="65"/>
        <v>0</v>
      </c>
    </row>
    <row r="354" spans="1:38">
      <c r="A354" t="s">
        <v>1189</v>
      </c>
      <c r="B354" t="s">
        <v>1190</v>
      </c>
      <c r="C354" s="1">
        <f t="shared" si="58"/>
        <v>45627</v>
      </c>
      <c r="D354" t="s">
        <v>1191</v>
      </c>
      <c r="E354">
        <v>490.1</v>
      </c>
      <c r="F354">
        <v>20.399999999999999</v>
      </c>
      <c r="G354" t="s">
        <v>77</v>
      </c>
      <c r="H354" t="s">
        <v>78</v>
      </c>
      <c r="I354" t="s">
        <v>32</v>
      </c>
      <c r="J354">
        <v>240</v>
      </c>
      <c r="K354" t="s">
        <v>33</v>
      </c>
      <c r="L354" t="s">
        <v>96</v>
      </c>
      <c r="M354" t="s">
        <v>35</v>
      </c>
      <c r="N354" t="s">
        <v>220</v>
      </c>
      <c r="O354" t="s">
        <v>7232</v>
      </c>
      <c r="P354" t="s">
        <v>39</v>
      </c>
      <c r="Q354" t="s">
        <v>38</v>
      </c>
      <c r="R354">
        <v>0</v>
      </c>
      <c r="S354" t="s">
        <v>38</v>
      </c>
      <c r="T354">
        <v>6</v>
      </c>
      <c r="U354">
        <v>4.5999999999999996</v>
      </c>
      <c r="V354">
        <v>9.4</v>
      </c>
      <c r="W354" t="s">
        <v>39</v>
      </c>
      <c r="X354" t="s">
        <v>40</v>
      </c>
      <c r="Y354" t="s">
        <v>38</v>
      </c>
      <c r="Z354" t="s">
        <v>64</v>
      </c>
      <c r="AA354" t="s">
        <v>109</v>
      </c>
      <c r="AB354" t="s">
        <v>83</v>
      </c>
      <c r="AC354">
        <f t="shared" si="55"/>
        <v>0</v>
      </c>
      <c r="AD354" s="12">
        <f t="shared" si="59"/>
        <v>0</v>
      </c>
      <c r="AE354" s="12">
        <f t="shared" si="60"/>
        <v>0</v>
      </c>
      <c r="AF354">
        <f t="shared" si="56"/>
        <v>0</v>
      </c>
      <c r="AG354">
        <f t="shared" si="61"/>
        <v>1</v>
      </c>
      <c r="AH354">
        <f t="shared" si="62"/>
        <v>0</v>
      </c>
      <c r="AI354">
        <f t="shared" si="63"/>
        <v>0</v>
      </c>
      <c r="AJ354">
        <f t="shared" si="64"/>
        <v>1</v>
      </c>
      <c r="AK354">
        <f t="shared" si="57"/>
        <v>0</v>
      </c>
      <c r="AL354">
        <f t="shared" si="65"/>
        <v>1</v>
      </c>
    </row>
    <row r="355" spans="1:38">
      <c r="A355" t="s">
        <v>1192</v>
      </c>
      <c r="B355" t="s">
        <v>1193</v>
      </c>
      <c r="C355" s="1">
        <f t="shared" si="58"/>
        <v>45292</v>
      </c>
      <c r="D355" t="s">
        <v>1194</v>
      </c>
      <c r="E355">
        <v>130.19999999999999</v>
      </c>
      <c r="F355">
        <v>5.4</v>
      </c>
      <c r="G355" t="s">
        <v>87</v>
      </c>
      <c r="H355" t="s">
        <v>88</v>
      </c>
      <c r="I355" t="s">
        <v>48</v>
      </c>
      <c r="J355">
        <v>120</v>
      </c>
      <c r="K355" t="s">
        <v>33</v>
      </c>
      <c r="L355" t="s">
        <v>70</v>
      </c>
      <c r="M355" t="s">
        <v>35</v>
      </c>
      <c r="N355" t="s">
        <v>114</v>
      </c>
      <c r="O355" t="s">
        <v>7232</v>
      </c>
      <c r="P355" t="s">
        <v>38</v>
      </c>
      <c r="Q355" t="s">
        <v>38</v>
      </c>
      <c r="R355">
        <v>1</v>
      </c>
      <c r="S355" t="s">
        <v>39</v>
      </c>
      <c r="T355">
        <v>3</v>
      </c>
      <c r="U355">
        <v>1.4</v>
      </c>
      <c r="V355">
        <v>27.6</v>
      </c>
      <c r="W355" t="s">
        <v>39</v>
      </c>
      <c r="X355" t="s">
        <v>63</v>
      </c>
      <c r="Y355" t="s">
        <v>38</v>
      </c>
      <c r="Z355" t="s">
        <v>179</v>
      </c>
      <c r="AA355" t="s">
        <v>54</v>
      </c>
      <c r="AB355" t="s">
        <v>55</v>
      </c>
      <c r="AC355">
        <f t="shared" si="55"/>
        <v>0</v>
      </c>
      <c r="AD355" s="12">
        <f t="shared" si="59"/>
        <v>1</v>
      </c>
      <c r="AE355" s="12">
        <f t="shared" si="60"/>
        <v>0</v>
      </c>
      <c r="AF355">
        <f t="shared" si="56"/>
        <v>0</v>
      </c>
      <c r="AG355">
        <f t="shared" si="61"/>
        <v>1</v>
      </c>
      <c r="AH355">
        <f t="shared" si="62"/>
        <v>1</v>
      </c>
      <c r="AI355">
        <f t="shared" si="63"/>
        <v>0</v>
      </c>
      <c r="AJ355">
        <f t="shared" si="64"/>
        <v>0</v>
      </c>
      <c r="AK355">
        <f t="shared" si="57"/>
        <v>0</v>
      </c>
      <c r="AL355">
        <f t="shared" si="65"/>
        <v>1</v>
      </c>
    </row>
    <row r="356" spans="1:38">
      <c r="A356" t="s">
        <v>1195</v>
      </c>
      <c r="B356" t="s">
        <v>1196</v>
      </c>
      <c r="C356" s="1">
        <f t="shared" si="58"/>
        <v>45383</v>
      </c>
      <c r="D356" t="s">
        <v>1197</v>
      </c>
      <c r="E356">
        <v>167.4</v>
      </c>
      <c r="F356">
        <v>7</v>
      </c>
      <c r="G356" t="s">
        <v>101</v>
      </c>
      <c r="H356" t="s">
        <v>442</v>
      </c>
      <c r="I356" t="s">
        <v>48</v>
      </c>
      <c r="J356">
        <v>120</v>
      </c>
      <c r="K356" t="s">
        <v>33</v>
      </c>
      <c r="L356" t="s">
        <v>113</v>
      </c>
      <c r="M356" t="s">
        <v>35</v>
      </c>
      <c r="N356" t="s">
        <v>168</v>
      </c>
      <c r="O356" t="s">
        <v>7232</v>
      </c>
      <c r="P356" t="s">
        <v>39</v>
      </c>
      <c r="Q356" t="s">
        <v>38</v>
      </c>
      <c r="R356">
        <v>0</v>
      </c>
      <c r="S356" t="s">
        <v>38</v>
      </c>
      <c r="T356">
        <v>8</v>
      </c>
      <c r="U356">
        <v>3.3</v>
      </c>
      <c r="V356">
        <v>33.5</v>
      </c>
      <c r="W356" t="s">
        <v>38</v>
      </c>
      <c r="X356" t="s">
        <v>123</v>
      </c>
      <c r="Y356" t="s">
        <v>39</v>
      </c>
      <c r="Z356" t="s">
        <v>73</v>
      </c>
      <c r="AA356" t="s">
        <v>103</v>
      </c>
      <c r="AB356" t="s">
        <v>55</v>
      </c>
      <c r="AC356">
        <f t="shared" si="55"/>
        <v>0</v>
      </c>
      <c r="AD356" s="12">
        <f t="shared" si="59"/>
        <v>0</v>
      </c>
      <c r="AE356" s="12">
        <f t="shared" si="60"/>
        <v>1</v>
      </c>
      <c r="AF356">
        <f t="shared" si="56"/>
        <v>0</v>
      </c>
      <c r="AG356">
        <f t="shared" si="61"/>
        <v>1</v>
      </c>
      <c r="AH356">
        <f t="shared" si="62"/>
        <v>1</v>
      </c>
      <c r="AI356">
        <f t="shared" si="63"/>
        <v>0</v>
      </c>
      <c r="AJ356">
        <f t="shared" si="64"/>
        <v>0</v>
      </c>
      <c r="AK356">
        <f t="shared" si="57"/>
        <v>0</v>
      </c>
      <c r="AL356">
        <f t="shared" si="65"/>
        <v>0</v>
      </c>
    </row>
    <row r="357" spans="1:38">
      <c r="A357" t="s">
        <v>1198</v>
      </c>
      <c r="B357" t="s">
        <v>1199</v>
      </c>
      <c r="C357" s="1">
        <f t="shared" si="58"/>
        <v>45566</v>
      </c>
      <c r="D357" t="s">
        <v>1200</v>
      </c>
      <c r="E357">
        <v>107.2</v>
      </c>
      <c r="F357">
        <v>4.5</v>
      </c>
      <c r="G357" t="s">
        <v>87</v>
      </c>
      <c r="H357" t="s">
        <v>88</v>
      </c>
      <c r="I357" t="s">
        <v>48</v>
      </c>
      <c r="J357">
        <v>120</v>
      </c>
      <c r="K357" t="s">
        <v>49</v>
      </c>
      <c r="L357" t="s">
        <v>96</v>
      </c>
      <c r="M357" t="s">
        <v>35</v>
      </c>
      <c r="N357" t="s">
        <v>89</v>
      </c>
      <c r="O357" t="s">
        <v>51</v>
      </c>
      <c r="P357" t="s">
        <v>38</v>
      </c>
      <c r="Q357" t="s">
        <v>38</v>
      </c>
      <c r="R357">
        <v>1</v>
      </c>
      <c r="S357" t="s">
        <v>39</v>
      </c>
      <c r="T357">
        <v>9</v>
      </c>
      <c r="U357">
        <v>3.7</v>
      </c>
      <c r="V357">
        <v>36.299999999999997</v>
      </c>
      <c r="W357" t="s">
        <v>39</v>
      </c>
      <c r="X357" t="s">
        <v>123</v>
      </c>
      <c r="Y357" t="s">
        <v>38</v>
      </c>
      <c r="Z357" t="s">
        <v>81</v>
      </c>
      <c r="AA357" t="s">
        <v>42</v>
      </c>
      <c r="AB357" t="s">
        <v>55</v>
      </c>
      <c r="AC357">
        <f t="shared" si="55"/>
        <v>0</v>
      </c>
      <c r="AD357" s="12">
        <f t="shared" si="59"/>
        <v>0</v>
      </c>
      <c r="AE357" s="12">
        <f t="shared" si="60"/>
        <v>1</v>
      </c>
      <c r="AF357">
        <f t="shared" si="56"/>
        <v>1</v>
      </c>
      <c r="AG357">
        <f t="shared" si="61"/>
        <v>0</v>
      </c>
      <c r="AH357">
        <f t="shared" si="62"/>
        <v>1</v>
      </c>
      <c r="AI357">
        <f t="shared" si="63"/>
        <v>0</v>
      </c>
      <c r="AJ357">
        <f t="shared" si="64"/>
        <v>0</v>
      </c>
      <c r="AK357">
        <f t="shared" si="57"/>
        <v>0</v>
      </c>
      <c r="AL357">
        <f t="shared" si="65"/>
        <v>1</v>
      </c>
    </row>
    <row r="358" spans="1:38">
      <c r="A358" t="s">
        <v>1201</v>
      </c>
      <c r="B358" t="s">
        <v>1202</v>
      </c>
      <c r="C358" s="1">
        <f t="shared" si="58"/>
        <v>45352</v>
      </c>
      <c r="D358" t="s">
        <v>1203</v>
      </c>
      <c r="E358">
        <v>249.4</v>
      </c>
      <c r="F358">
        <v>10.4</v>
      </c>
      <c r="G358" t="s">
        <v>30</v>
      </c>
      <c r="H358" t="s">
        <v>31</v>
      </c>
      <c r="I358" t="s">
        <v>79</v>
      </c>
      <c r="J358">
        <v>360</v>
      </c>
      <c r="K358" t="s">
        <v>49</v>
      </c>
      <c r="L358" t="s">
        <v>70</v>
      </c>
      <c r="M358" t="s">
        <v>35</v>
      </c>
      <c r="N358" t="s">
        <v>97</v>
      </c>
      <c r="O358" t="s">
        <v>7232</v>
      </c>
      <c r="P358" t="s">
        <v>39</v>
      </c>
      <c r="Q358" t="s">
        <v>38</v>
      </c>
      <c r="R358">
        <v>0</v>
      </c>
      <c r="S358" t="s">
        <v>38</v>
      </c>
      <c r="T358">
        <v>8</v>
      </c>
      <c r="U358">
        <v>3.7</v>
      </c>
      <c r="V358">
        <v>23.1</v>
      </c>
      <c r="W358" t="s">
        <v>38</v>
      </c>
      <c r="X358" t="s">
        <v>63</v>
      </c>
      <c r="Y358" t="s">
        <v>39</v>
      </c>
      <c r="Z358" t="s">
        <v>81</v>
      </c>
      <c r="AA358" t="s">
        <v>54</v>
      </c>
      <c r="AB358" t="s">
        <v>55</v>
      </c>
      <c r="AC358">
        <f t="shared" si="55"/>
        <v>0</v>
      </c>
      <c r="AD358" s="12">
        <f t="shared" si="59"/>
        <v>1</v>
      </c>
      <c r="AE358" s="12">
        <f t="shared" si="60"/>
        <v>0</v>
      </c>
      <c r="AF358">
        <f t="shared" si="56"/>
        <v>0</v>
      </c>
      <c r="AG358">
        <f t="shared" si="61"/>
        <v>1</v>
      </c>
      <c r="AH358">
        <f t="shared" si="62"/>
        <v>0</v>
      </c>
      <c r="AI358">
        <f t="shared" si="63"/>
        <v>0</v>
      </c>
      <c r="AJ358">
        <f t="shared" si="64"/>
        <v>0</v>
      </c>
      <c r="AK358">
        <f t="shared" si="57"/>
        <v>1</v>
      </c>
      <c r="AL358">
        <f t="shared" si="65"/>
        <v>0</v>
      </c>
    </row>
    <row r="359" spans="1:38">
      <c r="A359" t="s">
        <v>1204</v>
      </c>
      <c r="B359" t="s">
        <v>1205</v>
      </c>
      <c r="C359" s="1">
        <f t="shared" si="58"/>
        <v>45413</v>
      </c>
      <c r="D359" t="s">
        <v>1206</v>
      </c>
      <c r="E359">
        <v>210.9</v>
      </c>
      <c r="F359">
        <v>8.8000000000000007</v>
      </c>
      <c r="G359" t="s">
        <v>142</v>
      </c>
      <c r="H359" t="s">
        <v>729</v>
      </c>
      <c r="I359" t="s">
        <v>32</v>
      </c>
      <c r="J359">
        <v>240</v>
      </c>
      <c r="K359" t="s">
        <v>49</v>
      </c>
      <c r="L359" t="s">
        <v>113</v>
      </c>
      <c r="M359" t="s">
        <v>71</v>
      </c>
      <c r="N359" t="s">
        <v>192</v>
      </c>
      <c r="O359" t="s">
        <v>37</v>
      </c>
      <c r="P359" t="s">
        <v>38</v>
      </c>
      <c r="Q359" t="s">
        <v>39</v>
      </c>
      <c r="R359">
        <v>1</v>
      </c>
      <c r="S359" t="s">
        <v>38</v>
      </c>
      <c r="T359">
        <v>6</v>
      </c>
      <c r="U359">
        <v>1.4</v>
      </c>
      <c r="V359">
        <v>0</v>
      </c>
      <c r="W359" t="s">
        <v>38</v>
      </c>
      <c r="X359" t="s">
        <v>123</v>
      </c>
      <c r="Y359" t="s">
        <v>39</v>
      </c>
      <c r="Z359" t="s">
        <v>64</v>
      </c>
      <c r="AA359" t="s">
        <v>109</v>
      </c>
      <c r="AB359" t="s">
        <v>55</v>
      </c>
      <c r="AC359">
        <f t="shared" si="55"/>
        <v>0</v>
      </c>
      <c r="AD359" s="12">
        <f t="shared" si="59"/>
        <v>0</v>
      </c>
      <c r="AE359" s="12">
        <f t="shared" si="60"/>
        <v>1</v>
      </c>
      <c r="AF359">
        <f t="shared" si="56"/>
        <v>0</v>
      </c>
      <c r="AG359">
        <f t="shared" si="61"/>
        <v>0</v>
      </c>
      <c r="AH359">
        <f t="shared" si="62"/>
        <v>0</v>
      </c>
      <c r="AI359">
        <f t="shared" si="63"/>
        <v>0</v>
      </c>
      <c r="AJ359">
        <f t="shared" si="64"/>
        <v>1</v>
      </c>
      <c r="AK359">
        <f t="shared" si="57"/>
        <v>0</v>
      </c>
      <c r="AL359">
        <f t="shared" si="65"/>
        <v>0</v>
      </c>
    </row>
    <row r="360" spans="1:38">
      <c r="A360" t="s">
        <v>1207</v>
      </c>
      <c r="B360" t="s">
        <v>1208</v>
      </c>
      <c r="C360" s="1">
        <f t="shared" si="58"/>
        <v>45474</v>
      </c>
      <c r="D360" t="s">
        <v>1209</v>
      </c>
      <c r="E360">
        <v>667.6</v>
      </c>
      <c r="F360">
        <v>27.8</v>
      </c>
      <c r="G360" t="s">
        <v>93</v>
      </c>
      <c r="H360" t="s">
        <v>291</v>
      </c>
      <c r="I360" t="s">
        <v>79</v>
      </c>
      <c r="J360">
        <v>360</v>
      </c>
      <c r="K360" t="s">
        <v>33</v>
      </c>
      <c r="L360" t="s">
        <v>70</v>
      </c>
      <c r="M360" t="s">
        <v>35</v>
      </c>
      <c r="N360" t="s">
        <v>107</v>
      </c>
      <c r="O360" t="s">
        <v>7232</v>
      </c>
      <c r="P360" t="s">
        <v>38</v>
      </c>
      <c r="Q360" t="s">
        <v>38</v>
      </c>
      <c r="R360">
        <v>1</v>
      </c>
      <c r="S360" t="s">
        <v>38</v>
      </c>
      <c r="T360">
        <v>8</v>
      </c>
      <c r="U360">
        <v>2.7</v>
      </c>
      <c r="V360">
        <v>26.4</v>
      </c>
      <c r="W360" t="s">
        <v>39</v>
      </c>
      <c r="X360" t="s">
        <v>63</v>
      </c>
      <c r="Y360" t="s">
        <v>39</v>
      </c>
      <c r="Z360" t="s">
        <v>179</v>
      </c>
      <c r="AA360" t="s">
        <v>54</v>
      </c>
      <c r="AB360" t="s">
        <v>83</v>
      </c>
      <c r="AC360">
        <f t="shared" si="55"/>
        <v>0</v>
      </c>
      <c r="AD360" s="12">
        <f t="shared" si="59"/>
        <v>1</v>
      </c>
      <c r="AE360" s="12">
        <f t="shared" si="60"/>
        <v>0</v>
      </c>
      <c r="AF360">
        <f t="shared" si="56"/>
        <v>0</v>
      </c>
      <c r="AG360">
        <f t="shared" si="61"/>
        <v>1</v>
      </c>
      <c r="AH360">
        <f t="shared" si="62"/>
        <v>0</v>
      </c>
      <c r="AI360">
        <f t="shared" si="63"/>
        <v>0</v>
      </c>
      <c r="AJ360">
        <f t="shared" si="64"/>
        <v>0</v>
      </c>
      <c r="AK360">
        <f t="shared" si="57"/>
        <v>0</v>
      </c>
      <c r="AL360">
        <f t="shared" si="65"/>
        <v>0</v>
      </c>
    </row>
    <row r="361" spans="1:38">
      <c r="A361" t="s">
        <v>1210</v>
      </c>
      <c r="B361" t="s">
        <v>1211</v>
      </c>
      <c r="C361" s="1">
        <f t="shared" si="58"/>
        <v>45413</v>
      </c>
      <c r="D361" t="s">
        <v>1212</v>
      </c>
      <c r="E361">
        <v>125.5</v>
      </c>
      <c r="F361">
        <v>5.2</v>
      </c>
      <c r="G361" t="s">
        <v>77</v>
      </c>
      <c r="H361" t="s">
        <v>244</v>
      </c>
      <c r="I361" t="s">
        <v>48</v>
      </c>
      <c r="J361">
        <v>120</v>
      </c>
      <c r="K361" t="s">
        <v>33</v>
      </c>
      <c r="L361" t="s">
        <v>70</v>
      </c>
      <c r="M361" t="s">
        <v>35</v>
      </c>
      <c r="N361" t="s">
        <v>138</v>
      </c>
      <c r="O361" t="s">
        <v>7232</v>
      </c>
      <c r="P361" t="s">
        <v>39</v>
      </c>
      <c r="Q361" t="s">
        <v>38</v>
      </c>
      <c r="R361">
        <v>0</v>
      </c>
      <c r="S361" t="s">
        <v>38</v>
      </c>
      <c r="T361">
        <v>8</v>
      </c>
      <c r="U361">
        <v>5.8</v>
      </c>
      <c r="V361">
        <v>4.7</v>
      </c>
      <c r="W361" t="s">
        <v>39</v>
      </c>
      <c r="X361" t="s">
        <v>40</v>
      </c>
      <c r="Y361" t="s">
        <v>39</v>
      </c>
      <c r="Z361" t="s">
        <v>41</v>
      </c>
      <c r="AA361" t="s">
        <v>109</v>
      </c>
      <c r="AB361" t="s">
        <v>83</v>
      </c>
      <c r="AC361">
        <f t="shared" si="55"/>
        <v>0</v>
      </c>
      <c r="AD361" s="12">
        <f t="shared" si="59"/>
        <v>0</v>
      </c>
      <c r="AE361" s="12">
        <f t="shared" si="60"/>
        <v>0</v>
      </c>
      <c r="AF361">
        <f t="shared" si="56"/>
        <v>0</v>
      </c>
      <c r="AG361">
        <f t="shared" si="61"/>
        <v>1</v>
      </c>
      <c r="AH361">
        <f t="shared" si="62"/>
        <v>1</v>
      </c>
      <c r="AI361">
        <f t="shared" si="63"/>
        <v>0</v>
      </c>
      <c r="AJ361">
        <f t="shared" si="64"/>
        <v>0</v>
      </c>
      <c r="AK361">
        <f t="shared" si="57"/>
        <v>0</v>
      </c>
      <c r="AL361">
        <f t="shared" si="65"/>
        <v>0</v>
      </c>
    </row>
    <row r="362" spans="1:38">
      <c r="A362" t="s">
        <v>1213</v>
      </c>
      <c r="B362" t="s">
        <v>1214</v>
      </c>
      <c r="C362" s="1">
        <f t="shared" si="58"/>
        <v>45536</v>
      </c>
      <c r="D362" t="s">
        <v>1215</v>
      </c>
      <c r="E362">
        <v>71.5</v>
      </c>
      <c r="F362">
        <v>3</v>
      </c>
      <c r="G362" t="s">
        <v>87</v>
      </c>
      <c r="H362" t="s">
        <v>183</v>
      </c>
      <c r="I362" t="s">
        <v>95</v>
      </c>
      <c r="J362">
        <v>48</v>
      </c>
      <c r="K362" t="s">
        <v>33</v>
      </c>
      <c r="L362" t="s">
        <v>96</v>
      </c>
      <c r="M362" t="s">
        <v>71</v>
      </c>
      <c r="N362" t="s">
        <v>144</v>
      </c>
      <c r="O362" t="s">
        <v>7232</v>
      </c>
      <c r="P362" t="s">
        <v>38</v>
      </c>
      <c r="Q362" t="s">
        <v>39</v>
      </c>
      <c r="R362">
        <v>3</v>
      </c>
      <c r="S362" t="s">
        <v>39</v>
      </c>
      <c r="T362">
        <v>3</v>
      </c>
      <c r="U362">
        <v>1.5</v>
      </c>
      <c r="V362">
        <v>7.2</v>
      </c>
      <c r="W362" t="s">
        <v>39</v>
      </c>
      <c r="X362" t="s">
        <v>123</v>
      </c>
      <c r="Y362" t="s">
        <v>39</v>
      </c>
      <c r="Z362" t="s">
        <v>41</v>
      </c>
      <c r="AA362" t="s">
        <v>103</v>
      </c>
      <c r="AB362" t="s">
        <v>55</v>
      </c>
      <c r="AC362">
        <f t="shared" si="55"/>
        <v>0</v>
      </c>
      <c r="AD362" s="12">
        <f t="shared" si="59"/>
        <v>0</v>
      </c>
      <c r="AE362" s="12">
        <f t="shared" si="60"/>
        <v>1</v>
      </c>
      <c r="AF362">
        <f t="shared" si="56"/>
        <v>0</v>
      </c>
      <c r="AG362">
        <f t="shared" si="61"/>
        <v>1</v>
      </c>
      <c r="AH362">
        <f t="shared" si="62"/>
        <v>0</v>
      </c>
      <c r="AI362">
        <f t="shared" si="63"/>
        <v>1</v>
      </c>
      <c r="AJ362">
        <f t="shared" si="64"/>
        <v>0</v>
      </c>
      <c r="AK362">
        <f t="shared" si="57"/>
        <v>0</v>
      </c>
      <c r="AL362">
        <f t="shared" si="65"/>
        <v>0</v>
      </c>
    </row>
    <row r="363" spans="1:38">
      <c r="A363" t="s">
        <v>1216</v>
      </c>
      <c r="B363" t="s">
        <v>1217</v>
      </c>
      <c r="C363" s="1">
        <f t="shared" si="58"/>
        <v>45292</v>
      </c>
      <c r="D363" t="s">
        <v>1218</v>
      </c>
      <c r="E363">
        <v>148.6</v>
      </c>
      <c r="F363">
        <v>6.2</v>
      </c>
      <c r="G363" t="s">
        <v>30</v>
      </c>
      <c r="H363" t="s">
        <v>31</v>
      </c>
      <c r="I363" t="s">
        <v>32</v>
      </c>
      <c r="J363">
        <v>240</v>
      </c>
      <c r="K363" t="s">
        <v>49</v>
      </c>
      <c r="L363" t="s">
        <v>34</v>
      </c>
      <c r="M363" t="s">
        <v>35</v>
      </c>
      <c r="N363" t="s">
        <v>202</v>
      </c>
      <c r="O363" t="s">
        <v>7232</v>
      </c>
      <c r="P363" t="s">
        <v>38</v>
      </c>
      <c r="Q363" t="s">
        <v>38</v>
      </c>
      <c r="R363">
        <v>1</v>
      </c>
      <c r="S363" t="s">
        <v>39</v>
      </c>
      <c r="T363">
        <v>8</v>
      </c>
      <c r="U363">
        <v>3.8</v>
      </c>
      <c r="V363">
        <v>35.6</v>
      </c>
      <c r="W363" t="s">
        <v>39</v>
      </c>
      <c r="X363" t="s">
        <v>40</v>
      </c>
      <c r="Y363" t="s">
        <v>39</v>
      </c>
      <c r="Z363" t="s">
        <v>73</v>
      </c>
      <c r="AA363" t="s">
        <v>103</v>
      </c>
      <c r="AB363" t="s">
        <v>83</v>
      </c>
      <c r="AC363">
        <f t="shared" si="55"/>
        <v>0</v>
      </c>
      <c r="AD363" s="12">
        <f t="shared" si="59"/>
        <v>0</v>
      </c>
      <c r="AE363" s="12">
        <f t="shared" si="60"/>
        <v>0</v>
      </c>
      <c r="AF363">
        <f t="shared" si="56"/>
        <v>0</v>
      </c>
      <c r="AG363">
        <f t="shared" si="61"/>
        <v>1</v>
      </c>
      <c r="AH363">
        <f t="shared" si="62"/>
        <v>0</v>
      </c>
      <c r="AI363">
        <f t="shared" si="63"/>
        <v>0</v>
      </c>
      <c r="AJ363">
        <f t="shared" si="64"/>
        <v>1</v>
      </c>
      <c r="AK363">
        <f t="shared" si="57"/>
        <v>1</v>
      </c>
      <c r="AL363">
        <f t="shared" si="65"/>
        <v>0</v>
      </c>
    </row>
    <row r="364" spans="1:38">
      <c r="A364" t="s">
        <v>1219</v>
      </c>
      <c r="B364" t="s">
        <v>1220</v>
      </c>
      <c r="C364" s="1">
        <f t="shared" si="58"/>
        <v>45536</v>
      </c>
      <c r="D364" t="s">
        <v>1221</v>
      </c>
      <c r="E364">
        <v>449.2</v>
      </c>
      <c r="F364">
        <v>18.7</v>
      </c>
      <c r="G364" t="s">
        <v>77</v>
      </c>
      <c r="H364" t="s">
        <v>187</v>
      </c>
      <c r="I364" t="s">
        <v>79</v>
      </c>
      <c r="J364">
        <v>360</v>
      </c>
      <c r="K364" t="s">
        <v>33</v>
      </c>
      <c r="L364" t="s">
        <v>96</v>
      </c>
      <c r="M364" t="s">
        <v>35</v>
      </c>
      <c r="N364" t="s">
        <v>134</v>
      </c>
      <c r="O364" t="s">
        <v>7232</v>
      </c>
      <c r="P364" t="s">
        <v>39</v>
      </c>
      <c r="Q364" t="s">
        <v>38</v>
      </c>
      <c r="R364">
        <v>0</v>
      </c>
      <c r="S364" t="s">
        <v>38</v>
      </c>
      <c r="T364">
        <v>7</v>
      </c>
      <c r="U364">
        <v>1.4</v>
      </c>
      <c r="V364">
        <v>24.3</v>
      </c>
      <c r="W364" t="s">
        <v>39</v>
      </c>
      <c r="X364" t="s">
        <v>52</v>
      </c>
      <c r="Y364" t="s">
        <v>39</v>
      </c>
      <c r="Z364" t="s">
        <v>115</v>
      </c>
      <c r="AA364" t="s">
        <v>82</v>
      </c>
      <c r="AB364" t="s">
        <v>43</v>
      </c>
      <c r="AC364">
        <f t="shared" si="55"/>
        <v>1</v>
      </c>
      <c r="AD364" s="12">
        <f t="shared" si="59"/>
        <v>0</v>
      </c>
      <c r="AE364" s="12">
        <f t="shared" si="60"/>
        <v>0</v>
      </c>
      <c r="AF364">
        <f t="shared" si="56"/>
        <v>0</v>
      </c>
      <c r="AG364">
        <f t="shared" si="61"/>
        <v>1</v>
      </c>
      <c r="AH364">
        <f t="shared" si="62"/>
        <v>0</v>
      </c>
      <c r="AI364">
        <f t="shared" si="63"/>
        <v>0</v>
      </c>
      <c r="AJ364">
        <f t="shared" si="64"/>
        <v>0</v>
      </c>
      <c r="AK364">
        <f t="shared" si="57"/>
        <v>0</v>
      </c>
      <c r="AL364">
        <f t="shared" si="65"/>
        <v>0</v>
      </c>
    </row>
    <row r="365" spans="1:38">
      <c r="A365" t="s">
        <v>1222</v>
      </c>
      <c r="B365" t="s">
        <v>1223</v>
      </c>
      <c r="C365" s="1">
        <f t="shared" si="58"/>
        <v>45566</v>
      </c>
      <c r="D365" t="s">
        <v>1224</v>
      </c>
      <c r="E365">
        <v>356.6</v>
      </c>
      <c r="F365">
        <v>14.9</v>
      </c>
      <c r="G365" t="s">
        <v>59</v>
      </c>
      <c r="H365" t="s">
        <v>466</v>
      </c>
      <c r="I365" t="s">
        <v>48</v>
      </c>
      <c r="J365">
        <v>120</v>
      </c>
      <c r="K365" t="s">
        <v>33</v>
      </c>
      <c r="L365" t="s">
        <v>96</v>
      </c>
      <c r="M365" t="s">
        <v>35</v>
      </c>
      <c r="N365" t="s">
        <v>36</v>
      </c>
      <c r="O365" t="s">
        <v>7232</v>
      </c>
      <c r="P365" t="s">
        <v>38</v>
      </c>
      <c r="Q365" t="s">
        <v>38</v>
      </c>
      <c r="R365">
        <v>1</v>
      </c>
      <c r="S365" t="s">
        <v>38</v>
      </c>
      <c r="T365">
        <v>8</v>
      </c>
      <c r="U365">
        <v>0.8</v>
      </c>
      <c r="V365">
        <v>11.2</v>
      </c>
      <c r="W365" t="s">
        <v>38</v>
      </c>
      <c r="X365" t="s">
        <v>52</v>
      </c>
      <c r="Y365" t="s">
        <v>39</v>
      </c>
      <c r="Z365" t="s">
        <v>41</v>
      </c>
      <c r="AA365" t="s">
        <v>82</v>
      </c>
      <c r="AB365" t="s">
        <v>83</v>
      </c>
      <c r="AC365">
        <f t="shared" si="55"/>
        <v>1</v>
      </c>
      <c r="AD365" s="12">
        <f t="shared" si="59"/>
        <v>0</v>
      </c>
      <c r="AE365" s="12">
        <f t="shared" si="60"/>
        <v>0</v>
      </c>
      <c r="AF365">
        <f t="shared" si="56"/>
        <v>0</v>
      </c>
      <c r="AG365">
        <f t="shared" si="61"/>
        <v>1</v>
      </c>
      <c r="AH365">
        <f t="shared" si="62"/>
        <v>1</v>
      </c>
      <c r="AI365">
        <f t="shared" si="63"/>
        <v>0</v>
      </c>
      <c r="AJ365">
        <f t="shared" si="64"/>
        <v>0</v>
      </c>
      <c r="AK365">
        <f t="shared" si="57"/>
        <v>0</v>
      </c>
      <c r="AL365">
        <f t="shared" si="65"/>
        <v>0</v>
      </c>
    </row>
    <row r="366" spans="1:38">
      <c r="A366" t="s">
        <v>1225</v>
      </c>
      <c r="B366" t="s">
        <v>1226</v>
      </c>
      <c r="C366" s="1">
        <f t="shared" si="58"/>
        <v>45292</v>
      </c>
      <c r="D366" t="s">
        <v>1227</v>
      </c>
      <c r="E366">
        <v>79.5</v>
      </c>
      <c r="F366">
        <v>3.3</v>
      </c>
      <c r="G366" t="s">
        <v>101</v>
      </c>
      <c r="H366" t="s">
        <v>368</v>
      </c>
      <c r="I366" t="s">
        <v>48</v>
      </c>
      <c r="J366">
        <v>120</v>
      </c>
      <c r="K366" t="s">
        <v>49</v>
      </c>
      <c r="L366" t="s">
        <v>96</v>
      </c>
      <c r="M366" t="s">
        <v>35</v>
      </c>
      <c r="N366" t="s">
        <v>89</v>
      </c>
      <c r="O366" t="s">
        <v>51</v>
      </c>
      <c r="P366" t="s">
        <v>39</v>
      </c>
      <c r="Q366" t="s">
        <v>38</v>
      </c>
      <c r="R366">
        <v>0</v>
      </c>
      <c r="S366" t="s">
        <v>38</v>
      </c>
      <c r="T366">
        <v>8</v>
      </c>
      <c r="U366">
        <v>3.9</v>
      </c>
      <c r="V366">
        <v>27.2</v>
      </c>
      <c r="W366" t="s">
        <v>39</v>
      </c>
      <c r="X366" t="s">
        <v>52</v>
      </c>
      <c r="Y366" t="s">
        <v>39</v>
      </c>
      <c r="Z366" t="s">
        <v>53</v>
      </c>
      <c r="AA366" t="s">
        <v>42</v>
      </c>
      <c r="AB366" t="s">
        <v>83</v>
      </c>
      <c r="AC366">
        <f t="shared" si="55"/>
        <v>1</v>
      </c>
      <c r="AD366" s="12">
        <f t="shared" si="59"/>
        <v>0</v>
      </c>
      <c r="AE366" s="12">
        <f t="shared" si="60"/>
        <v>0</v>
      </c>
      <c r="AF366">
        <f t="shared" si="56"/>
        <v>1</v>
      </c>
      <c r="AG366">
        <f t="shared" si="61"/>
        <v>0</v>
      </c>
      <c r="AH366">
        <f t="shared" si="62"/>
        <v>1</v>
      </c>
      <c r="AI366">
        <f t="shared" si="63"/>
        <v>0</v>
      </c>
      <c r="AJ366">
        <f t="shared" si="64"/>
        <v>0</v>
      </c>
      <c r="AK366">
        <f t="shared" si="57"/>
        <v>0</v>
      </c>
      <c r="AL366">
        <f t="shared" si="65"/>
        <v>0</v>
      </c>
    </row>
    <row r="367" spans="1:38">
      <c r="A367" t="s">
        <v>1228</v>
      </c>
      <c r="B367" t="s">
        <v>1229</v>
      </c>
      <c r="C367" s="1">
        <f t="shared" si="58"/>
        <v>45413</v>
      </c>
      <c r="D367" t="s">
        <v>1230</v>
      </c>
      <c r="E367">
        <v>152.9</v>
      </c>
      <c r="F367">
        <v>6.4</v>
      </c>
      <c r="G367" t="s">
        <v>59</v>
      </c>
      <c r="H367" t="s">
        <v>466</v>
      </c>
      <c r="I367" t="s">
        <v>48</v>
      </c>
      <c r="J367">
        <v>120</v>
      </c>
      <c r="K367" t="s">
        <v>33</v>
      </c>
      <c r="L367" t="s">
        <v>133</v>
      </c>
      <c r="M367" t="s">
        <v>71</v>
      </c>
      <c r="N367" t="s">
        <v>97</v>
      </c>
      <c r="O367" t="s">
        <v>51</v>
      </c>
      <c r="P367" t="s">
        <v>38</v>
      </c>
      <c r="Q367" t="s">
        <v>39</v>
      </c>
      <c r="R367">
        <v>4</v>
      </c>
      <c r="S367" t="s">
        <v>38</v>
      </c>
      <c r="T367">
        <v>6</v>
      </c>
      <c r="U367">
        <v>2.5</v>
      </c>
      <c r="V367">
        <v>41.5</v>
      </c>
      <c r="W367" t="s">
        <v>38</v>
      </c>
      <c r="X367" t="s">
        <v>52</v>
      </c>
      <c r="Y367" t="s">
        <v>39</v>
      </c>
      <c r="Z367" t="s">
        <v>81</v>
      </c>
      <c r="AA367" t="s">
        <v>103</v>
      </c>
      <c r="AB367" t="s">
        <v>43</v>
      </c>
      <c r="AC367">
        <f t="shared" si="55"/>
        <v>1</v>
      </c>
      <c r="AD367" s="12">
        <f t="shared" si="59"/>
        <v>0</v>
      </c>
      <c r="AE367" s="12">
        <f t="shared" si="60"/>
        <v>0</v>
      </c>
      <c r="AF367">
        <f t="shared" si="56"/>
        <v>1</v>
      </c>
      <c r="AG367">
        <f t="shared" si="61"/>
        <v>0</v>
      </c>
      <c r="AH367">
        <f t="shared" si="62"/>
        <v>1</v>
      </c>
      <c r="AI367">
        <f t="shared" si="63"/>
        <v>0</v>
      </c>
      <c r="AJ367">
        <f t="shared" si="64"/>
        <v>0</v>
      </c>
      <c r="AK367">
        <f t="shared" si="57"/>
        <v>0</v>
      </c>
      <c r="AL367">
        <f t="shared" si="65"/>
        <v>0</v>
      </c>
    </row>
    <row r="368" spans="1:38">
      <c r="A368" t="s">
        <v>1231</v>
      </c>
      <c r="B368" t="s">
        <v>1232</v>
      </c>
      <c r="C368" s="1">
        <f t="shared" si="58"/>
        <v>45444</v>
      </c>
      <c r="D368" t="s">
        <v>1233</v>
      </c>
      <c r="E368">
        <v>217.6</v>
      </c>
      <c r="F368">
        <v>9.1</v>
      </c>
      <c r="G368" t="s">
        <v>101</v>
      </c>
      <c r="H368" t="s">
        <v>442</v>
      </c>
      <c r="I368" t="s">
        <v>32</v>
      </c>
      <c r="J368">
        <v>240</v>
      </c>
      <c r="K368" t="s">
        <v>49</v>
      </c>
      <c r="L368" t="s">
        <v>34</v>
      </c>
      <c r="M368" t="s">
        <v>35</v>
      </c>
      <c r="N368" t="s">
        <v>119</v>
      </c>
      <c r="O368" t="s">
        <v>7232</v>
      </c>
      <c r="P368" t="s">
        <v>38</v>
      </c>
      <c r="Q368" t="s">
        <v>38</v>
      </c>
      <c r="R368">
        <v>1</v>
      </c>
      <c r="S368" t="s">
        <v>39</v>
      </c>
      <c r="T368">
        <v>9</v>
      </c>
      <c r="U368">
        <v>1.5</v>
      </c>
      <c r="V368">
        <v>19.899999999999999</v>
      </c>
      <c r="W368" t="s">
        <v>39</v>
      </c>
      <c r="X368" t="s">
        <v>52</v>
      </c>
      <c r="Y368" t="s">
        <v>38</v>
      </c>
      <c r="Z368" t="s">
        <v>73</v>
      </c>
      <c r="AA368" t="s">
        <v>54</v>
      </c>
      <c r="AB368" t="s">
        <v>55</v>
      </c>
      <c r="AC368">
        <f t="shared" si="55"/>
        <v>1</v>
      </c>
      <c r="AD368" s="12">
        <f t="shared" si="59"/>
        <v>0</v>
      </c>
      <c r="AE368" s="12">
        <f t="shared" si="60"/>
        <v>0</v>
      </c>
      <c r="AF368">
        <f t="shared" si="56"/>
        <v>0</v>
      </c>
      <c r="AG368">
        <f t="shared" si="61"/>
        <v>1</v>
      </c>
      <c r="AH368">
        <f t="shared" si="62"/>
        <v>0</v>
      </c>
      <c r="AI368">
        <f t="shared" si="63"/>
        <v>0</v>
      </c>
      <c r="AJ368">
        <f t="shared" si="64"/>
        <v>1</v>
      </c>
      <c r="AK368">
        <f t="shared" si="57"/>
        <v>0</v>
      </c>
      <c r="AL368">
        <f t="shared" si="65"/>
        <v>1</v>
      </c>
    </row>
    <row r="369" spans="1:38">
      <c r="A369" t="s">
        <v>1234</v>
      </c>
      <c r="B369" t="s">
        <v>1235</v>
      </c>
      <c r="C369" s="1">
        <f t="shared" si="58"/>
        <v>45627</v>
      </c>
      <c r="D369" t="s">
        <v>1236</v>
      </c>
      <c r="E369">
        <v>198.3</v>
      </c>
      <c r="F369">
        <v>8.3000000000000007</v>
      </c>
      <c r="G369" t="s">
        <v>59</v>
      </c>
      <c r="H369" t="s">
        <v>132</v>
      </c>
      <c r="I369" t="s">
        <v>32</v>
      </c>
      <c r="J369">
        <v>240</v>
      </c>
      <c r="K369" t="s">
        <v>49</v>
      </c>
      <c r="L369" t="s">
        <v>96</v>
      </c>
      <c r="M369" t="s">
        <v>71</v>
      </c>
      <c r="N369" t="s">
        <v>134</v>
      </c>
      <c r="O369" t="s">
        <v>51</v>
      </c>
      <c r="P369" t="s">
        <v>38</v>
      </c>
      <c r="Q369" t="s">
        <v>39</v>
      </c>
      <c r="R369">
        <v>3</v>
      </c>
      <c r="S369" t="s">
        <v>38</v>
      </c>
      <c r="T369">
        <v>10</v>
      </c>
      <c r="U369">
        <v>2.1</v>
      </c>
      <c r="V369">
        <v>30.4</v>
      </c>
      <c r="W369" t="s">
        <v>38</v>
      </c>
      <c r="X369" t="s">
        <v>63</v>
      </c>
      <c r="Y369" t="s">
        <v>38</v>
      </c>
      <c r="Z369" t="s">
        <v>108</v>
      </c>
      <c r="AA369" t="s">
        <v>109</v>
      </c>
      <c r="AB369" t="s">
        <v>83</v>
      </c>
      <c r="AC369">
        <f t="shared" si="55"/>
        <v>0</v>
      </c>
      <c r="AD369" s="12">
        <f t="shared" si="59"/>
        <v>1</v>
      </c>
      <c r="AE369" s="12">
        <f t="shared" si="60"/>
        <v>0</v>
      </c>
      <c r="AF369">
        <f t="shared" si="56"/>
        <v>1</v>
      </c>
      <c r="AG369">
        <f t="shared" si="61"/>
        <v>0</v>
      </c>
      <c r="AH369">
        <f t="shared" si="62"/>
        <v>0</v>
      </c>
      <c r="AI369">
        <f t="shared" si="63"/>
        <v>0</v>
      </c>
      <c r="AJ369">
        <f t="shared" si="64"/>
        <v>1</v>
      </c>
      <c r="AK369">
        <f t="shared" si="57"/>
        <v>0</v>
      </c>
      <c r="AL369">
        <f t="shared" si="65"/>
        <v>1</v>
      </c>
    </row>
    <row r="370" spans="1:38">
      <c r="A370" t="s">
        <v>1237</v>
      </c>
      <c r="B370" t="s">
        <v>1238</v>
      </c>
      <c r="C370" s="1">
        <f t="shared" si="58"/>
        <v>45413</v>
      </c>
      <c r="D370" t="s">
        <v>1239</v>
      </c>
      <c r="E370">
        <v>161.69999999999999</v>
      </c>
      <c r="F370">
        <v>6.7</v>
      </c>
      <c r="G370" t="s">
        <v>93</v>
      </c>
      <c r="H370" t="s">
        <v>163</v>
      </c>
      <c r="I370" t="s">
        <v>32</v>
      </c>
      <c r="J370">
        <v>240</v>
      </c>
      <c r="K370" t="s">
        <v>49</v>
      </c>
      <c r="L370" t="s">
        <v>96</v>
      </c>
      <c r="M370" t="s">
        <v>35</v>
      </c>
      <c r="N370" t="s">
        <v>72</v>
      </c>
      <c r="O370" t="s">
        <v>37</v>
      </c>
      <c r="P370" t="s">
        <v>38</v>
      </c>
      <c r="Q370" t="s">
        <v>38</v>
      </c>
      <c r="R370">
        <v>1</v>
      </c>
      <c r="S370" t="s">
        <v>38</v>
      </c>
      <c r="T370">
        <v>5</v>
      </c>
      <c r="U370">
        <v>3.1</v>
      </c>
      <c r="V370">
        <v>4.4000000000000004</v>
      </c>
      <c r="W370" t="s">
        <v>39</v>
      </c>
      <c r="X370" t="s">
        <v>63</v>
      </c>
      <c r="Y370" t="s">
        <v>38</v>
      </c>
      <c r="Z370" t="s">
        <v>41</v>
      </c>
      <c r="AA370" t="s">
        <v>54</v>
      </c>
      <c r="AB370" t="s">
        <v>83</v>
      </c>
      <c r="AC370">
        <f t="shared" si="55"/>
        <v>0</v>
      </c>
      <c r="AD370" s="12">
        <f t="shared" si="59"/>
        <v>1</v>
      </c>
      <c r="AE370" s="12">
        <f t="shared" si="60"/>
        <v>0</v>
      </c>
      <c r="AF370">
        <f t="shared" si="56"/>
        <v>0</v>
      </c>
      <c r="AG370">
        <f t="shared" si="61"/>
        <v>0</v>
      </c>
      <c r="AH370">
        <f t="shared" si="62"/>
        <v>0</v>
      </c>
      <c r="AI370">
        <f t="shared" si="63"/>
        <v>0</v>
      </c>
      <c r="AJ370">
        <f t="shared" si="64"/>
        <v>1</v>
      </c>
      <c r="AK370">
        <f t="shared" si="57"/>
        <v>0</v>
      </c>
      <c r="AL370">
        <f t="shared" si="65"/>
        <v>1</v>
      </c>
    </row>
    <row r="371" spans="1:38">
      <c r="A371" t="s">
        <v>1240</v>
      </c>
      <c r="B371" t="s">
        <v>1241</v>
      </c>
      <c r="C371" s="1">
        <f t="shared" si="58"/>
        <v>45352</v>
      </c>
      <c r="D371" t="s">
        <v>1242</v>
      </c>
      <c r="E371">
        <v>253.3</v>
      </c>
      <c r="F371">
        <v>10.6</v>
      </c>
      <c r="G371" t="s">
        <v>93</v>
      </c>
      <c r="H371" t="s">
        <v>94</v>
      </c>
      <c r="I371" t="s">
        <v>79</v>
      </c>
      <c r="J371">
        <v>360</v>
      </c>
      <c r="K371" t="s">
        <v>49</v>
      </c>
      <c r="L371" t="s">
        <v>96</v>
      </c>
      <c r="M371" t="s">
        <v>35</v>
      </c>
      <c r="N371" t="s">
        <v>50</v>
      </c>
      <c r="O371" t="s">
        <v>7232</v>
      </c>
      <c r="P371" t="s">
        <v>38</v>
      </c>
      <c r="Q371" t="s">
        <v>38</v>
      </c>
      <c r="R371">
        <v>1</v>
      </c>
      <c r="S371" t="s">
        <v>39</v>
      </c>
      <c r="T371">
        <v>5</v>
      </c>
      <c r="U371">
        <v>5.5</v>
      </c>
      <c r="V371">
        <v>15.1</v>
      </c>
      <c r="W371" t="s">
        <v>39</v>
      </c>
      <c r="X371" t="s">
        <v>123</v>
      </c>
      <c r="Y371" t="s">
        <v>39</v>
      </c>
      <c r="Z371" t="s">
        <v>115</v>
      </c>
      <c r="AA371" t="s">
        <v>103</v>
      </c>
      <c r="AB371" t="s">
        <v>83</v>
      </c>
      <c r="AC371">
        <f t="shared" si="55"/>
        <v>0</v>
      </c>
      <c r="AD371" s="12">
        <f t="shared" si="59"/>
        <v>0</v>
      </c>
      <c r="AE371" s="12">
        <f t="shared" si="60"/>
        <v>1</v>
      </c>
      <c r="AF371">
        <f t="shared" si="56"/>
        <v>0</v>
      </c>
      <c r="AG371">
        <f t="shared" si="61"/>
        <v>1</v>
      </c>
      <c r="AH371">
        <f t="shared" si="62"/>
        <v>0</v>
      </c>
      <c r="AI371">
        <f t="shared" si="63"/>
        <v>0</v>
      </c>
      <c r="AJ371">
        <f t="shared" si="64"/>
        <v>0</v>
      </c>
      <c r="AK371">
        <f t="shared" si="57"/>
        <v>0</v>
      </c>
      <c r="AL371">
        <f t="shared" si="65"/>
        <v>0</v>
      </c>
    </row>
    <row r="372" spans="1:38">
      <c r="A372" t="s">
        <v>1243</v>
      </c>
      <c r="B372" t="s">
        <v>1244</v>
      </c>
      <c r="C372" s="1">
        <f t="shared" si="58"/>
        <v>45474</v>
      </c>
      <c r="D372" t="s">
        <v>1245</v>
      </c>
      <c r="E372">
        <v>160.19999999999999</v>
      </c>
      <c r="F372">
        <v>6.7</v>
      </c>
      <c r="G372" t="s">
        <v>101</v>
      </c>
      <c r="H372" t="s">
        <v>368</v>
      </c>
      <c r="I372" t="s">
        <v>48</v>
      </c>
      <c r="J372">
        <v>120</v>
      </c>
      <c r="K372" t="s">
        <v>33</v>
      </c>
      <c r="L372" t="s">
        <v>34</v>
      </c>
      <c r="M372" t="s">
        <v>35</v>
      </c>
      <c r="N372" t="s">
        <v>155</v>
      </c>
      <c r="O372" t="s">
        <v>7232</v>
      </c>
      <c r="P372" t="s">
        <v>38</v>
      </c>
      <c r="Q372" t="s">
        <v>38</v>
      </c>
      <c r="R372">
        <v>1</v>
      </c>
      <c r="S372" t="s">
        <v>38</v>
      </c>
      <c r="T372">
        <v>4</v>
      </c>
      <c r="U372">
        <v>4.4000000000000004</v>
      </c>
      <c r="V372">
        <v>44.6</v>
      </c>
      <c r="W372" t="s">
        <v>39</v>
      </c>
      <c r="X372" t="s">
        <v>52</v>
      </c>
      <c r="Y372" t="s">
        <v>38</v>
      </c>
      <c r="Z372" t="s">
        <v>73</v>
      </c>
      <c r="AA372" t="s">
        <v>109</v>
      </c>
      <c r="AB372" t="s">
        <v>55</v>
      </c>
      <c r="AC372">
        <f t="shared" si="55"/>
        <v>1</v>
      </c>
      <c r="AD372" s="12">
        <f t="shared" si="59"/>
        <v>0</v>
      </c>
      <c r="AE372" s="12">
        <f t="shared" si="60"/>
        <v>0</v>
      </c>
      <c r="AF372">
        <f t="shared" si="56"/>
        <v>0</v>
      </c>
      <c r="AG372">
        <f t="shared" si="61"/>
        <v>1</v>
      </c>
      <c r="AH372">
        <f t="shared" si="62"/>
        <v>1</v>
      </c>
      <c r="AI372">
        <f t="shared" si="63"/>
        <v>0</v>
      </c>
      <c r="AJ372">
        <f t="shared" si="64"/>
        <v>0</v>
      </c>
      <c r="AK372">
        <f t="shared" si="57"/>
        <v>0</v>
      </c>
      <c r="AL372">
        <f t="shared" si="65"/>
        <v>1</v>
      </c>
    </row>
    <row r="373" spans="1:38">
      <c r="A373" t="s">
        <v>1246</v>
      </c>
      <c r="B373" t="s">
        <v>1247</v>
      </c>
      <c r="C373" s="1">
        <f t="shared" si="58"/>
        <v>45536</v>
      </c>
      <c r="D373" t="s">
        <v>1248</v>
      </c>
      <c r="E373">
        <v>247.8</v>
      </c>
      <c r="F373">
        <v>10.3</v>
      </c>
      <c r="G373" t="s">
        <v>101</v>
      </c>
      <c r="H373" t="s">
        <v>102</v>
      </c>
      <c r="I373" t="s">
        <v>79</v>
      </c>
      <c r="J373">
        <v>360</v>
      </c>
      <c r="K373" t="s">
        <v>49</v>
      </c>
      <c r="L373" t="s">
        <v>96</v>
      </c>
      <c r="M373" t="s">
        <v>35</v>
      </c>
      <c r="N373" t="s">
        <v>299</v>
      </c>
      <c r="O373" t="s">
        <v>37</v>
      </c>
      <c r="P373" t="s">
        <v>38</v>
      </c>
      <c r="Q373" t="s">
        <v>38</v>
      </c>
      <c r="R373">
        <v>1</v>
      </c>
      <c r="S373" t="s">
        <v>38</v>
      </c>
      <c r="T373">
        <v>9</v>
      </c>
      <c r="U373">
        <v>2.5</v>
      </c>
      <c r="V373">
        <v>26.7</v>
      </c>
      <c r="W373" t="s">
        <v>39</v>
      </c>
      <c r="X373" t="s">
        <v>123</v>
      </c>
      <c r="Y373" t="s">
        <v>39</v>
      </c>
      <c r="Z373" t="s">
        <v>81</v>
      </c>
      <c r="AA373" t="s">
        <v>42</v>
      </c>
      <c r="AB373" t="s">
        <v>55</v>
      </c>
      <c r="AC373">
        <f t="shared" si="55"/>
        <v>0</v>
      </c>
      <c r="AD373" s="12">
        <f t="shared" si="59"/>
        <v>0</v>
      </c>
      <c r="AE373" s="12">
        <f t="shared" si="60"/>
        <v>1</v>
      </c>
      <c r="AF373">
        <f t="shared" si="56"/>
        <v>0</v>
      </c>
      <c r="AG373">
        <f t="shared" si="61"/>
        <v>0</v>
      </c>
      <c r="AH373">
        <f t="shared" si="62"/>
        <v>0</v>
      </c>
      <c r="AI373">
        <f t="shared" si="63"/>
        <v>0</v>
      </c>
      <c r="AJ373">
        <f t="shared" si="64"/>
        <v>0</v>
      </c>
      <c r="AK373">
        <f t="shared" si="57"/>
        <v>0</v>
      </c>
      <c r="AL373">
        <f t="shared" si="65"/>
        <v>0</v>
      </c>
    </row>
    <row r="374" spans="1:38">
      <c r="A374" t="s">
        <v>1249</v>
      </c>
      <c r="B374" t="s">
        <v>1250</v>
      </c>
      <c r="C374" s="1">
        <f t="shared" si="58"/>
        <v>45292</v>
      </c>
      <c r="D374" t="s">
        <v>1251</v>
      </c>
      <c r="E374">
        <v>441.6</v>
      </c>
      <c r="F374">
        <v>18.399999999999999</v>
      </c>
      <c r="G374" t="s">
        <v>87</v>
      </c>
      <c r="H374" t="s">
        <v>183</v>
      </c>
      <c r="I374" t="s">
        <v>32</v>
      </c>
      <c r="J374">
        <v>240</v>
      </c>
      <c r="K374" t="s">
        <v>33</v>
      </c>
      <c r="L374" t="s">
        <v>70</v>
      </c>
      <c r="M374" t="s">
        <v>35</v>
      </c>
      <c r="N374" t="s">
        <v>119</v>
      </c>
      <c r="O374" t="s">
        <v>7232</v>
      </c>
      <c r="P374" t="s">
        <v>38</v>
      </c>
      <c r="Q374" t="s">
        <v>38</v>
      </c>
      <c r="R374">
        <v>1</v>
      </c>
      <c r="S374" t="s">
        <v>38</v>
      </c>
      <c r="T374">
        <v>5</v>
      </c>
      <c r="U374">
        <v>1.6</v>
      </c>
      <c r="V374">
        <v>0</v>
      </c>
      <c r="W374" t="s">
        <v>38</v>
      </c>
      <c r="X374" t="s">
        <v>123</v>
      </c>
      <c r="Y374" t="s">
        <v>39</v>
      </c>
      <c r="Z374" t="s">
        <v>53</v>
      </c>
      <c r="AA374" t="s">
        <v>82</v>
      </c>
      <c r="AB374" t="s">
        <v>83</v>
      </c>
      <c r="AC374">
        <f t="shared" si="55"/>
        <v>0</v>
      </c>
      <c r="AD374" s="12">
        <f t="shared" si="59"/>
        <v>0</v>
      </c>
      <c r="AE374" s="12">
        <f t="shared" si="60"/>
        <v>1</v>
      </c>
      <c r="AF374">
        <f t="shared" si="56"/>
        <v>0</v>
      </c>
      <c r="AG374">
        <f t="shared" si="61"/>
        <v>1</v>
      </c>
      <c r="AH374">
        <f t="shared" si="62"/>
        <v>0</v>
      </c>
      <c r="AI374">
        <f t="shared" si="63"/>
        <v>0</v>
      </c>
      <c r="AJ374">
        <f t="shared" si="64"/>
        <v>1</v>
      </c>
      <c r="AK374">
        <f t="shared" si="57"/>
        <v>0</v>
      </c>
      <c r="AL374">
        <f t="shared" si="65"/>
        <v>0</v>
      </c>
    </row>
    <row r="375" spans="1:38">
      <c r="A375" t="s">
        <v>1252</v>
      </c>
      <c r="B375" t="s">
        <v>1253</v>
      </c>
      <c r="C375" s="1">
        <f t="shared" si="58"/>
        <v>45536</v>
      </c>
      <c r="D375" t="s">
        <v>1254</v>
      </c>
      <c r="E375">
        <v>83.2</v>
      </c>
      <c r="F375">
        <v>3.5</v>
      </c>
      <c r="G375" t="s">
        <v>87</v>
      </c>
      <c r="H375" t="s">
        <v>309</v>
      </c>
      <c r="I375" t="s">
        <v>48</v>
      </c>
      <c r="J375">
        <v>120</v>
      </c>
      <c r="K375" t="s">
        <v>49</v>
      </c>
      <c r="L375" t="s">
        <v>96</v>
      </c>
      <c r="M375" t="s">
        <v>35</v>
      </c>
      <c r="N375" t="s">
        <v>36</v>
      </c>
      <c r="O375" t="s">
        <v>37</v>
      </c>
      <c r="P375" t="s">
        <v>38</v>
      </c>
      <c r="Q375" t="s">
        <v>38</v>
      </c>
      <c r="R375">
        <v>1</v>
      </c>
      <c r="S375" t="s">
        <v>38</v>
      </c>
      <c r="T375">
        <v>10</v>
      </c>
      <c r="U375">
        <v>3.6</v>
      </c>
      <c r="V375">
        <v>16.7</v>
      </c>
      <c r="W375" t="s">
        <v>38</v>
      </c>
      <c r="X375" t="s">
        <v>63</v>
      </c>
      <c r="Y375" t="s">
        <v>39</v>
      </c>
      <c r="Z375" t="s">
        <v>108</v>
      </c>
      <c r="AA375" t="s">
        <v>82</v>
      </c>
      <c r="AB375" t="s">
        <v>83</v>
      </c>
      <c r="AC375">
        <f t="shared" si="55"/>
        <v>0</v>
      </c>
      <c r="AD375" s="12">
        <f t="shared" si="59"/>
        <v>1</v>
      </c>
      <c r="AE375" s="12">
        <f t="shared" si="60"/>
        <v>0</v>
      </c>
      <c r="AF375">
        <f t="shared" si="56"/>
        <v>0</v>
      </c>
      <c r="AG375">
        <f t="shared" si="61"/>
        <v>0</v>
      </c>
      <c r="AH375">
        <f t="shared" si="62"/>
        <v>1</v>
      </c>
      <c r="AI375">
        <f t="shared" si="63"/>
        <v>0</v>
      </c>
      <c r="AJ375">
        <f t="shared" si="64"/>
        <v>0</v>
      </c>
      <c r="AK375">
        <f t="shared" si="57"/>
        <v>0</v>
      </c>
      <c r="AL375">
        <f t="shared" si="65"/>
        <v>0</v>
      </c>
    </row>
    <row r="376" spans="1:38">
      <c r="A376" t="s">
        <v>1255</v>
      </c>
      <c r="B376" t="s">
        <v>1256</v>
      </c>
      <c r="C376" s="1">
        <f t="shared" si="58"/>
        <v>45413</v>
      </c>
      <c r="D376" t="s">
        <v>1257</v>
      </c>
      <c r="E376">
        <v>171.6</v>
      </c>
      <c r="F376">
        <v>7.2</v>
      </c>
      <c r="G376" t="s">
        <v>142</v>
      </c>
      <c r="H376" t="s">
        <v>260</v>
      </c>
      <c r="I376" t="s">
        <v>32</v>
      </c>
      <c r="J376">
        <v>240</v>
      </c>
      <c r="K376" t="s">
        <v>49</v>
      </c>
      <c r="L376" t="s">
        <v>70</v>
      </c>
      <c r="M376" t="s">
        <v>35</v>
      </c>
      <c r="N376" t="s">
        <v>220</v>
      </c>
      <c r="O376" t="s">
        <v>51</v>
      </c>
      <c r="P376" t="s">
        <v>38</v>
      </c>
      <c r="Q376" t="s">
        <v>38</v>
      </c>
      <c r="R376">
        <v>1</v>
      </c>
      <c r="S376" t="s">
        <v>39</v>
      </c>
      <c r="T376">
        <v>8</v>
      </c>
      <c r="U376">
        <v>1.9</v>
      </c>
      <c r="V376">
        <v>18.5</v>
      </c>
      <c r="W376" t="s">
        <v>38</v>
      </c>
      <c r="X376" t="s">
        <v>123</v>
      </c>
      <c r="Y376" t="s">
        <v>38</v>
      </c>
      <c r="Z376" t="s">
        <v>64</v>
      </c>
      <c r="AA376" t="s">
        <v>103</v>
      </c>
      <c r="AB376" t="s">
        <v>55</v>
      </c>
      <c r="AC376">
        <f t="shared" si="55"/>
        <v>0</v>
      </c>
      <c r="AD376" s="12">
        <f t="shared" si="59"/>
        <v>0</v>
      </c>
      <c r="AE376" s="12">
        <f t="shared" si="60"/>
        <v>1</v>
      </c>
      <c r="AF376">
        <f t="shared" si="56"/>
        <v>1</v>
      </c>
      <c r="AG376">
        <f t="shared" si="61"/>
        <v>0</v>
      </c>
      <c r="AH376">
        <f t="shared" si="62"/>
        <v>0</v>
      </c>
      <c r="AI376">
        <f t="shared" si="63"/>
        <v>0</v>
      </c>
      <c r="AJ376">
        <f t="shared" si="64"/>
        <v>1</v>
      </c>
      <c r="AK376">
        <f t="shared" si="57"/>
        <v>0</v>
      </c>
      <c r="AL376">
        <f t="shared" si="65"/>
        <v>1</v>
      </c>
    </row>
    <row r="377" spans="1:38">
      <c r="A377" t="s">
        <v>1258</v>
      </c>
      <c r="B377" t="s">
        <v>1259</v>
      </c>
      <c r="C377" s="1">
        <f t="shared" si="58"/>
        <v>45536</v>
      </c>
      <c r="D377" t="s">
        <v>1260</v>
      </c>
      <c r="E377">
        <v>41.3</v>
      </c>
      <c r="F377">
        <v>1.7</v>
      </c>
      <c r="G377" t="s">
        <v>142</v>
      </c>
      <c r="H377" t="s">
        <v>260</v>
      </c>
      <c r="I377" t="s">
        <v>95</v>
      </c>
      <c r="J377">
        <v>48</v>
      </c>
      <c r="K377" t="s">
        <v>49</v>
      </c>
      <c r="L377" t="s">
        <v>70</v>
      </c>
      <c r="M377" t="s">
        <v>71</v>
      </c>
      <c r="N377" t="s">
        <v>168</v>
      </c>
      <c r="O377" t="s">
        <v>7232</v>
      </c>
      <c r="P377" t="s">
        <v>38</v>
      </c>
      <c r="Q377" t="s">
        <v>39</v>
      </c>
      <c r="R377">
        <v>3</v>
      </c>
      <c r="S377" t="s">
        <v>38</v>
      </c>
      <c r="T377">
        <v>8</v>
      </c>
      <c r="U377">
        <v>2.4</v>
      </c>
      <c r="V377">
        <v>13</v>
      </c>
      <c r="W377" t="s">
        <v>39</v>
      </c>
      <c r="X377" t="s">
        <v>63</v>
      </c>
      <c r="Y377" t="s">
        <v>39</v>
      </c>
      <c r="Z377" t="s">
        <v>108</v>
      </c>
      <c r="AA377" t="s">
        <v>82</v>
      </c>
      <c r="AB377" t="s">
        <v>83</v>
      </c>
      <c r="AC377">
        <f t="shared" si="55"/>
        <v>0</v>
      </c>
      <c r="AD377" s="12">
        <f t="shared" si="59"/>
        <v>1</v>
      </c>
      <c r="AE377" s="12">
        <f t="shared" si="60"/>
        <v>0</v>
      </c>
      <c r="AF377">
        <f t="shared" si="56"/>
        <v>0</v>
      </c>
      <c r="AG377">
        <f t="shared" si="61"/>
        <v>1</v>
      </c>
      <c r="AH377">
        <f t="shared" si="62"/>
        <v>0</v>
      </c>
      <c r="AI377">
        <f t="shared" si="63"/>
        <v>1</v>
      </c>
      <c r="AJ377">
        <f t="shared" si="64"/>
        <v>0</v>
      </c>
      <c r="AK377">
        <f t="shared" si="57"/>
        <v>0</v>
      </c>
      <c r="AL377">
        <f t="shared" si="65"/>
        <v>0</v>
      </c>
    </row>
    <row r="378" spans="1:38">
      <c r="A378" t="s">
        <v>1261</v>
      </c>
      <c r="B378" t="s">
        <v>1262</v>
      </c>
      <c r="C378" s="1">
        <f t="shared" si="58"/>
        <v>45323</v>
      </c>
      <c r="D378" t="s">
        <v>1263</v>
      </c>
      <c r="E378">
        <v>880.5</v>
      </c>
      <c r="F378">
        <v>36.700000000000003</v>
      </c>
      <c r="G378" t="s">
        <v>77</v>
      </c>
      <c r="H378" t="s">
        <v>187</v>
      </c>
      <c r="I378" t="s">
        <v>79</v>
      </c>
      <c r="J378">
        <v>360</v>
      </c>
      <c r="K378" t="s">
        <v>33</v>
      </c>
      <c r="L378" t="s">
        <v>96</v>
      </c>
      <c r="M378" t="s">
        <v>35</v>
      </c>
      <c r="N378" t="s">
        <v>164</v>
      </c>
      <c r="O378" t="s">
        <v>37</v>
      </c>
      <c r="P378" t="s">
        <v>39</v>
      </c>
      <c r="Q378" t="s">
        <v>38</v>
      </c>
      <c r="R378">
        <v>0</v>
      </c>
      <c r="S378" t="s">
        <v>38</v>
      </c>
      <c r="T378">
        <v>9</v>
      </c>
      <c r="U378">
        <v>4.2</v>
      </c>
      <c r="V378">
        <v>28.2</v>
      </c>
      <c r="W378" t="s">
        <v>39</v>
      </c>
      <c r="X378" t="s">
        <v>63</v>
      </c>
      <c r="Y378" t="s">
        <v>39</v>
      </c>
      <c r="Z378" t="s">
        <v>115</v>
      </c>
      <c r="AA378" t="s">
        <v>82</v>
      </c>
      <c r="AB378" t="s">
        <v>43</v>
      </c>
      <c r="AC378">
        <f t="shared" si="55"/>
        <v>0</v>
      </c>
      <c r="AD378" s="12">
        <f t="shared" si="59"/>
        <v>1</v>
      </c>
      <c r="AE378" s="12">
        <f t="shared" si="60"/>
        <v>0</v>
      </c>
      <c r="AF378">
        <f t="shared" si="56"/>
        <v>0</v>
      </c>
      <c r="AG378">
        <f t="shared" si="61"/>
        <v>0</v>
      </c>
      <c r="AH378">
        <f t="shared" si="62"/>
        <v>0</v>
      </c>
      <c r="AI378">
        <f t="shared" si="63"/>
        <v>0</v>
      </c>
      <c r="AJ378">
        <f t="shared" si="64"/>
        <v>0</v>
      </c>
      <c r="AK378">
        <f t="shared" si="57"/>
        <v>0</v>
      </c>
      <c r="AL378">
        <f t="shared" si="65"/>
        <v>0</v>
      </c>
    </row>
    <row r="379" spans="1:38">
      <c r="A379" t="s">
        <v>1264</v>
      </c>
      <c r="B379" t="s">
        <v>1265</v>
      </c>
      <c r="C379" s="1">
        <f t="shared" si="58"/>
        <v>45323</v>
      </c>
      <c r="D379" t="s">
        <v>1266</v>
      </c>
      <c r="E379">
        <v>110</v>
      </c>
      <c r="F379">
        <v>4.5999999999999996</v>
      </c>
      <c r="G379" t="s">
        <v>59</v>
      </c>
      <c r="H379" t="s">
        <v>127</v>
      </c>
      <c r="I379" t="s">
        <v>48</v>
      </c>
      <c r="J379">
        <v>120</v>
      </c>
      <c r="K379" t="s">
        <v>49</v>
      </c>
      <c r="L379" t="s">
        <v>34</v>
      </c>
      <c r="M379" t="s">
        <v>71</v>
      </c>
      <c r="N379" t="s">
        <v>202</v>
      </c>
      <c r="O379" t="s">
        <v>51</v>
      </c>
      <c r="P379" t="s">
        <v>38</v>
      </c>
      <c r="Q379" t="s">
        <v>39</v>
      </c>
      <c r="R379">
        <v>3</v>
      </c>
      <c r="S379" t="s">
        <v>38</v>
      </c>
      <c r="T379">
        <v>8</v>
      </c>
      <c r="U379">
        <v>5.8</v>
      </c>
      <c r="V379">
        <v>16.7</v>
      </c>
      <c r="W379" t="s">
        <v>38</v>
      </c>
      <c r="X379" t="s">
        <v>63</v>
      </c>
      <c r="Y379" t="s">
        <v>38</v>
      </c>
      <c r="Z379" t="s">
        <v>179</v>
      </c>
      <c r="AA379" t="s">
        <v>54</v>
      </c>
      <c r="AB379" t="s">
        <v>55</v>
      </c>
      <c r="AC379">
        <f t="shared" si="55"/>
        <v>0</v>
      </c>
      <c r="AD379" s="12">
        <f t="shared" si="59"/>
        <v>1</v>
      </c>
      <c r="AE379" s="12">
        <f t="shared" si="60"/>
        <v>0</v>
      </c>
      <c r="AF379">
        <f t="shared" si="56"/>
        <v>1</v>
      </c>
      <c r="AG379">
        <f t="shared" si="61"/>
        <v>0</v>
      </c>
      <c r="AH379">
        <f t="shared" si="62"/>
        <v>1</v>
      </c>
      <c r="AI379">
        <f t="shared" si="63"/>
        <v>0</v>
      </c>
      <c r="AJ379">
        <f t="shared" si="64"/>
        <v>0</v>
      </c>
      <c r="AK379">
        <f t="shared" si="57"/>
        <v>0</v>
      </c>
      <c r="AL379">
        <f t="shared" si="65"/>
        <v>1</v>
      </c>
    </row>
    <row r="380" spans="1:38">
      <c r="A380" t="s">
        <v>1267</v>
      </c>
      <c r="B380" t="s">
        <v>1268</v>
      </c>
      <c r="C380" s="1">
        <f t="shared" si="58"/>
        <v>45413</v>
      </c>
      <c r="D380" t="s">
        <v>1269</v>
      </c>
      <c r="E380">
        <v>439</v>
      </c>
      <c r="F380">
        <v>18.3</v>
      </c>
      <c r="G380" t="s">
        <v>30</v>
      </c>
      <c r="H380" t="s">
        <v>172</v>
      </c>
      <c r="I380" t="s">
        <v>32</v>
      </c>
      <c r="J380">
        <v>240</v>
      </c>
      <c r="K380" t="s">
        <v>33</v>
      </c>
      <c r="L380" t="s">
        <v>70</v>
      </c>
      <c r="M380" t="s">
        <v>35</v>
      </c>
      <c r="N380" t="s">
        <v>202</v>
      </c>
      <c r="O380" t="s">
        <v>7232</v>
      </c>
      <c r="P380" t="s">
        <v>39</v>
      </c>
      <c r="Q380" t="s">
        <v>38</v>
      </c>
      <c r="R380">
        <v>0</v>
      </c>
      <c r="S380" t="s">
        <v>38</v>
      </c>
      <c r="T380">
        <v>6</v>
      </c>
      <c r="U380">
        <v>0.1</v>
      </c>
      <c r="V380">
        <v>32.9</v>
      </c>
      <c r="W380" t="s">
        <v>39</v>
      </c>
      <c r="X380" t="s">
        <v>123</v>
      </c>
      <c r="Y380" t="s">
        <v>39</v>
      </c>
      <c r="Z380" t="s">
        <v>81</v>
      </c>
      <c r="AA380" t="s">
        <v>109</v>
      </c>
      <c r="AB380" t="s">
        <v>83</v>
      </c>
      <c r="AC380">
        <f t="shared" si="55"/>
        <v>0</v>
      </c>
      <c r="AD380" s="12">
        <f t="shared" si="59"/>
        <v>0</v>
      </c>
      <c r="AE380" s="12">
        <f t="shared" si="60"/>
        <v>1</v>
      </c>
      <c r="AF380">
        <f t="shared" si="56"/>
        <v>0</v>
      </c>
      <c r="AG380">
        <f t="shared" si="61"/>
        <v>1</v>
      </c>
      <c r="AH380">
        <f t="shared" si="62"/>
        <v>0</v>
      </c>
      <c r="AI380">
        <f t="shared" si="63"/>
        <v>0</v>
      </c>
      <c r="AJ380">
        <f t="shared" si="64"/>
        <v>1</v>
      </c>
      <c r="AK380">
        <f t="shared" si="57"/>
        <v>1</v>
      </c>
      <c r="AL380">
        <f t="shared" si="65"/>
        <v>0</v>
      </c>
    </row>
    <row r="381" spans="1:38">
      <c r="A381" t="s">
        <v>1270</v>
      </c>
      <c r="B381" t="s">
        <v>1271</v>
      </c>
      <c r="C381" s="1">
        <f t="shared" si="58"/>
        <v>45627</v>
      </c>
      <c r="D381" t="s">
        <v>1272</v>
      </c>
      <c r="E381">
        <v>308.3</v>
      </c>
      <c r="F381">
        <v>12.8</v>
      </c>
      <c r="G381" t="s">
        <v>142</v>
      </c>
      <c r="H381" t="s">
        <v>240</v>
      </c>
      <c r="I381" t="s">
        <v>79</v>
      </c>
      <c r="J381">
        <v>360</v>
      </c>
      <c r="K381" t="s">
        <v>49</v>
      </c>
      <c r="L381" t="s">
        <v>96</v>
      </c>
      <c r="M381" t="s">
        <v>35</v>
      </c>
      <c r="N381" t="s">
        <v>72</v>
      </c>
      <c r="O381" t="s">
        <v>7232</v>
      </c>
      <c r="P381" t="s">
        <v>39</v>
      </c>
      <c r="Q381" t="s">
        <v>38</v>
      </c>
      <c r="R381">
        <v>0</v>
      </c>
      <c r="S381" t="s">
        <v>38</v>
      </c>
      <c r="T381">
        <v>10</v>
      </c>
      <c r="U381">
        <v>2.9</v>
      </c>
      <c r="V381">
        <v>24.7</v>
      </c>
      <c r="W381" t="s">
        <v>39</v>
      </c>
      <c r="X381" t="s">
        <v>52</v>
      </c>
      <c r="Y381" t="s">
        <v>39</v>
      </c>
      <c r="Z381" t="s">
        <v>108</v>
      </c>
      <c r="AA381" t="s">
        <v>54</v>
      </c>
      <c r="AB381" t="s">
        <v>55</v>
      </c>
      <c r="AC381">
        <f t="shared" si="55"/>
        <v>1</v>
      </c>
      <c r="AD381" s="12">
        <f t="shared" si="59"/>
        <v>0</v>
      </c>
      <c r="AE381" s="12">
        <f t="shared" si="60"/>
        <v>0</v>
      </c>
      <c r="AF381">
        <f t="shared" si="56"/>
        <v>0</v>
      </c>
      <c r="AG381">
        <f t="shared" si="61"/>
        <v>1</v>
      </c>
      <c r="AH381">
        <f t="shared" si="62"/>
        <v>0</v>
      </c>
      <c r="AI381">
        <f t="shared" si="63"/>
        <v>0</v>
      </c>
      <c r="AJ381">
        <f t="shared" si="64"/>
        <v>0</v>
      </c>
      <c r="AK381">
        <f t="shared" si="57"/>
        <v>0</v>
      </c>
      <c r="AL381">
        <f t="shared" si="65"/>
        <v>0</v>
      </c>
    </row>
    <row r="382" spans="1:38">
      <c r="A382" t="s">
        <v>1273</v>
      </c>
      <c r="B382" t="s">
        <v>1274</v>
      </c>
      <c r="C382" s="1">
        <f t="shared" si="58"/>
        <v>45292</v>
      </c>
      <c r="D382" t="s">
        <v>1275</v>
      </c>
      <c r="E382">
        <v>87.7</v>
      </c>
      <c r="F382">
        <v>3.7</v>
      </c>
      <c r="G382" t="s">
        <v>59</v>
      </c>
      <c r="H382" t="s">
        <v>132</v>
      </c>
      <c r="I382" t="s">
        <v>48</v>
      </c>
      <c r="J382">
        <v>120</v>
      </c>
      <c r="K382" t="s">
        <v>49</v>
      </c>
      <c r="L382" t="s">
        <v>96</v>
      </c>
      <c r="M382" t="s">
        <v>71</v>
      </c>
      <c r="N382" t="s">
        <v>277</v>
      </c>
      <c r="O382" t="s">
        <v>7232</v>
      </c>
      <c r="P382" t="s">
        <v>38</v>
      </c>
      <c r="Q382" t="s">
        <v>39</v>
      </c>
      <c r="R382">
        <v>1</v>
      </c>
      <c r="S382" t="s">
        <v>38</v>
      </c>
      <c r="T382">
        <v>8</v>
      </c>
      <c r="U382">
        <v>1.4</v>
      </c>
      <c r="V382">
        <v>20.3</v>
      </c>
      <c r="W382" t="s">
        <v>38</v>
      </c>
      <c r="X382" t="s">
        <v>40</v>
      </c>
      <c r="Y382" t="s">
        <v>39</v>
      </c>
      <c r="Z382" t="s">
        <v>41</v>
      </c>
      <c r="AA382" t="s">
        <v>109</v>
      </c>
      <c r="AB382" t="s">
        <v>55</v>
      </c>
      <c r="AC382">
        <f t="shared" si="55"/>
        <v>0</v>
      </c>
      <c r="AD382" s="12">
        <f t="shared" si="59"/>
        <v>0</v>
      </c>
      <c r="AE382" s="12">
        <f t="shared" si="60"/>
        <v>0</v>
      </c>
      <c r="AF382">
        <f t="shared" si="56"/>
        <v>0</v>
      </c>
      <c r="AG382">
        <f t="shared" si="61"/>
        <v>1</v>
      </c>
      <c r="AH382">
        <f t="shared" si="62"/>
        <v>1</v>
      </c>
      <c r="AI382">
        <f t="shared" si="63"/>
        <v>0</v>
      </c>
      <c r="AJ382">
        <f t="shared" si="64"/>
        <v>0</v>
      </c>
      <c r="AK382">
        <f t="shared" si="57"/>
        <v>0</v>
      </c>
      <c r="AL382">
        <f t="shared" si="65"/>
        <v>0</v>
      </c>
    </row>
    <row r="383" spans="1:38">
      <c r="A383" t="s">
        <v>1276</v>
      </c>
      <c r="B383" t="s">
        <v>1277</v>
      </c>
      <c r="C383" s="1">
        <f t="shared" si="58"/>
        <v>45413</v>
      </c>
      <c r="D383" t="s">
        <v>1278</v>
      </c>
      <c r="E383">
        <v>165.2</v>
      </c>
      <c r="F383">
        <v>6.9</v>
      </c>
      <c r="G383" t="s">
        <v>101</v>
      </c>
      <c r="H383" t="s">
        <v>442</v>
      </c>
      <c r="I383" t="s">
        <v>32</v>
      </c>
      <c r="J383">
        <v>240</v>
      </c>
      <c r="K383" t="s">
        <v>49</v>
      </c>
      <c r="L383" t="s">
        <v>34</v>
      </c>
      <c r="M383" t="s">
        <v>71</v>
      </c>
      <c r="N383" t="s">
        <v>144</v>
      </c>
      <c r="O383" t="s">
        <v>51</v>
      </c>
      <c r="P383" t="s">
        <v>38</v>
      </c>
      <c r="Q383" t="s">
        <v>39</v>
      </c>
      <c r="R383">
        <v>2</v>
      </c>
      <c r="S383" t="s">
        <v>38</v>
      </c>
      <c r="T383">
        <v>7</v>
      </c>
      <c r="U383">
        <v>1.1000000000000001</v>
      </c>
      <c r="V383">
        <v>30.3</v>
      </c>
      <c r="W383" t="s">
        <v>39</v>
      </c>
      <c r="X383" t="s">
        <v>63</v>
      </c>
      <c r="Y383" t="s">
        <v>38</v>
      </c>
      <c r="Z383" t="s">
        <v>108</v>
      </c>
      <c r="AA383" t="s">
        <v>103</v>
      </c>
      <c r="AB383" t="s">
        <v>55</v>
      </c>
      <c r="AC383">
        <f t="shared" si="55"/>
        <v>0</v>
      </c>
      <c r="AD383" s="12">
        <f t="shared" si="59"/>
        <v>1</v>
      </c>
      <c r="AE383" s="12">
        <f t="shared" si="60"/>
        <v>0</v>
      </c>
      <c r="AF383">
        <f t="shared" si="56"/>
        <v>1</v>
      </c>
      <c r="AG383">
        <f t="shared" si="61"/>
        <v>0</v>
      </c>
      <c r="AH383">
        <f t="shared" si="62"/>
        <v>0</v>
      </c>
      <c r="AI383">
        <f t="shared" si="63"/>
        <v>0</v>
      </c>
      <c r="AJ383">
        <f t="shared" si="64"/>
        <v>1</v>
      </c>
      <c r="AK383">
        <f t="shared" si="57"/>
        <v>0</v>
      </c>
      <c r="AL383">
        <f t="shared" si="65"/>
        <v>1</v>
      </c>
    </row>
    <row r="384" spans="1:38">
      <c r="A384" t="s">
        <v>1279</v>
      </c>
      <c r="B384" t="s">
        <v>1280</v>
      </c>
      <c r="C384" s="1">
        <f t="shared" si="58"/>
        <v>45627</v>
      </c>
      <c r="D384" t="s">
        <v>1281</v>
      </c>
      <c r="E384">
        <v>326.10000000000002</v>
      </c>
      <c r="F384">
        <v>13.6</v>
      </c>
      <c r="G384" t="s">
        <v>101</v>
      </c>
      <c r="H384" t="s">
        <v>295</v>
      </c>
      <c r="I384" t="s">
        <v>79</v>
      </c>
      <c r="J384">
        <v>360</v>
      </c>
      <c r="K384" t="s">
        <v>49</v>
      </c>
      <c r="L384" t="s">
        <v>70</v>
      </c>
      <c r="M384" t="s">
        <v>35</v>
      </c>
      <c r="N384" t="s">
        <v>277</v>
      </c>
      <c r="O384" t="s">
        <v>7232</v>
      </c>
      <c r="P384" t="s">
        <v>38</v>
      </c>
      <c r="Q384" t="s">
        <v>38</v>
      </c>
      <c r="R384">
        <v>1</v>
      </c>
      <c r="S384" t="s">
        <v>38</v>
      </c>
      <c r="T384">
        <v>6</v>
      </c>
      <c r="U384">
        <v>1.8</v>
      </c>
      <c r="V384">
        <v>8.8000000000000007</v>
      </c>
      <c r="W384" t="s">
        <v>39</v>
      </c>
      <c r="X384" t="s">
        <v>63</v>
      </c>
      <c r="Y384" t="s">
        <v>39</v>
      </c>
      <c r="Z384" t="s">
        <v>41</v>
      </c>
      <c r="AA384" t="s">
        <v>42</v>
      </c>
      <c r="AB384" t="s">
        <v>55</v>
      </c>
      <c r="AC384">
        <f t="shared" si="55"/>
        <v>0</v>
      </c>
      <c r="AD384" s="12">
        <f t="shared" si="59"/>
        <v>1</v>
      </c>
      <c r="AE384" s="12">
        <f t="shared" si="60"/>
        <v>0</v>
      </c>
      <c r="AF384">
        <f t="shared" si="56"/>
        <v>0</v>
      </c>
      <c r="AG384">
        <f t="shared" si="61"/>
        <v>1</v>
      </c>
      <c r="AH384">
        <f t="shared" si="62"/>
        <v>0</v>
      </c>
      <c r="AI384">
        <f t="shared" si="63"/>
        <v>0</v>
      </c>
      <c r="AJ384">
        <f t="shared" si="64"/>
        <v>0</v>
      </c>
      <c r="AK384">
        <f t="shared" si="57"/>
        <v>0</v>
      </c>
      <c r="AL384">
        <f t="shared" si="65"/>
        <v>0</v>
      </c>
    </row>
    <row r="385" spans="1:38">
      <c r="A385" t="s">
        <v>1282</v>
      </c>
      <c r="B385" t="s">
        <v>1283</v>
      </c>
      <c r="C385" s="1">
        <f t="shared" si="58"/>
        <v>45323</v>
      </c>
      <c r="D385" t="s">
        <v>1284</v>
      </c>
      <c r="E385">
        <v>442</v>
      </c>
      <c r="F385">
        <v>18.399999999999999</v>
      </c>
      <c r="G385" t="s">
        <v>77</v>
      </c>
      <c r="H385" t="s">
        <v>267</v>
      </c>
      <c r="I385" t="s">
        <v>79</v>
      </c>
      <c r="J385">
        <v>360</v>
      </c>
      <c r="K385" t="s">
        <v>33</v>
      </c>
      <c r="L385" t="s">
        <v>70</v>
      </c>
      <c r="M385" t="s">
        <v>35</v>
      </c>
      <c r="N385" t="s">
        <v>80</v>
      </c>
      <c r="O385" t="s">
        <v>37</v>
      </c>
      <c r="P385" t="s">
        <v>39</v>
      </c>
      <c r="Q385" t="s">
        <v>38</v>
      </c>
      <c r="R385">
        <v>0</v>
      </c>
      <c r="S385" t="s">
        <v>39</v>
      </c>
      <c r="T385">
        <v>8</v>
      </c>
      <c r="U385">
        <v>3.9</v>
      </c>
      <c r="V385">
        <v>21.3</v>
      </c>
      <c r="W385" t="s">
        <v>38</v>
      </c>
      <c r="X385" t="s">
        <v>63</v>
      </c>
      <c r="Y385" t="s">
        <v>38</v>
      </c>
      <c r="Z385" t="s">
        <v>41</v>
      </c>
      <c r="AA385" t="s">
        <v>54</v>
      </c>
      <c r="AB385" t="s">
        <v>55</v>
      </c>
      <c r="AC385">
        <f t="shared" si="55"/>
        <v>0</v>
      </c>
      <c r="AD385" s="12">
        <f t="shared" si="59"/>
        <v>1</v>
      </c>
      <c r="AE385" s="12">
        <f t="shared" si="60"/>
        <v>0</v>
      </c>
      <c r="AF385">
        <f t="shared" si="56"/>
        <v>0</v>
      </c>
      <c r="AG385">
        <f t="shared" si="61"/>
        <v>0</v>
      </c>
      <c r="AH385">
        <f t="shared" si="62"/>
        <v>0</v>
      </c>
      <c r="AI385">
        <f t="shared" si="63"/>
        <v>0</v>
      </c>
      <c r="AJ385">
        <f t="shared" si="64"/>
        <v>0</v>
      </c>
      <c r="AK385">
        <f t="shared" si="57"/>
        <v>0</v>
      </c>
      <c r="AL385">
        <f t="shared" si="65"/>
        <v>1</v>
      </c>
    </row>
    <row r="386" spans="1:38">
      <c r="A386" t="s">
        <v>1285</v>
      </c>
      <c r="B386" t="s">
        <v>1286</v>
      </c>
      <c r="C386" s="1">
        <f t="shared" si="58"/>
        <v>45566</v>
      </c>
      <c r="D386" t="s">
        <v>1287</v>
      </c>
      <c r="E386">
        <v>163.80000000000001</v>
      </c>
      <c r="F386">
        <v>6.8</v>
      </c>
      <c r="G386" t="s">
        <v>142</v>
      </c>
      <c r="H386" t="s">
        <v>729</v>
      </c>
      <c r="I386" t="s">
        <v>32</v>
      </c>
      <c r="J386">
        <v>240</v>
      </c>
      <c r="K386" t="s">
        <v>49</v>
      </c>
      <c r="L386" t="s">
        <v>113</v>
      </c>
      <c r="M386" t="s">
        <v>35</v>
      </c>
      <c r="N386" t="s">
        <v>97</v>
      </c>
      <c r="O386" t="s">
        <v>7232</v>
      </c>
      <c r="P386" t="s">
        <v>38</v>
      </c>
      <c r="Q386" t="s">
        <v>38</v>
      </c>
      <c r="R386">
        <v>1</v>
      </c>
      <c r="S386" t="s">
        <v>38</v>
      </c>
      <c r="T386">
        <v>7</v>
      </c>
      <c r="U386">
        <v>1.1000000000000001</v>
      </c>
      <c r="V386">
        <v>32.4</v>
      </c>
      <c r="W386" t="s">
        <v>39</v>
      </c>
      <c r="X386" t="s">
        <v>63</v>
      </c>
      <c r="Y386" t="s">
        <v>38</v>
      </c>
      <c r="Z386" t="s">
        <v>81</v>
      </c>
      <c r="AA386" t="s">
        <v>109</v>
      </c>
      <c r="AB386" t="s">
        <v>55</v>
      </c>
      <c r="AC386">
        <f t="shared" ref="AC386:AC449" si="66">IF(X386="Poor", 1, 0)</f>
        <v>0</v>
      </c>
      <c r="AD386" s="12">
        <f t="shared" si="59"/>
        <v>1</v>
      </c>
      <c r="AE386" s="12">
        <f t="shared" si="60"/>
        <v>0</v>
      </c>
      <c r="AF386">
        <f t="shared" ref="AF386:AF449" si="67">IF(O386="Junior", 1, 0)</f>
        <v>0</v>
      </c>
      <c r="AG386">
        <f t="shared" si="61"/>
        <v>1</v>
      </c>
      <c r="AH386">
        <f t="shared" si="62"/>
        <v>0</v>
      </c>
      <c r="AI386">
        <f t="shared" si="63"/>
        <v>0</v>
      </c>
      <c r="AJ386">
        <f t="shared" si="64"/>
        <v>1</v>
      </c>
      <c r="AK386">
        <f t="shared" ref="AK386:AK449" si="68">IF(G386="Access Requests", 1, 0)</f>
        <v>0</v>
      </c>
      <c r="AL386">
        <f t="shared" si="65"/>
        <v>1</v>
      </c>
    </row>
    <row r="387" spans="1:38">
      <c r="A387" t="s">
        <v>1288</v>
      </c>
      <c r="B387" t="s">
        <v>1289</v>
      </c>
      <c r="C387" s="1">
        <f t="shared" ref="C387:C450" si="69">DATE(YEAR(B387),MONTH(B387),1)</f>
        <v>45627</v>
      </c>
      <c r="D387" t="s">
        <v>1290</v>
      </c>
      <c r="E387">
        <v>108.1</v>
      </c>
      <c r="F387">
        <v>4.5</v>
      </c>
      <c r="G387" t="s">
        <v>59</v>
      </c>
      <c r="H387" t="s">
        <v>227</v>
      </c>
      <c r="I387" t="s">
        <v>48</v>
      </c>
      <c r="J387">
        <v>120</v>
      </c>
      <c r="K387" t="s">
        <v>49</v>
      </c>
      <c r="L387" t="s">
        <v>70</v>
      </c>
      <c r="M387" t="s">
        <v>71</v>
      </c>
      <c r="N387" t="s">
        <v>128</v>
      </c>
      <c r="O387" t="s">
        <v>7232</v>
      </c>
      <c r="P387" t="s">
        <v>38</v>
      </c>
      <c r="Q387" t="s">
        <v>39</v>
      </c>
      <c r="R387">
        <v>1</v>
      </c>
      <c r="S387" t="s">
        <v>38</v>
      </c>
      <c r="T387">
        <v>8</v>
      </c>
      <c r="U387">
        <v>2.8</v>
      </c>
      <c r="V387">
        <v>15</v>
      </c>
      <c r="W387" t="s">
        <v>38</v>
      </c>
      <c r="X387" t="s">
        <v>52</v>
      </c>
      <c r="Y387" t="s">
        <v>39</v>
      </c>
      <c r="Z387" t="s">
        <v>108</v>
      </c>
      <c r="AA387" t="s">
        <v>109</v>
      </c>
      <c r="AB387" t="s">
        <v>83</v>
      </c>
      <c r="AC387">
        <f t="shared" si="66"/>
        <v>1</v>
      </c>
      <c r="AD387" s="12">
        <f t="shared" ref="AD387:AD450" si="70">IF(X387="Fair", 1, 0)</f>
        <v>0</v>
      </c>
      <c r="AE387" s="12">
        <f t="shared" ref="AE387:AE450" si="71">IF(X387="Good", 1, 0)</f>
        <v>0</v>
      </c>
      <c r="AF387">
        <f t="shared" si="67"/>
        <v>0</v>
      </c>
      <c r="AG387">
        <f t="shared" ref="AG387:AG450" si="72">IF(O387="Mid", 1, 0)</f>
        <v>1</v>
      </c>
      <c r="AH387">
        <f t="shared" ref="AH387:AH450" si="73">IF(I387="High", 1, 0)</f>
        <v>1</v>
      </c>
      <c r="AI387">
        <f t="shared" ref="AI387:AI450" si="74">IF(I387="Critical", 1, 0)</f>
        <v>0</v>
      </c>
      <c r="AJ387">
        <f t="shared" ref="AJ387:AJ450" si="75">IF(I387="Medium", 1, 0)</f>
        <v>0</v>
      </c>
      <c r="AK387">
        <f t="shared" si="68"/>
        <v>0</v>
      </c>
      <c r="AL387">
        <f t="shared" ref="AL387:AL450" si="76">IF(Y387="No", 1, 0)</f>
        <v>0</v>
      </c>
    </row>
    <row r="388" spans="1:38">
      <c r="A388" t="s">
        <v>1291</v>
      </c>
      <c r="B388" t="s">
        <v>1292</v>
      </c>
      <c r="C388" s="1">
        <f t="shared" si="69"/>
        <v>45566</v>
      </c>
      <c r="D388" t="s">
        <v>1293</v>
      </c>
      <c r="E388">
        <v>157</v>
      </c>
      <c r="F388">
        <v>6.5</v>
      </c>
      <c r="G388" t="s">
        <v>30</v>
      </c>
      <c r="H388" t="s">
        <v>31</v>
      </c>
      <c r="I388" t="s">
        <v>32</v>
      </c>
      <c r="J388">
        <v>240</v>
      </c>
      <c r="K388" t="s">
        <v>49</v>
      </c>
      <c r="L388" t="s">
        <v>70</v>
      </c>
      <c r="M388" t="s">
        <v>35</v>
      </c>
      <c r="N388" t="s">
        <v>114</v>
      </c>
      <c r="O388" t="s">
        <v>51</v>
      </c>
      <c r="P388" t="s">
        <v>39</v>
      </c>
      <c r="Q388" t="s">
        <v>38</v>
      </c>
      <c r="R388">
        <v>0</v>
      </c>
      <c r="S388" t="s">
        <v>38</v>
      </c>
      <c r="T388">
        <v>9</v>
      </c>
      <c r="U388">
        <v>2</v>
      </c>
      <c r="V388">
        <v>28.8</v>
      </c>
      <c r="W388" t="s">
        <v>39</v>
      </c>
      <c r="X388" t="s">
        <v>123</v>
      </c>
      <c r="Y388" t="s">
        <v>38</v>
      </c>
      <c r="Z388" t="s">
        <v>108</v>
      </c>
      <c r="AA388" t="s">
        <v>54</v>
      </c>
      <c r="AB388" t="s">
        <v>55</v>
      </c>
      <c r="AC388">
        <f t="shared" si="66"/>
        <v>0</v>
      </c>
      <c r="AD388" s="12">
        <f t="shared" si="70"/>
        <v>0</v>
      </c>
      <c r="AE388" s="12">
        <f t="shared" si="71"/>
        <v>1</v>
      </c>
      <c r="AF388">
        <f t="shared" si="67"/>
        <v>1</v>
      </c>
      <c r="AG388">
        <f t="shared" si="72"/>
        <v>0</v>
      </c>
      <c r="AH388">
        <f t="shared" si="73"/>
        <v>0</v>
      </c>
      <c r="AI388">
        <f t="shared" si="74"/>
        <v>0</v>
      </c>
      <c r="AJ388">
        <f t="shared" si="75"/>
        <v>1</v>
      </c>
      <c r="AK388">
        <f t="shared" si="68"/>
        <v>1</v>
      </c>
      <c r="AL388">
        <f t="shared" si="76"/>
        <v>1</v>
      </c>
    </row>
    <row r="389" spans="1:38">
      <c r="A389" t="s">
        <v>1294</v>
      </c>
      <c r="B389" t="s">
        <v>1295</v>
      </c>
      <c r="C389" s="1">
        <f t="shared" si="69"/>
        <v>45383</v>
      </c>
      <c r="D389" t="s">
        <v>1296</v>
      </c>
      <c r="E389">
        <v>84.2</v>
      </c>
      <c r="F389">
        <v>3.5</v>
      </c>
      <c r="G389" t="s">
        <v>30</v>
      </c>
      <c r="H389" t="s">
        <v>172</v>
      </c>
      <c r="I389" t="s">
        <v>48</v>
      </c>
      <c r="J389">
        <v>120</v>
      </c>
      <c r="K389" t="s">
        <v>49</v>
      </c>
      <c r="L389" t="s">
        <v>34</v>
      </c>
      <c r="M389" t="s">
        <v>35</v>
      </c>
      <c r="N389" t="s">
        <v>188</v>
      </c>
      <c r="O389" t="s">
        <v>7232</v>
      </c>
      <c r="P389" t="s">
        <v>39</v>
      </c>
      <c r="Q389" t="s">
        <v>38</v>
      </c>
      <c r="R389">
        <v>0</v>
      </c>
      <c r="S389" t="s">
        <v>38</v>
      </c>
      <c r="T389">
        <v>10</v>
      </c>
      <c r="U389">
        <v>0.8</v>
      </c>
      <c r="V389">
        <v>22.2</v>
      </c>
      <c r="W389" t="s">
        <v>39</v>
      </c>
      <c r="X389" t="s">
        <v>123</v>
      </c>
      <c r="Y389" t="s">
        <v>39</v>
      </c>
      <c r="Z389" t="s">
        <v>115</v>
      </c>
      <c r="AA389" t="s">
        <v>103</v>
      </c>
      <c r="AB389" t="s">
        <v>83</v>
      </c>
      <c r="AC389">
        <f t="shared" si="66"/>
        <v>0</v>
      </c>
      <c r="AD389" s="12">
        <f t="shared" si="70"/>
        <v>0</v>
      </c>
      <c r="AE389" s="12">
        <f t="shared" si="71"/>
        <v>1</v>
      </c>
      <c r="AF389">
        <f t="shared" si="67"/>
        <v>0</v>
      </c>
      <c r="AG389">
        <f t="shared" si="72"/>
        <v>1</v>
      </c>
      <c r="AH389">
        <f t="shared" si="73"/>
        <v>1</v>
      </c>
      <c r="AI389">
        <f t="shared" si="74"/>
        <v>0</v>
      </c>
      <c r="AJ389">
        <f t="shared" si="75"/>
        <v>0</v>
      </c>
      <c r="AK389">
        <f t="shared" si="68"/>
        <v>1</v>
      </c>
      <c r="AL389">
        <f t="shared" si="76"/>
        <v>0</v>
      </c>
    </row>
    <row r="390" spans="1:38">
      <c r="A390" t="s">
        <v>1297</v>
      </c>
      <c r="B390" t="s">
        <v>1298</v>
      </c>
      <c r="C390" s="1">
        <f t="shared" si="69"/>
        <v>45505</v>
      </c>
      <c r="D390" t="s">
        <v>1299</v>
      </c>
      <c r="E390">
        <v>261.5</v>
      </c>
      <c r="F390">
        <v>10.9</v>
      </c>
      <c r="G390" t="s">
        <v>77</v>
      </c>
      <c r="H390" t="s">
        <v>78</v>
      </c>
      <c r="I390" t="s">
        <v>79</v>
      </c>
      <c r="J390">
        <v>360</v>
      </c>
      <c r="K390" t="s">
        <v>49</v>
      </c>
      <c r="L390" t="s">
        <v>70</v>
      </c>
      <c r="M390" t="s">
        <v>35</v>
      </c>
      <c r="N390" t="s">
        <v>188</v>
      </c>
      <c r="O390" t="s">
        <v>7232</v>
      </c>
      <c r="P390" t="s">
        <v>39</v>
      </c>
      <c r="Q390" t="s">
        <v>38</v>
      </c>
      <c r="R390">
        <v>0</v>
      </c>
      <c r="S390" t="s">
        <v>38</v>
      </c>
      <c r="T390">
        <v>10</v>
      </c>
      <c r="U390">
        <v>3.7</v>
      </c>
      <c r="V390">
        <v>11.9</v>
      </c>
      <c r="W390" t="s">
        <v>39</v>
      </c>
      <c r="X390" t="s">
        <v>63</v>
      </c>
      <c r="Y390" t="s">
        <v>39</v>
      </c>
      <c r="Z390" t="s">
        <v>108</v>
      </c>
      <c r="AA390" t="s">
        <v>42</v>
      </c>
      <c r="AB390" t="s">
        <v>83</v>
      </c>
      <c r="AC390">
        <f t="shared" si="66"/>
        <v>0</v>
      </c>
      <c r="AD390" s="12">
        <f t="shared" si="70"/>
        <v>1</v>
      </c>
      <c r="AE390" s="12">
        <f t="shared" si="71"/>
        <v>0</v>
      </c>
      <c r="AF390">
        <f t="shared" si="67"/>
        <v>0</v>
      </c>
      <c r="AG390">
        <f t="shared" si="72"/>
        <v>1</v>
      </c>
      <c r="AH390">
        <f t="shared" si="73"/>
        <v>0</v>
      </c>
      <c r="AI390">
        <f t="shared" si="74"/>
        <v>0</v>
      </c>
      <c r="AJ390">
        <f t="shared" si="75"/>
        <v>0</v>
      </c>
      <c r="AK390">
        <f t="shared" si="68"/>
        <v>0</v>
      </c>
      <c r="AL390">
        <f t="shared" si="76"/>
        <v>0</v>
      </c>
    </row>
    <row r="391" spans="1:38">
      <c r="A391" t="s">
        <v>1300</v>
      </c>
      <c r="B391" t="s">
        <v>1301</v>
      </c>
      <c r="C391" s="1">
        <f t="shared" si="69"/>
        <v>45383</v>
      </c>
      <c r="D391" t="s">
        <v>1302</v>
      </c>
      <c r="E391">
        <v>388.1</v>
      </c>
      <c r="F391">
        <v>16.2</v>
      </c>
      <c r="G391" t="s">
        <v>59</v>
      </c>
      <c r="H391" t="s">
        <v>132</v>
      </c>
      <c r="I391" t="s">
        <v>32</v>
      </c>
      <c r="J391">
        <v>240</v>
      </c>
      <c r="K391" t="s">
        <v>33</v>
      </c>
      <c r="L391" t="s">
        <v>96</v>
      </c>
      <c r="M391" t="s">
        <v>35</v>
      </c>
      <c r="N391" t="s">
        <v>506</v>
      </c>
      <c r="O391" t="s">
        <v>7232</v>
      </c>
      <c r="P391" t="s">
        <v>38</v>
      </c>
      <c r="Q391" t="s">
        <v>38</v>
      </c>
      <c r="R391">
        <v>1</v>
      </c>
      <c r="S391" t="s">
        <v>38</v>
      </c>
      <c r="T391">
        <v>7</v>
      </c>
      <c r="U391">
        <v>1.9</v>
      </c>
      <c r="V391">
        <v>15.2</v>
      </c>
      <c r="W391" t="s">
        <v>38</v>
      </c>
      <c r="X391" t="s">
        <v>63</v>
      </c>
      <c r="Y391" t="s">
        <v>39</v>
      </c>
      <c r="Z391" t="s">
        <v>108</v>
      </c>
      <c r="AA391" t="s">
        <v>42</v>
      </c>
      <c r="AB391" t="s">
        <v>55</v>
      </c>
      <c r="AC391">
        <f t="shared" si="66"/>
        <v>0</v>
      </c>
      <c r="AD391" s="12">
        <f t="shared" si="70"/>
        <v>1</v>
      </c>
      <c r="AE391" s="12">
        <f t="shared" si="71"/>
        <v>0</v>
      </c>
      <c r="AF391">
        <f t="shared" si="67"/>
        <v>0</v>
      </c>
      <c r="AG391">
        <f t="shared" si="72"/>
        <v>1</v>
      </c>
      <c r="AH391">
        <f t="shared" si="73"/>
        <v>0</v>
      </c>
      <c r="AI391">
        <f t="shared" si="74"/>
        <v>0</v>
      </c>
      <c r="AJ391">
        <f t="shared" si="75"/>
        <v>1</v>
      </c>
      <c r="AK391">
        <f t="shared" si="68"/>
        <v>0</v>
      </c>
      <c r="AL391">
        <f t="shared" si="76"/>
        <v>0</v>
      </c>
    </row>
    <row r="392" spans="1:38">
      <c r="A392" t="s">
        <v>1303</v>
      </c>
      <c r="B392" t="s">
        <v>1304</v>
      </c>
      <c r="C392" s="1">
        <f t="shared" si="69"/>
        <v>45383</v>
      </c>
      <c r="D392" t="s">
        <v>1305</v>
      </c>
      <c r="E392">
        <v>892.8</v>
      </c>
      <c r="F392">
        <v>37.200000000000003</v>
      </c>
      <c r="G392" t="s">
        <v>77</v>
      </c>
      <c r="H392" t="s">
        <v>244</v>
      </c>
      <c r="I392" t="s">
        <v>79</v>
      </c>
      <c r="J392">
        <v>360</v>
      </c>
      <c r="K392" t="s">
        <v>33</v>
      </c>
      <c r="L392" t="s">
        <v>96</v>
      </c>
      <c r="M392" t="s">
        <v>35</v>
      </c>
      <c r="N392" t="s">
        <v>188</v>
      </c>
      <c r="O392" t="s">
        <v>51</v>
      </c>
      <c r="P392" t="s">
        <v>38</v>
      </c>
      <c r="Q392" t="s">
        <v>38</v>
      </c>
      <c r="R392">
        <v>1</v>
      </c>
      <c r="S392" t="s">
        <v>38</v>
      </c>
      <c r="T392">
        <v>6</v>
      </c>
      <c r="U392">
        <v>2.8</v>
      </c>
      <c r="V392">
        <v>0</v>
      </c>
      <c r="W392" t="s">
        <v>39</v>
      </c>
      <c r="X392" t="s">
        <v>123</v>
      </c>
      <c r="Y392" t="s">
        <v>39</v>
      </c>
      <c r="Z392" t="s">
        <v>108</v>
      </c>
      <c r="AA392" t="s">
        <v>42</v>
      </c>
      <c r="AB392" t="s">
        <v>55</v>
      </c>
      <c r="AC392">
        <f t="shared" si="66"/>
        <v>0</v>
      </c>
      <c r="AD392" s="12">
        <f t="shared" si="70"/>
        <v>0</v>
      </c>
      <c r="AE392" s="12">
        <f t="shared" si="71"/>
        <v>1</v>
      </c>
      <c r="AF392">
        <f t="shared" si="67"/>
        <v>1</v>
      </c>
      <c r="AG392">
        <f t="shared" si="72"/>
        <v>0</v>
      </c>
      <c r="AH392">
        <f t="shared" si="73"/>
        <v>0</v>
      </c>
      <c r="AI392">
        <f t="shared" si="74"/>
        <v>0</v>
      </c>
      <c r="AJ392">
        <f t="shared" si="75"/>
        <v>0</v>
      </c>
      <c r="AK392">
        <f t="shared" si="68"/>
        <v>0</v>
      </c>
      <c r="AL392">
        <f t="shared" si="76"/>
        <v>0</v>
      </c>
    </row>
    <row r="393" spans="1:38">
      <c r="A393" t="s">
        <v>1306</v>
      </c>
      <c r="B393" t="s">
        <v>1307</v>
      </c>
      <c r="C393" s="1">
        <f t="shared" si="69"/>
        <v>45444</v>
      </c>
      <c r="D393" t="s">
        <v>1308</v>
      </c>
      <c r="E393">
        <v>268.60000000000002</v>
      </c>
      <c r="F393">
        <v>11.2</v>
      </c>
      <c r="G393" t="s">
        <v>77</v>
      </c>
      <c r="H393" t="s">
        <v>244</v>
      </c>
      <c r="I393" t="s">
        <v>32</v>
      </c>
      <c r="J393">
        <v>240</v>
      </c>
      <c r="K393" t="s">
        <v>33</v>
      </c>
      <c r="L393" t="s">
        <v>70</v>
      </c>
      <c r="M393" t="s">
        <v>35</v>
      </c>
      <c r="N393" t="s">
        <v>414</v>
      </c>
      <c r="O393" t="s">
        <v>51</v>
      </c>
      <c r="P393" t="s">
        <v>39</v>
      </c>
      <c r="Q393" t="s">
        <v>38</v>
      </c>
      <c r="R393">
        <v>0</v>
      </c>
      <c r="S393" t="s">
        <v>39</v>
      </c>
      <c r="T393">
        <v>5</v>
      </c>
      <c r="U393">
        <v>0.1</v>
      </c>
      <c r="V393">
        <v>19.399999999999999</v>
      </c>
      <c r="W393" t="s">
        <v>39</v>
      </c>
      <c r="X393" t="s">
        <v>123</v>
      </c>
      <c r="Y393" t="s">
        <v>39</v>
      </c>
      <c r="Z393" t="s">
        <v>108</v>
      </c>
      <c r="AA393" t="s">
        <v>103</v>
      </c>
      <c r="AB393" t="s">
        <v>83</v>
      </c>
      <c r="AC393">
        <f t="shared" si="66"/>
        <v>0</v>
      </c>
      <c r="AD393" s="12">
        <f t="shared" si="70"/>
        <v>0</v>
      </c>
      <c r="AE393" s="12">
        <f t="shared" si="71"/>
        <v>1</v>
      </c>
      <c r="AF393">
        <f t="shared" si="67"/>
        <v>1</v>
      </c>
      <c r="AG393">
        <f t="shared" si="72"/>
        <v>0</v>
      </c>
      <c r="AH393">
        <f t="shared" si="73"/>
        <v>0</v>
      </c>
      <c r="AI393">
        <f t="shared" si="74"/>
        <v>0</v>
      </c>
      <c r="AJ393">
        <f t="shared" si="75"/>
        <v>1</v>
      </c>
      <c r="AK393">
        <f t="shared" si="68"/>
        <v>0</v>
      </c>
      <c r="AL393">
        <f t="shared" si="76"/>
        <v>0</v>
      </c>
    </row>
    <row r="394" spans="1:38">
      <c r="A394" t="s">
        <v>1309</v>
      </c>
      <c r="B394" t="s">
        <v>1310</v>
      </c>
      <c r="C394" s="1">
        <f t="shared" si="69"/>
        <v>45536</v>
      </c>
      <c r="D394" t="s">
        <v>1311</v>
      </c>
      <c r="E394">
        <v>141.6</v>
      </c>
      <c r="F394">
        <v>5.9</v>
      </c>
      <c r="G394" t="s">
        <v>87</v>
      </c>
      <c r="H394" t="s">
        <v>309</v>
      </c>
      <c r="I394" t="s">
        <v>48</v>
      </c>
      <c r="J394">
        <v>120</v>
      </c>
      <c r="K394" t="s">
        <v>33</v>
      </c>
      <c r="L394" t="s">
        <v>70</v>
      </c>
      <c r="M394" t="s">
        <v>71</v>
      </c>
      <c r="N394" t="s">
        <v>155</v>
      </c>
      <c r="O394" t="s">
        <v>7232</v>
      </c>
      <c r="P394" t="s">
        <v>38</v>
      </c>
      <c r="Q394" t="s">
        <v>39</v>
      </c>
      <c r="R394">
        <v>3</v>
      </c>
      <c r="S394" t="s">
        <v>38</v>
      </c>
      <c r="T394">
        <v>8</v>
      </c>
      <c r="U394">
        <v>0.1</v>
      </c>
      <c r="V394">
        <v>10.199999999999999</v>
      </c>
      <c r="W394" t="s">
        <v>38</v>
      </c>
      <c r="X394" t="s">
        <v>63</v>
      </c>
      <c r="Y394" t="s">
        <v>39</v>
      </c>
      <c r="Z394" t="s">
        <v>73</v>
      </c>
      <c r="AA394" t="s">
        <v>42</v>
      </c>
      <c r="AB394" t="s">
        <v>55</v>
      </c>
      <c r="AC394">
        <f t="shared" si="66"/>
        <v>0</v>
      </c>
      <c r="AD394" s="12">
        <f t="shared" si="70"/>
        <v>1</v>
      </c>
      <c r="AE394" s="12">
        <f t="shared" si="71"/>
        <v>0</v>
      </c>
      <c r="AF394">
        <f t="shared" si="67"/>
        <v>0</v>
      </c>
      <c r="AG394">
        <f t="shared" si="72"/>
        <v>1</v>
      </c>
      <c r="AH394">
        <f t="shared" si="73"/>
        <v>1</v>
      </c>
      <c r="AI394">
        <f t="shared" si="74"/>
        <v>0</v>
      </c>
      <c r="AJ394">
        <f t="shared" si="75"/>
        <v>0</v>
      </c>
      <c r="AK394">
        <f t="shared" si="68"/>
        <v>0</v>
      </c>
      <c r="AL394">
        <f t="shared" si="76"/>
        <v>0</v>
      </c>
    </row>
    <row r="395" spans="1:38">
      <c r="A395" t="s">
        <v>1312</v>
      </c>
      <c r="B395" t="s">
        <v>1313</v>
      </c>
      <c r="C395" s="1">
        <f t="shared" si="69"/>
        <v>45536</v>
      </c>
      <c r="D395" t="s">
        <v>1314</v>
      </c>
      <c r="E395">
        <v>346.4</v>
      </c>
      <c r="F395">
        <v>14.4</v>
      </c>
      <c r="G395" t="s">
        <v>59</v>
      </c>
      <c r="H395" t="s">
        <v>227</v>
      </c>
      <c r="I395" t="s">
        <v>32</v>
      </c>
      <c r="J395">
        <v>240</v>
      </c>
      <c r="K395" t="s">
        <v>33</v>
      </c>
      <c r="L395" t="s">
        <v>70</v>
      </c>
      <c r="M395" t="s">
        <v>71</v>
      </c>
      <c r="N395" t="s">
        <v>50</v>
      </c>
      <c r="O395" t="s">
        <v>7232</v>
      </c>
      <c r="P395" t="s">
        <v>38</v>
      </c>
      <c r="Q395" t="s">
        <v>39</v>
      </c>
      <c r="R395">
        <v>3</v>
      </c>
      <c r="S395" t="s">
        <v>39</v>
      </c>
      <c r="T395">
        <v>6</v>
      </c>
      <c r="U395">
        <v>5.4</v>
      </c>
      <c r="V395">
        <v>25</v>
      </c>
      <c r="W395" t="s">
        <v>39</v>
      </c>
      <c r="X395" t="s">
        <v>52</v>
      </c>
      <c r="Y395" t="s">
        <v>39</v>
      </c>
      <c r="Z395" t="s">
        <v>81</v>
      </c>
      <c r="AA395" t="s">
        <v>82</v>
      </c>
      <c r="AB395" t="s">
        <v>83</v>
      </c>
      <c r="AC395">
        <f t="shared" si="66"/>
        <v>1</v>
      </c>
      <c r="AD395" s="12">
        <f t="shared" si="70"/>
        <v>0</v>
      </c>
      <c r="AE395" s="12">
        <f t="shared" si="71"/>
        <v>0</v>
      </c>
      <c r="AF395">
        <f t="shared" si="67"/>
        <v>0</v>
      </c>
      <c r="AG395">
        <f t="shared" si="72"/>
        <v>1</v>
      </c>
      <c r="AH395">
        <f t="shared" si="73"/>
        <v>0</v>
      </c>
      <c r="AI395">
        <f t="shared" si="74"/>
        <v>0</v>
      </c>
      <c r="AJ395">
        <f t="shared" si="75"/>
        <v>1</v>
      </c>
      <c r="AK395">
        <f t="shared" si="68"/>
        <v>0</v>
      </c>
      <c r="AL395">
        <f t="shared" si="76"/>
        <v>0</v>
      </c>
    </row>
    <row r="396" spans="1:38">
      <c r="A396" t="s">
        <v>1315</v>
      </c>
      <c r="B396" t="s">
        <v>1316</v>
      </c>
      <c r="C396" s="1">
        <f t="shared" si="69"/>
        <v>45323</v>
      </c>
      <c r="D396" t="s">
        <v>1317</v>
      </c>
      <c r="E396">
        <v>85</v>
      </c>
      <c r="F396">
        <v>3.5</v>
      </c>
      <c r="G396" t="s">
        <v>87</v>
      </c>
      <c r="H396" t="s">
        <v>183</v>
      </c>
      <c r="I396" t="s">
        <v>95</v>
      </c>
      <c r="J396">
        <v>48</v>
      </c>
      <c r="K396" t="s">
        <v>33</v>
      </c>
      <c r="L396" t="s">
        <v>70</v>
      </c>
      <c r="M396" t="s">
        <v>35</v>
      </c>
      <c r="N396" t="s">
        <v>202</v>
      </c>
      <c r="O396" t="s">
        <v>7232</v>
      </c>
      <c r="P396" t="s">
        <v>38</v>
      </c>
      <c r="Q396" t="s">
        <v>38</v>
      </c>
      <c r="R396">
        <v>1</v>
      </c>
      <c r="S396" t="s">
        <v>38</v>
      </c>
      <c r="T396">
        <v>4</v>
      </c>
      <c r="U396">
        <v>4.4000000000000004</v>
      </c>
      <c r="V396">
        <v>29.3</v>
      </c>
      <c r="W396" t="s">
        <v>38</v>
      </c>
      <c r="X396" t="s">
        <v>52</v>
      </c>
      <c r="Y396" t="s">
        <v>39</v>
      </c>
      <c r="Z396" t="s">
        <v>53</v>
      </c>
      <c r="AA396" t="s">
        <v>109</v>
      </c>
      <c r="AB396" t="s">
        <v>83</v>
      </c>
      <c r="AC396">
        <f t="shared" si="66"/>
        <v>1</v>
      </c>
      <c r="AD396" s="12">
        <f t="shared" si="70"/>
        <v>0</v>
      </c>
      <c r="AE396" s="12">
        <f t="shared" si="71"/>
        <v>0</v>
      </c>
      <c r="AF396">
        <f t="shared" si="67"/>
        <v>0</v>
      </c>
      <c r="AG396">
        <f t="shared" si="72"/>
        <v>1</v>
      </c>
      <c r="AH396">
        <f t="shared" si="73"/>
        <v>0</v>
      </c>
      <c r="AI396">
        <f t="shared" si="74"/>
        <v>1</v>
      </c>
      <c r="AJ396">
        <f t="shared" si="75"/>
        <v>0</v>
      </c>
      <c r="AK396">
        <f t="shared" si="68"/>
        <v>0</v>
      </c>
      <c r="AL396">
        <f t="shared" si="76"/>
        <v>0</v>
      </c>
    </row>
    <row r="397" spans="1:38">
      <c r="A397" t="s">
        <v>1318</v>
      </c>
      <c r="B397" t="s">
        <v>1319</v>
      </c>
      <c r="C397" s="1">
        <f t="shared" si="69"/>
        <v>45627</v>
      </c>
      <c r="D397" t="s">
        <v>1320</v>
      </c>
      <c r="E397">
        <v>280.10000000000002</v>
      </c>
      <c r="F397">
        <v>11.7</v>
      </c>
      <c r="G397" t="s">
        <v>77</v>
      </c>
      <c r="H397" t="s">
        <v>78</v>
      </c>
      <c r="I397" t="s">
        <v>79</v>
      </c>
      <c r="J397">
        <v>360</v>
      </c>
      <c r="K397" t="s">
        <v>49</v>
      </c>
      <c r="L397" t="s">
        <v>96</v>
      </c>
      <c r="M397" t="s">
        <v>35</v>
      </c>
      <c r="N397" t="s">
        <v>128</v>
      </c>
      <c r="O397" t="s">
        <v>7232</v>
      </c>
      <c r="P397" t="s">
        <v>39</v>
      </c>
      <c r="Q397" t="s">
        <v>38</v>
      </c>
      <c r="R397">
        <v>0</v>
      </c>
      <c r="S397" t="s">
        <v>38</v>
      </c>
      <c r="T397">
        <v>8</v>
      </c>
      <c r="U397">
        <v>7.2</v>
      </c>
      <c r="V397">
        <v>9</v>
      </c>
      <c r="W397" t="s">
        <v>38</v>
      </c>
      <c r="X397" t="s">
        <v>63</v>
      </c>
      <c r="Y397" t="s">
        <v>38</v>
      </c>
      <c r="Z397" t="s">
        <v>108</v>
      </c>
      <c r="AA397" t="s">
        <v>42</v>
      </c>
      <c r="AB397" t="s">
        <v>83</v>
      </c>
      <c r="AC397">
        <f t="shared" si="66"/>
        <v>0</v>
      </c>
      <c r="AD397" s="12">
        <f t="shared" si="70"/>
        <v>1</v>
      </c>
      <c r="AE397" s="12">
        <f t="shared" si="71"/>
        <v>0</v>
      </c>
      <c r="AF397">
        <f t="shared" si="67"/>
        <v>0</v>
      </c>
      <c r="AG397">
        <f t="shared" si="72"/>
        <v>1</v>
      </c>
      <c r="AH397">
        <f t="shared" si="73"/>
        <v>0</v>
      </c>
      <c r="AI397">
        <f t="shared" si="74"/>
        <v>0</v>
      </c>
      <c r="AJ397">
        <f t="shared" si="75"/>
        <v>0</v>
      </c>
      <c r="AK397">
        <f t="shared" si="68"/>
        <v>0</v>
      </c>
      <c r="AL397">
        <f t="shared" si="76"/>
        <v>1</v>
      </c>
    </row>
    <row r="398" spans="1:38">
      <c r="A398" t="s">
        <v>1321</v>
      </c>
      <c r="B398" t="s">
        <v>1322</v>
      </c>
      <c r="C398" s="1">
        <f t="shared" si="69"/>
        <v>45536</v>
      </c>
      <c r="D398" t="s">
        <v>1323</v>
      </c>
      <c r="E398">
        <v>169.3</v>
      </c>
      <c r="F398">
        <v>7.1</v>
      </c>
      <c r="G398" t="s">
        <v>101</v>
      </c>
      <c r="H398" t="s">
        <v>295</v>
      </c>
      <c r="I398" t="s">
        <v>32</v>
      </c>
      <c r="J398">
        <v>240</v>
      </c>
      <c r="K398" t="s">
        <v>49</v>
      </c>
      <c r="L398" t="s">
        <v>34</v>
      </c>
      <c r="M398" t="s">
        <v>35</v>
      </c>
      <c r="N398" t="s">
        <v>80</v>
      </c>
      <c r="O398" t="s">
        <v>7232</v>
      </c>
      <c r="P398" t="s">
        <v>38</v>
      </c>
      <c r="Q398" t="s">
        <v>38</v>
      </c>
      <c r="R398">
        <v>1</v>
      </c>
      <c r="S398" t="s">
        <v>38</v>
      </c>
      <c r="T398">
        <v>10</v>
      </c>
      <c r="U398">
        <v>1.9</v>
      </c>
      <c r="V398">
        <v>12.5</v>
      </c>
      <c r="W398" t="s">
        <v>38</v>
      </c>
      <c r="X398" t="s">
        <v>52</v>
      </c>
      <c r="Y398" t="s">
        <v>38</v>
      </c>
      <c r="Z398" t="s">
        <v>179</v>
      </c>
      <c r="AA398" t="s">
        <v>54</v>
      </c>
      <c r="AB398" t="s">
        <v>83</v>
      </c>
      <c r="AC398">
        <f t="shared" si="66"/>
        <v>1</v>
      </c>
      <c r="AD398" s="12">
        <f t="shared" si="70"/>
        <v>0</v>
      </c>
      <c r="AE398" s="12">
        <f t="shared" si="71"/>
        <v>0</v>
      </c>
      <c r="AF398">
        <f t="shared" si="67"/>
        <v>0</v>
      </c>
      <c r="AG398">
        <f t="shared" si="72"/>
        <v>1</v>
      </c>
      <c r="AH398">
        <f t="shared" si="73"/>
        <v>0</v>
      </c>
      <c r="AI398">
        <f t="shared" si="74"/>
        <v>0</v>
      </c>
      <c r="AJ398">
        <f t="shared" si="75"/>
        <v>1</v>
      </c>
      <c r="AK398">
        <f t="shared" si="68"/>
        <v>0</v>
      </c>
      <c r="AL398">
        <f t="shared" si="76"/>
        <v>1</v>
      </c>
    </row>
    <row r="399" spans="1:38">
      <c r="A399" t="s">
        <v>1324</v>
      </c>
      <c r="B399" t="s">
        <v>1325</v>
      </c>
      <c r="C399" s="1">
        <f t="shared" si="69"/>
        <v>45566</v>
      </c>
      <c r="D399" t="s">
        <v>1326</v>
      </c>
      <c r="E399">
        <v>139.6</v>
      </c>
      <c r="F399">
        <v>5.8</v>
      </c>
      <c r="G399" t="s">
        <v>59</v>
      </c>
      <c r="H399" t="s">
        <v>132</v>
      </c>
      <c r="I399" t="s">
        <v>48</v>
      </c>
      <c r="J399">
        <v>120</v>
      </c>
      <c r="K399" t="s">
        <v>33</v>
      </c>
      <c r="L399" t="s">
        <v>113</v>
      </c>
      <c r="M399" t="s">
        <v>71</v>
      </c>
      <c r="N399" t="s">
        <v>164</v>
      </c>
      <c r="O399" t="s">
        <v>37</v>
      </c>
      <c r="P399" t="s">
        <v>38</v>
      </c>
      <c r="Q399" t="s">
        <v>39</v>
      </c>
      <c r="R399">
        <v>2</v>
      </c>
      <c r="S399" t="s">
        <v>38</v>
      </c>
      <c r="T399">
        <v>6</v>
      </c>
      <c r="U399">
        <v>3.3</v>
      </c>
      <c r="V399">
        <v>27</v>
      </c>
      <c r="W399" t="s">
        <v>38</v>
      </c>
      <c r="X399" t="s">
        <v>40</v>
      </c>
      <c r="Y399" t="s">
        <v>38</v>
      </c>
      <c r="Z399" t="s">
        <v>179</v>
      </c>
      <c r="AA399" t="s">
        <v>82</v>
      </c>
      <c r="AB399" t="s">
        <v>43</v>
      </c>
      <c r="AC399">
        <f t="shared" si="66"/>
        <v>0</v>
      </c>
      <c r="AD399" s="12">
        <f t="shared" si="70"/>
        <v>0</v>
      </c>
      <c r="AE399" s="12">
        <f t="shared" si="71"/>
        <v>0</v>
      </c>
      <c r="AF399">
        <f t="shared" si="67"/>
        <v>0</v>
      </c>
      <c r="AG399">
        <f t="shared" si="72"/>
        <v>0</v>
      </c>
      <c r="AH399">
        <f t="shared" si="73"/>
        <v>1</v>
      </c>
      <c r="AI399">
        <f t="shared" si="74"/>
        <v>0</v>
      </c>
      <c r="AJ399">
        <f t="shared" si="75"/>
        <v>0</v>
      </c>
      <c r="AK399">
        <f t="shared" si="68"/>
        <v>0</v>
      </c>
      <c r="AL399">
        <f t="shared" si="76"/>
        <v>1</v>
      </c>
    </row>
    <row r="400" spans="1:38">
      <c r="A400" t="s">
        <v>1327</v>
      </c>
      <c r="B400" t="s">
        <v>1328</v>
      </c>
      <c r="C400" s="1">
        <f t="shared" si="69"/>
        <v>45566</v>
      </c>
      <c r="D400" t="s">
        <v>1329</v>
      </c>
      <c r="E400">
        <v>332.6</v>
      </c>
      <c r="F400">
        <v>13.9</v>
      </c>
      <c r="G400" t="s">
        <v>77</v>
      </c>
      <c r="H400" t="s">
        <v>78</v>
      </c>
      <c r="I400" t="s">
        <v>79</v>
      </c>
      <c r="J400">
        <v>360</v>
      </c>
      <c r="K400" t="s">
        <v>49</v>
      </c>
      <c r="L400" t="s">
        <v>113</v>
      </c>
      <c r="M400" t="s">
        <v>35</v>
      </c>
      <c r="N400" t="s">
        <v>80</v>
      </c>
      <c r="O400" t="s">
        <v>37</v>
      </c>
      <c r="P400" t="s">
        <v>39</v>
      </c>
      <c r="Q400" t="s">
        <v>38</v>
      </c>
      <c r="R400">
        <v>0</v>
      </c>
      <c r="S400" t="s">
        <v>38</v>
      </c>
      <c r="T400">
        <v>10</v>
      </c>
      <c r="U400">
        <v>3.3</v>
      </c>
      <c r="V400">
        <v>23.7</v>
      </c>
      <c r="W400" t="s">
        <v>39</v>
      </c>
      <c r="X400" t="s">
        <v>52</v>
      </c>
      <c r="Y400" t="s">
        <v>39</v>
      </c>
      <c r="Z400" t="s">
        <v>108</v>
      </c>
      <c r="AA400" t="s">
        <v>103</v>
      </c>
      <c r="AB400" t="s">
        <v>55</v>
      </c>
      <c r="AC400">
        <f t="shared" si="66"/>
        <v>1</v>
      </c>
      <c r="AD400" s="12">
        <f t="shared" si="70"/>
        <v>0</v>
      </c>
      <c r="AE400" s="12">
        <f t="shared" si="71"/>
        <v>0</v>
      </c>
      <c r="AF400">
        <f t="shared" si="67"/>
        <v>0</v>
      </c>
      <c r="AG400">
        <f t="shared" si="72"/>
        <v>0</v>
      </c>
      <c r="AH400">
        <f t="shared" si="73"/>
        <v>0</v>
      </c>
      <c r="AI400">
        <f t="shared" si="74"/>
        <v>0</v>
      </c>
      <c r="AJ400">
        <f t="shared" si="75"/>
        <v>0</v>
      </c>
      <c r="AK400">
        <f t="shared" si="68"/>
        <v>0</v>
      </c>
      <c r="AL400">
        <f t="shared" si="76"/>
        <v>0</v>
      </c>
    </row>
    <row r="401" spans="1:38">
      <c r="A401" t="s">
        <v>1330</v>
      </c>
      <c r="B401" t="s">
        <v>1331</v>
      </c>
      <c r="C401" s="1">
        <f t="shared" si="69"/>
        <v>45352</v>
      </c>
      <c r="D401" t="s">
        <v>1332</v>
      </c>
      <c r="E401">
        <v>471.6</v>
      </c>
      <c r="F401">
        <v>19.7</v>
      </c>
      <c r="G401" t="s">
        <v>68</v>
      </c>
      <c r="H401" t="s">
        <v>219</v>
      </c>
      <c r="I401" t="s">
        <v>32</v>
      </c>
      <c r="J401">
        <v>240</v>
      </c>
      <c r="K401" t="s">
        <v>33</v>
      </c>
      <c r="L401" t="s">
        <v>133</v>
      </c>
      <c r="M401" t="s">
        <v>35</v>
      </c>
      <c r="N401" t="s">
        <v>36</v>
      </c>
      <c r="O401" t="s">
        <v>7232</v>
      </c>
      <c r="P401" t="s">
        <v>38</v>
      </c>
      <c r="Q401" t="s">
        <v>38</v>
      </c>
      <c r="R401">
        <v>1</v>
      </c>
      <c r="S401" t="s">
        <v>38</v>
      </c>
      <c r="T401">
        <v>6</v>
      </c>
      <c r="U401">
        <v>3.6</v>
      </c>
      <c r="V401">
        <v>27.5</v>
      </c>
      <c r="W401" t="s">
        <v>39</v>
      </c>
      <c r="X401" t="s">
        <v>123</v>
      </c>
      <c r="Y401" t="s">
        <v>38</v>
      </c>
      <c r="Z401" t="s">
        <v>108</v>
      </c>
      <c r="AA401" t="s">
        <v>42</v>
      </c>
      <c r="AB401" t="s">
        <v>55</v>
      </c>
      <c r="AC401">
        <f t="shared" si="66"/>
        <v>0</v>
      </c>
      <c r="AD401" s="12">
        <f t="shared" si="70"/>
        <v>0</v>
      </c>
      <c r="AE401" s="12">
        <f t="shared" si="71"/>
        <v>1</v>
      </c>
      <c r="AF401">
        <f t="shared" si="67"/>
        <v>0</v>
      </c>
      <c r="AG401">
        <f t="shared" si="72"/>
        <v>1</v>
      </c>
      <c r="AH401">
        <f t="shared" si="73"/>
        <v>0</v>
      </c>
      <c r="AI401">
        <f t="shared" si="74"/>
        <v>0</v>
      </c>
      <c r="AJ401">
        <f t="shared" si="75"/>
        <v>1</v>
      </c>
      <c r="AK401">
        <f t="shared" si="68"/>
        <v>0</v>
      </c>
      <c r="AL401">
        <f t="shared" si="76"/>
        <v>1</v>
      </c>
    </row>
    <row r="402" spans="1:38">
      <c r="A402" t="s">
        <v>1333</v>
      </c>
      <c r="B402" t="s">
        <v>1334</v>
      </c>
      <c r="C402" s="1">
        <f t="shared" si="69"/>
        <v>45383</v>
      </c>
      <c r="D402" t="s">
        <v>1335</v>
      </c>
      <c r="E402">
        <v>383.9</v>
      </c>
      <c r="F402">
        <v>16</v>
      </c>
      <c r="G402" t="s">
        <v>77</v>
      </c>
      <c r="H402" t="s">
        <v>78</v>
      </c>
      <c r="I402" t="s">
        <v>32</v>
      </c>
      <c r="J402">
        <v>240</v>
      </c>
      <c r="K402" t="s">
        <v>33</v>
      </c>
      <c r="L402" t="s">
        <v>34</v>
      </c>
      <c r="M402" t="s">
        <v>35</v>
      </c>
      <c r="N402" t="s">
        <v>89</v>
      </c>
      <c r="O402" t="s">
        <v>37</v>
      </c>
      <c r="P402" t="s">
        <v>39</v>
      </c>
      <c r="Q402" t="s">
        <v>38</v>
      </c>
      <c r="R402">
        <v>0</v>
      </c>
      <c r="S402" t="s">
        <v>38</v>
      </c>
      <c r="T402">
        <v>8</v>
      </c>
      <c r="U402">
        <v>2.2000000000000002</v>
      </c>
      <c r="V402">
        <v>34.799999999999997</v>
      </c>
      <c r="W402" t="s">
        <v>39</v>
      </c>
      <c r="X402" t="s">
        <v>123</v>
      </c>
      <c r="Y402" t="s">
        <v>39</v>
      </c>
      <c r="Z402" t="s">
        <v>179</v>
      </c>
      <c r="AA402" t="s">
        <v>109</v>
      </c>
      <c r="AB402" t="s">
        <v>55</v>
      </c>
      <c r="AC402">
        <f t="shared" si="66"/>
        <v>0</v>
      </c>
      <c r="AD402" s="12">
        <f t="shared" si="70"/>
        <v>0</v>
      </c>
      <c r="AE402" s="12">
        <f t="shared" si="71"/>
        <v>1</v>
      </c>
      <c r="AF402">
        <f t="shared" si="67"/>
        <v>0</v>
      </c>
      <c r="AG402">
        <f t="shared" si="72"/>
        <v>0</v>
      </c>
      <c r="AH402">
        <f t="shared" si="73"/>
        <v>0</v>
      </c>
      <c r="AI402">
        <f t="shared" si="74"/>
        <v>0</v>
      </c>
      <c r="AJ402">
        <f t="shared" si="75"/>
        <v>1</v>
      </c>
      <c r="AK402">
        <f t="shared" si="68"/>
        <v>0</v>
      </c>
      <c r="AL402">
        <f t="shared" si="76"/>
        <v>0</v>
      </c>
    </row>
    <row r="403" spans="1:38">
      <c r="A403" t="s">
        <v>1336</v>
      </c>
      <c r="B403" t="s">
        <v>1337</v>
      </c>
      <c r="C403" s="1">
        <f t="shared" si="69"/>
        <v>45383</v>
      </c>
      <c r="D403" t="s">
        <v>1338</v>
      </c>
      <c r="E403">
        <v>113.3</v>
      </c>
      <c r="F403">
        <v>4.7</v>
      </c>
      <c r="G403" t="s">
        <v>30</v>
      </c>
      <c r="H403" t="s">
        <v>159</v>
      </c>
      <c r="I403" t="s">
        <v>48</v>
      </c>
      <c r="J403">
        <v>120</v>
      </c>
      <c r="K403" t="s">
        <v>49</v>
      </c>
      <c r="L403" t="s">
        <v>70</v>
      </c>
      <c r="M403" t="s">
        <v>35</v>
      </c>
      <c r="N403" t="s">
        <v>61</v>
      </c>
      <c r="O403" t="s">
        <v>7232</v>
      </c>
      <c r="P403" t="s">
        <v>39</v>
      </c>
      <c r="Q403" t="s">
        <v>38</v>
      </c>
      <c r="R403">
        <v>0</v>
      </c>
      <c r="S403" t="s">
        <v>39</v>
      </c>
      <c r="T403">
        <v>10</v>
      </c>
      <c r="U403">
        <v>2</v>
      </c>
      <c r="V403">
        <v>49.5</v>
      </c>
      <c r="W403" t="s">
        <v>39</v>
      </c>
      <c r="X403" t="s">
        <v>63</v>
      </c>
      <c r="Y403" t="s">
        <v>39</v>
      </c>
      <c r="Z403" t="s">
        <v>179</v>
      </c>
      <c r="AA403" t="s">
        <v>103</v>
      </c>
      <c r="AB403" t="s">
        <v>83</v>
      </c>
      <c r="AC403">
        <f t="shared" si="66"/>
        <v>0</v>
      </c>
      <c r="AD403" s="12">
        <f t="shared" si="70"/>
        <v>1</v>
      </c>
      <c r="AE403" s="12">
        <f t="shared" si="71"/>
        <v>0</v>
      </c>
      <c r="AF403">
        <f t="shared" si="67"/>
        <v>0</v>
      </c>
      <c r="AG403">
        <f t="shared" si="72"/>
        <v>1</v>
      </c>
      <c r="AH403">
        <f t="shared" si="73"/>
        <v>1</v>
      </c>
      <c r="AI403">
        <f t="shared" si="74"/>
        <v>0</v>
      </c>
      <c r="AJ403">
        <f t="shared" si="75"/>
        <v>0</v>
      </c>
      <c r="AK403">
        <f t="shared" si="68"/>
        <v>1</v>
      </c>
      <c r="AL403">
        <f t="shared" si="76"/>
        <v>0</v>
      </c>
    </row>
    <row r="404" spans="1:38">
      <c r="A404" t="s">
        <v>1339</v>
      </c>
      <c r="B404" t="s">
        <v>1340</v>
      </c>
      <c r="C404" s="1">
        <f t="shared" si="69"/>
        <v>45505</v>
      </c>
      <c r="D404" t="s">
        <v>1341</v>
      </c>
      <c r="E404">
        <v>222.8</v>
      </c>
      <c r="F404">
        <v>9.3000000000000007</v>
      </c>
      <c r="G404" t="s">
        <v>93</v>
      </c>
      <c r="H404" t="s">
        <v>94</v>
      </c>
      <c r="I404" t="s">
        <v>79</v>
      </c>
      <c r="J404">
        <v>360</v>
      </c>
      <c r="K404" t="s">
        <v>49</v>
      </c>
      <c r="L404" t="s">
        <v>113</v>
      </c>
      <c r="M404" t="s">
        <v>35</v>
      </c>
      <c r="N404" t="s">
        <v>80</v>
      </c>
      <c r="O404" t="s">
        <v>51</v>
      </c>
      <c r="P404" t="s">
        <v>39</v>
      </c>
      <c r="Q404" t="s">
        <v>38</v>
      </c>
      <c r="R404">
        <v>0</v>
      </c>
      <c r="S404" t="s">
        <v>38</v>
      </c>
      <c r="T404">
        <v>10</v>
      </c>
      <c r="U404">
        <v>3.4</v>
      </c>
      <c r="V404">
        <v>25</v>
      </c>
      <c r="W404" t="s">
        <v>39</v>
      </c>
      <c r="X404" t="s">
        <v>63</v>
      </c>
      <c r="Y404" t="s">
        <v>39</v>
      </c>
      <c r="Z404" t="s">
        <v>108</v>
      </c>
      <c r="AA404" t="s">
        <v>82</v>
      </c>
      <c r="AB404" t="s">
        <v>83</v>
      </c>
      <c r="AC404">
        <f t="shared" si="66"/>
        <v>0</v>
      </c>
      <c r="AD404" s="12">
        <f t="shared" si="70"/>
        <v>1</v>
      </c>
      <c r="AE404" s="12">
        <f t="shared" si="71"/>
        <v>0</v>
      </c>
      <c r="AF404">
        <f t="shared" si="67"/>
        <v>1</v>
      </c>
      <c r="AG404">
        <f t="shared" si="72"/>
        <v>0</v>
      </c>
      <c r="AH404">
        <f t="shared" si="73"/>
        <v>0</v>
      </c>
      <c r="AI404">
        <f t="shared" si="74"/>
        <v>0</v>
      </c>
      <c r="AJ404">
        <f t="shared" si="75"/>
        <v>0</v>
      </c>
      <c r="AK404">
        <f t="shared" si="68"/>
        <v>0</v>
      </c>
      <c r="AL404">
        <f t="shared" si="76"/>
        <v>0</v>
      </c>
    </row>
    <row r="405" spans="1:38">
      <c r="A405" t="s">
        <v>1342</v>
      </c>
      <c r="B405" t="s">
        <v>1343</v>
      </c>
      <c r="C405" s="1">
        <f t="shared" si="69"/>
        <v>45292</v>
      </c>
      <c r="D405" t="s">
        <v>1344</v>
      </c>
      <c r="E405">
        <v>92.6</v>
      </c>
      <c r="F405">
        <v>3.9</v>
      </c>
      <c r="G405" t="s">
        <v>87</v>
      </c>
      <c r="H405" t="s">
        <v>151</v>
      </c>
      <c r="I405" t="s">
        <v>48</v>
      </c>
      <c r="J405">
        <v>120</v>
      </c>
      <c r="K405" t="s">
        <v>49</v>
      </c>
      <c r="L405" t="s">
        <v>96</v>
      </c>
      <c r="M405" t="s">
        <v>71</v>
      </c>
      <c r="N405" t="s">
        <v>192</v>
      </c>
      <c r="O405" t="s">
        <v>7232</v>
      </c>
      <c r="P405" t="s">
        <v>38</v>
      </c>
      <c r="Q405" t="s">
        <v>39</v>
      </c>
      <c r="R405">
        <v>4</v>
      </c>
      <c r="S405" t="s">
        <v>38</v>
      </c>
      <c r="T405">
        <v>8</v>
      </c>
      <c r="U405">
        <v>4.9000000000000004</v>
      </c>
      <c r="V405">
        <v>26.5</v>
      </c>
      <c r="W405" t="s">
        <v>39</v>
      </c>
      <c r="X405" t="s">
        <v>63</v>
      </c>
      <c r="Y405" t="s">
        <v>39</v>
      </c>
      <c r="Z405" t="s">
        <v>73</v>
      </c>
      <c r="AA405" t="s">
        <v>82</v>
      </c>
      <c r="AB405" t="s">
        <v>55</v>
      </c>
      <c r="AC405">
        <f t="shared" si="66"/>
        <v>0</v>
      </c>
      <c r="AD405" s="12">
        <f t="shared" si="70"/>
        <v>1</v>
      </c>
      <c r="AE405" s="12">
        <f t="shared" si="71"/>
        <v>0</v>
      </c>
      <c r="AF405">
        <f t="shared" si="67"/>
        <v>0</v>
      </c>
      <c r="AG405">
        <f t="shared" si="72"/>
        <v>1</v>
      </c>
      <c r="AH405">
        <f t="shared" si="73"/>
        <v>1</v>
      </c>
      <c r="AI405">
        <f t="shared" si="74"/>
        <v>0</v>
      </c>
      <c r="AJ405">
        <f t="shared" si="75"/>
        <v>0</v>
      </c>
      <c r="AK405">
        <f t="shared" si="68"/>
        <v>0</v>
      </c>
      <c r="AL405">
        <f t="shared" si="76"/>
        <v>0</v>
      </c>
    </row>
    <row r="406" spans="1:38">
      <c r="A406" t="s">
        <v>1345</v>
      </c>
      <c r="B406" t="s">
        <v>1346</v>
      </c>
      <c r="C406" s="1">
        <f t="shared" si="69"/>
        <v>45413</v>
      </c>
      <c r="D406" t="s">
        <v>1347</v>
      </c>
      <c r="E406">
        <v>308.39999999999998</v>
      </c>
      <c r="F406">
        <v>12.9</v>
      </c>
      <c r="G406" t="s">
        <v>77</v>
      </c>
      <c r="H406" t="s">
        <v>187</v>
      </c>
      <c r="I406" t="s">
        <v>79</v>
      </c>
      <c r="J406">
        <v>360</v>
      </c>
      <c r="K406" t="s">
        <v>49</v>
      </c>
      <c r="L406" t="s">
        <v>133</v>
      </c>
      <c r="M406" t="s">
        <v>71</v>
      </c>
      <c r="N406" t="s">
        <v>220</v>
      </c>
      <c r="O406" t="s">
        <v>7232</v>
      </c>
      <c r="P406" t="s">
        <v>38</v>
      </c>
      <c r="Q406" t="s">
        <v>39</v>
      </c>
      <c r="R406">
        <v>1</v>
      </c>
      <c r="S406" t="s">
        <v>39</v>
      </c>
      <c r="T406">
        <v>10</v>
      </c>
      <c r="U406">
        <v>3.5</v>
      </c>
      <c r="V406">
        <v>7.5</v>
      </c>
      <c r="W406" t="s">
        <v>39</v>
      </c>
      <c r="X406" t="s">
        <v>63</v>
      </c>
      <c r="Y406" t="s">
        <v>39</v>
      </c>
      <c r="Z406" t="s">
        <v>81</v>
      </c>
      <c r="AA406" t="s">
        <v>82</v>
      </c>
      <c r="AB406" t="s">
        <v>55</v>
      </c>
      <c r="AC406">
        <f t="shared" si="66"/>
        <v>0</v>
      </c>
      <c r="AD406" s="12">
        <f t="shared" si="70"/>
        <v>1</v>
      </c>
      <c r="AE406" s="12">
        <f t="shared" si="71"/>
        <v>0</v>
      </c>
      <c r="AF406">
        <f t="shared" si="67"/>
        <v>0</v>
      </c>
      <c r="AG406">
        <f t="shared" si="72"/>
        <v>1</v>
      </c>
      <c r="AH406">
        <f t="shared" si="73"/>
        <v>0</v>
      </c>
      <c r="AI406">
        <f t="shared" si="74"/>
        <v>0</v>
      </c>
      <c r="AJ406">
        <f t="shared" si="75"/>
        <v>0</v>
      </c>
      <c r="AK406">
        <f t="shared" si="68"/>
        <v>0</v>
      </c>
      <c r="AL406">
        <f t="shared" si="76"/>
        <v>0</v>
      </c>
    </row>
    <row r="407" spans="1:38">
      <c r="A407" t="s">
        <v>1348</v>
      </c>
      <c r="B407" t="s">
        <v>1349</v>
      </c>
      <c r="C407" s="1">
        <f t="shared" si="69"/>
        <v>45627</v>
      </c>
      <c r="D407" t="s">
        <v>1350</v>
      </c>
      <c r="E407">
        <v>530.70000000000005</v>
      </c>
      <c r="F407">
        <v>22.1</v>
      </c>
      <c r="G407" t="s">
        <v>77</v>
      </c>
      <c r="H407" t="s">
        <v>244</v>
      </c>
      <c r="I407" t="s">
        <v>79</v>
      </c>
      <c r="J407">
        <v>360</v>
      </c>
      <c r="K407" t="s">
        <v>33</v>
      </c>
      <c r="L407" t="s">
        <v>96</v>
      </c>
      <c r="M407" t="s">
        <v>35</v>
      </c>
      <c r="N407" t="s">
        <v>202</v>
      </c>
      <c r="O407" t="s">
        <v>7232</v>
      </c>
      <c r="P407" t="s">
        <v>39</v>
      </c>
      <c r="Q407" t="s">
        <v>38</v>
      </c>
      <c r="R407">
        <v>0</v>
      </c>
      <c r="S407" t="s">
        <v>38</v>
      </c>
      <c r="T407">
        <v>6</v>
      </c>
      <c r="U407">
        <v>0.9</v>
      </c>
      <c r="V407">
        <v>15.6</v>
      </c>
      <c r="W407" t="s">
        <v>39</v>
      </c>
      <c r="X407" t="s">
        <v>123</v>
      </c>
      <c r="Y407" t="s">
        <v>39</v>
      </c>
      <c r="Z407" t="s">
        <v>64</v>
      </c>
      <c r="AA407" t="s">
        <v>42</v>
      </c>
      <c r="AB407" t="s">
        <v>83</v>
      </c>
      <c r="AC407">
        <f t="shared" si="66"/>
        <v>0</v>
      </c>
      <c r="AD407" s="12">
        <f t="shared" si="70"/>
        <v>0</v>
      </c>
      <c r="AE407" s="12">
        <f t="shared" si="71"/>
        <v>1</v>
      </c>
      <c r="AF407">
        <f t="shared" si="67"/>
        <v>0</v>
      </c>
      <c r="AG407">
        <f t="shared" si="72"/>
        <v>1</v>
      </c>
      <c r="AH407">
        <f t="shared" si="73"/>
        <v>0</v>
      </c>
      <c r="AI407">
        <f t="shared" si="74"/>
        <v>0</v>
      </c>
      <c r="AJ407">
        <f t="shared" si="75"/>
        <v>0</v>
      </c>
      <c r="AK407">
        <f t="shared" si="68"/>
        <v>0</v>
      </c>
      <c r="AL407">
        <f t="shared" si="76"/>
        <v>0</v>
      </c>
    </row>
    <row r="408" spans="1:38">
      <c r="A408" t="s">
        <v>1351</v>
      </c>
      <c r="B408" t="s">
        <v>1352</v>
      </c>
      <c r="C408" s="1">
        <f t="shared" si="69"/>
        <v>45352</v>
      </c>
      <c r="D408" t="s">
        <v>1353</v>
      </c>
      <c r="E408">
        <v>72.3</v>
      </c>
      <c r="F408">
        <v>3</v>
      </c>
      <c r="G408" t="s">
        <v>93</v>
      </c>
      <c r="H408" t="s">
        <v>449</v>
      </c>
      <c r="I408" t="s">
        <v>48</v>
      </c>
      <c r="J408">
        <v>120</v>
      </c>
      <c r="K408" t="s">
        <v>49</v>
      </c>
      <c r="L408" t="s">
        <v>70</v>
      </c>
      <c r="M408" t="s">
        <v>35</v>
      </c>
      <c r="N408" t="s">
        <v>220</v>
      </c>
      <c r="O408" t="s">
        <v>7232</v>
      </c>
      <c r="P408" t="s">
        <v>38</v>
      </c>
      <c r="Q408" t="s">
        <v>38</v>
      </c>
      <c r="R408">
        <v>1</v>
      </c>
      <c r="S408" t="s">
        <v>38</v>
      </c>
      <c r="T408">
        <v>8</v>
      </c>
      <c r="U408">
        <v>2.8</v>
      </c>
      <c r="V408">
        <v>18.3</v>
      </c>
      <c r="W408" t="s">
        <v>39</v>
      </c>
      <c r="X408" t="s">
        <v>63</v>
      </c>
      <c r="Y408" t="s">
        <v>39</v>
      </c>
      <c r="Z408" t="s">
        <v>41</v>
      </c>
      <c r="AA408" t="s">
        <v>82</v>
      </c>
      <c r="AB408" t="s">
        <v>83</v>
      </c>
      <c r="AC408">
        <f t="shared" si="66"/>
        <v>0</v>
      </c>
      <c r="AD408" s="12">
        <f t="shared" si="70"/>
        <v>1</v>
      </c>
      <c r="AE408" s="12">
        <f t="shared" si="71"/>
        <v>0</v>
      </c>
      <c r="AF408">
        <f t="shared" si="67"/>
        <v>0</v>
      </c>
      <c r="AG408">
        <f t="shared" si="72"/>
        <v>1</v>
      </c>
      <c r="AH408">
        <f t="shared" si="73"/>
        <v>1</v>
      </c>
      <c r="AI408">
        <f t="shared" si="74"/>
        <v>0</v>
      </c>
      <c r="AJ408">
        <f t="shared" si="75"/>
        <v>0</v>
      </c>
      <c r="AK408">
        <f t="shared" si="68"/>
        <v>0</v>
      </c>
      <c r="AL408">
        <f t="shared" si="76"/>
        <v>0</v>
      </c>
    </row>
    <row r="409" spans="1:38">
      <c r="A409" t="s">
        <v>1354</v>
      </c>
      <c r="B409" t="s">
        <v>1355</v>
      </c>
      <c r="C409" s="1">
        <f t="shared" si="69"/>
        <v>45383</v>
      </c>
      <c r="D409" t="s">
        <v>1356</v>
      </c>
      <c r="E409">
        <v>74.2</v>
      </c>
      <c r="F409">
        <v>3.1</v>
      </c>
      <c r="G409" t="s">
        <v>87</v>
      </c>
      <c r="H409" t="s">
        <v>88</v>
      </c>
      <c r="I409" t="s">
        <v>48</v>
      </c>
      <c r="J409">
        <v>120</v>
      </c>
      <c r="K409" t="s">
        <v>49</v>
      </c>
      <c r="L409" t="s">
        <v>113</v>
      </c>
      <c r="M409" t="s">
        <v>71</v>
      </c>
      <c r="N409" t="s">
        <v>506</v>
      </c>
      <c r="O409" t="s">
        <v>51</v>
      </c>
      <c r="P409" t="s">
        <v>38</v>
      </c>
      <c r="Q409" t="s">
        <v>39</v>
      </c>
      <c r="R409">
        <v>1</v>
      </c>
      <c r="S409" t="s">
        <v>38</v>
      </c>
      <c r="T409">
        <v>8</v>
      </c>
      <c r="U409">
        <v>0.3</v>
      </c>
      <c r="V409">
        <v>20.9</v>
      </c>
      <c r="W409" t="s">
        <v>38</v>
      </c>
      <c r="X409" t="s">
        <v>123</v>
      </c>
      <c r="Y409" t="s">
        <v>38</v>
      </c>
      <c r="Z409" t="s">
        <v>108</v>
      </c>
      <c r="AA409" t="s">
        <v>82</v>
      </c>
      <c r="AB409" t="s">
        <v>55</v>
      </c>
      <c r="AC409">
        <f t="shared" si="66"/>
        <v>0</v>
      </c>
      <c r="AD409" s="12">
        <f t="shared" si="70"/>
        <v>0</v>
      </c>
      <c r="AE409" s="12">
        <f t="shared" si="71"/>
        <v>1</v>
      </c>
      <c r="AF409">
        <f t="shared" si="67"/>
        <v>1</v>
      </c>
      <c r="AG409">
        <f t="shared" si="72"/>
        <v>0</v>
      </c>
      <c r="AH409">
        <f t="shared" si="73"/>
        <v>1</v>
      </c>
      <c r="AI409">
        <f t="shared" si="74"/>
        <v>0</v>
      </c>
      <c r="AJ409">
        <f t="shared" si="75"/>
        <v>0</v>
      </c>
      <c r="AK409">
        <f t="shared" si="68"/>
        <v>0</v>
      </c>
      <c r="AL409">
        <f t="shared" si="76"/>
        <v>1</v>
      </c>
    </row>
    <row r="410" spans="1:38">
      <c r="A410" t="s">
        <v>1357</v>
      </c>
      <c r="B410" t="s">
        <v>1358</v>
      </c>
      <c r="C410" s="1">
        <f t="shared" si="69"/>
        <v>45505</v>
      </c>
      <c r="D410" t="s">
        <v>1359</v>
      </c>
      <c r="E410">
        <v>329.4</v>
      </c>
      <c r="F410">
        <v>13.7</v>
      </c>
      <c r="G410" t="s">
        <v>142</v>
      </c>
      <c r="H410" t="s">
        <v>729</v>
      </c>
      <c r="I410" t="s">
        <v>79</v>
      </c>
      <c r="J410">
        <v>360</v>
      </c>
      <c r="K410" t="s">
        <v>49</v>
      </c>
      <c r="L410" t="s">
        <v>96</v>
      </c>
      <c r="M410" t="s">
        <v>35</v>
      </c>
      <c r="N410" t="s">
        <v>220</v>
      </c>
      <c r="O410" t="s">
        <v>51</v>
      </c>
      <c r="P410" t="s">
        <v>38</v>
      </c>
      <c r="Q410" t="s">
        <v>38</v>
      </c>
      <c r="R410">
        <v>1</v>
      </c>
      <c r="S410" t="s">
        <v>38</v>
      </c>
      <c r="T410">
        <v>9</v>
      </c>
      <c r="U410">
        <v>4</v>
      </c>
      <c r="V410">
        <v>0</v>
      </c>
      <c r="W410" t="s">
        <v>39</v>
      </c>
      <c r="X410" t="s">
        <v>123</v>
      </c>
      <c r="Y410" t="s">
        <v>39</v>
      </c>
      <c r="Z410" t="s">
        <v>108</v>
      </c>
      <c r="AA410" t="s">
        <v>103</v>
      </c>
      <c r="AB410" t="s">
        <v>43</v>
      </c>
      <c r="AC410">
        <f t="shared" si="66"/>
        <v>0</v>
      </c>
      <c r="AD410" s="12">
        <f t="shared" si="70"/>
        <v>0</v>
      </c>
      <c r="AE410" s="12">
        <f t="shared" si="71"/>
        <v>1</v>
      </c>
      <c r="AF410">
        <f t="shared" si="67"/>
        <v>1</v>
      </c>
      <c r="AG410">
        <f t="shared" si="72"/>
        <v>0</v>
      </c>
      <c r="AH410">
        <f t="shared" si="73"/>
        <v>0</v>
      </c>
      <c r="AI410">
        <f t="shared" si="74"/>
        <v>0</v>
      </c>
      <c r="AJ410">
        <f t="shared" si="75"/>
        <v>0</v>
      </c>
      <c r="AK410">
        <f t="shared" si="68"/>
        <v>0</v>
      </c>
      <c r="AL410">
        <f t="shared" si="76"/>
        <v>0</v>
      </c>
    </row>
    <row r="411" spans="1:38">
      <c r="A411" t="s">
        <v>1360</v>
      </c>
      <c r="B411" t="s">
        <v>1361</v>
      </c>
      <c r="C411" s="1">
        <f t="shared" si="69"/>
        <v>45383</v>
      </c>
      <c r="D411" t="s">
        <v>1362</v>
      </c>
      <c r="E411">
        <v>88.2</v>
      </c>
      <c r="F411">
        <v>3.7</v>
      </c>
      <c r="G411" t="s">
        <v>101</v>
      </c>
      <c r="H411" t="s">
        <v>295</v>
      </c>
      <c r="I411" t="s">
        <v>48</v>
      </c>
      <c r="J411">
        <v>120</v>
      </c>
      <c r="K411" t="s">
        <v>49</v>
      </c>
      <c r="L411" t="s">
        <v>96</v>
      </c>
      <c r="M411" t="s">
        <v>35</v>
      </c>
      <c r="N411" t="s">
        <v>89</v>
      </c>
      <c r="O411" t="s">
        <v>51</v>
      </c>
      <c r="P411" t="s">
        <v>38</v>
      </c>
      <c r="Q411" t="s">
        <v>38</v>
      </c>
      <c r="R411">
        <v>1</v>
      </c>
      <c r="S411" t="s">
        <v>38</v>
      </c>
      <c r="T411">
        <v>7</v>
      </c>
      <c r="U411">
        <v>1</v>
      </c>
      <c r="V411">
        <v>4.5999999999999996</v>
      </c>
      <c r="W411" t="s">
        <v>38</v>
      </c>
      <c r="X411" t="s">
        <v>123</v>
      </c>
      <c r="Y411" t="s">
        <v>38</v>
      </c>
      <c r="Z411" t="s">
        <v>81</v>
      </c>
      <c r="AA411" t="s">
        <v>54</v>
      </c>
      <c r="AB411" t="s">
        <v>55</v>
      </c>
      <c r="AC411">
        <f t="shared" si="66"/>
        <v>0</v>
      </c>
      <c r="AD411" s="12">
        <f t="shared" si="70"/>
        <v>0</v>
      </c>
      <c r="AE411" s="12">
        <f t="shared" si="71"/>
        <v>1</v>
      </c>
      <c r="AF411">
        <f t="shared" si="67"/>
        <v>1</v>
      </c>
      <c r="AG411">
        <f t="shared" si="72"/>
        <v>0</v>
      </c>
      <c r="AH411">
        <f t="shared" si="73"/>
        <v>1</v>
      </c>
      <c r="AI411">
        <f t="shared" si="74"/>
        <v>0</v>
      </c>
      <c r="AJ411">
        <f t="shared" si="75"/>
        <v>0</v>
      </c>
      <c r="AK411">
        <f t="shared" si="68"/>
        <v>0</v>
      </c>
      <c r="AL411">
        <f t="shared" si="76"/>
        <v>1</v>
      </c>
    </row>
    <row r="412" spans="1:38">
      <c r="A412" t="s">
        <v>1363</v>
      </c>
      <c r="B412" t="s">
        <v>1364</v>
      </c>
      <c r="C412" s="1">
        <f t="shared" si="69"/>
        <v>45505</v>
      </c>
      <c r="D412" t="s">
        <v>1365</v>
      </c>
      <c r="E412">
        <v>216.4</v>
      </c>
      <c r="F412">
        <v>9</v>
      </c>
      <c r="G412" t="s">
        <v>68</v>
      </c>
      <c r="H412" t="s">
        <v>219</v>
      </c>
      <c r="I412" t="s">
        <v>32</v>
      </c>
      <c r="J412">
        <v>240</v>
      </c>
      <c r="K412" t="s">
        <v>49</v>
      </c>
      <c r="L412" t="s">
        <v>96</v>
      </c>
      <c r="M412" t="s">
        <v>71</v>
      </c>
      <c r="N412" t="s">
        <v>299</v>
      </c>
      <c r="O412" t="s">
        <v>51</v>
      </c>
      <c r="P412" t="s">
        <v>38</v>
      </c>
      <c r="Q412" t="s">
        <v>39</v>
      </c>
      <c r="R412">
        <v>3</v>
      </c>
      <c r="S412" t="s">
        <v>39</v>
      </c>
      <c r="T412">
        <v>9</v>
      </c>
      <c r="U412">
        <v>2.8</v>
      </c>
      <c r="V412">
        <v>13.2</v>
      </c>
      <c r="W412" t="s">
        <v>39</v>
      </c>
      <c r="X412" t="s">
        <v>52</v>
      </c>
      <c r="Y412" t="s">
        <v>39</v>
      </c>
      <c r="Z412" t="s">
        <v>179</v>
      </c>
      <c r="AA412" t="s">
        <v>54</v>
      </c>
      <c r="AB412" t="s">
        <v>83</v>
      </c>
      <c r="AC412">
        <f t="shared" si="66"/>
        <v>1</v>
      </c>
      <c r="AD412" s="12">
        <f t="shared" si="70"/>
        <v>0</v>
      </c>
      <c r="AE412" s="12">
        <f t="shared" si="71"/>
        <v>0</v>
      </c>
      <c r="AF412">
        <f t="shared" si="67"/>
        <v>1</v>
      </c>
      <c r="AG412">
        <f t="shared" si="72"/>
        <v>0</v>
      </c>
      <c r="AH412">
        <f t="shared" si="73"/>
        <v>0</v>
      </c>
      <c r="AI412">
        <f t="shared" si="74"/>
        <v>0</v>
      </c>
      <c r="AJ412">
        <f t="shared" si="75"/>
        <v>1</v>
      </c>
      <c r="AK412">
        <f t="shared" si="68"/>
        <v>0</v>
      </c>
      <c r="AL412">
        <f t="shared" si="76"/>
        <v>0</v>
      </c>
    </row>
    <row r="413" spans="1:38">
      <c r="A413" t="s">
        <v>1366</v>
      </c>
      <c r="B413" t="s">
        <v>1367</v>
      </c>
      <c r="C413" s="1">
        <f t="shared" si="69"/>
        <v>45536</v>
      </c>
      <c r="D413" t="s">
        <v>1368</v>
      </c>
      <c r="E413">
        <v>215.2</v>
      </c>
      <c r="F413">
        <v>9</v>
      </c>
      <c r="G413" t="s">
        <v>142</v>
      </c>
      <c r="H413" t="s">
        <v>240</v>
      </c>
      <c r="I413" t="s">
        <v>32</v>
      </c>
      <c r="J413">
        <v>240</v>
      </c>
      <c r="K413" t="s">
        <v>49</v>
      </c>
      <c r="L413" t="s">
        <v>34</v>
      </c>
      <c r="M413" t="s">
        <v>35</v>
      </c>
      <c r="N413" t="s">
        <v>168</v>
      </c>
      <c r="O413" t="s">
        <v>7232</v>
      </c>
      <c r="P413" t="s">
        <v>38</v>
      </c>
      <c r="Q413" t="s">
        <v>38</v>
      </c>
      <c r="R413">
        <v>1</v>
      </c>
      <c r="S413" t="s">
        <v>38</v>
      </c>
      <c r="T413">
        <v>7</v>
      </c>
      <c r="U413">
        <v>3.9</v>
      </c>
      <c r="V413">
        <v>11.3</v>
      </c>
      <c r="W413" t="s">
        <v>38</v>
      </c>
      <c r="X413" t="s">
        <v>63</v>
      </c>
      <c r="Y413" t="s">
        <v>38</v>
      </c>
      <c r="Z413" t="s">
        <v>81</v>
      </c>
      <c r="AA413" t="s">
        <v>54</v>
      </c>
      <c r="AB413" t="s">
        <v>55</v>
      </c>
      <c r="AC413">
        <f t="shared" si="66"/>
        <v>0</v>
      </c>
      <c r="AD413" s="12">
        <f t="shared" si="70"/>
        <v>1</v>
      </c>
      <c r="AE413" s="12">
        <f t="shared" si="71"/>
        <v>0</v>
      </c>
      <c r="AF413">
        <f t="shared" si="67"/>
        <v>0</v>
      </c>
      <c r="AG413">
        <f t="shared" si="72"/>
        <v>1</v>
      </c>
      <c r="AH413">
        <f t="shared" si="73"/>
        <v>0</v>
      </c>
      <c r="AI413">
        <f t="shared" si="74"/>
        <v>0</v>
      </c>
      <c r="AJ413">
        <f t="shared" si="75"/>
        <v>1</v>
      </c>
      <c r="AK413">
        <f t="shared" si="68"/>
        <v>0</v>
      </c>
      <c r="AL413">
        <f t="shared" si="76"/>
        <v>1</v>
      </c>
    </row>
    <row r="414" spans="1:38">
      <c r="A414" t="s">
        <v>1369</v>
      </c>
      <c r="B414" t="s">
        <v>1370</v>
      </c>
      <c r="C414" s="1">
        <f t="shared" si="69"/>
        <v>45474</v>
      </c>
      <c r="D414" t="s">
        <v>1371</v>
      </c>
      <c r="E414">
        <v>187</v>
      </c>
      <c r="F414">
        <v>7.8</v>
      </c>
      <c r="G414" t="s">
        <v>59</v>
      </c>
      <c r="H414" t="s">
        <v>227</v>
      </c>
      <c r="I414" t="s">
        <v>32</v>
      </c>
      <c r="J414">
        <v>240</v>
      </c>
      <c r="K414" t="s">
        <v>49</v>
      </c>
      <c r="L414" t="s">
        <v>34</v>
      </c>
      <c r="M414" t="s">
        <v>71</v>
      </c>
      <c r="N414" t="s">
        <v>277</v>
      </c>
      <c r="O414" t="s">
        <v>37</v>
      </c>
      <c r="P414" t="s">
        <v>38</v>
      </c>
      <c r="Q414" t="s">
        <v>39</v>
      </c>
      <c r="R414">
        <v>2</v>
      </c>
      <c r="S414" t="s">
        <v>38</v>
      </c>
      <c r="T414">
        <v>7</v>
      </c>
      <c r="U414">
        <v>0.7</v>
      </c>
      <c r="V414">
        <v>13.7</v>
      </c>
      <c r="W414" t="s">
        <v>38</v>
      </c>
      <c r="X414" t="s">
        <v>123</v>
      </c>
      <c r="Y414" t="s">
        <v>38</v>
      </c>
      <c r="Z414" t="s">
        <v>115</v>
      </c>
      <c r="AA414" t="s">
        <v>54</v>
      </c>
      <c r="AB414" t="s">
        <v>83</v>
      </c>
      <c r="AC414">
        <f t="shared" si="66"/>
        <v>0</v>
      </c>
      <c r="AD414" s="12">
        <f t="shared" si="70"/>
        <v>0</v>
      </c>
      <c r="AE414" s="12">
        <f t="shared" si="71"/>
        <v>1</v>
      </c>
      <c r="AF414">
        <f t="shared" si="67"/>
        <v>0</v>
      </c>
      <c r="AG414">
        <f t="shared" si="72"/>
        <v>0</v>
      </c>
      <c r="AH414">
        <f t="shared" si="73"/>
        <v>0</v>
      </c>
      <c r="AI414">
        <f t="shared" si="74"/>
        <v>0</v>
      </c>
      <c r="AJ414">
        <f t="shared" si="75"/>
        <v>1</v>
      </c>
      <c r="AK414">
        <f t="shared" si="68"/>
        <v>0</v>
      </c>
      <c r="AL414">
        <f t="shared" si="76"/>
        <v>1</v>
      </c>
    </row>
    <row r="415" spans="1:38">
      <c r="A415" t="s">
        <v>1372</v>
      </c>
      <c r="B415" t="s">
        <v>1373</v>
      </c>
      <c r="C415" s="1">
        <f t="shared" si="69"/>
        <v>45413</v>
      </c>
      <c r="D415" t="s">
        <v>1374</v>
      </c>
      <c r="E415">
        <v>814.6</v>
      </c>
      <c r="F415">
        <v>33.9</v>
      </c>
      <c r="G415" t="s">
        <v>77</v>
      </c>
      <c r="H415" t="s">
        <v>78</v>
      </c>
      <c r="I415" t="s">
        <v>79</v>
      </c>
      <c r="J415">
        <v>360</v>
      </c>
      <c r="K415" t="s">
        <v>33</v>
      </c>
      <c r="L415" t="s">
        <v>70</v>
      </c>
      <c r="M415" t="s">
        <v>35</v>
      </c>
      <c r="N415" t="s">
        <v>72</v>
      </c>
      <c r="O415" t="s">
        <v>37</v>
      </c>
      <c r="P415" t="s">
        <v>38</v>
      </c>
      <c r="Q415" t="s">
        <v>38</v>
      </c>
      <c r="R415">
        <v>1</v>
      </c>
      <c r="S415" t="s">
        <v>38</v>
      </c>
      <c r="T415">
        <v>7</v>
      </c>
      <c r="U415">
        <v>5.5</v>
      </c>
      <c r="V415">
        <v>42.5</v>
      </c>
      <c r="W415" t="s">
        <v>38</v>
      </c>
      <c r="X415" t="s">
        <v>52</v>
      </c>
      <c r="Y415" t="s">
        <v>39</v>
      </c>
      <c r="Z415" t="s">
        <v>73</v>
      </c>
      <c r="AA415" t="s">
        <v>109</v>
      </c>
      <c r="AB415" t="s">
        <v>55</v>
      </c>
      <c r="AC415">
        <f t="shared" si="66"/>
        <v>1</v>
      </c>
      <c r="AD415" s="12">
        <f t="shared" si="70"/>
        <v>0</v>
      </c>
      <c r="AE415" s="12">
        <f t="shared" si="71"/>
        <v>0</v>
      </c>
      <c r="AF415">
        <f t="shared" si="67"/>
        <v>0</v>
      </c>
      <c r="AG415">
        <f t="shared" si="72"/>
        <v>0</v>
      </c>
      <c r="AH415">
        <f t="shared" si="73"/>
        <v>0</v>
      </c>
      <c r="AI415">
        <f t="shared" si="74"/>
        <v>0</v>
      </c>
      <c r="AJ415">
        <f t="shared" si="75"/>
        <v>0</v>
      </c>
      <c r="AK415">
        <f t="shared" si="68"/>
        <v>0</v>
      </c>
      <c r="AL415">
        <f t="shared" si="76"/>
        <v>0</v>
      </c>
    </row>
    <row r="416" spans="1:38">
      <c r="A416" t="s">
        <v>1375</v>
      </c>
      <c r="B416" t="s">
        <v>1376</v>
      </c>
      <c r="C416" s="1">
        <f t="shared" si="69"/>
        <v>45383</v>
      </c>
      <c r="D416" t="s">
        <v>1377</v>
      </c>
      <c r="E416">
        <v>153.69999999999999</v>
      </c>
      <c r="F416">
        <v>6.4</v>
      </c>
      <c r="G416" t="s">
        <v>142</v>
      </c>
      <c r="H416" t="s">
        <v>240</v>
      </c>
      <c r="I416" t="s">
        <v>32</v>
      </c>
      <c r="J416">
        <v>240</v>
      </c>
      <c r="K416" t="s">
        <v>49</v>
      </c>
      <c r="L416" t="s">
        <v>96</v>
      </c>
      <c r="M416" t="s">
        <v>35</v>
      </c>
      <c r="N416" t="s">
        <v>80</v>
      </c>
      <c r="O416" t="s">
        <v>51</v>
      </c>
      <c r="P416" t="s">
        <v>38</v>
      </c>
      <c r="Q416" t="s">
        <v>38</v>
      </c>
      <c r="R416">
        <v>1</v>
      </c>
      <c r="S416" t="s">
        <v>38</v>
      </c>
      <c r="T416">
        <v>7</v>
      </c>
      <c r="U416">
        <v>3</v>
      </c>
      <c r="V416">
        <v>2.5</v>
      </c>
      <c r="W416" t="s">
        <v>39</v>
      </c>
      <c r="X416" t="s">
        <v>123</v>
      </c>
      <c r="Y416" t="s">
        <v>39</v>
      </c>
      <c r="Z416" t="s">
        <v>115</v>
      </c>
      <c r="AA416" t="s">
        <v>42</v>
      </c>
      <c r="AB416" t="s">
        <v>55</v>
      </c>
      <c r="AC416">
        <f t="shared" si="66"/>
        <v>0</v>
      </c>
      <c r="AD416" s="12">
        <f t="shared" si="70"/>
        <v>0</v>
      </c>
      <c r="AE416" s="12">
        <f t="shared" si="71"/>
        <v>1</v>
      </c>
      <c r="AF416">
        <f t="shared" si="67"/>
        <v>1</v>
      </c>
      <c r="AG416">
        <f t="shared" si="72"/>
        <v>0</v>
      </c>
      <c r="AH416">
        <f t="shared" si="73"/>
        <v>0</v>
      </c>
      <c r="AI416">
        <f t="shared" si="74"/>
        <v>0</v>
      </c>
      <c r="AJ416">
        <f t="shared" si="75"/>
        <v>1</v>
      </c>
      <c r="AK416">
        <f t="shared" si="68"/>
        <v>0</v>
      </c>
      <c r="AL416">
        <f t="shared" si="76"/>
        <v>0</v>
      </c>
    </row>
    <row r="417" spans="1:38">
      <c r="A417" t="s">
        <v>1378</v>
      </c>
      <c r="B417" t="s">
        <v>1379</v>
      </c>
      <c r="C417" s="1">
        <f t="shared" si="69"/>
        <v>45474</v>
      </c>
      <c r="D417" t="s">
        <v>1380</v>
      </c>
      <c r="E417">
        <v>225.7</v>
      </c>
      <c r="F417">
        <v>9.4</v>
      </c>
      <c r="G417" t="s">
        <v>77</v>
      </c>
      <c r="H417" t="s">
        <v>244</v>
      </c>
      <c r="I417" t="s">
        <v>32</v>
      </c>
      <c r="J417">
        <v>240</v>
      </c>
      <c r="K417" t="s">
        <v>49</v>
      </c>
      <c r="L417" t="s">
        <v>70</v>
      </c>
      <c r="M417" t="s">
        <v>35</v>
      </c>
      <c r="N417" t="s">
        <v>144</v>
      </c>
      <c r="O417" t="s">
        <v>7232</v>
      </c>
      <c r="P417" t="s">
        <v>39</v>
      </c>
      <c r="Q417" t="s">
        <v>38</v>
      </c>
      <c r="R417">
        <v>0</v>
      </c>
      <c r="S417" t="s">
        <v>38</v>
      </c>
      <c r="T417">
        <v>10</v>
      </c>
      <c r="U417">
        <v>3.3</v>
      </c>
      <c r="V417">
        <v>24.9</v>
      </c>
      <c r="W417" t="s">
        <v>39</v>
      </c>
      <c r="X417" t="s">
        <v>52</v>
      </c>
      <c r="Y417" t="s">
        <v>39</v>
      </c>
      <c r="Z417" t="s">
        <v>41</v>
      </c>
      <c r="AA417" t="s">
        <v>54</v>
      </c>
      <c r="AB417" t="s">
        <v>83</v>
      </c>
      <c r="AC417">
        <f t="shared" si="66"/>
        <v>1</v>
      </c>
      <c r="AD417" s="12">
        <f t="shared" si="70"/>
        <v>0</v>
      </c>
      <c r="AE417" s="12">
        <f t="shared" si="71"/>
        <v>0</v>
      </c>
      <c r="AF417">
        <f t="shared" si="67"/>
        <v>0</v>
      </c>
      <c r="AG417">
        <f t="shared" si="72"/>
        <v>1</v>
      </c>
      <c r="AH417">
        <f t="shared" si="73"/>
        <v>0</v>
      </c>
      <c r="AI417">
        <f t="shared" si="74"/>
        <v>0</v>
      </c>
      <c r="AJ417">
        <f t="shared" si="75"/>
        <v>1</v>
      </c>
      <c r="AK417">
        <f t="shared" si="68"/>
        <v>0</v>
      </c>
      <c r="AL417">
        <f t="shared" si="76"/>
        <v>0</v>
      </c>
    </row>
    <row r="418" spans="1:38">
      <c r="A418" t="s">
        <v>1381</v>
      </c>
      <c r="B418" t="s">
        <v>1382</v>
      </c>
      <c r="C418" s="1">
        <f t="shared" si="69"/>
        <v>45383</v>
      </c>
      <c r="D418" t="s">
        <v>1383</v>
      </c>
      <c r="E418">
        <v>226.8</v>
      </c>
      <c r="F418">
        <v>9.5</v>
      </c>
      <c r="G418" t="s">
        <v>68</v>
      </c>
      <c r="H418" t="s">
        <v>69</v>
      </c>
      <c r="I418" t="s">
        <v>32</v>
      </c>
      <c r="J418">
        <v>240</v>
      </c>
      <c r="K418" t="s">
        <v>49</v>
      </c>
      <c r="L418" t="s">
        <v>70</v>
      </c>
      <c r="M418" t="s">
        <v>35</v>
      </c>
      <c r="N418" t="s">
        <v>202</v>
      </c>
      <c r="O418" t="s">
        <v>51</v>
      </c>
      <c r="P418" t="s">
        <v>38</v>
      </c>
      <c r="Q418" t="s">
        <v>38</v>
      </c>
      <c r="R418">
        <v>1</v>
      </c>
      <c r="S418" t="s">
        <v>38</v>
      </c>
      <c r="T418">
        <v>6</v>
      </c>
      <c r="U418">
        <v>2.8</v>
      </c>
      <c r="V418">
        <v>17</v>
      </c>
      <c r="W418" t="s">
        <v>39</v>
      </c>
      <c r="X418" t="s">
        <v>52</v>
      </c>
      <c r="Y418" t="s">
        <v>39</v>
      </c>
      <c r="Z418" t="s">
        <v>115</v>
      </c>
      <c r="AA418" t="s">
        <v>82</v>
      </c>
      <c r="AB418" t="s">
        <v>55</v>
      </c>
      <c r="AC418">
        <f t="shared" si="66"/>
        <v>1</v>
      </c>
      <c r="AD418" s="12">
        <f t="shared" si="70"/>
        <v>0</v>
      </c>
      <c r="AE418" s="12">
        <f t="shared" si="71"/>
        <v>0</v>
      </c>
      <c r="AF418">
        <f t="shared" si="67"/>
        <v>1</v>
      </c>
      <c r="AG418">
        <f t="shared" si="72"/>
        <v>0</v>
      </c>
      <c r="AH418">
        <f t="shared" si="73"/>
        <v>0</v>
      </c>
      <c r="AI418">
        <f t="shared" si="74"/>
        <v>0</v>
      </c>
      <c r="AJ418">
        <f t="shared" si="75"/>
        <v>1</v>
      </c>
      <c r="AK418">
        <f t="shared" si="68"/>
        <v>0</v>
      </c>
      <c r="AL418">
        <f t="shared" si="76"/>
        <v>0</v>
      </c>
    </row>
    <row r="419" spans="1:38">
      <c r="A419" t="s">
        <v>1384</v>
      </c>
      <c r="B419" t="s">
        <v>1385</v>
      </c>
      <c r="C419" s="1">
        <f t="shared" si="69"/>
        <v>45413</v>
      </c>
      <c r="D419" t="s">
        <v>1386</v>
      </c>
      <c r="E419">
        <v>192.8</v>
      </c>
      <c r="F419">
        <v>8</v>
      </c>
      <c r="G419" t="s">
        <v>59</v>
      </c>
      <c r="H419" t="s">
        <v>466</v>
      </c>
      <c r="I419" t="s">
        <v>32</v>
      </c>
      <c r="J419">
        <v>240</v>
      </c>
      <c r="K419" t="s">
        <v>49</v>
      </c>
      <c r="L419" t="s">
        <v>133</v>
      </c>
      <c r="M419" t="s">
        <v>71</v>
      </c>
      <c r="N419" t="s">
        <v>134</v>
      </c>
      <c r="O419" t="s">
        <v>7232</v>
      </c>
      <c r="P419" t="s">
        <v>38</v>
      </c>
      <c r="Q419" t="s">
        <v>39</v>
      </c>
      <c r="R419">
        <v>1</v>
      </c>
      <c r="S419" t="s">
        <v>38</v>
      </c>
      <c r="T419">
        <v>7</v>
      </c>
      <c r="U419">
        <v>1.1000000000000001</v>
      </c>
      <c r="V419">
        <v>16.5</v>
      </c>
      <c r="W419" t="s">
        <v>38</v>
      </c>
      <c r="X419" t="s">
        <v>40</v>
      </c>
      <c r="Y419" t="s">
        <v>39</v>
      </c>
      <c r="Z419" t="s">
        <v>179</v>
      </c>
      <c r="AA419" t="s">
        <v>54</v>
      </c>
      <c r="AB419" t="s">
        <v>55</v>
      </c>
      <c r="AC419">
        <f t="shared" si="66"/>
        <v>0</v>
      </c>
      <c r="AD419" s="12">
        <f t="shared" si="70"/>
        <v>0</v>
      </c>
      <c r="AE419" s="12">
        <f t="shared" si="71"/>
        <v>0</v>
      </c>
      <c r="AF419">
        <f t="shared" si="67"/>
        <v>0</v>
      </c>
      <c r="AG419">
        <f t="shared" si="72"/>
        <v>1</v>
      </c>
      <c r="AH419">
        <f t="shared" si="73"/>
        <v>0</v>
      </c>
      <c r="AI419">
        <f t="shared" si="74"/>
        <v>0</v>
      </c>
      <c r="AJ419">
        <f t="shared" si="75"/>
        <v>1</v>
      </c>
      <c r="AK419">
        <f t="shared" si="68"/>
        <v>0</v>
      </c>
      <c r="AL419">
        <f t="shared" si="76"/>
        <v>0</v>
      </c>
    </row>
    <row r="420" spans="1:38">
      <c r="A420" t="s">
        <v>1387</v>
      </c>
      <c r="B420" t="s">
        <v>1388</v>
      </c>
      <c r="C420" s="1">
        <f t="shared" si="69"/>
        <v>45566</v>
      </c>
      <c r="D420" t="s">
        <v>1389</v>
      </c>
      <c r="E420">
        <v>106.9</v>
      </c>
      <c r="F420">
        <v>4.5</v>
      </c>
      <c r="G420" t="s">
        <v>142</v>
      </c>
      <c r="H420" t="s">
        <v>319</v>
      </c>
      <c r="I420" t="s">
        <v>48</v>
      </c>
      <c r="J420">
        <v>120</v>
      </c>
      <c r="K420" t="s">
        <v>49</v>
      </c>
      <c r="L420" t="s">
        <v>70</v>
      </c>
      <c r="M420" t="s">
        <v>71</v>
      </c>
      <c r="N420" t="s">
        <v>61</v>
      </c>
      <c r="O420" t="s">
        <v>51</v>
      </c>
      <c r="P420" t="s">
        <v>38</v>
      </c>
      <c r="Q420" t="s">
        <v>39</v>
      </c>
      <c r="R420">
        <v>4</v>
      </c>
      <c r="S420" t="s">
        <v>38</v>
      </c>
      <c r="T420">
        <v>7</v>
      </c>
      <c r="U420">
        <v>3</v>
      </c>
      <c r="V420">
        <v>45.3</v>
      </c>
      <c r="W420" t="s">
        <v>39</v>
      </c>
      <c r="X420" t="s">
        <v>63</v>
      </c>
      <c r="Y420" t="s">
        <v>39</v>
      </c>
      <c r="Z420" t="s">
        <v>41</v>
      </c>
      <c r="AA420" t="s">
        <v>109</v>
      </c>
      <c r="AB420" t="s">
        <v>43</v>
      </c>
      <c r="AC420">
        <f t="shared" si="66"/>
        <v>0</v>
      </c>
      <c r="AD420" s="12">
        <f t="shared" si="70"/>
        <v>1</v>
      </c>
      <c r="AE420" s="12">
        <f t="shared" si="71"/>
        <v>0</v>
      </c>
      <c r="AF420">
        <f t="shared" si="67"/>
        <v>1</v>
      </c>
      <c r="AG420">
        <f t="shared" si="72"/>
        <v>0</v>
      </c>
      <c r="AH420">
        <f t="shared" si="73"/>
        <v>1</v>
      </c>
      <c r="AI420">
        <f t="shared" si="74"/>
        <v>0</v>
      </c>
      <c r="AJ420">
        <f t="shared" si="75"/>
        <v>0</v>
      </c>
      <c r="AK420">
        <f t="shared" si="68"/>
        <v>0</v>
      </c>
      <c r="AL420">
        <f t="shared" si="76"/>
        <v>0</v>
      </c>
    </row>
    <row r="421" spans="1:38">
      <c r="A421" t="s">
        <v>1390</v>
      </c>
      <c r="B421" t="s">
        <v>1391</v>
      </c>
      <c r="C421" s="1">
        <f t="shared" si="69"/>
        <v>45413</v>
      </c>
      <c r="D421" t="s">
        <v>1392</v>
      </c>
      <c r="E421">
        <v>518.5</v>
      </c>
      <c r="F421">
        <v>21.6</v>
      </c>
      <c r="G421" t="s">
        <v>77</v>
      </c>
      <c r="H421" t="s">
        <v>267</v>
      </c>
      <c r="I421" t="s">
        <v>79</v>
      </c>
      <c r="J421">
        <v>360</v>
      </c>
      <c r="K421" t="s">
        <v>33</v>
      </c>
      <c r="L421" t="s">
        <v>96</v>
      </c>
      <c r="M421" t="s">
        <v>35</v>
      </c>
      <c r="N421" t="s">
        <v>50</v>
      </c>
      <c r="O421" t="s">
        <v>7232</v>
      </c>
      <c r="P421" t="s">
        <v>39</v>
      </c>
      <c r="Q421" t="s">
        <v>38</v>
      </c>
      <c r="R421">
        <v>0</v>
      </c>
      <c r="S421" t="s">
        <v>39</v>
      </c>
      <c r="T421">
        <v>8</v>
      </c>
      <c r="U421">
        <v>0.7</v>
      </c>
      <c r="V421">
        <v>25.4</v>
      </c>
      <c r="W421" t="s">
        <v>38</v>
      </c>
      <c r="X421" t="s">
        <v>123</v>
      </c>
      <c r="Y421" t="s">
        <v>39</v>
      </c>
      <c r="Z421" t="s">
        <v>179</v>
      </c>
      <c r="AA421" t="s">
        <v>54</v>
      </c>
      <c r="AB421" t="s">
        <v>83</v>
      </c>
      <c r="AC421">
        <f t="shared" si="66"/>
        <v>0</v>
      </c>
      <c r="AD421" s="12">
        <f t="shared" si="70"/>
        <v>0</v>
      </c>
      <c r="AE421" s="12">
        <f t="shared" si="71"/>
        <v>1</v>
      </c>
      <c r="AF421">
        <f t="shared" si="67"/>
        <v>0</v>
      </c>
      <c r="AG421">
        <f t="shared" si="72"/>
        <v>1</v>
      </c>
      <c r="AH421">
        <f t="shared" si="73"/>
        <v>0</v>
      </c>
      <c r="AI421">
        <f t="shared" si="74"/>
        <v>0</v>
      </c>
      <c r="AJ421">
        <f t="shared" si="75"/>
        <v>0</v>
      </c>
      <c r="AK421">
        <f t="shared" si="68"/>
        <v>0</v>
      </c>
      <c r="AL421">
        <f t="shared" si="76"/>
        <v>0</v>
      </c>
    </row>
    <row r="422" spans="1:38">
      <c r="A422" t="s">
        <v>1393</v>
      </c>
      <c r="B422" t="s">
        <v>1394</v>
      </c>
      <c r="C422" s="1">
        <f t="shared" si="69"/>
        <v>45627</v>
      </c>
      <c r="D422" t="s">
        <v>1395</v>
      </c>
      <c r="E422">
        <v>224</v>
      </c>
      <c r="F422">
        <v>9.3000000000000007</v>
      </c>
      <c r="G422" t="s">
        <v>101</v>
      </c>
      <c r="H422" t="s">
        <v>102</v>
      </c>
      <c r="I422" t="s">
        <v>32</v>
      </c>
      <c r="J422">
        <v>240</v>
      </c>
      <c r="K422" t="s">
        <v>49</v>
      </c>
      <c r="L422" t="s">
        <v>70</v>
      </c>
      <c r="M422" t="s">
        <v>35</v>
      </c>
      <c r="N422" t="s">
        <v>220</v>
      </c>
      <c r="O422" t="s">
        <v>37</v>
      </c>
      <c r="P422" t="s">
        <v>39</v>
      </c>
      <c r="Q422" t="s">
        <v>38</v>
      </c>
      <c r="R422">
        <v>0</v>
      </c>
      <c r="S422" t="s">
        <v>38</v>
      </c>
      <c r="T422">
        <v>10</v>
      </c>
      <c r="U422">
        <v>3.3</v>
      </c>
      <c r="V422">
        <v>14.5</v>
      </c>
      <c r="W422" t="s">
        <v>38</v>
      </c>
      <c r="X422" t="s">
        <v>40</v>
      </c>
      <c r="Y422" t="s">
        <v>38</v>
      </c>
      <c r="Z422" t="s">
        <v>41</v>
      </c>
      <c r="AA422" t="s">
        <v>54</v>
      </c>
      <c r="AB422" t="s">
        <v>55</v>
      </c>
      <c r="AC422">
        <f t="shared" si="66"/>
        <v>0</v>
      </c>
      <c r="AD422" s="12">
        <f t="shared" si="70"/>
        <v>0</v>
      </c>
      <c r="AE422" s="12">
        <f t="shared" si="71"/>
        <v>0</v>
      </c>
      <c r="AF422">
        <f t="shared" si="67"/>
        <v>0</v>
      </c>
      <c r="AG422">
        <f t="shared" si="72"/>
        <v>0</v>
      </c>
      <c r="AH422">
        <f t="shared" si="73"/>
        <v>0</v>
      </c>
      <c r="AI422">
        <f t="shared" si="74"/>
        <v>0</v>
      </c>
      <c r="AJ422">
        <f t="shared" si="75"/>
        <v>1</v>
      </c>
      <c r="AK422">
        <f t="shared" si="68"/>
        <v>0</v>
      </c>
      <c r="AL422">
        <f t="shared" si="76"/>
        <v>1</v>
      </c>
    </row>
    <row r="423" spans="1:38">
      <c r="A423" t="s">
        <v>1396</v>
      </c>
      <c r="B423" t="s">
        <v>1397</v>
      </c>
      <c r="C423" s="1">
        <f t="shared" si="69"/>
        <v>45413</v>
      </c>
      <c r="D423" t="s">
        <v>1398</v>
      </c>
      <c r="E423">
        <v>95.7</v>
      </c>
      <c r="F423">
        <v>4</v>
      </c>
      <c r="G423" t="s">
        <v>87</v>
      </c>
      <c r="H423" t="s">
        <v>183</v>
      </c>
      <c r="I423" t="s">
        <v>48</v>
      </c>
      <c r="J423">
        <v>120</v>
      </c>
      <c r="K423" t="s">
        <v>49</v>
      </c>
      <c r="L423" t="s">
        <v>133</v>
      </c>
      <c r="M423" t="s">
        <v>35</v>
      </c>
      <c r="N423" t="s">
        <v>220</v>
      </c>
      <c r="O423" t="s">
        <v>7232</v>
      </c>
      <c r="P423" t="s">
        <v>38</v>
      </c>
      <c r="Q423" t="s">
        <v>38</v>
      </c>
      <c r="R423">
        <v>1</v>
      </c>
      <c r="S423" t="s">
        <v>38</v>
      </c>
      <c r="T423">
        <v>9</v>
      </c>
      <c r="U423">
        <v>1.8</v>
      </c>
      <c r="V423">
        <v>20.5</v>
      </c>
      <c r="W423" t="s">
        <v>39</v>
      </c>
      <c r="X423" t="s">
        <v>40</v>
      </c>
      <c r="Y423" t="s">
        <v>39</v>
      </c>
      <c r="Z423" t="s">
        <v>81</v>
      </c>
      <c r="AA423" t="s">
        <v>103</v>
      </c>
      <c r="AB423" t="s">
        <v>43</v>
      </c>
      <c r="AC423">
        <f t="shared" si="66"/>
        <v>0</v>
      </c>
      <c r="AD423" s="12">
        <f t="shared" si="70"/>
        <v>0</v>
      </c>
      <c r="AE423" s="12">
        <f t="shared" si="71"/>
        <v>0</v>
      </c>
      <c r="AF423">
        <f t="shared" si="67"/>
        <v>0</v>
      </c>
      <c r="AG423">
        <f t="shared" si="72"/>
        <v>1</v>
      </c>
      <c r="AH423">
        <f t="shared" si="73"/>
        <v>1</v>
      </c>
      <c r="AI423">
        <f t="shared" si="74"/>
        <v>0</v>
      </c>
      <c r="AJ423">
        <f t="shared" si="75"/>
        <v>0</v>
      </c>
      <c r="AK423">
        <f t="shared" si="68"/>
        <v>0</v>
      </c>
      <c r="AL423">
        <f t="shared" si="76"/>
        <v>0</v>
      </c>
    </row>
    <row r="424" spans="1:38">
      <c r="A424" t="s">
        <v>1399</v>
      </c>
      <c r="B424" t="s">
        <v>1400</v>
      </c>
      <c r="C424" s="1">
        <f t="shared" si="69"/>
        <v>45566</v>
      </c>
      <c r="D424" t="s">
        <v>1401</v>
      </c>
      <c r="E424">
        <v>218.3</v>
      </c>
      <c r="F424">
        <v>9.1</v>
      </c>
      <c r="G424" t="s">
        <v>30</v>
      </c>
      <c r="H424" t="s">
        <v>31</v>
      </c>
      <c r="I424" t="s">
        <v>32</v>
      </c>
      <c r="J424">
        <v>240</v>
      </c>
      <c r="K424" t="s">
        <v>49</v>
      </c>
      <c r="L424" t="s">
        <v>96</v>
      </c>
      <c r="M424" t="s">
        <v>35</v>
      </c>
      <c r="N424" t="s">
        <v>414</v>
      </c>
      <c r="O424" t="s">
        <v>37</v>
      </c>
      <c r="P424" t="s">
        <v>39</v>
      </c>
      <c r="Q424" t="s">
        <v>38</v>
      </c>
      <c r="R424">
        <v>0</v>
      </c>
      <c r="S424" t="s">
        <v>38</v>
      </c>
      <c r="T424">
        <v>10</v>
      </c>
      <c r="U424">
        <v>0.4</v>
      </c>
      <c r="V424">
        <v>16</v>
      </c>
      <c r="W424" t="s">
        <v>39</v>
      </c>
      <c r="X424" t="s">
        <v>123</v>
      </c>
      <c r="Y424" t="s">
        <v>39</v>
      </c>
      <c r="Z424" t="s">
        <v>73</v>
      </c>
      <c r="AA424" t="s">
        <v>42</v>
      </c>
      <c r="AB424" t="s">
        <v>83</v>
      </c>
      <c r="AC424">
        <f t="shared" si="66"/>
        <v>0</v>
      </c>
      <c r="AD424" s="12">
        <f t="shared" si="70"/>
        <v>0</v>
      </c>
      <c r="AE424" s="12">
        <f t="shared" si="71"/>
        <v>1</v>
      </c>
      <c r="AF424">
        <f t="shared" si="67"/>
        <v>0</v>
      </c>
      <c r="AG424">
        <f t="shared" si="72"/>
        <v>0</v>
      </c>
      <c r="AH424">
        <f t="shared" si="73"/>
        <v>0</v>
      </c>
      <c r="AI424">
        <f t="shared" si="74"/>
        <v>0</v>
      </c>
      <c r="AJ424">
        <f t="shared" si="75"/>
        <v>1</v>
      </c>
      <c r="AK424">
        <f t="shared" si="68"/>
        <v>1</v>
      </c>
      <c r="AL424">
        <f t="shared" si="76"/>
        <v>0</v>
      </c>
    </row>
    <row r="425" spans="1:38">
      <c r="A425" t="s">
        <v>1402</v>
      </c>
      <c r="B425" t="s">
        <v>1403</v>
      </c>
      <c r="C425" s="1">
        <f t="shared" si="69"/>
        <v>45536</v>
      </c>
      <c r="D425" t="s">
        <v>1404</v>
      </c>
      <c r="E425">
        <v>79.900000000000006</v>
      </c>
      <c r="F425">
        <v>3.3</v>
      </c>
      <c r="G425" t="s">
        <v>142</v>
      </c>
      <c r="H425" t="s">
        <v>729</v>
      </c>
      <c r="I425" t="s">
        <v>48</v>
      </c>
      <c r="J425">
        <v>120</v>
      </c>
      <c r="K425" t="s">
        <v>49</v>
      </c>
      <c r="L425" t="s">
        <v>34</v>
      </c>
      <c r="M425" t="s">
        <v>35</v>
      </c>
      <c r="N425" t="s">
        <v>202</v>
      </c>
      <c r="O425" t="s">
        <v>51</v>
      </c>
      <c r="P425" t="s">
        <v>38</v>
      </c>
      <c r="Q425" t="s">
        <v>38</v>
      </c>
      <c r="R425">
        <v>1</v>
      </c>
      <c r="S425" t="s">
        <v>38</v>
      </c>
      <c r="T425">
        <v>10</v>
      </c>
      <c r="U425">
        <v>2.9</v>
      </c>
      <c r="V425">
        <v>12.7</v>
      </c>
      <c r="W425" t="s">
        <v>39</v>
      </c>
      <c r="X425" t="s">
        <v>52</v>
      </c>
      <c r="Y425" t="s">
        <v>39</v>
      </c>
      <c r="Z425" t="s">
        <v>179</v>
      </c>
      <c r="AA425" t="s">
        <v>42</v>
      </c>
      <c r="AB425" t="s">
        <v>43</v>
      </c>
      <c r="AC425">
        <f t="shared" si="66"/>
        <v>1</v>
      </c>
      <c r="AD425" s="12">
        <f t="shared" si="70"/>
        <v>0</v>
      </c>
      <c r="AE425" s="12">
        <f t="shared" si="71"/>
        <v>0</v>
      </c>
      <c r="AF425">
        <f t="shared" si="67"/>
        <v>1</v>
      </c>
      <c r="AG425">
        <f t="shared" si="72"/>
        <v>0</v>
      </c>
      <c r="AH425">
        <f t="shared" si="73"/>
        <v>1</v>
      </c>
      <c r="AI425">
        <f t="shared" si="74"/>
        <v>0</v>
      </c>
      <c r="AJ425">
        <f t="shared" si="75"/>
        <v>0</v>
      </c>
      <c r="AK425">
        <f t="shared" si="68"/>
        <v>0</v>
      </c>
      <c r="AL425">
        <f t="shared" si="76"/>
        <v>0</v>
      </c>
    </row>
    <row r="426" spans="1:38">
      <c r="A426" t="s">
        <v>1405</v>
      </c>
      <c r="B426" t="s">
        <v>1406</v>
      </c>
      <c r="C426" s="1">
        <f t="shared" si="69"/>
        <v>45444</v>
      </c>
      <c r="D426" t="s">
        <v>1407</v>
      </c>
      <c r="E426">
        <v>99.7</v>
      </c>
      <c r="F426">
        <v>4.2</v>
      </c>
      <c r="G426" t="s">
        <v>87</v>
      </c>
      <c r="H426" t="s">
        <v>183</v>
      </c>
      <c r="I426" t="s">
        <v>48</v>
      </c>
      <c r="J426">
        <v>120</v>
      </c>
      <c r="K426" t="s">
        <v>49</v>
      </c>
      <c r="L426" t="s">
        <v>70</v>
      </c>
      <c r="M426" t="s">
        <v>35</v>
      </c>
      <c r="N426" t="s">
        <v>50</v>
      </c>
      <c r="O426" t="s">
        <v>51</v>
      </c>
      <c r="P426" t="s">
        <v>39</v>
      </c>
      <c r="Q426" t="s">
        <v>38</v>
      </c>
      <c r="R426">
        <v>0</v>
      </c>
      <c r="S426" t="s">
        <v>38</v>
      </c>
      <c r="T426">
        <v>10</v>
      </c>
      <c r="U426">
        <v>1.9</v>
      </c>
      <c r="V426">
        <v>30.2</v>
      </c>
      <c r="W426" t="s">
        <v>38</v>
      </c>
      <c r="X426" t="s">
        <v>40</v>
      </c>
      <c r="Y426" t="s">
        <v>39</v>
      </c>
      <c r="Z426" t="s">
        <v>81</v>
      </c>
      <c r="AA426" t="s">
        <v>54</v>
      </c>
      <c r="AB426" t="s">
        <v>83</v>
      </c>
      <c r="AC426">
        <f t="shared" si="66"/>
        <v>0</v>
      </c>
      <c r="AD426" s="12">
        <f t="shared" si="70"/>
        <v>0</v>
      </c>
      <c r="AE426" s="12">
        <f t="shared" si="71"/>
        <v>0</v>
      </c>
      <c r="AF426">
        <f t="shared" si="67"/>
        <v>1</v>
      </c>
      <c r="AG426">
        <f t="shared" si="72"/>
        <v>0</v>
      </c>
      <c r="AH426">
        <f t="shared" si="73"/>
        <v>1</v>
      </c>
      <c r="AI426">
        <f t="shared" si="74"/>
        <v>0</v>
      </c>
      <c r="AJ426">
        <f t="shared" si="75"/>
        <v>0</v>
      </c>
      <c r="AK426">
        <f t="shared" si="68"/>
        <v>0</v>
      </c>
      <c r="AL426">
        <f t="shared" si="76"/>
        <v>0</v>
      </c>
    </row>
    <row r="427" spans="1:38">
      <c r="A427" t="s">
        <v>1408</v>
      </c>
      <c r="B427" t="s">
        <v>1409</v>
      </c>
      <c r="C427" s="1">
        <f t="shared" si="69"/>
        <v>45597</v>
      </c>
      <c r="D427" t="s">
        <v>1410</v>
      </c>
      <c r="E427">
        <v>208</v>
      </c>
      <c r="F427">
        <v>8.6999999999999993</v>
      </c>
      <c r="G427" t="s">
        <v>30</v>
      </c>
      <c r="H427" t="s">
        <v>47</v>
      </c>
      <c r="I427" t="s">
        <v>32</v>
      </c>
      <c r="J427">
        <v>240</v>
      </c>
      <c r="K427" t="s">
        <v>49</v>
      </c>
      <c r="L427" t="s">
        <v>96</v>
      </c>
      <c r="M427" t="s">
        <v>35</v>
      </c>
      <c r="N427" t="s">
        <v>168</v>
      </c>
      <c r="O427" t="s">
        <v>7232</v>
      </c>
      <c r="P427" t="s">
        <v>39</v>
      </c>
      <c r="Q427" t="s">
        <v>38</v>
      </c>
      <c r="R427">
        <v>0</v>
      </c>
      <c r="S427" t="s">
        <v>38</v>
      </c>
      <c r="T427">
        <v>10</v>
      </c>
      <c r="U427">
        <v>0.1</v>
      </c>
      <c r="V427">
        <v>28.1</v>
      </c>
      <c r="W427" t="s">
        <v>38</v>
      </c>
      <c r="X427" t="s">
        <v>123</v>
      </c>
      <c r="Y427" t="s">
        <v>38</v>
      </c>
      <c r="Z427" t="s">
        <v>41</v>
      </c>
      <c r="AA427" t="s">
        <v>82</v>
      </c>
      <c r="AB427" t="s">
        <v>55</v>
      </c>
      <c r="AC427">
        <f t="shared" si="66"/>
        <v>0</v>
      </c>
      <c r="AD427" s="12">
        <f t="shared" si="70"/>
        <v>0</v>
      </c>
      <c r="AE427" s="12">
        <f t="shared" si="71"/>
        <v>1</v>
      </c>
      <c r="AF427">
        <f t="shared" si="67"/>
        <v>0</v>
      </c>
      <c r="AG427">
        <f t="shared" si="72"/>
        <v>1</v>
      </c>
      <c r="AH427">
        <f t="shared" si="73"/>
        <v>0</v>
      </c>
      <c r="AI427">
        <f t="shared" si="74"/>
        <v>0</v>
      </c>
      <c r="AJ427">
        <f t="shared" si="75"/>
        <v>1</v>
      </c>
      <c r="AK427">
        <f t="shared" si="68"/>
        <v>1</v>
      </c>
      <c r="AL427">
        <f t="shared" si="76"/>
        <v>1</v>
      </c>
    </row>
    <row r="428" spans="1:38">
      <c r="A428" t="s">
        <v>1411</v>
      </c>
      <c r="B428" t="s">
        <v>1412</v>
      </c>
      <c r="C428" s="1">
        <f t="shared" si="69"/>
        <v>45566</v>
      </c>
      <c r="D428" t="s">
        <v>1413</v>
      </c>
      <c r="E428">
        <v>40.9</v>
      </c>
      <c r="F428">
        <v>1.7</v>
      </c>
      <c r="G428" t="s">
        <v>93</v>
      </c>
      <c r="H428" t="s">
        <v>449</v>
      </c>
      <c r="I428" t="s">
        <v>95</v>
      </c>
      <c r="J428">
        <v>48</v>
      </c>
      <c r="K428" t="s">
        <v>49</v>
      </c>
      <c r="L428" t="s">
        <v>34</v>
      </c>
      <c r="M428" t="s">
        <v>35</v>
      </c>
      <c r="N428" t="s">
        <v>80</v>
      </c>
      <c r="O428" t="s">
        <v>51</v>
      </c>
      <c r="P428" t="s">
        <v>39</v>
      </c>
      <c r="Q428" t="s">
        <v>38</v>
      </c>
      <c r="R428">
        <v>0</v>
      </c>
      <c r="S428" t="s">
        <v>38</v>
      </c>
      <c r="T428">
        <v>10</v>
      </c>
      <c r="U428">
        <v>3.5</v>
      </c>
      <c r="V428">
        <v>36.4</v>
      </c>
      <c r="W428" t="s">
        <v>39</v>
      </c>
      <c r="X428" t="s">
        <v>52</v>
      </c>
      <c r="Y428" t="s">
        <v>39</v>
      </c>
      <c r="Z428" t="s">
        <v>64</v>
      </c>
      <c r="AA428" t="s">
        <v>82</v>
      </c>
      <c r="AB428" t="s">
        <v>83</v>
      </c>
      <c r="AC428">
        <f t="shared" si="66"/>
        <v>1</v>
      </c>
      <c r="AD428" s="12">
        <f t="shared" si="70"/>
        <v>0</v>
      </c>
      <c r="AE428" s="12">
        <f t="shared" si="71"/>
        <v>0</v>
      </c>
      <c r="AF428">
        <f t="shared" si="67"/>
        <v>1</v>
      </c>
      <c r="AG428">
        <f t="shared" si="72"/>
        <v>0</v>
      </c>
      <c r="AH428">
        <f t="shared" si="73"/>
        <v>0</v>
      </c>
      <c r="AI428">
        <f t="shared" si="74"/>
        <v>1</v>
      </c>
      <c r="AJ428">
        <f t="shared" si="75"/>
        <v>0</v>
      </c>
      <c r="AK428">
        <f t="shared" si="68"/>
        <v>0</v>
      </c>
      <c r="AL428">
        <f t="shared" si="76"/>
        <v>0</v>
      </c>
    </row>
    <row r="429" spans="1:38">
      <c r="A429" t="s">
        <v>1414</v>
      </c>
      <c r="B429" t="s">
        <v>1415</v>
      </c>
      <c r="C429" s="1">
        <f t="shared" si="69"/>
        <v>45474</v>
      </c>
      <c r="D429" t="s">
        <v>1416</v>
      </c>
      <c r="E429">
        <v>169.7</v>
      </c>
      <c r="F429">
        <v>7.1</v>
      </c>
      <c r="G429" t="s">
        <v>30</v>
      </c>
      <c r="H429" t="s">
        <v>31</v>
      </c>
      <c r="I429" t="s">
        <v>32</v>
      </c>
      <c r="J429">
        <v>240</v>
      </c>
      <c r="K429" t="s">
        <v>49</v>
      </c>
      <c r="L429" t="s">
        <v>34</v>
      </c>
      <c r="M429" t="s">
        <v>35</v>
      </c>
      <c r="N429" t="s">
        <v>128</v>
      </c>
      <c r="O429" t="s">
        <v>7232</v>
      </c>
      <c r="P429" t="s">
        <v>38</v>
      </c>
      <c r="Q429" t="s">
        <v>38</v>
      </c>
      <c r="R429">
        <v>1</v>
      </c>
      <c r="S429" t="s">
        <v>39</v>
      </c>
      <c r="T429">
        <v>10</v>
      </c>
      <c r="U429">
        <v>0.1</v>
      </c>
      <c r="V429">
        <v>16.399999999999999</v>
      </c>
      <c r="W429" t="s">
        <v>38</v>
      </c>
      <c r="X429" t="s">
        <v>123</v>
      </c>
      <c r="Y429" t="s">
        <v>39</v>
      </c>
      <c r="Z429" t="s">
        <v>115</v>
      </c>
      <c r="AA429" t="s">
        <v>42</v>
      </c>
      <c r="AB429" t="s">
        <v>55</v>
      </c>
      <c r="AC429">
        <f t="shared" si="66"/>
        <v>0</v>
      </c>
      <c r="AD429" s="12">
        <f t="shared" si="70"/>
        <v>0</v>
      </c>
      <c r="AE429" s="12">
        <f t="shared" si="71"/>
        <v>1</v>
      </c>
      <c r="AF429">
        <f t="shared" si="67"/>
        <v>0</v>
      </c>
      <c r="AG429">
        <f t="shared" si="72"/>
        <v>1</v>
      </c>
      <c r="AH429">
        <f t="shared" si="73"/>
        <v>0</v>
      </c>
      <c r="AI429">
        <f t="shared" si="74"/>
        <v>0</v>
      </c>
      <c r="AJ429">
        <f t="shared" si="75"/>
        <v>1</v>
      </c>
      <c r="AK429">
        <f t="shared" si="68"/>
        <v>1</v>
      </c>
      <c r="AL429">
        <f t="shared" si="76"/>
        <v>0</v>
      </c>
    </row>
    <row r="430" spans="1:38">
      <c r="A430" t="s">
        <v>1417</v>
      </c>
      <c r="B430" t="s">
        <v>1418</v>
      </c>
      <c r="C430" s="1">
        <f t="shared" si="69"/>
        <v>45597</v>
      </c>
      <c r="D430" t="s">
        <v>1419</v>
      </c>
      <c r="E430">
        <v>184.9</v>
      </c>
      <c r="F430">
        <v>7.7</v>
      </c>
      <c r="G430" t="s">
        <v>77</v>
      </c>
      <c r="H430" t="s">
        <v>78</v>
      </c>
      <c r="I430" t="s">
        <v>32</v>
      </c>
      <c r="J430">
        <v>240</v>
      </c>
      <c r="K430" t="s">
        <v>49</v>
      </c>
      <c r="L430" t="s">
        <v>133</v>
      </c>
      <c r="M430" t="s">
        <v>71</v>
      </c>
      <c r="N430" t="s">
        <v>89</v>
      </c>
      <c r="O430" t="s">
        <v>7232</v>
      </c>
      <c r="P430" t="s">
        <v>38</v>
      </c>
      <c r="Q430" t="s">
        <v>39</v>
      </c>
      <c r="R430">
        <v>2</v>
      </c>
      <c r="S430" t="s">
        <v>38</v>
      </c>
      <c r="T430">
        <v>5</v>
      </c>
      <c r="U430">
        <v>1.3</v>
      </c>
      <c r="V430">
        <v>15.9</v>
      </c>
      <c r="W430" t="s">
        <v>39</v>
      </c>
      <c r="X430" t="s">
        <v>63</v>
      </c>
      <c r="Y430" t="s">
        <v>38</v>
      </c>
      <c r="Z430" t="s">
        <v>53</v>
      </c>
      <c r="AA430" t="s">
        <v>109</v>
      </c>
      <c r="AB430" t="s">
        <v>55</v>
      </c>
      <c r="AC430">
        <f t="shared" si="66"/>
        <v>0</v>
      </c>
      <c r="AD430" s="12">
        <f t="shared" si="70"/>
        <v>1</v>
      </c>
      <c r="AE430" s="12">
        <f t="shared" si="71"/>
        <v>0</v>
      </c>
      <c r="AF430">
        <f t="shared" si="67"/>
        <v>0</v>
      </c>
      <c r="AG430">
        <f t="shared" si="72"/>
        <v>1</v>
      </c>
      <c r="AH430">
        <f t="shared" si="73"/>
        <v>0</v>
      </c>
      <c r="AI430">
        <f t="shared" si="74"/>
        <v>0</v>
      </c>
      <c r="AJ430">
        <f t="shared" si="75"/>
        <v>1</v>
      </c>
      <c r="AK430">
        <f t="shared" si="68"/>
        <v>0</v>
      </c>
      <c r="AL430">
        <f t="shared" si="76"/>
        <v>1</v>
      </c>
    </row>
    <row r="431" spans="1:38">
      <c r="A431" t="s">
        <v>1420</v>
      </c>
      <c r="B431" t="s">
        <v>1421</v>
      </c>
      <c r="C431" s="1">
        <f t="shared" si="69"/>
        <v>45566</v>
      </c>
      <c r="D431" t="s">
        <v>1422</v>
      </c>
      <c r="E431">
        <v>311.60000000000002</v>
      </c>
      <c r="F431">
        <v>13</v>
      </c>
      <c r="G431" t="s">
        <v>93</v>
      </c>
      <c r="H431" t="s">
        <v>94</v>
      </c>
      <c r="I431" t="s">
        <v>79</v>
      </c>
      <c r="J431">
        <v>360</v>
      </c>
      <c r="K431" t="s">
        <v>49</v>
      </c>
      <c r="L431" t="s">
        <v>96</v>
      </c>
      <c r="M431" t="s">
        <v>71</v>
      </c>
      <c r="N431" t="s">
        <v>128</v>
      </c>
      <c r="O431" t="s">
        <v>7232</v>
      </c>
      <c r="P431" t="s">
        <v>38</v>
      </c>
      <c r="Q431" t="s">
        <v>39</v>
      </c>
      <c r="R431">
        <v>2</v>
      </c>
      <c r="S431" t="s">
        <v>38</v>
      </c>
      <c r="T431">
        <v>8</v>
      </c>
      <c r="U431">
        <v>1.5</v>
      </c>
      <c r="V431">
        <v>50.3</v>
      </c>
      <c r="W431" t="s">
        <v>38</v>
      </c>
      <c r="X431" t="s">
        <v>123</v>
      </c>
      <c r="Y431" t="s">
        <v>38</v>
      </c>
      <c r="Z431" t="s">
        <v>108</v>
      </c>
      <c r="AA431" t="s">
        <v>42</v>
      </c>
      <c r="AB431" t="s">
        <v>83</v>
      </c>
      <c r="AC431">
        <f t="shared" si="66"/>
        <v>0</v>
      </c>
      <c r="AD431" s="12">
        <f t="shared" si="70"/>
        <v>0</v>
      </c>
      <c r="AE431" s="12">
        <f t="shared" si="71"/>
        <v>1</v>
      </c>
      <c r="AF431">
        <f t="shared" si="67"/>
        <v>0</v>
      </c>
      <c r="AG431">
        <f t="shared" si="72"/>
        <v>1</v>
      </c>
      <c r="AH431">
        <f t="shared" si="73"/>
        <v>0</v>
      </c>
      <c r="AI431">
        <f t="shared" si="74"/>
        <v>0</v>
      </c>
      <c r="AJ431">
        <f t="shared" si="75"/>
        <v>0</v>
      </c>
      <c r="AK431">
        <f t="shared" si="68"/>
        <v>0</v>
      </c>
      <c r="AL431">
        <f t="shared" si="76"/>
        <v>1</v>
      </c>
    </row>
    <row r="432" spans="1:38">
      <c r="A432" t="s">
        <v>1423</v>
      </c>
      <c r="B432" t="s">
        <v>1424</v>
      </c>
      <c r="C432" s="1">
        <f t="shared" si="69"/>
        <v>45536</v>
      </c>
      <c r="D432" t="s">
        <v>1425</v>
      </c>
      <c r="E432">
        <v>146</v>
      </c>
      <c r="F432">
        <v>6.1</v>
      </c>
      <c r="G432" t="s">
        <v>93</v>
      </c>
      <c r="H432" t="s">
        <v>94</v>
      </c>
      <c r="I432" t="s">
        <v>32</v>
      </c>
      <c r="J432">
        <v>240</v>
      </c>
      <c r="K432" t="s">
        <v>49</v>
      </c>
      <c r="L432" t="s">
        <v>70</v>
      </c>
      <c r="M432" t="s">
        <v>35</v>
      </c>
      <c r="N432" t="s">
        <v>61</v>
      </c>
      <c r="O432" t="s">
        <v>7232</v>
      </c>
      <c r="P432" t="s">
        <v>38</v>
      </c>
      <c r="Q432" t="s">
        <v>38</v>
      </c>
      <c r="R432">
        <v>1</v>
      </c>
      <c r="S432" t="s">
        <v>38</v>
      </c>
      <c r="T432">
        <v>7</v>
      </c>
      <c r="U432">
        <v>3.3</v>
      </c>
      <c r="V432">
        <v>4</v>
      </c>
      <c r="W432" t="s">
        <v>38</v>
      </c>
      <c r="X432" t="s">
        <v>52</v>
      </c>
      <c r="Y432" t="s">
        <v>39</v>
      </c>
      <c r="Z432" t="s">
        <v>81</v>
      </c>
      <c r="AA432" t="s">
        <v>54</v>
      </c>
      <c r="AB432" t="s">
        <v>55</v>
      </c>
      <c r="AC432">
        <f t="shared" si="66"/>
        <v>1</v>
      </c>
      <c r="AD432" s="12">
        <f t="shared" si="70"/>
        <v>0</v>
      </c>
      <c r="AE432" s="12">
        <f t="shared" si="71"/>
        <v>0</v>
      </c>
      <c r="AF432">
        <f t="shared" si="67"/>
        <v>0</v>
      </c>
      <c r="AG432">
        <f t="shared" si="72"/>
        <v>1</v>
      </c>
      <c r="AH432">
        <f t="shared" si="73"/>
        <v>0</v>
      </c>
      <c r="AI432">
        <f t="shared" si="74"/>
        <v>0</v>
      </c>
      <c r="AJ432">
        <f t="shared" si="75"/>
        <v>1</v>
      </c>
      <c r="AK432">
        <f t="shared" si="68"/>
        <v>0</v>
      </c>
      <c r="AL432">
        <f t="shared" si="76"/>
        <v>0</v>
      </c>
    </row>
    <row r="433" spans="1:38">
      <c r="A433" t="s">
        <v>1426</v>
      </c>
      <c r="B433" t="s">
        <v>1427</v>
      </c>
      <c r="C433" s="1">
        <f t="shared" si="69"/>
        <v>45627</v>
      </c>
      <c r="D433" t="s">
        <v>1428</v>
      </c>
      <c r="E433">
        <v>264.7</v>
      </c>
      <c r="F433">
        <v>11</v>
      </c>
      <c r="G433" t="s">
        <v>77</v>
      </c>
      <c r="H433" t="s">
        <v>267</v>
      </c>
      <c r="I433" t="s">
        <v>79</v>
      </c>
      <c r="J433">
        <v>360</v>
      </c>
      <c r="K433" t="s">
        <v>49</v>
      </c>
      <c r="L433" t="s">
        <v>113</v>
      </c>
      <c r="M433" t="s">
        <v>35</v>
      </c>
      <c r="N433" t="s">
        <v>168</v>
      </c>
      <c r="O433" t="s">
        <v>51</v>
      </c>
      <c r="P433" t="s">
        <v>38</v>
      </c>
      <c r="Q433" t="s">
        <v>38</v>
      </c>
      <c r="R433">
        <v>1</v>
      </c>
      <c r="S433" t="s">
        <v>38</v>
      </c>
      <c r="T433">
        <v>7</v>
      </c>
      <c r="U433">
        <v>1.5</v>
      </c>
      <c r="V433">
        <v>3.6</v>
      </c>
      <c r="W433" t="s">
        <v>39</v>
      </c>
      <c r="X433" t="s">
        <v>52</v>
      </c>
      <c r="Y433" t="s">
        <v>38</v>
      </c>
      <c r="Z433" t="s">
        <v>179</v>
      </c>
      <c r="AA433" t="s">
        <v>54</v>
      </c>
      <c r="AB433" t="s">
        <v>43</v>
      </c>
      <c r="AC433">
        <f t="shared" si="66"/>
        <v>1</v>
      </c>
      <c r="AD433" s="12">
        <f t="shared" si="70"/>
        <v>0</v>
      </c>
      <c r="AE433" s="12">
        <f t="shared" si="71"/>
        <v>0</v>
      </c>
      <c r="AF433">
        <f t="shared" si="67"/>
        <v>1</v>
      </c>
      <c r="AG433">
        <f t="shared" si="72"/>
        <v>0</v>
      </c>
      <c r="AH433">
        <f t="shared" si="73"/>
        <v>0</v>
      </c>
      <c r="AI433">
        <f t="shared" si="74"/>
        <v>0</v>
      </c>
      <c r="AJ433">
        <f t="shared" si="75"/>
        <v>0</v>
      </c>
      <c r="AK433">
        <f t="shared" si="68"/>
        <v>0</v>
      </c>
      <c r="AL433">
        <f t="shared" si="76"/>
        <v>1</v>
      </c>
    </row>
    <row r="434" spans="1:38">
      <c r="A434" t="s">
        <v>1429</v>
      </c>
      <c r="B434" t="s">
        <v>1430</v>
      </c>
      <c r="C434" s="1">
        <f t="shared" si="69"/>
        <v>45413</v>
      </c>
      <c r="D434" t="s">
        <v>1431</v>
      </c>
      <c r="E434">
        <v>327.5</v>
      </c>
      <c r="F434">
        <v>13.6</v>
      </c>
      <c r="G434" t="s">
        <v>101</v>
      </c>
      <c r="H434" t="s">
        <v>442</v>
      </c>
      <c r="I434" t="s">
        <v>79</v>
      </c>
      <c r="J434">
        <v>360</v>
      </c>
      <c r="K434" t="s">
        <v>49</v>
      </c>
      <c r="L434" t="s">
        <v>133</v>
      </c>
      <c r="M434" t="s">
        <v>35</v>
      </c>
      <c r="N434" t="s">
        <v>220</v>
      </c>
      <c r="O434" t="s">
        <v>7232</v>
      </c>
      <c r="P434" t="s">
        <v>38</v>
      </c>
      <c r="Q434" t="s">
        <v>38</v>
      </c>
      <c r="R434">
        <v>1</v>
      </c>
      <c r="S434" t="s">
        <v>39</v>
      </c>
      <c r="T434">
        <v>6</v>
      </c>
      <c r="U434">
        <v>2</v>
      </c>
      <c r="V434">
        <v>6</v>
      </c>
      <c r="W434" t="s">
        <v>38</v>
      </c>
      <c r="X434" t="s">
        <v>40</v>
      </c>
      <c r="Y434" t="s">
        <v>38</v>
      </c>
      <c r="Z434" t="s">
        <v>179</v>
      </c>
      <c r="AA434" t="s">
        <v>109</v>
      </c>
      <c r="AB434" t="s">
        <v>83</v>
      </c>
      <c r="AC434">
        <f t="shared" si="66"/>
        <v>0</v>
      </c>
      <c r="AD434" s="12">
        <f t="shared" si="70"/>
        <v>0</v>
      </c>
      <c r="AE434" s="12">
        <f t="shared" si="71"/>
        <v>0</v>
      </c>
      <c r="AF434">
        <f t="shared" si="67"/>
        <v>0</v>
      </c>
      <c r="AG434">
        <f t="shared" si="72"/>
        <v>1</v>
      </c>
      <c r="AH434">
        <f t="shared" si="73"/>
        <v>0</v>
      </c>
      <c r="AI434">
        <f t="shared" si="74"/>
        <v>0</v>
      </c>
      <c r="AJ434">
        <f t="shared" si="75"/>
        <v>0</v>
      </c>
      <c r="AK434">
        <f t="shared" si="68"/>
        <v>0</v>
      </c>
      <c r="AL434">
        <f t="shared" si="76"/>
        <v>1</v>
      </c>
    </row>
    <row r="435" spans="1:38">
      <c r="A435" t="s">
        <v>1432</v>
      </c>
      <c r="B435" t="s">
        <v>1433</v>
      </c>
      <c r="C435" s="1">
        <f t="shared" si="69"/>
        <v>45566</v>
      </c>
      <c r="D435" t="s">
        <v>1434</v>
      </c>
      <c r="E435">
        <v>158.19999999999999</v>
      </c>
      <c r="F435">
        <v>6.6</v>
      </c>
      <c r="G435" t="s">
        <v>101</v>
      </c>
      <c r="H435" t="s">
        <v>368</v>
      </c>
      <c r="I435" t="s">
        <v>32</v>
      </c>
      <c r="J435">
        <v>240</v>
      </c>
      <c r="K435" t="s">
        <v>49</v>
      </c>
      <c r="L435" t="s">
        <v>70</v>
      </c>
      <c r="M435" t="s">
        <v>35</v>
      </c>
      <c r="N435" t="s">
        <v>144</v>
      </c>
      <c r="O435" t="s">
        <v>7232</v>
      </c>
      <c r="P435" t="s">
        <v>38</v>
      </c>
      <c r="Q435" t="s">
        <v>38</v>
      </c>
      <c r="R435">
        <v>1</v>
      </c>
      <c r="S435" t="s">
        <v>38</v>
      </c>
      <c r="T435">
        <v>8</v>
      </c>
      <c r="U435">
        <v>0.8</v>
      </c>
      <c r="V435">
        <v>19.2</v>
      </c>
      <c r="W435" t="s">
        <v>38</v>
      </c>
      <c r="X435" t="s">
        <v>63</v>
      </c>
      <c r="Y435" t="s">
        <v>38</v>
      </c>
      <c r="Z435" t="s">
        <v>81</v>
      </c>
      <c r="AA435" t="s">
        <v>42</v>
      </c>
      <c r="AB435" t="s">
        <v>83</v>
      </c>
      <c r="AC435">
        <f t="shared" si="66"/>
        <v>0</v>
      </c>
      <c r="AD435" s="12">
        <f t="shared" si="70"/>
        <v>1</v>
      </c>
      <c r="AE435" s="12">
        <f t="shared" si="71"/>
        <v>0</v>
      </c>
      <c r="AF435">
        <f t="shared" si="67"/>
        <v>0</v>
      </c>
      <c r="AG435">
        <f t="shared" si="72"/>
        <v>1</v>
      </c>
      <c r="AH435">
        <f t="shared" si="73"/>
        <v>0</v>
      </c>
      <c r="AI435">
        <f t="shared" si="74"/>
        <v>0</v>
      </c>
      <c r="AJ435">
        <f t="shared" si="75"/>
        <v>1</v>
      </c>
      <c r="AK435">
        <f t="shared" si="68"/>
        <v>0</v>
      </c>
      <c r="AL435">
        <f t="shared" si="76"/>
        <v>1</v>
      </c>
    </row>
    <row r="436" spans="1:38">
      <c r="A436" t="s">
        <v>1435</v>
      </c>
      <c r="B436" t="s">
        <v>1436</v>
      </c>
      <c r="C436" s="1">
        <f t="shared" si="69"/>
        <v>45627</v>
      </c>
      <c r="D436" t="s">
        <v>1437</v>
      </c>
      <c r="E436">
        <v>299.7</v>
      </c>
      <c r="F436">
        <v>12.5</v>
      </c>
      <c r="G436" t="s">
        <v>77</v>
      </c>
      <c r="H436" t="s">
        <v>78</v>
      </c>
      <c r="I436" t="s">
        <v>79</v>
      </c>
      <c r="J436">
        <v>360</v>
      </c>
      <c r="K436" t="s">
        <v>49</v>
      </c>
      <c r="L436" t="s">
        <v>96</v>
      </c>
      <c r="M436" t="s">
        <v>35</v>
      </c>
      <c r="N436" t="s">
        <v>128</v>
      </c>
      <c r="O436" t="s">
        <v>7232</v>
      </c>
      <c r="P436" t="s">
        <v>39</v>
      </c>
      <c r="Q436" t="s">
        <v>38</v>
      </c>
      <c r="R436">
        <v>0</v>
      </c>
      <c r="S436" t="s">
        <v>38</v>
      </c>
      <c r="T436">
        <v>10</v>
      </c>
      <c r="U436">
        <v>2</v>
      </c>
      <c r="V436">
        <v>5.7</v>
      </c>
      <c r="W436" t="s">
        <v>39</v>
      </c>
      <c r="X436" t="s">
        <v>63</v>
      </c>
      <c r="Y436" t="s">
        <v>39</v>
      </c>
      <c r="Z436" t="s">
        <v>179</v>
      </c>
      <c r="AA436" t="s">
        <v>82</v>
      </c>
      <c r="AB436" t="s">
        <v>83</v>
      </c>
      <c r="AC436">
        <f t="shared" si="66"/>
        <v>0</v>
      </c>
      <c r="AD436" s="12">
        <f t="shared" si="70"/>
        <v>1</v>
      </c>
      <c r="AE436" s="12">
        <f t="shared" si="71"/>
        <v>0</v>
      </c>
      <c r="AF436">
        <f t="shared" si="67"/>
        <v>0</v>
      </c>
      <c r="AG436">
        <f t="shared" si="72"/>
        <v>1</v>
      </c>
      <c r="AH436">
        <f t="shared" si="73"/>
        <v>0</v>
      </c>
      <c r="AI436">
        <f t="shared" si="74"/>
        <v>0</v>
      </c>
      <c r="AJ436">
        <f t="shared" si="75"/>
        <v>0</v>
      </c>
      <c r="AK436">
        <f t="shared" si="68"/>
        <v>0</v>
      </c>
      <c r="AL436">
        <f t="shared" si="76"/>
        <v>0</v>
      </c>
    </row>
    <row r="437" spans="1:38">
      <c r="A437" t="s">
        <v>1438</v>
      </c>
      <c r="B437" t="s">
        <v>1439</v>
      </c>
      <c r="C437" s="1">
        <f t="shared" si="69"/>
        <v>45536</v>
      </c>
      <c r="D437" t="s">
        <v>1440</v>
      </c>
      <c r="E437">
        <v>113.2</v>
      </c>
      <c r="F437">
        <v>4.7</v>
      </c>
      <c r="G437" t="s">
        <v>30</v>
      </c>
      <c r="H437" t="s">
        <v>172</v>
      </c>
      <c r="I437" t="s">
        <v>48</v>
      </c>
      <c r="J437">
        <v>120</v>
      </c>
      <c r="K437" t="s">
        <v>49</v>
      </c>
      <c r="L437" t="s">
        <v>34</v>
      </c>
      <c r="M437" t="s">
        <v>35</v>
      </c>
      <c r="N437" t="s">
        <v>192</v>
      </c>
      <c r="O437" t="s">
        <v>7232</v>
      </c>
      <c r="P437" t="s">
        <v>39</v>
      </c>
      <c r="Q437" t="s">
        <v>38</v>
      </c>
      <c r="R437">
        <v>0</v>
      </c>
      <c r="S437" t="s">
        <v>38</v>
      </c>
      <c r="T437">
        <v>9</v>
      </c>
      <c r="U437">
        <v>0.3</v>
      </c>
      <c r="V437">
        <v>24.7</v>
      </c>
      <c r="W437" t="s">
        <v>39</v>
      </c>
      <c r="X437" t="s">
        <v>123</v>
      </c>
      <c r="Y437" t="s">
        <v>38</v>
      </c>
      <c r="Z437" t="s">
        <v>64</v>
      </c>
      <c r="AA437" t="s">
        <v>42</v>
      </c>
      <c r="AB437" t="s">
        <v>83</v>
      </c>
      <c r="AC437">
        <f t="shared" si="66"/>
        <v>0</v>
      </c>
      <c r="AD437" s="12">
        <f t="shared" si="70"/>
        <v>0</v>
      </c>
      <c r="AE437" s="12">
        <f t="shared" si="71"/>
        <v>1</v>
      </c>
      <c r="AF437">
        <f t="shared" si="67"/>
        <v>0</v>
      </c>
      <c r="AG437">
        <f t="shared" si="72"/>
        <v>1</v>
      </c>
      <c r="AH437">
        <f t="shared" si="73"/>
        <v>1</v>
      </c>
      <c r="AI437">
        <f t="shared" si="74"/>
        <v>0</v>
      </c>
      <c r="AJ437">
        <f t="shared" si="75"/>
        <v>0</v>
      </c>
      <c r="AK437">
        <f t="shared" si="68"/>
        <v>1</v>
      </c>
      <c r="AL437">
        <f t="shared" si="76"/>
        <v>1</v>
      </c>
    </row>
    <row r="438" spans="1:38">
      <c r="A438" t="s">
        <v>1441</v>
      </c>
      <c r="B438" t="s">
        <v>1442</v>
      </c>
      <c r="C438" s="1">
        <f t="shared" si="69"/>
        <v>45627</v>
      </c>
      <c r="D438" t="s">
        <v>1443</v>
      </c>
      <c r="E438">
        <v>153.5</v>
      </c>
      <c r="F438">
        <v>6.4</v>
      </c>
      <c r="G438" t="s">
        <v>87</v>
      </c>
      <c r="H438" t="s">
        <v>309</v>
      </c>
      <c r="I438" t="s">
        <v>48</v>
      </c>
      <c r="J438">
        <v>120</v>
      </c>
      <c r="K438" t="s">
        <v>33</v>
      </c>
      <c r="L438" t="s">
        <v>70</v>
      </c>
      <c r="M438" t="s">
        <v>71</v>
      </c>
      <c r="N438" t="s">
        <v>36</v>
      </c>
      <c r="O438" t="s">
        <v>7232</v>
      </c>
      <c r="P438" t="s">
        <v>38</v>
      </c>
      <c r="Q438" t="s">
        <v>39</v>
      </c>
      <c r="R438">
        <v>4</v>
      </c>
      <c r="S438" t="s">
        <v>38</v>
      </c>
      <c r="T438">
        <v>3</v>
      </c>
      <c r="U438">
        <v>5.0999999999999996</v>
      </c>
      <c r="V438">
        <v>8.1999999999999993</v>
      </c>
      <c r="W438" t="s">
        <v>39</v>
      </c>
      <c r="X438" t="s">
        <v>63</v>
      </c>
      <c r="Y438" t="s">
        <v>38</v>
      </c>
      <c r="Z438" t="s">
        <v>64</v>
      </c>
      <c r="AA438" t="s">
        <v>103</v>
      </c>
      <c r="AB438" t="s">
        <v>55</v>
      </c>
      <c r="AC438">
        <f t="shared" si="66"/>
        <v>0</v>
      </c>
      <c r="AD438" s="12">
        <f t="shared" si="70"/>
        <v>1</v>
      </c>
      <c r="AE438" s="12">
        <f t="shared" si="71"/>
        <v>0</v>
      </c>
      <c r="AF438">
        <f t="shared" si="67"/>
        <v>0</v>
      </c>
      <c r="AG438">
        <f t="shared" si="72"/>
        <v>1</v>
      </c>
      <c r="AH438">
        <f t="shared" si="73"/>
        <v>1</v>
      </c>
      <c r="AI438">
        <f t="shared" si="74"/>
        <v>0</v>
      </c>
      <c r="AJ438">
        <f t="shared" si="75"/>
        <v>0</v>
      </c>
      <c r="AK438">
        <f t="shared" si="68"/>
        <v>0</v>
      </c>
      <c r="AL438">
        <f t="shared" si="76"/>
        <v>1</v>
      </c>
    </row>
    <row r="439" spans="1:38">
      <c r="A439" t="s">
        <v>1444</v>
      </c>
      <c r="B439" t="s">
        <v>1445</v>
      </c>
      <c r="C439" s="1">
        <f t="shared" si="69"/>
        <v>45352</v>
      </c>
      <c r="D439" t="s">
        <v>1446</v>
      </c>
      <c r="E439">
        <v>161.9</v>
      </c>
      <c r="F439">
        <v>6.7</v>
      </c>
      <c r="G439" t="s">
        <v>30</v>
      </c>
      <c r="H439" t="s">
        <v>159</v>
      </c>
      <c r="I439" t="s">
        <v>32</v>
      </c>
      <c r="J439">
        <v>240</v>
      </c>
      <c r="K439" t="s">
        <v>49</v>
      </c>
      <c r="L439" t="s">
        <v>34</v>
      </c>
      <c r="M439" t="s">
        <v>35</v>
      </c>
      <c r="N439" t="s">
        <v>89</v>
      </c>
      <c r="O439" t="s">
        <v>7232</v>
      </c>
      <c r="P439" t="s">
        <v>38</v>
      </c>
      <c r="Q439" t="s">
        <v>38</v>
      </c>
      <c r="R439">
        <v>1</v>
      </c>
      <c r="S439" t="s">
        <v>38</v>
      </c>
      <c r="T439">
        <v>9</v>
      </c>
      <c r="U439">
        <v>0.1</v>
      </c>
      <c r="V439">
        <v>7.7</v>
      </c>
      <c r="W439" t="s">
        <v>39</v>
      </c>
      <c r="X439" t="s">
        <v>52</v>
      </c>
      <c r="Y439" t="s">
        <v>39</v>
      </c>
      <c r="Z439" t="s">
        <v>64</v>
      </c>
      <c r="AA439" t="s">
        <v>109</v>
      </c>
      <c r="AB439" t="s">
        <v>55</v>
      </c>
      <c r="AC439">
        <f t="shared" si="66"/>
        <v>1</v>
      </c>
      <c r="AD439" s="12">
        <f t="shared" si="70"/>
        <v>0</v>
      </c>
      <c r="AE439" s="12">
        <f t="shared" si="71"/>
        <v>0</v>
      </c>
      <c r="AF439">
        <f t="shared" si="67"/>
        <v>0</v>
      </c>
      <c r="AG439">
        <f t="shared" si="72"/>
        <v>1</v>
      </c>
      <c r="AH439">
        <f t="shared" si="73"/>
        <v>0</v>
      </c>
      <c r="AI439">
        <f t="shared" si="74"/>
        <v>0</v>
      </c>
      <c r="AJ439">
        <f t="shared" si="75"/>
        <v>1</v>
      </c>
      <c r="AK439">
        <f t="shared" si="68"/>
        <v>1</v>
      </c>
      <c r="AL439">
        <f t="shared" si="76"/>
        <v>0</v>
      </c>
    </row>
    <row r="440" spans="1:38">
      <c r="A440" t="s">
        <v>1447</v>
      </c>
      <c r="B440" t="s">
        <v>1448</v>
      </c>
      <c r="C440" s="1">
        <f t="shared" si="69"/>
        <v>45292</v>
      </c>
      <c r="D440" t="s">
        <v>1449</v>
      </c>
      <c r="E440">
        <v>177.3</v>
      </c>
      <c r="F440">
        <v>7.4</v>
      </c>
      <c r="G440" t="s">
        <v>142</v>
      </c>
      <c r="H440" t="s">
        <v>319</v>
      </c>
      <c r="I440" t="s">
        <v>32</v>
      </c>
      <c r="J440">
        <v>240</v>
      </c>
      <c r="K440" t="s">
        <v>49</v>
      </c>
      <c r="L440" t="s">
        <v>96</v>
      </c>
      <c r="M440" t="s">
        <v>35</v>
      </c>
      <c r="N440" t="s">
        <v>36</v>
      </c>
      <c r="O440" t="s">
        <v>7232</v>
      </c>
      <c r="P440" t="s">
        <v>38</v>
      </c>
      <c r="Q440" t="s">
        <v>38</v>
      </c>
      <c r="R440">
        <v>1</v>
      </c>
      <c r="S440" t="s">
        <v>38</v>
      </c>
      <c r="T440">
        <v>6</v>
      </c>
      <c r="U440">
        <v>5.2</v>
      </c>
      <c r="V440">
        <v>10.8</v>
      </c>
      <c r="W440" t="s">
        <v>38</v>
      </c>
      <c r="X440" t="s">
        <v>63</v>
      </c>
      <c r="Y440" t="s">
        <v>38</v>
      </c>
      <c r="Z440" t="s">
        <v>81</v>
      </c>
      <c r="AA440" t="s">
        <v>109</v>
      </c>
      <c r="AB440" t="s">
        <v>83</v>
      </c>
      <c r="AC440">
        <f t="shared" si="66"/>
        <v>0</v>
      </c>
      <c r="AD440" s="12">
        <f t="shared" si="70"/>
        <v>1</v>
      </c>
      <c r="AE440" s="12">
        <f t="shared" si="71"/>
        <v>0</v>
      </c>
      <c r="AF440">
        <f t="shared" si="67"/>
        <v>0</v>
      </c>
      <c r="AG440">
        <f t="shared" si="72"/>
        <v>1</v>
      </c>
      <c r="AH440">
        <f t="shared" si="73"/>
        <v>0</v>
      </c>
      <c r="AI440">
        <f t="shared" si="74"/>
        <v>0</v>
      </c>
      <c r="AJ440">
        <f t="shared" si="75"/>
        <v>1</v>
      </c>
      <c r="AK440">
        <f t="shared" si="68"/>
        <v>0</v>
      </c>
      <c r="AL440">
        <f t="shared" si="76"/>
        <v>1</v>
      </c>
    </row>
    <row r="441" spans="1:38">
      <c r="A441" t="s">
        <v>1450</v>
      </c>
      <c r="B441" t="s">
        <v>1451</v>
      </c>
      <c r="C441" s="1">
        <f t="shared" si="69"/>
        <v>45352</v>
      </c>
      <c r="D441" t="s">
        <v>1452</v>
      </c>
      <c r="E441">
        <v>42.2</v>
      </c>
      <c r="F441">
        <v>1.8</v>
      </c>
      <c r="G441" t="s">
        <v>59</v>
      </c>
      <c r="H441" t="s">
        <v>281</v>
      </c>
      <c r="I441" t="s">
        <v>95</v>
      </c>
      <c r="J441">
        <v>48</v>
      </c>
      <c r="K441" t="s">
        <v>49</v>
      </c>
      <c r="L441" t="s">
        <v>34</v>
      </c>
      <c r="M441" t="s">
        <v>71</v>
      </c>
      <c r="N441" t="s">
        <v>107</v>
      </c>
      <c r="O441" t="s">
        <v>7232</v>
      </c>
      <c r="P441" t="s">
        <v>38</v>
      </c>
      <c r="Q441" t="s">
        <v>39</v>
      </c>
      <c r="R441">
        <v>1</v>
      </c>
      <c r="S441" t="s">
        <v>38</v>
      </c>
      <c r="T441">
        <v>9</v>
      </c>
      <c r="U441">
        <v>3.1</v>
      </c>
      <c r="V441">
        <v>0</v>
      </c>
      <c r="W441" t="s">
        <v>39</v>
      </c>
      <c r="X441" t="s">
        <v>63</v>
      </c>
      <c r="Y441" t="s">
        <v>39</v>
      </c>
      <c r="Z441" t="s">
        <v>115</v>
      </c>
      <c r="AA441" t="s">
        <v>82</v>
      </c>
      <c r="AB441" t="s">
        <v>55</v>
      </c>
      <c r="AC441">
        <f t="shared" si="66"/>
        <v>0</v>
      </c>
      <c r="AD441" s="12">
        <f t="shared" si="70"/>
        <v>1</v>
      </c>
      <c r="AE441" s="12">
        <f t="shared" si="71"/>
        <v>0</v>
      </c>
      <c r="AF441">
        <f t="shared" si="67"/>
        <v>0</v>
      </c>
      <c r="AG441">
        <f t="shared" si="72"/>
        <v>1</v>
      </c>
      <c r="AH441">
        <f t="shared" si="73"/>
        <v>0</v>
      </c>
      <c r="AI441">
        <f t="shared" si="74"/>
        <v>1</v>
      </c>
      <c r="AJ441">
        <f t="shared" si="75"/>
        <v>0</v>
      </c>
      <c r="AK441">
        <f t="shared" si="68"/>
        <v>0</v>
      </c>
      <c r="AL441">
        <f t="shared" si="76"/>
        <v>0</v>
      </c>
    </row>
    <row r="442" spans="1:38">
      <c r="A442" t="s">
        <v>1453</v>
      </c>
      <c r="B442" t="s">
        <v>1454</v>
      </c>
      <c r="C442" s="1">
        <f t="shared" si="69"/>
        <v>45292</v>
      </c>
      <c r="D442" t="s">
        <v>1455</v>
      </c>
      <c r="E442">
        <v>88.8</v>
      </c>
      <c r="F442">
        <v>3.7</v>
      </c>
      <c r="G442" t="s">
        <v>30</v>
      </c>
      <c r="H442" t="s">
        <v>172</v>
      </c>
      <c r="I442" t="s">
        <v>48</v>
      </c>
      <c r="J442">
        <v>120</v>
      </c>
      <c r="K442" t="s">
        <v>49</v>
      </c>
      <c r="L442" t="s">
        <v>96</v>
      </c>
      <c r="M442" t="s">
        <v>35</v>
      </c>
      <c r="N442" t="s">
        <v>506</v>
      </c>
      <c r="O442" t="s">
        <v>37</v>
      </c>
      <c r="P442" t="s">
        <v>39</v>
      </c>
      <c r="Q442" t="s">
        <v>38</v>
      </c>
      <c r="R442">
        <v>0</v>
      </c>
      <c r="S442" t="s">
        <v>38</v>
      </c>
      <c r="T442">
        <v>10</v>
      </c>
      <c r="U442">
        <v>3.8</v>
      </c>
      <c r="V442">
        <v>0</v>
      </c>
      <c r="W442" t="s">
        <v>39</v>
      </c>
      <c r="X442" t="s">
        <v>63</v>
      </c>
      <c r="Y442" t="s">
        <v>39</v>
      </c>
      <c r="Z442" t="s">
        <v>64</v>
      </c>
      <c r="AA442" t="s">
        <v>82</v>
      </c>
      <c r="AB442" t="s">
        <v>55</v>
      </c>
      <c r="AC442">
        <f t="shared" si="66"/>
        <v>0</v>
      </c>
      <c r="AD442" s="12">
        <f t="shared" si="70"/>
        <v>1</v>
      </c>
      <c r="AE442" s="12">
        <f t="shared" si="71"/>
        <v>0</v>
      </c>
      <c r="AF442">
        <f t="shared" si="67"/>
        <v>0</v>
      </c>
      <c r="AG442">
        <f t="shared" si="72"/>
        <v>0</v>
      </c>
      <c r="AH442">
        <f t="shared" si="73"/>
        <v>1</v>
      </c>
      <c r="AI442">
        <f t="shared" si="74"/>
        <v>0</v>
      </c>
      <c r="AJ442">
        <f t="shared" si="75"/>
        <v>0</v>
      </c>
      <c r="AK442">
        <f t="shared" si="68"/>
        <v>1</v>
      </c>
      <c r="AL442">
        <f t="shared" si="76"/>
        <v>0</v>
      </c>
    </row>
    <row r="443" spans="1:38">
      <c r="A443" t="s">
        <v>1456</v>
      </c>
      <c r="B443" t="s">
        <v>1457</v>
      </c>
      <c r="C443" s="1">
        <f t="shared" si="69"/>
        <v>45383</v>
      </c>
      <c r="D443" t="s">
        <v>1458</v>
      </c>
      <c r="E443">
        <v>167.5</v>
      </c>
      <c r="F443">
        <v>7</v>
      </c>
      <c r="G443" t="s">
        <v>142</v>
      </c>
      <c r="H443" t="s">
        <v>143</v>
      </c>
      <c r="I443" t="s">
        <v>32</v>
      </c>
      <c r="J443">
        <v>240</v>
      </c>
      <c r="K443" t="s">
        <v>49</v>
      </c>
      <c r="L443" t="s">
        <v>96</v>
      </c>
      <c r="M443" t="s">
        <v>35</v>
      </c>
      <c r="N443" t="s">
        <v>80</v>
      </c>
      <c r="O443" t="s">
        <v>51</v>
      </c>
      <c r="P443" t="s">
        <v>38</v>
      </c>
      <c r="Q443" t="s">
        <v>38</v>
      </c>
      <c r="R443">
        <v>1</v>
      </c>
      <c r="S443" t="s">
        <v>38</v>
      </c>
      <c r="T443">
        <v>10</v>
      </c>
      <c r="U443">
        <v>2.2000000000000002</v>
      </c>
      <c r="V443">
        <v>34.200000000000003</v>
      </c>
      <c r="W443" t="s">
        <v>38</v>
      </c>
      <c r="X443" t="s">
        <v>52</v>
      </c>
      <c r="Y443" t="s">
        <v>38</v>
      </c>
      <c r="Z443" t="s">
        <v>64</v>
      </c>
      <c r="AA443" t="s">
        <v>42</v>
      </c>
      <c r="AB443" t="s">
        <v>43</v>
      </c>
      <c r="AC443">
        <f t="shared" si="66"/>
        <v>1</v>
      </c>
      <c r="AD443" s="12">
        <f t="shared" si="70"/>
        <v>0</v>
      </c>
      <c r="AE443" s="12">
        <f t="shared" si="71"/>
        <v>0</v>
      </c>
      <c r="AF443">
        <f t="shared" si="67"/>
        <v>1</v>
      </c>
      <c r="AG443">
        <f t="shared" si="72"/>
        <v>0</v>
      </c>
      <c r="AH443">
        <f t="shared" si="73"/>
        <v>0</v>
      </c>
      <c r="AI443">
        <f t="shared" si="74"/>
        <v>0</v>
      </c>
      <c r="AJ443">
        <f t="shared" si="75"/>
        <v>1</v>
      </c>
      <c r="AK443">
        <f t="shared" si="68"/>
        <v>0</v>
      </c>
      <c r="AL443">
        <f t="shared" si="76"/>
        <v>1</v>
      </c>
    </row>
    <row r="444" spans="1:38">
      <c r="A444" t="s">
        <v>1459</v>
      </c>
      <c r="B444" t="s">
        <v>1460</v>
      </c>
      <c r="C444" s="1">
        <f t="shared" si="69"/>
        <v>45627</v>
      </c>
      <c r="D444" t="s">
        <v>1461</v>
      </c>
      <c r="E444">
        <v>276.89999999999998</v>
      </c>
      <c r="F444">
        <v>11.5</v>
      </c>
      <c r="G444" t="s">
        <v>77</v>
      </c>
      <c r="H444" t="s">
        <v>187</v>
      </c>
      <c r="I444" t="s">
        <v>79</v>
      </c>
      <c r="J444">
        <v>360</v>
      </c>
      <c r="K444" t="s">
        <v>49</v>
      </c>
      <c r="L444" t="s">
        <v>96</v>
      </c>
      <c r="M444" t="s">
        <v>35</v>
      </c>
      <c r="N444" t="s">
        <v>277</v>
      </c>
      <c r="O444" t="s">
        <v>37</v>
      </c>
      <c r="P444" t="s">
        <v>39</v>
      </c>
      <c r="Q444" t="s">
        <v>38</v>
      </c>
      <c r="R444">
        <v>0</v>
      </c>
      <c r="S444" t="s">
        <v>38</v>
      </c>
      <c r="T444">
        <v>10</v>
      </c>
      <c r="U444">
        <v>3.6</v>
      </c>
      <c r="V444">
        <v>24.5</v>
      </c>
      <c r="W444" t="s">
        <v>39</v>
      </c>
      <c r="X444" t="s">
        <v>63</v>
      </c>
      <c r="Y444" t="s">
        <v>39</v>
      </c>
      <c r="Z444" t="s">
        <v>81</v>
      </c>
      <c r="AA444" t="s">
        <v>54</v>
      </c>
      <c r="AB444" t="s">
        <v>55</v>
      </c>
      <c r="AC444">
        <f t="shared" si="66"/>
        <v>0</v>
      </c>
      <c r="AD444" s="12">
        <f t="shared" si="70"/>
        <v>1</v>
      </c>
      <c r="AE444" s="12">
        <f t="shared" si="71"/>
        <v>0</v>
      </c>
      <c r="AF444">
        <f t="shared" si="67"/>
        <v>0</v>
      </c>
      <c r="AG444">
        <f t="shared" si="72"/>
        <v>0</v>
      </c>
      <c r="AH444">
        <f t="shared" si="73"/>
        <v>0</v>
      </c>
      <c r="AI444">
        <f t="shared" si="74"/>
        <v>0</v>
      </c>
      <c r="AJ444">
        <f t="shared" si="75"/>
        <v>0</v>
      </c>
      <c r="AK444">
        <f t="shared" si="68"/>
        <v>0</v>
      </c>
      <c r="AL444">
        <f t="shared" si="76"/>
        <v>0</v>
      </c>
    </row>
    <row r="445" spans="1:38">
      <c r="A445" t="s">
        <v>1462</v>
      </c>
      <c r="B445" t="s">
        <v>1463</v>
      </c>
      <c r="C445" s="1">
        <f t="shared" si="69"/>
        <v>45597</v>
      </c>
      <c r="D445" t="s">
        <v>1464</v>
      </c>
      <c r="E445">
        <v>262</v>
      </c>
      <c r="F445">
        <v>10.9</v>
      </c>
      <c r="G445" t="s">
        <v>93</v>
      </c>
      <c r="H445" t="s">
        <v>449</v>
      </c>
      <c r="I445" t="s">
        <v>79</v>
      </c>
      <c r="J445">
        <v>360</v>
      </c>
      <c r="K445" t="s">
        <v>49</v>
      </c>
      <c r="L445" t="s">
        <v>70</v>
      </c>
      <c r="M445" t="s">
        <v>71</v>
      </c>
      <c r="N445" t="s">
        <v>164</v>
      </c>
      <c r="O445" t="s">
        <v>7232</v>
      </c>
      <c r="P445" t="s">
        <v>38</v>
      </c>
      <c r="Q445" t="s">
        <v>39</v>
      </c>
      <c r="R445">
        <v>2</v>
      </c>
      <c r="S445" t="s">
        <v>38</v>
      </c>
      <c r="T445">
        <v>8</v>
      </c>
      <c r="U445">
        <v>3.1</v>
      </c>
      <c r="V445">
        <v>16.8</v>
      </c>
      <c r="W445" t="s">
        <v>39</v>
      </c>
      <c r="X445" t="s">
        <v>123</v>
      </c>
      <c r="Y445" t="s">
        <v>38</v>
      </c>
      <c r="Z445" t="s">
        <v>64</v>
      </c>
      <c r="AA445" t="s">
        <v>82</v>
      </c>
      <c r="AB445" t="s">
        <v>83</v>
      </c>
      <c r="AC445">
        <f t="shared" si="66"/>
        <v>0</v>
      </c>
      <c r="AD445" s="12">
        <f t="shared" si="70"/>
        <v>0</v>
      </c>
      <c r="AE445" s="12">
        <f t="shared" si="71"/>
        <v>1</v>
      </c>
      <c r="AF445">
        <f t="shared" si="67"/>
        <v>0</v>
      </c>
      <c r="AG445">
        <f t="shared" si="72"/>
        <v>1</v>
      </c>
      <c r="AH445">
        <f t="shared" si="73"/>
        <v>0</v>
      </c>
      <c r="AI445">
        <f t="shared" si="74"/>
        <v>0</v>
      </c>
      <c r="AJ445">
        <f t="shared" si="75"/>
        <v>0</v>
      </c>
      <c r="AK445">
        <f t="shared" si="68"/>
        <v>0</v>
      </c>
      <c r="AL445">
        <f t="shared" si="76"/>
        <v>1</v>
      </c>
    </row>
    <row r="446" spans="1:38">
      <c r="A446" t="s">
        <v>1465</v>
      </c>
      <c r="B446" t="s">
        <v>1466</v>
      </c>
      <c r="C446" s="1">
        <f t="shared" si="69"/>
        <v>45352</v>
      </c>
      <c r="D446" t="s">
        <v>1467</v>
      </c>
      <c r="E446">
        <v>766.4</v>
      </c>
      <c r="F446">
        <v>31.9</v>
      </c>
      <c r="G446" t="s">
        <v>93</v>
      </c>
      <c r="H446" t="s">
        <v>449</v>
      </c>
      <c r="I446" t="s">
        <v>79</v>
      </c>
      <c r="J446">
        <v>360</v>
      </c>
      <c r="K446" t="s">
        <v>33</v>
      </c>
      <c r="L446" t="s">
        <v>34</v>
      </c>
      <c r="M446" t="s">
        <v>35</v>
      </c>
      <c r="N446" t="s">
        <v>168</v>
      </c>
      <c r="O446" t="s">
        <v>7232</v>
      </c>
      <c r="P446" t="s">
        <v>38</v>
      </c>
      <c r="Q446" t="s">
        <v>38</v>
      </c>
      <c r="R446">
        <v>1</v>
      </c>
      <c r="S446" t="s">
        <v>39</v>
      </c>
      <c r="T446">
        <v>6</v>
      </c>
      <c r="U446">
        <v>3.1</v>
      </c>
      <c r="V446">
        <v>11.9</v>
      </c>
      <c r="W446" t="s">
        <v>38</v>
      </c>
      <c r="X446" t="s">
        <v>40</v>
      </c>
      <c r="Y446" t="s">
        <v>38</v>
      </c>
      <c r="Z446" t="s">
        <v>81</v>
      </c>
      <c r="AA446" t="s">
        <v>54</v>
      </c>
      <c r="AB446" t="s">
        <v>55</v>
      </c>
      <c r="AC446">
        <f t="shared" si="66"/>
        <v>0</v>
      </c>
      <c r="AD446" s="12">
        <f t="shared" si="70"/>
        <v>0</v>
      </c>
      <c r="AE446" s="12">
        <f t="shared" si="71"/>
        <v>0</v>
      </c>
      <c r="AF446">
        <f t="shared" si="67"/>
        <v>0</v>
      </c>
      <c r="AG446">
        <f t="shared" si="72"/>
        <v>1</v>
      </c>
      <c r="AH446">
        <f t="shared" si="73"/>
        <v>0</v>
      </c>
      <c r="AI446">
        <f t="shared" si="74"/>
        <v>0</v>
      </c>
      <c r="AJ446">
        <f t="shared" si="75"/>
        <v>0</v>
      </c>
      <c r="AK446">
        <f t="shared" si="68"/>
        <v>0</v>
      </c>
      <c r="AL446">
        <f t="shared" si="76"/>
        <v>1</v>
      </c>
    </row>
    <row r="447" spans="1:38">
      <c r="A447" t="s">
        <v>1468</v>
      </c>
      <c r="B447" t="s">
        <v>1469</v>
      </c>
      <c r="C447" s="1">
        <f t="shared" si="69"/>
        <v>45323</v>
      </c>
      <c r="D447" t="s">
        <v>1470</v>
      </c>
      <c r="E447">
        <v>1017.9</v>
      </c>
      <c r="F447">
        <v>42.4</v>
      </c>
      <c r="G447" t="s">
        <v>77</v>
      </c>
      <c r="H447" t="s">
        <v>187</v>
      </c>
      <c r="I447" t="s">
        <v>79</v>
      </c>
      <c r="J447">
        <v>360</v>
      </c>
      <c r="K447" t="s">
        <v>33</v>
      </c>
      <c r="L447" t="s">
        <v>34</v>
      </c>
      <c r="M447" t="s">
        <v>35</v>
      </c>
      <c r="N447" t="s">
        <v>220</v>
      </c>
      <c r="O447" t="s">
        <v>37</v>
      </c>
      <c r="P447" t="s">
        <v>39</v>
      </c>
      <c r="Q447" t="s">
        <v>38</v>
      </c>
      <c r="R447">
        <v>0</v>
      </c>
      <c r="S447" t="s">
        <v>38</v>
      </c>
      <c r="T447">
        <v>5</v>
      </c>
      <c r="U447">
        <v>1.5</v>
      </c>
      <c r="V447">
        <v>35.5</v>
      </c>
      <c r="W447" t="s">
        <v>39</v>
      </c>
      <c r="X447" t="s">
        <v>63</v>
      </c>
      <c r="Y447" t="s">
        <v>39</v>
      </c>
      <c r="Z447" t="s">
        <v>81</v>
      </c>
      <c r="AA447" t="s">
        <v>109</v>
      </c>
      <c r="AB447" t="s">
        <v>83</v>
      </c>
      <c r="AC447">
        <f t="shared" si="66"/>
        <v>0</v>
      </c>
      <c r="AD447" s="12">
        <f t="shared" si="70"/>
        <v>1</v>
      </c>
      <c r="AE447" s="12">
        <f t="shared" si="71"/>
        <v>0</v>
      </c>
      <c r="AF447">
        <f t="shared" si="67"/>
        <v>0</v>
      </c>
      <c r="AG447">
        <f t="shared" si="72"/>
        <v>0</v>
      </c>
      <c r="AH447">
        <f t="shared" si="73"/>
        <v>0</v>
      </c>
      <c r="AI447">
        <f t="shared" si="74"/>
        <v>0</v>
      </c>
      <c r="AJ447">
        <f t="shared" si="75"/>
        <v>0</v>
      </c>
      <c r="AK447">
        <f t="shared" si="68"/>
        <v>0</v>
      </c>
      <c r="AL447">
        <f t="shared" si="76"/>
        <v>0</v>
      </c>
    </row>
    <row r="448" spans="1:38">
      <c r="A448" t="s">
        <v>1471</v>
      </c>
      <c r="B448" t="s">
        <v>1472</v>
      </c>
      <c r="C448" s="1">
        <f t="shared" si="69"/>
        <v>45292</v>
      </c>
      <c r="D448" t="s">
        <v>1473</v>
      </c>
      <c r="E448">
        <v>335.2</v>
      </c>
      <c r="F448">
        <v>14</v>
      </c>
      <c r="G448" t="s">
        <v>101</v>
      </c>
      <c r="H448" t="s">
        <v>295</v>
      </c>
      <c r="I448" t="s">
        <v>79</v>
      </c>
      <c r="J448">
        <v>360</v>
      </c>
      <c r="K448" t="s">
        <v>49</v>
      </c>
      <c r="L448" t="s">
        <v>133</v>
      </c>
      <c r="M448" t="s">
        <v>35</v>
      </c>
      <c r="N448" t="s">
        <v>299</v>
      </c>
      <c r="O448" t="s">
        <v>7232</v>
      </c>
      <c r="P448" t="s">
        <v>39</v>
      </c>
      <c r="Q448" t="s">
        <v>38</v>
      </c>
      <c r="R448">
        <v>0</v>
      </c>
      <c r="S448" t="s">
        <v>38</v>
      </c>
      <c r="T448">
        <v>10</v>
      </c>
      <c r="U448">
        <v>3.1</v>
      </c>
      <c r="V448">
        <v>21.5</v>
      </c>
      <c r="W448" t="s">
        <v>39</v>
      </c>
      <c r="X448" t="s">
        <v>52</v>
      </c>
      <c r="Y448" t="s">
        <v>39</v>
      </c>
      <c r="Z448" t="s">
        <v>53</v>
      </c>
      <c r="AA448" t="s">
        <v>109</v>
      </c>
      <c r="AB448" t="s">
        <v>83</v>
      </c>
      <c r="AC448">
        <f t="shared" si="66"/>
        <v>1</v>
      </c>
      <c r="AD448" s="12">
        <f t="shared" si="70"/>
        <v>0</v>
      </c>
      <c r="AE448" s="12">
        <f t="shared" si="71"/>
        <v>0</v>
      </c>
      <c r="AF448">
        <f t="shared" si="67"/>
        <v>0</v>
      </c>
      <c r="AG448">
        <f t="shared" si="72"/>
        <v>1</v>
      </c>
      <c r="AH448">
        <f t="shared" si="73"/>
        <v>0</v>
      </c>
      <c r="AI448">
        <f t="shared" si="74"/>
        <v>0</v>
      </c>
      <c r="AJ448">
        <f t="shared" si="75"/>
        <v>0</v>
      </c>
      <c r="AK448">
        <f t="shared" si="68"/>
        <v>0</v>
      </c>
      <c r="AL448">
        <f t="shared" si="76"/>
        <v>0</v>
      </c>
    </row>
    <row r="449" spans="1:38">
      <c r="A449" t="s">
        <v>1474</v>
      </c>
      <c r="B449" t="s">
        <v>1475</v>
      </c>
      <c r="C449" s="1">
        <f t="shared" si="69"/>
        <v>45536</v>
      </c>
      <c r="D449" t="s">
        <v>1476</v>
      </c>
      <c r="E449">
        <v>245.6</v>
      </c>
      <c r="F449">
        <v>10.199999999999999</v>
      </c>
      <c r="G449" t="s">
        <v>77</v>
      </c>
      <c r="H449" t="s">
        <v>267</v>
      </c>
      <c r="I449" t="s">
        <v>79</v>
      </c>
      <c r="J449">
        <v>360</v>
      </c>
      <c r="K449" t="s">
        <v>49</v>
      </c>
      <c r="L449" t="s">
        <v>70</v>
      </c>
      <c r="M449" t="s">
        <v>35</v>
      </c>
      <c r="N449" t="s">
        <v>138</v>
      </c>
      <c r="O449" t="s">
        <v>7232</v>
      </c>
      <c r="P449" t="s">
        <v>39</v>
      </c>
      <c r="Q449" t="s">
        <v>38</v>
      </c>
      <c r="R449">
        <v>0</v>
      </c>
      <c r="S449" t="s">
        <v>38</v>
      </c>
      <c r="T449">
        <v>10</v>
      </c>
      <c r="U449">
        <v>3.9</v>
      </c>
      <c r="V449">
        <v>13.1</v>
      </c>
      <c r="W449" t="s">
        <v>39</v>
      </c>
      <c r="X449" t="s">
        <v>63</v>
      </c>
      <c r="Y449" t="s">
        <v>39</v>
      </c>
      <c r="Z449" t="s">
        <v>53</v>
      </c>
      <c r="AA449" t="s">
        <v>109</v>
      </c>
      <c r="AB449" t="s">
        <v>55</v>
      </c>
      <c r="AC449">
        <f t="shared" si="66"/>
        <v>0</v>
      </c>
      <c r="AD449" s="12">
        <f t="shared" si="70"/>
        <v>1</v>
      </c>
      <c r="AE449" s="12">
        <f t="shared" si="71"/>
        <v>0</v>
      </c>
      <c r="AF449">
        <f t="shared" si="67"/>
        <v>0</v>
      </c>
      <c r="AG449">
        <f t="shared" si="72"/>
        <v>1</v>
      </c>
      <c r="AH449">
        <f t="shared" si="73"/>
        <v>0</v>
      </c>
      <c r="AI449">
        <f t="shared" si="74"/>
        <v>0</v>
      </c>
      <c r="AJ449">
        <f t="shared" si="75"/>
        <v>0</v>
      </c>
      <c r="AK449">
        <f t="shared" si="68"/>
        <v>0</v>
      </c>
      <c r="AL449">
        <f t="shared" si="76"/>
        <v>0</v>
      </c>
    </row>
    <row r="450" spans="1:38">
      <c r="A450" t="s">
        <v>1477</v>
      </c>
      <c r="B450" t="s">
        <v>1478</v>
      </c>
      <c r="C450" s="1">
        <f t="shared" si="69"/>
        <v>45383</v>
      </c>
      <c r="D450" t="s">
        <v>1479</v>
      </c>
      <c r="E450">
        <v>254.3</v>
      </c>
      <c r="F450">
        <v>10.6</v>
      </c>
      <c r="G450" t="s">
        <v>59</v>
      </c>
      <c r="H450" t="s">
        <v>466</v>
      </c>
      <c r="I450" t="s">
        <v>32</v>
      </c>
      <c r="J450">
        <v>240</v>
      </c>
      <c r="K450" t="s">
        <v>33</v>
      </c>
      <c r="L450" t="s">
        <v>34</v>
      </c>
      <c r="M450" t="s">
        <v>35</v>
      </c>
      <c r="N450" t="s">
        <v>97</v>
      </c>
      <c r="O450" t="s">
        <v>7232</v>
      </c>
      <c r="P450" t="s">
        <v>38</v>
      </c>
      <c r="Q450" t="s">
        <v>38</v>
      </c>
      <c r="R450">
        <v>1</v>
      </c>
      <c r="S450" t="s">
        <v>38</v>
      </c>
      <c r="T450">
        <v>6</v>
      </c>
      <c r="U450">
        <v>0.1</v>
      </c>
      <c r="V450">
        <v>5.4</v>
      </c>
      <c r="W450" t="s">
        <v>38</v>
      </c>
      <c r="X450" t="s">
        <v>63</v>
      </c>
      <c r="Y450" t="s">
        <v>38</v>
      </c>
      <c r="Z450" t="s">
        <v>108</v>
      </c>
      <c r="AA450" t="s">
        <v>54</v>
      </c>
      <c r="AB450" t="s">
        <v>43</v>
      </c>
      <c r="AC450">
        <f t="shared" ref="AC450:AC513" si="77">IF(X450="Poor", 1, 0)</f>
        <v>0</v>
      </c>
      <c r="AD450" s="12">
        <f t="shared" si="70"/>
        <v>1</v>
      </c>
      <c r="AE450" s="12">
        <f t="shared" si="71"/>
        <v>0</v>
      </c>
      <c r="AF450">
        <f t="shared" ref="AF450:AF513" si="78">IF(O450="Junior", 1, 0)</f>
        <v>0</v>
      </c>
      <c r="AG450">
        <f t="shared" si="72"/>
        <v>1</v>
      </c>
      <c r="AH450">
        <f t="shared" si="73"/>
        <v>0</v>
      </c>
      <c r="AI450">
        <f t="shared" si="74"/>
        <v>0</v>
      </c>
      <c r="AJ450">
        <f t="shared" si="75"/>
        <v>1</v>
      </c>
      <c r="AK450">
        <f t="shared" ref="AK450:AK513" si="79">IF(G450="Access Requests", 1, 0)</f>
        <v>0</v>
      </c>
      <c r="AL450">
        <f t="shared" si="76"/>
        <v>1</v>
      </c>
    </row>
    <row r="451" spans="1:38">
      <c r="A451" t="s">
        <v>1480</v>
      </c>
      <c r="B451" t="s">
        <v>1481</v>
      </c>
      <c r="C451" s="1">
        <f t="shared" ref="C451:C514" si="80">DATE(YEAR(B451),MONTH(B451),1)</f>
        <v>45292</v>
      </c>
      <c r="D451" t="s">
        <v>1482</v>
      </c>
      <c r="E451">
        <v>276</v>
      </c>
      <c r="F451">
        <v>11.5</v>
      </c>
      <c r="G451" t="s">
        <v>93</v>
      </c>
      <c r="H451" t="s">
        <v>163</v>
      </c>
      <c r="I451" t="s">
        <v>79</v>
      </c>
      <c r="J451">
        <v>360</v>
      </c>
      <c r="K451" t="s">
        <v>49</v>
      </c>
      <c r="L451" t="s">
        <v>34</v>
      </c>
      <c r="M451" t="s">
        <v>35</v>
      </c>
      <c r="N451" t="s">
        <v>89</v>
      </c>
      <c r="O451" t="s">
        <v>37</v>
      </c>
      <c r="P451" t="s">
        <v>38</v>
      </c>
      <c r="Q451" t="s">
        <v>38</v>
      </c>
      <c r="R451">
        <v>1</v>
      </c>
      <c r="S451" t="s">
        <v>38</v>
      </c>
      <c r="T451">
        <v>8</v>
      </c>
      <c r="U451">
        <v>0.1</v>
      </c>
      <c r="V451">
        <v>28.1</v>
      </c>
      <c r="W451" t="s">
        <v>38</v>
      </c>
      <c r="X451" t="s">
        <v>63</v>
      </c>
      <c r="Y451" t="s">
        <v>39</v>
      </c>
      <c r="Z451" t="s">
        <v>179</v>
      </c>
      <c r="AA451" t="s">
        <v>42</v>
      </c>
      <c r="AB451" t="s">
        <v>83</v>
      </c>
      <c r="AC451">
        <f t="shared" si="77"/>
        <v>0</v>
      </c>
      <c r="AD451" s="12">
        <f t="shared" ref="AD451:AD514" si="81">IF(X451="Fair", 1, 0)</f>
        <v>1</v>
      </c>
      <c r="AE451" s="12">
        <f t="shared" ref="AE451:AE514" si="82">IF(X451="Good", 1, 0)</f>
        <v>0</v>
      </c>
      <c r="AF451">
        <f t="shared" si="78"/>
        <v>0</v>
      </c>
      <c r="AG451">
        <f t="shared" ref="AG451:AG514" si="83">IF(O451="Mid", 1, 0)</f>
        <v>0</v>
      </c>
      <c r="AH451">
        <f t="shared" ref="AH451:AH514" si="84">IF(I451="High", 1, 0)</f>
        <v>0</v>
      </c>
      <c r="AI451">
        <f t="shared" ref="AI451:AI514" si="85">IF(I451="Critical", 1, 0)</f>
        <v>0</v>
      </c>
      <c r="AJ451">
        <f t="shared" ref="AJ451:AJ514" si="86">IF(I451="Medium", 1, 0)</f>
        <v>0</v>
      </c>
      <c r="AK451">
        <f t="shared" si="79"/>
        <v>0</v>
      </c>
      <c r="AL451">
        <f t="shared" ref="AL451:AL514" si="87">IF(Y451="No", 1, 0)</f>
        <v>0</v>
      </c>
    </row>
    <row r="452" spans="1:38">
      <c r="A452" t="s">
        <v>1483</v>
      </c>
      <c r="B452" t="s">
        <v>1484</v>
      </c>
      <c r="C452" s="1">
        <f t="shared" si="80"/>
        <v>45566</v>
      </c>
      <c r="D452" t="s">
        <v>1485</v>
      </c>
      <c r="E452">
        <v>67.2</v>
      </c>
      <c r="F452">
        <v>2.8</v>
      </c>
      <c r="G452" t="s">
        <v>101</v>
      </c>
      <c r="H452" t="s">
        <v>102</v>
      </c>
      <c r="I452" t="s">
        <v>95</v>
      </c>
      <c r="J452">
        <v>48</v>
      </c>
      <c r="K452" t="s">
        <v>33</v>
      </c>
      <c r="L452" t="s">
        <v>133</v>
      </c>
      <c r="M452" t="s">
        <v>35</v>
      </c>
      <c r="N452" t="s">
        <v>36</v>
      </c>
      <c r="O452" t="s">
        <v>7232</v>
      </c>
      <c r="P452" t="s">
        <v>39</v>
      </c>
      <c r="Q452" t="s">
        <v>38</v>
      </c>
      <c r="R452">
        <v>0</v>
      </c>
      <c r="S452" t="s">
        <v>38</v>
      </c>
      <c r="T452">
        <v>8</v>
      </c>
      <c r="U452">
        <v>1.3</v>
      </c>
      <c r="V452">
        <v>21.9</v>
      </c>
      <c r="W452" t="s">
        <v>39</v>
      </c>
      <c r="X452" t="s">
        <v>40</v>
      </c>
      <c r="Y452" t="s">
        <v>39</v>
      </c>
      <c r="Z452" t="s">
        <v>73</v>
      </c>
      <c r="AA452" t="s">
        <v>54</v>
      </c>
      <c r="AB452" t="s">
        <v>83</v>
      </c>
      <c r="AC452">
        <f t="shared" si="77"/>
        <v>0</v>
      </c>
      <c r="AD452" s="12">
        <f t="shared" si="81"/>
        <v>0</v>
      </c>
      <c r="AE452" s="12">
        <f t="shared" si="82"/>
        <v>0</v>
      </c>
      <c r="AF452">
        <f t="shared" si="78"/>
        <v>0</v>
      </c>
      <c r="AG452">
        <f t="shared" si="83"/>
        <v>1</v>
      </c>
      <c r="AH452">
        <f t="shared" si="84"/>
        <v>0</v>
      </c>
      <c r="AI452">
        <f t="shared" si="85"/>
        <v>1</v>
      </c>
      <c r="AJ452">
        <f t="shared" si="86"/>
        <v>0</v>
      </c>
      <c r="AK452">
        <f t="shared" si="79"/>
        <v>0</v>
      </c>
      <c r="AL452">
        <f t="shared" si="87"/>
        <v>0</v>
      </c>
    </row>
    <row r="453" spans="1:38">
      <c r="A453" t="s">
        <v>1486</v>
      </c>
      <c r="B453" t="s">
        <v>1487</v>
      </c>
      <c r="C453" s="1">
        <f t="shared" si="80"/>
        <v>45474</v>
      </c>
      <c r="D453" t="s">
        <v>1488</v>
      </c>
      <c r="E453">
        <v>345.6</v>
      </c>
      <c r="F453">
        <v>14.4</v>
      </c>
      <c r="G453" t="s">
        <v>77</v>
      </c>
      <c r="H453" t="s">
        <v>267</v>
      </c>
      <c r="I453" t="s">
        <v>32</v>
      </c>
      <c r="J453">
        <v>240</v>
      </c>
      <c r="K453" t="s">
        <v>33</v>
      </c>
      <c r="L453" t="s">
        <v>96</v>
      </c>
      <c r="M453" t="s">
        <v>35</v>
      </c>
      <c r="N453" t="s">
        <v>188</v>
      </c>
      <c r="O453" t="s">
        <v>7232</v>
      </c>
      <c r="P453" t="s">
        <v>39</v>
      </c>
      <c r="Q453" t="s">
        <v>38</v>
      </c>
      <c r="R453">
        <v>0</v>
      </c>
      <c r="S453" t="s">
        <v>38</v>
      </c>
      <c r="T453">
        <v>4</v>
      </c>
      <c r="U453">
        <v>5.3</v>
      </c>
      <c r="V453">
        <v>18.399999999999999</v>
      </c>
      <c r="W453" t="s">
        <v>38</v>
      </c>
      <c r="X453" t="s">
        <v>52</v>
      </c>
      <c r="Y453" t="s">
        <v>39</v>
      </c>
      <c r="Z453" t="s">
        <v>41</v>
      </c>
      <c r="AA453" t="s">
        <v>109</v>
      </c>
      <c r="AB453" t="s">
        <v>55</v>
      </c>
      <c r="AC453">
        <f t="shared" si="77"/>
        <v>1</v>
      </c>
      <c r="AD453" s="12">
        <f t="shared" si="81"/>
        <v>0</v>
      </c>
      <c r="AE453" s="12">
        <f t="shared" si="82"/>
        <v>0</v>
      </c>
      <c r="AF453">
        <f t="shared" si="78"/>
        <v>0</v>
      </c>
      <c r="AG453">
        <f t="shared" si="83"/>
        <v>1</v>
      </c>
      <c r="AH453">
        <f t="shared" si="84"/>
        <v>0</v>
      </c>
      <c r="AI453">
        <f t="shared" si="85"/>
        <v>0</v>
      </c>
      <c r="AJ453">
        <f t="shared" si="86"/>
        <v>1</v>
      </c>
      <c r="AK453">
        <f t="shared" si="79"/>
        <v>0</v>
      </c>
      <c r="AL453">
        <f t="shared" si="87"/>
        <v>0</v>
      </c>
    </row>
    <row r="454" spans="1:38">
      <c r="A454" t="s">
        <v>1489</v>
      </c>
      <c r="B454" t="s">
        <v>1490</v>
      </c>
      <c r="C454" s="1">
        <f t="shared" si="80"/>
        <v>45323</v>
      </c>
      <c r="D454" t="s">
        <v>1491</v>
      </c>
      <c r="E454">
        <v>242.6</v>
      </c>
      <c r="F454">
        <v>10.1</v>
      </c>
      <c r="G454" t="s">
        <v>30</v>
      </c>
      <c r="H454" t="s">
        <v>31</v>
      </c>
      <c r="I454" t="s">
        <v>79</v>
      </c>
      <c r="J454">
        <v>360</v>
      </c>
      <c r="K454" t="s">
        <v>49</v>
      </c>
      <c r="L454" t="s">
        <v>96</v>
      </c>
      <c r="M454" t="s">
        <v>35</v>
      </c>
      <c r="N454" t="s">
        <v>89</v>
      </c>
      <c r="O454" t="s">
        <v>51</v>
      </c>
      <c r="P454" t="s">
        <v>38</v>
      </c>
      <c r="Q454" t="s">
        <v>38</v>
      </c>
      <c r="R454">
        <v>1</v>
      </c>
      <c r="S454" t="s">
        <v>39</v>
      </c>
      <c r="T454">
        <v>7</v>
      </c>
      <c r="U454">
        <v>0.7</v>
      </c>
      <c r="V454">
        <v>20.9</v>
      </c>
      <c r="W454" t="s">
        <v>39</v>
      </c>
      <c r="X454" t="s">
        <v>63</v>
      </c>
      <c r="Y454" t="s">
        <v>39</v>
      </c>
      <c r="Z454" t="s">
        <v>108</v>
      </c>
      <c r="AA454" t="s">
        <v>109</v>
      </c>
      <c r="AB454" t="s">
        <v>55</v>
      </c>
      <c r="AC454">
        <f t="shared" si="77"/>
        <v>0</v>
      </c>
      <c r="AD454" s="12">
        <f t="shared" si="81"/>
        <v>1</v>
      </c>
      <c r="AE454" s="12">
        <f t="shared" si="82"/>
        <v>0</v>
      </c>
      <c r="AF454">
        <f t="shared" si="78"/>
        <v>1</v>
      </c>
      <c r="AG454">
        <f t="shared" si="83"/>
        <v>0</v>
      </c>
      <c r="AH454">
        <f t="shared" si="84"/>
        <v>0</v>
      </c>
      <c r="AI454">
        <f t="shared" si="85"/>
        <v>0</v>
      </c>
      <c r="AJ454">
        <f t="shared" si="86"/>
        <v>0</v>
      </c>
      <c r="AK454">
        <f t="shared" si="79"/>
        <v>1</v>
      </c>
      <c r="AL454">
        <f t="shared" si="87"/>
        <v>0</v>
      </c>
    </row>
    <row r="455" spans="1:38">
      <c r="A455" t="s">
        <v>1492</v>
      </c>
      <c r="B455" t="s">
        <v>1493</v>
      </c>
      <c r="C455" s="1">
        <f t="shared" si="80"/>
        <v>45323</v>
      </c>
      <c r="D455" t="s">
        <v>1494</v>
      </c>
      <c r="E455">
        <v>259</v>
      </c>
      <c r="F455">
        <v>10.8</v>
      </c>
      <c r="G455" t="s">
        <v>77</v>
      </c>
      <c r="H455" t="s">
        <v>267</v>
      </c>
      <c r="I455" t="s">
        <v>79</v>
      </c>
      <c r="J455">
        <v>360</v>
      </c>
      <c r="K455" t="s">
        <v>49</v>
      </c>
      <c r="L455" t="s">
        <v>34</v>
      </c>
      <c r="M455" t="s">
        <v>35</v>
      </c>
      <c r="N455" t="s">
        <v>138</v>
      </c>
      <c r="O455" t="s">
        <v>7232</v>
      </c>
      <c r="P455" t="s">
        <v>39</v>
      </c>
      <c r="Q455" t="s">
        <v>38</v>
      </c>
      <c r="R455">
        <v>0</v>
      </c>
      <c r="S455" t="s">
        <v>38</v>
      </c>
      <c r="T455">
        <v>9</v>
      </c>
      <c r="U455">
        <v>4</v>
      </c>
      <c r="V455">
        <v>22.1</v>
      </c>
      <c r="W455" t="s">
        <v>38</v>
      </c>
      <c r="X455" t="s">
        <v>123</v>
      </c>
      <c r="Y455" t="s">
        <v>39</v>
      </c>
      <c r="Z455" t="s">
        <v>73</v>
      </c>
      <c r="AA455" t="s">
        <v>82</v>
      </c>
      <c r="AB455" t="s">
        <v>55</v>
      </c>
      <c r="AC455">
        <f t="shared" si="77"/>
        <v>0</v>
      </c>
      <c r="AD455" s="12">
        <f t="shared" si="81"/>
        <v>0</v>
      </c>
      <c r="AE455" s="12">
        <f t="shared" si="82"/>
        <v>1</v>
      </c>
      <c r="AF455">
        <f t="shared" si="78"/>
        <v>0</v>
      </c>
      <c r="AG455">
        <f t="shared" si="83"/>
        <v>1</v>
      </c>
      <c r="AH455">
        <f t="shared" si="84"/>
        <v>0</v>
      </c>
      <c r="AI455">
        <f t="shared" si="85"/>
        <v>0</v>
      </c>
      <c r="AJ455">
        <f t="shared" si="86"/>
        <v>0</v>
      </c>
      <c r="AK455">
        <f t="shared" si="79"/>
        <v>0</v>
      </c>
      <c r="AL455">
        <f t="shared" si="87"/>
        <v>0</v>
      </c>
    </row>
    <row r="456" spans="1:38">
      <c r="A456" t="s">
        <v>1495</v>
      </c>
      <c r="B456" t="s">
        <v>1496</v>
      </c>
      <c r="C456" s="1">
        <f t="shared" si="80"/>
        <v>45383</v>
      </c>
      <c r="D456" t="s">
        <v>1497</v>
      </c>
      <c r="E456">
        <v>200.1</v>
      </c>
      <c r="F456">
        <v>8.3000000000000007</v>
      </c>
      <c r="G456" t="s">
        <v>59</v>
      </c>
      <c r="H456" t="s">
        <v>227</v>
      </c>
      <c r="I456" t="s">
        <v>32</v>
      </c>
      <c r="J456">
        <v>240</v>
      </c>
      <c r="K456" t="s">
        <v>49</v>
      </c>
      <c r="L456" t="s">
        <v>96</v>
      </c>
      <c r="M456" t="s">
        <v>71</v>
      </c>
      <c r="N456" t="s">
        <v>299</v>
      </c>
      <c r="O456" t="s">
        <v>7232</v>
      </c>
      <c r="P456" t="s">
        <v>38</v>
      </c>
      <c r="Q456" t="s">
        <v>39</v>
      </c>
      <c r="R456">
        <v>2</v>
      </c>
      <c r="S456" t="s">
        <v>38</v>
      </c>
      <c r="T456">
        <v>9</v>
      </c>
      <c r="U456">
        <v>3.3</v>
      </c>
      <c r="V456">
        <v>29.1</v>
      </c>
      <c r="W456" t="s">
        <v>38</v>
      </c>
      <c r="X456" t="s">
        <v>40</v>
      </c>
      <c r="Y456" t="s">
        <v>38</v>
      </c>
      <c r="Z456" t="s">
        <v>73</v>
      </c>
      <c r="AA456" t="s">
        <v>109</v>
      </c>
      <c r="AB456" t="s">
        <v>55</v>
      </c>
      <c r="AC456">
        <f t="shared" si="77"/>
        <v>0</v>
      </c>
      <c r="AD456" s="12">
        <f t="shared" si="81"/>
        <v>0</v>
      </c>
      <c r="AE456" s="12">
        <f t="shared" si="82"/>
        <v>0</v>
      </c>
      <c r="AF456">
        <f t="shared" si="78"/>
        <v>0</v>
      </c>
      <c r="AG456">
        <f t="shared" si="83"/>
        <v>1</v>
      </c>
      <c r="AH456">
        <f t="shared" si="84"/>
        <v>0</v>
      </c>
      <c r="AI456">
        <f t="shared" si="85"/>
        <v>0</v>
      </c>
      <c r="AJ456">
        <f t="shared" si="86"/>
        <v>1</v>
      </c>
      <c r="AK456">
        <f t="shared" si="79"/>
        <v>0</v>
      </c>
      <c r="AL456">
        <f t="shared" si="87"/>
        <v>1</v>
      </c>
    </row>
    <row r="457" spans="1:38">
      <c r="A457" t="s">
        <v>1498</v>
      </c>
      <c r="B457" t="s">
        <v>1499</v>
      </c>
      <c r="C457" s="1">
        <f t="shared" si="80"/>
        <v>45536</v>
      </c>
      <c r="D457" t="s">
        <v>1500</v>
      </c>
      <c r="E457">
        <v>157.1</v>
      </c>
      <c r="F457">
        <v>6.5</v>
      </c>
      <c r="G457" t="s">
        <v>77</v>
      </c>
      <c r="H457" t="s">
        <v>187</v>
      </c>
      <c r="I457" t="s">
        <v>32</v>
      </c>
      <c r="J457">
        <v>240</v>
      </c>
      <c r="K457" t="s">
        <v>49</v>
      </c>
      <c r="L457" t="s">
        <v>70</v>
      </c>
      <c r="M457" t="s">
        <v>35</v>
      </c>
      <c r="N457" t="s">
        <v>164</v>
      </c>
      <c r="O457" t="s">
        <v>7232</v>
      </c>
      <c r="P457" t="s">
        <v>39</v>
      </c>
      <c r="Q457" t="s">
        <v>38</v>
      </c>
      <c r="R457">
        <v>0</v>
      </c>
      <c r="S457" t="s">
        <v>38</v>
      </c>
      <c r="T457">
        <v>9</v>
      </c>
      <c r="U457">
        <v>2.2000000000000002</v>
      </c>
      <c r="V457">
        <v>34.9</v>
      </c>
      <c r="W457" t="s">
        <v>38</v>
      </c>
      <c r="X457" t="s">
        <v>63</v>
      </c>
      <c r="Y457" t="s">
        <v>39</v>
      </c>
      <c r="Z457" t="s">
        <v>108</v>
      </c>
      <c r="AA457" t="s">
        <v>42</v>
      </c>
      <c r="AB457" t="s">
        <v>55</v>
      </c>
      <c r="AC457">
        <f t="shared" si="77"/>
        <v>0</v>
      </c>
      <c r="AD457" s="12">
        <f t="shared" si="81"/>
        <v>1</v>
      </c>
      <c r="AE457" s="12">
        <f t="shared" si="82"/>
        <v>0</v>
      </c>
      <c r="AF457">
        <f t="shared" si="78"/>
        <v>0</v>
      </c>
      <c r="AG457">
        <f t="shared" si="83"/>
        <v>1</v>
      </c>
      <c r="AH457">
        <f t="shared" si="84"/>
        <v>0</v>
      </c>
      <c r="AI457">
        <f t="shared" si="85"/>
        <v>0</v>
      </c>
      <c r="AJ457">
        <f t="shared" si="86"/>
        <v>1</v>
      </c>
      <c r="AK457">
        <f t="shared" si="79"/>
        <v>0</v>
      </c>
      <c r="AL457">
        <f t="shared" si="87"/>
        <v>0</v>
      </c>
    </row>
    <row r="458" spans="1:38">
      <c r="A458" t="s">
        <v>1501</v>
      </c>
      <c r="B458" t="s">
        <v>1502</v>
      </c>
      <c r="C458" s="1">
        <f t="shared" si="80"/>
        <v>45597</v>
      </c>
      <c r="D458" t="s">
        <v>1503</v>
      </c>
      <c r="E458">
        <v>192.5</v>
      </c>
      <c r="F458">
        <v>8</v>
      </c>
      <c r="G458" t="s">
        <v>142</v>
      </c>
      <c r="H458" t="s">
        <v>143</v>
      </c>
      <c r="I458" t="s">
        <v>32</v>
      </c>
      <c r="J458">
        <v>240</v>
      </c>
      <c r="K458" t="s">
        <v>49</v>
      </c>
      <c r="L458" t="s">
        <v>34</v>
      </c>
      <c r="M458" t="s">
        <v>35</v>
      </c>
      <c r="N458" t="s">
        <v>72</v>
      </c>
      <c r="O458" t="s">
        <v>51</v>
      </c>
      <c r="P458" t="s">
        <v>38</v>
      </c>
      <c r="Q458" t="s">
        <v>38</v>
      </c>
      <c r="R458">
        <v>1</v>
      </c>
      <c r="S458" t="s">
        <v>38</v>
      </c>
      <c r="T458">
        <v>10</v>
      </c>
      <c r="U458">
        <v>4.8</v>
      </c>
      <c r="V458">
        <v>0</v>
      </c>
      <c r="W458" t="s">
        <v>38</v>
      </c>
      <c r="X458" t="s">
        <v>63</v>
      </c>
      <c r="Y458" t="s">
        <v>39</v>
      </c>
      <c r="Z458" t="s">
        <v>81</v>
      </c>
      <c r="AA458" t="s">
        <v>103</v>
      </c>
      <c r="AB458" t="s">
        <v>55</v>
      </c>
      <c r="AC458">
        <f t="shared" si="77"/>
        <v>0</v>
      </c>
      <c r="AD458" s="12">
        <f t="shared" si="81"/>
        <v>1</v>
      </c>
      <c r="AE458" s="12">
        <f t="shared" si="82"/>
        <v>0</v>
      </c>
      <c r="AF458">
        <f t="shared" si="78"/>
        <v>1</v>
      </c>
      <c r="AG458">
        <f t="shared" si="83"/>
        <v>0</v>
      </c>
      <c r="AH458">
        <f t="shared" si="84"/>
        <v>0</v>
      </c>
      <c r="AI458">
        <f t="shared" si="85"/>
        <v>0</v>
      </c>
      <c r="AJ458">
        <f t="shared" si="86"/>
        <v>1</v>
      </c>
      <c r="AK458">
        <f t="shared" si="79"/>
        <v>0</v>
      </c>
      <c r="AL458">
        <f t="shared" si="87"/>
        <v>0</v>
      </c>
    </row>
    <row r="459" spans="1:38">
      <c r="A459" t="s">
        <v>1504</v>
      </c>
      <c r="B459" t="s">
        <v>1505</v>
      </c>
      <c r="C459" s="1">
        <f t="shared" si="80"/>
        <v>45505</v>
      </c>
      <c r="D459" t="s">
        <v>1506</v>
      </c>
      <c r="E459">
        <v>158.19999999999999</v>
      </c>
      <c r="F459">
        <v>6.6</v>
      </c>
      <c r="G459" t="s">
        <v>68</v>
      </c>
      <c r="H459" t="s">
        <v>69</v>
      </c>
      <c r="I459" t="s">
        <v>32</v>
      </c>
      <c r="J459">
        <v>240</v>
      </c>
      <c r="K459" t="s">
        <v>49</v>
      </c>
      <c r="L459" t="s">
        <v>113</v>
      </c>
      <c r="M459" t="s">
        <v>71</v>
      </c>
      <c r="N459" t="s">
        <v>188</v>
      </c>
      <c r="O459" t="s">
        <v>7232</v>
      </c>
      <c r="P459" t="s">
        <v>38</v>
      </c>
      <c r="Q459" t="s">
        <v>39</v>
      </c>
      <c r="R459">
        <v>1</v>
      </c>
      <c r="S459" t="s">
        <v>38</v>
      </c>
      <c r="T459">
        <v>7</v>
      </c>
      <c r="U459">
        <v>1.7</v>
      </c>
      <c r="V459">
        <v>15.4</v>
      </c>
      <c r="W459" t="s">
        <v>39</v>
      </c>
      <c r="X459" t="s">
        <v>63</v>
      </c>
      <c r="Y459" t="s">
        <v>38</v>
      </c>
      <c r="Z459" t="s">
        <v>108</v>
      </c>
      <c r="AA459" t="s">
        <v>109</v>
      </c>
      <c r="AB459" t="s">
        <v>55</v>
      </c>
      <c r="AC459">
        <f t="shared" si="77"/>
        <v>0</v>
      </c>
      <c r="AD459" s="12">
        <f t="shared" si="81"/>
        <v>1</v>
      </c>
      <c r="AE459" s="12">
        <f t="shared" si="82"/>
        <v>0</v>
      </c>
      <c r="AF459">
        <f t="shared" si="78"/>
        <v>0</v>
      </c>
      <c r="AG459">
        <f t="shared" si="83"/>
        <v>1</v>
      </c>
      <c r="AH459">
        <f t="shared" si="84"/>
        <v>0</v>
      </c>
      <c r="AI459">
        <f t="shared" si="85"/>
        <v>0</v>
      </c>
      <c r="AJ459">
        <f t="shared" si="86"/>
        <v>1</v>
      </c>
      <c r="AK459">
        <f t="shared" si="79"/>
        <v>0</v>
      </c>
      <c r="AL459">
        <f t="shared" si="87"/>
        <v>1</v>
      </c>
    </row>
    <row r="460" spans="1:38">
      <c r="A460" t="s">
        <v>1507</v>
      </c>
      <c r="B460" t="s">
        <v>1508</v>
      </c>
      <c r="C460" s="1">
        <f t="shared" si="80"/>
        <v>45352</v>
      </c>
      <c r="D460" t="s">
        <v>1509</v>
      </c>
      <c r="E460">
        <v>340.7</v>
      </c>
      <c r="F460">
        <v>14.2</v>
      </c>
      <c r="G460" t="s">
        <v>68</v>
      </c>
      <c r="H460" t="s">
        <v>456</v>
      </c>
      <c r="I460" t="s">
        <v>79</v>
      </c>
      <c r="J460">
        <v>360</v>
      </c>
      <c r="K460" t="s">
        <v>49</v>
      </c>
      <c r="L460" t="s">
        <v>113</v>
      </c>
      <c r="M460" t="s">
        <v>35</v>
      </c>
      <c r="N460" t="s">
        <v>114</v>
      </c>
      <c r="O460" t="s">
        <v>7232</v>
      </c>
      <c r="P460" t="s">
        <v>38</v>
      </c>
      <c r="Q460" t="s">
        <v>38</v>
      </c>
      <c r="R460">
        <v>1</v>
      </c>
      <c r="S460" t="s">
        <v>38</v>
      </c>
      <c r="T460">
        <v>10</v>
      </c>
      <c r="U460">
        <v>3.3</v>
      </c>
      <c r="V460">
        <v>12.1</v>
      </c>
      <c r="W460" t="s">
        <v>39</v>
      </c>
      <c r="X460" t="s">
        <v>63</v>
      </c>
      <c r="Y460" t="s">
        <v>39</v>
      </c>
      <c r="Z460" t="s">
        <v>81</v>
      </c>
      <c r="AA460" t="s">
        <v>82</v>
      </c>
      <c r="AB460" t="s">
        <v>43</v>
      </c>
      <c r="AC460">
        <f t="shared" si="77"/>
        <v>0</v>
      </c>
      <c r="AD460" s="12">
        <f t="shared" si="81"/>
        <v>1</v>
      </c>
      <c r="AE460" s="12">
        <f t="shared" si="82"/>
        <v>0</v>
      </c>
      <c r="AF460">
        <f t="shared" si="78"/>
        <v>0</v>
      </c>
      <c r="AG460">
        <f t="shared" si="83"/>
        <v>1</v>
      </c>
      <c r="AH460">
        <f t="shared" si="84"/>
        <v>0</v>
      </c>
      <c r="AI460">
        <f t="shared" si="85"/>
        <v>0</v>
      </c>
      <c r="AJ460">
        <f t="shared" si="86"/>
        <v>0</v>
      </c>
      <c r="AK460">
        <f t="shared" si="79"/>
        <v>0</v>
      </c>
      <c r="AL460">
        <f t="shared" si="87"/>
        <v>0</v>
      </c>
    </row>
    <row r="461" spans="1:38">
      <c r="A461" t="s">
        <v>1510</v>
      </c>
      <c r="B461" t="s">
        <v>1511</v>
      </c>
      <c r="C461" s="1">
        <f t="shared" si="80"/>
        <v>45474</v>
      </c>
      <c r="D461" t="s">
        <v>1512</v>
      </c>
      <c r="E461">
        <v>124</v>
      </c>
      <c r="F461">
        <v>5.2</v>
      </c>
      <c r="G461" t="s">
        <v>59</v>
      </c>
      <c r="H461" t="s">
        <v>60</v>
      </c>
      <c r="I461" t="s">
        <v>48</v>
      </c>
      <c r="J461">
        <v>120</v>
      </c>
      <c r="K461" t="s">
        <v>33</v>
      </c>
      <c r="L461" t="s">
        <v>96</v>
      </c>
      <c r="M461" t="s">
        <v>35</v>
      </c>
      <c r="N461" t="s">
        <v>202</v>
      </c>
      <c r="O461" t="s">
        <v>51</v>
      </c>
      <c r="P461" t="s">
        <v>38</v>
      </c>
      <c r="Q461" t="s">
        <v>38</v>
      </c>
      <c r="R461">
        <v>1</v>
      </c>
      <c r="S461" t="s">
        <v>38</v>
      </c>
      <c r="T461">
        <v>5</v>
      </c>
      <c r="U461">
        <v>1.7</v>
      </c>
      <c r="V461">
        <v>4.2</v>
      </c>
      <c r="W461" t="s">
        <v>38</v>
      </c>
      <c r="X461" t="s">
        <v>63</v>
      </c>
      <c r="Y461" t="s">
        <v>39</v>
      </c>
      <c r="Z461" t="s">
        <v>53</v>
      </c>
      <c r="AA461" t="s">
        <v>109</v>
      </c>
      <c r="AB461" t="s">
        <v>55</v>
      </c>
      <c r="AC461">
        <f t="shared" si="77"/>
        <v>0</v>
      </c>
      <c r="AD461" s="12">
        <f t="shared" si="81"/>
        <v>1</v>
      </c>
      <c r="AE461" s="12">
        <f t="shared" si="82"/>
        <v>0</v>
      </c>
      <c r="AF461">
        <f t="shared" si="78"/>
        <v>1</v>
      </c>
      <c r="AG461">
        <f t="shared" si="83"/>
        <v>0</v>
      </c>
      <c r="AH461">
        <f t="shared" si="84"/>
        <v>1</v>
      </c>
      <c r="AI461">
        <f t="shared" si="85"/>
        <v>0</v>
      </c>
      <c r="AJ461">
        <f t="shared" si="86"/>
        <v>0</v>
      </c>
      <c r="AK461">
        <f t="shared" si="79"/>
        <v>0</v>
      </c>
      <c r="AL461">
        <f t="shared" si="87"/>
        <v>0</v>
      </c>
    </row>
    <row r="462" spans="1:38">
      <c r="A462" t="s">
        <v>1513</v>
      </c>
      <c r="B462" t="s">
        <v>1514</v>
      </c>
      <c r="C462" s="1">
        <f t="shared" si="80"/>
        <v>45413</v>
      </c>
      <c r="D462" t="s">
        <v>1515</v>
      </c>
      <c r="E462">
        <v>318.2</v>
      </c>
      <c r="F462">
        <v>13.3</v>
      </c>
      <c r="G462" t="s">
        <v>30</v>
      </c>
      <c r="H462" t="s">
        <v>47</v>
      </c>
      <c r="I462" t="s">
        <v>32</v>
      </c>
      <c r="J462">
        <v>240</v>
      </c>
      <c r="K462" t="s">
        <v>33</v>
      </c>
      <c r="L462" t="s">
        <v>133</v>
      </c>
      <c r="M462" t="s">
        <v>35</v>
      </c>
      <c r="N462" t="s">
        <v>107</v>
      </c>
      <c r="O462" t="s">
        <v>51</v>
      </c>
      <c r="P462" t="s">
        <v>38</v>
      </c>
      <c r="Q462" t="s">
        <v>38</v>
      </c>
      <c r="R462">
        <v>1</v>
      </c>
      <c r="S462" t="s">
        <v>38</v>
      </c>
      <c r="T462">
        <v>7</v>
      </c>
      <c r="U462">
        <v>1</v>
      </c>
      <c r="V462">
        <v>28.2</v>
      </c>
      <c r="W462" t="s">
        <v>39</v>
      </c>
      <c r="X462" t="s">
        <v>40</v>
      </c>
      <c r="Y462" t="s">
        <v>38</v>
      </c>
      <c r="Z462" t="s">
        <v>53</v>
      </c>
      <c r="AA462" t="s">
        <v>54</v>
      </c>
      <c r="AB462" t="s">
        <v>83</v>
      </c>
      <c r="AC462">
        <f t="shared" si="77"/>
        <v>0</v>
      </c>
      <c r="AD462" s="12">
        <f t="shared" si="81"/>
        <v>0</v>
      </c>
      <c r="AE462" s="12">
        <f t="shared" si="82"/>
        <v>0</v>
      </c>
      <c r="AF462">
        <f t="shared" si="78"/>
        <v>1</v>
      </c>
      <c r="AG462">
        <f t="shared" si="83"/>
        <v>0</v>
      </c>
      <c r="AH462">
        <f t="shared" si="84"/>
        <v>0</v>
      </c>
      <c r="AI462">
        <f t="shared" si="85"/>
        <v>0</v>
      </c>
      <c r="AJ462">
        <f t="shared" si="86"/>
        <v>1</v>
      </c>
      <c r="AK462">
        <f t="shared" si="79"/>
        <v>1</v>
      </c>
      <c r="AL462">
        <f t="shared" si="87"/>
        <v>1</v>
      </c>
    </row>
    <row r="463" spans="1:38">
      <c r="A463" t="s">
        <v>1516</v>
      </c>
      <c r="B463" t="s">
        <v>1517</v>
      </c>
      <c r="C463" s="1">
        <f t="shared" si="80"/>
        <v>45352</v>
      </c>
      <c r="D463" t="s">
        <v>1518</v>
      </c>
      <c r="E463">
        <v>195.5</v>
      </c>
      <c r="F463">
        <v>8.1</v>
      </c>
      <c r="G463" t="s">
        <v>101</v>
      </c>
      <c r="H463" t="s">
        <v>368</v>
      </c>
      <c r="I463" t="s">
        <v>32</v>
      </c>
      <c r="J463">
        <v>240</v>
      </c>
      <c r="K463" t="s">
        <v>49</v>
      </c>
      <c r="L463" t="s">
        <v>70</v>
      </c>
      <c r="M463" t="s">
        <v>71</v>
      </c>
      <c r="N463" t="s">
        <v>192</v>
      </c>
      <c r="O463" t="s">
        <v>7232</v>
      </c>
      <c r="P463" t="s">
        <v>38</v>
      </c>
      <c r="Q463" t="s">
        <v>39</v>
      </c>
      <c r="R463">
        <v>2</v>
      </c>
      <c r="S463" t="s">
        <v>38</v>
      </c>
      <c r="T463">
        <v>10</v>
      </c>
      <c r="U463">
        <v>0.1</v>
      </c>
      <c r="V463">
        <v>37.6</v>
      </c>
      <c r="W463" t="s">
        <v>38</v>
      </c>
      <c r="X463" t="s">
        <v>40</v>
      </c>
      <c r="Y463" t="s">
        <v>39</v>
      </c>
      <c r="Z463" t="s">
        <v>115</v>
      </c>
      <c r="AA463" t="s">
        <v>103</v>
      </c>
      <c r="AB463" t="s">
        <v>43</v>
      </c>
      <c r="AC463">
        <f t="shared" si="77"/>
        <v>0</v>
      </c>
      <c r="AD463" s="12">
        <f t="shared" si="81"/>
        <v>0</v>
      </c>
      <c r="AE463" s="12">
        <f t="shared" si="82"/>
        <v>0</v>
      </c>
      <c r="AF463">
        <f t="shared" si="78"/>
        <v>0</v>
      </c>
      <c r="AG463">
        <f t="shared" si="83"/>
        <v>1</v>
      </c>
      <c r="AH463">
        <f t="shared" si="84"/>
        <v>0</v>
      </c>
      <c r="AI463">
        <f t="shared" si="85"/>
        <v>0</v>
      </c>
      <c r="AJ463">
        <f t="shared" si="86"/>
        <v>1</v>
      </c>
      <c r="AK463">
        <f t="shared" si="79"/>
        <v>0</v>
      </c>
      <c r="AL463">
        <f t="shared" si="87"/>
        <v>0</v>
      </c>
    </row>
    <row r="464" spans="1:38">
      <c r="A464" t="s">
        <v>1519</v>
      </c>
      <c r="B464" t="s">
        <v>1520</v>
      </c>
      <c r="C464" s="1">
        <f t="shared" si="80"/>
        <v>45536</v>
      </c>
      <c r="D464" t="s">
        <v>1521</v>
      </c>
      <c r="E464">
        <v>299.5</v>
      </c>
      <c r="F464">
        <v>12.5</v>
      </c>
      <c r="G464" t="s">
        <v>30</v>
      </c>
      <c r="H464" t="s">
        <v>31</v>
      </c>
      <c r="I464" t="s">
        <v>32</v>
      </c>
      <c r="J464">
        <v>240</v>
      </c>
      <c r="K464" t="s">
        <v>33</v>
      </c>
      <c r="L464" t="s">
        <v>34</v>
      </c>
      <c r="M464" t="s">
        <v>35</v>
      </c>
      <c r="N464" t="s">
        <v>202</v>
      </c>
      <c r="O464" t="s">
        <v>37</v>
      </c>
      <c r="P464" t="s">
        <v>39</v>
      </c>
      <c r="Q464" t="s">
        <v>38</v>
      </c>
      <c r="R464">
        <v>0</v>
      </c>
      <c r="S464" t="s">
        <v>38</v>
      </c>
      <c r="T464">
        <v>6</v>
      </c>
      <c r="U464">
        <v>2</v>
      </c>
      <c r="V464">
        <v>18.600000000000001</v>
      </c>
      <c r="W464" t="s">
        <v>38</v>
      </c>
      <c r="X464" t="s">
        <v>63</v>
      </c>
      <c r="Y464" t="s">
        <v>38</v>
      </c>
      <c r="Z464" t="s">
        <v>73</v>
      </c>
      <c r="AA464" t="s">
        <v>103</v>
      </c>
      <c r="AB464" t="s">
        <v>43</v>
      </c>
      <c r="AC464">
        <f t="shared" si="77"/>
        <v>0</v>
      </c>
      <c r="AD464" s="12">
        <f t="shared" si="81"/>
        <v>1</v>
      </c>
      <c r="AE464" s="12">
        <f t="shared" si="82"/>
        <v>0</v>
      </c>
      <c r="AF464">
        <f t="shared" si="78"/>
        <v>0</v>
      </c>
      <c r="AG464">
        <f t="shared" si="83"/>
        <v>0</v>
      </c>
      <c r="AH464">
        <f t="shared" si="84"/>
        <v>0</v>
      </c>
      <c r="AI464">
        <f t="shared" si="85"/>
        <v>0</v>
      </c>
      <c r="AJ464">
        <f t="shared" si="86"/>
        <v>1</v>
      </c>
      <c r="AK464">
        <f t="shared" si="79"/>
        <v>1</v>
      </c>
      <c r="AL464">
        <f t="shared" si="87"/>
        <v>1</v>
      </c>
    </row>
    <row r="465" spans="1:38">
      <c r="A465" t="s">
        <v>1522</v>
      </c>
      <c r="B465" t="s">
        <v>1523</v>
      </c>
      <c r="C465" s="1">
        <f t="shared" si="80"/>
        <v>45352</v>
      </c>
      <c r="D465" t="s">
        <v>1524</v>
      </c>
      <c r="E465">
        <v>194.8</v>
      </c>
      <c r="F465">
        <v>8.1</v>
      </c>
      <c r="G465" t="s">
        <v>93</v>
      </c>
      <c r="H465" t="s">
        <v>94</v>
      </c>
      <c r="I465" t="s">
        <v>32</v>
      </c>
      <c r="J465">
        <v>240</v>
      </c>
      <c r="K465" t="s">
        <v>49</v>
      </c>
      <c r="L465" t="s">
        <v>34</v>
      </c>
      <c r="M465" t="s">
        <v>71</v>
      </c>
      <c r="N465" t="s">
        <v>220</v>
      </c>
      <c r="O465" t="s">
        <v>37</v>
      </c>
      <c r="P465" t="s">
        <v>38</v>
      </c>
      <c r="Q465" t="s">
        <v>39</v>
      </c>
      <c r="R465">
        <v>1</v>
      </c>
      <c r="S465" t="s">
        <v>38</v>
      </c>
      <c r="T465">
        <v>8</v>
      </c>
      <c r="U465">
        <v>2.8</v>
      </c>
      <c r="V465">
        <v>0</v>
      </c>
      <c r="W465" t="s">
        <v>39</v>
      </c>
      <c r="X465" t="s">
        <v>52</v>
      </c>
      <c r="Y465" t="s">
        <v>38</v>
      </c>
      <c r="Z465" t="s">
        <v>108</v>
      </c>
      <c r="AA465" t="s">
        <v>103</v>
      </c>
      <c r="AB465" t="s">
        <v>55</v>
      </c>
      <c r="AC465">
        <f t="shared" si="77"/>
        <v>1</v>
      </c>
      <c r="AD465" s="12">
        <f t="shared" si="81"/>
        <v>0</v>
      </c>
      <c r="AE465" s="12">
        <f t="shared" si="82"/>
        <v>0</v>
      </c>
      <c r="AF465">
        <f t="shared" si="78"/>
        <v>0</v>
      </c>
      <c r="AG465">
        <f t="shared" si="83"/>
        <v>0</v>
      </c>
      <c r="AH465">
        <f t="shared" si="84"/>
        <v>0</v>
      </c>
      <c r="AI465">
        <f t="shared" si="85"/>
        <v>0</v>
      </c>
      <c r="AJ465">
        <f t="shared" si="86"/>
        <v>1</v>
      </c>
      <c r="AK465">
        <f t="shared" si="79"/>
        <v>0</v>
      </c>
      <c r="AL465">
        <f t="shared" si="87"/>
        <v>1</v>
      </c>
    </row>
    <row r="466" spans="1:38">
      <c r="A466" t="s">
        <v>1525</v>
      </c>
      <c r="B466" t="s">
        <v>1526</v>
      </c>
      <c r="C466" s="1">
        <f t="shared" si="80"/>
        <v>45566</v>
      </c>
      <c r="D466" t="s">
        <v>1527</v>
      </c>
      <c r="E466">
        <v>282.39999999999998</v>
      </c>
      <c r="F466">
        <v>11.8</v>
      </c>
      <c r="G466" t="s">
        <v>93</v>
      </c>
      <c r="H466" t="s">
        <v>94</v>
      </c>
      <c r="I466" t="s">
        <v>79</v>
      </c>
      <c r="J466">
        <v>360</v>
      </c>
      <c r="K466" t="s">
        <v>49</v>
      </c>
      <c r="L466" t="s">
        <v>34</v>
      </c>
      <c r="M466" t="s">
        <v>35</v>
      </c>
      <c r="N466" t="s">
        <v>97</v>
      </c>
      <c r="O466" t="s">
        <v>7232</v>
      </c>
      <c r="P466" t="s">
        <v>38</v>
      </c>
      <c r="Q466" t="s">
        <v>38</v>
      </c>
      <c r="R466">
        <v>1</v>
      </c>
      <c r="S466" t="s">
        <v>39</v>
      </c>
      <c r="T466">
        <v>10</v>
      </c>
      <c r="U466">
        <v>3.8</v>
      </c>
      <c r="V466">
        <v>19.8</v>
      </c>
      <c r="W466" t="s">
        <v>39</v>
      </c>
      <c r="X466" t="s">
        <v>52</v>
      </c>
      <c r="Y466" t="s">
        <v>39</v>
      </c>
      <c r="Z466" t="s">
        <v>81</v>
      </c>
      <c r="AA466" t="s">
        <v>54</v>
      </c>
      <c r="AB466" t="s">
        <v>55</v>
      </c>
      <c r="AC466">
        <f t="shared" si="77"/>
        <v>1</v>
      </c>
      <c r="AD466" s="12">
        <f t="shared" si="81"/>
        <v>0</v>
      </c>
      <c r="AE466" s="12">
        <f t="shared" si="82"/>
        <v>0</v>
      </c>
      <c r="AF466">
        <f t="shared" si="78"/>
        <v>0</v>
      </c>
      <c r="AG466">
        <f t="shared" si="83"/>
        <v>1</v>
      </c>
      <c r="AH466">
        <f t="shared" si="84"/>
        <v>0</v>
      </c>
      <c r="AI466">
        <f t="shared" si="85"/>
        <v>0</v>
      </c>
      <c r="AJ466">
        <f t="shared" si="86"/>
        <v>0</v>
      </c>
      <c r="AK466">
        <f t="shared" si="79"/>
        <v>0</v>
      </c>
      <c r="AL466">
        <f t="shared" si="87"/>
        <v>0</v>
      </c>
    </row>
    <row r="467" spans="1:38">
      <c r="A467" t="s">
        <v>1528</v>
      </c>
      <c r="B467" t="s">
        <v>1529</v>
      </c>
      <c r="C467" s="1">
        <f t="shared" si="80"/>
        <v>45627</v>
      </c>
      <c r="D467" t="s">
        <v>1530</v>
      </c>
      <c r="E467">
        <v>152.69999999999999</v>
      </c>
      <c r="F467">
        <v>6.4</v>
      </c>
      <c r="G467" t="s">
        <v>30</v>
      </c>
      <c r="H467" t="s">
        <v>172</v>
      </c>
      <c r="I467" t="s">
        <v>32</v>
      </c>
      <c r="J467">
        <v>240</v>
      </c>
      <c r="K467" t="s">
        <v>49</v>
      </c>
      <c r="L467" t="s">
        <v>96</v>
      </c>
      <c r="M467" t="s">
        <v>35</v>
      </c>
      <c r="N467" t="s">
        <v>192</v>
      </c>
      <c r="O467" t="s">
        <v>51</v>
      </c>
      <c r="P467" t="s">
        <v>38</v>
      </c>
      <c r="Q467" t="s">
        <v>38</v>
      </c>
      <c r="R467">
        <v>1</v>
      </c>
      <c r="S467" t="s">
        <v>38</v>
      </c>
      <c r="T467">
        <v>10</v>
      </c>
      <c r="U467">
        <v>2.1</v>
      </c>
      <c r="V467">
        <v>4.3</v>
      </c>
      <c r="W467" t="s">
        <v>39</v>
      </c>
      <c r="X467" t="s">
        <v>52</v>
      </c>
      <c r="Y467" t="s">
        <v>39</v>
      </c>
      <c r="Z467" t="s">
        <v>115</v>
      </c>
      <c r="AA467" t="s">
        <v>54</v>
      </c>
      <c r="AB467" t="s">
        <v>43</v>
      </c>
      <c r="AC467">
        <f t="shared" si="77"/>
        <v>1</v>
      </c>
      <c r="AD467" s="12">
        <f t="shared" si="81"/>
        <v>0</v>
      </c>
      <c r="AE467" s="12">
        <f t="shared" si="82"/>
        <v>0</v>
      </c>
      <c r="AF467">
        <f t="shared" si="78"/>
        <v>1</v>
      </c>
      <c r="AG467">
        <f t="shared" si="83"/>
        <v>0</v>
      </c>
      <c r="AH467">
        <f t="shared" si="84"/>
        <v>0</v>
      </c>
      <c r="AI467">
        <f t="shared" si="85"/>
        <v>0</v>
      </c>
      <c r="AJ467">
        <f t="shared" si="86"/>
        <v>1</v>
      </c>
      <c r="AK467">
        <f t="shared" si="79"/>
        <v>1</v>
      </c>
      <c r="AL467">
        <f t="shared" si="87"/>
        <v>0</v>
      </c>
    </row>
    <row r="468" spans="1:38">
      <c r="A468" t="s">
        <v>1531</v>
      </c>
      <c r="B468" t="s">
        <v>1532</v>
      </c>
      <c r="C468" s="1">
        <f t="shared" si="80"/>
        <v>45444</v>
      </c>
      <c r="D468" t="s">
        <v>1533</v>
      </c>
      <c r="E468">
        <v>249.5</v>
      </c>
      <c r="F468">
        <v>10.4</v>
      </c>
      <c r="G468" t="s">
        <v>93</v>
      </c>
      <c r="H468" t="s">
        <v>163</v>
      </c>
      <c r="I468" t="s">
        <v>79</v>
      </c>
      <c r="J468">
        <v>360</v>
      </c>
      <c r="K468" t="s">
        <v>49</v>
      </c>
      <c r="L468" t="s">
        <v>113</v>
      </c>
      <c r="M468" t="s">
        <v>35</v>
      </c>
      <c r="N468" t="s">
        <v>144</v>
      </c>
      <c r="O468" t="s">
        <v>51</v>
      </c>
      <c r="P468" t="s">
        <v>39</v>
      </c>
      <c r="Q468" t="s">
        <v>38</v>
      </c>
      <c r="R468">
        <v>0</v>
      </c>
      <c r="S468" t="s">
        <v>38</v>
      </c>
      <c r="T468">
        <v>10</v>
      </c>
      <c r="U468">
        <v>1</v>
      </c>
      <c r="V468">
        <v>31.3</v>
      </c>
      <c r="W468" t="s">
        <v>38</v>
      </c>
      <c r="X468" t="s">
        <v>63</v>
      </c>
      <c r="Y468" t="s">
        <v>38</v>
      </c>
      <c r="Z468" t="s">
        <v>73</v>
      </c>
      <c r="AA468" t="s">
        <v>103</v>
      </c>
      <c r="AB468" t="s">
        <v>83</v>
      </c>
      <c r="AC468">
        <f t="shared" si="77"/>
        <v>0</v>
      </c>
      <c r="AD468" s="12">
        <f t="shared" si="81"/>
        <v>1</v>
      </c>
      <c r="AE468" s="12">
        <f t="shared" si="82"/>
        <v>0</v>
      </c>
      <c r="AF468">
        <f t="shared" si="78"/>
        <v>1</v>
      </c>
      <c r="AG468">
        <f t="shared" si="83"/>
        <v>0</v>
      </c>
      <c r="AH468">
        <f t="shared" si="84"/>
        <v>0</v>
      </c>
      <c r="AI468">
        <f t="shared" si="85"/>
        <v>0</v>
      </c>
      <c r="AJ468">
        <f t="shared" si="86"/>
        <v>0</v>
      </c>
      <c r="AK468">
        <f t="shared" si="79"/>
        <v>0</v>
      </c>
      <c r="AL468">
        <f t="shared" si="87"/>
        <v>1</v>
      </c>
    </row>
    <row r="469" spans="1:38">
      <c r="A469" t="s">
        <v>1534</v>
      </c>
      <c r="B469" t="s">
        <v>1535</v>
      </c>
      <c r="C469" s="1">
        <f t="shared" si="80"/>
        <v>45474</v>
      </c>
      <c r="D469" t="s">
        <v>1536</v>
      </c>
      <c r="E469">
        <v>291.2</v>
      </c>
      <c r="F469">
        <v>12.1</v>
      </c>
      <c r="G469" t="s">
        <v>93</v>
      </c>
      <c r="H469" t="s">
        <v>94</v>
      </c>
      <c r="I469" t="s">
        <v>79</v>
      </c>
      <c r="J469">
        <v>360</v>
      </c>
      <c r="K469" t="s">
        <v>49</v>
      </c>
      <c r="L469" t="s">
        <v>96</v>
      </c>
      <c r="M469" t="s">
        <v>35</v>
      </c>
      <c r="N469" t="s">
        <v>61</v>
      </c>
      <c r="O469" t="s">
        <v>7232</v>
      </c>
      <c r="P469" t="s">
        <v>39</v>
      </c>
      <c r="Q469" t="s">
        <v>38</v>
      </c>
      <c r="R469">
        <v>0</v>
      </c>
      <c r="S469" t="s">
        <v>38</v>
      </c>
      <c r="T469">
        <v>9</v>
      </c>
      <c r="U469">
        <v>1.3</v>
      </c>
      <c r="V469">
        <v>17.899999999999999</v>
      </c>
      <c r="W469" t="s">
        <v>38</v>
      </c>
      <c r="X469" t="s">
        <v>63</v>
      </c>
      <c r="Y469" t="s">
        <v>38</v>
      </c>
      <c r="Z469" t="s">
        <v>179</v>
      </c>
      <c r="AA469" t="s">
        <v>109</v>
      </c>
      <c r="AB469" t="s">
        <v>83</v>
      </c>
      <c r="AC469">
        <f t="shared" si="77"/>
        <v>0</v>
      </c>
      <c r="AD469" s="12">
        <f t="shared" si="81"/>
        <v>1</v>
      </c>
      <c r="AE469" s="12">
        <f t="shared" si="82"/>
        <v>0</v>
      </c>
      <c r="AF469">
        <f t="shared" si="78"/>
        <v>0</v>
      </c>
      <c r="AG469">
        <f t="shared" si="83"/>
        <v>1</v>
      </c>
      <c r="AH469">
        <f t="shared" si="84"/>
        <v>0</v>
      </c>
      <c r="AI469">
        <f t="shared" si="85"/>
        <v>0</v>
      </c>
      <c r="AJ469">
        <f t="shared" si="86"/>
        <v>0</v>
      </c>
      <c r="AK469">
        <f t="shared" si="79"/>
        <v>0</v>
      </c>
      <c r="AL469">
        <f t="shared" si="87"/>
        <v>1</v>
      </c>
    </row>
    <row r="470" spans="1:38">
      <c r="A470" t="s">
        <v>1537</v>
      </c>
      <c r="B470" t="s">
        <v>1538</v>
      </c>
      <c r="C470" s="1">
        <f t="shared" si="80"/>
        <v>45474</v>
      </c>
      <c r="D470" t="s">
        <v>1539</v>
      </c>
      <c r="E470">
        <v>301.5</v>
      </c>
      <c r="F470">
        <v>12.6</v>
      </c>
      <c r="G470" t="s">
        <v>77</v>
      </c>
      <c r="H470" t="s">
        <v>78</v>
      </c>
      <c r="I470" t="s">
        <v>79</v>
      </c>
      <c r="J470">
        <v>360</v>
      </c>
      <c r="K470" t="s">
        <v>49</v>
      </c>
      <c r="L470" t="s">
        <v>34</v>
      </c>
      <c r="M470" t="s">
        <v>35</v>
      </c>
      <c r="N470" t="s">
        <v>202</v>
      </c>
      <c r="O470" t="s">
        <v>37</v>
      </c>
      <c r="P470" t="s">
        <v>38</v>
      </c>
      <c r="Q470" t="s">
        <v>38</v>
      </c>
      <c r="R470">
        <v>1</v>
      </c>
      <c r="S470" t="s">
        <v>38</v>
      </c>
      <c r="T470">
        <v>7</v>
      </c>
      <c r="U470">
        <v>0.1</v>
      </c>
      <c r="V470">
        <v>14.3</v>
      </c>
      <c r="W470" t="s">
        <v>38</v>
      </c>
      <c r="X470" t="s">
        <v>123</v>
      </c>
      <c r="Y470" t="s">
        <v>39</v>
      </c>
      <c r="Z470" t="s">
        <v>108</v>
      </c>
      <c r="AA470" t="s">
        <v>42</v>
      </c>
      <c r="AB470" t="s">
        <v>43</v>
      </c>
      <c r="AC470">
        <f t="shared" si="77"/>
        <v>0</v>
      </c>
      <c r="AD470" s="12">
        <f t="shared" si="81"/>
        <v>0</v>
      </c>
      <c r="AE470" s="12">
        <f t="shared" si="82"/>
        <v>1</v>
      </c>
      <c r="AF470">
        <f t="shared" si="78"/>
        <v>0</v>
      </c>
      <c r="AG470">
        <f t="shared" si="83"/>
        <v>0</v>
      </c>
      <c r="AH470">
        <f t="shared" si="84"/>
        <v>0</v>
      </c>
      <c r="AI470">
        <f t="shared" si="85"/>
        <v>0</v>
      </c>
      <c r="AJ470">
        <f t="shared" si="86"/>
        <v>0</v>
      </c>
      <c r="AK470">
        <f t="shared" si="79"/>
        <v>0</v>
      </c>
      <c r="AL470">
        <f t="shared" si="87"/>
        <v>0</v>
      </c>
    </row>
    <row r="471" spans="1:38">
      <c r="A471" t="s">
        <v>1540</v>
      </c>
      <c r="B471" t="s">
        <v>1541</v>
      </c>
      <c r="C471" s="1">
        <f t="shared" si="80"/>
        <v>45566</v>
      </c>
      <c r="D471" t="s">
        <v>1542</v>
      </c>
      <c r="E471">
        <v>112.7</v>
      </c>
      <c r="F471">
        <v>4.7</v>
      </c>
      <c r="G471" t="s">
        <v>59</v>
      </c>
      <c r="H471" t="s">
        <v>60</v>
      </c>
      <c r="I471" t="s">
        <v>48</v>
      </c>
      <c r="J471">
        <v>120</v>
      </c>
      <c r="K471" t="s">
        <v>49</v>
      </c>
      <c r="L471" t="s">
        <v>70</v>
      </c>
      <c r="M471" t="s">
        <v>71</v>
      </c>
      <c r="N471" t="s">
        <v>114</v>
      </c>
      <c r="O471" t="s">
        <v>51</v>
      </c>
      <c r="P471" t="s">
        <v>38</v>
      </c>
      <c r="Q471" t="s">
        <v>39</v>
      </c>
      <c r="R471">
        <v>1</v>
      </c>
      <c r="S471" t="s">
        <v>38</v>
      </c>
      <c r="T471">
        <v>8</v>
      </c>
      <c r="U471">
        <v>2.2999999999999998</v>
      </c>
      <c r="V471">
        <v>21.7</v>
      </c>
      <c r="W471" t="s">
        <v>39</v>
      </c>
      <c r="X471" t="s">
        <v>63</v>
      </c>
      <c r="Y471" t="s">
        <v>39</v>
      </c>
      <c r="Z471" t="s">
        <v>53</v>
      </c>
      <c r="AA471" t="s">
        <v>54</v>
      </c>
      <c r="AB471" t="s">
        <v>83</v>
      </c>
      <c r="AC471">
        <f t="shared" si="77"/>
        <v>0</v>
      </c>
      <c r="AD471" s="12">
        <f t="shared" si="81"/>
        <v>1</v>
      </c>
      <c r="AE471" s="12">
        <f t="shared" si="82"/>
        <v>0</v>
      </c>
      <c r="AF471">
        <f t="shared" si="78"/>
        <v>1</v>
      </c>
      <c r="AG471">
        <f t="shared" si="83"/>
        <v>0</v>
      </c>
      <c r="AH471">
        <f t="shared" si="84"/>
        <v>1</v>
      </c>
      <c r="AI471">
        <f t="shared" si="85"/>
        <v>0</v>
      </c>
      <c r="AJ471">
        <f t="shared" si="86"/>
        <v>0</v>
      </c>
      <c r="AK471">
        <f t="shared" si="79"/>
        <v>0</v>
      </c>
      <c r="AL471">
        <f t="shared" si="87"/>
        <v>0</v>
      </c>
    </row>
    <row r="472" spans="1:38">
      <c r="A472" t="s">
        <v>1543</v>
      </c>
      <c r="B472" t="s">
        <v>1544</v>
      </c>
      <c r="C472" s="1">
        <f t="shared" si="80"/>
        <v>45444</v>
      </c>
      <c r="D472" t="s">
        <v>1545</v>
      </c>
      <c r="E472">
        <v>85.3</v>
      </c>
      <c r="F472">
        <v>3.6</v>
      </c>
      <c r="G472" t="s">
        <v>59</v>
      </c>
      <c r="H472" t="s">
        <v>60</v>
      </c>
      <c r="I472" t="s">
        <v>48</v>
      </c>
      <c r="J472">
        <v>120</v>
      </c>
      <c r="K472" t="s">
        <v>49</v>
      </c>
      <c r="L472" t="s">
        <v>96</v>
      </c>
      <c r="M472" t="s">
        <v>71</v>
      </c>
      <c r="N472" t="s">
        <v>168</v>
      </c>
      <c r="O472" t="s">
        <v>37</v>
      </c>
      <c r="P472" t="s">
        <v>38</v>
      </c>
      <c r="Q472" t="s">
        <v>39</v>
      </c>
      <c r="R472">
        <v>4</v>
      </c>
      <c r="S472" t="s">
        <v>39</v>
      </c>
      <c r="T472">
        <v>7</v>
      </c>
      <c r="U472">
        <v>1.2</v>
      </c>
      <c r="V472">
        <v>11.6</v>
      </c>
      <c r="W472" t="s">
        <v>39</v>
      </c>
      <c r="X472" t="s">
        <v>63</v>
      </c>
      <c r="Y472" t="s">
        <v>39</v>
      </c>
      <c r="Z472" t="s">
        <v>53</v>
      </c>
      <c r="AA472" t="s">
        <v>109</v>
      </c>
      <c r="AB472" t="s">
        <v>83</v>
      </c>
      <c r="AC472">
        <f t="shared" si="77"/>
        <v>0</v>
      </c>
      <c r="AD472" s="12">
        <f t="shared" si="81"/>
        <v>1</v>
      </c>
      <c r="AE472" s="12">
        <f t="shared" si="82"/>
        <v>0</v>
      </c>
      <c r="AF472">
        <f t="shared" si="78"/>
        <v>0</v>
      </c>
      <c r="AG472">
        <f t="shared" si="83"/>
        <v>0</v>
      </c>
      <c r="AH472">
        <f t="shared" si="84"/>
        <v>1</v>
      </c>
      <c r="AI472">
        <f t="shared" si="85"/>
        <v>0</v>
      </c>
      <c r="AJ472">
        <f t="shared" si="86"/>
        <v>0</v>
      </c>
      <c r="AK472">
        <f t="shared" si="79"/>
        <v>0</v>
      </c>
      <c r="AL472">
        <f t="shared" si="87"/>
        <v>0</v>
      </c>
    </row>
    <row r="473" spans="1:38">
      <c r="A473" t="s">
        <v>1546</v>
      </c>
      <c r="B473" t="s">
        <v>1547</v>
      </c>
      <c r="C473" s="1">
        <f t="shared" si="80"/>
        <v>45383</v>
      </c>
      <c r="D473" t="s">
        <v>1548</v>
      </c>
      <c r="E473">
        <v>224.4</v>
      </c>
      <c r="F473">
        <v>9.4</v>
      </c>
      <c r="G473" t="s">
        <v>93</v>
      </c>
      <c r="H473" t="s">
        <v>291</v>
      </c>
      <c r="I473" t="s">
        <v>32</v>
      </c>
      <c r="J473">
        <v>240</v>
      </c>
      <c r="K473" t="s">
        <v>49</v>
      </c>
      <c r="L473" t="s">
        <v>113</v>
      </c>
      <c r="M473" t="s">
        <v>35</v>
      </c>
      <c r="N473" t="s">
        <v>188</v>
      </c>
      <c r="O473" t="s">
        <v>37</v>
      </c>
      <c r="P473" t="s">
        <v>38</v>
      </c>
      <c r="Q473" t="s">
        <v>38</v>
      </c>
      <c r="R473">
        <v>1</v>
      </c>
      <c r="S473" t="s">
        <v>38</v>
      </c>
      <c r="T473">
        <v>7</v>
      </c>
      <c r="U473">
        <v>0.1</v>
      </c>
      <c r="V473">
        <v>12.2</v>
      </c>
      <c r="W473" t="s">
        <v>38</v>
      </c>
      <c r="X473" t="s">
        <v>63</v>
      </c>
      <c r="Y473" t="s">
        <v>38</v>
      </c>
      <c r="Z473" t="s">
        <v>179</v>
      </c>
      <c r="AA473" t="s">
        <v>109</v>
      </c>
      <c r="AB473" t="s">
        <v>83</v>
      </c>
      <c r="AC473">
        <f t="shared" si="77"/>
        <v>0</v>
      </c>
      <c r="AD473" s="12">
        <f t="shared" si="81"/>
        <v>1</v>
      </c>
      <c r="AE473" s="12">
        <f t="shared" si="82"/>
        <v>0</v>
      </c>
      <c r="AF473">
        <f t="shared" si="78"/>
        <v>0</v>
      </c>
      <c r="AG473">
        <f t="shared" si="83"/>
        <v>0</v>
      </c>
      <c r="AH473">
        <f t="shared" si="84"/>
        <v>0</v>
      </c>
      <c r="AI473">
        <f t="shared" si="85"/>
        <v>0</v>
      </c>
      <c r="AJ473">
        <f t="shared" si="86"/>
        <v>1</v>
      </c>
      <c r="AK473">
        <f t="shared" si="79"/>
        <v>0</v>
      </c>
      <c r="AL473">
        <f t="shared" si="87"/>
        <v>1</v>
      </c>
    </row>
    <row r="474" spans="1:38">
      <c r="A474" t="s">
        <v>1549</v>
      </c>
      <c r="B474" t="s">
        <v>1550</v>
      </c>
      <c r="C474" s="1">
        <f t="shared" si="80"/>
        <v>45597</v>
      </c>
      <c r="D474" t="s">
        <v>1551</v>
      </c>
      <c r="E474">
        <v>177.5</v>
      </c>
      <c r="F474">
        <v>7.4</v>
      </c>
      <c r="G474" t="s">
        <v>59</v>
      </c>
      <c r="H474" t="s">
        <v>132</v>
      </c>
      <c r="I474" t="s">
        <v>32</v>
      </c>
      <c r="J474">
        <v>240</v>
      </c>
      <c r="K474" t="s">
        <v>49</v>
      </c>
      <c r="L474" t="s">
        <v>96</v>
      </c>
      <c r="M474" t="s">
        <v>35</v>
      </c>
      <c r="N474" t="s">
        <v>192</v>
      </c>
      <c r="O474" t="s">
        <v>7232</v>
      </c>
      <c r="P474" t="s">
        <v>39</v>
      </c>
      <c r="Q474" t="s">
        <v>38</v>
      </c>
      <c r="R474">
        <v>0</v>
      </c>
      <c r="S474" t="s">
        <v>39</v>
      </c>
      <c r="T474">
        <v>10</v>
      </c>
      <c r="U474">
        <v>2</v>
      </c>
      <c r="V474">
        <v>21</v>
      </c>
      <c r="W474" t="s">
        <v>39</v>
      </c>
      <c r="X474" t="s">
        <v>63</v>
      </c>
      <c r="Y474" t="s">
        <v>39</v>
      </c>
      <c r="Z474" t="s">
        <v>115</v>
      </c>
      <c r="AA474" t="s">
        <v>54</v>
      </c>
      <c r="AB474" t="s">
        <v>55</v>
      </c>
      <c r="AC474">
        <f t="shared" si="77"/>
        <v>0</v>
      </c>
      <c r="AD474" s="12">
        <f t="shared" si="81"/>
        <v>1</v>
      </c>
      <c r="AE474" s="12">
        <f t="shared" si="82"/>
        <v>0</v>
      </c>
      <c r="AF474">
        <f t="shared" si="78"/>
        <v>0</v>
      </c>
      <c r="AG474">
        <f t="shared" si="83"/>
        <v>1</v>
      </c>
      <c r="AH474">
        <f t="shared" si="84"/>
        <v>0</v>
      </c>
      <c r="AI474">
        <f t="shared" si="85"/>
        <v>0</v>
      </c>
      <c r="AJ474">
        <f t="shared" si="86"/>
        <v>1</v>
      </c>
      <c r="AK474">
        <f t="shared" si="79"/>
        <v>0</v>
      </c>
      <c r="AL474">
        <f t="shared" si="87"/>
        <v>0</v>
      </c>
    </row>
    <row r="475" spans="1:38">
      <c r="A475" t="s">
        <v>1552</v>
      </c>
      <c r="B475" t="s">
        <v>1553</v>
      </c>
      <c r="C475" s="1">
        <f t="shared" si="80"/>
        <v>45413</v>
      </c>
      <c r="D475" t="s">
        <v>1554</v>
      </c>
      <c r="E475">
        <v>250</v>
      </c>
      <c r="F475">
        <v>10.4</v>
      </c>
      <c r="G475" t="s">
        <v>77</v>
      </c>
      <c r="H475" t="s">
        <v>78</v>
      </c>
      <c r="I475" t="s">
        <v>79</v>
      </c>
      <c r="J475">
        <v>360</v>
      </c>
      <c r="K475" t="s">
        <v>49</v>
      </c>
      <c r="L475" t="s">
        <v>34</v>
      </c>
      <c r="M475" t="s">
        <v>35</v>
      </c>
      <c r="N475" t="s">
        <v>36</v>
      </c>
      <c r="O475" t="s">
        <v>7232</v>
      </c>
      <c r="P475" t="s">
        <v>39</v>
      </c>
      <c r="Q475" t="s">
        <v>38</v>
      </c>
      <c r="R475">
        <v>0</v>
      </c>
      <c r="S475" t="s">
        <v>39</v>
      </c>
      <c r="T475">
        <v>9</v>
      </c>
      <c r="U475">
        <v>5.7</v>
      </c>
      <c r="V475">
        <v>3</v>
      </c>
      <c r="W475" t="s">
        <v>39</v>
      </c>
      <c r="X475" t="s">
        <v>123</v>
      </c>
      <c r="Y475" t="s">
        <v>39</v>
      </c>
      <c r="Z475" t="s">
        <v>64</v>
      </c>
      <c r="AA475" t="s">
        <v>109</v>
      </c>
      <c r="AB475" t="s">
        <v>83</v>
      </c>
      <c r="AC475">
        <f t="shared" si="77"/>
        <v>0</v>
      </c>
      <c r="AD475" s="12">
        <f t="shared" si="81"/>
        <v>0</v>
      </c>
      <c r="AE475" s="12">
        <f t="shared" si="82"/>
        <v>1</v>
      </c>
      <c r="AF475">
        <f t="shared" si="78"/>
        <v>0</v>
      </c>
      <c r="AG475">
        <f t="shared" si="83"/>
        <v>1</v>
      </c>
      <c r="AH475">
        <f t="shared" si="84"/>
        <v>0</v>
      </c>
      <c r="AI475">
        <f t="shared" si="85"/>
        <v>0</v>
      </c>
      <c r="AJ475">
        <f t="shared" si="86"/>
        <v>0</v>
      </c>
      <c r="AK475">
        <f t="shared" si="79"/>
        <v>0</v>
      </c>
      <c r="AL475">
        <f t="shared" si="87"/>
        <v>0</v>
      </c>
    </row>
    <row r="476" spans="1:38">
      <c r="A476" t="s">
        <v>1555</v>
      </c>
      <c r="B476" t="s">
        <v>1556</v>
      </c>
      <c r="C476" s="1">
        <f t="shared" si="80"/>
        <v>45292</v>
      </c>
      <c r="D476" t="s">
        <v>1557</v>
      </c>
      <c r="E476">
        <v>226.8</v>
      </c>
      <c r="F476">
        <v>9.5</v>
      </c>
      <c r="G476" t="s">
        <v>77</v>
      </c>
      <c r="H476" t="s">
        <v>78</v>
      </c>
      <c r="I476" t="s">
        <v>79</v>
      </c>
      <c r="J476">
        <v>360</v>
      </c>
      <c r="K476" t="s">
        <v>49</v>
      </c>
      <c r="L476" t="s">
        <v>70</v>
      </c>
      <c r="M476" t="s">
        <v>35</v>
      </c>
      <c r="N476" t="s">
        <v>128</v>
      </c>
      <c r="O476" t="s">
        <v>7232</v>
      </c>
      <c r="P476" t="s">
        <v>39</v>
      </c>
      <c r="Q476" t="s">
        <v>38</v>
      </c>
      <c r="R476">
        <v>0</v>
      </c>
      <c r="S476" t="s">
        <v>38</v>
      </c>
      <c r="T476">
        <v>9</v>
      </c>
      <c r="U476">
        <v>3.9</v>
      </c>
      <c r="V476">
        <v>15.6</v>
      </c>
      <c r="W476" t="s">
        <v>38</v>
      </c>
      <c r="X476" t="s">
        <v>123</v>
      </c>
      <c r="Y476" t="s">
        <v>39</v>
      </c>
      <c r="Z476" t="s">
        <v>53</v>
      </c>
      <c r="AA476" t="s">
        <v>103</v>
      </c>
      <c r="AB476" t="s">
        <v>43</v>
      </c>
      <c r="AC476">
        <f t="shared" si="77"/>
        <v>0</v>
      </c>
      <c r="AD476" s="12">
        <f t="shared" si="81"/>
        <v>0</v>
      </c>
      <c r="AE476" s="12">
        <f t="shared" si="82"/>
        <v>1</v>
      </c>
      <c r="AF476">
        <f t="shared" si="78"/>
        <v>0</v>
      </c>
      <c r="AG476">
        <f t="shared" si="83"/>
        <v>1</v>
      </c>
      <c r="AH476">
        <f t="shared" si="84"/>
        <v>0</v>
      </c>
      <c r="AI476">
        <f t="shared" si="85"/>
        <v>0</v>
      </c>
      <c r="AJ476">
        <f t="shared" si="86"/>
        <v>0</v>
      </c>
      <c r="AK476">
        <f t="shared" si="79"/>
        <v>0</v>
      </c>
      <c r="AL476">
        <f t="shared" si="87"/>
        <v>0</v>
      </c>
    </row>
    <row r="477" spans="1:38">
      <c r="A477" t="s">
        <v>1558</v>
      </c>
      <c r="B477" t="s">
        <v>1559</v>
      </c>
      <c r="C477" s="1">
        <f t="shared" si="80"/>
        <v>45352</v>
      </c>
      <c r="D477" t="s">
        <v>1560</v>
      </c>
      <c r="E477">
        <v>105.8</v>
      </c>
      <c r="F477">
        <v>4.4000000000000004</v>
      </c>
      <c r="G477" t="s">
        <v>87</v>
      </c>
      <c r="H477" t="s">
        <v>88</v>
      </c>
      <c r="I477" t="s">
        <v>48</v>
      </c>
      <c r="J477">
        <v>120</v>
      </c>
      <c r="K477" t="s">
        <v>49</v>
      </c>
      <c r="L477" t="s">
        <v>133</v>
      </c>
      <c r="M477" t="s">
        <v>35</v>
      </c>
      <c r="N477" t="s">
        <v>61</v>
      </c>
      <c r="O477" t="s">
        <v>7232</v>
      </c>
      <c r="P477" t="s">
        <v>38</v>
      </c>
      <c r="Q477" t="s">
        <v>38</v>
      </c>
      <c r="R477">
        <v>1</v>
      </c>
      <c r="S477" t="s">
        <v>39</v>
      </c>
      <c r="T477">
        <v>7</v>
      </c>
      <c r="U477">
        <v>1.1000000000000001</v>
      </c>
      <c r="V477">
        <v>42</v>
      </c>
      <c r="W477" t="s">
        <v>39</v>
      </c>
      <c r="X477" t="s">
        <v>63</v>
      </c>
      <c r="Y477" t="s">
        <v>39</v>
      </c>
      <c r="Z477" t="s">
        <v>41</v>
      </c>
      <c r="AA477" t="s">
        <v>82</v>
      </c>
      <c r="AB477" t="s">
        <v>55</v>
      </c>
      <c r="AC477">
        <f t="shared" si="77"/>
        <v>0</v>
      </c>
      <c r="AD477" s="12">
        <f t="shared" si="81"/>
        <v>1</v>
      </c>
      <c r="AE477" s="12">
        <f t="shared" si="82"/>
        <v>0</v>
      </c>
      <c r="AF477">
        <f t="shared" si="78"/>
        <v>0</v>
      </c>
      <c r="AG477">
        <f t="shared" si="83"/>
        <v>1</v>
      </c>
      <c r="AH477">
        <f t="shared" si="84"/>
        <v>1</v>
      </c>
      <c r="AI477">
        <f t="shared" si="85"/>
        <v>0</v>
      </c>
      <c r="AJ477">
        <f t="shared" si="86"/>
        <v>0</v>
      </c>
      <c r="AK477">
        <f t="shared" si="79"/>
        <v>0</v>
      </c>
      <c r="AL477">
        <f t="shared" si="87"/>
        <v>0</v>
      </c>
    </row>
    <row r="478" spans="1:38">
      <c r="A478" t="s">
        <v>1561</v>
      </c>
      <c r="B478" t="s">
        <v>1562</v>
      </c>
      <c r="C478" s="1">
        <f t="shared" si="80"/>
        <v>45536</v>
      </c>
      <c r="D478" t="s">
        <v>1563</v>
      </c>
      <c r="E478">
        <v>60.4</v>
      </c>
      <c r="F478">
        <v>2.5</v>
      </c>
      <c r="G478" t="s">
        <v>68</v>
      </c>
      <c r="H478" t="s">
        <v>69</v>
      </c>
      <c r="I478" t="s">
        <v>95</v>
      </c>
      <c r="J478">
        <v>48</v>
      </c>
      <c r="K478" t="s">
        <v>33</v>
      </c>
      <c r="L478" t="s">
        <v>96</v>
      </c>
      <c r="M478" t="s">
        <v>35</v>
      </c>
      <c r="N478" t="s">
        <v>119</v>
      </c>
      <c r="O478" t="s">
        <v>7232</v>
      </c>
      <c r="P478" t="s">
        <v>38</v>
      </c>
      <c r="Q478" t="s">
        <v>38</v>
      </c>
      <c r="R478">
        <v>1</v>
      </c>
      <c r="S478" t="s">
        <v>38</v>
      </c>
      <c r="T478">
        <v>2</v>
      </c>
      <c r="U478">
        <v>4.0999999999999996</v>
      </c>
      <c r="V478">
        <v>18.3</v>
      </c>
      <c r="W478" t="s">
        <v>38</v>
      </c>
      <c r="X478" t="s">
        <v>52</v>
      </c>
      <c r="Y478" t="s">
        <v>39</v>
      </c>
      <c r="Z478" t="s">
        <v>41</v>
      </c>
      <c r="AA478" t="s">
        <v>103</v>
      </c>
      <c r="AB478" t="s">
        <v>55</v>
      </c>
      <c r="AC478">
        <f t="shared" si="77"/>
        <v>1</v>
      </c>
      <c r="AD478" s="12">
        <f t="shared" si="81"/>
        <v>0</v>
      </c>
      <c r="AE478" s="12">
        <f t="shared" si="82"/>
        <v>0</v>
      </c>
      <c r="AF478">
        <f t="shared" si="78"/>
        <v>0</v>
      </c>
      <c r="AG478">
        <f t="shared" si="83"/>
        <v>1</v>
      </c>
      <c r="AH478">
        <f t="shared" si="84"/>
        <v>0</v>
      </c>
      <c r="AI478">
        <f t="shared" si="85"/>
        <v>1</v>
      </c>
      <c r="AJ478">
        <f t="shared" si="86"/>
        <v>0</v>
      </c>
      <c r="AK478">
        <f t="shared" si="79"/>
        <v>0</v>
      </c>
      <c r="AL478">
        <f t="shared" si="87"/>
        <v>0</v>
      </c>
    </row>
    <row r="479" spans="1:38">
      <c r="A479" t="s">
        <v>1564</v>
      </c>
      <c r="B479" t="s">
        <v>1565</v>
      </c>
      <c r="C479" s="1">
        <f t="shared" si="80"/>
        <v>45292</v>
      </c>
      <c r="D479" t="s">
        <v>1566</v>
      </c>
      <c r="E479">
        <v>127.5</v>
      </c>
      <c r="F479">
        <v>5.3</v>
      </c>
      <c r="G479" t="s">
        <v>59</v>
      </c>
      <c r="H479" t="s">
        <v>132</v>
      </c>
      <c r="I479" t="s">
        <v>48</v>
      </c>
      <c r="J479">
        <v>120</v>
      </c>
      <c r="K479" t="s">
        <v>33</v>
      </c>
      <c r="L479" t="s">
        <v>96</v>
      </c>
      <c r="M479" t="s">
        <v>71</v>
      </c>
      <c r="N479" t="s">
        <v>89</v>
      </c>
      <c r="O479" t="s">
        <v>7232</v>
      </c>
      <c r="P479" t="s">
        <v>38</v>
      </c>
      <c r="Q479" t="s">
        <v>39</v>
      </c>
      <c r="R479">
        <v>4</v>
      </c>
      <c r="S479" t="s">
        <v>38</v>
      </c>
      <c r="T479">
        <v>6</v>
      </c>
      <c r="U479">
        <v>4.8</v>
      </c>
      <c r="V479">
        <v>0</v>
      </c>
      <c r="W479" t="s">
        <v>39</v>
      </c>
      <c r="X479" t="s">
        <v>52</v>
      </c>
      <c r="Y479" t="s">
        <v>39</v>
      </c>
      <c r="Z479" t="s">
        <v>115</v>
      </c>
      <c r="AA479" t="s">
        <v>103</v>
      </c>
      <c r="AB479" t="s">
        <v>55</v>
      </c>
      <c r="AC479">
        <f t="shared" si="77"/>
        <v>1</v>
      </c>
      <c r="AD479" s="12">
        <f t="shared" si="81"/>
        <v>0</v>
      </c>
      <c r="AE479" s="12">
        <f t="shared" si="82"/>
        <v>0</v>
      </c>
      <c r="AF479">
        <f t="shared" si="78"/>
        <v>0</v>
      </c>
      <c r="AG479">
        <f t="shared" si="83"/>
        <v>1</v>
      </c>
      <c r="AH479">
        <f t="shared" si="84"/>
        <v>1</v>
      </c>
      <c r="AI479">
        <f t="shared" si="85"/>
        <v>0</v>
      </c>
      <c r="AJ479">
        <f t="shared" si="86"/>
        <v>0</v>
      </c>
      <c r="AK479">
        <f t="shared" si="79"/>
        <v>0</v>
      </c>
      <c r="AL479">
        <f t="shared" si="87"/>
        <v>0</v>
      </c>
    </row>
    <row r="480" spans="1:38">
      <c r="A480" t="s">
        <v>1567</v>
      </c>
      <c r="B480" t="s">
        <v>1568</v>
      </c>
      <c r="C480" s="1">
        <f t="shared" si="80"/>
        <v>45474</v>
      </c>
      <c r="D480" t="s">
        <v>1569</v>
      </c>
      <c r="E480">
        <v>172.9</v>
      </c>
      <c r="F480">
        <v>7.2</v>
      </c>
      <c r="G480" t="s">
        <v>30</v>
      </c>
      <c r="H480" t="s">
        <v>31</v>
      </c>
      <c r="I480" t="s">
        <v>32</v>
      </c>
      <c r="J480">
        <v>240</v>
      </c>
      <c r="K480" t="s">
        <v>49</v>
      </c>
      <c r="L480" t="s">
        <v>113</v>
      </c>
      <c r="M480" t="s">
        <v>35</v>
      </c>
      <c r="N480" t="s">
        <v>192</v>
      </c>
      <c r="O480" t="s">
        <v>51</v>
      </c>
      <c r="P480" t="s">
        <v>39</v>
      </c>
      <c r="Q480" t="s">
        <v>38</v>
      </c>
      <c r="R480">
        <v>0</v>
      </c>
      <c r="S480" t="s">
        <v>39</v>
      </c>
      <c r="T480">
        <v>9</v>
      </c>
      <c r="U480">
        <v>0.1</v>
      </c>
      <c r="V480">
        <v>12.8</v>
      </c>
      <c r="W480" t="s">
        <v>39</v>
      </c>
      <c r="X480" t="s">
        <v>123</v>
      </c>
      <c r="Y480" t="s">
        <v>39</v>
      </c>
      <c r="Z480" t="s">
        <v>115</v>
      </c>
      <c r="AA480" t="s">
        <v>42</v>
      </c>
      <c r="AB480" t="s">
        <v>83</v>
      </c>
      <c r="AC480">
        <f t="shared" si="77"/>
        <v>0</v>
      </c>
      <c r="AD480" s="12">
        <f t="shared" si="81"/>
        <v>0</v>
      </c>
      <c r="AE480" s="12">
        <f t="shared" si="82"/>
        <v>1</v>
      </c>
      <c r="AF480">
        <f t="shared" si="78"/>
        <v>1</v>
      </c>
      <c r="AG480">
        <f t="shared" si="83"/>
        <v>0</v>
      </c>
      <c r="AH480">
        <f t="shared" si="84"/>
        <v>0</v>
      </c>
      <c r="AI480">
        <f t="shared" si="85"/>
        <v>0</v>
      </c>
      <c r="AJ480">
        <f t="shared" si="86"/>
        <v>1</v>
      </c>
      <c r="AK480">
        <f t="shared" si="79"/>
        <v>1</v>
      </c>
      <c r="AL480">
        <f t="shared" si="87"/>
        <v>0</v>
      </c>
    </row>
    <row r="481" spans="1:38">
      <c r="A481" t="s">
        <v>1570</v>
      </c>
      <c r="B481" t="s">
        <v>1571</v>
      </c>
      <c r="C481" s="1">
        <f t="shared" si="80"/>
        <v>45352</v>
      </c>
      <c r="D481" t="s">
        <v>1572</v>
      </c>
      <c r="E481">
        <v>206.7</v>
      </c>
      <c r="F481">
        <v>8.6</v>
      </c>
      <c r="G481" t="s">
        <v>87</v>
      </c>
      <c r="H481" t="s">
        <v>151</v>
      </c>
      <c r="I481" t="s">
        <v>32</v>
      </c>
      <c r="J481">
        <v>240</v>
      </c>
      <c r="K481" t="s">
        <v>49</v>
      </c>
      <c r="L481" t="s">
        <v>96</v>
      </c>
      <c r="M481" t="s">
        <v>35</v>
      </c>
      <c r="N481" t="s">
        <v>97</v>
      </c>
      <c r="O481" t="s">
        <v>51</v>
      </c>
      <c r="P481" t="s">
        <v>38</v>
      </c>
      <c r="Q481" t="s">
        <v>38</v>
      </c>
      <c r="R481">
        <v>1</v>
      </c>
      <c r="S481" t="s">
        <v>38</v>
      </c>
      <c r="T481">
        <v>9</v>
      </c>
      <c r="U481">
        <v>0.7</v>
      </c>
      <c r="V481">
        <v>0</v>
      </c>
      <c r="W481" t="s">
        <v>39</v>
      </c>
      <c r="X481" t="s">
        <v>40</v>
      </c>
      <c r="Y481" t="s">
        <v>39</v>
      </c>
      <c r="Z481" t="s">
        <v>73</v>
      </c>
      <c r="AA481" t="s">
        <v>109</v>
      </c>
      <c r="AB481" t="s">
        <v>83</v>
      </c>
      <c r="AC481">
        <f t="shared" si="77"/>
        <v>0</v>
      </c>
      <c r="AD481" s="12">
        <f t="shared" si="81"/>
        <v>0</v>
      </c>
      <c r="AE481" s="12">
        <f t="shared" si="82"/>
        <v>0</v>
      </c>
      <c r="AF481">
        <f t="shared" si="78"/>
        <v>1</v>
      </c>
      <c r="AG481">
        <f t="shared" si="83"/>
        <v>0</v>
      </c>
      <c r="AH481">
        <f t="shared" si="84"/>
        <v>0</v>
      </c>
      <c r="AI481">
        <f t="shared" si="85"/>
        <v>0</v>
      </c>
      <c r="AJ481">
        <f t="shared" si="86"/>
        <v>1</v>
      </c>
      <c r="AK481">
        <f t="shared" si="79"/>
        <v>0</v>
      </c>
      <c r="AL481">
        <f t="shared" si="87"/>
        <v>0</v>
      </c>
    </row>
    <row r="482" spans="1:38">
      <c r="A482" t="s">
        <v>1573</v>
      </c>
      <c r="B482" t="s">
        <v>1574</v>
      </c>
      <c r="C482" s="1">
        <f t="shared" si="80"/>
        <v>45352</v>
      </c>
      <c r="D482" t="s">
        <v>1575</v>
      </c>
      <c r="E482">
        <v>277.8</v>
      </c>
      <c r="F482">
        <v>11.6</v>
      </c>
      <c r="G482" t="s">
        <v>30</v>
      </c>
      <c r="H482" t="s">
        <v>31</v>
      </c>
      <c r="I482" t="s">
        <v>32</v>
      </c>
      <c r="J482">
        <v>240</v>
      </c>
      <c r="K482" t="s">
        <v>33</v>
      </c>
      <c r="L482" t="s">
        <v>34</v>
      </c>
      <c r="M482" t="s">
        <v>35</v>
      </c>
      <c r="N482" t="s">
        <v>134</v>
      </c>
      <c r="O482" t="s">
        <v>51</v>
      </c>
      <c r="P482" t="s">
        <v>39</v>
      </c>
      <c r="Q482" t="s">
        <v>38</v>
      </c>
      <c r="R482">
        <v>0</v>
      </c>
      <c r="S482" t="s">
        <v>38</v>
      </c>
      <c r="T482">
        <v>7</v>
      </c>
      <c r="U482">
        <v>2.7</v>
      </c>
      <c r="V482">
        <v>33.700000000000003</v>
      </c>
      <c r="W482" t="s">
        <v>39</v>
      </c>
      <c r="X482" t="s">
        <v>63</v>
      </c>
      <c r="Y482" t="s">
        <v>38</v>
      </c>
      <c r="Z482" t="s">
        <v>179</v>
      </c>
      <c r="AA482" t="s">
        <v>82</v>
      </c>
      <c r="AB482" t="s">
        <v>83</v>
      </c>
      <c r="AC482">
        <f t="shared" si="77"/>
        <v>0</v>
      </c>
      <c r="AD482" s="12">
        <f t="shared" si="81"/>
        <v>1</v>
      </c>
      <c r="AE482" s="12">
        <f t="shared" si="82"/>
        <v>0</v>
      </c>
      <c r="AF482">
        <f t="shared" si="78"/>
        <v>1</v>
      </c>
      <c r="AG482">
        <f t="shared" si="83"/>
        <v>0</v>
      </c>
      <c r="AH482">
        <f t="shared" si="84"/>
        <v>0</v>
      </c>
      <c r="AI482">
        <f t="shared" si="85"/>
        <v>0</v>
      </c>
      <c r="AJ482">
        <f t="shared" si="86"/>
        <v>1</v>
      </c>
      <c r="AK482">
        <f t="shared" si="79"/>
        <v>1</v>
      </c>
      <c r="AL482">
        <f t="shared" si="87"/>
        <v>1</v>
      </c>
    </row>
    <row r="483" spans="1:38">
      <c r="A483" t="s">
        <v>1576</v>
      </c>
      <c r="B483" t="s">
        <v>1577</v>
      </c>
      <c r="C483" s="1">
        <f t="shared" si="80"/>
        <v>45444</v>
      </c>
      <c r="D483" t="s">
        <v>1578</v>
      </c>
      <c r="E483">
        <v>201.3</v>
      </c>
      <c r="F483">
        <v>8.4</v>
      </c>
      <c r="G483" t="s">
        <v>142</v>
      </c>
      <c r="H483" t="s">
        <v>240</v>
      </c>
      <c r="I483" t="s">
        <v>32</v>
      </c>
      <c r="J483">
        <v>240</v>
      </c>
      <c r="K483" t="s">
        <v>49</v>
      </c>
      <c r="L483" t="s">
        <v>34</v>
      </c>
      <c r="M483" t="s">
        <v>35</v>
      </c>
      <c r="N483" t="s">
        <v>138</v>
      </c>
      <c r="O483" t="s">
        <v>7232</v>
      </c>
      <c r="P483" t="s">
        <v>38</v>
      </c>
      <c r="Q483" t="s">
        <v>38</v>
      </c>
      <c r="R483">
        <v>1</v>
      </c>
      <c r="S483" t="s">
        <v>38</v>
      </c>
      <c r="T483">
        <v>9</v>
      </c>
      <c r="U483">
        <v>2.1</v>
      </c>
      <c r="V483">
        <v>0</v>
      </c>
      <c r="W483" t="s">
        <v>38</v>
      </c>
      <c r="X483" t="s">
        <v>40</v>
      </c>
      <c r="Y483" t="s">
        <v>39</v>
      </c>
      <c r="Z483" t="s">
        <v>179</v>
      </c>
      <c r="AA483" t="s">
        <v>54</v>
      </c>
      <c r="AB483" t="s">
        <v>83</v>
      </c>
      <c r="AC483">
        <f t="shared" si="77"/>
        <v>0</v>
      </c>
      <c r="AD483" s="12">
        <f t="shared" si="81"/>
        <v>0</v>
      </c>
      <c r="AE483" s="12">
        <f t="shared" si="82"/>
        <v>0</v>
      </c>
      <c r="AF483">
        <f t="shared" si="78"/>
        <v>0</v>
      </c>
      <c r="AG483">
        <f t="shared" si="83"/>
        <v>1</v>
      </c>
      <c r="AH483">
        <f t="shared" si="84"/>
        <v>0</v>
      </c>
      <c r="AI483">
        <f t="shared" si="85"/>
        <v>0</v>
      </c>
      <c r="AJ483">
        <f t="shared" si="86"/>
        <v>1</v>
      </c>
      <c r="AK483">
        <f t="shared" si="79"/>
        <v>0</v>
      </c>
      <c r="AL483">
        <f t="shared" si="87"/>
        <v>0</v>
      </c>
    </row>
    <row r="484" spans="1:38">
      <c r="A484" t="s">
        <v>1579</v>
      </c>
      <c r="B484" t="s">
        <v>1580</v>
      </c>
      <c r="C484" s="1">
        <f t="shared" si="80"/>
        <v>45444</v>
      </c>
      <c r="D484" t="s">
        <v>1581</v>
      </c>
      <c r="E484">
        <v>498.5</v>
      </c>
      <c r="F484">
        <v>20.8</v>
      </c>
      <c r="G484" t="s">
        <v>101</v>
      </c>
      <c r="H484" t="s">
        <v>442</v>
      </c>
      <c r="I484" t="s">
        <v>32</v>
      </c>
      <c r="J484">
        <v>240</v>
      </c>
      <c r="K484" t="s">
        <v>33</v>
      </c>
      <c r="L484" t="s">
        <v>96</v>
      </c>
      <c r="M484" t="s">
        <v>35</v>
      </c>
      <c r="N484" t="s">
        <v>506</v>
      </c>
      <c r="O484" t="s">
        <v>7232</v>
      </c>
      <c r="P484" t="s">
        <v>38</v>
      </c>
      <c r="Q484" t="s">
        <v>38</v>
      </c>
      <c r="R484">
        <v>1</v>
      </c>
      <c r="S484" t="s">
        <v>38</v>
      </c>
      <c r="T484">
        <v>5</v>
      </c>
      <c r="U484">
        <v>0.1</v>
      </c>
      <c r="V484">
        <v>22.4</v>
      </c>
      <c r="W484" t="s">
        <v>39</v>
      </c>
      <c r="X484" t="s">
        <v>52</v>
      </c>
      <c r="Y484" t="s">
        <v>39</v>
      </c>
      <c r="Z484" t="s">
        <v>179</v>
      </c>
      <c r="AA484" t="s">
        <v>109</v>
      </c>
      <c r="AB484" t="s">
        <v>83</v>
      </c>
      <c r="AC484">
        <f t="shared" si="77"/>
        <v>1</v>
      </c>
      <c r="AD484" s="12">
        <f t="shared" si="81"/>
        <v>0</v>
      </c>
      <c r="AE484" s="12">
        <f t="shared" si="82"/>
        <v>0</v>
      </c>
      <c r="AF484">
        <f t="shared" si="78"/>
        <v>0</v>
      </c>
      <c r="AG484">
        <f t="shared" si="83"/>
        <v>1</v>
      </c>
      <c r="AH484">
        <f t="shared" si="84"/>
        <v>0</v>
      </c>
      <c r="AI484">
        <f t="shared" si="85"/>
        <v>0</v>
      </c>
      <c r="AJ484">
        <f t="shared" si="86"/>
        <v>1</v>
      </c>
      <c r="AK484">
        <f t="shared" si="79"/>
        <v>0</v>
      </c>
      <c r="AL484">
        <f t="shared" si="87"/>
        <v>0</v>
      </c>
    </row>
    <row r="485" spans="1:38">
      <c r="A485" t="s">
        <v>1582</v>
      </c>
      <c r="B485" t="s">
        <v>1583</v>
      </c>
      <c r="C485" s="1">
        <f t="shared" si="80"/>
        <v>45536</v>
      </c>
      <c r="D485" t="s">
        <v>1584</v>
      </c>
      <c r="E485">
        <v>482.3</v>
      </c>
      <c r="F485">
        <v>20.100000000000001</v>
      </c>
      <c r="G485" t="s">
        <v>142</v>
      </c>
      <c r="H485" t="s">
        <v>260</v>
      </c>
      <c r="I485" t="s">
        <v>79</v>
      </c>
      <c r="J485">
        <v>360</v>
      </c>
      <c r="K485" t="s">
        <v>33</v>
      </c>
      <c r="L485" t="s">
        <v>96</v>
      </c>
      <c r="M485" t="s">
        <v>35</v>
      </c>
      <c r="N485" t="s">
        <v>155</v>
      </c>
      <c r="O485" t="s">
        <v>7232</v>
      </c>
      <c r="P485" t="s">
        <v>38</v>
      </c>
      <c r="Q485" t="s">
        <v>38</v>
      </c>
      <c r="R485">
        <v>1</v>
      </c>
      <c r="S485" t="s">
        <v>38</v>
      </c>
      <c r="T485">
        <v>6</v>
      </c>
      <c r="U485">
        <v>3.6</v>
      </c>
      <c r="V485">
        <v>0</v>
      </c>
      <c r="W485" t="s">
        <v>39</v>
      </c>
      <c r="X485" t="s">
        <v>123</v>
      </c>
      <c r="Y485" t="s">
        <v>39</v>
      </c>
      <c r="Z485" t="s">
        <v>115</v>
      </c>
      <c r="AA485" t="s">
        <v>103</v>
      </c>
      <c r="AB485" t="s">
        <v>83</v>
      </c>
      <c r="AC485">
        <f t="shared" si="77"/>
        <v>0</v>
      </c>
      <c r="AD485" s="12">
        <f t="shared" si="81"/>
        <v>0</v>
      </c>
      <c r="AE485" s="12">
        <f t="shared" si="82"/>
        <v>1</v>
      </c>
      <c r="AF485">
        <f t="shared" si="78"/>
        <v>0</v>
      </c>
      <c r="AG485">
        <f t="shared" si="83"/>
        <v>1</v>
      </c>
      <c r="AH485">
        <f t="shared" si="84"/>
        <v>0</v>
      </c>
      <c r="AI485">
        <f t="shared" si="85"/>
        <v>0</v>
      </c>
      <c r="AJ485">
        <f t="shared" si="86"/>
        <v>0</v>
      </c>
      <c r="AK485">
        <f t="shared" si="79"/>
        <v>0</v>
      </c>
      <c r="AL485">
        <f t="shared" si="87"/>
        <v>0</v>
      </c>
    </row>
    <row r="486" spans="1:38">
      <c r="A486" t="s">
        <v>1585</v>
      </c>
      <c r="B486" t="s">
        <v>1586</v>
      </c>
      <c r="C486" s="1">
        <f t="shared" si="80"/>
        <v>45597</v>
      </c>
      <c r="D486" t="s">
        <v>1587</v>
      </c>
      <c r="E486">
        <v>151.4</v>
      </c>
      <c r="F486">
        <v>6.3</v>
      </c>
      <c r="G486" t="s">
        <v>101</v>
      </c>
      <c r="H486" t="s">
        <v>368</v>
      </c>
      <c r="I486" t="s">
        <v>32</v>
      </c>
      <c r="J486">
        <v>240</v>
      </c>
      <c r="K486" t="s">
        <v>49</v>
      </c>
      <c r="L486" t="s">
        <v>70</v>
      </c>
      <c r="M486" t="s">
        <v>35</v>
      </c>
      <c r="N486" t="s">
        <v>107</v>
      </c>
      <c r="O486" t="s">
        <v>7232</v>
      </c>
      <c r="P486" t="s">
        <v>39</v>
      </c>
      <c r="Q486" t="s">
        <v>38</v>
      </c>
      <c r="R486">
        <v>0</v>
      </c>
      <c r="S486" t="s">
        <v>38</v>
      </c>
      <c r="T486">
        <v>10</v>
      </c>
      <c r="U486">
        <v>2.2000000000000002</v>
      </c>
      <c r="V486">
        <v>1.4</v>
      </c>
      <c r="W486" t="s">
        <v>39</v>
      </c>
      <c r="X486" t="s">
        <v>52</v>
      </c>
      <c r="Y486" t="s">
        <v>39</v>
      </c>
      <c r="Z486" t="s">
        <v>53</v>
      </c>
      <c r="AA486" t="s">
        <v>103</v>
      </c>
      <c r="AB486" t="s">
        <v>55</v>
      </c>
      <c r="AC486">
        <f t="shared" si="77"/>
        <v>1</v>
      </c>
      <c r="AD486" s="12">
        <f t="shared" si="81"/>
        <v>0</v>
      </c>
      <c r="AE486" s="12">
        <f t="shared" si="82"/>
        <v>0</v>
      </c>
      <c r="AF486">
        <f t="shared" si="78"/>
        <v>0</v>
      </c>
      <c r="AG486">
        <f t="shared" si="83"/>
        <v>1</v>
      </c>
      <c r="AH486">
        <f t="shared" si="84"/>
        <v>0</v>
      </c>
      <c r="AI486">
        <f t="shared" si="85"/>
        <v>0</v>
      </c>
      <c r="AJ486">
        <f t="shared" si="86"/>
        <v>1</v>
      </c>
      <c r="AK486">
        <f t="shared" si="79"/>
        <v>0</v>
      </c>
      <c r="AL486">
        <f t="shared" si="87"/>
        <v>0</v>
      </c>
    </row>
    <row r="487" spans="1:38">
      <c r="A487" t="s">
        <v>1588</v>
      </c>
      <c r="B487" t="s">
        <v>1589</v>
      </c>
      <c r="C487" s="1">
        <f t="shared" si="80"/>
        <v>45323</v>
      </c>
      <c r="D487" t="s">
        <v>1590</v>
      </c>
      <c r="E487">
        <v>192.8</v>
      </c>
      <c r="F487">
        <v>8</v>
      </c>
      <c r="G487" t="s">
        <v>30</v>
      </c>
      <c r="H487" t="s">
        <v>47</v>
      </c>
      <c r="I487" t="s">
        <v>32</v>
      </c>
      <c r="J487">
        <v>240</v>
      </c>
      <c r="K487" t="s">
        <v>49</v>
      </c>
      <c r="L487" t="s">
        <v>113</v>
      </c>
      <c r="M487" t="s">
        <v>35</v>
      </c>
      <c r="N487" t="s">
        <v>50</v>
      </c>
      <c r="O487" t="s">
        <v>51</v>
      </c>
      <c r="P487" t="s">
        <v>38</v>
      </c>
      <c r="Q487" t="s">
        <v>38</v>
      </c>
      <c r="R487">
        <v>1</v>
      </c>
      <c r="S487" t="s">
        <v>38</v>
      </c>
      <c r="T487">
        <v>7</v>
      </c>
      <c r="U487">
        <v>2.4</v>
      </c>
      <c r="V487">
        <v>30</v>
      </c>
      <c r="W487" t="s">
        <v>38</v>
      </c>
      <c r="X487" t="s">
        <v>52</v>
      </c>
      <c r="Y487" t="s">
        <v>39</v>
      </c>
      <c r="Z487" t="s">
        <v>41</v>
      </c>
      <c r="AA487" t="s">
        <v>82</v>
      </c>
      <c r="AB487" t="s">
        <v>43</v>
      </c>
      <c r="AC487">
        <f t="shared" si="77"/>
        <v>1</v>
      </c>
      <c r="AD487" s="12">
        <f t="shared" si="81"/>
        <v>0</v>
      </c>
      <c r="AE487" s="12">
        <f t="shared" si="82"/>
        <v>0</v>
      </c>
      <c r="AF487">
        <f t="shared" si="78"/>
        <v>1</v>
      </c>
      <c r="AG487">
        <f t="shared" si="83"/>
        <v>0</v>
      </c>
      <c r="AH487">
        <f t="shared" si="84"/>
        <v>0</v>
      </c>
      <c r="AI487">
        <f t="shared" si="85"/>
        <v>0</v>
      </c>
      <c r="AJ487">
        <f t="shared" si="86"/>
        <v>1</v>
      </c>
      <c r="AK487">
        <f t="shared" si="79"/>
        <v>1</v>
      </c>
      <c r="AL487">
        <f t="shared" si="87"/>
        <v>0</v>
      </c>
    </row>
    <row r="488" spans="1:38">
      <c r="A488" t="s">
        <v>1591</v>
      </c>
      <c r="B488" t="s">
        <v>1592</v>
      </c>
      <c r="C488" s="1">
        <f t="shared" si="80"/>
        <v>45627</v>
      </c>
      <c r="D488" t="s">
        <v>1593</v>
      </c>
      <c r="E488">
        <v>165</v>
      </c>
      <c r="F488">
        <v>6.9</v>
      </c>
      <c r="G488" t="s">
        <v>101</v>
      </c>
      <c r="H488" t="s">
        <v>368</v>
      </c>
      <c r="I488" t="s">
        <v>48</v>
      </c>
      <c r="J488">
        <v>120</v>
      </c>
      <c r="K488" t="s">
        <v>33</v>
      </c>
      <c r="L488" t="s">
        <v>113</v>
      </c>
      <c r="M488" t="s">
        <v>35</v>
      </c>
      <c r="N488" t="s">
        <v>277</v>
      </c>
      <c r="O488" t="s">
        <v>51</v>
      </c>
      <c r="P488" t="s">
        <v>38</v>
      </c>
      <c r="Q488" t="s">
        <v>38</v>
      </c>
      <c r="R488">
        <v>1</v>
      </c>
      <c r="S488" t="s">
        <v>39</v>
      </c>
      <c r="T488">
        <v>5</v>
      </c>
      <c r="U488">
        <v>1.8</v>
      </c>
      <c r="V488">
        <v>18.3</v>
      </c>
      <c r="W488" t="s">
        <v>39</v>
      </c>
      <c r="X488" t="s">
        <v>63</v>
      </c>
      <c r="Y488" t="s">
        <v>38</v>
      </c>
      <c r="Z488" t="s">
        <v>64</v>
      </c>
      <c r="AA488" t="s">
        <v>109</v>
      </c>
      <c r="AB488" t="s">
        <v>83</v>
      </c>
      <c r="AC488">
        <f t="shared" si="77"/>
        <v>0</v>
      </c>
      <c r="AD488" s="12">
        <f t="shared" si="81"/>
        <v>1</v>
      </c>
      <c r="AE488" s="12">
        <f t="shared" si="82"/>
        <v>0</v>
      </c>
      <c r="AF488">
        <f t="shared" si="78"/>
        <v>1</v>
      </c>
      <c r="AG488">
        <f t="shared" si="83"/>
        <v>0</v>
      </c>
      <c r="AH488">
        <f t="shared" si="84"/>
        <v>1</v>
      </c>
      <c r="AI488">
        <f t="shared" si="85"/>
        <v>0</v>
      </c>
      <c r="AJ488">
        <f t="shared" si="86"/>
        <v>0</v>
      </c>
      <c r="AK488">
        <f t="shared" si="79"/>
        <v>0</v>
      </c>
      <c r="AL488">
        <f t="shared" si="87"/>
        <v>1</v>
      </c>
    </row>
    <row r="489" spans="1:38">
      <c r="A489" t="s">
        <v>1594</v>
      </c>
      <c r="B489" t="s">
        <v>1595</v>
      </c>
      <c r="C489" s="1">
        <f t="shared" si="80"/>
        <v>45536</v>
      </c>
      <c r="D489" t="s">
        <v>1596</v>
      </c>
      <c r="E489">
        <v>153.80000000000001</v>
      </c>
      <c r="F489">
        <v>6.4</v>
      </c>
      <c r="G489" t="s">
        <v>30</v>
      </c>
      <c r="H489" t="s">
        <v>31</v>
      </c>
      <c r="I489" t="s">
        <v>32</v>
      </c>
      <c r="J489">
        <v>240</v>
      </c>
      <c r="K489" t="s">
        <v>49</v>
      </c>
      <c r="L489" t="s">
        <v>96</v>
      </c>
      <c r="M489" t="s">
        <v>71</v>
      </c>
      <c r="N489" t="s">
        <v>134</v>
      </c>
      <c r="O489" t="s">
        <v>51</v>
      </c>
      <c r="P489" t="s">
        <v>38</v>
      </c>
      <c r="Q489" t="s">
        <v>39</v>
      </c>
      <c r="R489">
        <v>1</v>
      </c>
      <c r="S489" t="s">
        <v>38</v>
      </c>
      <c r="T489">
        <v>9</v>
      </c>
      <c r="U489">
        <v>3.9</v>
      </c>
      <c r="V489">
        <v>22.9</v>
      </c>
      <c r="W489" t="s">
        <v>39</v>
      </c>
      <c r="X489" t="s">
        <v>123</v>
      </c>
      <c r="Y489" t="s">
        <v>39</v>
      </c>
      <c r="Z489" t="s">
        <v>108</v>
      </c>
      <c r="AA489" t="s">
        <v>54</v>
      </c>
      <c r="AB489" t="s">
        <v>43</v>
      </c>
      <c r="AC489">
        <f t="shared" si="77"/>
        <v>0</v>
      </c>
      <c r="AD489" s="12">
        <f t="shared" si="81"/>
        <v>0</v>
      </c>
      <c r="AE489" s="12">
        <f t="shared" si="82"/>
        <v>1</v>
      </c>
      <c r="AF489">
        <f t="shared" si="78"/>
        <v>1</v>
      </c>
      <c r="AG489">
        <f t="shared" si="83"/>
        <v>0</v>
      </c>
      <c r="AH489">
        <f t="shared" si="84"/>
        <v>0</v>
      </c>
      <c r="AI489">
        <f t="shared" si="85"/>
        <v>0</v>
      </c>
      <c r="AJ489">
        <f t="shared" si="86"/>
        <v>1</v>
      </c>
      <c r="AK489">
        <f t="shared" si="79"/>
        <v>1</v>
      </c>
      <c r="AL489">
        <f t="shared" si="87"/>
        <v>0</v>
      </c>
    </row>
    <row r="490" spans="1:38">
      <c r="A490" t="s">
        <v>1597</v>
      </c>
      <c r="B490" t="s">
        <v>1598</v>
      </c>
      <c r="C490" s="1">
        <f t="shared" si="80"/>
        <v>45444</v>
      </c>
      <c r="D490" t="s">
        <v>1599</v>
      </c>
      <c r="E490">
        <v>774.4</v>
      </c>
      <c r="F490">
        <v>32.299999999999997</v>
      </c>
      <c r="G490" t="s">
        <v>30</v>
      </c>
      <c r="H490" t="s">
        <v>31</v>
      </c>
      <c r="I490" t="s">
        <v>79</v>
      </c>
      <c r="J490">
        <v>360</v>
      </c>
      <c r="K490" t="s">
        <v>33</v>
      </c>
      <c r="L490" t="s">
        <v>113</v>
      </c>
      <c r="M490" t="s">
        <v>71</v>
      </c>
      <c r="N490" t="s">
        <v>107</v>
      </c>
      <c r="O490" t="s">
        <v>7232</v>
      </c>
      <c r="P490" t="s">
        <v>38</v>
      </c>
      <c r="Q490" t="s">
        <v>39</v>
      </c>
      <c r="R490">
        <v>2</v>
      </c>
      <c r="S490" t="s">
        <v>38</v>
      </c>
      <c r="T490">
        <v>6</v>
      </c>
      <c r="U490">
        <v>2</v>
      </c>
      <c r="V490">
        <v>19.3</v>
      </c>
      <c r="W490" t="s">
        <v>39</v>
      </c>
      <c r="X490" t="s">
        <v>123</v>
      </c>
      <c r="Y490" t="s">
        <v>39</v>
      </c>
      <c r="Z490" t="s">
        <v>81</v>
      </c>
      <c r="AA490" t="s">
        <v>103</v>
      </c>
      <c r="AB490" t="s">
        <v>83</v>
      </c>
      <c r="AC490">
        <f t="shared" si="77"/>
        <v>0</v>
      </c>
      <c r="AD490" s="12">
        <f t="shared" si="81"/>
        <v>0</v>
      </c>
      <c r="AE490" s="12">
        <f t="shared" si="82"/>
        <v>1</v>
      </c>
      <c r="AF490">
        <f t="shared" si="78"/>
        <v>0</v>
      </c>
      <c r="AG490">
        <f t="shared" si="83"/>
        <v>1</v>
      </c>
      <c r="AH490">
        <f t="shared" si="84"/>
        <v>0</v>
      </c>
      <c r="AI490">
        <f t="shared" si="85"/>
        <v>0</v>
      </c>
      <c r="AJ490">
        <f t="shared" si="86"/>
        <v>0</v>
      </c>
      <c r="AK490">
        <f t="shared" si="79"/>
        <v>1</v>
      </c>
      <c r="AL490">
        <f t="shared" si="87"/>
        <v>0</v>
      </c>
    </row>
    <row r="491" spans="1:38">
      <c r="A491" t="s">
        <v>1600</v>
      </c>
      <c r="B491" t="s">
        <v>1601</v>
      </c>
      <c r="C491" s="1">
        <f t="shared" si="80"/>
        <v>45352</v>
      </c>
      <c r="D491" t="s">
        <v>1602</v>
      </c>
      <c r="E491">
        <v>318.39999999999998</v>
      </c>
      <c r="F491">
        <v>13.3</v>
      </c>
      <c r="G491" t="s">
        <v>59</v>
      </c>
      <c r="H491" t="s">
        <v>466</v>
      </c>
      <c r="I491" t="s">
        <v>48</v>
      </c>
      <c r="J491">
        <v>120</v>
      </c>
      <c r="K491" t="s">
        <v>33</v>
      </c>
      <c r="L491" t="s">
        <v>70</v>
      </c>
      <c r="M491" t="s">
        <v>35</v>
      </c>
      <c r="N491" t="s">
        <v>50</v>
      </c>
      <c r="O491" t="s">
        <v>7232</v>
      </c>
      <c r="P491" t="s">
        <v>38</v>
      </c>
      <c r="Q491" t="s">
        <v>38</v>
      </c>
      <c r="R491">
        <v>1</v>
      </c>
      <c r="S491" t="s">
        <v>39</v>
      </c>
      <c r="T491">
        <v>5</v>
      </c>
      <c r="U491">
        <v>2.1</v>
      </c>
      <c r="V491">
        <v>11.3</v>
      </c>
      <c r="W491" t="s">
        <v>39</v>
      </c>
      <c r="X491" t="s">
        <v>123</v>
      </c>
      <c r="Y491" t="s">
        <v>39</v>
      </c>
      <c r="Z491" t="s">
        <v>115</v>
      </c>
      <c r="AA491" t="s">
        <v>109</v>
      </c>
      <c r="AB491" t="s">
        <v>43</v>
      </c>
      <c r="AC491">
        <f t="shared" si="77"/>
        <v>0</v>
      </c>
      <c r="AD491" s="12">
        <f t="shared" si="81"/>
        <v>0</v>
      </c>
      <c r="AE491" s="12">
        <f t="shared" si="82"/>
        <v>1</v>
      </c>
      <c r="AF491">
        <f t="shared" si="78"/>
        <v>0</v>
      </c>
      <c r="AG491">
        <f t="shared" si="83"/>
        <v>1</v>
      </c>
      <c r="AH491">
        <f t="shared" si="84"/>
        <v>1</v>
      </c>
      <c r="AI491">
        <f t="shared" si="85"/>
        <v>0</v>
      </c>
      <c r="AJ491">
        <f t="shared" si="86"/>
        <v>0</v>
      </c>
      <c r="AK491">
        <f t="shared" si="79"/>
        <v>0</v>
      </c>
      <c r="AL491">
        <f t="shared" si="87"/>
        <v>0</v>
      </c>
    </row>
    <row r="492" spans="1:38">
      <c r="A492" t="s">
        <v>1603</v>
      </c>
      <c r="B492" t="s">
        <v>1604</v>
      </c>
      <c r="C492" s="1">
        <f t="shared" si="80"/>
        <v>45383</v>
      </c>
      <c r="D492" t="s">
        <v>1605</v>
      </c>
      <c r="E492">
        <v>76.8</v>
      </c>
      <c r="F492">
        <v>3.2</v>
      </c>
      <c r="G492" t="s">
        <v>59</v>
      </c>
      <c r="H492" t="s">
        <v>227</v>
      </c>
      <c r="I492" t="s">
        <v>48</v>
      </c>
      <c r="J492">
        <v>120</v>
      </c>
      <c r="K492" t="s">
        <v>49</v>
      </c>
      <c r="L492" t="s">
        <v>34</v>
      </c>
      <c r="M492" t="s">
        <v>35</v>
      </c>
      <c r="N492" t="s">
        <v>138</v>
      </c>
      <c r="O492" t="s">
        <v>7232</v>
      </c>
      <c r="P492" t="s">
        <v>39</v>
      </c>
      <c r="Q492" t="s">
        <v>38</v>
      </c>
      <c r="R492">
        <v>0</v>
      </c>
      <c r="S492" t="s">
        <v>38</v>
      </c>
      <c r="T492">
        <v>8</v>
      </c>
      <c r="U492">
        <v>4.3</v>
      </c>
      <c r="V492">
        <v>30.8</v>
      </c>
      <c r="W492" t="s">
        <v>38</v>
      </c>
      <c r="X492" t="s">
        <v>63</v>
      </c>
      <c r="Y492" t="s">
        <v>39</v>
      </c>
      <c r="Z492" t="s">
        <v>53</v>
      </c>
      <c r="AA492" t="s">
        <v>82</v>
      </c>
      <c r="AB492" t="s">
        <v>83</v>
      </c>
      <c r="AC492">
        <f t="shared" si="77"/>
        <v>0</v>
      </c>
      <c r="AD492" s="12">
        <f t="shared" si="81"/>
        <v>1</v>
      </c>
      <c r="AE492" s="12">
        <f t="shared" si="82"/>
        <v>0</v>
      </c>
      <c r="AF492">
        <f t="shared" si="78"/>
        <v>0</v>
      </c>
      <c r="AG492">
        <f t="shared" si="83"/>
        <v>1</v>
      </c>
      <c r="AH492">
        <f t="shared" si="84"/>
        <v>1</v>
      </c>
      <c r="AI492">
        <f t="shared" si="85"/>
        <v>0</v>
      </c>
      <c r="AJ492">
        <f t="shared" si="86"/>
        <v>0</v>
      </c>
      <c r="AK492">
        <f t="shared" si="79"/>
        <v>0</v>
      </c>
      <c r="AL492">
        <f t="shared" si="87"/>
        <v>0</v>
      </c>
    </row>
    <row r="493" spans="1:38">
      <c r="A493" t="s">
        <v>1606</v>
      </c>
      <c r="B493" t="s">
        <v>1607</v>
      </c>
      <c r="C493" s="1">
        <f t="shared" si="80"/>
        <v>45536</v>
      </c>
      <c r="D493" t="s">
        <v>1608</v>
      </c>
      <c r="E493">
        <v>340.5</v>
      </c>
      <c r="F493">
        <v>14.2</v>
      </c>
      <c r="G493" t="s">
        <v>87</v>
      </c>
      <c r="H493" t="s">
        <v>183</v>
      </c>
      <c r="I493" t="s">
        <v>48</v>
      </c>
      <c r="J493">
        <v>120</v>
      </c>
      <c r="K493" t="s">
        <v>33</v>
      </c>
      <c r="L493" t="s">
        <v>113</v>
      </c>
      <c r="M493" t="s">
        <v>35</v>
      </c>
      <c r="N493" t="s">
        <v>299</v>
      </c>
      <c r="O493" t="s">
        <v>37</v>
      </c>
      <c r="P493" t="s">
        <v>38</v>
      </c>
      <c r="Q493" t="s">
        <v>38</v>
      </c>
      <c r="R493">
        <v>1</v>
      </c>
      <c r="S493" t="s">
        <v>38</v>
      </c>
      <c r="T493">
        <v>7</v>
      </c>
      <c r="U493">
        <v>1.5</v>
      </c>
      <c r="V493">
        <v>20.9</v>
      </c>
      <c r="W493" t="s">
        <v>39</v>
      </c>
      <c r="X493" t="s">
        <v>63</v>
      </c>
      <c r="Y493" t="s">
        <v>39</v>
      </c>
      <c r="Z493" t="s">
        <v>115</v>
      </c>
      <c r="AA493" t="s">
        <v>82</v>
      </c>
      <c r="AB493" t="s">
        <v>83</v>
      </c>
      <c r="AC493">
        <f t="shared" si="77"/>
        <v>0</v>
      </c>
      <c r="AD493" s="12">
        <f t="shared" si="81"/>
        <v>1</v>
      </c>
      <c r="AE493" s="12">
        <f t="shared" si="82"/>
        <v>0</v>
      </c>
      <c r="AF493">
        <f t="shared" si="78"/>
        <v>0</v>
      </c>
      <c r="AG493">
        <f t="shared" si="83"/>
        <v>0</v>
      </c>
      <c r="AH493">
        <f t="shared" si="84"/>
        <v>1</v>
      </c>
      <c r="AI493">
        <f t="shared" si="85"/>
        <v>0</v>
      </c>
      <c r="AJ493">
        <f t="shared" si="86"/>
        <v>0</v>
      </c>
      <c r="AK493">
        <f t="shared" si="79"/>
        <v>0</v>
      </c>
      <c r="AL493">
        <f t="shared" si="87"/>
        <v>0</v>
      </c>
    </row>
    <row r="494" spans="1:38">
      <c r="A494" t="s">
        <v>1609</v>
      </c>
      <c r="B494" t="s">
        <v>1610</v>
      </c>
      <c r="C494" s="1">
        <f t="shared" si="80"/>
        <v>45505</v>
      </c>
      <c r="D494" t="s">
        <v>1611</v>
      </c>
      <c r="E494">
        <v>93.4</v>
      </c>
      <c r="F494">
        <v>3.9</v>
      </c>
      <c r="G494" t="s">
        <v>93</v>
      </c>
      <c r="H494" t="s">
        <v>291</v>
      </c>
      <c r="I494" t="s">
        <v>48</v>
      </c>
      <c r="J494">
        <v>120</v>
      </c>
      <c r="K494" t="s">
        <v>49</v>
      </c>
      <c r="L494" t="s">
        <v>96</v>
      </c>
      <c r="M494" t="s">
        <v>71</v>
      </c>
      <c r="N494" t="s">
        <v>192</v>
      </c>
      <c r="O494" t="s">
        <v>51</v>
      </c>
      <c r="P494" t="s">
        <v>38</v>
      </c>
      <c r="Q494" t="s">
        <v>39</v>
      </c>
      <c r="R494">
        <v>3</v>
      </c>
      <c r="S494" t="s">
        <v>38</v>
      </c>
      <c r="T494">
        <v>7</v>
      </c>
      <c r="U494">
        <v>2.5</v>
      </c>
      <c r="V494">
        <v>21.8</v>
      </c>
      <c r="W494" t="s">
        <v>38</v>
      </c>
      <c r="X494" t="s">
        <v>52</v>
      </c>
      <c r="Y494" t="s">
        <v>39</v>
      </c>
      <c r="Z494" t="s">
        <v>179</v>
      </c>
      <c r="AA494" t="s">
        <v>103</v>
      </c>
      <c r="AB494" t="s">
        <v>55</v>
      </c>
      <c r="AC494">
        <f t="shared" si="77"/>
        <v>1</v>
      </c>
      <c r="AD494" s="12">
        <f t="shared" si="81"/>
        <v>0</v>
      </c>
      <c r="AE494" s="12">
        <f t="shared" si="82"/>
        <v>0</v>
      </c>
      <c r="AF494">
        <f t="shared" si="78"/>
        <v>1</v>
      </c>
      <c r="AG494">
        <f t="shared" si="83"/>
        <v>0</v>
      </c>
      <c r="AH494">
        <f t="shared" si="84"/>
        <v>1</v>
      </c>
      <c r="AI494">
        <f t="shared" si="85"/>
        <v>0</v>
      </c>
      <c r="AJ494">
        <f t="shared" si="86"/>
        <v>0</v>
      </c>
      <c r="AK494">
        <f t="shared" si="79"/>
        <v>0</v>
      </c>
      <c r="AL494">
        <f t="shared" si="87"/>
        <v>0</v>
      </c>
    </row>
    <row r="495" spans="1:38">
      <c r="A495" t="s">
        <v>1612</v>
      </c>
      <c r="B495" t="s">
        <v>1613</v>
      </c>
      <c r="C495" s="1">
        <f t="shared" si="80"/>
        <v>45383</v>
      </c>
      <c r="D495" t="s">
        <v>1614</v>
      </c>
      <c r="E495">
        <v>179.3</v>
      </c>
      <c r="F495">
        <v>7.5</v>
      </c>
      <c r="G495" t="s">
        <v>59</v>
      </c>
      <c r="H495" t="s">
        <v>281</v>
      </c>
      <c r="I495" t="s">
        <v>32</v>
      </c>
      <c r="J495">
        <v>240</v>
      </c>
      <c r="K495" t="s">
        <v>49</v>
      </c>
      <c r="L495" t="s">
        <v>34</v>
      </c>
      <c r="M495" t="s">
        <v>71</v>
      </c>
      <c r="N495" t="s">
        <v>80</v>
      </c>
      <c r="O495" t="s">
        <v>51</v>
      </c>
      <c r="P495" t="s">
        <v>38</v>
      </c>
      <c r="Q495" t="s">
        <v>39</v>
      </c>
      <c r="R495">
        <v>3</v>
      </c>
      <c r="S495" t="s">
        <v>39</v>
      </c>
      <c r="T495">
        <v>5</v>
      </c>
      <c r="U495">
        <v>2.9</v>
      </c>
      <c r="V495">
        <v>0</v>
      </c>
      <c r="W495" t="s">
        <v>39</v>
      </c>
      <c r="X495" t="s">
        <v>40</v>
      </c>
      <c r="Y495" t="s">
        <v>39</v>
      </c>
      <c r="Z495" t="s">
        <v>73</v>
      </c>
      <c r="AA495" t="s">
        <v>109</v>
      </c>
      <c r="AB495" t="s">
        <v>55</v>
      </c>
      <c r="AC495">
        <f t="shared" si="77"/>
        <v>0</v>
      </c>
      <c r="AD495" s="12">
        <f t="shared" si="81"/>
        <v>0</v>
      </c>
      <c r="AE495" s="12">
        <f t="shared" si="82"/>
        <v>0</v>
      </c>
      <c r="AF495">
        <f t="shared" si="78"/>
        <v>1</v>
      </c>
      <c r="AG495">
        <f t="shared" si="83"/>
        <v>0</v>
      </c>
      <c r="AH495">
        <f t="shared" si="84"/>
        <v>0</v>
      </c>
      <c r="AI495">
        <f t="shared" si="85"/>
        <v>0</v>
      </c>
      <c r="AJ495">
        <f t="shared" si="86"/>
        <v>1</v>
      </c>
      <c r="AK495">
        <f t="shared" si="79"/>
        <v>0</v>
      </c>
      <c r="AL495">
        <f t="shared" si="87"/>
        <v>0</v>
      </c>
    </row>
    <row r="496" spans="1:38">
      <c r="A496" t="s">
        <v>1615</v>
      </c>
      <c r="B496" t="s">
        <v>1616</v>
      </c>
      <c r="C496" s="1">
        <f t="shared" si="80"/>
        <v>45536</v>
      </c>
      <c r="D496" t="s">
        <v>1617</v>
      </c>
      <c r="E496">
        <v>98</v>
      </c>
      <c r="F496">
        <v>4.0999999999999996</v>
      </c>
      <c r="G496" t="s">
        <v>30</v>
      </c>
      <c r="H496" t="s">
        <v>31</v>
      </c>
      <c r="I496" t="s">
        <v>48</v>
      </c>
      <c r="J496">
        <v>120</v>
      </c>
      <c r="K496" t="s">
        <v>49</v>
      </c>
      <c r="L496" t="s">
        <v>133</v>
      </c>
      <c r="M496" t="s">
        <v>35</v>
      </c>
      <c r="N496" t="s">
        <v>114</v>
      </c>
      <c r="O496" t="s">
        <v>37</v>
      </c>
      <c r="P496" t="s">
        <v>38</v>
      </c>
      <c r="Q496" t="s">
        <v>38</v>
      </c>
      <c r="R496">
        <v>1</v>
      </c>
      <c r="S496" t="s">
        <v>38</v>
      </c>
      <c r="T496">
        <v>6</v>
      </c>
      <c r="U496">
        <v>5.0999999999999996</v>
      </c>
      <c r="V496">
        <v>13</v>
      </c>
      <c r="W496" t="s">
        <v>39</v>
      </c>
      <c r="X496" t="s">
        <v>52</v>
      </c>
      <c r="Y496" t="s">
        <v>39</v>
      </c>
      <c r="Z496" t="s">
        <v>81</v>
      </c>
      <c r="AA496" t="s">
        <v>109</v>
      </c>
      <c r="AB496" t="s">
        <v>55</v>
      </c>
      <c r="AC496">
        <f t="shared" si="77"/>
        <v>1</v>
      </c>
      <c r="AD496" s="12">
        <f t="shared" si="81"/>
        <v>0</v>
      </c>
      <c r="AE496" s="12">
        <f t="shared" si="82"/>
        <v>0</v>
      </c>
      <c r="AF496">
        <f t="shared" si="78"/>
        <v>0</v>
      </c>
      <c r="AG496">
        <f t="shared" si="83"/>
        <v>0</v>
      </c>
      <c r="AH496">
        <f t="shared" si="84"/>
        <v>1</v>
      </c>
      <c r="AI496">
        <f t="shared" si="85"/>
        <v>0</v>
      </c>
      <c r="AJ496">
        <f t="shared" si="86"/>
        <v>0</v>
      </c>
      <c r="AK496">
        <f t="shared" si="79"/>
        <v>1</v>
      </c>
      <c r="AL496">
        <f t="shared" si="87"/>
        <v>0</v>
      </c>
    </row>
    <row r="497" spans="1:38">
      <c r="A497" t="s">
        <v>1618</v>
      </c>
      <c r="B497" t="s">
        <v>1619</v>
      </c>
      <c r="C497" s="1">
        <f t="shared" si="80"/>
        <v>45597</v>
      </c>
      <c r="D497" t="s">
        <v>1620</v>
      </c>
      <c r="E497">
        <v>87.1</v>
      </c>
      <c r="F497">
        <v>3.6</v>
      </c>
      <c r="G497" t="s">
        <v>87</v>
      </c>
      <c r="H497" t="s">
        <v>309</v>
      </c>
      <c r="I497" t="s">
        <v>48</v>
      </c>
      <c r="J497">
        <v>120</v>
      </c>
      <c r="K497" t="s">
        <v>49</v>
      </c>
      <c r="L497" t="s">
        <v>113</v>
      </c>
      <c r="M497" t="s">
        <v>35</v>
      </c>
      <c r="N497" t="s">
        <v>138</v>
      </c>
      <c r="O497" t="s">
        <v>51</v>
      </c>
      <c r="P497" t="s">
        <v>38</v>
      </c>
      <c r="Q497" t="s">
        <v>38</v>
      </c>
      <c r="R497">
        <v>1</v>
      </c>
      <c r="S497" t="s">
        <v>38</v>
      </c>
      <c r="T497">
        <v>8</v>
      </c>
      <c r="U497">
        <v>3.3</v>
      </c>
      <c r="V497">
        <v>23.9</v>
      </c>
      <c r="W497" t="s">
        <v>39</v>
      </c>
      <c r="X497" t="s">
        <v>123</v>
      </c>
      <c r="Y497" t="s">
        <v>39</v>
      </c>
      <c r="Z497" t="s">
        <v>64</v>
      </c>
      <c r="AA497" t="s">
        <v>82</v>
      </c>
      <c r="AB497" t="s">
        <v>83</v>
      </c>
      <c r="AC497">
        <f t="shared" si="77"/>
        <v>0</v>
      </c>
      <c r="AD497" s="12">
        <f t="shared" si="81"/>
        <v>0</v>
      </c>
      <c r="AE497" s="12">
        <f t="shared" si="82"/>
        <v>1</v>
      </c>
      <c r="AF497">
        <f t="shared" si="78"/>
        <v>1</v>
      </c>
      <c r="AG497">
        <f t="shared" si="83"/>
        <v>0</v>
      </c>
      <c r="AH497">
        <f t="shared" si="84"/>
        <v>1</v>
      </c>
      <c r="AI497">
        <f t="shared" si="85"/>
        <v>0</v>
      </c>
      <c r="AJ497">
        <f t="shared" si="86"/>
        <v>0</v>
      </c>
      <c r="AK497">
        <f t="shared" si="79"/>
        <v>0</v>
      </c>
      <c r="AL497">
        <f t="shared" si="87"/>
        <v>0</v>
      </c>
    </row>
    <row r="498" spans="1:38">
      <c r="A498" t="s">
        <v>1621</v>
      </c>
      <c r="B498" t="s">
        <v>1622</v>
      </c>
      <c r="C498" s="1">
        <f t="shared" si="80"/>
        <v>45323</v>
      </c>
      <c r="D498" t="s">
        <v>1623</v>
      </c>
      <c r="E498">
        <v>168.5</v>
      </c>
      <c r="F498">
        <v>7</v>
      </c>
      <c r="G498" t="s">
        <v>59</v>
      </c>
      <c r="H498" t="s">
        <v>281</v>
      </c>
      <c r="I498" t="s">
        <v>48</v>
      </c>
      <c r="J498">
        <v>120</v>
      </c>
      <c r="K498" t="s">
        <v>33</v>
      </c>
      <c r="L498" t="s">
        <v>34</v>
      </c>
      <c r="M498" t="s">
        <v>71</v>
      </c>
      <c r="N498" t="s">
        <v>80</v>
      </c>
      <c r="O498" t="s">
        <v>7232</v>
      </c>
      <c r="P498" t="s">
        <v>38</v>
      </c>
      <c r="Q498" t="s">
        <v>39</v>
      </c>
      <c r="R498">
        <v>4</v>
      </c>
      <c r="S498" t="s">
        <v>39</v>
      </c>
      <c r="T498">
        <v>7</v>
      </c>
      <c r="U498">
        <v>1.9</v>
      </c>
      <c r="V498">
        <v>54.1</v>
      </c>
      <c r="W498" t="s">
        <v>38</v>
      </c>
      <c r="X498" t="s">
        <v>40</v>
      </c>
      <c r="Y498" t="s">
        <v>39</v>
      </c>
      <c r="Z498" t="s">
        <v>53</v>
      </c>
      <c r="AA498" t="s">
        <v>109</v>
      </c>
      <c r="AB498" t="s">
        <v>83</v>
      </c>
      <c r="AC498">
        <f t="shared" si="77"/>
        <v>0</v>
      </c>
      <c r="AD498" s="12">
        <f t="shared" si="81"/>
        <v>0</v>
      </c>
      <c r="AE498" s="12">
        <f t="shared" si="82"/>
        <v>0</v>
      </c>
      <c r="AF498">
        <f t="shared" si="78"/>
        <v>0</v>
      </c>
      <c r="AG498">
        <f t="shared" si="83"/>
        <v>1</v>
      </c>
      <c r="AH498">
        <f t="shared" si="84"/>
        <v>1</v>
      </c>
      <c r="AI498">
        <f t="shared" si="85"/>
        <v>0</v>
      </c>
      <c r="AJ498">
        <f t="shared" si="86"/>
        <v>0</v>
      </c>
      <c r="AK498">
        <f t="shared" si="79"/>
        <v>0</v>
      </c>
      <c r="AL498">
        <f t="shared" si="87"/>
        <v>0</v>
      </c>
    </row>
    <row r="499" spans="1:38">
      <c r="A499" t="s">
        <v>1624</v>
      </c>
      <c r="B499" t="s">
        <v>1625</v>
      </c>
      <c r="C499" s="1">
        <f t="shared" si="80"/>
        <v>45536</v>
      </c>
      <c r="D499" t="s">
        <v>1626</v>
      </c>
      <c r="E499">
        <v>318</v>
      </c>
      <c r="F499">
        <v>13.3</v>
      </c>
      <c r="G499" t="s">
        <v>77</v>
      </c>
      <c r="H499" t="s">
        <v>244</v>
      </c>
      <c r="I499" t="s">
        <v>79</v>
      </c>
      <c r="J499">
        <v>360</v>
      </c>
      <c r="K499" t="s">
        <v>49</v>
      </c>
      <c r="L499" t="s">
        <v>34</v>
      </c>
      <c r="M499" t="s">
        <v>35</v>
      </c>
      <c r="N499" t="s">
        <v>168</v>
      </c>
      <c r="O499" t="s">
        <v>7232</v>
      </c>
      <c r="P499" t="s">
        <v>38</v>
      </c>
      <c r="Q499" t="s">
        <v>38</v>
      </c>
      <c r="R499">
        <v>1</v>
      </c>
      <c r="S499" t="s">
        <v>38</v>
      </c>
      <c r="T499">
        <v>6</v>
      </c>
      <c r="U499">
        <v>2.6</v>
      </c>
      <c r="V499">
        <v>20.7</v>
      </c>
      <c r="W499" t="s">
        <v>39</v>
      </c>
      <c r="X499" t="s">
        <v>63</v>
      </c>
      <c r="Y499" t="s">
        <v>39</v>
      </c>
      <c r="Z499" t="s">
        <v>115</v>
      </c>
      <c r="AA499" t="s">
        <v>109</v>
      </c>
      <c r="AB499" t="s">
        <v>55</v>
      </c>
      <c r="AC499">
        <f t="shared" si="77"/>
        <v>0</v>
      </c>
      <c r="AD499" s="12">
        <f t="shared" si="81"/>
        <v>1</v>
      </c>
      <c r="AE499" s="12">
        <f t="shared" si="82"/>
        <v>0</v>
      </c>
      <c r="AF499">
        <f t="shared" si="78"/>
        <v>0</v>
      </c>
      <c r="AG499">
        <f t="shared" si="83"/>
        <v>1</v>
      </c>
      <c r="AH499">
        <f t="shared" si="84"/>
        <v>0</v>
      </c>
      <c r="AI499">
        <f t="shared" si="85"/>
        <v>0</v>
      </c>
      <c r="AJ499">
        <f t="shared" si="86"/>
        <v>0</v>
      </c>
      <c r="AK499">
        <f t="shared" si="79"/>
        <v>0</v>
      </c>
      <c r="AL499">
        <f t="shared" si="87"/>
        <v>0</v>
      </c>
    </row>
    <row r="500" spans="1:38">
      <c r="A500" t="s">
        <v>1627</v>
      </c>
      <c r="B500" t="s">
        <v>1628</v>
      </c>
      <c r="C500" s="1">
        <f t="shared" si="80"/>
        <v>45292</v>
      </c>
      <c r="D500" t="s">
        <v>1629</v>
      </c>
      <c r="E500">
        <v>110.6</v>
      </c>
      <c r="F500">
        <v>4.5999999999999996</v>
      </c>
      <c r="G500" t="s">
        <v>101</v>
      </c>
      <c r="H500" t="s">
        <v>102</v>
      </c>
      <c r="I500" t="s">
        <v>48</v>
      </c>
      <c r="J500">
        <v>120</v>
      </c>
      <c r="K500" t="s">
        <v>49</v>
      </c>
      <c r="L500" t="s">
        <v>34</v>
      </c>
      <c r="M500" t="s">
        <v>71</v>
      </c>
      <c r="N500" t="s">
        <v>299</v>
      </c>
      <c r="O500" t="s">
        <v>37</v>
      </c>
      <c r="P500" t="s">
        <v>38</v>
      </c>
      <c r="Q500" t="s">
        <v>39</v>
      </c>
      <c r="R500">
        <v>2</v>
      </c>
      <c r="S500" t="s">
        <v>38</v>
      </c>
      <c r="T500">
        <v>8</v>
      </c>
      <c r="U500">
        <v>1.2</v>
      </c>
      <c r="V500">
        <v>24.3</v>
      </c>
      <c r="W500" t="s">
        <v>39</v>
      </c>
      <c r="X500" t="s">
        <v>52</v>
      </c>
      <c r="Y500" t="s">
        <v>38</v>
      </c>
      <c r="Z500" t="s">
        <v>64</v>
      </c>
      <c r="AA500" t="s">
        <v>82</v>
      </c>
      <c r="AB500" t="s">
        <v>83</v>
      </c>
      <c r="AC500">
        <f t="shared" si="77"/>
        <v>1</v>
      </c>
      <c r="AD500" s="12">
        <f t="shared" si="81"/>
        <v>0</v>
      </c>
      <c r="AE500" s="12">
        <f t="shared" si="82"/>
        <v>0</v>
      </c>
      <c r="AF500">
        <f t="shared" si="78"/>
        <v>0</v>
      </c>
      <c r="AG500">
        <f t="shared" si="83"/>
        <v>0</v>
      </c>
      <c r="AH500">
        <f t="shared" si="84"/>
        <v>1</v>
      </c>
      <c r="AI500">
        <f t="shared" si="85"/>
        <v>0</v>
      </c>
      <c r="AJ500">
        <f t="shared" si="86"/>
        <v>0</v>
      </c>
      <c r="AK500">
        <f t="shared" si="79"/>
        <v>0</v>
      </c>
      <c r="AL500">
        <f t="shared" si="87"/>
        <v>1</v>
      </c>
    </row>
    <row r="501" spans="1:38">
      <c r="A501" t="s">
        <v>1630</v>
      </c>
      <c r="B501" t="s">
        <v>1631</v>
      </c>
      <c r="C501" s="1">
        <f t="shared" si="80"/>
        <v>45597</v>
      </c>
      <c r="D501" t="s">
        <v>1632</v>
      </c>
      <c r="E501">
        <v>201.5</v>
      </c>
      <c r="F501">
        <v>8.4</v>
      </c>
      <c r="G501" t="s">
        <v>68</v>
      </c>
      <c r="H501" t="s">
        <v>212</v>
      </c>
      <c r="I501" t="s">
        <v>32</v>
      </c>
      <c r="J501">
        <v>240</v>
      </c>
      <c r="K501" t="s">
        <v>49</v>
      </c>
      <c r="L501" t="s">
        <v>113</v>
      </c>
      <c r="M501" t="s">
        <v>71</v>
      </c>
      <c r="N501" t="s">
        <v>192</v>
      </c>
      <c r="O501" t="s">
        <v>51</v>
      </c>
      <c r="P501" t="s">
        <v>38</v>
      </c>
      <c r="Q501" t="s">
        <v>39</v>
      </c>
      <c r="R501">
        <v>3</v>
      </c>
      <c r="S501" t="s">
        <v>38</v>
      </c>
      <c r="T501">
        <v>9</v>
      </c>
      <c r="U501">
        <v>1.6</v>
      </c>
      <c r="V501">
        <v>39.299999999999997</v>
      </c>
      <c r="W501" t="s">
        <v>38</v>
      </c>
      <c r="X501" t="s">
        <v>123</v>
      </c>
      <c r="Y501" t="s">
        <v>38</v>
      </c>
      <c r="Z501" t="s">
        <v>108</v>
      </c>
      <c r="AA501" t="s">
        <v>109</v>
      </c>
      <c r="AB501" t="s">
        <v>83</v>
      </c>
      <c r="AC501">
        <f t="shared" si="77"/>
        <v>0</v>
      </c>
      <c r="AD501" s="12">
        <f t="shared" si="81"/>
        <v>0</v>
      </c>
      <c r="AE501" s="12">
        <f t="shared" si="82"/>
        <v>1</v>
      </c>
      <c r="AF501">
        <f t="shared" si="78"/>
        <v>1</v>
      </c>
      <c r="AG501">
        <f t="shared" si="83"/>
        <v>0</v>
      </c>
      <c r="AH501">
        <f t="shared" si="84"/>
        <v>0</v>
      </c>
      <c r="AI501">
        <f t="shared" si="85"/>
        <v>0</v>
      </c>
      <c r="AJ501">
        <f t="shared" si="86"/>
        <v>1</v>
      </c>
      <c r="AK501">
        <f t="shared" si="79"/>
        <v>0</v>
      </c>
      <c r="AL501">
        <f t="shared" si="87"/>
        <v>1</v>
      </c>
    </row>
    <row r="502" spans="1:38">
      <c r="A502" t="s">
        <v>1633</v>
      </c>
      <c r="B502" t="s">
        <v>1634</v>
      </c>
      <c r="C502" s="1">
        <f t="shared" si="80"/>
        <v>45505</v>
      </c>
      <c r="D502" t="s">
        <v>1635</v>
      </c>
      <c r="E502">
        <v>275.10000000000002</v>
      </c>
      <c r="F502">
        <v>11.5</v>
      </c>
      <c r="G502" t="s">
        <v>101</v>
      </c>
      <c r="H502" t="s">
        <v>295</v>
      </c>
      <c r="I502" t="s">
        <v>79</v>
      </c>
      <c r="J502">
        <v>360</v>
      </c>
      <c r="K502" t="s">
        <v>49</v>
      </c>
      <c r="L502" t="s">
        <v>133</v>
      </c>
      <c r="M502" t="s">
        <v>71</v>
      </c>
      <c r="N502" t="s">
        <v>164</v>
      </c>
      <c r="O502" t="s">
        <v>51</v>
      </c>
      <c r="P502" t="s">
        <v>38</v>
      </c>
      <c r="Q502" t="s">
        <v>39</v>
      </c>
      <c r="R502">
        <v>2</v>
      </c>
      <c r="S502" t="s">
        <v>39</v>
      </c>
      <c r="T502">
        <v>8</v>
      </c>
      <c r="U502">
        <v>5.9</v>
      </c>
      <c r="V502">
        <v>9.3000000000000007</v>
      </c>
      <c r="W502" t="s">
        <v>38</v>
      </c>
      <c r="X502" t="s">
        <v>123</v>
      </c>
      <c r="Y502" t="s">
        <v>38</v>
      </c>
      <c r="Z502" t="s">
        <v>179</v>
      </c>
      <c r="AA502" t="s">
        <v>109</v>
      </c>
      <c r="AB502" t="s">
        <v>55</v>
      </c>
      <c r="AC502">
        <f t="shared" si="77"/>
        <v>0</v>
      </c>
      <c r="AD502" s="12">
        <f t="shared" si="81"/>
        <v>0</v>
      </c>
      <c r="AE502" s="12">
        <f t="shared" si="82"/>
        <v>1</v>
      </c>
      <c r="AF502">
        <f t="shared" si="78"/>
        <v>1</v>
      </c>
      <c r="AG502">
        <f t="shared" si="83"/>
        <v>0</v>
      </c>
      <c r="AH502">
        <f t="shared" si="84"/>
        <v>0</v>
      </c>
      <c r="AI502">
        <f t="shared" si="85"/>
        <v>0</v>
      </c>
      <c r="AJ502">
        <f t="shared" si="86"/>
        <v>0</v>
      </c>
      <c r="AK502">
        <f t="shared" si="79"/>
        <v>0</v>
      </c>
      <c r="AL502">
        <f t="shared" si="87"/>
        <v>1</v>
      </c>
    </row>
    <row r="503" spans="1:38">
      <c r="A503" t="s">
        <v>1636</v>
      </c>
      <c r="B503" t="s">
        <v>1637</v>
      </c>
      <c r="C503" s="1">
        <f t="shared" si="80"/>
        <v>45627</v>
      </c>
      <c r="D503" t="s">
        <v>1638</v>
      </c>
      <c r="E503">
        <v>215</v>
      </c>
      <c r="F503">
        <v>9</v>
      </c>
      <c r="G503" t="s">
        <v>142</v>
      </c>
      <c r="H503" t="s">
        <v>319</v>
      </c>
      <c r="I503" t="s">
        <v>32</v>
      </c>
      <c r="J503">
        <v>240</v>
      </c>
      <c r="K503" t="s">
        <v>49</v>
      </c>
      <c r="L503" t="s">
        <v>70</v>
      </c>
      <c r="M503" t="s">
        <v>71</v>
      </c>
      <c r="N503" t="s">
        <v>506</v>
      </c>
      <c r="O503" t="s">
        <v>51</v>
      </c>
      <c r="P503" t="s">
        <v>38</v>
      </c>
      <c r="Q503" t="s">
        <v>39</v>
      </c>
      <c r="R503">
        <v>3</v>
      </c>
      <c r="S503" t="s">
        <v>39</v>
      </c>
      <c r="T503">
        <v>8</v>
      </c>
      <c r="U503">
        <v>2.9</v>
      </c>
      <c r="V503">
        <v>11.2</v>
      </c>
      <c r="W503" t="s">
        <v>39</v>
      </c>
      <c r="X503" t="s">
        <v>52</v>
      </c>
      <c r="Y503" t="s">
        <v>39</v>
      </c>
      <c r="Z503" t="s">
        <v>64</v>
      </c>
      <c r="AA503" t="s">
        <v>103</v>
      </c>
      <c r="AB503" t="s">
        <v>83</v>
      </c>
      <c r="AC503">
        <f t="shared" si="77"/>
        <v>1</v>
      </c>
      <c r="AD503" s="12">
        <f t="shared" si="81"/>
        <v>0</v>
      </c>
      <c r="AE503" s="12">
        <f t="shared" si="82"/>
        <v>0</v>
      </c>
      <c r="AF503">
        <f t="shared" si="78"/>
        <v>1</v>
      </c>
      <c r="AG503">
        <f t="shared" si="83"/>
        <v>0</v>
      </c>
      <c r="AH503">
        <f t="shared" si="84"/>
        <v>0</v>
      </c>
      <c r="AI503">
        <f t="shared" si="85"/>
        <v>0</v>
      </c>
      <c r="AJ503">
        <f t="shared" si="86"/>
        <v>1</v>
      </c>
      <c r="AK503">
        <f t="shared" si="79"/>
        <v>0</v>
      </c>
      <c r="AL503">
        <f t="shared" si="87"/>
        <v>0</v>
      </c>
    </row>
    <row r="504" spans="1:38">
      <c r="A504" t="s">
        <v>1639</v>
      </c>
      <c r="B504" t="s">
        <v>1640</v>
      </c>
      <c r="C504" s="1">
        <f t="shared" si="80"/>
        <v>45536</v>
      </c>
      <c r="D504" t="s">
        <v>1641</v>
      </c>
      <c r="E504">
        <v>224.5</v>
      </c>
      <c r="F504">
        <v>9.4</v>
      </c>
      <c r="G504" t="s">
        <v>30</v>
      </c>
      <c r="H504" t="s">
        <v>31</v>
      </c>
      <c r="I504" t="s">
        <v>32</v>
      </c>
      <c r="J504">
        <v>240</v>
      </c>
      <c r="K504" t="s">
        <v>49</v>
      </c>
      <c r="L504" t="s">
        <v>113</v>
      </c>
      <c r="M504" t="s">
        <v>35</v>
      </c>
      <c r="N504" t="s">
        <v>168</v>
      </c>
      <c r="O504" t="s">
        <v>51</v>
      </c>
      <c r="P504" t="s">
        <v>38</v>
      </c>
      <c r="Q504" t="s">
        <v>38</v>
      </c>
      <c r="R504">
        <v>1</v>
      </c>
      <c r="S504" t="s">
        <v>38</v>
      </c>
      <c r="T504">
        <v>9</v>
      </c>
      <c r="U504">
        <v>2.6</v>
      </c>
      <c r="V504">
        <v>30.5</v>
      </c>
      <c r="W504" t="s">
        <v>39</v>
      </c>
      <c r="X504" t="s">
        <v>123</v>
      </c>
      <c r="Y504" t="s">
        <v>38</v>
      </c>
      <c r="Z504" t="s">
        <v>108</v>
      </c>
      <c r="AA504" t="s">
        <v>82</v>
      </c>
      <c r="AB504" t="s">
        <v>83</v>
      </c>
      <c r="AC504">
        <f t="shared" si="77"/>
        <v>0</v>
      </c>
      <c r="AD504" s="12">
        <f t="shared" si="81"/>
        <v>0</v>
      </c>
      <c r="AE504" s="12">
        <f t="shared" si="82"/>
        <v>1</v>
      </c>
      <c r="AF504">
        <f t="shared" si="78"/>
        <v>1</v>
      </c>
      <c r="AG504">
        <f t="shared" si="83"/>
        <v>0</v>
      </c>
      <c r="AH504">
        <f t="shared" si="84"/>
        <v>0</v>
      </c>
      <c r="AI504">
        <f t="shared" si="85"/>
        <v>0</v>
      </c>
      <c r="AJ504">
        <f t="shared" si="86"/>
        <v>1</v>
      </c>
      <c r="AK504">
        <f t="shared" si="79"/>
        <v>1</v>
      </c>
      <c r="AL504">
        <f t="shared" si="87"/>
        <v>1</v>
      </c>
    </row>
    <row r="505" spans="1:38">
      <c r="A505" t="s">
        <v>1642</v>
      </c>
      <c r="B505" t="s">
        <v>1643</v>
      </c>
      <c r="C505" s="1">
        <f t="shared" si="80"/>
        <v>45292</v>
      </c>
      <c r="D505" t="s">
        <v>1644</v>
      </c>
      <c r="E505">
        <v>192.9</v>
      </c>
      <c r="F505">
        <v>8</v>
      </c>
      <c r="G505" t="s">
        <v>142</v>
      </c>
      <c r="H505" t="s">
        <v>260</v>
      </c>
      <c r="I505" t="s">
        <v>32</v>
      </c>
      <c r="J505">
        <v>240</v>
      </c>
      <c r="K505" t="s">
        <v>49</v>
      </c>
      <c r="L505" t="s">
        <v>133</v>
      </c>
      <c r="M505" t="s">
        <v>35</v>
      </c>
      <c r="N505" t="s">
        <v>414</v>
      </c>
      <c r="O505" t="s">
        <v>37</v>
      </c>
      <c r="P505" t="s">
        <v>39</v>
      </c>
      <c r="Q505" t="s">
        <v>38</v>
      </c>
      <c r="R505">
        <v>0</v>
      </c>
      <c r="S505" t="s">
        <v>38</v>
      </c>
      <c r="T505">
        <v>10</v>
      </c>
      <c r="U505">
        <v>3.8</v>
      </c>
      <c r="V505">
        <v>29.5</v>
      </c>
      <c r="W505" t="s">
        <v>39</v>
      </c>
      <c r="X505" t="s">
        <v>40</v>
      </c>
      <c r="Y505" t="s">
        <v>39</v>
      </c>
      <c r="Z505" t="s">
        <v>108</v>
      </c>
      <c r="AA505" t="s">
        <v>103</v>
      </c>
      <c r="AB505" t="s">
        <v>83</v>
      </c>
      <c r="AC505">
        <f t="shared" si="77"/>
        <v>0</v>
      </c>
      <c r="AD505" s="12">
        <f t="shared" si="81"/>
        <v>0</v>
      </c>
      <c r="AE505" s="12">
        <f t="shared" si="82"/>
        <v>0</v>
      </c>
      <c r="AF505">
        <f t="shared" si="78"/>
        <v>0</v>
      </c>
      <c r="AG505">
        <f t="shared" si="83"/>
        <v>0</v>
      </c>
      <c r="AH505">
        <f t="shared" si="84"/>
        <v>0</v>
      </c>
      <c r="AI505">
        <f t="shared" si="85"/>
        <v>0</v>
      </c>
      <c r="AJ505">
        <f t="shared" si="86"/>
        <v>1</v>
      </c>
      <c r="AK505">
        <f t="shared" si="79"/>
        <v>0</v>
      </c>
      <c r="AL505">
        <f t="shared" si="87"/>
        <v>0</v>
      </c>
    </row>
    <row r="506" spans="1:38">
      <c r="A506" t="s">
        <v>1645</v>
      </c>
      <c r="B506" t="s">
        <v>1646</v>
      </c>
      <c r="C506" s="1">
        <f t="shared" si="80"/>
        <v>45383</v>
      </c>
      <c r="D506" t="s">
        <v>1647</v>
      </c>
      <c r="E506">
        <v>129.5</v>
      </c>
      <c r="F506">
        <v>5.4</v>
      </c>
      <c r="G506" t="s">
        <v>68</v>
      </c>
      <c r="H506" t="s">
        <v>456</v>
      </c>
      <c r="I506" t="s">
        <v>48</v>
      </c>
      <c r="J506">
        <v>120</v>
      </c>
      <c r="K506" t="s">
        <v>33</v>
      </c>
      <c r="L506" t="s">
        <v>113</v>
      </c>
      <c r="M506" t="s">
        <v>35</v>
      </c>
      <c r="N506" t="s">
        <v>107</v>
      </c>
      <c r="O506" t="s">
        <v>7232</v>
      </c>
      <c r="P506" t="s">
        <v>38</v>
      </c>
      <c r="Q506" t="s">
        <v>38</v>
      </c>
      <c r="R506">
        <v>1</v>
      </c>
      <c r="S506" t="s">
        <v>38</v>
      </c>
      <c r="T506">
        <v>7</v>
      </c>
      <c r="U506">
        <v>0.1</v>
      </c>
      <c r="V506">
        <v>26.3</v>
      </c>
      <c r="W506" t="s">
        <v>39</v>
      </c>
      <c r="X506" t="s">
        <v>52</v>
      </c>
      <c r="Y506" t="s">
        <v>38</v>
      </c>
      <c r="Z506" t="s">
        <v>179</v>
      </c>
      <c r="AA506" t="s">
        <v>54</v>
      </c>
      <c r="AB506" t="s">
        <v>43</v>
      </c>
      <c r="AC506">
        <f t="shared" si="77"/>
        <v>1</v>
      </c>
      <c r="AD506" s="12">
        <f t="shared" si="81"/>
        <v>0</v>
      </c>
      <c r="AE506" s="12">
        <f t="shared" si="82"/>
        <v>0</v>
      </c>
      <c r="AF506">
        <f t="shared" si="78"/>
        <v>0</v>
      </c>
      <c r="AG506">
        <f t="shared" si="83"/>
        <v>1</v>
      </c>
      <c r="AH506">
        <f t="shared" si="84"/>
        <v>1</v>
      </c>
      <c r="AI506">
        <f t="shared" si="85"/>
        <v>0</v>
      </c>
      <c r="AJ506">
        <f t="shared" si="86"/>
        <v>0</v>
      </c>
      <c r="AK506">
        <f t="shared" si="79"/>
        <v>0</v>
      </c>
      <c r="AL506">
        <f t="shared" si="87"/>
        <v>1</v>
      </c>
    </row>
    <row r="507" spans="1:38">
      <c r="A507" t="s">
        <v>1648</v>
      </c>
      <c r="B507" t="s">
        <v>1649</v>
      </c>
      <c r="C507" s="1">
        <f t="shared" si="80"/>
        <v>45292</v>
      </c>
      <c r="D507" t="s">
        <v>1650</v>
      </c>
      <c r="E507">
        <v>314.5</v>
      </c>
      <c r="F507">
        <v>13.1</v>
      </c>
      <c r="G507" t="s">
        <v>101</v>
      </c>
      <c r="H507" t="s">
        <v>368</v>
      </c>
      <c r="I507" t="s">
        <v>79</v>
      </c>
      <c r="J507">
        <v>360</v>
      </c>
      <c r="K507" t="s">
        <v>49</v>
      </c>
      <c r="L507" t="s">
        <v>113</v>
      </c>
      <c r="M507" t="s">
        <v>35</v>
      </c>
      <c r="N507" t="s">
        <v>97</v>
      </c>
      <c r="O507" t="s">
        <v>51</v>
      </c>
      <c r="P507" t="s">
        <v>39</v>
      </c>
      <c r="Q507" t="s">
        <v>38</v>
      </c>
      <c r="R507">
        <v>0</v>
      </c>
      <c r="S507" t="s">
        <v>38</v>
      </c>
      <c r="T507">
        <v>10</v>
      </c>
      <c r="U507">
        <v>3</v>
      </c>
      <c r="V507">
        <v>27.4</v>
      </c>
      <c r="W507" t="s">
        <v>39</v>
      </c>
      <c r="X507" t="s">
        <v>63</v>
      </c>
      <c r="Y507" t="s">
        <v>39</v>
      </c>
      <c r="Z507" t="s">
        <v>108</v>
      </c>
      <c r="AA507" t="s">
        <v>54</v>
      </c>
      <c r="AB507" t="s">
        <v>55</v>
      </c>
      <c r="AC507">
        <f t="shared" si="77"/>
        <v>0</v>
      </c>
      <c r="AD507" s="12">
        <f t="shared" si="81"/>
        <v>1</v>
      </c>
      <c r="AE507" s="12">
        <f t="shared" si="82"/>
        <v>0</v>
      </c>
      <c r="AF507">
        <f t="shared" si="78"/>
        <v>1</v>
      </c>
      <c r="AG507">
        <f t="shared" si="83"/>
        <v>0</v>
      </c>
      <c r="AH507">
        <f t="shared" si="84"/>
        <v>0</v>
      </c>
      <c r="AI507">
        <f t="shared" si="85"/>
        <v>0</v>
      </c>
      <c r="AJ507">
        <f t="shared" si="86"/>
        <v>0</v>
      </c>
      <c r="AK507">
        <f t="shared" si="79"/>
        <v>0</v>
      </c>
      <c r="AL507">
        <f t="shared" si="87"/>
        <v>0</v>
      </c>
    </row>
    <row r="508" spans="1:38">
      <c r="A508" t="s">
        <v>1651</v>
      </c>
      <c r="B508" t="s">
        <v>1652</v>
      </c>
      <c r="C508" s="1">
        <f t="shared" si="80"/>
        <v>45597</v>
      </c>
      <c r="D508" t="s">
        <v>1653</v>
      </c>
      <c r="E508">
        <v>222.4</v>
      </c>
      <c r="F508">
        <v>9.3000000000000007</v>
      </c>
      <c r="G508" t="s">
        <v>101</v>
      </c>
      <c r="H508" t="s">
        <v>102</v>
      </c>
      <c r="I508" t="s">
        <v>32</v>
      </c>
      <c r="J508">
        <v>240</v>
      </c>
      <c r="K508" t="s">
        <v>49</v>
      </c>
      <c r="L508" t="s">
        <v>34</v>
      </c>
      <c r="M508" t="s">
        <v>35</v>
      </c>
      <c r="N508" t="s">
        <v>138</v>
      </c>
      <c r="O508" t="s">
        <v>51</v>
      </c>
      <c r="P508" t="s">
        <v>38</v>
      </c>
      <c r="Q508" t="s">
        <v>38</v>
      </c>
      <c r="R508">
        <v>1</v>
      </c>
      <c r="S508" t="s">
        <v>38</v>
      </c>
      <c r="T508">
        <v>8</v>
      </c>
      <c r="U508">
        <v>0.2</v>
      </c>
      <c r="V508">
        <v>26.4</v>
      </c>
      <c r="W508" t="s">
        <v>39</v>
      </c>
      <c r="X508" t="s">
        <v>63</v>
      </c>
      <c r="Y508" t="s">
        <v>38</v>
      </c>
      <c r="Z508" t="s">
        <v>108</v>
      </c>
      <c r="AA508" t="s">
        <v>42</v>
      </c>
      <c r="AB508" t="s">
        <v>83</v>
      </c>
      <c r="AC508">
        <f t="shared" si="77"/>
        <v>0</v>
      </c>
      <c r="AD508" s="12">
        <f t="shared" si="81"/>
        <v>1</v>
      </c>
      <c r="AE508" s="12">
        <f t="shared" si="82"/>
        <v>0</v>
      </c>
      <c r="AF508">
        <f t="shared" si="78"/>
        <v>1</v>
      </c>
      <c r="AG508">
        <f t="shared" si="83"/>
        <v>0</v>
      </c>
      <c r="AH508">
        <f t="shared" si="84"/>
        <v>0</v>
      </c>
      <c r="AI508">
        <f t="shared" si="85"/>
        <v>0</v>
      </c>
      <c r="AJ508">
        <f t="shared" si="86"/>
        <v>1</v>
      </c>
      <c r="AK508">
        <f t="shared" si="79"/>
        <v>0</v>
      </c>
      <c r="AL508">
        <f t="shared" si="87"/>
        <v>1</v>
      </c>
    </row>
    <row r="509" spans="1:38">
      <c r="A509" t="s">
        <v>1654</v>
      </c>
      <c r="B509" t="s">
        <v>1655</v>
      </c>
      <c r="C509" s="1">
        <f t="shared" si="80"/>
        <v>45597</v>
      </c>
      <c r="D509" t="s">
        <v>1656</v>
      </c>
      <c r="E509">
        <v>250.6</v>
      </c>
      <c r="F509">
        <v>10.4</v>
      </c>
      <c r="G509" t="s">
        <v>77</v>
      </c>
      <c r="H509" t="s">
        <v>267</v>
      </c>
      <c r="I509" t="s">
        <v>79</v>
      </c>
      <c r="J509">
        <v>360</v>
      </c>
      <c r="K509" t="s">
        <v>49</v>
      </c>
      <c r="L509" t="s">
        <v>34</v>
      </c>
      <c r="M509" t="s">
        <v>35</v>
      </c>
      <c r="N509" t="s">
        <v>80</v>
      </c>
      <c r="O509" t="s">
        <v>51</v>
      </c>
      <c r="P509" t="s">
        <v>39</v>
      </c>
      <c r="Q509" t="s">
        <v>38</v>
      </c>
      <c r="R509">
        <v>0</v>
      </c>
      <c r="S509" t="s">
        <v>38</v>
      </c>
      <c r="T509">
        <v>10</v>
      </c>
      <c r="U509">
        <v>3.2</v>
      </c>
      <c r="V509">
        <v>42.1</v>
      </c>
      <c r="W509" t="s">
        <v>39</v>
      </c>
      <c r="X509" t="s">
        <v>123</v>
      </c>
      <c r="Y509" t="s">
        <v>39</v>
      </c>
      <c r="Z509" t="s">
        <v>81</v>
      </c>
      <c r="AA509" t="s">
        <v>54</v>
      </c>
      <c r="AB509" t="s">
        <v>43</v>
      </c>
      <c r="AC509">
        <f t="shared" si="77"/>
        <v>0</v>
      </c>
      <c r="AD509" s="12">
        <f t="shared" si="81"/>
        <v>0</v>
      </c>
      <c r="AE509" s="12">
        <f t="shared" si="82"/>
        <v>1</v>
      </c>
      <c r="AF509">
        <f t="shared" si="78"/>
        <v>1</v>
      </c>
      <c r="AG509">
        <f t="shared" si="83"/>
        <v>0</v>
      </c>
      <c r="AH509">
        <f t="shared" si="84"/>
        <v>0</v>
      </c>
      <c r="AI509">
        <f t="shared" si="85"/>
        <v>0</v>
      </c>
      <c r="AJ509">
        <f t="shared" si="86"/>
        <v>0</v>
      </c>
      <c r="AK509">
        <f t="shared" si="79"/>
        <v>0</v>
      </c>
      <c r="AL509">
        <f t="shared" si="87"/>
        <v>0</v>
      </c>
    </row>
    <row r="510" spans="1:38">
      <c r="A510" t="s">
        <v>1657</v>
      </c>
      <c r="B510" t="s">
        <v>1658</v>
      </c>
      <c r="C510" s="1">
        <f t="shared" si="80"/>
        <v>45413</v>
      </c>
      <c r="D510" t="s">
        <v>1659</v>
      </c>
      <c r="E510">
        <v>334.1</v>
      </c>
      <c r="F510">
        <v>13.9</v>
      </c>
      <c r="G510" t="s">
        <v>93</v>
      </c>
      <c r="H510" t="s">
        <v>163</v>
      </c>
      <c r="I510" t="s">
        <v>79</v>
      </c>
      <c r="J510">
        <v>360</v>
      </c>
      <c r="K510" t="s">
        <v>49</v>
      </c>
      <c r="L510" t="s">
        <v>96</v>
      </c>
      <c r="M510" t="s">
        <v>71</v>
      </c>
      <c r="N510" t="s">
        <v>72</v>
      </c>
      <c r="O510" t="s">
        <v>51</v>
      </c>
      <c r="P510" t="s">
        <v>38</v>
      </c>
      <c r="Q510" t="s">
        <v>39</v>
      </c>
      <c r="R510">
        <v>2</v>
      </c>
      <c r="S510" t="s">
        <v>38</v>
      </c>
      <c r="T510">
        <v>8</v>
      </c>
      <c r="U510">
        <v>5.8</v>
      </c>
      <c r="V510">
        <v>7.3</v>
      </c>
      <c r="W510" t="s">
        <v>39</v>
      </c>
      <c r="X510" t="s">
        <v>52</v>
      </c>
      <c r="Y510" t="s">
        <v>38</v>
      </c>
      <c r="Z510" t="s">
        <v>179</v>
      </c>
      <c r="AA510" t="s">
        <v>42</v>
      </c>
      <c r="AB510" t="s">
        <v>83</v>
      </c>
      <c r="AC510">
        <f t="shared" si="77"/>
        <v>1</v>
      </c>
      <c r="AD510" s="12">
        <f t="shared" si="81"/>
        <v>0</v>
      </c>
      <c r="AE510" s="12">
        <f t="shared" si="82"/>
        <v>0</v>
      </c>
      <c r="AF510">
        <f t="shared" si="78"/>
        <v>1</v>
      </c>
      <c r="AG510">
        <f t="shared" si="83"/>
        <v>0</v>
      </c>
      <c r="AH510">
        <f t="shared" si="84"/>
        <v>0</v>
      </c>
      <c r="AI510">
        <f t="shared" si="85"/>
        <v>0</v>
      </c>
      <c r="AJ510">
        <f t="shared" si="86"/>
        <v>0</v>
      </c>
      <c r="AK510">
        <f t="shared" si="79"/>
        <v>0</v>
      </c>
      <c r="AL510">
        <f t="shared" si="87"/>
        <v>1</v>
      </c>
    </row>
    <row r="511" spans="1:38">
      <c r="A511" t="s">
        <v>1660</v>
      </c>
      <c r="B511" t="s">
        <v>1661</v>
      </c>
      <c r="C511" s="1">
        <f t="shared" si="80"/>
        <v>45292</v>
      </c>
      <c r="D511" t="s">
        <v>1662</v>
      </c>
      <c r="E511">
        <v>261.5</v>
      </c>
      <c r="F511">
        <v>10.9</v>
      </c>
      <c r="G511" t="s">
        <v>77</v>
      </c>
      <c r="H511" t="s">
        <v>78</v>
      </c>
      <c r="I511" t="s">
        <v>32</v>
      </c>
      <c r="J511">
        <v>240</v>
      </c>
      <c r="K511" t="s">
        <v>33</v>
      </c>
      <c r="L511" t="s">
        <v>34</v>
      </c>
      <c r="M511" t="s">
        <v>35</v>
      </c>
      <c r="N511" t="s">
        <v>277</v>
      </c>
      <c r="O511" t="s">
        <v>7232</v>
      </c>
      <c r="P511" t="s">
        <v>38</v>
      </c>
      <c r="Q511" t="s">
        <v>38</v>
      </c>
      <c r="R511">
        <v>1</v>
      </c>
      <c r="S511" t="s">
        <v>38</v>
      </c>
      <c r="T511">
        <v>5</v>
      </c>
      <c r="U511">
        <v>4.2</v>
      </c>
      <c r="V511">
        <v>12.2</v>
      </c>
      <c r="W511" t="s">
        <v>39</v>
      </c>
      <c r="X511" t="s">
        <v>63</v>
      </c>
      <c r="Y511" t="s">
        <v>38</v>
      </c>
      <c r="Z511" t="s">
        <v>81</v>
      </c>
      <c r="AA511" t="s">
        <v>103</v>
      </c>
      <c r="AB511" t="s">
        <v>55</v>
      </c>
      <c r="AC511">
        <f t="shared" si="77"/>
        <v>0</v>
      </c>
      <c r="AD511" s="12">
        <f t="shared" si="81"/>
        <v>1</v>
      </c>
      <c r="AE511" s="12">
        <f t="shared" si="82"/>
        <v>0</v>
      </c>
      <c r="AF511">
        <f t="shared" si="78"/>
        <v>0</v>
      </c>
      <c r="AG511">
        <f t="shared" si="83"/>
        <v>1</v>
      </c>
      <c r="AH511">
        <f t="shared" si="84"/>
        <v>0</v>
      </c>
      <c r="AI511">
        <f t="shared" si="85"/>
        <v>0</v>
      </c>
      <c r="AJ511">
        <f t="shared" si="86"/>
        <v>1</v>
      </c>
      <c r="AK511">
        <f t="shared" si="79"/>
        <v>0</v>
      </c>
      <c r="AL511">
        <f t="shared" si="87"/>
        <v>1</v>
      </c>
    </row>
    <row r="512" spans="1:38">
      <c r="A512" t="s">
        <v>1663</v>
      </c>
      <c r="B512" t="s">
        <v>1664</v>
      </c>
      <c r="C512" s="1">
        <f t="shared" si="80"/>
        <v>45597</v>
      </c>
      <c r="D512" t="s">
        <v>1665</v>
      </c>
      <c r="E512">
        <v>250.8</v>
      </c>
      <c r="F512">
        <v>10.5</v>
      </c>
      <c r="G512" t="s">
        <v>77</v>
      </c>
      <c r="H512" t="s">
        <v>78</v>
      </c>
      <c r="I512" t="s">
        <v>79</v>
      </c>
      <c r="J512">
        <v>360</v>
      </c>
      <c r="K512" t="s">
        <v>49</v>
      </c>
      <c r="L512" t="s">
        <v>70</v>
      </c>
      <c r="M512" t="s">
        <v>35</v>
      </c>
      <c r="N512" t="s">
        <v>80</v>
      </c>
      <c r="O512" t="s">
        <v>51</v>
      </c>
      <c r="P512" t="s">
        <v>39</v>
      </c>
      <c r="Q512" t="s">
        <v>38</v>
      </c>
      <c r="R512">
        <v>0</v>
      </c>
      <c r="S512" t="s">
        <v>38</v>
      </c>
      <c r="T512">
        <v>9</v>
      </c>
      <c r="U512">
        <v>2.8</v>
      </c>
      <c r="V512">
        <v>8.6999999999999993</v>
      </c>
      <c r="W512" t="s">
        <v>39</v>
      </c>
      <c r="X512" t="s">
        <v>123</v>
      </c>
      <c r="Y512" t="s">
        <v>38</v>
      </c>
      <c r="Z512" t="s">
        <v>64</v>
      </c>
      <c r="AA512" t="s">
        <v>42</v>
      </c>
      <c r="AB512" t="s">
        <v>83</v>
      </c>
      <c r="AC512">
        <f t="shared" si="77"/>
        <v>0</v>
      </c>
      <c r="AD512" s="12">
        <f t="shared" si="81"/>
        <v>0</v>
      </c>
      <c r="AE512" s="12">
        <f t="shared" si="82"/>
        <v>1</v>
      </c>
      <c r="AF512">
        <f t="shared" si="78"/>
        <v>1</v>
      </c>
      <c r="AG512">
        <f t="shared" si="83"/>
        <v>0</v>
      </c>
      <c r="AH512">
        <f t="shared" si="84"/>
        <v>0</v>
      </c>
      <c r="AI512">
        <f t="shared" si="85"/>
        <v>0</v>
      </c>
      <c r="AJ512">
        <f t="shared" si="86"/>
        <v>0</v>
      </c>
      <c r="AK512">
        <f t="shared" si="79"/>
        <v>0</v>
      </c>
      <c r="AL512">
        <f t="shared" si="87"/>
        <v>1</v>
      </c>
    </row>
    <row r="513" spans="1:38">
      <c r="A513" t="s">
        <v>1666</v>
      </c>
      <c r="B513" t="s">
        <v>1667</v>
      </c>
      <c r="C513" s="1">
        <f t="shared" si="80"/>
        <v>45413</v>
      </c>
      <c r="D513" t="s">
        <v>1668</v>
      </c>
      <c r="E513">
        <v>235.8</v>
      </c>
      <c r="F513">
        <v>9.8000000000000007</v>
      </c>
      <c r="G513" t="s">
        <v>77</v>
      </c>
      <c r="H513" t="s">
        <v>267</v>
      </c>
      <c r="I513" t="s">
        <v>79</v>
      </c>
      <c r="J513">
        <v>360</v>
      </c>
      <c r="K513" t="s">
        <v>49</v>
      </c>
      <c r="L513" t="s">
        <v>34</v>
      </c>
      <c r="M513" t="s">
        <v>35</v>
      </c>
      <c r="N513" t="s">
        <v>134</v>
      </c>
      <c r="O513" t="s">
        <v>7232</v>
      </c>
      <c r="P513" t="s">
        <v>39</v>
      </c>
      <c r="Q513" t="s">
        <v>38</v>
      </c>
      <c r="R513">
        <v>0</v>
      </c>
      <c r="S513" t="s">
        <v>38</v>
      </c>
      <c r="T513">
        <v>10</v>
      </c>
      <c r="U513">
        <v>2.5</v>
      </c>
      <c r="V513">
        <v>21.1</v>
      </c>
      <c r="W513" t="s">
        <v>39</v>
      </c>
      <c r="X513" t="s">
        <v>52</v>
      </c>
      <c r="Y513" t="s">
        <v>38</v>
      </c>
      <c r="Z513" t="s">
        <v>53</v>
      </c>
      <c r="AA513" t="s">
        <v>82</v>
      </c>
      <c r="AB513" t="s">
        <v>83</v>
      </c>
      <c r="AC513">
        <f t="shared" si="77"/>
        <v>1</v>
      </c>
      <c r="AD513" s="12">
        <f t="shared" si="81"/>
        <v>0</v>
      </c>
      <c r="AE513" s="12">
        <f t="shared" si="82"/>
        <v>0</v>
      </c>
      <c r="AF513">
        <f t="shared" si="78"/>
        <v>0</v>
      </c>
      <c r="AG513">
        <f t="shared" si="83"/>
        <v>1</v>
      </c>
      <c r="AH513">
        <f t="shared" si="84"/>
        <v>0</v>
      </c>
      <c r="AI513">
        <f t="shared" si="85"/>
        <v>0</v>
      </c>
      <c r="AJ513">
        <f t="shared" si="86"/>
        <v>0</v>
      </c>
      <c r="AK513">
        <f t="shared" si="79"/>
        <v>0</v>
      </c>
      <c r="AL513">
        <f t="shared" si="87"/>
        <v>1</v>
      </c>
    </row>
    <row r="514" spans="1:38">
      <c r="A514" t="s">
        <v>1669</v>
      </c>
      <c r="B514" t="s">
        <v>1670</v>
      </c>
      <c r="C514" s="1">
        <f t="shared" si="80"/>
        <v>45383</v>
      </c>
      <c r="D514" t="s">
        <v>1671</v>
      </c>
      <c r="E514">
        <v>384.8</v>
      </c>
      <c r="F514">
        <v>16</v>
      </c>
      <c r="G514" t="s">
        <v>59</v>
      </c>
      <c r="H514" t="s">
        <v>466</v>
      </c>
      <c r="I514" t="s">
        <v>79</v>
      </c>
      <c r="J514">
        <v>360</v>
      </c>
      <c r="K514" t="s">
        <v>33</v>
      </c>
      <c r="L514" t="s">
        <v>113</v>
      </c>
      <c r="M514" t="s">
        <v>71</v>
      </c>
      <c r="N514" t="s">
        <v>128</v>
      </c>
      <c r="O514" t="s">
        <v>51</v>
      </c>
      <c r="P514" t="s">
        <v>38</v>
      </c>
      <c r="Q514" t="s">
        <v>39</v>
      </c>
      <c r="R514">
        <v>3</v>
      </c>
      <c r="S514" t="s">
        <v>38</v>
      </c>
      <c r="T514">
        <v>5</v>
      </c>
      <c r="U514">
        <v>3.5</v>
      </c>
      <c r="V514">
        <v>23.1</v>
      </c>
      <c r="W514" t="s">
        <v>39</v>
      </c>
      <c r="X514" t="s">
        <v>52</v>
      </c>
      <c r="Y514" t="s">
        <v>39</v>
      </c>
      <c r="Z514" t="s">
        <v>108</v>
      </c>
      <c r="AA514" t="s">
        <v>103</v>
      </c>
      <c r="AB514" t="s">
        <v>43</v>
      </c>
      <c r="AC514">
        <f t="shared" ref="AC514:AC577" si="88">IF(X514="Poor", 1, 0)</f>
        <v>1</v>
      </c>
      <c r="AD514" s="12">
        <f t="shared" si="81"/>
        <v>0</v>
      </c>
      <c r="AE514" s="12">
        <f t="shared" si="82"/>
        <v>0</v>
      </c>
      <c r="AF514">
        <f t="shared" ref="AF514:AF577" si="89">IF(O514="Junior", 1, 0)</f>
        <v>1</v>
      </c>
      <c r="AG514">
        <f t="shared" si="83"/>
        <v>0</v>
      </c>
      <c r="AH514">
        <f t="shared" si="84"/>
        <v>0</v>
      </c>
      <c r="AI514">
        <f t="shared" si="85"/>
        <v>0</v>
      </c>
      <c r="AJ514">
        <f t="shared" si="86"/>
        <v>0</v>
      </c>
      <c r="AK514">
        <f t="shared" ref="AK514:AK577" si="90">IF(G514="Access Requests", 1, 0)</f>
        <v>0</v>
      </c>
      <c r="AL514">
        <f t="shared" si="87"/>
        <v>0</v>
      </c>
    </row>
    <row r="515" spans="1:38">
      <c r="A515" t="s">
        <v>1672</v>
      </c>
      <c r="B515" t="s">
        <v>1673</v>
      </c>
      <c r="C515" s="1">
        <f t="shared" ref="C515:C578" si="91">DATE(YEAR(B515),MONTH(B515),1)</f>
        <v>45323</v>
      </c>
      <c r="D515" t="s">
        <v>1674</v>
      </c>
      <c r="E515">
        <v>308.89999999999998</v>
      </c>
      <c r="F515">
        <v>12.9</v>
      </c>
      <c r="G515" t="s">
        <v>142</v>
      </c>
      <c r="H515" t="s">
        <v>319</v>
      </c>
      <c r="I515" t="s">
        <v>79</v>
      </c>
      <c r="J515">
        <v>360</v>
      </c>
      <c r="K515" t="s">
        <v>49</v>
      </c>
      <c r="L515" t="s">
        <v>70</v>
      </c>
      <c r="M515" t="s">
        <v>35</v>
      </c>
      <c r="N515" t="s">
        <v>89</v>
      </c>
      <c r="O515" t="s">
        <v>51</v>
      </c>
      <c r="P515" t="s">
        <v>38</v>
      </c>
      <c r="Q515" t="s">
        <v>38</v>
      </c>
      <c r="R515">
        <v>1</v>
      </c>
      <c r="S515" t="s">
        <v>38</v>
      </c>
      <c r="T515">
        <v>9</v>
      </c>
      <c r="U515">
        <v>3.2</v>
      </c>
      <c r="V515">
        <v>24.9</v>
      </c>
      <c r="W515" t="s">
        <v>38</v>
      </c>
      <c r="X515" t="s">
        <v>52</v>
      </c>
      <c r="Y515" t="s">
        <v>39</v>
      </c>
      <c r="Z515" t="s">
        <v>81</v>
      </c>
      <c r="AA515" t="s">
        <v>109</v>
      </c>
      <c r="AB515" t="s">
        <v>83</v>
      </c>
      <c r="AC515">
        <f t="shared" si="88"/>
        <v>1</v>
      </c>
      <c r="AD515" s="12">
        <f t="shared" ref="AD515:AD578" si="92">IF(X515="Fair", 1, 0)</f>
        <v>0</v>
      </c>
      <c r="AE515" s="12">
        <f t="shared" ref="AE515:AE578" si="93">IF(X515="Good", 1, 0)</f>
        <v>0</v>
      </c>
      <c r="AF515">
        <f t="shared" si="89"/>
        <v>1</v>
      </c>
      <c r="AG515">
        <f t="shared" ref="AG515:AG578" si="94">IF(O515="Mid", 1, 0)</f>
        <v>0</v>
      </c>
      <c r="AH515">
        <f t="shared" ref="AH515:AH578" si="95">IF(I515="High", 1, 0)</f>
        <v>0</v>
      </c>
      <c r="AI515">
        <f t="shared" ref="AI515:AI578" si="96">IF(I515="Critical", 1, 0)</f>
        <v>0</v>
      </c>
      <c r="AJ515">
        <f t="shared" ref="AJ515:AJ578" si="97">IF(I515="Medium", 1, 0)</f>
        <v>0</v>
      </c>
      <c r="AK515">
        <f t="shared" si="90"/>
        <v>0</v>
      </c>
      <c r="AL515">
        <f t="shared" ref="AL515:AL578" si="98">IF(Y515="No", 1, 0)</f>
        <v>0</v>
      </c>
    </row>
    <row r="516" spans="1:38">
      <c r="A516" t="s">
        <v>1675</v>
      </c>
      <c r="B516" t="s">
        <v>1676</v>
      </c>
      <c r="C516" s="1">
        <f t="shared" si="91"/>
        <v>45383</v>
      </c>
      <c r="D516" t="s">
        <v>1677</v>
      </c>
      <c r="E516">
        <v>157.6</v>
      </c>
      <c r="F516">
        <v>6.6</v>
      </c>
      <c r="G516" t="s">
        <v>68</v>
      </c>
      <c r="H516" t="s">
        <v>69</v>
      </c>
      <c r="I516" t="s">
        <v>48</v>
      </c>
      <c r="J516">
        <v>120</v>
      </c>
      <c r="K516" t="s">
        <v>33</v>
      </c>
      <c r="L516" t="s">
        <v>70</v>
      </c>
      <c r="M516" t="s">
        <v>35</v>
      </c>
      <c r="N516" t="s">
        <v>138</v>
      </c>
      <c r="O516" t="s">
        <v>7232</v>
      </c>
      <c r="P516" t="s">
        <v>38</v>
      </c>
      <c r="Q516" t="s">
        <v>38</v>
      </c>
      <c r="R516">
        <v>1</v>
      </c>
      <c r="S516" t="s">
        <v>38</v>
      </c>
      <c r="T516">
        <v>5</v>
      </c>
      <c r="U516">
        <v>4.3</v>
      </c>
      <c r="V516">
        <v>8.3000000000000007</v>
      </c>
      <c r="W516" t="s">
        <v>38</v>
      </c>
      <c r="X516" t="s">
        <v>63</v>
      </c>
      <c r="Y516" t="s">
        <v>39</v>
      </c>
      <c r="Z516" t="s">
        <v>81</v>
      </c>
      <c r="AA516" t="s">
        <v>103</v>
      </c>
      <c r="AB516" t="s">
        <v>55</v>
      </c>
      <c r="AC516">
        <f t="shared" si="88"/>
        <v>0</v>
      </c>
      <c r="AD516" s="12">
        <f t="shared" si="92"/>
        <v>1</v>
      </c>
      <c r="AE516" s="12">
        <f t="shared" si="93"/>
        <v>0</v>
      </c>
      <c r="AF516">
        <f t="shared" si="89"/>
        <v>0</v>
      </c>
      <c r="AG516">
        <f t="shared" si="94"/>
        <v>1</v>
      </c>
      <c r="AH516">
        <f t="shared" si="95"/>
        <v>1</v>
      </c>
      <c r="AI516">
        <f t="shared" si="96"/>
        <v>0</v>
      </c>
      <c r="AJ516">
        <f t="shared" si="97"/>
        <v>0</v>
      </c>
      <c r="AK516">
        <f t="shared" si="90"/>
        <v>0</v>
      </c>
      <c r="AL516">
        <f t="shared" si="98"/>
        <v>0</v>
      </c>
    </row>
    <row r="517" spans="1:38">
      <c r="A517" t="s">
        <v>1678</v>
      </c>
      <c r="B517" t="s">
        <v>1679</v>
      </c>
      <c r="C517" s="1">
        <f t="shared" si="91"/>
        <v>45413</v>
      </c>
      <c r="D517" t="s">
        <v>1680</v>
      </c>
      <c r="E517">
        <v>674.9</v>
      </c>
      <c r="F517">
        <v>28.1</v>
      </c>
      <c r="G517" t="s">
        <v>101</v>
      </c>
      <c r="H517" t="s">
        <v>442</v>
      </c>
      <c r="I517" t="s">
        <v>32</v>
      </c>
      <c r="J517">
        <v>240</v>
      </c>
      <c r="K517" t="s">
        <v>33</v>
      </c>
      <c r="L517" t="s">
        <v>96</v>
      </c>
      <c r="M517" t="s">
        <v>71</v>
      </c>
      <c r="N517" t="s">
        <v>155</v>
      </c>
      <c r="O517" t="s">
        <v>51</v>
      </c>
      <c r="P517" t="s">
        <v>38</v>
      </c>
      <c r="Q517" t="s">
        <v>39</v>
      </c>
      <c r="R517">
        <v>3</v>
      </c>
      <c r="S517" t="s">
        <v>38</v>
      </c>
      <c r="T517">
        <v>8</v>
      </c>
      <c r="U517">
        <v>2.6</v>
      </c>
      <c r="V517">
        <v>14.2</v>
      </c>
      <c r="W517" t="s">
        <v>38</v>
      </c>
      <c r="X517" t="s">
        <v>63</v>
      </c>
      <c r="Y517" t="s">
        <v>39</v>
      </c>
      <c r="Z517" t="s">
        <v>64</v>
      </c>
      <c r="AA517" t="s">
        <v>82</v>
      </c>
      <c r="AB517" t="s">
        <v>55</v>
      </c>
      <c r="AC517">
        <f t="shared" si="88"/>
        <v>0</v>
      </c>
      <c r="AD517" s="12">
        <f t="shared" si="92"/>
        <v>1</v>
      </c>
      <c r="AE517" s="12">
        <f t="shared" si="93"/>
        <v>0</v>
      </c>
      <c r="AF517">
        <f t="shared" si="89"/>
        <v>1</v>
      </c>
      <c r="AG517">
        <f t="shared" si="94"/>
        <v>0</v>
      </c>
      <c r="AH517">
        <f t="shared" si="95"/>
        <v>0</v>
      </c>
      <c r="AI517">
        <f t="shared" si="96"/>
        <v>0</v>
      </c>
      <c r="AJ517">
        <f t="shared" si="97"/>
        <v>1</v>
      </c>
      <c r="AK517">
        <f t="shared" si="90"/>
        <v>0</v>
      </c>
      <c r="AL517">
        <f t="shared" si="98"/>
        <v>0</v>
      </c>
    </row>
    <row r="518" spans="1:38">
      <c r="A518" t="s">
        <v>1681</v>
      </c>
      <c r="B518" t="s">
        <v>1682</v>
      </c>
      <c r="C518" s="1">
        <f t="shared" si="91"/>
        <v>45597</v>
      </c>
      <c r="D518" t="s">
        <v>1683</v>
      </c>
      <c r="E518">
        <v>43.5</v>
      </c>
      <c r="F518">
        <v>1.8</v>
      </c>
      <c r="G518" t="s">
        <v>87</v>
      </c>
      <c r="H518" t="s">
        <v>183</v>
      </c>
      <c r="I518" t="s">
        <v>95</v>
      </c>
      <c r="J518">
        <v>48</v>
      </c>
      <c r="K518" t="s">
        <v>49</v>
      </c>
      <c r="L518" t="s">
        <v>96</v>
      </c>
      <c r="M518" t="s">
        <v>71</v>
      </c>
      <c r="N518" t="s">
        <v>128</v>
      </c>
      <c r="O518" t="s">
        <v>37</v>
      </c>
      <c r="P518" t="s">
        <v>38</v>
      </c>
      <c r="Q518" t="s">
        <v>39</v>
      </c>
      <c r="R518">
        <v>1</v>
      </c>
      <c r="S518" t="s">
        <v>39</v>
      </c>
      <c r="T518">
        <v>9</v>
      </c>
      <c r="U518">
        <v>1.9</v>
      </c>
      <c r="V518">
        <v>8.9</v>
      </c>
      <c r="W518" t="s">
        <v>39</v>
      </c>
      <c r="X518" t="s">
        <v>63</v>
      </c>
      <c r="Y518" t="s">
        <v>39</v>
      </c>
      <c r="Z518" t="s">
        <v>115</v>
      </c>
      <c r="AA518" t="s">
        <v>42</v>
      </c>
      <c r="AB518" t="s">
        <v>55</v>
      </c>
      <c r="AC518">
        <f t="shared" si="88"/>
        <v>0</v>
      </c>
      <c r="AD518" s="12">
        <f t="shared" si="92"/>
        <v>1</v>
      </c>
      <c r="AE518" s="12">
        <f t="shared" si="93"/>
        <v>0</v>
      </c>
      <c r="AF518">
        <f t="shared" si="89"/>
        <v>0</v>
      </c>
      <c r="AG518">
        <f t="shared" si="94"/>
        <v>0</v>
      </c>
      <c r="AH518">
        <f t="shared" si="95"/>
        <v>0</v>
      </c>
      <c r="AI518">
        <f t="shared" si="96"/>
        <v>1</v>
      </c>
      <c r="AJ518">
        <f t="shared" si="97"/>
        <v>0</v>
      </c>
      <c r="AK518">
        <f t="shared" si="90"/>
        <v>0</v>
      </c>
      <c r="AL518">
        <f t="shared" si="98"/>
        <v>0</v>
      </c>
    </row>
    <row r="519" spans="1:38">
      <c r="A519" t="s">
        <v>1684</v>
      </c>
      <c r="B519" t="s">
        <v>1685</v>
      </c>
      <c r="C519" s="1">
        <f t="shared" si="91"/>
        <v>45383</v>
      </c>
      <c r="D519" t="s">
        <v>1686</v>
      </c>
      <c r="E519">
        <v>194.8</v>
      </c>
      <c r="F519">
        <v>8.1</v>
      </c>
      <c r="G519" t="s">
        <v>142</v>
      </c>
      <c r="H519" t="s">
        <v>729</v>
      </c>
      <c r="I519" t="s">
        <v>32</v>
      </c>
      <c r="J519">
        <v>240</v>
      </c>
      <c r="K519" t="s">
        <v>49</v>
      </c>
      <c r="L519" t="s">
        <v>113</v>
      </c>
      <c r="M519" t="s">
        <v>35</v>
      </c>
      <c r="N519" t="s">
        <v>414</v>
      </c>
      <c r="O519" t="s">
        <v>51</v>
      </c>
      <c r="P519" t="s">
        <v>39</v>
      </c>
      <c r="Q519" t="s">
        <v>38</v>
      </c>
      <c r="R519">
        <v>0</v>
      </c>
      <c r="S519" t="s">
        <v>38</v>
      </c>
      <c r="T519">
        <v>10</v>
      </c>
      <c r="U519">
        <v>2.4</v>
      </c>
      <c r="V519">
        <v>42.2</v>
      </c>
      <c r="W519" t="s">
        <v>39</v>
      </c>
      <c r="X519" t="s">
        <v>63</v>
      </c>
      <c r="Y519" t="s">
        <v>39</v>
      </c>
      <c r="Z519" t="s">
        <v>53</v>
      </c>
      <c r="AA519" t="s">
        <v>109</v>
      </c>
      <c r="AB519" t="s">
        <v>55</v>
      </c>
      <c r="AC519">
        <f t="shared" si="88"/>
        <v>0</v>
      </c>
      <c r="AD519" s="12">
        <f t="shared" si="92"/>
        <v>1</v>
      </c>
      <c r="AE519" s="12">
        <f t="shared" si="93"/>
        <v>0</v>
      </c>
      <c r="AF519">
        <f t="shared" si="89"/>
        <v>1</v>
      </c>
      <c r="AG519">
        <f t="shared" si="94"/>
        <v>0</v>
      </c>
      <c r="AH519">
        <f t="shared" si="95"/>
        <v>0</v>
      </c>
      <c r="AI519">
        <f t="shared" si="96"/>
        <v>0</v>
      </c>
      <c r="AJ519">
        <f t="shared" si="97"/>
        <v>1</v>
      </c>
      <c r="AK519">
        <f t="shared" si="90"/>
        <v>0</v>
      </c>
      <c r="AL519">
        <f t="shared" si="98"/>
        <v>0</v>
      </c>
    </row>
    <row r="520" spans="1:38">
      <c r="A520" t="s">
        <v>1687</v>
      </c>
      <c r="B520" t="s">
        <v>1688</v>
      </c>
      <c r="C520" s="1">
        <f t="shared" si="91"/>
        <v>45444</v>
      </c>
      <c r="D520" t="s">
        <v>1689</v>
      </c>
      <c r="E520">
        <v>450.1</v>
      </c>
      <c r="F520">
        <v>18.8</v>
      </c>
      <c r="G520" t="s">
        <v>77</v>
      </c>
      <c r="H520" t="s">
        <v>267</v>
      </c>
      <c r="I520" t="s">
        <v>79</v>
      </c>
      <c r="J520">
        <v>360</v>
      </c>
      <c r="K520" t="s">
        <v>33</v>
      </c>
      <c r="L520" t="s">
        <v>96</v>
      </c>
      <c r="M520" t="s">
        <v>35</v>
      </c>
      <c r="N520" t="s">
        <v>114</v>
      </c>
      <c r="O520" t="s">
        <v>7232</v>
      </c>
      <c r="P520" t="s">
        <v>39</v>
      </c>
      <c r="Q520" t="s">
        <v>38</v>
      </c>
      <c r="R520">
        <v>0</v>
      </c>
      <c r="S520" t="s">
        <v>38</v>
      </c>
      <c r="T520">
        <v>7</v>
      </c>
      <c r="U520">
        <v>2.7</v>
      </c>
      <c r="V520">
        <v>37.5</v>
      </c>
      <c r="W520" t="s">
        <v>39</v>
      </c>
      <c r="X520" t="s">
        <v>52</v>
      </c>
      <c r="Y520" t="s">
        <v>39</v>
      </c>
      <c r="Z520" t="s">
        <v>64</v>
      </c>
      <c r="AA520" t="s">
        <v>109</v>
      </c>
      <c r="AB520" t="s">
        <v>83</v>
      </c>
      <c r="AC520">
        <f t="shared" si="88"/>
        <v>1</v>
      </c>
      <c r="AD520" s="12">
        <f t="shared" si="92"/>
        <v>0</v>
      </c>
      <c r="AE520" s="12">
        <f t="shared" si="93"/>
        <v>0</v>
      </c>
      <c r="AF520">
        <f t="shared" si="89"/>
        <v>0</v>
      </c>
      <c r="AG520">
        <f t="shared" si="94"/>
        <v>1</v>
      </c>
      <c r="AH520">
        <f t="shared" si="95"/>
        <v>0</v>
      </c>
      <c r="AI520">
        <f t="shared" si="96"/>
        <v>0</v>
      </c>
      <c r="AJ520">
        <f t="shared" si="97"/>
        <v>0</v>
      </c>
      <c r="AK520">
        <f t="shared" si="90"/>
        <v>0</v>
      </c>
      <c r="AL520">
        <f t="shared" si="98"/>
        <v>0</v>
      </c>
    </row>
    <row r="521" spans="1:38">
      <c r="A521" t="s">
        <v>1690</v>
      </c>
      <c r="B521" t="s">
        <v>1691</v>
      </c>
      <c r="C521" s="1">
        <f t="shared" si="91"/>
        <v>45352</v>
      </c>
      <c r="D521" t="s">
        <v>1692</v>
      </c>
      <c r="E521">
        <v>73.400000000000006</v>
      </c>
      <c r="F521">
        <v>3.1</v>
      </c>
      <c r="G521" t="s">
        <v>101</v>
      </c>
      <c r="H521" t="s">
        <v>102</v>
      </c>
      <c r="I521" t="s">
        <v>48</v>
      </c>
      <c r="J521">
        <v>120</v>
      </c>
      <c r="K521" t="s">
        <v>49</v>
      </c>
      <c r="L521" t="s">
        <v>96</v>
      </c>
      <c r="M521" t="s">
        <v>35</v>
      </c>
      <c r="N521" t="s">
        <v>202</v>
      </c>
      <c r="O521" t="s">
        <v>7232</v>
      </c>
      <c r="P521" t="s">
        <v>38</v>
      </c>
      <c r="Q521" t="s">
        <v>38</v>
      </c>
      <c r="R521">
        <v>1</v>
      </c>
      <c r="S521" t="s">
        <v>38</v>
      </c>
      <c r="T521">
        <v>8</v>
      </c>
      <c r="U521">
        <v>2.7</v>
      </c>
      <c r="V521">
        <v>22.1</v>
      </c>
      <c r="W521" t="s">
        <v>39</v>
      </c>
      <c r="X521" t="s">
        <v>52</v>
      </c>
      <c r="Y521" t="s">
        <v>39</v>
      </c>
      <c r="Z521" t="s">
        <v>108</v>
      </c>
      <c r="AA521" t="s">
        <v>82</v>
      </c>
      <c r="AB521" t="s">
        <v>83</v>
      </c>
      <c r="AC521">
        <f t="shared" si="88"/>
        <v>1</v>
      </c>
      <c r="AD521" s="12">
        <f t="shared" si="92"/>
        <v>0</v>
      </c>
      <c r="AE521" s="12">
        <f t="shared" si="93"/>
        <v>0</v>
      </c>
      <c r="AF521">
        <f t="shared" si="89"/>
        <v>0</v>
      </c>
      <c r="AG521">
        <f t="shared" si="94"/>
        <v>1</v>
      </c>
      <c r="AH521">
        <f t="shared" si="95"/>
        <v>1</v>
      </c>
      <c r="AI521">
        <f t="shared" si="96"/>
        <v>0</v>
      </c>
      <c r="AJ521">
        <f t="shared" si="97"/>
        <v>0</v>
      </c>
      <c r="AK521">
        <f t="shared" si="90"/>
        <v>0</v>
      </c>
      <c r="AL521">
        <f t="shared" si="98"/>
        <v>0</v>
      </c>
    </row>
    <row r="522" spans="1:38">
      <c r="A522" t="s">
        <v>1693</v>
      </c>
      <c r="B522" t="s">
        <v>1694</v>
      </c>
      <c r="C522" s="1">
        <f t="shared" si="91"/>
        <v>45474</v>
      </c>
      <c r="D522" t="s">
        <v>1695</v>
      </c>
      <c r="E522">
        <v>249.9</v>
      </c>
      <c r="F522">
        <v>10.4</v>
      </c>
      <c r="G522" t="s">
        <v>59</v>
      </c>
      <c r="H522" t="s">
        <v>60</v>
      </c>
      <c r="I522" t="s">
        <v>79</v>
      </c>
      <c r="J522">
        <v>360</v>
      </c>
      <c r="K522" t="s">
        <v>49</v>
      </c>
      <c r="L522" t="s">
        <v>70</v>
      </c>
      <c r="M522" t="s">
        <v>71</v>
      </c>
      <c r="N522" t="s">
        <v>89</v>
      </c>
      <c r="O522" t="s">
        <v>7232</v>
      </c>
      <c r="P522" t="s">
        <v>38</v>
      </c>
      <c r="Q522" t="s">
        <v>39</v>
      </c>
      <c r="R522">
        <v>3</v>
      </c>
      <c r="S522" t="s">
        <v>38</v>
      </c>
      <c r="T522">
        <v>10</v>
      </c>
      <c r="U522">
        <v>2.6</v>
      </c>
      <c r="V522">
        <v>8.9</v>
      </c>
      <c r="W522" t="s">
        <v>38</v>
      </c>
      <c r="X522" t="s">
        <v>40</v>
      </c>
      <c r="Y522" t="s">
        <v>38</v>
      </c>
      <c r="Z522" t="s">
        <v>81</v>
      </c>
      <c r="AA522" t="s">
        <v>42</v>
      </c>
      <c r="AB522" t="s">
        <v>55</v>
      </c>
      <c r="AC522">
        <f t="shared" si="88"/>
        <v>0</v>
      </c>
      <c r="AD522" s="12">
        <f t="shared" si="92"/>
        <v>0</v>
      </c>
      <c r="AE522" s="12">
        <f t="shared" si="93"/>
        <v>0</v>
      </c>
      <c r="AF522">
        <f t="shared" si="89"/>
        <v>0</v>
      </c>
      <c r="AG522">
        <f t="shared" si="94"/>
        <v>1</v>
      </c>
      <c r="AH522">
        <f t="shared" si="95"/>
        <v>0</v>
      </c>
      <c r="AI522">
        <f t="shared" si="96"/>
        <v>0</v>
      </c>
      <c r="AJ522">
        <f t="shared" si="97"/>
        <v>0</v>
      </c>
      <c r="AK522">
        <f t="shared" si="90"/>
        <v>0</v>
      </c>
      <c r="AL522">
        <f t="shared" si="98"/>
        <v>1</v>
      </c>
    </row>
    <row r="523" spans="1:38">
      <c r="A523" t="s">
        <v>1696</v>
      </c>
      <c r="B523" t="s">
        <v>1697</v>
      </c>
      <c r="C523" s="1">
        <f t="shared" si="91"/>
        <v>45413</v>
      </c>
      <c r="D523" t="s">
        <v>1698</v>
      </c>
      <c r="E523">
        <v>157.19999999999999</v>
      </c>
      <c r="F523">
        <v>6.6</v>
      </c>
      <c r="G523" t="s">
        <v>30</v>
      </c>
      <c r="H523" t="s">
        <v>159</v>
      </c>
      <c r="I523" t="s">
        <v>32</v>
      </c>
      <c r="J523">
        <v>240</v>
      </c>
      <c r="K523" t="s">
        <v>49</v>
      </c>
      <c r="L523" t="s">
        <v>70</v>
      </c>
      <c r="M523" t="s">
        <v>35</v>
      </c>
      <c r="N523" t="s">
        <v>97</v>
      </c>
      <c r="O523" t="s">
        <v>51</v>
      </c>
      <c r="P523" t="s">
        <v>38</v>
      </c>
      <c r="Q523" t="s">
        <v>38</v>
      </c>
      <c r="R523">
        <v>1</v>
      </c>
      <c r="S523" t="s">
        <v>38</v>
      </c>
      <c r="T523">
        <v>7</v>
      </c>
      <c r="U523">
        <v>2</v>
      </c>
      <c r="V523">
        <v>24.2</v>
      </c>
      <c r="W523" t="s">
        <v>38</v>
      </c>
      <c r="X523" t="s">
        <v>63</v>
      </c>
      <c r="Y523" t="s">
        <v>39</v>
      </c>
      <c r="Z523" t="s">
        <v>81</v>
      </c>
      <c r="AA523" t="s">
        <v>42</v>
      </c>
      <c r="AB523" t="s">
        <v>55</v>
      </c>
      <c r="AC523">
        <f t="shared" si="88"/>
        <v>0</v>
      </c>
      <c r="AD523" s="12">
        <f t="shared" si="92"/>
        <v>1</v>
      </c>
      <c r="AE523" s="12">
        <f t="shared" si="93"/>
        <v>0</v>
      </c>
      <c r="AF523">
        <f t="shared" si="89"/>
        <v>1</v>
      </c>
      <c r="AG523">
        <f t="shared" si="94"/>
        <v>0</v>
      </c>
      <c r="AH523">
        <f t="shared" si="95"/>
        <v>0</v>
      </c>
      <c r="AI523">
        <f t="shared" si="96"/>
        <v>0</v>
      </c>
      <c r="AJ523">
        <f t="shared" si="97"/>
        <v>1</v>
      </c>
      <c r="AK523">
        <f t="shared" si="90"/>
        <v>1</v>
      </c>
      <c r="AL523">
        <f t="shared" si="98"/>
        <v>0</v>
      </c>
    </row>
    <row r="524" spans="1:38">
      <c r="A524" t="s">
        <v>1699</v>
      </c>
      <c r="B524" t="s">
        <v>1700</v>
      </c>
      <c r="C524" s="1">
        <f t="shared" si="91"/>
        <v>45323</v>
      </c>
      <c r="D524" t="s">
        <v>1701</v>
      </c>
      <c r="E524">
        <v>681.2</v>
      </c>
      <c r="F524">
        <v>28.4</v>
      </c>
      <c r="G524" t="s">
        <v>142</v>
      </c>
      <c r="H524" t="s">
        <v>260</v>
      </c>
      <c r="I524" t="s">
        <v>32</v>
      </c>
      <c r="J524">
        <v>240</v>
      </c>
      <c r="K524" t="s">
        <v>33</v>
      </c>
      <c r="L524" t="s">
        <v>70</v>
      </c>
      <c r="M524" t="s">
        <v>35</v>
      </c>
      <c r="N524" t="s">
        <v>61</v>
      </c>
      <c r="O524" t="s">
        <v>7232</v>
      </c>
      <c r="P524" t="s">
        <v>39</v>
      </c>
      <c r="Q524" t="s">
        <v>38</v>
      </c>
      <c r="R524">
        <v>0</v>
      </c>
      <c r="S524" t="s">
        <v>38</v>
      </c>
      <c r="T524">
        <v>7</v>
      </c>
      <c r="U524">
        <v>1.7</v>
      </c>
      <c r="V524">
        <v>19.600000000000001</v>
      </c>
      <c r="W524" t="s">
        <v>39</v>
      </c>
      <c r="X524" t="s">
        <v>123</v>
      </c>
      <c r="Y524" t="s">
        <v>39</v>
      </c>
      <c r="Z524" t="s">
        <v>41</v>
      </c>
      <c r="AA524" t="s">
        <v>42</v>
      </c>
      <c r="AB524" t="s">
        <v>83</v>
      </c>
      <c r="AC524">
        <f t="shared" si="88"/>
        <v>0</v>
      </c>
      <c r="AD524" s="12">
        <f t="shared" si="92"/>
        <v>0</v>
      </c>
      <c r="AE524" s="12">
        <f t="shared" si="93"/>
        <v>1</v>
      </c>
      <c r="AF524">
        <f t="shared" si="89"/>
        <v>0</v>
      </c>
      <c r="AG524">
        <f t="shared" si="94"/>
        <v>1</v>
      </c>
      <c r="AH524">
        <f t="shared" si="95"/>
        <v>0</v>
      </c>
      <c r="AI524">
        <f t="shared" si="96"/>
        <v>0</v>
      </c>
      <c r="AJ524">
        <f t="shared" si="97"/>
        <v>1</v>
      </c>
      <c r="AK524">
        <f t="shared" si="90"/>
        <v>0</v>
      </c>
      <c r="AL524">
        <f t="shared" si="98"/>
        <v>0</v>
      </c>
    </row>
    <row r="525" spans="1:38">
      <c r="A525" t="s">
        <v>1702</v>
      </c>
      <c r="B525" t="s">
        <v>1703</v>
      </c>
      <c r="C525" s="1">
        <f t="shared" si="91"/>
        <v>45536</v>
      </c>
      <c r="D525" t="s">
        <v>1704</v>
      </c>
      <c r="E525">
        <v>223.5</v>
      </c>
      <c r="F525">
        <v>9.3000000000000007</v>
      </c>
      <c r="G525" t="s">
        <v>93</v>
      </c>
      <c r="H525" t="s">
        <v>94</v>
      </c>
      <c r="I525" t="s">
        <v>79</v>
      </c>
      <c r="J525">
        <v>360</v>
      </c>
      <c r="K525" t="s">
        <v>49</v>
      </c>
      <c r="L525" t="s">
        <v>96</v>
      </c>
      <c r="M525" t="s">
        <v>35</v>
      </c>
      <c r="N525" t="s">
        <v>202</v>
      </c>
      <c r="O525" t="s">
        <v>7232</v>
      </c>
      <c r="P525" t="s">
        <v>39</v>
      </c>
      <c r="Q525" t="s">
        <v>38</v>
      </c>
      <c r="R525">
        <v>0</v>
      </c>
      <c r="S525" t="s">
        <v>39</v>
      </c>
      <c r="T525">
        <v>10</v>
      </c>
      <c r="U525">
        <v>0.7</v>
      </c>
      <c r="V525">
        <v>14.9</v>
      </c>
      <c r="W525" t="s">
        <v>38</v>
      </c>
      <c r="X525" t="s">
        <v>63</v>
      </c>
      <c r="Y525" t="s">
        <v>39</v>
      </c>
      <c r="Z525" t="s">
        <v>64</v>
      </c>
      <c r="AA525" t="s">
        <v>82</v>
      </c>
      <c r="AB525" t="s">
        <v>55</v>
      </c>
      <c r="AC525">
        <f t="shared" si="88"/>
        <v>0</v>
      </c>
      <c r="AD525" s="12">
        <f t="shared" si="92"/>
        <v>1</v>
      </c>
      <c r="AE525" s="12">
        <f t="shared" si="93"/>
        <v>0</v>
      </c>
      <c r="AF525">
        <f t="shared" si="89"/>
        <v>0</v>
      </c>
      <c r="AG525">
        <f t="shared" si="94"/>
        <v>1</v>
      </c>
      <c r="AH525">
        <f t="shared" si="95"/>
        <v>0</v>
      </c>
      <c r="AI525">
        <f t="shared" si="96"/>
        <v>0</v>
      </c>
      <c r="AJ525">
        <f t="shared" si="97"/>
        <v>0</v>
      </c>
      <c r="AK525">
        <f t="shared" si="90"/>
        <v>0</v>
      </c>
      <c r="AL525">
        <f t="shared" si="98"/>
        <v>0</v>
      </c>
    </row>
    <row r="526" spans="1:38">
      <c r="A526" t="s">
        <v>1705</v>
      </c>
      <c r="B526" t="s">
        <v>1706</v>
      </c>
      <c r="C526" s="1">
        <f t="shared" si="91"/>
        <v>45444</v>
      </c>
      <c r="D526" t="s">
        <v>1707</v>
      </c>
      <c r="E526">
        <v>214.3</v>
      </c>
      <c r="F526">
        <v>8.9</v>
      </c>
      <c r="G526" t="s">
        <v>30</v>
      </c>
      <c r="H526" t="s">
        <v>47</v>
      </c>
      <c r="I526" t="s">
        <v>32</v>
      </c>
      <c r="J526">
        <v>240</v>
      </c>
      <c r="K526" t="s">
        <v>49</v>
      </c>
      <c r="L526" t="s">
        <v>133</v>
      </c>
      <c r="M526" t="s">
        <v>35</v>
      </c>
      <c r="N526" t="s">
        <v>144</v>
      </c>
      <c r="O526" t="s">
        <v>37</v>
      </c>
      <c r="P526" t="s">
        <v>39</v>
      </c>
      <c r="Q526" t="s">
        <v>38</v>
      </c>
      <c r="R526">
        <v>0</v>
      </c>
      <c r="S526" t="s">
        <v>38</v>
      </c>
      <c r="T526">
        <v>8</v>
      </c>
      <c r="U526">
        <v>3.9</v>
      </c>
      <c r="V526">
        <v>29.1</v>
      </c>
      <c r="W526" t="s">
        <v>39</v>
      </c>
      <c r="X526" t="s">
        <v>52</v>
      </c>
      <c r="Y526" t="s">
        <v>38</v>
      </c>
      <c r="Z526" t="s">
        <v>53</v>
      </c>
      <c r="AA526" t="s">
        <v>109</v>
      </c>
      <c r="AB526" t="s">
        <v>55</v>
      </c>
      <c r="AC526">
        <f t="shared" si="88"/>
        <v>1</v>
      </c>
      <c r="AD526" s="12">
        <f t="shared" si="92"/>
        <v>0</v>
      </c>
      <c r="AE526" s="12">
        <f t="shared" si="93"/>
        <v>0</v>
      </c>
      <c r="AF526">
        <f t="shared" si="89"/>
        <v>0</v>
      </c>
      <c r="AG526">
        <f t="shared" si="94"/>
        <v>0</v>
      </c>
      <c r="AH526">
        <f t="shared" si="95"/>
        <v>0</v>
      </c>
      <c r="AI526">
        <f t="shared" si="96"/>
        <v>0</v>
      </c>
      <c r="AJ526">
        <f t="shared" si="97"/>
        <v>1</v>
      </c>
      <c r="AK526">
        <f t="shared" si="90"/>
        <v>1</v>
      </c>
      <c r="AL526">
        <f t="shared" si="98"/>
        <v>1</v>
      </c>
    </row>
    <row r="527" spans="1:38">
      <c r="A527" t="s">
        <v>1708</v>
      </c>
      <c r="B527" t="s">
        <v>1709</v>
      </c>
      <c r="C527" s="1">
        <f t="shared" si="91"/>
        <v>45505</v>
      </c>
      <c r="D527" t="s">
        <v>1710</v>
      </c>
      <c r="E527">
        <v>174.9</v>
      </c>
      <c r="F527">
        <v>7.3</v>
      </c>
      <c r="G527" t="s">
        <v>101</v>
      </c>
      <c r="H527" t="s">
        <v>442</v>
      </c>
      <c r="I527" t="s">
        <v>32</v>
      </c>
      <c r="J527">
        <v>240</v>
      </c>
      <c r="K527" t="s">
        <v>49</v>
      </c>
      <c r="L527" t="s">
        <v>34</v>
      </c>
      <c r="M527" t="s">
        <v>35</v>
      </c>
      <c r="N527" t="s">
        <v>107</v>
      </c>
      <c r="O527" t="s">
        <v>7232</v>
      </c>
      <c r="P527" t="s">
        <v>39</v>
      </c>
      <c r="Q527" t="s">
        <v>38</v>
      </c>
      <c r="R527">
        <v>0</v>
      </c>
      <c r="S527" t="s">
        <v>38</v>
      </c>
      <c r="T527">
        <v>9</v>
      </c>
      <c r="U527">
        <v>0.7</v>
      </c>
      <c r="V527">
        <v>25.4</v>
      </c>
      <c r="W527" t="s">
        <v>39</v>
      </c>
      <c r="X527" t="s">
        <v>63</v>
      </c>
      <c r="Y527" t="s">
        <v>39</v>
      </c>
      <c r="Z527" t="s">
        <v>81</v>
      </c>
      <c r="AA527" t="s">
        <v>82</v>
      </c>
      <c r="AB527" t="s">
        <v>83</v>
      </c>
      <c r="AC527">
        <f t="shared" si="88"/>
        <v>0</v>
      </c>
      <c r="AD527" s="12">
        <f t="shared" si="92"/>
        <v>1</v>
      </c>
      <c r="AE527" s="12">
        <f t="shared" si="93"/>
        <v>0</v>
      </c>
      <c r="AF527">
        <f t="shared" si="89"/>
        <v>0</v>
      </c>
      <c r="AG527">
        <f t="shared" si="94"/>
        <v>1</v>
      </c>
      <c r="AH527">
        <f t="shared" si="95"/>
        <v>0</v>
      </c>
      <c r="AI527">
        <f t="shared" si="96"/>
        <v>0</v>
      </c>
      <c r="AJ527">
        <f t="shared" si="97"/>
        <v>1</v>
      </c>
      <c r="AK527">
        <f t="shared" si="90"/>
        <v>0</v>
      </c>
      <c r="AL527">
        <f t="shared" si="98"/>
        <v>0</v>
      </c>
    </row>
    <row r="528" spans="1:38">
      <c r="A528" t="s">
        <v>1711</v>
      </c>
      <c r="B528" t="s">
        <v>1712</v>
      </c>
      <c r="C528" s="1">
        <f t="shared" si="91"/>
        <v>45566</v>
      </c>
      <c r="D528" t="s">
        <v>1713</v>
      </c>
      <c r="E528">
        <v>255.7</v>
      </c>
      <c r="F528">
        <v>10.7</v>
      </c>
      <c r="G528" t="s">
        <v>87</v>
      </c>
      <c r="H528" t="s">
        <v>88</v>
      </c>
      <c r="I528" t="s">
        <v>79</v>
      </c>
      <c r="J528">
        <v>360</v>
      </c>
      <c r="K528" t="s">
        <v>49</v>
      </c>
      <c r="L528" t="s">
        <v>96</v>
      </c>
      <c r="M528" t="s">
        <v>35</v>
      </c>
      <c r="N528" t="s">
        <v>80</v>
      </c>
      <c r="O528" t="s">
        <v>51</v>
      </c>
      <c r="P528" t="s">
        <v>38</v>
      </c>
      <c r="Q528" t="s">
        <v>38</v>
      </c>
      <c r="R528">
        <v>1</v>
      </c>
      <c r="S528" t="s">
        <v>38</v>
      </c>
      <c r="T528">
        <v>8</v>
      </c>
      <c r="U528">
        <v>2.1</v>
      </c>
      <c r="V528">
        <v>19.8</v>
      </c>
      <c r="W528" t="s">
        <v>39</v>
      </c>
      <c r="X528" t="s">
        <v>63</v>
      </c>
      <c r="Y528" t="s">
        <v>39</v>
      </c>
      <c r="Z528" t="s">
        <v>64</v>
      </c>
      <c r="AA528" t="s">
        <v>103</v>
      </c>
      <c r="AB528" t="s">
        <v>83</v>
      </c>
      <c r="AC528">
        <f t="shared" si="88"/>
        <v>0</v>
      </c>
      <c r="AD528" s="12">
        <f t="shared" si="92"/>
        <v>1</v>
      </c>
      <c r="AE528" s="12">
        <f t="shared" si="93"/>
        <v>0</v>
      </c>
      <c r="AF528">
        <f t="shared" si="89"/>
        <v>1</v>
      </c>
      <c r="AG528">
        <f t="shared" si="94"/>
        <v>0</v>
      </c>
      <c r="AH528">
        <f t="shared" si="95"/>
        <v>0</v>
      </c>
      <c r="AI528">
        <f t="shared" si="96"/>
        <v>0</v>
      </c>
      <c r="AJ528">
        <f t="shared" si="97"/>
        <v>0</v>
      </c>
      <c r="AK528">
        <f t="shared" si="90"/>
        <v>0</v>
      </c>
      <c r="AL528">
        <f t="shared" si="98"/>
        <v>0</v>
      </c>
    </row>
    <row r="529" spans="1:38">
      <c r="A529" t="s">
        <v>1714</v>
      </c>
      <c r="B529" t="s">
        <v>1715</v>
      </c>
      <c r="C529" s="1">
        <f t="shared" si="91"/>
        <v>45627</v>
      </c>
      <c r="D529" t="s">
        <v>1716</v>
      </c>
      <c r="E529">
        <v>31.8</v>
      </c>
      <c r="F529">
        <v>1.3</v>
      </c>
      <c r="G529" t="s">
        <v>59</v>
      </c>
      <c r="H529" t="s">
        <v>127</v>
      </c>
      <c r="I529" t="s">
        <v>95</v>
      </c>
      <c r="J529">
        <v>48</v>
      </c>
      <c r="K529" t="s">
        <v>49</v>
      </c>
      <c r="L529" t="s">
        <v>70</v>
      </c>
      <c r="M529" t="s">
        <v>71</v>
      </c>
      <c r="N529" t="s">
        <v>144</v>
      </c>
      <c r="O529" t="s">
        <v>51</v>
      </c>
      <c r="P529" t="s">
        <v>38</v>
      </c>
      <c r="Q529" t="s">
        <v>39</v>
      </c>
      <c r="R529">
        <v>2</v>
      </c>
      <c r="S529" t="s">
        <v>38</v>
      </c>
      <c r="T529">
        <v>6</v>
      </c>
      <c r="U529">
        <v>2.5</v>
      </c>
      <c r="V529">
        <v>24.1</v>
      </c>
      <c r="W529" t="s">
        <v>39</v>
      </c>
      <c r="X529" t="s">
        <v>40</v>
      </c>
      <c r="Y529" t="s">
        <v>38</v>
      </c>
      <c r="Z529" t="s">
        <v>41</v>
      </c>
      <c r="AA529" t="s">
        <v>82</v>
      </c>
      <c r="AB529" t="s">
        <v>83</v>
      </c>
      <c r="AC529">
        <f t="shared" si="88"/>
        <v>0</v>
      </c>
      <c r="AD529" s="12">
        <f t="shared" si="92"/>
        <v>0</v>
      </c>
      <c r="AE529" s="12">
        <f t="shared" si="93"/>
        <v>0</v>
      </c>
      <c r="AF529">
        <f t="shared" si="89"/>
        <v>1</v>
      </c>
      <c r="AG529">
        <f t="shared" si="94"/>
        <v>0</v>
      </c>
      <c r="AH529">
        <f t="shared" si="95"/>
        <v>0</v>
      </c>
      <c r="AI529">
        <f t="shared" si="96"/>
        <v>1</v>
      </c>
      <c r="AJ529">
        <f t="shared" si="97"/>
        <v>0</v>
      </c>
      <c r="AK529">
        <f t="shared" si="90"/>
        <v>0</v>
      </c>
      <c r="AL529">
        <f t="shared" si="98"/>
        <v>1</v>
      </c>
    </row>
    <row r="530" spans="1:38">
      <c r="A530" t="s">
        <v>1717</v>
      </c>
      <c r="B530" t="s">
        <v>1718</v>
      </c>
      <c r="C530" s="1">
        <f t="shared" si="91"/>
        <v>45627</v>
      </c>
      <c r="D530" t="s">
        <v>1719</v>
      </c>
      <c r="E530">
        <v>347.9</v>
      </c>
      <c r="F530">
        <v>14.5</v>
      </c>
      <c r="G530" t="s">
        <v>87</v>
      </c>
      <c r="H530" t="s">
        <v>183</v>
      </c>
      <c r="I530" t="s">
        <v>32</v>
      </c>
      <c r="J530">
        <v>240</v>
      </c>
      <c r="K530" t="s">
        <v>33</v>
      </c>
      <c r="L530" t="s">
        <v>70</v>
      </c>
      <c r="M530" t="s">
        <v>71</v>
      </c>
      <c r="N530" t="s">
        <v>414</v>
      </c>
      <c r="O530" t="s">
        <v>7232</v>
      </c>
      <c r="P530" t="s">
        <v>38</v>
      </c>
      <c r="Q530" t="s">
        <v>39</v>
      </c>
      <c r="R530">
        <v>4</v>
      </c>
      <c r="S530" t="s">
        <v>38</v>
      </c>
      <c r="T530">
        <v>4</v>
      </c>
      <c r="U530">
        <v>6.4</v>
      </c>
      <c r="V530">
        <v>4.5</v>
      </c>
      <c r="W530" t="s">
        <v>38</v>
      </c>
      <c r="X530" t="s">
        <v>123</v>
      </c>
      <c r="Y530" t="s">
        <v>39</v>
      </c>
      <c r="Z530" t="s">
        <v>115</v>
      </c>
      <c r="AA530" t="s">
        <v>54</v>
      </c>
      <c r="AB530" t="s">
        <v>55</v>
      </c>
      <c r="AC530">
        <f t="shared" si="88"/>
        <v>0</v>
      </c>
      <c r="AD530" s="12">
        <f t="shared" si="92"/>
        <v>0</v>
      </c>
      <c r="AE530" s="12">
        <f t="shared" si="93"/>
        <v>1</v>
      </c>
      <c r="AF530">
        <f t="shared" si="89"/>
        <v>0</v>
      </c>
      <c r="AG530">
        <f t="shared" si="94"/>
        <v>1</v>
      </c>
      <c r="AH530">
        <f t="shared" si="95"/>
        <v>0</v>
      </c>
      <c r="AI530">
        <f t="shared" si="96"/>
        <v>0</v>
      </c>
      <c r="AJ530">
        <f t="shared" si="97"/>
        <v>1</v>
      </c>
      <c r="AK530">
        <f t="shared" si="90"/>
        <v>0</v>
      </c>
      <c r="AL530">
        <f t="shared" si="98"/>
        <v>0</v>
      </c>
    </row>
    <row r="531" spans="1:38">
      <c r="A531" t="s">
        <v>1720</v>
      </c>
      <c r="B531" t="s">
        <v>1721</v>
      </c>
      <c r="C531" s="1">
        <f t="shared" si="91"/>
        <v>45383</v>
      </c>
      <c r="D531" t="s">
        <v>1722</v>
      </c>
      <c r="E531">
        <v>73.2</v>
      </c>
      <c r="F531">
        <v>3.1</v>
      </c>
      <c r="G531" t="s">
        <v>68</v>
      </c>
      <c r="H531" t="s">
        <v>219</v>
      </c>
      <c r="I531" t="s">
        <v>48</v>
      </c>
      <c r="J531">
        <v>120</v>
      </c>
      <c r="K531" t="s">
        <v>49</v>
      </c>
      <c r="L531" t="s">
        <v>34</v>
      </c>
      <c r="M531" t="s">
        <v>71</v>
      </c>
      <c r="N531" t="s">
        <v>192</v>
      </c>
      <c r="O531" t="s">
        <v>7232</v>
      </c>
      <c r="P531" t="s">
        <v>38</v>
      </c>
      <c r="Q531" t="s">
        <v>39</v>
      </c>
      <c r="R531">
        <v>1</v>
      </c>
      <c r="S531" t="s">
        <v>38</v>
      </c>
      <c r="T531">
        <v>8</v>
      </c>
      <c r="U531">
        <v>4.0999999999999996</v>
      </c>
      <c r="V531">
        <v>8.5</v>
      </c>
      <c r="W531" t="s">
        <v>39</v>
      </c>
      <c r="X531" t="s">
        <v>63</v>
      </c>
      <c r="Y531" t="s">
        <v>39</v>
      </c>
      <c r="Z531" t="s">
        <v>81</v>
      </c>
      <c r="AA531" t="s">
        <v>82</v>
      </c>
      <c r="AB531" t="s">
        <v>83</v>
      </c>
      <c r="AC531">
        <f t="shared" si="88"/>
        <v>0</v>
      </c>
      <c r="AD531" s="12">
        <f t="shared" si="92"/>
        <v>1</v>
      </c>
      <c r="AE531" s="12">
        <f t="shared" si="93"/>
        <v>0</v>
      </c>
      <c r="AF531">
        <f t="shared" si="89"/>
        <v>0</v>
      </c>
      <c r="AG531">
        <f t="shared" si="94"/>
        <v>1</v>
      </c>
      <c r="AH531">
        <f t="shared" si="95"/>
        <v>1</v>
      </c>
      <c r="AI531">
        <f t="shared" si="96"/>
        <v>0</v>
      </c>
      <c r="AJ531">
        <f t="shared" si="97"/>
        <v>0</v>
      </c>
      <c r="AK531">
        <f t="shared" si="90"/>
        <v>0</v>
      </c>
      <c r="AL531">
        <f t="shared" si="98"/>
        <v>0</v>
      </c>
    </row>
    <row r="532" spans="1:38">
      <c r="A532" t="s">
        <v>1723</v>
      </c>
      <c r="B532" t="s">
        <v>1724</v>
      </c>
      <c r="C532" s="1">
        <f t="shared" si="91"/>
        <v>45444</v>
      </c>
      <c r="D532" t="s">
        <v>1725</v>
      </c>
      <c r="E532">
        <v>596.5</v>
      </c>
      <c r="F532">
        <v>24.9</v>
      </c>
      <c r="G532" t="s">
        <v>87</v>
      </c>
      <c r="H532" t="s">
        <v>183</v>
      </c>
      <c r="I532" t="s">
        <v>32</v>
      </c>
      <c r="J532">
        <v>240</v>
      </c>
      <c r="K532" t="s">
        <v>33</v>
      </c>
      <c r="L532" t="s">
        <v>113</v>
      </c>
      <c r="M532" t="s">
        <v>35</v>
      </c>
      <c r="N532" t="s">
        <v>506</v>
      </c>
      <c r="O532" t="s">
        <v>37</v>
      </c>
      <c r="P532" t="s">
        <v>39</v>
      </c>
      <c r="Q532" t="s">
        <v>38</v>
      </c>
      <c r="R532">
        <v>0</v>
      </c>
      <c r="S532" t="s">
        <v>38</v>
      </c>
      <c r="T532">
        <v>5</v>
      </c>
      <c r="U532">
        <v>0.3</v>
      </c>
      <c r="V532">
        <v>4.4000000000000004</v>
      </c>
      <c r="W532" t="s">
        <v>39</v>
      </c>
      <c r="X532" t="s">
        <v>52</v>
      </c>
      <c r="Y532" t="s">
        <v>39</v>
      </c>
      <c r="Z532" t="s">
        <v>64</v>
      </c>
      <c r="AA532" t="s">
        <v>103</v>
      </c>
      <c r="AB532" t="s">
        <v>55</v>
      </c>
      <c r="AC532">
        <f t="shared" si="88"/>
        <v>1</v>
      </c>
      <c r="AD532" s="12">
        <f t="shared" si="92"/>
        <v>0</v>
      </c>
      <c r="AE532" s="12">
        <f t="shared" si="93"/>
        <v>0</v>
      </c>
      <c r="AF532">
        <f t="shared" si="89"/>
        <v>0</v>
      </c>
      <c r="AG532">
        <f t="shared" si="94"/>
        <v>0</v>
      </c>
      <c r="AH532">
        <f t="shared" si="95"/>
        <v>0</v>
      </c>
      <c r="AI532">
        <f t="shared" si="96"/>
        <v>0</v>
      </c>
      <c r="AJ532">
        <f t="shared" si="97"/>
        <v>1</v>
      </c>
      <c r="AK532">
        <f t="shared" si="90"/>
        <v>0</v>
      </c>
      <c r="AL532">
        <f t="shared" si="98"/>
        <v>0</v>
      </c>
    </row>
    <row r="533" spans="1:38">
      <c r="A533" t="s">
        <v>1726</v>
      </c>
      <c r="B533" t="s">
        <v>1727</v>
      </c>
      <c r="C533" s="1">
        <f t="shared" si="91"/>
        <v>45474</v>
      </c>
      <c r="D533" t="s">
        <v>1728</v>
      </c>
      <c r="E533">
        <v>240</v>
      </c>
      <c r="F533">
        <v>10</v>
      </c>
      <c r="G533" t="s">
        <v>77</v>
      </c>
      <c r="H533" t="s">
        <v>78</v>
      </c>
      <c r="I533" t="s">
        <v>79</v>
      </c>
      <c r="J533">
        <v>360</v>
      </c>
      <c r="K533" t="s">
        <v>49</v>
      </c>
      <c r="L533" t="s">
        <v>96</v>
      </c>
      <c r="M533" t="s">
        <v>35</v>
      </c>
      <c r="N533" t="s">
        <v>277</v>
      </c>
      <c r="O533" t="s">
        <v>7232</v>
      </c>
      <c r="P533" t="s">
        <v>39</v>
      </c>
      <c r="Q533" t="s">
        <v>38</v>
      </c>
      <c r="R533">
        <v>0</v>
      </c>
      <c r="S533" t="s">
        <v>38</v>
      </c>
      <c r="T533">
        <v>10</v>
      </c>
      <c r="U533">
        <v>0.5</v>
      </c>
      <c r="V533">
        <v>14.1</v>
      </c>
      <c r="W533" t="s">
        <v>39</v>
      </c>
      <c r="X533" t="s">
        <v>123</v>
      </c>
      <c r="Y533" t="s">
        <v>39</v>
      </c>
      <c r="Z533" t="s">
        <v>53</v>
      </c>
      <c r="AA533" t="s">
        <v>42</v>
      </c>
      <c r="AB533" t="s">
        <v>55</v>
      </c>
      <c r="AC533">
        <f t="shared" si="88"/>
        <v>0</v>
      </c>
      <c r="AD533" s="12">
        <f t="shared" si="92"/>
        <v>0</v>
      </c>
      <c r="AE533" s="12">
        <f t="shared" si="93"/>
        <v>1</v>
      </c>
      <c r="AF533">
        <f t="shared" si="89"/>
        <v>0</v>
      </c>
      <c r="AG533">
        <f t="shared" si="94"/>
        <v>1</v>
      </c>
      <c r="AH533">
        <f t="shared" si="95"/>
        <v>0</v>
      </c>
      <c r="AI533">
        <f t="shared" si="96"/>
        <v>0</v>
      </c>
      <c r="AJ533">
        <f t="shared" si="97"/>
        <v>0</v>
      </c>
      <c r="AK533">
        <f t="shared" si="90"/>
        <v>0</v>
      </c>
      <c r="AL533">
        <f t="shared" si="98"/>
        <v>0</v>
      </c>
    </row>
    <row r="534" spans="1:38">
      <c r="A534" t="s">
        <v>1729</v>
      </c>
      <c r="B534" t="s">
        <v>1730</v>
      </c>
      <c r="C534" s="1">
        <f t="shared" si="91"/>
        <v>45474</v>
      </c>
      <c r="D534" t="s">
        <v>1731</v>
      </c>
      <c r="E534">
        <v>207.4</v>
      </c>
      <c r="F534">
        <v>8.6</v>
      </c>
      <c r="G534" t="s">
        <v>30</v>
      </c>
      <c r="H534" t="s">
        <v>172</v>
      </c>
      <c r="I534" t="s">
        <v>48</v>
      </c>
      <c r="J534">
        <v>120</v>
      </c>
      <c r="K534" t="s">
        <v>33</v>
      </c>
      <c r="L534" t="s">
        <v>70</v>
      </c>
      <c r="M534" t="s">
        <v>35</v>
      </c>
      <c r="N534" t="s">
        <v>36</v>
      </c>
      <c r="O534" t="s">
        <v>37</v>
      </c>
      <c r="P534" t="s">
        <v>38</v>
      </c>
      <c r="Q534" t="s">
        <v>38</v>
      </c>
      <c r="R534">
        <v>1</v>
      </c>
      <c r="S534" t="s">
        <v>38</v>
      </c>
      <c r="T534">
        <v>3</v>
      </c>
      <c r="U534">
        <v>1.7</v>
      </c>
      <c r="V534">
        <v>9.1</v>
      </c>
      <c r="W534" t="s">
        <v>39</v>
      </c>
      <c r="X534" t="s">
        <v>52</v>
      </c>
      <c r="Y534" t="s">
        <v>39</v>
      </c>
      <c r="Z534" t="s">
        <v>108</v>
      </c>
      <c r="AA534" t="s">
        <v>54</v>
      </c>
      <c r="AB534" t="s">
        <v>55</v>
      </c>
      <c r="AC534">
        <f t="shared" si="88"/>
        <v>1</v>
      </c>
      <c r="AD534" s="12">
        <f t="shared" si="92"/>
        <v>0</v>
      </c>
      <c r="AE534" s="12">
        <f t="shared" si="93"/>
        <v>0</v>
      </c>
      <c r="AF534">
        <f t="shared" si="89"/>
        <v>0</v>
      </c>
      <c r="AG534">
        <f t="shared" si="94"/>
        <v>0</v>
      </c>
      <c r="AH534">
        <f t="shared" si="95"/>
        <v>1</v>
      </c>
      <c r="AI534">
        <f t="shared" si="96"/>
        <v>0</v>
      </c>
      <c r="AJ534">
        <f t="shared" si="97"/>
        <v>0</v>
      </c>
      <c r="AK534">
        <f t="shared" si="90"/>
        <v>1</v>
      </c>
      <c r="AL534">
        <f t="shared" si="98"/>
        <v>0</v>
      </c>
    </row>
    <row r="535" spans="1:38">
      <c r="A535" t="s">
        <v>1732</v>
      </c>
      <c r="B535" t="s">
        <v>1733</v>
      </c>
      <c r="C535" s="1">
        <f t="shared" si="91"/>
        <v>45352</v>
      </c>
      <c r="D535" t="s">
        <v>1734</v>
      </c>
      <c r="E535">
        <v>316.39999999999998</v>
      </c>
      <c r="F535">
        <v>13.2</v>
      </c>
      <c r="G535" t="s">
        <v>77</v>
      </c>
      <c r="H535" t="s">
        <v>244</v>
      </c>
      <c r="I535" t="s">
        <v>79</v>
      </c>
      <c r="J535">
        <v>360</v>
      </c>
      <c r="K535" t="s">
        <v>49</v>
      </c>
      <c r="L535" t="s">
        <v>34</v>
      </c>
      <c r="M535" t="s">
        <v>35</v>
      </c>
      <c r="N535" t="s">
        <v>119</v>
      </c>
      <c r="O535" t="s">
        <v>7232</v>
      </c>
      <c r="P535" t="s">
        <v>39</v>
      </c>
      <c r="Q535" t="s">
        <v>38</v>
      </c>
      <c r="R535">
        <v>0</v>
      </c>
      <c r="S535" t="s">
        <v>38</v>
      </c>
      <c r="T535">
        <v>9</v>
      </c>
      <c r="U535">
        <v>4.9000000000000004</v>
      </c>
      <c r="V535">
        <v>0.4</v>
      </c>
      <c r="W535" t="s">
        <v>39</v>
      </c>
      <c r="X535" t="s">
        <v>52</v>
      </c>
      <c r="Y535" t="s">
        <v>38</v>
      </c>
      <c r="Z535" t="s">
        <v>41</v>
      </c>
      <c r="AA535" t="s">
        <v>103</v>
      </c>
      <c r="AB535" t="s">
        <v>55</v>
      </c>
      <c r="AC535">
        <f t="shared" si="88"/>
        <v>1</v>
      </c>
      <c r="AD535" s="12">
        <f t="shared" si="92"/>
        <v>0</v>
      </c>
      <c r="AE535" s="12">
        <f t="shared" si="93"/>
        <v>0</v>
      </c>
      <c r="AF535">
        <f t="shared" si="89"/>
        <v>0</v>
      </c>
      <c r="AG535">
        <f t="shared" si="94"/>
        <v>1</v>
      </c>
      <c r="AH535">
        <f t="shared" si="95"/>
        <v>0</v>
      </c>
      <c r="AI535">
        <f t="shared" si="96"/>
        <v>0</v>
      </c>
      <c r="AJ535">
        <f t="shared" si="97"/>
        <v>0</v>
      </c>
      <c r="AK535">
        <f t="shared" si="90"/>
        <v>0</v>
      </c>
      <c r="AL535">
        <f t="shared" si="98"/>
        <v>1</v>
      </c>
    </row>
    <row r="536" spans="1:38">
      <c r="A536" t="s">
        <v>1735</v>
      </c>
      <c r="B536" t="s">
        <v>1736</v>
      </c>
      <c r="C536" s="1">
        <f t="shared" si="91"/>
        <v>45444</v>
      </c>
      <c r="D536" t="s">
        <v>1737</v>
      </c>
      <c r="E536">
        <v>194.9</v>
      </c>
      <c r="F536">
        <v>8.1</v>
      </c>
      <c r="G536" t="s">
        <v>101</v>
      </c>
      <c r="H536" t="s">
        <v>368</v>
      </c>
      <c r="I536" t="s">
        <v>32</v>
      </c>
      <c r="J536">
        <v>240</v>
      </c>
      <c r="K536" t="s">
        <v>49</v>
      </c>
      <c r="L536" t="s">
        <v>34</v>
      </c>
      <c r="M536" t="s">
        <v>35</v>
      </c>
      <c r="N536" t="s">
        <v>97</v>
      </c>
      <c r="O536" t="s">
        <v>51</v>
      </c>
      <c r="P536" t="s">
        <v>39</v>
      </c>
      <c r="Q536" t="s">
        <v>38</v>
      </c>
      <c r="R536">
        <v>0</v>
      </c>
      <c r="S536" t="s">
        <v>38</v>
      </c>
      <c r="T536">
        <v>10</v>
      </c>
      <c r="U536">
        <v>5.2</v>
      </c>
      <c r="V536">
        <v>27.3</v>
      </c>
      <c r="W536" t="s">
        <v>39</v>
      </c>
      <c r="X536" t="s">
        <v>123</v>
      </c>
      <c r="Y536" t="s">
        <v>39</v>
      </c>
      <c r="Z536" t="s">
        <v>115</v>
      </c>
      <c r="AA536" t="s">
        <v>82</v>
      </c>
      <c r="AB536" t="s">
        <v>55</v>
      </c>
      <c r="AC536">
        <f t="shared" si="88"/>
        <v>0</v>
      </c>
      <c r="AD536" s="12">
        <f t="shared" si="92"/>
        <v>0</v>
      </c>
      <c r="AE536" s="12">
        <f t="shared" si="93"/>
        <v>1</v>
      </c>
      <c r="AF536">
        <f t="shared" si="89"/>
        <v>1</v>
      </c>
      <c r="AG536">
        <f t="shared" si="94"/>
        <v>0</v>
      </c>
      <c r="AH536">
        <f t="shared" si="95"/>
        <v>0</v>
      </c>
      <c r="AI536">
        <f t="shared" si="96"/>
        <v>0</v>
      </c>
      <c r="AJ536">
        <f t="shared" si="97"/>
        <v>1</v>
      </c>
      <c r="AK536">
        <f t="shared" si="90"/>
        <v>0</v>
      </c>
      <c r="AL536">
        <f t="shared" si="98"/>
        <v>0</v>
      </c>
    </row>
    <row r="537" spans="1:38">
      <c r="A537" t="s">
        <v>1738</v>
      </c>
      <c r="B537" t="s">
        <v>1739</v>
      </c>
      <c r="C537" s="1">
        <f t="shared" si="91"/>
        <v>45536</v>
      </c>
      <c r="D537" t="s">
        <v>1740</v>
      </c>
      <c r="E537">
        <v>88.1</v>
      </c>
      <c r="F537">
        <v>3.7</v>
      </c>
      <c r="G537" t="s">
        <v>59</v>
      </c>
      <c r="H537" t="s">
        <v>60</v>
      </c>
      <c r="I537" t="s">
        <v>48</v>
      </c>
      <c r="J537">
        <v>120</v>
      </c>
      <c r="K537" t="s">
        <v>49</v>
      </c>
      <c r="L537" t="s">
        <v>70</v>
      </c>
      <c r="M537" t="s">
        <v>35</v>
      </c>
      <c r="N537" t="s">
        <v>506</v>
      </c>
      <c r="O537" t="s">
        <v>7232</v>
      </c>
      <c r="P537" t="s">
        <v>39</v>
      </c>
      <c r="Q537" t="s">
        <v>38</v>
      </c>
      <c r="R537">
        <v>0</v>
      </c>
      <c r="S537" t="s">
        <v>38</v>
      </c>
      <c r="T537">
        <v>9</v>
      </c>
      <c r="U537">
        <v>0.9</v>
      </c>
      <c r="V537">
        <v>47.6</v>
      </c>
      <c r="W537" t="s">
        <v>38</v>
      </c>
      <c r="X537" t="s">
        <v>40</v>
      </c>
      <c r="Y537" t="s">
        <v>38</v>
      </c>
      <c r="Z537" t="s">
        <v>115</v>
      </c>
      <c r="AA537" t="s">
        <v>109</v>
      </c>
      <c r="AB537" t="s">
        <v>83</v>
      </c>
      <c r="AC537">
        <f t="shared" si="88"/>
        <v>0</v>
      </c>
      <c r="AD537" s="12">
        <f t="shared" si="92"/>
        <v>0</v>
      </c>
      <c r="AE537" s="12">
        <f t="shared" si="93"/>
        <v>0</v>
      </c>
      <c r="AF537">
        <f t="shared" si="89"/>
        <v>0</v>
      </c>
      <c r="AG537">
        <f t="shared" si="94"/>
        <v>1</v>
      </c>
      <c r="AH537">
        <f t="shared" si="95"/>
        <v>1</v>
      </c>
      <c r="AI537">
        <f t="shared" si="96"/>
        <v>0</v>
      </c>
      <c r="AJ537">
        <f t="shared" si="97"/>
        <v>0</v>
      </c>
      <c r="AK537">
        <f t="shared" si="90"/>
        <v>0</v>
      </c>
      <c r="AL537">
        <f t="shared" si="98"/>
        <v>1</v>
      </c>
    </row>
    <row r="538" spans="1:38">
      <c r="A538" t="s">
        <v>1741</v>
      </c>
      <c r="B538" t="s">
        <v>1742</v>
      </c>
      <c r="C538" s="1">
        <f t="shared" si="91"/>
        <v>45413</v>
      </c>
      <c r="D538" t="s">
        <v>1743</v>
      </c>
      <c r="E538">
        <v>226.5</v>
      </c>
      <c r="F538">
        <v>9.4</v>
      </c>
      <c r="G538" t="s">
        <v>142</v>
      </c>
      <c r="H538" t="s">
        <v>260</v>
      </c>
      <c r="I538" t="s">
        <v>32</v>
      </c>
      <c r="J538">
        <v>240</v>
      </c>
      <c r="K538" t="s">
        <v>49</v>
      </c>
      <c r="L538" t="s">
        <v>34</v>
      </c>
      <c r="M538" t="s">
        <v>35</v>
      </c>
      <c r="N538" t="s">
        <v>80</v>
      </c>
      <c r="O538" t="s">
        <v>7232</v>
      </c>
      <c r="P538" t="s">
        <v>39</v>
      </c>
      <c r="Q538" t="s">
        <v>38</v>
      </c>
      <c r="R538">
        <v>0</v>
      </c>
      <c r="S538" t="s">
        <v>38</v>
      </c>
      <c r="T538">
        <v>10</v>
      </c>
      <c r="U538">
        <v>5.5</v>
      </c>
      <c r="V538">
        <v>6.7</v>
      </c>
      <c r="W538" t="s">
        <v>39</v>
      </c>
      <c r="X538" t="s">
        <v>52</v>
      </c>
      <c r="Y538" t="s">
        <v>38</v>
      </c>
      <c r="Z538" t="s">
        <v>81</v>
      </c>
      <c r="AA538" t="s">
        <v>54</v>
      </c>
      <c r="AB538" t="s">
        <v>55</v>
      </c>
      <c r="AC538">
        <f t="shared" si="88"/>
        <v>1</v>
      </c>
      <c r="AD538" s="12">
        <f t="shared" si="92"/>
        <v>0</v>
      </c>
      <c r="AE538" s="12">
        <f t="shared" si="93"/>
        <v>0</v>
      </c>
      <c r="AF538">
        <f t="shared" si="89"/>
        <v>0</v>
      </c>
      <c r="AG538">
        <f t="shared" si="94"/>
        <v>1</v>
      </c>
      <c r="AH538">
        <f t="shared" si="95"/>
        <v>0</v>
      </c>
      <c r="AI538">
        <f t="shared" si="96"/>
        <v>0</v>
      </c>
      <c r="AJ538">
        <f t="shared" si="97"/>
        <v>1</v>
      </c>
      <c r="AK538">
        <f t="shared" si="90"/>
        <v>0</v>
      </c>
      <c r="AL538">
        <f t="shared" si="98"/>
        <v>1</v>
      </c>
    </row>
    <row r="539" spans="1:38">
      <c r="A539" t="s">
        <v>1744</v>
      </c>
      <c r="B539" t="s">
        <v>1745</v>
      </c>
      <c r="C539" s="1">
        <f t="shared" si="91"/>
        <v>45292</v>
      </c>
      <c r="D539" t="s">
        <v>1746</v>
      </c>
      <c r="E539">
        <v>308.8</v>
      </c>
      <c r="F539">
        <v>12.9</v>
      </c>
      <c r="G539" t="s">
        <v>87</v>
      </c>
      <c r="H539" t="s">
        <v>88</v>
      </c>
      <c r="I539" t="s">
        <v>32</v>
      </c>
      <c r="J539">
        <v>240</v>
      </c>
      <c r="K539" t="s">
        <v>33</v>
      </c>
      <c r="L539" t="s">
        <v>34</v>
      </c>
      <c r="M539" t="s">
        <v>35</v>
      </c>
      <c r="N539" t="s">
        <v>61</v>
      </c>
      <c r="O539" t="s">
        <v>51</v>
      </c>
      <c r="P539" t="s">
        <v>38</v>
      </c>
      <c r="Q539" t="s">
        <v>38</v>
      </c>
      <c r="R539">
        <v>1</v>
      </c>
      <c r="S539" t="s">
        <v>38</v>
      </c>
      <c r="T539">
        <v>4</v>
      </c>
      <c r="U539">
        <v>0.1</v>
      </c>
      <c r="V539">
        <v>27.6</v>
      </c>
      <c r="W539" t="s">
        <v>39</v>
      </c>
      <c r="X539" t="s">
        <v>52</v>
      </c>
      <c r="Y539" t="s">
        <v>38</v>
      </c>
      <c r="Z539" t="s">
        <v>81</v>
      </c>
      <c r="AA539" t="s">
        <v>54</v>
      </c>
      <c r="AB539" t="s">
        <v>83</v>
      </c>
      <c r="AC539">
        <f t="shared" si="88"/>
        <v>1</v>
      </c>
      <c r="AD539" s="12">
        <f t="shared" si="92"/>
        <v>0</v>
      </c>
      <c r="AE539" s="12">
        <f t="shared" si="93"/>
        <v>0</v>
      </c>
      <c r="AF539">
        <f t="shared" si="89"/>
        <v>1</v>
      </c>
      <c r="AG539">
        <f t="shared" si="94"/>
        <v>0</v>
      </c>
      <c r="AH539">
        <f t="shared" si="95"/>
        <v>0</v>
      </c>
      <c r="AI539">
        <f t="shared" si="96"/>
        <v>0</v>
      </c>
      <c r="AJ539">
        <f t="shared" si="97"/>
        <v>1</v>
      </c>
      <c r="AK539">
        <f t="shared" si="90"/>
        <v>0</v>
      </c>
      <c r="AL539">
        <f t="shared" si="98"/>
        <v>1</v>
      </c>
    </row>
    <row r="540" spans="1:38">
      <c r="A540" t="s">
        <v>1747</v>
      </c>
      <c r="B540" t="s">
        <v>1748</v>
      </c>
      <c r="C540" s="1">
        <f t="shared" si="91"/>
        <v>45566</v>
      </c>
      <c r="D540" t="s">
        <v>1749</v>
      </c>
      <c r="E540">
        <v>155.6</v>
      </c>
      <c r="F540">
        <v>6.5</v>
      </c>
      <c r="G540" t="s">
        <v>77</v>
      </c>
      <c r="H540" t="s">
        <v>244</v>
      </c>
      <c r="I540" t="s">
        <v>32</v>
      </c>
      <c r="J540">
        <v>240</v>
      </c>
      <c r="K540" t="s">
        <v>49</v>
      </c>
      <c r="L540" t="s">
        <v>34</v>
      </c>
      <c r="M540" t="s">
        <v>35</v>
      </c>
      <c r="N540" t="s">
        <v>97</v>
      </c>
      <c r="O540" t="s">
        <v>37</v>
      </c>
      <c r="P540" t="s">
        <v>39</v>
      </c>
      <c r="Q540" t="s">
        <v>38</v>
      </c>
      <c r="R540">
        <v>0</v>
      </c>
      <c r="S540" t="s">
        <v>38</v>
      </c>
      <c r="T540">
        <v>10</v>
      </c>
      <c r="U540">
        <v>0.1</v>
      </c>
      <c r="V540">
        <v>36.9</v>
      </c>
      <c r="W540" t="s">
        <v>39</v>
      </c>
      <c r="X540" t="s">
        <v>40</v>
      </c>
      <c r="Y540" t="s">
        <v>39</v>
      </c>
      <c r="Z540" t="s">
        <v>73</v>
      </c>
      <c r="AA540" t="s">
        <v>82</v>
      </c>
      <c r="AB540" t="s">
        <v>83</v>
      </c>
      <c r="AC540">
        <f t="shared" si="88"/>
        <v>0</v>
      </c>
      <c r="AD540" s="12">
        <f t="shared" si="92"/>
        <v>0</v>
      </c>
      <c r="AE540" s="12">
        <f t="shared" si="93"/>
        <v>0</v>
      </c>
      <c r="AF540">
        <f t="shared" si="89"/>
        <v>0</v>
      </c>
      <c r="AG540">
        <f t="shared" si="94"/>
        <v>0</v>
      </c>
      <c r="AH540">
        <f t="shared" si="95"/>
        <v>0</v>
      </c>
      <c r="AI540">
        <f t="shared" si="96"/>
        <v>0</v>
      </c>
      <c r="AJ540">
        <f t="shared" si="97"/>
        <v>1</v>
      </c>
      <c r="AK540">
        <f t="shared" si="90"/>
        <v>0</v>
      </c>
      <c r="AL540">
        <f t="shared" si="98"/>
        <v>0</v>
      </c>
    </row>
    <row r="541" spans="1:38">
      <c r="A541" t="s">
        <v>1750</v>
      </c>
      <c r="B541" t="s">
        <v>1751</v>
      </c>
      <c r="C541" s="1">
        <f t="shared" si="91"/>
        <v>45323</v>
      </c>
      <c r="D541" t="s">
        <v>1752</v>
      </c>
      <c r="E541">
        <v>444.4</v>
      </c>
      <c r="F541">
        <v>18.5</v>
      </c>
      <c r="G541" t="s">
        <v>142</v>
      </c>
      <c r="H541" t="s">
        <v>143</v>
      </c>
      <c r="I541" t="s">
        <v>32</v>
      </c>
      <c r="J541">
        <v>240</v>
      </c>
      <c r="K541" t="s">
        <v>33</v>
      </c>
      <c r="L541" t="s">
        <v>96</v>
      </c>
      <c r="M541" t="s">
        <v>71</v>
      </c>
      <c r="N541" t="s">
        <v>202</v>
      </c>
      <c r="O541" t="s">
        <v>51</v>
      </c>
      <c r="P541" t="s">
        <v>38</v>
      </c>
      <c r="Q541" t="s">
        <v>39</v>
      </c>
      <c r="R541">
        <v>3</v>
      </c>
      <c r="S541" t="s">
        <v>38</v>
      </c>
      <c r="T541">
        <v>8</v>
      </c>
      <c r="U541">
        <v>4.8</v>
      </c>
      <c r="V541">
        <v>26.2</v>
      </c>
      <c r="W541" t="s">
        <v>39</v>
      </c>
      <c r="X541" t="s">
        <v>63</v>
      </c>
      <c r="Y541" t="s">
        <v>39</v>
      </c>
      <c r="Z541" t="s">
        <v>179</v>
      </c>
      <c r="AA541" t="s">
        <v>109</v>
      </c>
      <c r="AB541" t="s">
        <v>55</v>
      </c>
      <c r="AC541">
        <f t="shared" si="88"/>
        <v>0</v>
      </c>
      <c r="AD541" s="12">
        <f t="shared" si="92"/>
        <v>1</v>
      </c>
      <c r="AE541" s="12">
        <f t="shared" si="93"/>
        <v>0</v>
      </c>
      <c r="AF541">
        <f t="shared" si="89"/>
        <v>1</v>
      </c>
      <c r="AG541">
        <f t="shared" si="94"/>
        <v>0</v>
      </c>
      <c r="AH541">
        <f t="shared" si="95"/>
        <v>0</v>
      </c>
      <c r="AI541">
        <f t="shared" si="96"/>
        <v>0</v>
      </c>
      <c r="AJ541">
        <f t="shared" si="97"/>
        <v>1</v>
      </c>
      <c r="AK541">
        <f t="shared" si="90"/>
        <v>0</v>
      </c>
      <c r="AL541">
        <f t="shared" si="98"/>
        <v>0</v>
      </c>
    </row>
    <row r="542" spans="1:38">
      <c r="A542" t="s">
        <v>1753</v>
      </c>
      <c r="B542" t="s">
        <v>1754</v>
      </c>
      <c r="C542" s="1">
        <f t="shared" si="91"/>
        <v>45505</v>
      </c>
      <c r="D542" t="s">
        <v>1755</v>
      </c>
      <c r="E542">
        <v>229.2</v>
      </c>
      <c r="F542">
        <v>9.5</v>
      </c>
      <c r="G542" t="s">
        <v>77</v>
      </c>
      <c r="H542" t="s">
        <v>267</v>
      </c>
      <c r="I542" t="s">
        <v>79</v>
      </c>
      <c r="J542">
        <v>360</v>
      </c>
      <c r="K542" t="s">
        <v>49</v>
      </c>
      <c r="L542" t="s">
        <v>133</v>
      </c>
      <c r="M542" t="s">
        <v>35</v>
      </c>
      <c r="N542" t="s">
        <v>138</v>
      </c>
      <c r="O542" t="s">
        <v>7232</v>
      </c>
      <c r="P542" t="s">
        <v>38</v>
      </c>
      <c r="Q542" t="s">
        <v>38</v>
      </c>
      <c r="R542">
        <v>1</v>
      </c>
      <c r="S542" t="s">
        <v>38</v>
      </c>
      <c r="T542">
        <v>9</v>
      </c>
      <c r="U542">
        <v>0.7</v>
      </c>
      <c r="V542">
        <v>11.4</v>
      </c>
      <c r="W542" t="s">
        <v>39</v>
      </c>
      <c r="X542" t="s">
        <v>40</v>
      </c>
      <c r="Y542" t="s">
        <v>39</v>
      </c>
      <c r="Z542" t="s">
        <v>64</v>
      </c>
      <c r="AA542" t="s">
        <v>54</v>
      </c>
      <c r="AB542" t="s">
        <v>83</v>
      </c>
      <c r="AC542">
        <f t="shared" si="88"/>
        <v>0</v>
      </c>
      <c r="AD542" s="12">
        <f t="shared" si="92"/>
        <v>0</v>
      </c>
      <c r="AE542" s="12">
        <f t="shared" si="93"/>
        <v>0</v>
      </c>
      <c r="AF542">
        <f t="shared" si="89"/>
        <v>0</v>
      </c>
      <c r="AG542">
        <f t="shared" si="94"/>
        <v>1</v>
      </c>
      <c r="AH542">
        <f t="shared" si="95"/>
        <v>0</v>
      </c>
      <c r="AI542">
        <f t="shared" si="96"/>
        <v>0</v>
      </c>
      <c r="AJ542">
        <f t="shared" si="97"/>
        <v>0</v>
      </c>
      <c r="AK542">
        <f t="shared" si="90"/>
        <v>0</v>
      </c>
      <c r="AL542">
        <f t="shared" si="98"/>
        <v>0</v>
      </c>
    </row>
    <row r="543" spans="1:38">
      <c r="A543" t="s">
        <v>1756</v>
      </c>
      <c r="B543" t="s">
        <v>1757</v>
      </c>
      <c r="C543" s="1">
        <f t="shared" si="91"/>
        <v>45474</v>
      </c>
      <c r="D543" t="s">
        <v>1758</v>
      </c>
      <c r="E543">
        <v>180.2</v>
      </c>
      <c r="F543">
        <v>7.5</v>
      </c>
      <c r="G543" t="s">
        <v>30</v>
      </c>
      <c r="H543" t="s">
        <v>31</v>
      </c>
      <c r="I543" t="s">
        <v>32</v>
      </c>
      <c r="J543">
        <v>240</v>
      </c>
      <c r="K543" t="s">
        <v>49</v>
      </c>
      <c r="L543" t="s">
        <v>70</v>
      </c>
      <c r="M543" t="s">
        <v>35</v>
      </c>
      <c r="N543" t="s">
        <v>220</v>
      </c>
      <c r="O543" t="s">
        <v>37</v>
      </c>
      <c r="P543" t="s">
        <v>39</v>
      </c>
      <c r="Q543" t="s">
        <v>38</v>
      </c>
      <c r="R543">
        <v>0</v>
      </c>
      <c r="S543" t="s">
        <v>38</v>
      </c>
      <c r="T543">
        <v>10</v>
      </c>
      <c r="U543">
        <v>4.3</v>
      </c>
      <c r="V543">
        <v>29.4</v>
      </c>
      <c r="W543" t="s">
        <v>39</v>
      </c>
      <c r="X543" t="s">
        <v>52</v>
      </c>
      <c r="Y543" t="s">
        <v>38</v>
      </c>
      <c r="Z543" t="s">
        <v>64</v>
      </c>
      <c r="AA543" t="s">
        <v>54</v>
      </c>
      <c r="AB543" t="s">
        <v>83</v>
      </c>
      <c r="AC543">
        <f t="shared" si="88"/>
        <v>1</v>
      </c>
      <c r="AD543" s="12">
        <f t="shared" si="92"/>
        <v>0</v>
      </c>
      <c r="AE543" s="12">
        <f t="shared" si="93"/>
        <v>0</v>
      </c>
      <c r="AF543">
        <f t="shared" si="89"/>
        <v>0</v>
      </c>
      <c r="AG543">
        <f t="shared" si="94"/>
        <v>0</v>
      </c>
      <c r="AH543">
        <f t="shared" si="95"/>
        <v>0</v>
      </c>
      <c r="AI543">
        <f t="shared" si="96"/>
        <v>0</v>
      </c>
      <c r="AJ543">
        <f t="shared" si="97"/>
        <v>1</v>
      </c>
      <c r="AK543">
        <f t="shared" si="90"/>
        <v>1</v>
      </c>
      <c r="AL543">
        <f t="shared" si="98"/>
        <v>1</v>
      </c>
    </row>
    <row r="544" spans="1:38">
      <c r="A544" t="s">
        <v>1759</v>
      </c>
      <c r="B544" t="s">
        <v>1760</v>
      </c>
      <c r="C544" s="1">
        <f t="shared" si="91"/>
        <v>45352</v>
      </c>
      <c r="D544" t="s">
        <v>1761</v>
      </c>
      <c r="E544">
        <v>609.20000000000005</v>
      </c>
      <c r="F544">
        <v>25.4</v>
      </c>
      <c r="G544" t="s">
        <v>30</v>
      </c>
      <c r="H544" t="s">
        <v>47</v>
      </c>
      <c r="I544" t="s">
        <v>32</v>
      </c>
      <c r="J544">
        <v>240</v>
      </c>
      <c r="K544" t="s">
        <v>33</v>
      </c>
      <c r="L544" t="s">
        <v>96</v>
      </c>
      <c r="M544" t="s">
        <v>35</v>
      </c>
      <c r="N544" t="s">
        <v>50</v>
      </c>
      <c r="O544" t="s">
        <v>51</v>
      </c>
      <c r="P544" t="s">
        <v>39</v>
      </c>
      <c r="Q544" t="s">
        <v>38</v>
      </c>
      <c r="R544">
        <v>0</v>
      </c>
      <c r="S544" t="s">
        <v>38</v>
      </c>
      <c r="T544">
        <v>7</v>
      </c>
      <c r="U544">
        <v>3.5</v>
      </c>
      <c r="V544">
        <v>31.8</v>
      </c>
      <c r="W544" t="s">
        <v>38</v>
      </c>
      <c r="X544" t="s">
        <v>63</v>
      </c>
      <c r="Y544" t="s">
        <v>39</v>
      </c>
      <c r="Z544" t="s">
        <v>179</v>
      </c>
      <c r="AA544" t="s">
        <v>103</v>
      </c>
      <c r="AB544" t="s">
        <v>55</v>
      </c>
      <c r="AC544">
        <f t="shared" si="88"/>
        <v>0</v>
      </c>
      <c r="AD544" s="12">
        <f t="shared" si="92"/>
        <v>1</v>
      </c>
      <c r="AE544" s="12">
        <f t="shared" si="93"/>
        <v>0</v>
      </c>
      <c r="AF544">
        <f t="shared" si="89"/>
        <v>1</v>
      </c>
      <c r="AG544">
        <f t="shared" si="94"/>
        <v>0</v>
      </c>
      <c r="AH544">
        <f t="shared" si="95"/>
        <v>0</v>
      </c>
      <c r="AI544">
        <f t="shared" si="96"/>
        <v>0</v>
      </c>
      <c r="AJ544">
        <f t="shared" si="97"/>
        <v>1</v>
      </c>
      <c r="AK544">
        <f t="shared" si="90"/>
        <v>1</v>
      </c>
      <c r="AL544">
        <f t="shared" si="98"/>
        <v>0</v>
      </c>
    </row>
    <row r="545" spans="1:38">
      <c r="A545" t="s">
        <v>1762</v>
      </c>
      <c r="B545" t="s">
        <v>1763</v>
      </c>
      <c r="C545" s="1">
        <f t="shared" si="91"/>
        <v>45536</v>
      </c>
      <c r="D545" t="s">
        <v>1764</v>
      </c>
      <c r="E545">
        <v>96.4</v>
      </c>
      <c r="F545">
        <v>4</v>
      </c>
      <c r="G545" t="s">
        <v>68</v>
      </c>
      <c r="H545" t="s">
        <v>212</v>
      </c>
      <c r="I545" t="s">
        <v>48</v>
      </c>
      <c r="J545">
        <v>120</v>
      </c>
      <c r="K545" t="s">
        <v>49</v>
      </c>
      <c r="L545" t="s">
        <v>96</v>
      </c>
      <c r="M545" t="s">
        <v>35</v>
      </c>
      <c r="N545" t="s">
        <v>277</v>
      </c>
      <c r="O545" t="s">
        <v>7232</v>
      </c>
      <c r="P545" t="s">
        <v>39</v>
      </c>
      <c r="Q545" t="s">
        <v>38</v>
      </c>
      <c r="R545">
        <v>0</v>
      </c>
      <c r="S545" t="s">
        <v>38</v>
      </c>
      <c r="T545">
        <v>10</v>
      </c>
      <c r="U545">
        <v>1.6</v>
      </c>
      <c r="V545">
        <v>7.8</v>
      </c>
      <c r="W545" t="s">
        <v>38</v>
      </c>
      <c r="X545" t="s">
        <v>52</v>
      </c>
      <c r="Y545" t="s">
        <v>39</v>
      </c>
      <c r="Z545" t="s">
        <v>108</v>
      </c>
      <c r="AA545" t="s">
        <v>42</v>
      </c>
      <c r="AB545" t="s">
        <v>83</v>
      </c>
      <c r="AC545">
        <f t="shared" si="88"/>
        <v>1</v>
      </c>
      <c r="AD545" s="12">
        <f t="shared" si="92"/>
        <v>0</v>
      </c>
      <c r="AE545" s="12">
        <f t="shared" si="93"/>
        <v>0</v>
      </c>
      <c r="AF545">
        <f t="shared" si="89"/>
        <v>0</v>
      </c>
      <c r="AG545">
        <f t="shared" si="94"/>
        <v>1</v>
      </c>
      <c r="AH545">
        <f t="shared" si="95"/>
        <v>1</v>
      </c>
      <c r="AI545">
        <f t="shared" si="96"/>
        <v>0</v>
      </c>
      <c r="AJ545">
        <f t="shared" si="97"/>
        <v>0</v>
      </c>
      <c r="AK545">
        <f t="shared" si="90"/>
        <v>0</v>
      </c>
      <c r="AL545">
        <f t="shared" si="98"/>
        <v>0</v>
      </c>
    </row>
    <row r="546" spans="1:38">
      <c r="A546" t="s">
        <v>1765</v>
      </c>
      <c r="B546" t="s">
        <v>1766</v>
      </c>
      <c r="C546" s="1">
        <f t="shared" si="91"/>
        <v>45352</v>
      </c>
      <c r="D546" t="s">
        <v>1767</v>
      </c>
      <c r="E546">
        <v>85</v>
      </c>
      <c r="F546">
        <v>3.5</v>
      </c>
      <c r="G546" t="s">
        <v>68</v>
      </c>
      <c r="H546" t="s">
        <v>69</v>
      </c>
      <c r="I546" t="s">
        <v>48</v>
      </c>
      <c r="J546">
        <v>120</v>
      </c>
      <c r="K546" t="s">
        <v>49</v>
      </c>
      <c r="L546" t="s">
        <v>70</v>
      </c>
      <c r="M546" t="s">
        <v>35</v>
      </c>
      <c r="N546" t="s">
        <v>202</v>
      </c>
      <c r="O546" t="s">
        <v>51</v>
      </c>
      <c r="P546" t="s">
        <v>39</v>
      </c>
      <c r="Q546" t="s">
        <v>38</v>
      </c>
      <c r="R546">
        <v>0</v>
      </c>
      <c r="S546" t="s">
        <v>38</v>
      </c>
      <c r="T546">
        <v>8</v>
      </c>
      <c r="U546">
        <v>1.9</v>
      </c>
      <c r="V546">
        <v>28.8</v>
      </c>
      <c r="W546" t="s">
        <v>39</v>
      </c>
      <c r="X546" t="s">
        <v>63</v>
      </c>
      <c r="Y546" t="s">
        <v>39</v>
      </c>
      <c r="Z546" t="s">
        <v>81</v>
      </c>
      <c r="AA546" t="s">
        <v>82</v>
      </c>
      <c r="AB546" t="s">
        <v>83</v>
      </c>
      <c r="AC546">
        <f t="shared" si="88"/>
        <v>0</v>
      </c>
      <c r="AD546" s="12">
        <f t="shared" si="92"/>
        <v>1</v>
      </c>
      <c r="AE546" s="12">
        <f t="shared" si="93"/>
        <v>0</v>
      </c>
      <c r="AF546">
        <f t="shared" si="89"/>
        <v>1</v>
      </c>
      <c r="AG546">
        <f t="shared" si="94"/>
        <v>0</v>
      </c>
      <c r="AH546">
        <f t="shared" si="95"/>
        <v>1</v>
      </c>
      <c r="AI546">
        <f t="shared" si="96"/>
        <v>0</v>
      </c>
      <c r="AJ546">
        <f t="shared" si="97"/>
        <v>0</v>
      </c>
      <c r="AK546">
        <f t="shared" si="90"/>
        <v>0</v>
      </c>
      <c r="AL546">
        <f t="shared" si="98"/>
        <v>0</v>
      </c>
    </row>
    <row r="547" spans="1:38">
      <c r="A547" t="s">
        <v>1768</v>
      </c>
      <c r="B547" t="s">
        <v>1769</v>
      </c>
      <c r="C547" s="1">
        <f t="shared" si="91"/>
        <v>45323</v>
      </c>
      <c r="D547" t="s">
        <v>1770</v>
      </c>
      <c r="E547">
        <v>76.7</v>
      </c>
      <c r="F547">
        <v>3.2</v>
      </c>
      <c r="G547" t="s">
        <v>59</v>
      </c>
      <c r="H547" t="s">
        <v>466</v>
      </c>
      <c r="I547" t="s">
        <v>48</v>
      </c>
      <c r="J547">
        <v>120</v>
      </c>
      <c r="K547" t="s">
        <v>49</v>
      </c>
      <c r="L547" t="s">
        <v>96</v>
      </c>
      <c r="M547" t="s">
        <v>71</v>
      </c>
      <c r="N547" t="s">
        <v>192</v>
      </c>
      <c r="O547" t="s">
        <v>7232</v>
      </c>
      <c r="P547" t="s">
        <v>38</v>
      </c>
      <c r="Q547" t="s">
        <v>39</v>
      </c>
      <c r="R547">
        <v>1</v>
      </c>
      <c r="S547" t="s">
        <v>38</v>
      </c>
      <c r="T547">
        <v>9</v>
      </c>
      <c r="U547">
        <v>1.8</v>
      </c>
      <c r="V547">
        <v>7.1</v>
      </c>
      <c r="W547" t="s">
        <v>39</v>
      </c>
      <c r="X547" t="s">
        <v>63</v>
      </c>
      <c r="Y547" t="s">
        <v>38</v>
      </c>
      <c r="Z547" t="s">
        <v>64</v>
      </c>
      <c r="AA547" t="s">
        <v>54</v>
      </c>
      <c r="AB547" t="s">
        <v>83</v>
      </c>
      <c r="AC547">
        <f t="shared" si="88"/>
        <v>0</v>
      </c>
      <c r="AD547" s="12">
        <f t="shared" si="92"/>
        <v>1</v>
      </c>
      <c r="AE547" s="12">
        <f t="shared" si="93"/>
        <v>0</v>
      </c>
      <c r="AF547">
        <f t="shared" si="89"/>
        <v>0</v>
      </c>
      <c r="AG547">
        <f t="shared" si="94"/>
        <v>1</v>
      </c>
      <c r="AH547">
        <f t="shared" si="95"/>
        <v>1</v>
      </c>
      <c r="AI547">
        <f t="shared" si="96"/>
        <v>0</v>
      </c>
      <c r="AJ547">
        <f t="shared" si="97"/>
        <v>0</v>
      </c>
      <c r="AK547">
        <f t="shared" si="90"/>
        <v>0</v>
      </c>
      <c r="AL547">
        <f t="shared" si="98"/>
        <v>1</v>
      </c>
    </row>
    <row r="548" spans="1:38">
      <c r="A548" t="s">
        <v>1771</v>
      </c>
      <c r="B548" t="s">
        <v>1772</v>
      </c>
      <c r="C548" s="1">
        <f t="shared" si="91"/>
        <v>45536</v>
      </c>
      <c r="D548" t="s">
        <v>1773</v>
      </c>
      <c r="E548">
        <v>509.9</v>
      </c>
      <c r="F548">
        <v>21.2</v>
      </c>
      <c r="G548" t="s">
        <v>142</v>
      </c>
      <c r="H548" t="s">
        <v>143</v>
      </c>
      <c r="I548" t="s">
        <v>32</v>
      </c>
      <c r="J548">
        <v>240</v>
      </c>
      <c r="K548" t="s">
        <v>33</v>
      </c>
      <c r="L548" t="s">
        <v>34</v>
      </c>
      <c r="M548" t="s">
        <v>71</v>
      </c>
      <c r="N548" t="s">
        <v>168</v>
      </c>
      <c r="O548" t="s">
        <v>7232</v>
      </c>
      <c r="P548" t="s">
        <v>38</v>
      </c>
      <c r="Q548" t="s">
        <v>39</v>
      </c>
      <c r="R548">
        <v>4</v>
      </c>
      <c r="S548" t="s">
        <v>38</v>
      </c>
      <c r="T548">
        <v>6</v>
      </c>
      <c r="U548">
        <v>0.7</v>
      </c>
      <c r="V548">
        <v>14.3</v>
      </c>
      <c r="W548" t="s">
        <v>39</v>
      </c>
      <c r="X548" t="s">
        <v>63</v>
      </c>
      <c r="Y548" t="s">
        <v>38</v>
      </c>
      <c r="Z548" t="s">
        <v>115</v>
      </c>
      <c r="AA548" t="s">
        <v>82</v>
      </c>
      <c r="AB548" t="s">
        <v>83</v>
      </c>
      <c r="AC548">
        <f t="shared" si="88"/>
        <v>0</v>
      </c>
      <c r="AD548" s="12">
        <f t="shared" si="92"/>
        <v>1</v>
      </c>
      <c r="AE548" s="12">
        <f t="shared" si="93"/>
        <v>0</v>
      </c>
      <c r="AF548">
        <f t="shared" si="89"/>
        <v>0</v>
      </c>
      <c r="AG548">
        <f t="shared" si="94"/>
        <v>1</v>
      </c>
      <c r="AH548">
        <f t="shared" si="95"/>
        <v>0</v>
      </c>
      <c r="AI548">
        <f t="shared" si="96"/>
        <v>0</v>
      </c>
      <c r="AJ548">
        <f t="shared" si="97"/>
        <v>1</v>
      </c>
      <c r="AK548">
        <f t="shared" si="90"/>
        <v>0</v>
      </c>
      <c r="AL548">
        <f t="shared" si="98"/>
        <v>1</v>
      </c>
    </row>
    <row r="549" spans="1:38">
      <c r="A549" t="s">
        <v>1774</v>
      </c>
      <c r="B549" t="s">
        <v>1775</v>
      </c>
      <c r="C549" s="1">
        <f t="shared" si="91"/>
        <v>45566</v>
      </c>
      <c r="D549" t="s">
        <v>1776</v>
      </c>
      <c r="E549">
        <v>265.8</v>
      </c>
      <c r="F549">
        <v>11.1</v>
      </c>
      <c r="G549" t="s">
        <v>30</v>
      </c>
      <c r="H549" t="s">
        <v>47</v>
      </c>
      <c r="I549" t="s">
        <v>32</v>
      </c>
      <c r="J549">
        <v>240</v>
      </c>
      <c r="K549" t="s">
        <v>33</v>
      </c>
      <c r="L549" t="s">
        <v>34</v>
      </c>
      <c r="M549" t="s">
        <v>35</v>
      </c>
      <c r="N549" t="s">
        <v>155</v>
      </c>
      <c r="O549" t="s">
        <v>51</v>
      </c>
      <c r="P549" t="s">
        <v>39</v>
      </c>
      <c r="Q549" t="s">
        <v>38</v>
      </c>
      <c r="R549">
        <v>0</v>
      </c>
      <c r="S549" t="s">
        <v>38</v>
      </c>
      <c r="T549">
        <v>6</v>
      </c>
      <c r="U549">
        <v>1.6</v>
      </c>
      <c r="V549">
        <v>37.200000000000003</v>
      </c>
      <c r="W549" t="s">
        <v>38</v>
      </c>
      <c r="X549" t="s">
        <v>40</v>
      </c>
      <c r="Y549" t="s">
        <v>39</v>
      </c>
      <c r="Z549" t="s">
        <v>73</v>
      </c>
      <c r="AA549" t="s">
        <v>82</v>
      </c>
      <c r="AB549" t="s">
        <v>83</v>
      </c>
      <c r="AC549">
        <f t="shared" si="88"/>
        <v>0</v>
      </c>
      <c r="AD549" s="12">
        <f t="shared" si="92"/>
        <v>0</v>
      </c>
      <c r="AE549" s="12">
        <f t="shared" si="93"/>
        <v>0</v>
      </c>
      <c r="AF549">
        <f t="shared" si="89"/>
        <v>1</v>
      </c>
      <c r="AG549">
        <f t="shared" si="94"/>
        <v>0</v>
      </c>
      <c r="AH549">
        <f t="shared" si="95"/>
        <v>0</v>
      </c>
      <c r="AI549">
        <f t="shared" si="96"/>
        <v>0</v>
      </c>
      <c r="AJ549">
        <f t="shared" si="97"/>
        <v>1</v>
      </c>
      <c r="AK549">
        <f t="shared" si="90"/>
        <v>1</v>
      </c>
      <c r="AL549">
        <f t="shared" si="98"/>
        <v>0</v>
      </c>
    </row>
    <row r="550" spans="1:38">
      <c r="A550" t="s">
        <v>1777</v>
      </c>
      <c r="B550" t="s">
        <v>1778</v>
      </c>
      <c r="C550" s="1">
        <f t="shared" si="91"/>
        <v>45627</v>
      </c>
      <c r="D550" t="s">
        <v>1779</v>
      </c>
      <c r="E550">
        <v>90.5</v>
      </c>
      <c r="F550">
        <v>3.8</v>
      </c>
      <c r="G550" t="s">
        <v>87</v>
      </c>
      <c r="H550" t="s">
        <v>151</v>
      </c>
      <c r="I550" t="s">
        <v>48</v>
      </c>
      <c r="J550">
        <v>120</v>
      </c>
      <c r="K550" t="s">
        <v>49</v>
      </c>
      <c r="L550" t="s">
        <v>96</v>
      </c>
      <c r="M550" t="s">
        <v>35</v>
      </c>
      <c r="N550" t="s">
        <v>202</v>
      </c>
      <c r="O550" t="s">
        <v>51</v>
      </c>
      <c r="P550" t="s">
        <v>39</v>
      </c>
      <c r="Q550" t="s">
        <v>38</v>
      </c>
      <c r="R550">
        <v>0</v>
      </c>
      <c r="S550" t="s">
        <v>38</v>
      </c>
      <c r="T550">
        <v>10</v>
      </c>
      <c r="U550">
        <v>1.6</v>
      </c>
      <c r="V550">
        <v>40.799999999999997</v>
      </c>
      <c r="W550" t="s">
        <v>38</v>
      </c>
      <c r="X550" t="s">
        <v>63</v>
      </c>
      <c r="Y550" t="s">
        <v>38</v>
      </c>
      <c r="Z550" t="s">
        <v>73</v>
      </c>
      <c r="AA550" t="s">
        <v>109</v>
      </c>
      <c r="AB550" t="s">
        <v>83</v>
      </c>
      <c r="AC550">
        <f t="shared" si="88"/>
        <v>0</v>
      </c>
      <c r="AD550" s="12">
        <f t="shared" si="92"/>
        <v>1</v>
      </c>
      <c r="AE550" s="12">
        <f t="shared" si="93"/>
        <v>0</v>
      </c>
      <c r="AF550">
        <f t="shared" si="89"/>
        <v>1</v>
      </c>
      <c r="AG550">
        <f t="shared" si="94"/>
        <v>0</v>
      </c>
      <c r="AH550">
        <f t="shared" si="95"/>
        <v>1</v>
      </c>
      <c r="AI550">
        <f t="shared" si="96"/>
        <v>0</v>
      </c>
      <c r="AJ550">
        <f t="shared" si="97"/>
        <v>0</v>
      </c>
      <c r="AK550">
        <f t="shared" si="90"/>
        <v>0</v>
      </c>
      <c r="AL550">
        <f t="shared" si="98"/>
        <v>1</v>
      </c>
    </row>
    <row r="551" spans="1:38">
      <c r="A551" t="s">
        <v>1780</v>
      </c>
      <c r="B551" t="s">
        <v>1781</v>
      </c>
      <c r="C551" s="1">
        <f t="shared" si="91"/>
        <v>45323</v>
      </c>
      <c r="D551" t="s">
        <v>1782</v>
      </c>
      <c r="E551">
        <v>32</v>
      </c>
      <c r="F551">
        <v>1.3</v>
      </c>
      <c r="G551" t="s">
        <v>68</v>
      </c>
      <c r="H551" t="s">
        <v>69</v>
      </c>
      <c r="I551" t="s">
        <v>95</v>
      </c>
      <c r="J551">
        <v>48</v>
      </c>
      <c r="K551" t="s">
        <v>49</v>
      </c>
      <c r="L551" t="s">
        <v>113</v>
      </c>
      <c r="M551" t="s">
        <v>35</v>
      </c>
      <c r="N551" t="s">
        <v>299</v>
      </c>
      <c r="O551" t="s">
        <v>7232</v>
      </c>
      <c r="P551" t="s">
        <v>38</v>
      </c>
      <c r="Q551" t="s">
        <v>38</v>
      </c>
      <c r="R551">
        <v>1</v>
      </c>
      <c r="S551" t="s">
        <v>38</v>
      </c>
      <c r="T551">
        <v>10</v>
      </c>
      <c r="U551">
        <v>1.1000000000000001</v>
      </c>
      <c r="V551">
        <v>30.4</v>
      </c>
      <c r="W551" t="s">
        <v>39</v>
      </c>
      <c r="X551" t="s">
        <v>63</v>
      </c>
      <c r="Y551" t="s">
        <v>38</v>
      </c>
      <c r="Z551" t="s">
        <v>53</v>
      </c>
      <c r="AA551" t="s">
        <v>54</v>
      </c>
      <c r="AB551" t="s">
        <v>83</v>
      </c>
      <c r="AC551">
        <f t="shared" si="88"/>
        <v>0</v>
      </c>
      <c r="AD551" s="12">
        <f t="shared" si="92"/>
        <v>1</v>
      </c>
      <c r="AE551" s="12">
        <f t="shared" si="93"/>
        <v>0</v>
      </c>
      <c r="AF551">
        <f t="shared" si="89"/>
        <v>0</v>
      </c>
      <c r="AG551">
        <f t="shared" si="94"/>
        <v>1</v>
      </c>
      <c r="AH551">
        <f t="shared" si="95"/>
        <v>0</v>
      </c>
      <c r="AI551">
        <f t="shared" si="96"/>
        <v>1</v>
      </c>
      <c r="AJ551">
        <f t="shared" si="97"/>
        <v>0</v>
      </c>
      <c r="AK551">
        <f t="shared" si="90"/>
        <v>0</v>
      </c>
      <c r="AL551">
        <f t="shared" si="98"/>
        <v>1</v>
      </c>
    </row>
    <row r="552" spans="1:38">
      <c r="A552" t="s">
        <v>1783</v>
      </c>
      <c r="B552" t="s">
        <v>1784</v>
      </c>
      <c r="C552" s="1">
        <f t="shared" si="91"/>
        <v>45383</v>
      </c>
      <c r="D552" t="s">
        <v>1785</v>
      </c>
      <c r="E552">
        <v>221.6</v>
      </c>
      <c r="F552">
        <v>9.1999999999999993</v>
      </c>
      <c r="G552" t="s">
        <v>59</v>
      </c>
      <c r="H552" t="s">
        <v>227</v>
      </c>
      <c r="I552" t="s">
        <v>48</v>
      </c>
      <c r="J552">
        <v>120</v>
      </c>
      <c r="K552" t="s">
        <v>33</v>
      </c>
      <c r="L552" t="s">
        <v>34</v>
      </c>
      <c r="M552" t="s">
        <v>35</v>
      </c>
      <c r="N552" t="s">
        <v>277</v>
      </c>
      <c r="O552" t="s">
        <v>51</v>
      </c>
      <c r="P552" t="s">
        <v>38</v>
      </c>
      <c r="Q552" t="s">
        <v>38</v>
      </c>
      <c r="R552">
        <v>1</v>
      </c>
      <c r="S552" t="s">
        <v>39</v>
      </c>
      <c r="T552">
        <v>7</v>
      </c>
      <c r="U552">
        <v>2.8</v>
      </c>
      <c r="V552">
        <v>8.8000000000000007</v>
      </c>
      <c r="W552" t="s">
        <v>38</v>
      </c>
      <c r="X552" t="s">
        <v>123</v>
      </c>
      <c r="Y552" t="s">
        <v>39</v>
      </c>
      <c r="Z552" t="s">
        <v>64</v>
      </c>
      <c r="AA552" t="s">
        <v>54</v>
      </c>
      <c r="AB552" t="s">
        <v>83</v>
      </c>
      <c r="AC552">
        <f t="shared" si="88"/>
        <v>0</v>
      </c>
      <c r="AD552" s="12">
        <f t="shared" si="92"/>
        <v>0</v>
      </c>
      <c r="AE552" s="12">
        <f t="shared" si="93"/>
        <v>1</v>
      </c>
      <c r="AF552">
        <f t="shared" si="89"/>
        <v>1</v>
      </c>
      <c r="AG552">
        <f t="shared" si="94"/>
        <v>0</v>
      </c>
      <c r="AH552">
        <f t="shared" si="95"/>
        <v>1</v>
      </c>
      <c r="AI552">
        <f t="shared" si="96"/>
        <v>0</v>
      </c>
      <c r="AJ552">
        <f t="shared" si="97"/>
        <v>0</v>
      </c>
      <c r="AK552">
        <f t="shared" si="90"/>
        <v>0</v>
      </c>
      <c r="AL552">
        <f t="shared" si="98"/>
        <v>0</v>
      </c>
    </row>
    <row r="553" spans="1:38">
      <c r="A553" t="s">
        <v>1786</v>
      </c>
      <c r="B553" t="s">
        <v>1787</v>
      </c>
      <c r="C553" s="1">
        <f t="shared" si="91"/>
        <v>45627</v>
      </c>
      <c r="D553" t="s">
        <v>1788</v>
      </c>
      <c r="E553">
        <v>31.5</v>
      </c>
      <c r="F553">
        <v>1.3</v>
      </c>
      <c r="G553" t="s">
        <v>77</v>
      </c>
      <c r="H553" t="s">
        <v>267</v>
      </c>
      <c r="I553" t="s">
        <v>95</v>
      </c>
      <c r="J553">
        <v>48</v>
      </c>
      <c r="K553" t="s">
        <v>49</v>
      </c>
      <c r="L553" t="s">
        <v>70</v>
      </c>
      <c r="M553" t="s">
        <v>35</v>
      </c>
      <c r="N553" t="s">
        <v>192</v>
      </c>
      <c r="O553" t="s">
        <v>7232</v>
      </c>
      <c r="P553" t="s">
        <v>39</v>
      </c>
      <c r="Q553" t="s">
        <v>38</v>
      </c>
      <c r="R553">
        <v>0</v>
      </c>
      <c r="S553" t="s">
        <v>38</v>
      </c>
      <c r="T553">
        <v>10</v>
      </c>
      <c r="U553">
        <v>0.9</v>
      </c>
      <c r="V553">
        <v>5.3</v>
      </c>
      <c r="W553" t="s">
        <v>38</v>
      </c>
      <c r="X553" t="s">
        <v>123</v>
      </c>
      <c r="Y553" t="s">
        <v>39</v>
      </c>
      <c r="Z553" t="s">
        <v>73</v>
      </c>
      <c r="AA553" t="s">
        <v>82</v>
      </c>
      <c r="AB553" t="s">
        <v>43</v>
      </c>
      <c r="AC553">
        <f t="shared" si="88"/>
        <v>0</v>
      </c>
      <c r="AD553" s="12">
        <f t="shared" si="92"/>
        <v>0</v>
      </c>
      <c r="AE553" s="12">
        <f t="shared" si="93"/>
        <v>1</v>
      </c>
      <c r="AF553">
        <f t="shared" si="89"/>
        <v>0</v>
      </c>
      <c r="AG553">
        <f t="shared" si="94"/>
        <v>1</v>
      </c>
      <c r="AH553">
        <f t="shared" si="95"/>
        <v>0</v>
      </c>
      <c r="AI553">
        <f t="shared" si="96"/>
        <v>1</v>
      </c>
      <c r="AJ553">
        <f t="shared" si="97"/>
        <v>0</v>
      </c>
      <c r="AK553">
        <f t="shared" si="90"/>
        <v>0</v>
      </c>
      <c r="AL553">
        <f t="shared" si="98"/>
        <v>0</v>
      </c>
    </row>
    <row r="554" spans="1:38">
      <c r="A554" t="s">
        <v>1789</v>
      </c>
      <c r="B554" t="s">
        <v>1790</v>
      </c>
      <c r="C554" s="1">
        <f t="shared" si="91"/>
        <v>45383</v>
      </c>
      <c r="D554" t="s">
        <v>1791</v>
      </c>
      <c r="E554">
        <v>472.3</v>
      </c>
      <c r="F554">
        <v>19.7</v>
      </c>
      <c r="G554" t="s">
        <v>77</v>
      </c>
      <c r="H554" t="s">
        <v>78</v>
      </c>
      <c r="I554" t="s">
        <v>79</v>
      </c>
      <c r="J554">
        <v>360</v>
      </c>
      <c r="K554" t="s">
        <v>33</v>
      </c>
      <c r="L554" t="s">
        <v>96</v>
      </c>
      <c r="M554" t="s">
        <v>35</v>
      </c>
      <c r="N554" t="s">
        <v>72</v>
      </c>
      <c r="O554" t="s">
        <v>37</v>
      </c>
      <c r="P554" t="s">
        <v>39</v>
      </c>
      <c r="Q554" t="s">
        <v>38</v>
      </c>
      <c r="R554">
        <v>0</v>
      </c>
      <c r="S554" t="s">
        <v>38</v>
      </c>
      <c r="T554">
        <v>6</v>
      </c>
      <c r="U554">
        <v>1.3</v>
      </c>
      <c r="V554">
        <v>0</v>
      </c>
      <c r="W554" t="s">
        <v>39</v>
      </c>
      <c r="X554" t="s">
        <v>63</v>
      </c>
      <c r="Y554" t="s">
        <v>38</v>
      </c>
      <c r="Z554" t="s">
        <v>115</v>
      </c>
      <c r="AA554" t="s">
        <v>109</v>
      </c>
      <c r="AB554" t="s">
        <v>55</v>
      </c>
      <c r="AC554">
        <f t="shared" si="88"/>
        <v>0</v>
      </c>
      <c r="AD554" s="12">
        <f t="shared" si="92"/>
        <v>1</v>
      </c>
      <c r="AE554" s="12">
        <f t="shared" si="93"/>
        <v>0</v>
      </c>
      <c r="AF554">
        <f t="shared" si="89"/>
        <v>0</v>
      </c>
      <c r="AG554">
        <f t="shared" si="94"/>
        <v>0</v>
      </c>
      <c r="AH554">
        <f t="shared" si="95"/>
        <v>0</v>
      </c>
      <c r="AI554">
        <f t="shared" si="96"/>
        <v>0</v>
      </c>
      <c r="AJ554">
        <f t="shared" si="97"/>
        <v>0</v>
      </c>
      <c r="AK554">
        <f t="shared" si="90"/>
        <v>0</v>
      </c>
      <c r="AL554">
        <f t="shared" si="98"/>
        <v>1</v>
      </c>
    </row>
    <row r="555" spans="1:38">
      <c r="A555" t="s">
        <v>1792</v>
      </c>
      <c r="B555" t="s">
        <v>1793</v>
      </c>
      <c r="C555" s="1">
        <f t="shared" si="91"/>
        <v>45627</v>
      </c>
      <c r="D555" t="s">
        <v>1794</v>
      </c>
      <c r="E555">
        <v>218.4</v>
      </c>
      <c r="F555">
        <v>9.1</v>
      </c>
      <c r="G555" t="s">
        <v>30</v>
      </c>
      <c r="H555" t="s">
        <v>47</v>
      </c>
      <c r="I555" t="s">
        <v>32</v>
      </c>
      <c r="J555">
        <v>240</v>
      </c>
      <c r="K555" t="s">
        <v>49</v>
      </c>
      <c r="L555" t="s">
        <v>34</v>
      </c>
      <c r="M555" t="s">
        <v>35</v>
      </c>
      <c r="N555" t="s">
        <v>414</v>
      </c>
      <c r="O555" t="s">
        <v>37</v>
      </c>
      <c r="P555" t="s">
        <v>38</v>
      </c>
      <c r="Q555" t="s">
        <v>38</v>
      </c>
      <c r="R555">
        <v>1</v>
      </c>
      <c r="S555" t="s">
        <v>38</v>
      </c>
      <c r="T555">
        <v>7</v>
      </c>
      <c r="U555">
        <v>2.2999999999999998</v>
      </c>
      <c r="V555">
        <v>29.5</v>
      </c>
      <c r="W555" t="s">
        <v>39</v>
      </c>
      <c r="X555" t="s">
        <v>63</v>
      </c>
      <c r="Y555" t="s">
        <v>38</v>
      </c>
      <c r="Z555" t="s">
        <v>53</v>
      </c>
      <c r="AA555" t="s">
        <v>42</v>
      </c>
      <c r="AB555" t="s">
        <v>83</v>
      </c>
      <c r="AC555">
        <f t="shared" si="88"/>
        <v>0</v>
      </c>
      <c r="AD555" s="12">
        <f t="shared" si="92"/>
        <v>1</v>
      </c>
      <c r="AE555" s="12">
        <f t="shared" si="93"/>
        <v>0</v>
      </c>
      <c r="AF555">
        <f t="shared" si="89"/>
        <v>0</v>
      </c>
      <c r="AG555">
        <f t="shared" si="94"/>
        <v>0</v>
      </c>
      <c r="AH555">
        <f t="shared" si="95"/>
        <v>0</v>
      </c>
      <c r="AI555">
        <f t="shared" si="96"/>
        <v>0</v>
      </c>
      <c r="AJ555">
        <f t="shared" si="97"/>
        <v>1</v>
      </c>
      <c r="AK555">
        <f t="shared" si="90"/>
        <v>1</v>
      </c>
      <c r="AL555">
        <f t="shared" si="98"/>
        <v>1</v>
      </c>
    </row>
    <row r="556" spans="1:38">
      <c r="A556" t="s">
        <v>1795</v>
      </c>
      <c r="B556" t="s">
        <v>1796</v>
      </c>
      <c r="C556" s="1">
        <f t="shared" si="91"/>
        <v>45597</v>
      </c>
      <c r="D556" t="s">
        <v>1797</v>
      </c>
      <c r="E556">
        <v>458.9</v>
      </c>
      <c r="F556">
        <v>19.100000000000001</v>
      </c>
      <c r="G556" t="s">
        <v>30</v>
      </c>
      <c r="H556" t="s">
        <v>172</v>
      </c>
      <c r="I556" t="s">
        <v>79</v>
      </c>
      <c r="J556">
        <v>360</v>
      </c>
      <c r="K556" t="s">
        <v>33</v>
      </c>
      <c r="L556" t="s">
        <v>34</v>
      </c>
      <c r="M556" t="s">
        <v>35</v>
      </c>
      <c r="N556" t="s">
        <v>50</v>
      </c>
      <c r="O556" t="s">
        <v>51</v>
      </c>
      <c r="P556" t="s">
        <v>38</v>
      </c>
      <c r="Q556" t="s">
        <v>38</v>
      </c>
      <c r="R556">
        <v>1</v>
      </c>
      <c r="S556" t="s">
        <v>38</v>
      </c>
      <c r="T556">
        <v>5</v>
      </c>
      <c r="U556">
        <v>1.3</v>
      </c>
      <c r="V556">
        <v>13.3</v>
      </c>
      <c r="W556" t="s">
        <v>39</v>
      </c>
      <c r="X556" t="s">
        <v>123</v>
      </c>
      <c r="Y556" t="s">
        <v>39</v>
      </c>
      <c r="Z556" t="s">
        <v>53</v>
      </c>
      <c r="AA556" t="s">
        <v>82</v>
      </c>
      <c r="AB556" t="s">
        <v>43</v>
      </c>
      <c r="AC556">
        <f t="shared" si="88"/>
        <v>0</v>
      </c>
      <c r="AD556" s="12">
        <f t="shared" si="92"/>
        <v>0</v>
      </c>
      <c r="AE556" s="12">
        <f t="shared" si="93"/>
        <v>1</v>
      </c>
      <c r="AF556">
        <f t="shared" si="89"/>
        <v>1</v>
      </c>
      <c r="AG556">
        <f t="shared" si="94"/>
        <v>0</v>
      </c>
      <c r="AH556">
        <f t="shared" si="95"/>
        <v>0</v>
      </c>
      <c r="AI556">
        <f t="shared" si="96"/>
        <v>0</v>
      </c>
      <c r="AJ556">
        <f t="shared" si="97"/>
        <v>0</v>
      </c>
      <c r="AK556">
        <f t="shared" si="90"/>
        <v>1</v>
      </c>
      <c r="AL556">
        <f t="shared" si="98"/>
        <v>0</v>
      </c>
    </row>
    <row r="557" spans="1:38">
      <c r="A557" t="s">
        <v>1798</v>
      </c>
      <c r="B557" t="s">
        <v>1799</v>
      </c>
      <c r="C557" s="1">
        <f t="shared" si="91"/>
        <v>45627</v>
      </c>
      <c r="D557" t="s">
        <v>1800</v>
      </c>
      <c r="E557">
        <v>79.8</v>
      </c>
      <c r="F557">
        <v>3.3</v>
      </c>
      <c r="G557" t="s">
        <v>87</v>
      </c>
      <c r="H557" t="s">
        <v>183</v>
      </c>
      <c r="I557" t="s">
        <v>48</v>
      </c>
      <c r="J557">
        <v>120</v>
      </c>
      <c r="K557" t="s">
        <v>49</v>
      </c>
      <c r="L557" t="s">
        <v>96</v>
      </c>
      <c r="M557" t="s">
        <v>35</v>
      </c>
      <c r="N557" t="s">
        <v>164</v>
      </c>
      <c r="O557" t="s">
        <v>51</v>
      </c>
      <c r="P557" t="s">
        <v>38</v>
      </c>
      <c r="Q557" t="s">
        <v>38</v>
      </c>
      <c r="R557">
        <v>1</v>
      </c>
      <c r="S557" t="s">
        <v>38</v>
      </c>
      <c r="T557">
        <v>7</v>
      </c>
      <c r="U557">
        <v>1.4</v>
      </c>
      <c r="V557">
        <v>14</v>
      </c>
      <c r="W557" t="s">
        <v>39</v>
      </c>
      <c r="X557" t="s">
        <v>123</v>
      </c>
      <c r="Y557" t="s">
        <v>38</v>
      </c>
      <c r="Z557" t="s">
        <v>53</v>
      </c>
      <c r="AA557" t="s">
        <v>109</v>
      </c>
      <c r="AB557" t="s">
        <v>55</v>
      </c>
      <c r="AC557">
        <f t="shared" si="88"/>
        <v>0</v>
      </c>
      <c r="AD557" s="12">
        <f t="shared" si="92"/>
        <v>0</v>
      </c>
      <c r="AE557" s="12">
        <f t="shared" si="93"/>
        <v>1</v>
      </c>
      <c r="AF557">
        <f t="shared" si="89"/>
        <v>1</v>
      </c>
      <c r="AG557">
        <f t="shared" si="94"/>
        <v>0</v>
      </c>
      <c r="AH557">
        <f t="shared" si="95"/>
        <v>1</v>
      </c>
      <c r="AI557">
        <f t="shared" si="96"/>
        <v>0</v>
      </c>
      <c r="AJ557">
        <f t="shared" si="97"/>
        <v>0</v>
      </c>
      <c r="AK557">
        <f t="shared" si="90"/>
        <v>0</v>
      </c>
      <c r="AL557">
        <f t="shared" si="98"/>
        <v>1</v>
      </c>
    </row>
    <row r="558" spans="1:38">
      <c r="A558" t="s">
        <v>1801</v>
      </c>
      <c r="B558" t="s">
        <v>1802</v>
      </c>
      <c r="C558" s="1">
        <f t="shared" si="91"/>
        <v>45627</v>
      </c>
      <c r="D558" t="s">
        <v>1803</v>
      </c>
      <c r="E558">
        <v>236</v>
      </c>
      <c r="F558">
        <v>9.8000000000000007</v>
      </c>
      <c r="G558" t="s">
        <v>77</v>
      </c>
      <c r="H558" t="s">
        <v>267</v>
      </c>
      <c r="I558" t="s">
        <v>79</v>
      </c>
      <c r="J558">
        <v>360</v>
      </c>
      <c r="K558" t="s">
        <v>49</v>
      </c>
      <c r="L558" t="s">
        <v>96</v>
      </c>
      <c r="M558" t="s">
        <v>35</v>
      </c>
      <c r="N558" t="s">
        <v>50</v>
      </c>
      <c r="O558" t="s">
        <v>37</v>
      </c>
      <c r="P558" t="s">
        <v>38</v>
      </c>
      <c r="Q558" t="s">
        <v>38</v>
      </c>
      <c r="R558">
        <v>1</v>
      </c>
      <c r="S558" t="s">
        <v>38</v>
      </c>
      <c r="T558">
        <v>9</v>
      </c>
      <c r="U558">
        <v>0.1</v>
      </c>
      <c r="V558">
        <v>0</v>
      </c>
      <c r="W558" t="s">
        <v>39</v>
      </c>
      <c r="X558" t="s">
        <v>52</v>
      </c>
      <c r="Y558" t="s">
        <v>39</v>
      </c>
      <c r="Z558" t="s">
        <v>115</v>
      </c>
      <c r="AA558" t="s">
        <v>54</v>
      </c>
      <c r="AB558" t="s">
        <v>43</v>
      </c>
      <c r="AC558">
        <f t="shared" si="88"/>
        <v>1</v>
      </c>
      <c r="AD558" s="12">
        <f t="shared" si="92"/>
        <v>0</v>
      </c>
      <c r="AE558" s="12">
        <f t="shared" si="93"/>
        <v>0</v>
      </c>
      <c r="AF558">
        <f t="shared" si="89"/>
        <v>0</v>
      </c>
      <c r="AG558">
        <f t="shared" si="94"/>
        <v>0</v>
      </c>
      <c r="AH558">
        <f t="shared" si="95"/>
        <v>0</v>
      </c>
      <c r="AI558">
        <f t="shared" si="96"/>
        <v>0</v>
      </c>
      <c r="AJ558">
        <f t="shared" si="97"/>
        <v>0</v>
      </c>
      <c r="AK558">
        <f t="shared" si="90"/>
        <v>0</v>
      </c>
      <c r="AL558">
        <f t="shared" si="98"/>
        <v>0</v>
      </c>
    </row>
    <row r="559" spans="1:38">
      <c r="A559" t="s">
        <v>1804</v>
      </c>
      <c r="B559" t="s">
        <v>1805</v>
      </c>
      <c r="C559" s="1">
        <f t="shared" si="91"/>
        <v>45627</v>
      </c>
      <c r="D559" t="s">
        <v>1806</v>
      </c>
      <c r="E559">
        <v>218</v>
      </c>
      <c r="F559">
        <v>9.1</v>
      </c>
      <c r="G559" t="s">
        <v>142</v>
      </c>
      <c r="H559" t="s">
        <v>240</v>
      </c>
      <c r="I559" t="s">
        <v>32</v>
      </c>
      <c r="J559">
        <v>240</v>
      </c>
      <c r="K559" t="s">
        <v>49</v>
      </c>
      <c r="L559" t="s">
        <v>96</v>
      </c>
      <c r="M559" t="s">
        <v>35</v>
      </c>
      <c r="N559" t="s">
        <v>138</v>
      </c>
      <c r="O559" t="s">
        <v>37</v>
      </c>
      <c r="P559" t="s">
        <v>39</v>
      </c>
      <c r="Q559" t="s">
        <v>38</v>
      </c>
      <c r="R559">
        <v>0</v>
      </c>
      <c r="S559" t="s">
        <v>38</v>
      </c>
      <c r="T559">
        <v>9</v>
      </c>
      <c r="U559">
        <v>2.8</v>
      </c>
      <c r="V559">
        <v>0</v>
      </c>
      <c r="W559" t="s">
        <v>39</v>
      </c>
      <c r="X559" t="s">
        <v>52</v>
      </c>
      <c r="Y559" t="s">
        <v>39</v>
      </c>
      <c r="Z559" t="s">
        <v>115</v>
      </c>
      <c r="AA559" t="s">
        <v>82</v>
      </c>
      <c r="AB559" t="s">
        <v>43</v>
      </c>
      <c r="AC559">
        <f t="shared" si="88"/>
        <v>1</v>
      </c>
      <c r="AD559" s="12">
        <f t="shared" si="92"/>
        <v>0</v>
      </c>
      <c r="AE559" s="12">
        <f t="shared" si="93"/>
        <v>0</v>
      </c>
      <c r="AF559">
        <f t="shared" si="89"/>
        <v>0</v>
      </c>
      <c r="AG559">
        <f t="shared" si="94"/>
        <v>0</v>
      </c>
      <c r="AH559">
        <f t="shared" si="95"/>
        <v>0</v>
      </c>
      <c r="AI559">
        <f t="shared" si="96"/>
        <v>0</v>
      </c>
      <c r="AJ559">
        <f t="shared" si="97"/>
        <v>1</v>
      </c>
      <c r="AK559">
        <f t="shared" si="90"/>
        <v>0</v>
      </c>
      <c r="AL559">
        <f t="shared" si="98"/>
        <v>0</v>
      </c>
    </row>
    <row r="560" spans="1:38">
      <c r="A560" t="s">
        <v>1807</v>
      </c>
      <c r="B560" t="s">
        <v>1808</v>
      </c>
      <c r="C560" s="1">
        <f t="shared" si="91"/>
        <v>45413</v>
      </c>
      <c r="D560" t="s">
        <v>1809</v>
      </c>
      <c r="E560">
        <v>87.6</v>
      </c>
      <c r="F560">
        <v>3.7</v>
      </c>
      <c r="G560" t="s">
        <v>87</v>
      </c>
      <c r="H560" t="s">
        <v>151</v>
      </c>
      <c r="I560" t="s">
        <v>48</v>
      </c>
      <c r="J560">
        <v>120</v>
      </c>
      <c r="K560" t="s">
        <v>49</v>
      </c>
      <c r="L560" t="s">
        <v>70</v>
      </c>
      <c r="M560" t="s">
        <v>71</v>
      </c>
      <c r="N560" t="s">
        <v>72</v>
      </c>
      <c r="O560" t="s">
        <v>37</v>
      </c>
      <c r="P560" t="s">
        <v>38</v>
      </c>
      <c r="Q560" t="s">
        <v>39</v>
      </c>
      <c r="R560">
        <v>2</v>
      </c>
      <c r="S560" t="s">
        <v>38</v>
      </c>
      <c r="T560">
        <v>5</v>
      </c>
      <c r="U560">
        <v>0.4</v>
      </c>
      <c r="V560">
        <v>57.1</v>
      </c>
      <c r="W560" t="s">
        <v>39</v>
      </c>
      <c r="X560" t="s">
        <v>63</v>
      </c>
      <c r="Y560" t="s">
        <v>39</v>
      </c>
      <c r="Z560" t="s">
        <v>41</v>
      </c>
      <c r="AA560" t="s">
        <v>82</v>
      </c>
      <c r="AB560" t="s">
        <v>55</v>
      </c>
      <c r="AC560">
        <f t="shared" si="88"/>
        <v>0</v>
      </c>
      <c r="AD560" s="12">
        <f t="shared" si="92"/>
        <v>1</v>
      </c>
      <c r="AE560" s="12">
        <f t="shared" si="93"/>
        <v>0</v>
      </c>
      <c r="AF560">
        <f t="shared" si="89"/>
        <v>0</v>
      </c>
      <c r="AG560">
        <f t="shared" si="94"/>
        <v>0</v>
      </c>
      <c r="AH560">
        <f t="shared" si="95"/>
        <v>1</v>
      </c>
      <c r="AI560">
        <f t="shared" si="96"/>
        <v>0</v>
      </c>
      <c r="AJ560">
        <f t="shared" si="97"/>
        <v>0</v>
      </c>
      <c r="AK560">
        <f t="shared" si="90"/>
        <v>0</v>
      </c>
      <c r="AL560">
        <f t="shared" si="98"/>
        <v>0</v>
      </c>
    </row>
    <row r="561" spans="1:38">
      <c r="A561" t="s">
        <v>1810</v>
      </c>
      <c r="B561" t="s">
        <v>1811</v>
      </c>
      <c r="C561" s="1">
        <f t="shared" si="91"/>
        <v>45505</v>
      </c>
      <c r="D561" t="s">
        <v>1812</v>
      </c>
      <c r="E561">
        <v>75.599999999999994</v>
      </c>
      <c r="F561">
        <v>3.2</v>
      </c>
      <c r="G561" t="s">
        <v>68</v>
      </c>
      <c r="H561" t="s">
        <v>69</v>
      </c>
      <c r="I561" t="s">
        <v>48</v>
      </c>
      <c r="J561">
        <v>120</v>
      </c>
      <c r="K561" t="s">
        <v>49</v>
      </c>
      <c r="L561" t="s">
        <v>113</v>
      </c>
      <c r="M561" t="s">
        <v>71</v>
      </c>
      <c r="N561" t="s">
        <v>192</v>
      </c>
      <c r="O561" t="s">
        <v>7232</v>
      </c>
      <c r="P561" t="s">
        <v>38</v>
      </c>
      <c r="Q561" t="s">
        <v>39</v>
      </c>
      <c r="R561">
        <v>3</v>
      </c>
      <c r="S561" t="s">
        <v>38</v>
      </c>
      <c r="T561">
        <v>9</v>
      </c>
      <c r="U561">
        <v>5.8</v>
      </c>
      <c r="V561">
        <v>11.5</v>
      </c>
      <c r="W561" t="s">
        <v>39</v>
      </c>
      <c r="X561" t="s">
        <v>52</v>
      </c>
      <c r="Y561" t="s">
        <v>38</v>
      </c>
      <c r="Z561" t="s">
        <v>64</v>
      </c>
      <c r="AA561" t="s">
        <v>109</v>
      </c>
      <c r="AB561" t="s">
        <v>55</v>
      </c>
      <c r="AC561">
        <f t="shared" si="88"/>
        <v>1</v>
      </c>
      <c r="AD561" s="12">
        <f t="shared" si="92"/>
        <v>0</v>
      </c>
      <c r="AE561" s="12">
        <f t="shared" si="93"/>
        <v>0</v>
      </c>
      <c r="AF561">
        <f t="shared" si="89"/>
        <v>0</v>
      </c>
      <c r="AG561">
        <f t="shared" si="94"/>
        <v>1</v>
      </c>
      <c r="AH561">
        <f t="shared" si="95"/>
        <v>1</v>
      </c>
      <c r="AI561">
        <f t="shared" si="96"/>
        <v>0</v>
      </c>
      <c r="AJ561">
        <f t="shared" si="97"/>
        <v>0</v>
      </c>
      <c r="AK561">
        <f t="shared" si="90"/>
        <v>0</v>
      </c>
      <c r="AL561">
        <f t="shared" si="98"/>
        <v>1</v>
      </c>
    </row>
    <row r="562" spans="1:38">
      <c r="A562" t="s">
        <v>1813</v>
      </c>
      <c r="B562" t="s">
        <v>1814</v>
      </c>
      <c r="C562" s="1">
        <f t="shared" si="91"/>
        <v>45292</v>
      </c>
      <c r="D562" t="s">
        <v>1815</v>
      </c>
      <c r="E562">
        <v>45.2</v>
      </c>
      <c r="F562">
        <v>1.9</v>
      </c>
      <c r="G562" t="s">
        <v>87</v>
      </c>
      <c r="H562" t="s">
        <v>88</v>
      </c>
      <c r="I562" t="s">
        <v>95</v>
      </c>
      <c r="J562">
        <v>48</v>
      </c>
      <c r="K562" t="s">
        <v>49</v>
      </c>
      <c r="L562" t="s">
        <v>34</v>
      </c>
      <c r="M562" t="s">
        <v>35</v>
      </c>
      <c r="N562" t="s">
        <v>188</v>
      </c>
      <c r="O562" t="s">
        <v>51</v>
      </c>
      <c r="P562" t="s">
        <v>39</v>
      </c>
      <c r="Q562" t="s">
        <v>38</v>
      </c>
      <c r="R562">
        <v>0</v>
      </c>
      <c r="S562" t="s">
        <v>39</v>
      </c>
      <c r="T562">
        <v>10</v>
      </c>
      <c r="U562">
        <v>0.6</v>
      </c>
      <c r="V562">
        <v>29.5</v>
      </c>
      <c r="W562" t="s">
        <v>38</v>
      </c>
      <c r="X562" t="s">
        <v>63</v>
      </c>
      <c r="Y562" t="s">
        <v>39</v>
      </c>
      <c r="Z562" t="s">
        <v>81</v>
      </c>
      <c r="AA562" t="s">
        <v>42</v>
      </c>
      <c r="AB562" t="s">
        <v>55</v>
      </c>
      <c r="AC562">
        <f t="shared" si="88"/>
        <v>0</v>
      </c>
      <c r="AD562" s="12">
        <f t="shared" si="92"/>
        <v>1</v>
      </c>
      <c r="AE562" s="12">
        <f t="shared" si="93"/>
        <v>0</v>
      </c>
      <c r="AF562">
        <f t="shared" si="89"/>
        <v>1</v>
      </c>
      <c r="AG562">
        <f t="shared" si="94"/>
        <v>0</v>
      </c>
      <c r="AH562">
        <f t="shared" si="95"/>
        <v>0</v>
      </c>
      <c r="AI562">
        <f t="shared" si="96"/>
        <v>1</v>
      </c>
      <c r="AJ562">
        <f t="shared" si="97"/>
        <v>0</v>
      </c>
      <c r="AK562">
        <f t="shared" si="90"/>
        <v>0</v>
      </c>
      <c r="AL562">
        <f t="shared" si="98"/>
        <v>0</v>
      </c>
    </row>
    <row r="563" spans="1:38">
      <c r="A563" t="s">
        <v>1816</v>
      </c>
      <c r="B563" t="s">
        <v>1817</v>
      </c>
      <c r="C563" s="1">
        <f t="shared" si="91"/>
        <v>45566</v>
      </c>
      <c r="D563" t="s">
        <v>1818</v>
      </c>
      <c r="E563">
        <v>352.5</v>
      </c>
      <c r="F563">
        <v>14.7</v>
      </c>
      <c r="G563" t="s">
        <v>30</v>
      </c>
      <c r="H563" t="s">
        <v>31</v>
      </c>
      <c r="I563" t="s">
        <v>32</v>
      </c>
      <c r="J563">
        <v>240</v>
      </c>
      <c r="K563" t="s">
        <v>33</v>
      </c>
      <c r="L563" t="s">
        <v>70</v>
      </c>
      <c r="M563" t="s">
        <v>35</v>
      </c>
      <c r="N563" t="s">
        <v>61</v>
      </c>
      <c r="O563" t="s">
        <v>7232</v>
      </c>
      <c r="P563" t="s">
        <v>39</v>
      </c>
      <c r="Q563" t="s">
        <v>38</v>
      </c>
      <c r="R563">
        <v>0</v>
      </c>
      <c r="S563" t="s">
        <v>38</v>
      </c>
      <c r="T563">
        <v>9</v>
      </c>
      <c r="U563">
        <v>3.6</v>
      </c>
      <c r="V563">
        <v>22.9</v>
      </c>
      <c r="W563" t="s">
        <v>39</v>
      </c>
      <c r="X563" t="s">
        <v>123</v>
      </c>
      <c r="Y563" t="s">
        <v>39</v>
      </c>
      <c r="Z563" t="s">
        <v>53</v>
      </c>
      <c r="AA563" t="s">
        <v>109</v>
      </c>
      <c r="AB563" t="s">
        <v>55</v>
      </c>
      <c r="AC563">
        <f t="shared" si="88"/>
        <v>0</v>
      </c>
      <c r="AD563" s="12">
        <f t="shared" si="92"/>
        <v>0</v>
      </c>
      <c r="AE563" s="12">
        <f t="shared" si="93"/>
        <v>1</v>
      </c>
      <c r="AF563">
        <f t="shared" si="89"/>
        <v>0</v>
      </c>
      <c r="AG563">
        <f t="shared" si="94"/>
        <v>1</v>
      </c>
      <c r="AH563">
        <f t="shared" si="95"/>
        <v>0</v>
      </c>
      <c r="AI563">
        <f t="shared" si="96"/>
        <v>0</v>
      </c>
      <c r="AJ563">
        <f t="shared" si="97"/>
        <v>1</v>
      </c>
      <c r="AK563">
        <f t="shared" si="90"/>
        <v>1</v>
      </c>
      <c r="AL563">
        <f t="shared" si="98"/>
        <v>0</v>
      </c>
    </row>
    <row r="564" spans="1:38">
      <c r="A564" t="s">
        <v>1819</v>
      </c>
      <c r="B564" t="s">
        <v>1820</v>
      </c>
      <c r="C564" s="1">
        <f t="shared" si="91"/>
        <v>45536</v>
      </c>
      <c r="D564" t="s">
        <v>1821</v>
      </c>
      <c r="E564">
        <v>302.39999999999998</v>
      </c>
      <c r="F564">
        <v>12.6</v>
      </c>
      <c r="G564" t="s">
        <v>93</v>
      </c>
      <c r="H564" t="s">
        <v>449</v>
      </c>
      <c r="I564" t="s">
        <v>79</v>
      </c>
      <c r="J564">
        <v>360</v>
      </c>
      <c r="K564" t="s">
        <v>49</v>
      </c>
      <c r="L564" t="s">
        <v>70</v>
      </c>
      <c r="M564" t="s">
        <v>35</v>
      </c>
      <c r="N564" t="s">
        <v>220</v>
      </c>
      <c r="O564" t="s">
        <v>7232</v>
      </c>
      <c r="P564" t="s">
        <v>39</v>
      </c>
      <c r="Q564" t="s">
        <v>38</v>
      </c>
      <c r="R564">
        <v>0</v>
      </c>
      <c r="S564" t="s">
        <v>38</v>
      </c>
      <c r="T564">
        <v>10</v>
      </c>
      <c r="U564">
        <v>5.7</v>
      </c>
      <c r="V564">
        <v>7.9</v>
      </c>
      <c r="W564" t="s">
        <v>38</v>
      </c>
      <c r="X564" t="s">
        <v>123</v>
      </c>
      <c r="Y564" t="s">
        <v>38</v>
      </c>
      <c r="Z564" t="s">
        <v>53</v>
      </c>
      <c r="AA564" t="s">
        <v>109</v>
      </c>
      <c r="AB564" t="s">
        <v>55</v>
      </c>
      <c r="AC564">
        <f t="shared" si="88"/>
        <v>0</v>
      </c>
      <c r="AD564" s="12">
        <f t="shared" si="92"/>
        <v>0</v>
      </c>
      <c r="AE564" s="12">
        <f t="shared" si="93"/>
        <v>1</v>
      </c>
      <c r="AF564">
        <f t="shared" si="89"/>
        <v>0</v>
      </c>
      <c r="AG564">
        <f t="shared" si="94"/>
        <v>1</v>
      </c>
      <c r="AH564">
        <f t="shared" si="95"/>
        <v>0</v>
      </c>
      <c r="AI564">
        <f t="shared" si="96"/>
        <v>0</v>
      </c>
      <c r="AJ564">
        <f t="shared" si="97"/>
        <v>0</v>
      </c>
      <c r="AK564">
        <f t="shared" si="90"/>
        <v>0</v>
      </c>
      <c r="AL564">
        <f t="shared" si="98"/>
        <v>1</v>
      </c>
    </row>
    <row r="565" spans="1:38">
      <c r="A565" t="s">
        <v>1822</v>
      </c>
      <c r="B565" t="s">
        <v>1823</v>
      </c>
      <c r="C565" s="1">
        <f t="shared" si="91"/>
        <v>45536</v>
      </c>
      <c r="D565" t="s">
        <v>1824</v>
      </c>
      <c r="E565">
        <v>44.5</v>
      </c>
      <c r="F565">
        <v>1.9</v>
      </c>
      <c r="G565" t="s">
        <v>87</v>
      </c>
      <c r="H565" t="s">
        <v>309</v>
      </c>
      <c r="I565" t="s">
        <v>95</v>
      </c>
      <c r="J565">
        <v>48</v>
      </c>
      <c r="K565" t="s">
        <v>49</v>
      </c>
      <c r="L565" t="s">
        <v>96</v>
      </c>
      <c r="M565" t="s">
        <v>35</v>
      </c>
      <c r="N565" t="s">
        <v>36</v>
      </c>
      <c r="O565" t="s">
        <v>51</v>
      </c>
      <c r="P565" t="s">
        <v>39</v>
      </c>
      <c r="Q565" t="s">
        <v>38</v>
      </c>
      <c r="R565">
        <v>0</v>
      </c>
      <c r="S565" t="s">
        <v>38</v>
      </c>
      <c r="T565">
        <v>10</v>
      </c>
      <c r="U565">
        <v>0.6</v>
      </c>
      <c r="V565">
        <v>12.1</v>
      </c>
      <c r="W565" t="s">
        <v>39</v>
      </c>
      <c r="X565" t="s">
        <v>52</v>
      </c>
      <c r="Y565" t="s">
        <v>38</v>
      </c>
      <c r="Z565" t="s">
        <v>81</v>
      </c>
      <c r="AA565" t="s">
        <v>42</v>
      </c>
      <c r="AB565" t="s">
        <v>55</v>
      </c>
      <c r="AC565">
        <f t="shared" si="88"/>
        <v>1</v>
      </c>
      <c r="AD565" s="12">
        <f t="shared" si="92"/>
        <v>0</v>
      </c>
      <c r="AE565" s="12">
        <f t="shared" si="93"/>
        <v>0</v>
      </c>
      <c r="AF565">
        <f t="shared" si="89"/>
        <v>1</v>
      </c>
      <c r="AG565">
        <f t="shared" si="94"/>
        <v>0</v>
      </c>
      <c r="AH565">
        <f t="shared" si="95"/>
        <v>0</v>
      </c>
      <c r="AI565">
        <f t="shared" si="96"/>
        <v>1</v>
      </c>
      <c r="AJ565">
        <f t="shared" si="97"/>
        <v>0</v>
      </c>
      <c r="AK565">
        <f t="shared" si="90"/>
        <v>0</v>
      </c>
      <c r="AL565">
        <f t="shared" si="98"/>
        <v>1</v>
      </c>
    </row>
    <row r="566" spans="1:38">
      <c r="A566" t="s">
        <v>1825</v>
      </c>
      <c r="B566" t="s">
        <v>1826</v>
      </c>
      <c r="C566" s="1">
        <f t="shared" si="91"/>
        <v>45413</v>
      </c>
      <c r="D566" t="s">
        <v>1827</v>
      </c>
      <c r="E566">
        <v>623.79999999999995</v>
      </c>
      <c r="F566">
        <v>26</v>
      </c>
      <c r="G566" t="s">
        <v>93</v>
      </c>
      <c r="H566" t="s">
        <v>449</v>
      </c>
      <c r="I566" t="s">
        <v>32</v>
      </c>
      <c r="J566">
        <v>240</v>
      </c>
      <c r="K566" t="s">
        <v>33</v>
      </c>
      <c r="L566" t="s">
        <v>96</v>
      </c>
      <c r="M566" t="s">
        <v>71</v>
      </c>
      <c r="N566" t="s">
        <v>128</v>
      </c>
      <c r="O566" t="s">
        <v>51</v>
      </c>
      <c r="P566" t="s">
        <v>38</v>
      </c>
      <c r="Q566" t="s">
        <v>39</v>
      </c>
      <c r="R566">
        <v>1</v>
      </c>
      <c r="S566" t="s">
        <v>38</v>
      </c>
      <c r="T566">
        <v>3</v>
      </c>
      <c r="U566">
        <v>4.5</v>
      </c>
      <c r="V566">
        <v>24.9</v>
      </c>
      <c r="W566" t="s">
        <v>39</v>
      </c>
      <c r="X566" t="s">
        <v>52</v>
      </c>
      <c r="Y566" t="s">
        <v>39</v>
      </c>
      <c r="Z566" t="s">
        <v>179</v>
      </c>
      <c r="AA566" t="s">
        <v>42</v>
      </c>
      <c r="AB566" t="s">
        <v>55</v>
      </c>
      <c r="AC566">
        <f t="shared" si="88"/>
        <v>1</v>
      </c>
      <c r="AD566" s="12">
        <f t="shared" si="92"/>
        <v>0</v>
      </c>
      <c r="AE566" s="12">
        <f t="shared" si="93"/>
        <v>0</v>
      </c>
      <c r="AF566">
        <f t="shared" si="89"/>
        <v>1</v>
      </c>
      <c r="AG566">
        <f t="shared" si="94"/>
        <v>0</v>
      </c>
      <c r="AH566">
        <f t="shared" si="95"/>
        <v>0</v>
      </c>
      <c r="AI566">
        <f t="shared" si="96"/>
        <v>0</v>
      </c>
      <c r="AJ566">
        <f t="shared" si="97"/>
        <v>1</v>
      </c>
      <c r="AK566">
        <f t="shared" si="90"/>
        <v>0</v>
      </c>
      <c r="AL566">
        <f t="shared" si="98"/>
        <v>0</v>
      </c>
    </row>
    <row r="567" spans="1:38">
      <c r="A567" t="s">
        <v>1828</v>
      </c>
      <c r="B567" t="s">
        <v>1829</v>
      </c>
      <c r="C567" s="1">
        <f t="shared" si="91"/>
        <v>45413</v>
      </c>
      <c r="D567" t="s">
        <v>1830</v>
      </c>
      <c r="E567">
        <v>304</v>
      </c>
      <c r="F567">
        <v>12.7</v>
      </c>
      <c r="G567" t="s">
        <v>30</v>
      </c>
      <c r="H567" t="s">
        <v>47</v>
      </c>
      <c r="I567" t="s">
        <v>79</v>
      </c>
      <c r="J567">
        <v>360</v>
      </c>
      <c r="K567" t="s">
        <v>49</v>
      </c>
      <c r="L567" t="s">
        <v>96</v>
      </c>
      <c r="M567" t="s">
        <v>35</v>
      </c>
      <c r="N567" t="s">
        <v>414</v>
      </c>
      <c r="O567" t="s">
        <v>51</v>
      </c>
      <c r="P567" t="s">
        <v>38</v>
      </c>
      <c r="Q567" t="s">
        <v>38</v>
      </c>
      <c r="R567">
        <v>1</v>
      </c>
      <c r="S567" t="s">
        <v>38</v>
      </c>
      <c r="T567">
        <v>10</v>
      </c>
      <c r="U567">
        <v>0.6</v>
      </c>
      <c r="V567">
        <v>8.4</v>
      </c>
      <c r="W567" t="s">
        <v>38</v>
      </c>
      <c r="X567" t="s">
        <v>123</v>
      </c>
      <c r="Y567" t="s">
        <v>39</v>
      </c>
      <c r="Z567" t="s">
        <v>73</v>
      </c>
      <c r="AA567" t="s">
        <v>42</v>
      </c>
      <c r="AB567" t="s">
        <v>83</v>
      </c>
      <c r="AC567">
        <f t="shared" si="88"/>
        <v>0</v>
      </c>
      <c r="AD567" s="12">
        <f t="shared" si="92"/>
        <v>0</v>
      </c>
      <c r="AE567" s="12">
        <f t="shared" si="93"/>
        <v>1</v>
      </c>
      <c r="AF567">
        <f t="shared" si="89"/>
        <v>1</v>
      </c>
      <c r="AG567">
        <f t="shared" si="94"/>
        <v>0</v>
      </c>
      <c r="AH567">
        <f t="shared" si="95"/>
        <v>0</v>
      </c>
      <c r="AI567">
        <f t="shared" si="96"/>
        <v>0</v>
      </c>
      <c r="AJ567">
        <f t="shared" si="97"/>
        <v>0</v>
      </c>
      <c r="AK567">
        <f t="shared" si="90"/>
        <v>1</v>
      </c>
      <c r="AL567">
        <f t="shared" si="98"/>
        <v>0</v>
      </c>
    </row>
    <row r="568" spans="1:38">
      <c r="A568" t="s">
        <v>1831</v>
      </c>
      <c r="B568" t="s">
        <v>1832</v>
      </c>
      <c r="C568" s="1">
        <f t="shared" si="91"/>
        <v>45597</v>
      </c>
      <c r="D568" t="s">
        <v>1833</v>
      </c>
      <c r="E568">
        <v>227.2</v>
      </c>
      <c r="F568">
        <v>9.5</v>
      </c>
      <c r="G568" t="s">
        <v>77</v>
      </c>
      <c r="H568" t="s">
        <v>187</v>
      </c>
      <c r="I568" t="s">
        <v>32</v>
      </c>
      <c r="J568">
        <v>240</v>
      </c>
      <c r="K568" t="s">
        <v>49</v>
      </c>
      <c r="L568" t="s">
        <v>96</v>
      </c>
      <c r="M568" t="s">
        <v>35</v>
      </c>
      <c r="N568" t="s">
        <v>119</v>
      </c>
      <c r="O568" t="s">
        <v>7232</v>
      </c>
      <c r="P568" t="s">
        <v>39</v>
      </c>
      <c r="Q568" t="s">
        <v>38</v>
      </c>
      <c r="R568">
        <v>0</v>
      </c>
      <c r="S568" t="s">
        <v>39</v>
      </c>
      <c r="T568">
        <v>10</v>
      </c>
      <c r="U568">
        <v>0.1</v>
      </c>
      <c r="V568">
        <v>0</v>
      </c>
      <c r="W568" t="s">
        <v>39</v>
      </c>
      <c r="X568" t="s">
        <v>63</v>
      </c>
      <c r="Y568" t="s">
        <v>38</v>
      </c>
      <c r="Z568" t="s">
        <v>53</v>
      </c>
      <c r="AA568" t="s">
        <v>103</v>
      </c>
      <c r="AB568" t="s">
        <v>55</v>
      </c>
      <c r="AC568">
        <f t="shared" si="88"/>
        <v>0</v>
      </c>
      <c r="AD568" s="12">
        <f t="shared" si="92"/>
        <v>1</v>
      </c>
      <c r="AE568" s="12">
        <f t="shared" si="93"/>
        <v>0</v>
      </c>
      <c r="AF568">
        <f t="shared" si="89"/>
        <v>0</v>
      </c>
      <c r="AG568">
        <f t="shared" si="94"/>
        <v>1</v>
      </c>
      <c r="AH568">
        <f t="shared" si="95"/>
        <v>0</v>
      </c>
      <c r="AI568">
        <f t="shared" si="96"/>
        <v>0</v>
      </c>
      <c r="AJ568">
        <f t="shared" si="97"/>
        <v>1</v>
      </c>
      <c r="AK568">
        <f t="shared" si="90"/>
        <v>0</v>
      </c>
      <c r="AL568">
        <f t="shared" si="98"/>
        <v>1</v>
      </c>
    </row>
    <row r="569" spans="1:38">
      <c r="A569" t="s">
        <v>1834</v>
      </c>
      <c r="B569" t="s">
        <v>1835</v>
      </c>
      <c r="C569" s="1">
        <f t="shared" si="91"/>
        <v>45383</v>
      </c>
      <c r="D569" t="s">
        <v>1836</v>
      </c>
      <c r="E569">
        <v>264.2</v>
      </c>
      <c r="F569">
        <v>11</v>
      </c>
      <c r="G569" t="s">
        <v>68</v>
      </c>
      <c r="H569" t="s">
        <v>69</v>
      </c>
      <c r="I569" t="s">
        <v>32</v>
      </c>
      <c r="J569">
        <v>240</v>
      </c>
      <c r="K569" t="s">
        <v>33</v>
      </c>
      <c r="L569" t="s">
        <v>70</v>
      </c>
      <c r="M569" t="s">
        <v>35</v>
      </c>
      <c r="N569" t="s">
        <v>134</v>
      </c>
      <c r="O569" t="s">
        <v>7232</v>
      </c>
      <c r="P569" t="s">
        <v>39</v>
      </c>
      <c r="Q569" t="s">
        <v>38</v>
      </c>
      <c r="R569">
        <v>0</v>
      </c>
      <c r="S569" t="s">
        <v>39</v>
      </c>
      <c r="T569">
        <v>7</v>
      </c>
      <c r="U569">
        <v>1.4</v>
      </c>
      <c r="V569">
        <v>38.200000000000003</v>
      </c>
      <c r="W569" t="s">
        <v>39</v>
      </c>
      <c r="X569" t="s">
        <v>40</v>
      </c>
      <c r="Y569" t="s">
        <v>38</v>
      </c>
      <c r="Z569" t="s">
        <v>81</v>
      </c>
      <c r="AA569" t="s">
        <v>109</v>
      </c>
      <c r="AB569" t="s">
        <v>83</v>
      </c>
      <c r="AC569">
        <f t="shared" si="88"/>
        <v>0</v>
      </c>
      <c r="AD569" s="12">
        <f t="shared" si="92"/>
        <v>0</v>
      </c>
      <c r="AE569" s="12">
        <f t="shared" si="93"/>
        <v>0</v>
      </c>
      <c r="AF569">
        <f t="shared" si="89"/>
        <v>0</v>
      </c>
      <c r="AG569">
        <f t="shared" si="94"/>
        <v>1</v>
      </c>
      <c r="AH569">
        <f t="shared" si="95"/>
        <v>0</v>
      </c>
      <c r="AI569">
        <f t="shared" si="96"/>
        <v>0</v>
      </c>
      <c r="AJ569">
        <f t="shared" si="97"/>
        <v>1</v>
      </c>
      <c r="AK569">
        <f t="shared" si="90"/>
        <v>0</v>
      </c>
      <c r="AL569">
        <f t="shared" si="98"/>
        <v>1</v>
      </c>
    </row>
    <row r="570" spans="1:38">
      <c r="A570" t="s">
        <v>1837</v>
      </c>
      <c r="B570" t="s">
        <v>1838</v>
      </c>
      <c r="C570" s="1">
        <f t="shared" si="91"/>
        <v>45413</v>
      </c>
      <c r="D570" t="s">
        <v>1839</v>
      </c>
      <c r="E570">
        <v>306.3</v>
      </c>
      <c r="F570">
        <v>12.8</v>
      </c>
      <c r="G570" t="s">
        <v>93</v>
      </c>
      <c r="H570" t="s">
        <v>449</v>
      </c>
      <c r="I570" t="s">
        <v>79</v>
      </c>
      <c r="J570">
        <v>360</v>
      </c>
      <c r="K570" t="s">
        <v>49</v>
      </c>
      <c r="L570" t="s">
        <v>133</v>
      </c>
      <c r="M570" t="s">
        <v>71</v>
      </c>
      <c r="N570" t="s">
        <v>220</v>
      </c>
      <c r="O570" t="s">
        <v>7232</v>
      </c>
      <c r="P570" t="s">
        <v>38</v>
      </c>
      <c r="Q570" t="s">
        <v>39</v>
      </c>
      <c r="R570">
        <v>3</v>
      </c>
      <c r="S570" t="s">
        <v>39</v>
      </c>
      <c r="T570">
        <v>7</v>
      </c>
      <c r="U570">
        <v>5.3</v>
      </c>
      <c r="V570">
        <v>31.3</v>
      </c>
      <c r="W570" t="s">
        <v>38</v>
      </c>
      <c r="X570" t="s">
        <v>123</v>
      </c>
      <c r="Y570" t="s">
        <v>38</v>
      </c>
      <c r="Z570" t="s">
        <v>64</v>
      </c>
      <c r="AA570" t="s">
        <v>109</v>
      </c>
      <c r="AB570" t="s">
        <v>55</v>
      </c>
      <c r="AC570">
        <f t="shared" si="88"/>
        <v>0</v>
      </c>
      <c r="AD570" s="12">
        <f t="shared" si="92"/>
        <v>0</v>
      </c>
      <c r="AE570" s="12">
        <f t="shared" si="93"/>
        <v>1</v>
      </c>
      <c r="AF570">
        <f t="shared" si="89"/>
        <v>0</v>
      </c>
      <c r="AG570">
        <f t="shared" si="94"/>
        <v>1</v>
      </c>
      <c r="AH570">
        <f t="shared" si="95"/>
        <v>0</v>
      </c>
      <c r="AI570">
        <f t="shared" si="96"/>
        <v>0</v>
      </c>
      <c r="AJ570">
        <f t="shared" si="97"/>
        <v>0</v>
      </c>
      <c r="AK570">
        <f t="shared" si="90"/>
        <v>0</v>
      </c>
      <c r="AL570">
        <f t="shared" si="98"/>
        <v>1</v>
      </c>
    </row>
    <row r="571" spans="1:38">
      <c r="A571" t="s">
        <v>1840</v>
      </c>
      <c r="B571" t="s">
        <v>1841</v>
      </c>
      <c r="C571" s="1">
        <f t="shared" si="91"/>
        <v>45505</v>
      </c>
      <c r="D571" t="s">
        <v>1842</v>
      </c>
      <c r="E571">
        <v>41.7</v>
      </c>
      <c r="F571">
        <v>1.7</v>
      </c>
      <c r="G571" t="s">
        <v>87</v>
      </c>
      <c r="H571" t="s">
        <v>309</v>
      </c>
      <c r="I571" t="s">
        <v>95</v>
      </c>
      <c r="J571">
        <v>48</v>
      </c>
      <c r="K571" t="s">
        <v>49</v>
      </c>
      <c r="L571" t="s">
        <v>96</v>
      </c>
      <c r="M571" t="s">
        <v>71</v>
      </c>
      <c r="N571" t="s">
        <v>97</v>
      </c>
      <c r="O571" t="s">
        <v>51</v>
      </c>
      <c r="P571" t="s">
        <v>38</v>
      </c>
      <c r="Q571" t="s">
        <v>39</v>
      </c>
      <c r="R571">
        <v>4</v>
      </c>
      <c r="S571" t="s">
        <v>39</v>
      </c>
      <c r="T571">
        <v>8</v>
      </c>
      <c r="U571">
        <v>3.9</v>
      </c>
      <c r="V571">
        <v>20.8</v>
      </c>
      <c r="W571" t="s">
        <v>39</v>
      </c>
      <c r="X571" t="s">
        <v>123</v>
      </c>
      <c r="Y571" t="s">
        <v>38</v>
      </c>
      <c r="Z571" t="s">
        <v>108</v>
      </c>
      <c r="AA571" t="s">
        <v>54</v>
      </c>
      <c r="AB571" t="s">
        <v>55</v>
      </c>
      <c r="AC571">
        <f t="shared" si="88"/>
        <v>0</v>
      </c>
      <c r="AD571" s="12">
        <f t="shared" si="92"/>
        <v>0</v>
      </c>
      <c r="AE571" s="12">
        <f t="shared" si="93"/>
        <v>1</v>
      </c>
      <c r="AF571">
        <f t="shared" si="89"/>
        <v>1</v>
      </c>
      <c r="AG571">
        <f t="shared" si="94"/>
        <v>0</v>
      </c>
      <c r="AH571">
        <f t="shared" si="95"/>
        <v>0</v>
      </c>
      <c r="AI571">
        <f t="shared" si="96"/>
        <v>1</v>
      </c>
      <c r="AJ571">
        <f t="shared" si="97"/>
        <v>0</v>
      </c>
      <c r="AK571">
        <f t="shared" si="90"/>
        <v>0</v>
      </c>
      <c r="AL571">
        <f t="shared" si="98"/>
        <v>1</v>
      </c>
    </row>
    <row r="572" spans="1:38">
      <c r="A572" t="s">
        <v>1843</v>
      </c>
      <c r="B572" t="s">
        <v>1844</v>
      </c>
      <c r="C572" s="1">
        <f t="shared" si="91"/>
        <v>45292</v>
      </c>
      <c r="D572" t="s">
        <v>1845</v>
      </c>
      <c r="E572">
        <v>167.7</v>
      </c>
      <c r="F572">
        <v>7</v>
      </c>
      <c r="G572" t="s">
        <v>142</v>
      </c>
      <c r="H572" t="s">
        <v>319</v>
      </c>
      <c r="I572" t="s">
        <v>32</v>
      </c>
      <c r="J572">
        <v>240</v>
      </c>
      <c r="K572" t="s">
        <v>49</v>
      </c>
      <c r="L572" t="s">
        <v>96</v>
      </c>
      <c r="M572" t="s">
        <v>35</v>
      </c>
      <c r="N572" t="s">
        <v>220</v>
      </c>
      <c r="O572" t="s">
        <v>37</v>
      </c>
      <c r="P572" t="s">
        <v>38</v>
      </c>
      <c r="Q572" t="s">
        <v>38</v>
      </c>
      <c r="R572">
        <v>1</v>
      </c>
      <c r="S572" t="s">
        <v>38</v>
      </c>
      <c r="T572">
        <v>8</v>
      </c>
      <c r="U572">
        <v>0.1</v>
      </c>
      <c r="V572">
        <v>44.4</v>
      </c>
      <c r="W572" t="s">
        <v>39</v>
      </c>
      <c r="X572" t="s">
        <v>52</v>
      </c>
      <c r="Y572" t="s">
        <v>39</v>
      </c>
      <c r="Z572" t="s">
        <v>81</v>
      </c>
      <c r="AA572" t="s">
        <v>103</v>
      </c>
      <c r="AB572" t="s">
        <v>83</v>
      </c>
      <c r="AC572">
        <f t="shared" si="88"/>
        <v>1</v>
      </c>
      <c r="AD572" s="12">
        <f t="shared" si="92"/>
        <v>0</v>
      </c>
      <c r="AE572" s="12">
        <f t="shared" si="93"/>
        <v>0</v>
      </c>
      <c r="AF572">
        <f t="shared" si="89"/>
        <v>0</v>
      </c>
      <c r="AG572">
        <f t="shared" si="94"/>
        <v>0</v>
      </c>
      <c r="AH572">
        <f t="shared" si="95"/>
        <v>0</v>
      </c>
      <c r="AI572">
        <f t="shared" si="96"/>
        <v>0</v>
      </c>
      <c r="AJ572">
        <f t="shared" si="97"/>
        <v>1</v>
      </c>
      <c r="AK572">
        <f t="shared" si="90"/>
        <v>0</v>
      </c>
      <c r="AL572">
        <f t="shared" si="98"/>
        <v>0</v>
      </c>
    </row>
    <row r="573" spans="1:38">
      <c r="A573" t="s">
        <v>1846</v>
      </c>
      <c r="B573" t="s">
        <v>1847</v>
      </c>
      <c r="C573" s="1">
        <f t="shared" si="91"/>
        <v>45444</v>
      </c>
      <c r="D573" t="s">
        <v>1848</v>
      </c>
      <c r="E573">
        <v>171.1</v>
      </c>
      <c r="F573">
        <v>7.1</v>
      </c>
      <c r="G573" t="s">
        <v>59</v>
      </c>
      <c r="H573" t="s">
        <v>227</v>
      </c>
      <c r="I573" t="s">
        <v>48</v>
      </c>
      <c r="J573">
        <v>120</v>
      </c>
      <c r="K573" t="s">
        <v>33</v>
      </c>
      <c r="L573" t="s">
        <v>70</v>
      </c>
      <c r="M573" t="s">
        <v>35</v>
      </c>
      <c r="N573" t="s">
        <v>80</v>
      </c>
      <c r="O573" t="s">
        <v>7232</v>
      </c>
      <c r="P573" t="s">
        <v>38</v>
      </c>
      <c r="Q573" t="s">
        <v>38</v>
      </c>
      <c r="R573">
        <v>1</v>
      </c>
      <c r="S573" t="s">
        <v>38</v>
      </c>
      <c r="T573">
        <v>5</v>
      </c>
      <c r="U573">
        <v>4.2</v>
      </c>
      <c r="V573">
        <v>29.6</v>
      </c>
      <c r="W573" t="s">
        <v>38</v>
      </c>
      <c r="X573" t="s">
        <v>63</v>
      </c>
      <c r="Y573" t="s">
        <v>39</v>
      </c>
      <c r="Z573" t="s">
        <v>108</v>
      </c>
      <c r="AA573" t="s">
        <v>103</v>
      </c>
      <c r="AB573" t="s">
        <v>55</v>
      </c>
      <c r="AC573">
        <f t="shared" si="88"/>
        <v>0</v>
      </c>
      <c r="AD573" s="12">
        <f t="shared" si="92"/>
        <v>1</v>
      </c>
      <c r="AE573" s="12">
        <f t="shared" si="93"/>
        <v>0</v>
      </c>
      <c r="AF573">
        <f t="shared" si="89"/>
        <v>0</v>
      </c>
      <c r="AG573">
        <f t="shared" si="94"/>
        <v>1</v>
      </c>
      <c r="AH573">
        <f t="shared" si="95"/>
        <v>1</v>
      </c>
      <c r="AI573">
        <f t="shared" si="96"/>
        <v>0</v>
      </c>
      <c r="AJ573">
        <f t="shared" si="97"/>
        <v>0</v>
      </c>
      <c r="AK573">
        <f t="shared" si="90"/>
        <v>0</v>
      </c>
      <c r="AL573">
        <f t="shared" si="98"/>
        <v>0</v>
      </c>
    </row>
    <row r="574" spans="1:38">
      <c r="A574" t="s">
        <v>1849</v>
      </c>
      <c r="B574" t="s">
        <v>1850</v>
      </c>
      <c r="C574" s="1">
        <f t="shared" si="91"/>
        <v>45292</v>
      </c>
      <c r="D574" t="s">
        <v>1851</v>
      </c>
      <c r="E574">
        <v>346.8</v>
      </c>
      <c r="F574">
        <v>14.5</v>
      </c>
      <c r="G574" t="s">
        <v>142</v>
      </c>
      <c r="H574" t="s">
        <v>260</v>
      </c>
      <c r="I574" t="s">
        <v>32</v>
      </c>
      <c r="J574">
        <v>240</v>
      </c>
      <c r="K574" t="s">
        <v>33</v>
      </c>
      <c r="L574" t="s">
        <v>34</v>
      </c>
      <c r="M574" t="s">
        <v>35</v>
      </c>
      <c r="N574" t="s">
        <v>155</v>
      </c>
      <c r="O574" t="s">
        <v>7232</v>
      </c>
      <c r="P574" t="s">
        <v>38</v>
      </c>
      <c r="Q574" t="s">
        <v>38</v>
      </c>
      <c r="R574">
        <v>1</v>
      </c>
      <c r="S574" t="s">
        <v>38</v>
      </c>
      <c r="T574">
        <v>5</v>
      </c>
      <c r="U574">
        <v>1.3</v>
      </c>
      <c r="V574">
        <v>15.4</v>
      </c>
      <c r="W574" t="s">
        <v>39</v>
      </c>
      <c r="X574" t="s">
        <v>63</v>
      </c>
      <c r="Y574" t="s">
        <v>38</v>
      </c>
      <c r="Z574" t="s">
        <v>81</v>
      </c>
      <c r="AA574" t="s">
        <v>103</v>
      </c>
      <c r="AB574" t="s">
        <v>83</v>
      </c>
      <c r="AC574">
        <f t="shared" si="88"/>
        <v>0</v>
      </c>
      <c r="AD574" s="12">
        <f t="shared" si="92"/>
        <v>1</v>
      </c>
      <c r="AE574" s="12">
        <f t="shared" si="93"/>
        <v>0</v>
      </c>
      <c r="AF574">
        <f t="shared" si="89"/>
        <v>0</v>
      </c>
      <c r="AG574">
        <f t="shared" si="94"/>
        <v>1</v>
      </c>
      <c r="AH574">
        <f t="shared" si="95"/>
        <v>0</v>
      </c>
      <c r="AI574">
        <f t="shared" si="96"/>
        <v>0</v>
      </c>
      <c r="AJ574">
        <f t="shared" si="97"/>
        <v>1</v>
      </c>
      <c r="AK574">
        <f t="shared" si="90"/>
        <v>0</v>
      </c>
      <c r="AL574">
        <f t="shared" si="98"/>
        <v>1</v>
      </c>
    </row>
    <row r="575" spans="1:38">
      <c r="A575" t="s">
        <v>1852</v>
      </c>
      <c r="B575" t="s">
        <v>1853</v>
      </c>
      <c r="C575" s="1">
        <f t="shared" si="91"/>
        <v>45444</v>
      </c>
      <c r="D575" t="s">
        <v>1854</v>
      </c>
      <c r="E575">
        <v>153.9</v>
      </c>
      <c r="F575">
        <v>6.4</v>
      </c>
      <c r="G575" t="s">
        <v>142</v>
      </c>
      <c r="H575" t="s">
        <v>143</v>
      </c>
      <c r="I575" t="s">
        <v>32</v>
      </c>
      <c r="J575">
        <v>240</v>
      </c>
      <c r="K575" t="s">
        <v>49</v>
      </c>
      <c r="L575" t="s">
        <v>34</v>
      </c>
      <c r="M575" t="s">
        <v>35</v>
      </c>
      <c r="N575" t="s">
        <v>119</v>
      </c>
      <c r="O575" t="s">
        <v>37</v>
      </c>
      <c r="P575" t="s">
        <v>38</v>
      </c>
      <c r="Q575" t="s">
        <v>38</v>
      </c>
      <c r="R575">
        <v>1</v>
      </c>
      <c r="S575" t="s">
        <v>39</v>
      </c>
      <c r="T575">
        <v>7</v>
      </c>
      <c r="U575">
        <v>1.8</v>
      </c>
      <c r="V575">
        <v>5.5</v>
      </c>
      <c r="W575" t="s">
        <v>38</v>
      </c>
      <c r="X575" t="s">
        <v>52</v>
      </c>
      <c r="Y575" t="s">
        <v>39</v>
      </c>
      <c r="Z575" t="s">
        <v>81</v>
      </c>
      <c r="AA575" t="s">
        <v>42</v>
      </c>
      <c r="AB575" t="s">
        <v>83</v>
      </c>
      <c r="AC575">
        <f t="shared" si="88"/>
        <v>1</v>
      </c>
      <c r="AD575" s="12">
        <f t="shared" si="92"/>
        <v>0</v>
      </c>
      <c r="AE575" s="12">
        <f t="shared" si="93"/>
        <v>0</v>
      </c>
      <c r="AF575">
        <f t="shared" si="89"/>
        <v>0</v>
      </c>
      <c r="AG575">
        <f t="shared" si="94"/>
        <v>0</v>
      </c>
      <c r="AH575">
        <f t="shared" si="95"/>
        <v>0</v>
      </c>
      <c r="AI575">
        <f t="shared" si="96"/>
        <v>0</v>
      </c>
      <c r="AJ575">
        <f t="shared" si="97"/>
        <v>1</v>
      </c>
      <c r="AK575">
        <f t="shared" si="90"/>
        <v>0</v>
      </c>
      <c r="AL575">
        <f t="shared" si="98"/>
        <v>0</v>
      </c>
    </row>
    <row r="576" spans="1:38">
      <c r="A576" t="s">
        <v>1855</v>
      </c>
      <c r="B576" t="s">
        <v>1856</v>
      </c>
      <c r="C576" s="1">
        <f t="shared" si="91"/>
        <v>45444</v>
      </c>
      <c r="D576" t="s">
        <v>1857</v>
      </c>
      <c r="E576">
        <v>175.5</v>
      </c>
      <c r="F576">
        <v>7.3</v>
      </c>
      <c r="G576" t="s">
        <v>87</v>
      </c>
      <c r="H576" t="s">
        <v>183</v>
      </c>
      <c r="I576" t="s">
        <v>32</v>
      </c>
      <c r="J576">
        <v>240</v>
      </c>
      <c r="K576" t="s">
        <v>49</v>
      </c>
      <c r="L576" t="s">
        <v>70</v>
      </c>
      <c r="M576" t="s">
        <v>35</v>
      </c>
      <c r="N576" t="s">
        <v>128</v>
      </c>
      <c r="O576" t="s">
        <v>37</v>
      </c>
      <c r="P576" t="s">
        <v>38</v>
      </c>
      <c r="Q576" t="s">
        <v>38</v>
      </c>
      <c r="R576">
        <v>1</v>
      </c>
      <c r="S576" t="s">
        <v>38</v>
      </c>
      <c r="T576">
        <v>8</v>
      </c>
      <c r="U576">
        <v>3.7</v>
      </c>
      <c r="V576">
        <v>26.4</v>
      </c>
      <c r="W576" t="s">
        <v>39</v>
      </c>
      <c r="X576" t="s">
        <v>52</v>
      </c>
      <c r="Y576" t="s">
        <v>38</v>
      </c>
      <c r="Z576" t="s">
        <v>115</v>
      </c>
      <c r="AA576" t="s">
        <v>82</v>
      </c>
      <c r="AB576" t="s">
        <v>55</v>
      </c>
      <c r="AC576">
        <f t="shared" si="88"/>
        <v>1</v>
      </c>
      <c r="AD576" s="12">
        <f t="shared" si="92"/>
        <v>0</v>
      </c>
      <c r="AE576" s="12">
        <f t="shared" si="93"/>
        <v>0</v>
      </c>
      <c r="AF576">
        <f t="shared" si="89"/>
        <v>0</v>
      </c>
      <c r="AG576">
        <f t="shared" si="94"/>
        <v>0</v>
      </c>
      <c r="AH576">
        <f t="shared" si="95"/>
        <v>0</v>
      </c>
      <c r="AI576">
        <f t="shared" si="96"/>
        <v>0</v>
      </c>
      <c r="AJ576">
        <f t="shared" si="97"/>
        <v>1</v>
      </c>
      <c r="AK576">
        <f t="shared" si="90"/>
        <v>0</v>
      </c>
      <c r="AL576">
        <f t="shared" si="98"/>
        <v>1</v>
      </c>
    </row>
    <row r="577" spans="1:38">
      <c r="A577" t="s">
        <v>1858</v>
      </c>
      <c r="B577" t="s">
        <v>1859</v>
      </c>
      <c r="C577" s="1">
        <f t="shared" si="91"/>
        <v>45505</v>
      </c>
      <c r="D577" t="s">
        <v>1860</v>
      </c>
      <c r="E577">
        <v>72.900000000000006</v>
      </c>
      <c r="F577">
        <v>3</v>
      </c>
      <c r="G577" t="s">
        <v>68</v>
      </c>
      <c r="H577" t="s">
        <v>212</v>
      </c>
      <c r="I577" t="s">
        <v>48</v>
      </c>
      <c r="J577">
        <v>120</v>
      </c>
      <c r="K577" t="s">
        <v>49</v>
      </c>
      <c r="L577" t="s">
        <v>34</v>
      </c>
      <c r="M577" t="s">
        <v>35</v>
      </c>
      <c r="N577" t="s">
        <v>128</v>
      </c>
      <c r="O577" t="s">
        <v>37</v>
      </c>
      <c r="P577" t="s">
        <v>38</v>
      </c>
      <c r="Q577" t="s">
        <v>38</v>
      </c>
      <c r="R577">
        <v>1</v>
      </c>
      <c r="S577" t="s">
        <v>39</v>
      </c>
      <c r="T577">
        <v>8</v>
      </c>
      <c r="U577">
        <v>3.6</v>
      </c>
      <c r="V577">
        <v>15.5</v>
      </c>
      <c r="W577" t="s">
        <v>39</v>
      </c>
      <c r="X577" t="s">
        <v>52</v>
      </c>
      <c r="Y577" t="s">
        <v>39</v>
      </c>
      <c r="Z577" t="s">
        <v>41</v>
      </c>
      <c r="AA577" t="s">
        <v>109</v>
      </c>
      <c r="AB577" t="s">
        <v>83</v>
      </c>
      <c r="AC577">
        <f t="shared" si="88"/>
        <v>1</v>
      </c>
      <c r="AD577" s="12">
        <f t="shared" si="92"/>
        <v>0</v>
      </c>
      <c r="AE577" s="12">
        <f t="shared" si="93"/>
        <v>0</v>
      </c>
      <c r="AF577">
        <f t="shared" si="89"/>
        <v>0</v>
      </c>
      <c r="AG577">
        <f t="shared" si="94"/>
        <v>0</v>
      </c>
      <c r="AH577">
        <f t="shared" si="95"/>
        <v>1</v>
      </c>
      <c r="AI577">
        <f t="shared" si="96"/>
        <v>0</v>
      </c>
      <c r="AJ577">
        <f t="shared" si="97"/>
        <v>0</v>
      </c>
      <c r="AK577">
        <f t="shared" si="90"/>
        <v>0</v>
      </c>
      <c r="AL577">
        <f t="shared" si="98"/>
        <v>0</v>
      </c>
    </row>
    <row r="578" spans="1:38">
      <c r="A578" t="s">
        <v>1861</v>
      </c>
      <c r="B578" t="s">
        <v>1862</v>
      </c>
      <c r="C578" s="1">
        <f t="shared" si="91"/>
        <v>45566</v>
      </c>
      <c r="D578" t="s">
        <v>1863</v>
      </c>
      <c r="E578">
        <v>198.1</v>
      </c>
      <c r="F578">
        <v>8.3000000000000007</v>
      </c>
      <c r="G578" t="s">
        <v>59</v>
      </c>
      <c r="H578" t="s">
        <v>60</v>
      </c>
      <c r="I578" t="s">
        <v>32</v>
      </c>
      <c r="J578">
        <v>240</v>
      </c>
      <c r="K578" t="s">
        <v>49</v>
      </c>
      <c r="L578" t="s">
        <v>34</v>
      </c>
      <c r="M578" t="s">
        <v>71</v>
      </c>
      <c r="N578" t="s">
        <v>144</v>
      </c>
      <c r="O578" t="s">
        <v>7232</v>
      </c>
      <c r="P578" t="s">
        <v>38</v>
      </c>
      <c r="Q578" t="s">
        <v>39</v>
      </c>
      <c r="R578">
        <v>1</v>
      </c>
      <c r="S578" t="s">
        <v>38</v>
      </c>
      <c r="T578">
        <v>10</v>
      </c>
      <c r="U578">
        <v>0.3</v>
      </c>
      <c r="V578">
        <v>20.5</v>
      </c>
      <c r="W578" t="s">
        <v>39</v>
      </c>
      <c r="X578" t="s">
        <v>52</v>
      </c>
      <c r="Y578" t="s">
        <v>38</v>
      </c>
      <c r="Z578" t="s">
        <v>53</v>
      </c>
      <c r="AA578" t="s">
        <v>109</v>
      </c>
      <c r="AB578" t="s">
        <v>55</v>
      </c>
      <c r="AC578">
        <f t="shared" ref="AC578:AC641" si="99">IF(X578="Poor", 1, 0)</f>
        <v>1</v>
      </c>
      <c r="AD578" s="12">
        <f t="shared" si="92"/>
        <v>0</v>
      </c>
      <c r="AE578" s="12">
        <f t="shared" si="93"/>
        <v>0</v>
      </c>
      <c r="AF578">
        <f t="shared" ref="AF578:AF641" si="100">IF(O578="Junior", 1, 0)</f>
        <v>0</v>
      </c>
      <c r="AG578">
        <f t="shared" si="94"/>
        <v>1</v>
      </c>
      <c r="AH578">
        <f t="shared" si="95"/>
        <v>0</v>
      </c>
      <c r="AI578">
        <f t="shared" si="96"/>
        <v>0</v>
      </c>
      <c r="AJ578">
        <f t="shared" si="97"/>
        <v>1</v>
      </c>
      <c r="AK578">
        <f t="shared" ref="AK578:AK641" si="101">IF(G578="Access Requests", 1, 0)</f>
        <v>0</v>
      </c>
      <c r="AL578">
        <f t="shared" si="98"/>
        <v>1</v>
      </c>
    </row>
    <row r="579" spans="1:38">
      <c r="A579" t="s">
        <v>1864</v>
      </c>
      <c r="B579" t="s">
        <v>1865</v>
      </c>
      <c r="C579" s="1">
        <f t="shared" ref="C579:C642" si="102">DATE(YEAR(B579),MONTH(B579),1)</f>
        <v>45474</v>
      </c>
      <c r="D579" t="s">
        <v>1866</v>
      </c>
      <c r="E579">
        <v>176.5</v>
      </c>
      <c r="F579">
        <v>7.4</v>
      </c>
      <c r="G579" t="s">
        <v>30</v>
      </c>
      <c r="H579" t="s">
        <v>31</v>
      </c>
      <c r="I579" t="s">
        <v>32</v>
      </c>
      <c r="J579">
        <v>240</v>
      </c>
      <c r="K579" t="s">
        <v>49</v>
      </c>
      <c r="L579" t="s">
        <v>34</v>
      </c>
      <c r="M579" t="s">
        <v>35</v>
      </c>
      <c r="N579" t="s">
        <v>97</v>
      </c>
      <c r="O579" t="s">
        <v>7232</v>
      </c>
      <c r="P579" t="s">
        <v>38</v>
      </c>
      <c r="Q579" t="s">
        <v>38</v>
      </c>
      <c r="R579">
        <v>1</v>
      </c>
      <c r="S579" t="s">
        <v>39</v>
      </c>
      <c r="T579">
        <v>9</v>
      </c>
      <c r="U579">
        <v>1.4</v>
      </c>
      <c r="V579">
        <v>11</v>
      </c>
      <c r="W579" t="s">
        <v>39</v>
      </c>
      <c r="X579" t="s">
        <v>40</v>
      </c>
      <c r="Y579" t="s">
        <v>39</v>
      </c>
      <c r="Z579" t="s">
        <v>108</v>
      </c>
      <c r="AA579" t="s">
        <v>82</v>
      </c>
      <c r="AB579" t="s">
        <v>83</v>
      </c>
      <c r="AC579">
        <f t="shared" si="99"/>
        <v>0</v>
      </c>
      <c r="AD579" s="12">
        <f t="shared" ref="AD579:AD642" si="103">IF(X579="Fair", 1, 0)</f>
        <v>0</v>
      </c>
      <c r="AE579" s="12">
        <f t="shared" ref="AE579:AE642" si="104">IF(X579="Good", 1, 0)</f>
        <v>0</v>
      </c>
      <c r="AF579">
        <f t="shared" si="100"/>
        <v>0</v>
      </c>
      <c r="AG579">
        <f t="shared" ref="AG579:AG642" si="105">IF(O579="Mid", 1, 0)</f>
        <v>1</v>
      </c>
      <c r="AH579">
        <f t="shared" ref="AH579:AH642" si="106">IF(I579="High", 1, 0)</f>
        <v>0</v>
      </c>
      <c r="AI579">
        <f t="shared" ref="AI579:AI642" si="107">IF(I579="Critical", 1, 0)</f>
        <v>0</v>
      </c>
      <c r="AJ579">
        <f t="shared" ref="AJ579:AJ642" si="108">IF(I579="Medium", 1, 0)</f>
        <v>1</v>
      </c>
      <c r="AK579">
        <f t="shared" si="101"/>
        <v>1</v>
      </c>
      <c r="AL579">
        <f t="shared" ref="AL579:AL642" si="109">IF(Y579="No", 1, 0)</f>
        <v>0</v>
      </c>
    </row>
    <row r="580" spans="1:38">
      <c r="A580" t="s">
        <v>1867</v>
      </c>
      <c r="B580" t="s">
        <v>1868</v>
      </c>
      <c r="C580" s="1">
        <f t="shared" si="102"/>
        <v>45566</v>
      </c>
      <c r="D580" t="s">
        <v>1869</v>
      </c>
      <c r="E580">
        <v>167.7</v>
      </c>
      <c r="F580">
        <v>7</v>
      </c>
      <c r="G580" t="s">
        <v>87</v>
      </c>
      <c r="H580" t="s">
        <v>183</v>
      </c>
      <c r="I580" t="s">
        <v>48</v>
      </c>
      <c r="J580">
        <v>120</v>
      </c>
      <c r="K580" t="s">
        <v>33</v>
      </c>
      <c r="L580" t="s">
        <v>133</v>
      </c>
      <c r="M580" t="s">
        <v>35</v>
      </c>
      <c r="N580" t="s">
        <v>506</v>
      </c>
      <c r="O580" t="s">
        <v>7232</v>
      </c>
      <c r="P580" t="s">
        <v>38</v>
      </c>
      <c r="Q580" t="s">
        <v>38</v>
      </c>
      <c r="R580">
        <v>1</v>
      </c>
      <c r="S580" t="s">
        <v>38</v>
      </c>
      <c r="T580">
        <v>4</v>
      </c>
      <c r="U580">
        <v>2.5</v>
      </c>
      <c r="V580">
        <v>32.1</v>
      </c>
      <c r="W580" t="s">
        <v>39</v>
      </c>
      <c r="X580" t="s">
        <v>63</v>
      </c>
      <c r="Y580" t="s">
        <v>39</v>
      </c>
      <c r="Z580" t="s">
        <v>64</v>
      </c>
      <c r="AA580" t="s">
        <v>109</v>
      </c>
      <c r="AB580" t="s">
        <v>55</v>
      </c>
      <c r="AC580">
        <f t="shared" si="99"/>
        <v>0</v>
      </c>
      <c r="AD580" s="12">
        <f t="shared" si="103"/>
        <v>1</v>
      </c>
      <c r="AE580" s="12">
        <f t="shared" si="104"/>
        <v>0</v>
      </c>
      <c r="AF580">
        <f t="shared" si="100"/>
        <v>0</v>
      </c>
      <c r="AG580">
        <f t="shared" si="105"/>
        <v>1</v>
      </c>
      <c r="AH580">
        <f t="shared" si="106"/>
        <v>1</v>
      </c>
      <c r="AI580">
        <f t="shared" si="107"/>
        <v>0</v>
      </c>
      <c r="AJ580">
        <f t="shared" si="108"/>
        <v>0</v>
      </c>
      <c r="AK580">
        <f t="shared" si="101"/>
        <v>0</v>
      </c>
      <c r="AL580">
        <f t="shared" si="109"/>
        <v>0</v>
      </c>
    </row>
    <row r="581" spans="1:38">
      <c r="A581" t="s">
        <v>1870</v>
      </c>
      <c r="B581" t="s">
        <v>1871</v>
      </c>
      <c r="C581" s="1">
        <f t="shared" si="102"/>
        <v>45292</v>
      </c>
      <c r="D581" t="s">
        <v>1872</v>
      </c>
      <c r="E581">
        <v>154.80000000000001</v>
      </c>
      <c r="F581">
        <v>6.5</v>
      </c>
      <c r="G581" t="s">
        <v>142</v>
      </c>
      <c r="H581" t="s">
        <v>240</v>
      </c>
      <c r="I581" t="s">
        <v>32</v>
      </c>
      <c r="J581">
        <v>240</v>
      </c>
      <c r="K581" t="s">
        <v>49</v>
      </c>
      <c r="L581" t="s">
        <v>70</v>
      </c>
      <c r="M581" t="s">
        <v>35</v>
      </c>
      <c r="N581" t="s">
        <v>61</v>
      </c>
      <c r="O581" t="s">
        <v>7232</v>
      </c>
      <c r="P581" t="s">
        <v>38</v>
      </c>
      <c r="Q581" t="s">
        <v>38</v>
      </c>
      <c r="R581">
        <v>1</v>
      </c>
      <c r="S581" t="s">
        <v>38</v>
      </c>
      <c r="T581">
        <v>8</v>
      </c>
      <c r="U581">
        <v>3.9</v>
      </c>
      <c r="V581">
        <v>16.399999999999999</v>
      </c>
      <c r="W581" t="s">
        <v>39</v>
      </c>
      <c r="X581" t="s">
        <v>63</v>
      </c>
      <c r="Y581" t="s">
        <v>39</v>
      </c>
      <c r="Z581" t="s">
        <v>108</v>
      </c>
      <c r="AA581" t="s">
        <v>109</v>
      </c>
      <c r="AB581" t="s">
        <v>83</v>
      </c>
      <c r="AC581">
        <f t="shared" si="99"/>
        <v>0</v>
      </c>
      <c r="AD581" s="12">
        <f t="shared" si="103"/>
        <v>1</v>
      </c>
      <c r="AE581" s="12">
        <f t="shared" si="104"/>
        <v>0</v>
      </c>
      <c r="AF581">
        <f t="shared" si="100"/>
        <v>0</v>
      </c>
      <c r="AG581">
        <f t="shared" si="105"/>
        <v>1</v>
      </c>
      <c r="AH581">
        <f t="shared" si="106"/>
        <v>0</v>
      </c>
      <c r="AI581">
        <f t="shared" si="107"/>
        <v>0</v>
      </c>
      <c r="AJ581">
        <f t="shared" si="108"/>
        <v>1</v>
      </c>
      <c r="AK581">
        <f t="shared" si="101"/>
        <v>0</v>
      </c>
      <c r="AL581">
        <f t="shared" si="109"/>
        <v>0</v>
      </c>
    </row>
    <row r="582" spans="1:38">
      <c r="A582" t="s">
        <v>1873</v>
      </c>
      <c r="B582" t="s">
        <v>1874</v>
      </c>
      <c r="C582" s="1">
        <f t="shared" si="102"/>
        <v>45292</v>
      </c>
      <c r="D582" t="s">
        <v>1875</v>
      </c>
      <c r="E582">
        <v>558.5</v>
      </c>
      <c r="F582">
        <v>23.3</v>
      </c>
      <c r="G582" t="s">
        <v>30</v>
      </c>
      <c r="H582" t="s">
        <v>47</v>
      </c>
      <c r="I582" t="s">
        <v>79</v>
      </c>
      <c r="J582">
        <v>360</v>
      </c>
      <c r="K582" t="s">
        <v>33</v>
      </c>
      <c r="L582" t="s">
        <v>70</v>
      </c>
      <c r="M582" t="s">
        <v>35</v>
      </c>
      <c r="N582" t="s">
        <v>144</v>
      </c>
      <c r="O582" t="s">
        <v>37</v>
      </c>
      <c r="P582" t="s">
        <v>38</v>
      </c>
      <c r="Q582" t="s">
        <v>38</v>
      </c>
      <c r="R582">
        <v>1</v>
      </c>
      <c r="S582" t="s">
        <v>38</v>
      </c>
      <c r="T582">
        <v>7</v>
      </c>
      <c r="U582">
        <v>2</v>
      </c>
      <c r="V582">
        <v>30.4</v>
      </c>
      <c r="W582" t="s">
        <v>39</v>
      </c>
      <c r="X582" t="s">
        <v>52</v>
      </c>
      <c r="Y582" t="s">
        <v>39</v>
      </c>
      <c r="Z582" t="s">
        <v>53</v>
      </c>
      <c r="AA582" t="s">
        <v>42</v>
      </c>
      <c r="AB582" t="s">
        <v>55</v>
      </c>
      <c r="AC582">
        <f t="shared" si="99"/>
        <v>1</v>
      </c>
      <c r="AD582" s="12">
        <f t="shared" si="103"/>
        <v>0</v>
      </c>
      <c r="AE582" s="12">
        <f t="shared" si="104"/>
        <v>0</v>
      </c>
      <c r="AF582">
        <f t="shared" si="100"/>
        <v>0</v>
      </c>
      <c r="AG582">
        <f t="shared" si="105"/>
        <v>0</v>
      </c>
      <c r="AH582">
        <f t="shared" si="106"/>
        <v>0</v>
      </c>
      <c r="AI582">
        <f t="shared" si="107"/>
        <v>0</v>
      </c>
      <c r="AJ582">
        <f t="shared" si="108"/>
        <v>0</v>
      </c>
      <c r="AK582">
        <f t="shared" si="101"/>
        <v>1</v>
      </c>
      <c r="AL582">
        <f t="shared" si="109"/>
        <v>0</v>
      </c>
    </row>
    <row r="583" spans="1:38">
      <c r="A583" t="s">
        <v>1876</v>
      </c>
      <c r="B583" t="s">
        <v>1877</v>
      </c>
      <c r="C583" s="1">
        <f t="shared" si="102"/>
        <v>45444</v>
      </c>
      <c r="D583" t="s">
        <v>1878</v>
      </c>
      <c r="E583">
        <v>130.80000000000001</v>
      </c>
      <c r="F583">
        <v>5.5</v>
      </c>
      <c r="G583" t="s">
        <v>68</v>
      </c>
      <c r="H583" t="s">
        <v>212</v>
      </c>
      <c r="I583" t="s">
        <v>48</v>
      </c>
      <c r="J583">
        <v>120</v>
      </c>
      <c r="K583" t="s">
        <v>33</v>
      </c>
      <c r="L583" t="s">
        <v>96</v>
      </c>
      <c r="M583" t="s">
        <v>35</v>
      </c>
      <c r="N583" t="s">
        <v>97</v>
      </c>
      <c r="O583" t="s">
        <v>51</v>
      </c>
      <c r="P583" t="s">
        <v>38</v>
      </c>
      <c r="Q583" t="s">
        <v>38</v>
      </c>
      <c r="R583">
        <v>1</v>
      </c>
      <c r="S583" t="s">
        <v>38</v>
      </c>
      <c r="T583">
        <v>3</v>
      </c>
      <c r="U583">
        <v>5.2</v>
      </c>
      <c r="V583">
        <v>0</v>
      </c>
      <c r="W583" t="s">
        <v>38</v>
      </c>
      <c r="X583" t="s">
        <v>123</v>
      </c>
      <c r="Y583" t="s">
        <v>39</v>
      </c>
      <c r="Z583" t="s">
        <v>53</v>
      </c>
      <c r="AA583" t="s">
        <v>42</v>
      </c>
      <c r="AB583" t="s">
        <v>83</v>
      </c>
      <c r="AC583">
        <f t="shared" si="99"/>
        <v>0</v>
      </c>
      <c r="AD583" s="12">
        <f t="shared" si="103"/>
        <v>0</v>
      </c>
      <c r="AE583" s="12">
        <f t="shared" si="104"/>
        <v>1</v>
      </c>
      <c r="AF583">
        <f t="shared" si="100"/>
        <v>1</v>
      </c>
      <c r="AG583">
        <f t="shared" si="105"/>
        <v>0</v>
      </c>
      <c r="AH583">
        <f t="shared" si="106"/>
        <v>1</v>
      </c>
      <c r="AI583">
        <f t="shared" si="107"/>
        <v>0</v>
      </c>
      <c r="AJ583">
        <f t="shared" si="108"/>
        <v>0</v>
      </c>
      <c r="AK583">
        <f t="shared" si="101"/>
        <v>0</v>
      </c>
      <c r="AL583">
        <f t="shared" si="109"/>
        <v>0</v>
      </c>
    </row>
    <row r="584" spans="1:38">
      <c r="A584" t="s">
        <v>1879</v>
      </c>
      <c r="B584" t="s">
        <v>1880</v>
      </c>
      <c r="C584" s="1">
        <f t="shared" si="102"/>
        <v>45566</v>
      </c>
      <c r="D584" t="s">
        <v>1881</v>
      </c>
      <c r="E584">
        <v>89.2</v>
      </c>
      <c r="F584">
        <v>3.7</v>
      </c>
      <c r="G584" t="s">
        <v>68</v>
      </c>
      <c r="H584" t="s">
        <v>456</v>
      </c>
      <c r="I584" t="s">
        <v>48</v>
      </c>
      <c r="J584">
        <v>120</v>
      </c>
      <c r="K584" t="s">
        <v>49</v>
      </c>
      <c r="L584" t="s">
        <v>113</v>
      </c>
      <c r="M584" t="s">
        <v>35</v>
      </c>
      <c r="N584" t="s">
        <v>97</v>
      </c>
      <c r="O584" t="s">
        <v>51</v>
      </c>
      <c r="P584" t="s">
        <v>38</v>
      </c>
      <c r="Q584" t="s">
        <v>38</v>
      </c>
      <c r="R584">
        <v>1</v>
      </c>
      <c r="S584" t="s">
        <v>38</v>
      </c>
      <c r="T584">
        <v>8</v>
      </c>
      <c r="U584">
        <v>4.2</v>
      </c>
      <c r="V584">
        <v>30.2</v>
      </c>
      <c r="W584" t="s">
        <v>38</v>
      </c>
      <c r="X584" t="s">
        <v>52</v>
      </c>
      <c r="Y584" t="s">
        <v>39</v>
      </c>
      <c r="Z584" t="s">
        <v>53</v>
      </c>
      <c r="AA584" t="s">
        <v>82</v>
      </c>
      <c r="AB584" t="s">
        <v>83</v>
      </c>
      <c r="AC584">
        <f t="shared" si="99"/>
        <v>1</v>
      </c>
      <c r="AD584" s="12">
        <f t="shared" si="103"/>
        <v>0</v>
      </c>
      <c r="AE584" s="12">
        <f t="shared" si="104"/>
        <v>0</v>
      </c>
      <c r="AF584">
        <f t="shared" si="100"/>
        <v>1</v>
      </c>
      <c r="AG584">
        <f t="shared" si="105"/>
        <v>0</v>
      </c>
      <c r="AH584">
        <f t="shared" si="106"/>
        <v>1</v>
      </c>
      <c r="AI584">
        <f t="shared" si="107"/>
        <v>0</v>
      </c>
      <c r="AJ584">
        <f t="shared" si="108"/>
        <v>0</v>
      </c>
      <c r="AK584">
        <f t="shared" si="101"/>
        <v>0</v>
      </c>
      <c r="AL584">
        <f t="shared" si="109"/>
        <v>0</v>
      </c>
    </row>
    <row r="585" spans="1:38">
      <c r="A585" t="s">
        <v>1882</v>
      </c>
      <c r="B585" t="s">
        <v>1883</v>
      </c>
      <c r="C585" s="1">
        <f t="shared" si="102"/>
        <v>45474</v>
      </c>
      <c r="D585" t="s">
        <v>1884</v>
      </c>
      <c r="E585">
        <v>259.2</v>
      </c>
      <c r="F585">
        <v>10.8</v>
      </c>
      <c r="G585" t="s">
        <v>93</v>
      </c>
      <c r="H585" t="s">
        <v>291</v>
      </c>
      <c r="I585" t="s">
        <v>79</v>
      </c>
      <c r="J585">
        <v>360</v>
      </c>
      <c r="K585" t="s">
        <v>49</v>
      </c>
      <c r="L585" t="s">
        <v>113</v>
      </c>
      <c r="M585" t="s">
        <v>35</v>
      </c>
      <c r="N585" t="s">
        <v>114</v>
      </c>
      <c r="O585" t="s">
        <v>51</v>
      </c>
      <c r="P585" t="s">
        <v>38</v>
      </c>
      <c r="Q585" t="s">
        <v>38</v>
      </c>
      <c r="R585">
        <v>1</v>
      </c>
      <c r="S585" t="s">
        <v>38</v>
      </c>
      <c r="T585">
        <v>10</v>
      </c>
      <c r="U585">
        <v>2.9</v>
      </c>
      <c r="V585">
        <v>0</v>
      </c>
      <c r="W585" t="s">
        <v>38</v>
      </c>
      <c r="X585" t="s">
        <v>123</v>
      </c>
      <c r="Y585" t="s">
        <v>39</v>
      </c>
      <c r="Z585" t="s">
        <v>73</v>
      </c>
      <c r="AA585" t="s">
        <v>103</v>
      </c>
      <c r="AB585" t="s">
        <v>55</v>
      </c>
      <c r="AC585">
        <f t="shared" si="99"/>
        <v>0</v>
      </c>
      <c r="AD585" s="12">
        <f t="shared" si="103"/>
        <v>0</v>
      </c>
      <c r="AE585" s="12">
        <f t="shared" si="104"/>
        <v>1</v>
      </c>
      <c r="AF585">
        <f t="shared" si="100"/>
        <v>1</v>
      </c>
      <c r="AG585">
        <f t="shared" si="105"/>
        <v>0</v>
      </c>
      <c r="AH585">
        <f t="shared" si="106"/>
        <v>0</v>
      </c>
      <c r="AI585">
        <f t="shared" si="107"/>
        <v>0</v>
      </c>
      <c r="AJ585">
        <f t="shared" si="108"/>
        <v>0</v>
      </c>
      <c r="AK585">
        <f t="shared" si="101"/>
        <v>0</v>
      </c>
      <c r="AL585">
        <f t="shared" si="109"/>
        <v>0</v>
      </c>
    </row>
    <row r="586" spans="1:38">
      <c r="A586" t="s">
        <v>1885</v>
      </c>
      <c r="B586" t="s">
        <v>1886</v>
      </c>
      <c r="C586" s="1">
        <f t="shared" si="102"/>
        <v>45444</v>
      </c>
      <c r="D586" t="s">
        <v>1887</v>
      </c>
      <c r="E586">
        <v>617.9</v>
      </c>
      <c r="F586">
        <v>25.7</v>
      </c>
      <c r="G586" t="s">
        <v>77</v>
      </c>
      <c r="H586" t="s">
        <v>78</v>
      </c>
      <c r="I586" t="s">
        <v>32</v>
      </c>
      <c r="J586">
        <v>240</v>
      </c>
      <c r="K586" t="s">
        <v>33</v>
      </c>
      <c r="L586" t="s">
        <v>70</v>
      </c>
      <c r="M586" t="s">
        <v>35</v>
      </c>
      <c r="N586" t="s">
        <v>168</v>
      </c>
      <c r="O586" t="s">
        <v>7232</v>
      </c>
      <c r="P586" t="s">
        <v>39</v>
      </c>
      <c r="Q586" t="s">
        <v>38</v>
      </c>
      <c r="R586">
        <v>0</v>
      </c>
      <c r="S586" t="s">
        <v>38</v>
      </c>
      <c r="T586">
        <v>9</v>
      </c>
      <c r="U586">
        <v>1.7</v>
      </c>
      <c r="V586">
        <v>19.3</v>
      </c>
      <c r="W586" t="s">
        <v>38</v>
      </c>
      <c r="X586" t="s">
        <v>40</v>
      </c>
      <c r="Y586" t="s">
        <v>39</v>
      </c>
      <c r="Z586" t="s">
        <v>115</v>
      </c>
      <c r="AA586" t="s">
        <v>42</v>
      </c>
      <c r="AB586" t="s">
        <v>83</v>
      </c>
      <c r="AC586">
        <f t="shared" si="99"/>
        <v>0</v>
      </c>
      <c r="AD586" s="12">
        <f t="shared" si="103"/>
        <v>0</v>
      </c>
      <c r="AE586" s="12">
        <f t="shared" si="104"/>
        <v>0</v>
      </c>
      <c r="AF586">
        <f t="shared" si="100"/>
        <v>0</v>
      </c>
      <c r="AG586">
        <f t="shared" si="105"/>
        <v>1</v>
      </c>
      <c r="AH586">
        <f t="shared" si="106"/>
        <v>0</v>
      </c>
      <c r="AI586">
        <f t="shared" si="107"/>
        <v>0</v>
      </c>
      <c r="AJ586">
        <f t="shared" si="108"/>
        <v>1</v>
      </c>
      <c r="AK586">
        <f t="shared" si="101"/>
        <v>0</v>
      </c>
      <c r="AL586">
        <f t="shared" si="109"/>
        <v>0</v>
      </c>
    </row>
    <row r="587" spans="1:38">
      <c r="A587" t="s">
        <v>1888</v>
      </c>
      <c r="B587" t="s">
        <v>1889</v>
      </c>
      <c r="C587" s="1">
        <f t="shared" si="102"/>
        <v>45383</v>
      </c>
      <c r="D587" t="s">
        <v>1890</v>
      </c>
      <c r="E587">
        <v>214</v>
      </c>
      <c r="F587">
        <v>8.9</v>
      </c>
      <c r="G587" t="s">
        <v>30</v>
      </c>
      <c r="H587" t="s">
        <v>159</v>
      </c>
      <c r="I587" t="s">
        <v>32</v>
      </c>
      <c r="J587">
        <v>240</v>
      </c>
      <c r="K587" t="s">
        <v>49</v>
      </c>
      <c r="L587" t="s">
        <v>70</v>
      </c>
      <c r="M587" t="s">
        <v>35</v>
      </c>
      <c r="N587" t="s">
        <v>414</v>
      </c>
      <c r="O587" t="s">
        <v>37</v>
      </c>
      <c r="P587" t="s">
        <v>39</v>
      </c>
      <c r="Q587" t="s">
        <v>38</v>
      </c>
      <c r="R587">
        <v>0</v>
      </c>
      <c r="S587" t="s">
        <v>38</v>
      </c>
      <c r="T587">
        <v>10</v>
      </c>
      <c r="U587">
        <v>4</v>
      </c>
      <c r="V587">
        <v>4.7</v>
      </c>
      <c r="W587" t="s">
        <v>38</v>
      </c>
      <c r="X587" t="s">
        <v>63</v>
      </c>
      <c r="Y587" t="s">
        <v>39</v>
      </c>
      <c r="Z587" t="s">
        <v>115</v>
      </c>
      <c r="AA587" t="s">
        <v>109</v>
      </c>
      <c r="AB587" t="s">
        <v>43</v>
      </c>
      <c r="AC587">
        <f t="shared" si="99"/>
        <v>0</v>
      </c>
      <c r="AD587" s="12">
        <f t="shared" si="103"/>
        <v>1</v>
      </c>
      <c r="AE587" s="12">
        <f t="shared" si="104"/>
        <v>0</v>
      </c>
      <c r="AF587">
        <f t="shared" si="100"/>
        <v>0</v>
      </c>
      <c r="AG587">
        <f t="shared" si="105"/>
        <v>0</v>
      </c>
      <c r="AH587">
        <f t="shared" si="106"/>
        <v>0</v>
      </c>
      <c r="AI587">
        <f t="shared" si="107"/>
        <v>0</v>
      </c>
      <c r="AJ587">
        <f t="shared" si="108"/>
        <v>1</v>
      </c>
      <c r="AK587">
        <f t="shared" si="101"/>
        <v>1</v>
      </c>
      <c r="AL587">
        <f t="shared" si="109"/>
        <v>0</v>
      </c>
    </row>
    <row r="588" spans="1:38">
      <c r="A588" t="s">
        <v>1891</v>
      </c>
      <c r="B588" t="s">
        <v>1892</v>
      </c>
      <c r="C588" s="1">
        <f t="shared" si="102"/>
        <v>45536</v>
      </c>
      <c r="D588" t="s">
        <v>1893</v>
      </c>
      <c r="E588">
        <v>271.39999999999998</v>
      </c>
      <c r="F588">
        <v>11.3</v>
      </c>
      <c r="G588" t="s">
        <v>101</v>
      </c>
      <c r="H588" t="s">
        <v>368</v>
      </c>
      <c r="I588" t="s">
        <v>79</v>
      </c>
      <c r="J588">
        <v>360</v>
      </c>
      <c r="K588" t="s">
        <v>49</v>
      </c>
      <c r="L588" t="s">
        <v>70</v>
      </c>
      <c r="M588" t="s">
        <v>35</v>
      </c>
      <c r="N588" t="s">
        <v>188</v>
      </c>
      <c r="O588" t="s">
        <v>7232</v>
      </c>
      <c r="P588" t="s">
        <v>38</v>
      </c>
      <c r="Q588" t="s">
        <v>38</v>
      </c>
      <c r="R588">
        <v>1</v>
      </c>
      <c r="S588" t="s">
        <v>39</v>
      </c>
      <c r="T588">
        <v>9</v>
      </c>
      <c r="U588">
        <v>4.3</v>
      </c>
      <c r="V588">
        <v>43</v>
      </c>
      <c r="W588" t="s">
        <v>38</v>
      </c>
      <c r="X588" t="s">
        <v>63</v>
      </c>
      <c r="Y588" t="s">
        <v>38</v>
      </c>
      <c r="Z588" t="s">
        <v>108</v>
      </c>
      <c r="AA588" t="s">
        <v>82</v>
      </c>
      <c r="AB588" t="s">
        <v>83</v>
      </c>
      <c r="AC588">
        <f t="shared" si="99"/>
        <v>0</v>
      </c>
      <c r="AD588" s="12">
        <f t="shared" si="103"/>
        <v>1</v>
      </c>
      <c r="AE588" s="12">
        <f t="shared" si="104"/>
        <v>0</v>
      </c>
      <c r="AF588">
        <f t="shared" si="100"/>
        <v>0</v>
      </c>
      <c r="AG588">
        <f t="shared" si="105"/>
        <v>1</v>
      </c>
      <c r="AH588">
        <f t="shared" si="106"/>
        <v>0</v>
      </c>
      <c r="AI588">
        <f t="shared" si="107"/>
        <v>0</v>
      </c>
      <c r="AJ588">
        <f t="shared" si="108"/>
        <v>0</v>
      </c>
      <c r="AK588">
        <f t="shared" si="101"/>
        <v>0</v>
      </c>
      <c r="AL588">
        <f t="shared" si="109"/>
        <v>1</v>
      </c>
    </row>
    <row r="589" spans="1:38">
      <c r="A589" t="s">
        <v>1894</v>
      </c>
      <c r="B589" t="s">
        <v>1895</v>
      </c>
      <c r="C589" s="1">
        <f t="shared" si="102"/>
        <v>45566</v>
      </c>
      <c r="D589" t="s">
        <v>1896</v>
      </c>
      <c r="E589">
        <v>102.5</v>
      </c>
      <c r="F589">
        <v>4.3</v>
      </c>
      <c r="G589" t="s">
        <v>101</v>
      </c>
      <c r="H589" t="s">
        <v>102</v>
      </c>
      <c r="I589" t="s">
        <v>48</v>
      </c>
      <c r="J589">
        <v>120</v>
      </c>
      <c r="K589" t="s">
        <v>49</v>
      </c>
      <c r="L589" t="s">
        <v>34</v>
      </c>
      <c r="M589" t="s">
        <v>35</v>
      </c>
      <c r="N589" t="s">
        <v>138</v>
      </c>
      <c r="O589" t="s">
        <v>51</v>
      </c>
      <c r="P589" t="s">
        <v>38</v>
      </c>
      <c r="Q589" t="s">
        <v>38</v>
      </c>
      <c r="R589">
        <v>1</v>
      </c>
      <c r="S589" t="s">
        <v>38</v>
      </c>
      <c r="T589">
        <v>8</v>
      </c>
      <c r="U589">
        <v>4.4000000000000004</v>
      </c>
      <c r="V589">
        <v>17.100000000000001</v>
      </c>
      <c r="W589" t="s">
        <v>39</v>
      </c>
      <c r="X589" t="s">
        <v>63</v>
      </c>
      <c r="Y589" t="s">
        <v>38</v>
      </c>
      <c r="Z589" t="s">
        <v>41</v>
      </c>
      <c r="AA589" t="s">
        <v>109</v>
      </c>
      <c r="AB589" t="s">
        <v>83</v>
      </c>
      <c r="AC589">
        <f t="shared" si="99"/>
        <v>0</v>
      </c>
      <c r="AD589" s="12">
        <f t="shared" si="103"/>
        <v>1</v>
      </c>
      <c r="AE589" s="12">
        <f t="shared" si="104"/>
        <v>0</v>
      </c>
      <c r="AF589">
        <f t="shared" si="100"/>
        <v>1</v>
      </c>
      <c r="AG589">
        <f t="shared" si="105"/>
        <v>0</v>
      </c>
      <c r="AH589">
        <f t="shared" si="106"/>
        <v>1</v>
      </c>
      <c r="AI589">
        <f t="shared" si="107"/>
        <v>0</v>
      </c>
      <c r="AJ589">
        <f t="shared" si="108"/>
        <v>0</v>
      </c>
      <c r="AK589">
        <f t="shared" si="101"/>
        <v>0</v>
      </c>
      <c r="AL589">
        <f t="shared" si="109"/>
        <v>1</v>
      </c>
    </row>
    <row r="590" spans="1:38">
      <c r="A590" t="s">
        <v>1897</v>
      </c>
      <c r="B590" t="s">
        <v>1898</v>
      </c>
      <c r="C590" s="1">
        <f t="shared" si="102"/>
        <v>45627</v>
      </c>
      <c r="D590" t="s">
        <v>1899</v>
      </c>
      <c r="E590">
        <v>226.1</v>
      </c>
      <c r="F590">
        <v>9.4</v>
      </c>
      <c r="G590" t="s">
        <v>142</v>
      </c>
      <c r="H590" t="s">
        <v>260</v>
      </c>
      <c r="I590" t="s">
        <v>79</v>
      </c>
      <c r="J590">
        <v>360</v>
      </c>
      <c r="K590" t="s">
        <v>49</v>
      </c>
      <c r="L590" t="s">
        <v>96</v>
      </c>
      <c r="M590" t="s">
        <v>35</v>
      </c>
      <c r="N590" t="s">
        <v>119</v>
      </c>
      <c r="O590" t="s">
        <v>37</v>
      </c>
      <c r="P590" t="s">
        <v>38</v>
      </c>
      <c r="Q590" t="s">
        <v>38</v>
      </c>
      <c r="R590">
        <v>1</v>
      </c>
      <c r="S590" t="s">
        <v>38</v>
      </c>
      <c r="T590">
        <v>8</v>
      </c>
      <c r="U590">
        <v>2.6</v>
      </c>
      <c r="V590">
        <v>26.2</v>
      </c>
      <c r="W590" t="s">
        <v>38</v>
      </c>
      <c r="X590" t="s">
        <v>63</v>
      </c>
      <c r="Y590" t="s">
        <v>38</v>
      </c>
      <c r="Z590" t="s">
        <v>64</v>
      </c>
      <c r="AA590" t="s">
        <v>42</v>
      </c>
      <c r="AB590" t="s">
        <v>43</v>
      </c>
      <c r="AC590">
        <f t="shared" si="99"/>
        <v>0</v>
      </c>
      <c r="AD590" s="12">
        <f t="shared" si="103"/>
        <v>1</v>
      </c>
      <c r="AE590" s="12">
        <f t="shared" si="104"/>
        <v>0</v>
      </c>
      <c r="AF590">
        <f t="shared" si="100"/>
        <v>0</v>
      </c>
      <c r="AG590">
        <f t="shared" si="105"/>
        <v>0</v>
      </c>
      <c r="AH590">
        <f t="shared" si="106"/>
        <v>0</v>
      </c>
      <c r="AI590">
        <f t="shared" si="107"/>
        <v>0</v>
      </c>
      <c r="AJ590">
        <f t="shared" si="108"/>
        <v>0</v>
      </c>
      <c r="AK590">
        <f t="shared" si="101"/>
        <v>0</v>
      </c>
      <c r="AL590">
        <f t="shared" si="109"/>
        <v>1</v>
      </c>
    </row>
    <row r="591" spans="1:38">
      <c r="A591" t="s">
        <v>1900</v>
      </c>
      <c r="B591" t="s">
        <v>1901</v>
      </c>
      <c r="C591" s="1">
        <f t="shared" si="102"/>
        <v>45597</v>
      </c>
      <c r="D591" t="s">
        <v>1902</v>
      </c>
      <c r="E591">
        <v>225.8</v>
      </c>
      <c r="F591">
        <v>9.4</v>
      </c>
      <c r="G591" t="s">
        <v>77</v>
      </c>
      <c r="H591" t="s">
        <v>267</v>
      </c>
      <c r="I591" t="s">
        <v>79</v>
      </c>
      <c r="J591">
        <v>360</v>
      </c>
      <c r="K591" t="s">
        <v>49</v>
      </c>
      <c r="L591" t="s">
        <v>34</v>
      </c>
      <c r="M591" t="s">
        <v>35</v>
      </c>
      <c r="N591" t="s">
        <v>414</v>
      </c>
      <c r="O591" t="s">
        <v>37</v>
      </c>
      <c r="P591" t="s">
        <v>39</v>
      </c>
      <c r="Q591" t="s">
        <v>38</v>
      </c>
      <c r="R591">
        <v>0</v>
      </c>
      <c r="S591" t="s">
        <v>38</v>
      </c>
      <c r="T591">
        <v>8</v>
      </c>
      <c r="U591">
        <v>1.9</v>
      </c>
      <c r="V591">
        <v>34.200000000000003</v>
      </c>
      <c r="W591" t="s">
        <v>38</v>
      </c>
      <c r="X591" t="s">
        <v>40</v>
      </c>
      <c r="Y591" t="s">
        <v>38</v>
      </c>
      <c r="Z591" t="s">
        <v>115</v>
      </c>
      <c r="AA591" t="s">
        <v>103</v>
      </c>
      <c r="AB591" t="s">
        <v>55</v>
      </c>
      <c r="AC591">
        <f t="shared" si="99"/>
        <v>0</v>
      </c>
      <c r="AD591" s="12">
        <f t="shared" si="103"/>
        <v>0</v>
      </c>
      <c r="AE591" s="12">
        <f t="shared" si="104"/>
        <v>0</v>
      </c>
      <c r="AF591">
        <f t="shared" si="100"/>
        <v>0</v>
      </c>
      <c r="AG591">
        <f t="shared" si="105"/>
        <v>0</v>
      </c>
      <c r="AH591">
        <f t="shared" si="106"/>
        <v>0</v>
      </c>
      <c r="AI591">
        <f t="shared" si="107"/>
        <v>0</v>
      </c>
      <c r="AJ591">
        <f t="shared" si="108"/>
        <v>0</v>
      </c>
      <c r="AK591">
        <f t="shared" si="101"/>
        <v>0</v>
      </c>
      <c r="AL591">
        <f t="shared" si="109"/>
        <v>1</v>
      </c>
    </row>
    <row r="592" spans="1:38">
      <c r="A592" t="s">
        <v>1903</v>
      </c>
      <c r="B592" t="s">
        <v>1904</v>
      </c>
      <c r="C592" s="1">
        <f t="shared" si="102"/>
        <v>45413</v>
      </c>
      <c r="D592" t="s">
        <v>1905</v>
      </c>
      <c r="E592">
        <v>340.7</v>
      </c>
      <c r="F592">
        <v>14.2</v>
      </c>
      <c r="G592" t="s">
        <v>77</v>
      </c>
      <c r="H592" t="s">
        <v>244</v>
      </c>
      <c r="I592" t="s">
        <v>79</v>
      </c>
      <c r="J592">
        <v>360</v>
      </c>
      <c r="K592" t="s">
        <v>49</v>
      </c>
      <c r="L592" t="s">
        <v>70</v>
      </c>
      <c r="M592" t="s">
        <v>35</v>
      </c>
      <c r="N592" t="s">
        <v>97</v>
      </c>
      <c r="O592" t="s">
        <v>7232</v>
      </c>
      <c r="P592" t="s">
        <v>38</v>
      </c>
      <c r="Q592" t="s">
        <v>38</v>
      </c>
      <c r="R592">
        <v>1</v>
      </c>
      <c r="S592" t="s">
        <v>38</v>
      </c>
      <c r="T592">
        <v>8</v>
      </c>
      <c r="U592">
        <v>2.2000000000000002</v>
      </c>
      <c r="V592">
        <v>20.6</v>
      </c>
      <c r="W592" t="s">
        <v>38</v>
      </c>
      <c r="X592" t="s">
        <v>40</v>
      </c>
      <c r="Y592" t="s">
        <v>39</v>
      </c>
      <c r="Z592" t="s">
        <v>73</v>
      </c>
      <c r="AA592" t="s">
        <v>103</v>
      </c>
      <c r="AB592" t="s">
        <v>55</v>
      </c>
      <c r="AC592">
        <f t="shared" si="99"/>
        <v>0</v>
      </c>
      <c r="AD592" s="12">
        <f t="shared" si="103"/>
        <v>0</v>
      </c>
      <c r="AE592" s="12">
        <f t="shared" si="104"/>
        <v>0</v>
      </c>
      <c r="AF592">
        <f t="shared" si="100"/>
        <v>0</v>
      </c>
      <c r="AG592">
        <f t="shared" si="105"/>
        <v>1</v>
      </c>
      <c r="AH592">
        <f t="shared" si="106"/>
        <v>0</v>
      </c>
      <c r="AI592">
        <f t="shared" si="107"/>
        <v>0</v>
      </c>
      <c r="AJ592">
        <f t="shared" si="108"/>
        <v>0</v>
      </c>
      <c r="AK592">
        <f t="shared" si="101"/>
        <v>0</v>
      </c>
      <c r="AL592">
        <f t="shared" si="109"/>
        <v>0</v>
      </c>
    </row>
    <row r="593" spans="1:38">
      <c r="A593" t="s">
        <v>1906</v>
      </c>
      <c r="B593" t="s">
        <v>1907</v>
      </c>
      <c r="C593" s="1">
        <f t="shared" si="102"/>
        <v>45352</v>
      </c>
      <c r="D593" t="s">
        <v>1908</v>
      </c>
      <c r="E593">
        <v>107.9</v>
      </c>
      <c r="F593">
        <v>4.5</v>
      </c>
      <c r="G593" t="s">
        <v>59</v>
      </c>
      <c r="H593" t="s">
        <v>227</v>
      </c>
      <c r="I593" t="s">
        <v>48</v>
      </c>
      <c r="J593">
        <v>120</v>
      </c>
      <c r="K593" t="s">
        <v>49</v>
      </c>
      <c r="L593" t="s">
        <v>70</v>
      </c>
      <c r="M593" t="s">
        <v>71</v>
      </c>
      <c r="N593" t="s">
        <v>414</v>
      </c>
      <c r="O593" t="s">
        <v>51</v>
      </c>
      <c r="P593" t="s">
        <v>38</v>
      </c>
      <c r="Q593" t="s">
        <v>39</v>
      </c>
      <c r="R593">
        <v>2</v>
      </c>
      <c r="S593" t="s">
        <v>38</v>
      </c>
      <c r="T593">
        <v>10</v>
      </c>
      <c r="U593">
        <v>6.2</v>
      </c>
      <c r="V593">
        <v>0.7</v>
      </c>
      <c r="W593" t="s">
        <v>39</v>
      </c>
      <c r="X593" t="s">
        <v>52</v>
      </c>
      <c r="Y593" t="s">
        <v>38</v>
      </c>
      <c r="Z593" t="s">
        <v>115</v>
      </c>
      <c r="AA593" t="s">
        <v>42</v>
      </c>
      <c r="AB593" t="s">
        <v>83</v>
      </c>
      <c r="AC593">
        <f t="shared" si="99"/>
        <v>1</v>
      </c>
      <c r="AD593" s="12">
        <f t="shared" si="103"/>
        <v>0</v>
      </c>
      <c r="AE593" s="12">
        <f t="shared" si="104"/>
        <v>0</v>
      </c>
      <c r="AF593">
        <f t="shared" si="100"/>
        <v>1</v>
      </c>
      <c r="AG593">
        <f t="shared" si="105"/>
        <v>0</v>
      </c>
      <c r="AH593">
        <f t="shared" si="106"/>
        <v>1</v>
      </c>
      <c r="AI593">
        <f t="shared" si="107"/>
        <v>0</v>
      </c>
      <c r="AJ593">
        <f t="shared" si="108"/>
        <v>0</v>
      </c>
      <c r="AK593">
        <f t="shared" si="101"/>
        <v>0</v>
      </c>
      <c r="AL593">
        <f t="shared" si="109"/>
        <v>1</v>
      </c>
    </row>
    <row r="594" spans="1:38">
      <c r="A594" t="s">
        <v>1909</v>
      </c>
      <c r="B594" t="s">
        <v>1910</v>
      </c>
      <c r="C594" s="1">
        <f t="shared" si="102"/>
        <v>45597</v>
      </c>
      <c r="D594" t="s">
        <v>1911</v>
      </c>
      <c r="E594">
        <v>273.2</v>
      </c>
      <c r="F594">
        <v>11.4</v>
      </c>
      <c r="G594" t="s">
        <v>142</v>
      </c>
      <c r="H594" t="s">
        <v>240</v>
      </c>
      <c r="I594" t="s">
        <v>79</v>
      </c>
      <c r="J594">
        <v>360</v>
      </c>
      <c r="K594" t="s">
        <v>49</v>
      </c>
      <c r="L594" t="s">
        <v>96</v>
      </c>
      <c r="M594" t="s">
        <v>71</v>
      </c>
      <c r="N594" t="s">
        <v>134</v>
      </c>
      <c r="O594" t="s">
        <v>37</v>
      </c>
      <c r="P594" t="s">
        <v>38</v>
      </c>
      <c r="Q594" t="s">
        <v>39</v>
      </c>
      <c r="R594">
        <v>3</v>
      </c>
      <c r="S594" t="s">
        <v>38</v>
      </c>
      <c r="T594">
        <v>7</v>
      </c>
      <c r="U594">
        <v>4.8</v>
      </c>
      <c r="V594">
        <v>7</v>
      </c>
      <c r="W594" t="s">
        <v>39</v>
      </c>
      <c r="X594" t="s">
        <v>52</v>
      </c>
      <c r="Y594" t="s">
        <v>39</v>
      </c>
      <c r="Z594" t="s">
        <v>179</v>
      </c>
      <c r="AA594" t="s">
        <v>82</v>
      </c>
      <c r="AB594" t="s">
        <v>55</v>
      </c>
      <c r="AC594">
        <f t="shared" si="99"/>
        <v>1</v>
      </c>
      <c r="AD594" s="12">
        <f t="shared" si="103"/>
        <v>0</v>
      </c>
      <c r="AE594" s="12">
        <f t="shared" si="104"/>
        <v>0</v>
      </c>
      <c r="AF594">
        <f t="shared" si="100"/>
        <v>0</v>
      </c>
      <c r="AG594">
        <f t="shared" si="105"/>
        <v>0</v>
      </c>
      <c r="AH594">
        <f t="shared" si="106"/>
        <v>0</v>
      </c>
      <c r="AI594">
        <f t="shared" si="107"/>
        <v>0</v>
      </c>
      <c r="AJ594">
        <f t="shared" si="108"/>
        <v>0</v>
      </c>
      <c r="AK594">
        <f t="shared" si="101"/>
        <v>0</v>
      </c>
      <c r="AL594">
        <f t="shared" si="109"/>
        <v>0</v>
      </c>
    </row>
    <row r="595" spans="1:38">
      <c r="A595" t="s">
        <v>1912</v>
      </c>
      <c r="B595" t="s">
        <v>1913</v>
      </c>
      <c r="C595" s="1">
        <f t="shared" si="102"/>
        <v>45292</v>
      </c>
      <c r="D595" t="s">
        <v>1914</v>
      </c>
      <c r="E595">
        <v>75</v>
      </c>
      <c r="F595">
        <v>3.1</v>
      </c>
      <c r="G595" t="s">
        <v>87</v>
      </c>
      <c r="H595" t="s">
        <v>183</v>
      </c>
      <c r="I595" t="s">
        <v>48</v>
      </c>
      <c r="J595">
        <v>120</v>
      </c>
      <c r="K595" t="s">
        <v>49</v>
      </c>
      <c r="L595" t="s">
        <v>96</v>
      </c>
      <c r="M595" t="s">
        <v>35</v>
      </c>
      <c r="N595" t="s">
        <v>97</v>
      </c>
      <c r="O595" t="s">
        <v>37</v>
      </c>
      <c r="P595" t="s">
        <v>38</v>
      </c>
      <c r="Q595" t="s">
        <v>38</v>
      </c>
      <c r="R595">
        <v>1</v>
      </c>
      <c r="S595" t="s">
        <v>38</v>
      </c>
      <c r="T595">
        <v>9</v>
      </c>
      <c r="U595">
        <v>0.1</v>
      </c>
      <c r="V595">
        <v>27.3</v>
      </c>
      <c r="W595" t="s">
        <v>39</v>
      </c>
      <c r="X595" t="s">
        <v>40</v>
      </c>
      <c r="Y595" t="s">
        <v>38</v>
      </c>
      <c r="Z595" t="s">
        <v>81</v>
      </c>
      <c r="AA595" t="s">
        <v>42</v>
      </c>
      <c r="AB595" t="s">
        <v>83</v>
      </c>
      <c r="AC595">
        <f t="shared" si="99"/>
        <v>0</v>
      </c>
      <c r="AD595" s="12">
        <f t="shared" si="103"/>
        <v>0</v>
      </c>
      <c r="AE595" s="12">
        <f t="shared" si="104"/>
        <v>0</v>
      </c>
      <c r="AF595">
        <f t="shared" si="100"/>
        <v>0</v>
      </c>
      <c r="AG595">
        <f t="shared" si="105"/>
        <v>0</v>
      </c>
      <c r="AH595">
        <f t="shared" si="106"/>
        <v>1</v>
      </c>
      <c r="AI595">
        <f t="shared" si="107"/>
        <v>0</v>
      </c>
      <c r="AJ595">
        <f t="shared" si="108"/>
        <v>0</v>
      </c>
      <c r="AK595">
        <f t="shared" si="101"/>
        <v>0</v>
      </c>
      <c r="AL595">
        <f t="shared" si="109"/>
        <v>1</v>
      </c>
    </row>
    <row r="596" spans="1:38">
      <c r="A596" t="s">
        <v>1915</v>
      </c>
      <c r="B596" t="s">
        <v>1916</v>
      </c>
      <c r="C596" s="1">
        <f t="shared" si="102"/>
        <v>45352</v>
      </c>
      <c r="D596" t="s">
        <v>1917</v>
      </c>
      <c r="E596">
        <v>1026.5</v>
      </c>
      <c r="F596">
        <v>42.8</v>
      </c>
      <c r="G596" t="s">
        <v>142</v>
      </c>
      <c r="H596" t="s">
        <v>729</v>
      </c>
      <c r="I596" t="s">
        <v>79</v>
      </c>
      <c r="J596">
        <v>360</v>
      </c>
      <c r="K596" t="s">
        <v>33</v>
      </c>
      <c r="L596" t="s">
        <v>96</v>
      </c>
      <c r="M596" t="s">
        <v>35</v>
      </c>
      <c r="N596" t="s">
        <v>188</v>
      </c>
      <c r="O596" t="s">
        <v>37</v>
      </c>
      <c r="P596" t="s">
        <v>39</v>
      </c>
      <c r="Q596" t="s">
        <v>38</v>
      </c>
      <c r="R596">
        <v>0</v>
      </c>
      <c r="S596" t="s">
        <v>39</v>
      </c>
      <c r="T596">
        <v>9</v>
      </c>
      <c r="U596">
        <v>2.8</v>
      </c>
      <c r="V596">
        <v>18.600000000000001</v>
      </c>
      <c r="W596" t="s">
        <v>38</v>
      </c>
      <c r="X596" t="s">
        <v>123</v>
      </c>
      <c r="Y596" t="s">
        <v>39</v>
      </c>
      <c r="Z596" t="s">
        <v>81</v>
      </c>
      <c r="AA596" t="s">
        <v>109</v>
      </c>
      <c r="AB596" t="s">
        <v>55</v>
      </c>
      <c r="AC596">
        <f t="shared" si="99"/>
        <v>0</v>
      </c>
      <c r="AD596" s="12">
        <f t="shared" si="103"/>
        <v>0</v>
      </c>
      <c r="AE596" s="12">
        <f t="shared" si="104"/>
        <v>1</v>
      </c>
      <c r="AF596">
        <f t="shared" si="100"/>
        <v>0</v>
      </c>
      <c r="AG596">
        <f t="shared" si="105"/>
        <v>0</v>
      </c>
      <c r="AH596">
        <f t="shared" si="106"/>
        <v>0</v>
      </c>
      <c r="AI596">
        <f t="shared" si="107"/>
        <v>0</v>
      </c>
      <c r="AJ596">
        <f t="shared" si="108"/>
        <v>0</v>
      </c>
      <c r="AK596">
        <f t="shared" si="101"/>
        <v>0</v>
      </c>
      <c r="AL596">
        <f t="shared" si="109"/>
        <v>0</v>
      </c>
    </row>
    <row r="597" spans="1:38">
      <c r="A597" t="s">
        <v>1918</v>
      </c>
      <c r="B597" t="s">
        <v>1919</v>
      </c>
      <c r="C597" s="1">
        <f t="shared" si="102"/>
        <v>45352</v>
      </c>
      <c r="D597" t="s">
        <v>1920</v>
      </c>
      <c r="E597">
        <v>150.30000000000001</v>
      </c>
      <c r="F597">
        <v>6.3</v>
      </c>
      <c r="G597" t="s">
        <v>30</v>
      </c>
      <c r="H597" t="s">
        <v>159</v>
      </c>
      <c r="I597" t="s">
        <v>32</v>
      </c>
      <c r="J597">
        <v>240</v>
      </c>
      <c r="K597" t="s">
        <v>49</v>
      </c>
      <c r="L597" t="s">
        <v>96</v>
      </c>
      <c r="M597" t="s">
        <v>35</v>
      </c>
      <c r="N597" t="s">
        <v>114</v>
      </c>
      <c r="O597" t="s">
        <v>7232</v>
      </c>
      <c r="P597" t="s">
        <v>38</v>
      </c>
      <c r="Q597" t="s">
        <v>38</v>
      </c>
      <c r="R597">
        <v>1</v>
      </c>
      <c r="S597" t="s">
        <v>38</v>
      </c>
      <c r="T597">
        <v>10</v>
      </c>
      <c r="U597">
        <v>3.3</v>
      </c>
      <c r="V597">
        <v>24.1</v>
      </c>
      <c r="W597" t="s">
        <v>39</v>
      </c>
      <c r="X597" t="s">
        <v>123</v>
      </c>
      <c r="Y597" t="s">
        <v>38</v>
      </c>
      <c r="Z597" t="s">
        <v>41</v>
      </c>
      <c r="AA597" t="s">
        <v>103</v>
      </c>
      <c r="AB597" t="s">
        <v>83</v>
      </c>
      <c r="AC597">
        <f t="shared" si="99"/>
        <v>0</v>
      </c>
      <c r="AD597" s="12">
        <f t="shared" si="103"/>
        <v>0</v>
      </c>
      <c r="AE597" s="12">
        <f t="shared" si="104"/>
        <v>1</v>
      </c>
      <c r="AF597">
        <f t="shared" si="100"/>
        <v>0</v>
      </c>
      <c r="AG597">
        <f t="shared" si="105"/>
        <v>1</v>
      </c>
      <c r="AH597">
        <f t="shared" si="106"/>
        <v>0</v>
      </c>
      <c r="AI597">
        <f t="shared" si="107"/>
        <v>0</v>
      </c>
      <c r="AJ597">
        <f t="shared" si="108"/>
        <v>1</v>
      </c>
      <c r="AK597">
        <f t="shared" si="101"/>
        <v>1</v>
      </c>
      <c r="AL597">
        <f t="shared" si="109"/>
        <v>1</v>
      </c>
    </row>
    <row r="598" spans="1:38">
      <c r="A598" t="s">
        <v>1921</v>
      </c>
      <c r="B598" t="s">
        <v>1922</v>
      </c>
      <c r="C598" s="1">
        <f t="shared" si="102"/>
        <v>45383</v>
      </c>
      <c r="D598" t="s">
        <v>1923</v>
      </c>
      <c r="E598">
        <v>205.1</v>
      </c>
      <c r="F598">
        <v>8.5</v>
      </c>
      <c r="G598" t="s">
        <v>30</v>
      </c>
      <c r="H598" t="s">
        <v>47</v>
      </c>
      <c r="I598" t="s">
        <v>32</v>
      </c>
      <c r="J598">
        <v>240</v>
      </c>
      <c r="K598" t="s">
        <v>49</v>
      </c>
      <c r="L598" t="s">
        <v>96</v>
      </c>
      <c r="M598" t="s">
        <v>35</v>
      </c>
      <c r="N598" t="s">
        <v>50</v>
      </c>
      <c r="O598" t="s">
        <v>7232</v>
      </c>
      <c r="P598" t="s">
        <v>39</v>
      </c>
      <c r="Q598" t="s">
        <v>38</v>
      </c>
      <c r="R598">
        <v>0</v>
      </c>
      <c r="S598" t="s">
        <v>38</v>
      </c>
      <c r="T598">
        <v>10</v>
      </c>
      <c r="U598">
        <v>1.8</v>
      </c>
      <c r="V598">
        <v>20</v>
      </c>
      <c r="W598" t="s">
        <v>39</v>
      </c>
      <c r="X598" t="s">
        <v>52</v>
      </c>
      <c r="Y598" t="s">
        <v>38</v>
      </c>
      <c r="Z598" t="s">
        <v>108</v>
      </c>
      <c r="AA598" t="s">
        <v>82</v>
      </c>
      <c r="AB598" t="s">
        <v>43</v>
      </c>
      <c r="AC598">
        <f t="shared" si="99"/>
        <v>1</v>
      </c>
      <c r="AD598" s="12">
        <f t="shared" si="103"/>
        <v>0</v>
      </c>
      <c r="AE598" s="12">
        <f t="shared" si="104"/>
        <v>0</v>
      </c>
      <c r="AF598">
        <f t="shared" si="100"/>
        <v>0</v>
      </c>
      <c r="AG598">
        <f t="shared" si="105"/>
        <v>1</v>
      </c>
      <c r="AH598">
        <f t="shared" si="106"/>
        <v>0</v>
      </c>
      <c r="AI598">
        <f t="shared" si="107"/>
        <v>0</v>
      </c>
      <c r="AJ598">
        <f t="shared" si="108"/>
        <v>1</v>
      </c>
      <c r="AK598">
        <f t="shared" si="101"/>
        <v>1</v>
      </c>
      <c r="AL598">
        <f t="shared" si="109"/>
        <v>1</v>
      </c>
    </row>
    <row r="599" spans="1:38">
      <c r="A599" t="s">
        <v>1924</v>
      </c>
      <c r="B599" t="s">
        <v>1925</v>
      </c>
      <c r="C599" s="1">
        <f t="shared" si="102"/>
        <v>45444</v>
      </c>
      <c r="D599" t="s">
        <v>1926</v>
      </c>
      <c r="E599">
        <v>381.5</v>
      </c>
      <c r="F599">
        <v>15.9</v>
      </c>
      <c r="G599" t="s">
        <v>77</v>
      </c>
      <c r="H599" t="s">
        <v>78</v>
      </c>
      <c r="I599" t="s">
        <v>79</v>
      </c>
      <c r="J599">
        <v>360</v>
      </c>
      <c r="K599" t="s">
        <v>33</v>
      </c>
      <c r="L599" t="s">
        <v>34</v>
      </c>
      <c r="M599" t="s">
        <v>35</v>
      </c>
      <c r="N599" t="s">
        <v>188</v>
      </c>
      <c r="O599" t="s">
        <v>37</v>
      </c>
      <c r="P599" t="s">
        <v>38</v>
      </c>
      <c r="Q599" t="s">
        <v>38</v>
      </c>
      <c r="R599">
        <v>1</v>
      </c>
      <c r="S599" t="s">
        <v>38</v>
      </c>
      <c r="T599">
        <v>8</v>
      </c>
      <c r="U599">
        <v>0.1</v>
      </c>
      <c r="V599">
        <v>24.7</v>
      </c>
      <c r="W599" t="s">
        <v>39</v>
      </c>
      <c r="X599" t="s">
        <v>63</v>
      </c>
      <c r="Y599" t="s">
        <v>39</v>
      </c>
      <c r="Z599" t="s">
        <v>73</v>
      </c>
      <c r="AA599" t="s">
        <v>42</v>
      </c>
      <c r="AB599" t="s">
        <v>83</v>
      </c>
      <c r="AC599">
        <f t="shared" si="99"/>
        <v>0</v>
      </c>
      <c r="AD599" s="12">
        <f t="shared" si="103"/>
        <v>1</v>
      </c>
      <c r="AE599" s="12">
        <f t="shared" si="104"/>
        <v>0</v>
      </c>
      <c r="AF599">
        <f t="shared" si="100"/>
        <v>0</v>
      </c>
      <c r="AG599">
        <f t="shared" si="105"/>
        <v>0</v>
      </c>
      <c r="AH599">
        <f t="shared" si="106"/>
        <v>0</v>
      </c>
      <c r="AI599">
        <f t="shared" si="107"/>
        <v>0</v>
      </c>
      <c r="AJ599">
        <f t="shared" si="108"/>
        <v>0</v>
      </c>
      <c r="AK599">
        <f t="shared" si="101"/>
        <v>0</v>
      </c>
      <c r="AL599">
        <f t="shared" si="109"/>
        <v>0</v>
      </c>
    </row>
    <row r="600" spans="1:38">
      <c r="A600" t="s">
        <v>1927</v>
      </c>
      <c r="B600" t="s">
        <v>1928</v>
      </c>
      <c r="C600" s="1">
        <f t="shared" si="102"/>
        <v>45505</v>
      </c>
      <c r="D600" t="s">
        <v>1929</v>
      </c>
      <c r="E600">
        <v>81.3</v>
      </c>
      <c r="F600">
        <v>3.4</v>
      </c>
      <c r="G600" t="s">
        <v>87</v>
      </c>
      <c r="H600" t="s">
        <v>88</v>
      </c>
      <c r="I600" t="s">
        <v>48</v>
      </c>
      <c r="J600">
        <v>120</v>
      </c>
      <c r="K600" t="s">
        <v>49</v>
      </c>
      <c r="L600" t="s">
        <v>70</v>
      </c>
      <c r="M600" t="s">
        <v>35</v>
      </c>
      <c r="N600" t="s">
        <v>192</v>
      </c>
      <c r="O600" t="s">
        <v>51</v>
      </c>
      <c r="P600" t="s">
        <v>38</v>
      </c>
      <c r="Q600" t="s">
        <v>38</v>
      </c>
      <c r="R600">
        <v>1</v>
      </c>
      <c r="S600" t="s">
        <v>39</v>
      </c>
      <c r="T600">
        <v>10</v>
      </c>
      <c r="U600">
        <v>5.4</v>
      </c>
      <c r="V600">
        <v>13.4</v>
      </c>
      <c r="W600" t="s">
        <v>39</v>
      </c>
      <c r="X600" t="s">
        <v>123</v>
      </c>
      <c r="Y600" t="s">
        <v>39</v>
      </c>
      <c r="Z600" t="s">
        <v>53</v>
      </c>
      <c r="AA600" t="s">
        <v>82</v>
      </c>
      <c r="AB600" t="s">
        <v>43</v>
      </c>
      <c r="AC600">
        <f t="shared" si="99"/>
        <v>0</v>
      </c>
      <c r="AD600" s="12">
        <f t="shared" si="103"/>
        <v>0</v>
      </c>
      <c r="AE600" s="12">
        <f t="shared" si="104"/>
        <v>1</v>
      </c>
      <c r="AF600">
        <f t="shared" si="100"/>
        <v>1</v>
      </c>
      <c r="AG600">
        <f t="shared" si="105"/>
        <v>0</v>
      </c>
      <c r="AH600">
        <f t="shared" si="106"/>
        <v>1</v>
      </c>
      <c r="AI600">
        <f t="shared" si="107"/>
        <v>0</v>
      </c>
      <c r="AJ600">
        <f t="shared" si="108"/>
        <v>0</v>
      </c>
      <c r="AK600">
        <f t="shared" si="101"/>
        <v>0</v>
      </c>
      <c r="AL600">
        <f t="shared" si="109"/>
        <v>0</v>
      </c>
    </row>
    <row r="601" spans="1:38">
      <c r="A601" t="s">
        <v>1930</v>
      </c>
      <c r="B601" t="s">
        <v>1931</v>
      </c>
      <c r="C601" s="1">
        <f t="shared" si="102"/>
        <v>45627</v>
      </c>
      <c r="D601" t="s">
        <v>1932</v>
      </c>
      <c r="E601">
        <v>251.5</v>
      </c>
      <c r="F601">
        <v>10.5</v>
      </c>
      <c r="G601" t="s">
        <v>101</v>
      </c>
      <c r="H601" t="s">
        <v>368</v>
      </c>
      <c r="I601" t="s">
        <v>32</v>
      </c>
      <c r="J601">
        <v>240</v>
      </c>
      <c r="K601" t="s">
        <v>33</v>
      </c>
      <c r="L601" t="s">
        <v>70</v>
      </c>
      <c r="M601" t="s">
        <v>35</v>
      </c>
      <c r="N601" t="s">
        <v>155</v>
      </c>
      <c r="O601" t="s">
        <v>37</v>
      </c>
      <c r="P601" t="s">
        <v>38</v>
      </c>
      <c r="Q601" t="s">
        <v>38</v>
      </c>
      <c r="R601">
        <v>1</v>
      </c>
      <c r="S601" t="s">
        <v>38</v>
      </c>
      <c r="T601">
        <v>5</v>
      </c>
      <c r="U601">
        <v>3.4</v>
      </c>
      <c r="V601">
        <v>42.9</v>
      </c>
      <c r="W601" t="s">
        <v>39</v>
      </c>
      <c r="X601" t="s">
        <v>63</v>
      </c>
      <c r="Y601" t="s">
        <v>38</v>
      </c>
      <c r="Z601" t="s">
        <v>64</v>
      </c>
      <c r="AA601" t="s">
        <v>109</v>
      </c>
      <c r="AB601" t="s">
        <v>55</v>
      </c>
      <c r="AC601">
        <f t="shared" si="99"/>
        <v>0</v>
      </c>
      <c r="AD601" s="12">
        <f t="shared" si="103"/>
        <v>1</v>
      </c>
      <c r="AE601" s="12">
        <f t="shared" si="104"/>
        <v>0</v>
      </c>
      <c r="AF601">
        <f t="shared" si="100"/>
        <v>0</v>
      </c>
      <c r="AG601">
        <f t="shared" si="105"/>
        <v>0</v>
      </c>
      <c r="AH601">
        <f t="shared" si="106"/>
        <v>0</v>
      </c>
      <c r="AI601">
        <f t="shared" si="107"/>
        <v>0</v>
      </c>
      <c r="AJ601">
        <f t="shared" si="108"/>
        <v>1</v>
      </c>
      <c r="AK601">
        <f t="shared" si="101"/>
        <v>0</v>
      </c>
      <c r="AL601">
        <f t="shared" si="109"/>
        <v>1</v>
      </c>
    </row>
    <row r="602" spans="1:38">
      <c r="A602" t="s">
        <v>1933</v>
      </c>
      <c r="B602" t="s">
        <v>1934</v>
      </c>
      <c r="C602" s="1">
        <f t="shared" si="102"/>
        <v>45505</v>
      </c>
      <c r="D602" t="s">
        <v>1935</v>
      </c>
      <c r="E602">
        <v>278</v>
      </c>
      <c r="F602">
        <v>11.6</v>
      </c>
      <c r="G602" t="s">
        <v>30</v>
      </c>
      <c r="H602" t="s">
        <v>47</v>
      </c>
      <c r="I602" t="s">
        <v>79</v>
      </c>
      <c r="J602">
        <v>360</v>
      </c>
      <c r="K602" t="s">
        <v>49</v>
      </c>
      <c r="L602" t="s">
        <v>70</v>
      </c>
      <c r="M602" t="s">
        <v>35</v>
      </c>
      <c r="N602" t="s">
        <v>134</v>
      </c>
      <c r="O602" t="s">
        <v>51</v>
      </c>
      <c r="P602" t="s">
        <v>39</v>
      </c>
      <c r="Q602" t="s">
        <v>38</v>
      </c>
      <c r="R602">
        <v>0</v>
      </c>
      <c r="S602" t="s">
        <v>38</v>
      </c>
      <c r="T602">
        <v>10</v>
      </c>
      <c r="U602">
        <v>1.5</v>
      </c>
      <c r="V602">
        <v>0</v>
      </c>
      <c r="W602" t="s">
        <v>38</v>
      </c>
      <c r="X602" t="s">
        <v>63</v>
      </c>
      <c r="Y602" t="s">
        <v>38</v>
      </c>
      <c r="Z602" t="s">
        <v>115</v>
      </c>
      <c r="AA602" t="s">
        <v>42</v>
      </c>
      <c r="AB602" t="s">
        <v>43</v>
      </c>
      <c r="AC602">
        <f t="shared" si="99"/>
        <v>0</v>
      </c>
      <c r="AD602" s="12">
        <f t="shared" si="103"/>
        <v>1</v>
      </c>
      <c r="AE602" s="12">
        <f t="shared" si="104"/>
        <v>0</v>
      </c>
      <c r="AF602">
        <f t="shared" si="100"/>
        <v>1</v>
      </c>
      <c r="AG602">
        <f t="shared" si="105"/>
        <v>0</v>
      </c>
      <c r="AH602">
        <f t="shared" si="106"/>
        <v>0</v>
      </c>
      <c r="AI602">
        <f t="shared" si="107"/>
        <v>0</v>
      </c>
      <c r="AJ602">
        <f t="shared" si="108"/>
        <v>0</v>
      </c>
      <c r="AK602">
        <f t="shared" si="101"/>
        <v>1</v>
      </c>
      <c r="AL602">
        <f t="shared" si="109"/>
        <v>1</v>
      </c>
    </row>
    <row r="603" spans="1:38">
      <c r="A603" t="s">
        <v>1936</v>
      </c>
      <c r="B603" t="s">
        <v>1937</v>
      </c>
      <c r="C603" s="1">
        <f t="shared" si="102"/>
        <v>45627</v>
      </c>
      <c r="D603" t="s">
        <v>1938</v>
      </c>
      <c r="E603">
        <v>219.8</v>
      </c>
      <c r="F603">
        <v>9.1999999999999993</v>
      </c>
      <c r="G603" t="s">
        <v>59</v>
      </c>
      <c r="H603" t="s">
        <v>60</v>
      </c>
      <c r="I603" t="s">
        <v>32</v>
      </c>
      <c r="J603">
        <v>240</v>
      </c>
      <c r="K603" t="s">
        <v>49</v>
      </c>
      <c r="L603" t="s">
        <v>96</v>
      </c>
      <c r="M603" t="s">
        <v>35</v>
      </c>
      <c r="N603" t="s">
        <v>107</v>
      </c>
      <c r="O603" t="s">
        <v>7232</v>
      </c>
      <c r="P603" t="s">
        <v>38</v>
      </c>
      <c r="Q603" t="s">
        <v>38</v>
      </c>
      <c r="R603">
        <v>1</v>
      </c>
      <c r="S603" t="s">
        <v>38</v>
      </c>
      <c r="T603">
        <v>9</v>
      </c>
      <c r="U603">
        <v>2.2000000000000002</v>
      </c>
      <c r="V603">
        <v>20</v>
      </c>
      <c r="W603" t="s">
        <v>38</v>
      </c>
      <c r="X603" t="s">
        <v>52</v>
      </c>
      <c r="Y603" t="s">
        <v>38</v>
      </c>
      <c r="Z603" t="s">
        <v>73</v>
      </c>
      <c r="AA603" t="s">
        <v>82</v>
      </c>
      <c r="AB603" t="s">
        <v>83</v>
      </c>
      <c r="AC603">
        <f t="shared" si="99"/>
        <v>1</v>
      </c>
      <c r="AD603" s="12">
        <f t="shared" si="103"/>
        <v>0</v>
      </c>
      <c r="AE603" s="12">
        <f t="shared" si="104"/>
        <v>0</v>
      </c>
      <c r="AF603">
        <f t="shared" si="100"/>
        <v>0</v>
      </c>
      <c r="AG603">
        <f t="shared" si="105"/>
        <v>1</v>
      </c>
      <c r="AH603">
        <f t="shared" si="106"/>
        <v>0</v>
      </c>
      <c r="AI603">
        <f t="shared" si="107"/>
        <v>0</v>
      </c>
      <c r="AJ603">
        <f t="shared" si="108"/>
        <v>1</v>
      </c>
      <c r="AK603">
        <f t="shared" si="101"/>
        <v>0</v>
      </c>
      <c r="AL603">
        <f t="shared" si="109"/>
        <v>1</v>
      </c>
    </row>
    <row r="604" spans="1:38">
      <c r="A604" t="s">
        <v>1939</v>
      </c>
      <c r="B604" t="s">
        <v>1940</v>
      </c>
      <c r="C604" s="1">
        <f t="shared" si="102"/>
        <v>45352</v>
      </c>
      <c r="D604" t="s">
        <v>1941</v>
      </c>
      <c r="E604">
        <v>134.1</v>
      </c>
      <c r="F604">
        <v>5.6</v>
      </c>
      <c r="G604" t="s">
        <v>87</v>
      </c>
      <c r="H604" t="s">
        <v>309</v>
      </c>
      <c r="I604" t="s">
        <v>48</v>
      </c>
      <c r="J604">
        <v>120</v>
      </c>
      <c r="K604" t="s">
        <v>33</v>
      </c>
      <c r="L604" t="s">
        <v>96</v>
      </c>
      <c r="M604" t="s">
        <v>71</v>
      </c>
      <c r="N604" t="s">
        <v>144</v>
      </c>
      <c r="O604" t="s">
        <v>7232</v>
      </c>
      <c r="P604" t="s">
        <v>38</v>
      </c>
      <c r="Q604" t="s">
        <v>39</v>
      </c>
      <c r="R604">
        <v>1</v>
      </c>
      <c r="S604" t="s">
        <v>39</v>
      </c>
      <c r="T604">
        <v>5</v>
      </c>
      <c r="U604">
        <v>3.8</v>
      </c>
      <c r="V604">
        <v>21.4</v>
      </c>
      <c r="W604" t="s">
        <v>38</v>
      </c>
      <c r="X604" t="s">
        <v>123</v>
      </c>
      <c r="Y604" t="s">
        <v>39</v>
      </c>
      <c r="Z604" t="s">
        <v>81</v>
      </c>
      <c r="AA604" t="s">
        <v>109</v>
      </c>
      <c r="AB604" t="s">
        <v>83</v>
      </c>
      <c r="AC604">
        <f t="shared" si="99"/>
        <v>0</v>
      </c>
      <c r="AD604" s="12">
        <f t="shared" si="103"/>
        <v>0</v>
      </c>
      <c r="AE604" s="12">
        <f t="shared" si="104"/>
        <v>1</v>
      </c>
      <c r="AF604">
        <f t="shared" si="100"/>
        <v>0</v>
      </c>
      <c r="AG604">
        <f t="shared" si="105"/>
        <v>1</v>
      </c>
      <c r="AH604">
        <f t="shared" si="106"/>
        <v>1</v>
      </c>
      <c r="AI604">
        <f t="shared" si="107"/>
        <v>0</v>
      </c>
      <c r="AJ604">
        <f t="shared" si="108"/>
        <v>0</v>
      </c>
      <c r="AK604">
        <f t="shared" si="101"/>
        <v>0</v>
      </c>
      <c r="AL604">
        <f t="shared" si="109"/>
        <v>0</v>
      </c>
    </row>
    <row r="605" spans="1:38">
      <c r="A605" t="s">
        <v>1942</v>
      </c>
      <c r="B605" t="s">
        <v>1943</v>
      </c>
      <c r="C605" s="1">
        <f t="shared" si="102"/>
        <v>45474</v>
      </c>
      <c r="D605" t="s">
        <v>1944</v>
      </c>
      <c r="E605">
        <v>256.2</v>
      </c>
      <c r="F605">
        <v>10.7</v>
      </c>
      <c r="G605" t="s">
        <v>77</v>
      </c>
      <c r="H605" t="s">
        <v>78</v>
      </c>
      <c r="I605" t="s">
        <v>79</v>
      </c>
      <c r="J605">
        <v>360</v>
      </c>
      <c r="K605" t="s">
        <v>49</v>
      </c>
      <c r="L605" t="s">
        <v>113</v>
      </c>
      <c r="M605" t="s">
        <v>35</v>
      </c>
      <c r="N605" t="s">
        <v>61</v>
      </c>
      <c r="O605" t="s">
        <v>7232</v>
      </c>
      <c r="P605" t="s">
        <v>39</v>
      </c>
      <c r="Q605" t="s">
        <v>38</v>
      </c>
      <c r="R605">
        <v>0</v>
      </c>
      <c r="S605" t="s">
        <v>38</v>
      </c>
      <c r="T605">
        <v>10</v>
      </c>
      <c r="U605">
        <v>0.8</v>
      </c>
      <c r="V605">
        <v>28.5</v>
      </c>
      <c r="W605" t="s">
        <v>38</v>
      </c>
      <c r="X605" t="s">
        <v>123</v>
      </c>
      <c r="Y605" t="s">
        <v>39</v>
      </c>
      <c r="Z605" t="s">
        <v>108</v>
      </c>
      <c r="AA605" t="s">
        <v>82</v>
      </c>
      <c r="AB605" t="s">
        <v>83</v>
      </c>
      <c r="AC605">
        <f t="shared" si="99"/>
        <v>0</v>
      </c>
      <c r="AD605" s="12">
        <f t="shared" si="103"/>
        <v>0</v>
      </c>
      <c r="AE605" s="12">
        <f t="shared" si="104"/>
        <v>1</v>
      </c>
      <c r="AF605">
        <f t="shared" si="100"/>
        <v>0</v>
      </c>
      <c r="AG605">
        <f t="shared" si="105"/>
        <v>1</v>
      </c>
      <c r="AH605">
        <f t="shared" si="106"/>
        <v>0</v>
      </c>
      <c r="AI605">
        <f t="shared" si="107"/>
        <v>0</v>
      </c>
      <c r="AJ605">
        <f t="shared" si="108"/>
        <v>0</v>
      </c>
      <c r="AK605">
        <f t="shared" si="101"/>
        <v>0</v>
      </c>
      <c r="AL605">
        <f t="shared" si="109"/>
        <v>0</v>
      </c>
    </row>
    <row r="606" spans="1:38">
      <c r="A606" t="s">
        <v>1945</v>
      </c>
      <c r="B606" t="s">
        <v>1946</v>
      </c>
      <c r="C606" s="1">
        <f t="shared" si="102"/>
        <v>45536</v>
      </c>
      <c r="D606" t="s">
        <v>1947</v>
      </c>
      <c r="E606">
        <v>279.7</v>
      </c>
      <c r="F606">
        <v>11.7</v>
      </c>
      <c r="G606" t="s">
        <v>30</v>
      </c>
      <c r="H606" t="s">
        <v>172</v>
      </c>
      <c r="I606" t="s">
        <v>32</v>
      </c>
      <c r="J606">
        <v>240</v>
      </c>
      <c r="K606" t="s">
        <v>33</v>
      </c>
      <c r="L606" t="s">
        <v>70</v>
      </c>
      <c r="M606" t="s">
        <v>71</v>
      </c>
      <c r="N606" t="s">
        <v>107</v>
      </c>
      <c r="O606" t="s">
        <v>51</v>
      </c>
      <c r="P606" t="s">
        <v>38</v>
      </c>
      <c r="Q606" t="s">
        <v>39</v>
      </c>
      <c r="R606">
        <v>1</v>
      </c>
      <c r="S606" t="s">
        <v>38</v>
      </c>
      <c r="T606">
        <v>7</v>
      </c>
      <c r="U606">
        <v>4</v>
      </c>
      <c r="V606">
        <v>0</v>
      </c>
      <c r="W606" t="s">
        <v>39</v>
      </c>
      <c r="X606" t="s">
        <v>40</v>
      </c>
      <c r="Y606" t="s">
        <v>39</v>
      </c>
      <c r="Z606" t="s">
        <v>115</v>
      </c>
      <c r="AA606" t="s">
        <v>54</v>
      </c>
      <c r="AB606" t="s">
        <v>83</v>
      </c>
      <c r="AC606">
        <f t="shared" si="99"/>
        <v>0</v>
      </c>
      <c r="AD606" s="12">
        <f t="shared" si="103"/>
        <v>0</v>
      </c>
      <c r="AE606" s="12">
        <f t="shared" si="104"/>
        <v>0</v>
      </c>
      <c r="AF606">
        <f t="shared" si="100"/>
        <v>1</v>
      </c>
      <c r="AG606">
        <f t="shared" si="105"/>
        <v>0</v>
      </c>
      <c r="AH606">
        <f t="shared" si="106"/>
        <v>0</v>
      </c>
      <c r="AI606">
        <f t="shared" si="107"/>
        <v>0</v>
      </c>
      <c r="AJ606">
        <f t="shared" si="108"/>
        <v>1</v>
      </c>
      <c r="AK606">
        <f t="shared" si="101"/>
        <v>1</v>
      </c>
      <c r="AL606">
        <f t="shared" si="109"/>
        <v>0</v>
      </c>
    </row>
    <row r="607" spans="1:38">
      <c r="A607" t="s">
        <v>1948</v>
      </c>
      <c r="B607" t="s">
        <v>1949</v>
      </c>
      <c r="C607" s="1">
        <f t="shared" si="102"/>
        <v>45413</v>
      </c>
      <c r="D607" t="s">
        <v>1950</v>
      </c>
      <c r="E607">
        <v>265.5</v>
      </c>
      <c r="F607">
        <v>11.1</v>
      </c>
      <c r="G607" t="s">
        <v>77</v>
      </c>
      <c r="H607" t="s">
        <v>187</v>
      </c>
      <c r="I607" t="s">
        <v>79</v>
      </c>
      <c r="J607">
        <v>360</v>
      </c>
      <c r="K607" t="s">
        <v>49</v>
      </c>
      <c r="L607" t="s">
        <v>96</v>
      </c>
      <c r="M607" t="s">
        <v>35</v>
      </c>
      <c r="N607" t="s">
        <v>72</v>
      </c>
      <c r="O607" t="s">
        <v>37</v>
      </c>
      <c r="P607" t="s">
        <v>38</v>
      </c>
      <c r="Q607" t="s">
        <v>38</v>
      </c>
      <c r="R607">
        <v>1</v>
      </c>
      <c r="S607" t="s">
        <v>38</v>
      </c>
      <c r="T607">
        <v>7</v>
      </c>
      <c r="U607">
        <v>6.8</v>
      </c>
      <c r="V607">
        <v>21.2</v>
      </c>
      <c r="W607" t="s">
        <v>38</v>
      </c>
      <c r="X607" t="s">
        <v>123</v>
      </c>
      <c r="Y607" t="s">
        <v>39</v>
      </c>
      <c r="Z607" t="s">
        <v>179</v>
      </c>
      <c r="AA607" t="s">
        <v>42</v>
      </c>
      <c r="AB607" t="s">
        <v>55</v>
      </c>
      <c r="AC607">
        <f t="shared" si="99"/>
        <v>0</v>
      </c>
      <c r="AD607" s="12">
        <f t="shared" si="103"/>
        <v>0</v>
      </c>
      <c r="AE607" s="12">
        <f t="shared" si="104"/>
        <v>1</v>
      </c>
      <c r="AF607">
        <f t="shared" si="100"/>
        <v>0</v>
      </c>
      <c r="AG607">
        <f t="shared" si="105"/>
        <v>0</v>
      </c>
      <c r="AH607">
        <f t="shared" si="106"/>
        <v>0</v>
      </c>
      <c r="AI607">
        <f t="shared" si="107"/>
        <v>0</v>
      </c>
      <c r="AJ607">
        <f t="shared" si="108"/>
        <v>0</v>
      </c>
      <c r="AK607">
        <f t="shared" si="101"/>
        <v>0</v>
      </c>
      <c r="AL607">
        <f t="shared" si="109"/>
        <v>0</v>
      </c>
    </row>
    <row r="608" spans="1:38">
      <c r="A608" t="s">
        <v>1951</v>
      </c>
      <c r="B608" t="s">
        <v>1952</v>
      </c>
      <c r="C608" s="1">
        <f t="shared" si="102"/>
        <v>45505</v>
      </c>
      <c r="D608" t="s">
        <v>1953</v>
      </c>
      <c r="E608">
        <v>229.2</v>
      </c>
      <c r="F608">
        <v>9.5</v>
      </c>
      <c r="G608" t="s">
        <v>77</v>
      </c>
      <c r="H608" t="s">
        <v>187</v>
      </c>
      <c r="I608" t="s">
        <v>79</v>
      </c>
      <c r="J608">
        <v>360</v>
      </c>
      <c r="K608" t="s">
        <v>49</v>
      </c>
      <c r="L608" t="s">
        <v>34</v>
      </c>
      <c r="M608" t="s">
        <v>35</v>
      </c>
      <c r="N608" t="s">
        <v>192</v>
      </c>
      <c r="O608" t="s">
        <v>7232</v>
      </c>
      <c r="P608" t="s">
        <v>39</v>
      </c>
      <c r="Q608" t="s">
        <v>38</v>
      </c>
      <c r="R608">
        <v>0</v>
      </c>
      <c r="S608" t="s">
        <v>38</v>
      </c>
      <c r="T608">
        <v>8</v>
      </c>
      <c r="U608">
        <v>3</v>
      </c>
      <c r="V608">
        <v>23.1</v>
      </c>
      <c r="W608" t="s">
        <v>38</v>
      </c>
      <c r="X608" t="s">
        <v>123</v>
      </c>
      <c r="Y608" t="s">
        <v>38</v>
      </c>
      <c r="Z608" t="s">
        <v>179</v>
      </c>
      <c r="AA608" t="s">
        <v>103</v>
      </c>
      <c r="AB608" t="s">
        <v>83</v>
      </c>
      <c r="AC608">
        <f t="shared" si="99"/>
        <v>0</v>
      </c>
      <c r="AD608" s="12">
        <f t="shared" si="103"/>
        <v>0</v>
      </c>
      <c r="AE608" s="12">
        <f t="shared" si="104"/>
        <v>1</v>
      </c>
      <c r="AF608">
        <f t="shared" si="100"/>
        <v>0</v>
      </c>
      <c r="AG608">
        <f t="shared" si="105"/>
        <v>1</v>
      </c>
      <c r="AH608">
        <f t="shared" si="106"/>
        <v>0</v>
      </c>
      <c r="AI608">
        <f t="shared" si="107"/>
        <v>0</v>
      </c>
      <c r="AJ608">
        <f t="shared" si="108"/>
        <v>0</v>
      </c>
      <c r="AK608">
        <f t="shared" si="101"/>
        <v>0</v>
      </c>
      <c r="AL608">
        <f t="shared" si="109"/>
        <v>1</v>
      </c>
    </row>
    <row r="609" spans="1:38">
      <c r="A609" t="s">
        <v>1954</v>
      </c>
      <c r="B609" t="s">
        <v>1955</v>
      </c>
      <c r="C609" s="1">
        <f t="shared" si="102"/>
        <v>45597</v>
      </c>
      <c r="D609" t="s">
        <v>1956</v>
      </c>
      <c r="E609">
        <v>998.2</v>
      </c>
      <c r="F609">
        <v>41.6</v>
      </c>
      <c r="G609" t="s">
        <v>77</v>
      </c>
      <c r="H609" t="s">
        <v>187</v>
      </c>
      <c r="I609" t="s">
        <v>79</v>
      </c>
      <c r="J609">
        <v>360</v>
      </c>
      <c r="K609" t="s">
        <v>33</v>
      </c>
      <c r="L609" t="s">
        <v>70</v>
      </c>
      <c r="M609" t="s">
        <v>35</v>
      </c>
      <c r="N609" t="s">
        <v>36</v>
      </c>
      <c r="O609" t="s">
        <v>37</v>
      </c>
      <c r="P609" t="s">
        <v>39</v>
      </c>
      <c r="Q609" t="s">
        <v>38</v>
      </c>
      <c r="R609">
        <v>0</v>
      </c>
      <c r="S609" t="s">
        <v>38</v>
      </c>
      <c r="T609">
        <v>8</v>
      </c>
      <c r="U609">
        <v>3</v>
      </c>
      <c r="V609">
        <v>0</v>
      </c>
      <c r="W609" t="s">
        <v>38</v>
      </c>
      <c r="X609" t="s">
        <v>63</v>
      </c>
      <c r="Y609" t="s">
        <v>39</v>
      </c>
      <c r="Z609" t="s">
        <v>41</v>
      </c>
      <c r="AA609" t="s">
        <v>42</v>
      </c>
      <c r="AB609" t="s">
        <v>83</v>
      </c>
      <c r="AC609">
        <f t="shared" si="99"/>
        <v>0</v>
      </c>
      <c r="AD609" s="12">
        <f t="shared" si="103"/>
        <v>1</v>
      </c>
      <c r="AE609" s="12">
        <f t="shared" si="104"/>
        <v>0</v>
      </c>
      <c r="AF609">
        <f t="shared" si="100"/>
        <v>0</v>
      </c>
      <c r="AG609">
        <f t="shared" si="105"/>
        <v>0</v>
      </c>
      <c r="AH609">
        <f t="shared" si="106"/>
        <v>0</v>
      </c>
      <c r="AI609">
        <f t="shared" si="107"/>
        <v>0</v>
      </c>
      <c r="AJ609">
        <f t="shared" si="108"/>
        <v>0</v>
      </c>
      <c r="AK609">
        <f t="shared" si="101"/>
        <v>0</v>
      </c>
      <c r="AL609">
        <f t="shared" si="109"/>
        <v>0</v>
      </c>
    </row>
    <row r="610" spans="1:38">
      <c r="A610" t="s">
        <v>1957</v>
      </c>
      <c r="B610" t="s">
        <v>1958</v>
      </c>
      <c r="C610" s="1">
        <f t="shared" si="102"/>
        <v>45597</v>
      </c>
      <c r="D610" t="s">
        <v>1959</v>
      </c>
      <c r="E610">
        <v>324.7</v>
      </c>
      <c r="F610">
        <v>13.5</v>
      </c>
      <c r="G610" t="s">
        <v>142</v>
      </c>
      <c r="H610" t="s">
        <v>729</v>
      </c>
      <c r="I610" t="s">
        <v>79</v>
      </c>
      <c r="J610">
        <v>360</v>
      </c>
      <c r="K610" t="s">
        <v>49</v>
      </c>
      <c r="L610" t="s">
        <v>34</v>
      </c>
      <c r="M610" t="s">
        <v>35</v>
      </c>
      <c r="N610" t="s">
        <v>220</v>
      </c>
      <c r="O610" t="s">
        <v>7232</v>
      </c>
      <c r="P610" t="s">
        <v>39</v>
      </c>
      <c r="Q610" t="s">
        <v>38</v>
      </c>
      <c r="R610">
        <v>0</v>
      </c>
      <c r="S610" t="s">
        <v>38</v>
      </c>
      <c r="T610">
        <v>8</v>
      </c>
      <c r="U610">
        <v>2.1</v>
      </c>
      <c r="V610">
        <v>13.2</v>
      </c>
      <c r="W610" t="s">
        <v>39</v>
      </c>
      <c r="X610" t="s">
        <v>52</v>
      </c>
      <c r="Y610" t="s">
        <v>39</v>
      </c>
      <c r="Z610" t="s">
        <v>108</v>
      </c>
      <c r="AA610" t="s">
        <v>82</v>
      </c>
      <c r="AB610" t="s">
        <v>83</v>
      </c>
      <c r="AC610">
        <f t="shared" si="99"/>
        <v>1</v>
      </c>
      <c r="AD610" s="12">
        <f t="shared" si="103"/>
        <v>0</v>
      </c>
      <c r="AE610" s="12">
        <f t="shared" si="104"/>
        <v>0</v>
      </c>
      <c r="AF610">
        <f t="shared" si="100"/>
        <v>0</v>
      </c>
      <c r="AG610">
        <f t="shared" si="105"/>
        <v>1</v>
      </c>
      <c r="AH610">
        <f t="shared" si="106"/>
        <v>0</v>
      </c>
      <c r="AI610">
        <f t="shared" si="107"/>
        <v>0</v>
      </c>
      <c r="AJ610">
        <f t="shared" si="108"/>
        <v>0</v>
      </c>
      <c r="AK610">
        <f t="shared" si="101"/>
        <v>0</v>
      </c>
      <c r="AL610">
        <f t="shared" si="109"/>
        <v>0</v>
      </c>
    </row>
    <row r="611" spans="1:38">
      <c r="A611" t="s">
        <v>1960</v>
      </c>
      <c r="B611" t="s">
        <v>1961</v>
      </c>
      <c r="C611" s="1">
        <f t="shared" si="102"/>
        <v>45413</v>
      </c>
      <c r="D611" t="s">
        <v>1962</v>
      </c>
      <c r="E611">
        <v>105.2</v>
      </c>
      <c r="F611">
        <v>4.4000000000000004</v>
      </c>
      <c r="G611" t="s">
        <v>142</v>
      </c>
      <c r="H611" t="s">
        <v>260</v>
      </c>
      <c r="I611" t="s">
        <v>48</v>
      </c>
      <c r="J611">
        <v>120</v>
      </c>
      <c r="K611" t="s">
        <v>49</v>
      </c>
      <c r="L611" t="s">
        <v>34</v>
      </c>
      <c r="M611" t="s">
        <v>71</v>
      </c>
      <c r="N611" t="s">
        <v>61</v>
      </c>
      <c r="O611" t="s">
        <v>37</v>
      </c>
      <c r="P611" t="s">
        <v>38</v>
      </c>
      <c r="Q611" t="s">
        <v>39</v>
      </c>
      <c r="R611">
        <v>1</v>
      </c>
      <c r="S611" t="s">
        <v>38</v>
      </c>
      <c r="T611">
        <v>9</v>
      </c>
      <c r="U611">
        <v>2.7</v>
      </c>
      <c r="V611">
        <v>29.1</v>
      </c>
      <c r="W611" t="s">
        <v>39</v>
      </c>
      <c r="X611" t="s">
        <v>63</v>
      </c>
      <c r="Y611" t="s">
        <v>39</v>
      </c>
      <c r="Z611" t="s">
        <v>108</v>
      </c>
      <c r="AA611" t="s">
        <v>42</v>
      </c>
      <c r="AB611" t="s">
        <v>83</v>
      </c>
      <c r="AC611">
        <f t="shared" si="99"/>
        <v>0</v>
      </c>
      <c r="AD611" s="12">
        <f t="shared" si="103"/>
        <v>1</v>
      </c>
      <c r="AE611" s="12">
        <f t="shared" si="104"/>
        <v>0</v>
      </c>
      <c r="AF611">
        <f t="shared" si="100"/>
        <v>0</v>
      </c>
      <c r="AG611">
        <f t="shared" si="105"/>
        <v>0</v>
      </c>
      <c r="AH611">
        <f t="shared" si="106"/>
        <v>1</v>
      </c>
      <c r="AI611">
        <f t="shared" si="107"/>
        <v>0</v>
      </c>
      <c r="AJ611">
        <f t="shared" si="108"/>
        <v>0</v>
      </c>
      <c r="AK611">
        <f t="shared" si="101"/>
        <v>0</v>
      </c>
      <c r="AL611">
        <f t="shared" si="109"/>
        <v>0</v>
      </c>
    </row>
    <row r="612" spans="1:38">
      <c r="A612" t="s">
        <v>1963</v>
      </c>
      <c r="B612" t="s">
        <v>1964</v>
      </c>
      <c r="C612" s="1">
        <f t="shared" si="102"/>
        <v>45323</v>
      </c>
      <c r="D612" t="s">
        <v>1965</v>
      </c>
      <c r="E612">
        <v>109.4</v>
      </c>
      <c r="F612">
        <v>4.5999999999999996</v>
      </c>
      <c r="G612" t="s">
        <v>59</v>
      </c>
      <c r="H612" t="s">
        <v>466</v>
      </c>
      <c r="I612" t="s">
        <v>48</v>
      </c>
      <c r="J612">
        <v>120</v>
      </c>
      <c r="K612" t="s">
        <v>49</v>
      </c>
      <c r="L612" t="s">
        <v>96</v>
      </c>
      <c r="M612" t="s">
        <v>71</v>
      </c>
      <c r="N612" t="s">
        <v>164</v>
      </c>
      <c r="O612" t="s">
        <v>51</v>
      </c>
      <c r="P612" t="s">
        <v>38</v>
      </c>
      <c r="Q612" t="s">
        <v>39</v>
      </c>
      <c r="R612">
        <v>3</v>
      </c>
      <c r="S612" t="s">
        <v>38</v>
      </c>
      <c r="T612">
        <v>10</v>
      </c>
      <c r="U612">
        <v>5</v>
      </c>
      <c r="V612">
        <v>25.4</v>
      </c>
      <c r="W612" t="s">
        <v>38</v>
      </c>
      <c r="X612" t="s">
        <v>52</v>
      </c>
      <c r="Y612" t="s">
        <v>39</v>
      </c>
      <c r="Z612" t="s">
        <v>108</v>
      </c>
      <c r="AA612" t="s">
        <v>82</v>
      </c>
      <c r="AB612" t="s">
        <v>83</v>
      </c>
      <c r="AC612">
        <f t="shared" si="99"/>
        <v>1</v>
      </c>
      <c r="AD612" s="12">
        <f t="shared" si="103"/>
        <v>0</v>
      </c>
      <c r="AE612" s="12">
        <f t="shared" si="104"/>
        <v>0</v>
      </c>
      <c r="AF612">
        <f t="shared" si="100"/>
        <v>1</v>
      </c>
      <c r="AG612">
        <f t="shared" si="105"/>
        <v>0</v>
      </c>
      <c r="AH612">
        <f t="shared" si="106"/>
        <v>1</v>
      </c>
      <c r="AI612">
        <f t="shared" si="107"/>
        <v>0</v>
      </c>
      <c r="AJ612">
        <f t="shared" si="108"/>
        <v>0</v>
      </c>
      <c r="AK612">
        <f t="shared" si="101"/>
        <v>0</v>
      </c>
      <c r="AL612">
        <f t="shared" si="109"/>
        <v>0</v>
      </c>
    </row>
    <row r="613" spans="1:38">
      <c r="A613" t="s">
        <v>1966</v>
      </c>
      <c r="B613" t="s">
        <v>1967</v>
      </c>
      <c r="C613" s="1">
        <f t="shared" si="102"/>
        <v>45474</v>
      </c>
      <c r="D613" t="s">
        <v>1968</v>
      </c>
      <c r="E613">
        <v>108</v>
      </c>
      <c r="F613">
        <v>4.5</v>
      </c>
      <c r="G613" t="s">
        <v>142</v>
      </c>
      <c r="H613" t="s">
        <v>143</v>
      </c>
      <c r="I613" t="s">
        <v>48</v>
      </c>
      <c r="J613">
        <v>120</v>
      </c>
      <c r="K613" t="s">
        <v>49</v>
      </c>
      <c r="L613" t="s">
        <v>70</v>
      </c>
      <c r="M613" t="s">
        <v>71</v>
      </c>
      <c r="N613" t="s">
        <v>97</v>
      </c>
      <c r="O613" t="s">
        <v>7232</v>
      </c>
      <c r="P613" t="s">
        <v>38</v>
      </c>
      <c r="Q613" t="s">
        <v>39</v>
      </c>
      <c r="R613">
        <v>4</v>
      </c>
      <c r="S613" t="s">
        <v>38</v>
      </c>
      <c r="T613">
        <v>7</v>
      </c>
      <c r="U613">
        <v>2.4</v>
      </c>
      <c r="V613">
        <v>44.1</v>
      </c>
      <c r="W613" t="s">
        <v>39</v>
      </c>
      <c r="X613" t="s">
        <v>123</v>
      </c>
      <c r="Y613" t="s">
        <v>38</v>
      </c>
      <c r="Z613" t="s">
        <v>53</v>
      </c>
      <c r="AA613" t="s">
        <v>103</v>
      </c>
      <c r="AB613" t="s">
        <v>55</v>
      </c>
      <c r="AC613">
        <f t="shared" si="99"/>
        <v>0</v>
      </c>
      <c r="AD613" s="12">
        <f t="shared" si="103"/>
        <v>0</v>
      </c>
      <c r="AE613" s="12">
        <f t="shared" si="104"/>
        <v>1</v>
      </c>
      <c r="AF613">
        <f t="shared" si="100"/>
        <v>0</v>
      </c>
      <c r="AG613">
        <f t="shared" si="105"/>
        <v>1</v>
      </c>
      <c r="AH613">
        <f t="shared" si="106"/>
        <v>1</v>
      </c>
      <c r="AI613">
        <f t="shared" si="107"/>
        <v>0</v>
      </c>
      <c r="AJ613">
        <f t="shared" si="108"/>
        <v>0</v>
      </c>
      <c r="AK613">
        <f t="shared" si="101"/>
        <v>0</v>
      </c>
      <c r="AL613">
        <f t="shared" si="109"/>
        <v>1</v>
      </c>
    </row>
    <row r="614" spans="1:38">
      <c r="A614" t="s">
        <v>1969</v>
      </c>
      <c r="B614" t="s">
        <v>1970</v>
      </c>
      <c r="C614" s="1">
        <f t="shared" si="102"/>
        <v>45474</v>
      </c>
      <c r="D614" t="s">
        <v>1971</v>
      </c>
      <c r="E614">
        <v>101.4</v>
      </c>
      <c r="F614">
        <v>4.2</v>
      </c>
      <c r="G614" t="s">
        <v>30</v>
      </c>
      <c r="H614" t="s">
        <v>47</v>
      </c>
      <c r="I614" t="s">
        <v>48</v>
      </c>
      <c r="J614">
        <v>120</v>
      </c>
      <c r="K614" t="s">
        <v>49</v>
      </c>
      <c r="L614" t="s">
        <v>70</v>
      </c>
      <c r="M614" t="s">
        <v>71</v>
      </c>
      <c r="N614" t="s">
        <v>155</v>
      </c>
      <c r="O614" t="s">
        <v>37</v>
      </c>
      <c r="P614" t="s">
        <v>38</v>
      </c>
      <c r="Q614" t="s">
        <v>39</v>
      </c>
      <c r="R614">
        <v>1</v>
      </c>
      <c r="S614" t="s">
        <v>38</v>
      </c>
      <c r="T614">
        <v>8</v>
      </c>
      <c r="U614">
        <v>0.8</v>
      </c>
      <c r="V614">
        <v>38.9</v>
      </c>
      <c r="W614" t="s">
        <v>38</v>
      </c>
      <c r="X614" t="s">
        <v>63</v>
      </c>
      <c r="Y614" t="s">
        <v>39</v>
      </c>
      <c r="Z614" t="s">
        <v>115</v>
      </c>
      <c r="AA614" t="s">
        <v>54</v>
      </c>
      <c r="AB614" t="s">
        <v>43</v>
      </c>
      <c r="AC614">
        <f t="shared" si="99"/>
        <v>0</v>
      </c>
      <c r="AD614" s="12">
        <f t="shared" si="103"/>
        <v>1</v>
      </c>
      <c r="AE614" s="12">
        <f t="shared" si="104"/>
        <v>0</v>
      </c>
      <c r="AF614">
        <f t="shared" si="100"/>
        <v>0</v>
      </c>
      <c r="AG614">
        <f t="shared" si="105"/>
        <v>0</v>
      </c>
      <c r="AH614">
        <f t="shared" si="106"/>
        <v>1</v>
      </c>
      <c r="AI614">
        <f t="shared" si="107"/>
        <v>0</v>
      </c>
      <c r="AJ614">
        <f t="shared" si="108"/>
        <v>0</v>
      </c>
      <c r="AK614">
        <f t="shared" si="101"/>
        <v>1</v>
      </c>
      <c r="AL614">
        <f t="shared" si="109"/>
        <v>0</v>
      </c>
    </row>
    <row r="615" spans="1:38">
      <c r="A615" t="s">
        <v>1972</v>
      </c>
      <c r="B615" t="s">
        <v>1973</v>
      </c>
      <c r="C615" s="1">
        <f t="shared" si="102"/>
        <v>45323</v>
      </c>
      <c r="D615" t="s">
        <v>1974</v>
      </c>
      <c r="E615">
        <v>353.3</v>
      </c>
      <c r="F615">
        <v>14.7</v>
      </c>
      <c r="G615" t="s">
        <v>30</v>
      </c>
      <c r="H615" t="s">
        <v>172</v>
      </c>
      <c r="I615" t="s">
        <v>32</v>
      </c>
      <c r="J615">
        <v>240</v>
      </c>
      <c r="K615" t="s">
        <v>33</v>
      </c>
      <c r="L615" t="s">
        <v>96</v>
      </c>
      <c r="M615" t="s">
        <v>35</v>
      </c>
      <c r="N615" t="s">
        <v>188</v>
      </c>
      <c r="O615" t="s">
        <v>51</v>
      </c>
      <c r="P615" t="s">
        <v>38</v>
      </c>
      <c r="Q615" t="s">
        <v>38</v>
      </c>
      <c r="R615">
        <v>1</v>
      </c>
      <c r="S615" t="s">
        <v>38</v>
      </c>
      <c r="T615">
        <v>6</v>
      </c>
      <c r="U615">
        <v>8.4</v>
      </c>
      <c r="V615">
        <v>10.8</v>
      </c>
      <c r="W615" t="s">
        <v>38</v>
      </c>
      <c r="X615" t="s">
        <v>52</v>
      </c>
      <c r="Y615" t="s">
        <v>38</v>
      </c>
      <c r="Z615" t="s">
        <v>115</v>
      </c>
      <c r="AA615" t="s">
        <v>54</v>
      </c>
      <c r="AB615" t="s">
        <v>55</v>
      </c>
      <c r="AC615">
        <f t="shared" si="99"/>
        <v>1</v>
      </c>
      <c r="AD615" s="12">
        <f t="shared" si="103"/>
        <v>0</v>
      </c>
      <c r="AE615" s="12">
        <f t="shared" si="104"/>
        <v>0</v>
      </c>
      <c r="AF615">
        <f t="shared" si="100"/>
        <v>1</v>
      </c>
      <c r="AG615">
        <f t="shared" si="105"/>
        <v>0</v>
      </c>
      <c r="AH615">
        <f t="shared" si="106"/>
        <v>0</v>
      </c>
      <c r="AI615">
        <f t="shared" si="107"/>
        <v>0</v>
      </c>
      <c r="AJ615">
        <f t="shared" si="108"/>
        <v>1</v>
      </c>
      <c r="AK615">
        <f t="shared" si="101"/>
        <v>1</v>
      </c>
      <c r="AL615">
        <f t="shared" si="109"/>
        <v>1</v>
      </c>
    </row>
    <row r="616" spans="1:38">
      <c r="A616" t="s">
        <v>1975</v>
      </c>
      <c r="B616" t="s">
        <v>1976</v>
      </c>
      <c r="C616" s="1">
        <f t="shared" si="102"/>
        <v>45627</v>
      </c>
      <c r="D616" t="s">
        <v>1977</v>
      </c>
      <c r="E616">
        <v>93.6</v>
      </c>
      <c r="F616">
        <v>3.9</v>
      </c>
      <c r="G616" t="s">
        <v>59</v>
      </c>
      <c r="H616" t="s">
        <v>227</v>
      </c>
      <c r="I616" t="s">
        <v>48</v>
      </c>
      <c r="J616">
        <v>120</v>
      </c>
      <c r="K616" t="s">
        <v>49</v>
      </c>
      <c r="L616" t="s">
        <v>70</v>
      </c>
      <c r="M616" t="s">
        <v>71</v>
      </c>
      <c r="N616" t="s">
        <v>144</v>
      </c>
      <c r="O616" t="s">
        <v>51</v>
      </c>
      <c r="P616" t="s">
        <v>38</v>
      </c>
      <c r="Q616" t="s">
        <v>39</v>
      </c>
      <c r="R616">
        <v>1</v>
      </c>
      <c r="S616" t="s">
        <v>38</v>
      </c>
      <c r="T616">
        <v>7</v>
      </c>
      <c r="U616">
        <v>1.3</v>
      </c>
      <c r="V616">
        <v>8.9</v>
      </c>
      <c r="W616" t="s">
        <v>38</v>
      </c>
      <c r="X616" t="s">
        <v>63</v>
      </c>
      <c r="Y616" t="s">
        <v>39</v>
      </c>
      <c r="Z616" t="s">
        <v>64</v>
      </c>
      <c r="AA616" t="s">
        <v>109</v>
      </c>
      <c r="AB616" t="s">
        <v>55</v>
      </c>
      <c r="AC616">
        <f t="shared" si="99"/>
        <v>0</v>
      </c>
      <c r="AD616" s="12">
        <f t="shared" si="103"/>
        <v>1</v>
      </c>
      <c r="AE616" s="12">
        <f t="shared" si="104"/>
        <v>0</v>
      </c>
      <c r="AF616">
        <f t="shared" si="100"/>
        <v>1</v>
      </c>
      <c r="AG616">
        <f t="shared" si="105"/>
        <v>0</v>
      </c>
      <c r="AH616">
        <f t="shared" si="106"/>
        <v>1</v>
      </c>
      <c r="AI616">
        <f t="shared" si="107"/>
        <v>0</v>
      </c>
      <c r="AJ616">
        <f t="shared" si="108"/>
        <v>0</v>
      </c>
      <c r="AK616">
        <f t="shared" si="101"/>
        <v>0</v>
      </c>
      <c r="AL616">
        <f t="shared" si="109"/>
        <v>0</v>
      </c>
    </row>
    <row r="617" spans="1:38">
      <c r="A617" t="s">
        <v>1978</v>
      </c>
      <c r="B617" t="s">
        <v>1979</v>
      </c>
      <c r="C617" s="1">
        <f t="shared" si="102"/>
        <v>45323</v>
      </c>
      <c r="D617" t="s">
        <v>1980</v>
      </c>
      <c r="E617">
        <v>144.1</v>
      </c>
      <c r="F617">
        <v>6</v>
      </c>
      <c r="G617" t="s">
        <v>77</v>
      </c>
      <c r="H617" t="s">
        <v>78</v>
      </c>
      <c r="I617" t="s">
        <v>48</v>
      </c>
      <c r="J617">
        <v>120</v>
      </c>
      <c r="K617" t="s">
        <v>33</v>
      </c>
      <c r="L617" t="s">
        <v>70</v>
      </c>
      <c r="M617" t="s">
        <v>35</v>
      </c>
      <c r="N617" t="s">
        <v>168</v>
      </c>
      <c r="O617" t="s">
        <v>37</v>
      </c>
      <c r="P617" t="s">
        <v>39</v>
      </c>
      <c r="Q617" t="s">
        <v>38</v>
      </c>
      <c r="R617">
        <v>0</v>
      </c>
      <c r="S617" t="s">
        <v>38</v>
      </c>
      <c r="T617">
        <v>7</v>
      </c>
      <c r="U617">
        <v>1.6</v>
      </c>
      <c r="V617">
        <v>31.5</v>
      </c>
      <c r="W617" t="s">
        <v>39</v>
      </c>
      <c r="X617" t="s">
        <v>63</v>
      </c>
      <c r="Y617" t="s">
        <v>39</v>
      </c>
      <c r="Z617" t="s">
        <v>41</v>
      </c>
      <c r="AA617" t="s">
        <v>42</v>
      </c>
      <c r="AB617" t="s">
        <v>83</v>
      </c>
      <c r="AC617">
        <f t="shared" si="99"/>
        <v>0</v>
      </c>
      <c r="AD617" s="12">
        <f t="shared" si="103"/>
        <v>1</v>
      </c>
      <c r="AE617" s="12">
        <f t="shared" si="104"/>
        <v>0</v>
      </c>
      <c r="AF617">
        <f t="shared" si="100"/>
        <v>0</v>
      </c>
      <c r="AG617">
        <f t="shared" si="105"/>
        <v>0</v>
      </c>
      <c r="AH617">
        <f t="shared" si="106"/>
        <v>1</v>
      </c>
      <c r="AI617">
        <f t="shared" si="107"/>
        <v>0</v>
      </c>
      <c r="AJ617">
        <f t="shared" si="108"/>
        <v>0</v>
      </c>
      <c r="AK617">
        <f t="shared" si="101"/>
        <v>0</v>
      </c>
      <c r="AL617">
        <f t="shared" si="109"/>
        <v>0</v>
      </c>
    </row>
    <row r="618" spans="1:38">
      <c r="A618" t="s">
        <v>1981</v>
      </c>
      <c r="B618" t="s">
        <v>1982</v>
      </c>
      <c r="C618" s="1">
        <f t="shared" si="102"/>
        <v>45505</v>
      </c>
      <c r="D618" t="s">
        <v>1983</v>
      </c>
      <c r="E618">
        <v>193.1</v>
      </c>
      <c r="F618">
        <v>8</v>
      </c>
      <c r="G618" t="s">
        <v>101</v>
      </c>
      <c r="H618" t="s">
        <v>368</v>
      </c>
      <c r="I618" t="s">
        <v>32</v>
      </c>
      <c r="J618">
        <v>240</v>
      </c>
      <c r="K618" t="s">
        <v>49</v>
      </c>
      <c r="L618" t="s">
        <v>96</v>
      </c>
      <c r="M618" t="s">
        <v>35</v>
      </c>
      <c r="N618" t="s">
        <v>277</v>
      </c>
      <c r="O618" t="s">
        <v>37</v>
      </c>
      <c r="P618" t="s">
        <v>38</v>
      </c>
      <c r="Q618" t="s">
        <v>38</v>
      </c>
      <c r="R618">
        <v>1</v>
      </c>
      <c r="S618" t="s">
        <v>38</v>
      </c>
      <c r="T618">
        <v>8</v>
      </c>
      <c r="U618">
        <v>1.3</v>
      </c>
      <c r="V618">
        <v>6.4</v>
      </c>
      <c r="W618" t="s">
        <v>39</v>
      </c>
      <c r="X618" t="s">
        <v>63</v>
      </c>
      <c r="Y618" t="s">
        <v>38</v>
      </c>
      <c r="Z618" t="s">
        <v>41</v>
      </c>
      <c r="AA618" t="s">
        <v>82</v>
      </c>
      <c r="AB618" t="s">
        <v>83</v>
      </c>
      <c r="AC618">
        <f t="shared" si="99"/>
        <v>0</v>
      </c>
      <c r="AD618" s="12">
        <f t="shared" si="103"/>
        <v>1</v>
      </c>
      <c r="AE618" s="12">
        <f t="shared" si="104"/>
        <v>0</v>
      </c>
      <c r="AF618">
        <f t="shared" si="100"/>
        <v>0</v>
      </c>
      <c r="AG618">
        <f t="shared" si="105"/>
        <v>0</v>
      </c>
      <c r="AH618">
        <f t="shared" si="106"/>
        <v>0</v>
      </c>
      <c r="AI618">
        <f t="shared" si="107"/>
        <v>0</v>
      </c>
      <c r="AJ618">
        <f t="shared" si="108"/>
        <v>1</v>
      </c>
      <c r="AK618">
        <f t="shared" si="101"/>
        <v>0</v>
      </c>
      <c r="AL618">
        <f t="shared" si="109"/>
        <v>1</v>
      </c>
    </row>
    <row r="619" spans="1:38">
      <c r="A619" t="s">
        <v>1984</v>
      </c>
      <c r="B619" t="s">
        <v>1985</v>
      </c>
      <c r="C619" s="1">
        <f t="shared" si="102"/>
        <v>45505</v>
      </c>
      <c r="D619" t="s">
        <v>1986</v>
      </c>
      <c r="E619">
        <v>312.2</v>
      </c>
      <c r="F619">
        <v>13</v>
      </c>
      <c r="G619" t="s">
        <v>93</v>
      </c>
      <c r="H619" t="s">
        <v>291</v>
      </c>
      <c r="I619" t="s">
        <v>79</v>
      </c>
      <c r="J619">
        <v>360</v>
      </c>
      <c r="K619" t="s">
        <v>49</v>
      </c>
      <c r="L619" t="s">
        <v>70</v>
      </c>
      <c r="M619" t="s">
        <v>35</v>
      </c>
      <c r="N619" t="s">
        <v>97</v>
      </c>
      <c r="O619" t="s">
        <v>7232</v>
      </c>
      <c r="P619" t="s">
        <v>39</v>
      </c>
      <c r="Q619" t="s">
        <v>38</v>
      </c>
      <c r="R619">
        <v>0</v>
      </c>
      <c r="S619" t="s">
        <v>39</v>
      </c>
      <c r="T619">
        <v>10</v>
      </c>
      <c r="U619">
        <v>1.1000000000000001</v>
      </c>
      <c r="V619">
        <v>18.899999999999999</v>
      </c>
      <c r="W619" t="s">
        <v>39</v>
      </c>
      <c r="X619" t="s">
        <v>63</v>
      </c>
      <c r="Y619" t="s">
        <v>39</v>
      </c>
      <c r="Z619" t="s">
        <v>81</v>
      </c>
      <c r="AA619" t="s">
        <v>54</v>
      </c>
      <c r="AB619" t="s">
        <v>83</v>
      </c>
      <c r="AC619">
        <f t="shared" si="99"/>
        <v>0</v>
      </c>
      <c r="AD619" s="12">
        <f t="shared" si="103"/>
        <v>1</v>
      </c>
      <c r="AE619" s="12">
        <f t="shared" si="104"/>
        <v>0</v>
      </c>
      <c r="AF619">
        <f t="shared" si="100"/>
        <v>0</v>
      </c>
      <c r="AG619">
        <f t="shared" si="105"/>
        <v>1</v>
      </c>
      <c r="AH619">
        <f t="shared" si="106"/>
        <v>0</v>
      </c>
      <c r="AI619">
        <f t="shared" si="107"/>
        <v>0</v>
      </c>
      <c r="AJ619">
        <f t="shared" si="108"/>
        <v>0</v>
      </c>
      <c r="AK619">
        <f t="shared" si="101"/>
        <v>0</v>
      </c>
      <c r="AL619">
        <f t="shared" si="109"/>
        <v>0</v>
      </c>
    </row>
    <row r="620" spans="1:38">
      <c r="A620" t="s">
        <v>1987</v>
      </c>
      <c r="B620" t="s">
        <v>1988</v>
      </c>
      <c r="C620" s="1">
        <f t="shared" si="102"/>
        <v>45597</v>
      </c>
      <c r="D620" t="s">
        <v>1989</v>
      </c>
      <c r="E620">
        <v>193.7</v>
      </c>
      <c r="F620">
        <v>8.1</v>
      </c>
      <c r="G620" t="s">
        <v>87</v>
      </c>
      <c r="H620" t="s">
        <v>309</v>
      </c>
      <c r="I620" t="s">
        <v>32</v>
      </c>
      <c r="J620">
        <v>240</v>
      </c>
      <c r="K620" t="s">
        <v>49</v>
      </c>
      <c r="L620" t="s">
        <v>96</v>
      </c>
      <c r="M620" t="s">
        <v>71</v>
      </c>
      <c r="N620" t="s">
        <v>168</v>
      </c>
      <c r="O620" t="s">
        <v>51</v>
      </c>
      <c r="P620" t="s">
        <v>38</v>
      </c>
      <c r="Q620" t="s">
        <v>39</v>
      </c>
      <c r="R620">
        <v>1</v>
      </c>
      <c r="S620" t="s">
        <v>38</v>
      </c>
      <c r="T620">
        <v>7</v>
      </c>
      <c r="U620">
        <v>5</v>
      </c>
      <c r="V620">
        <v>14.5</v>
      </c>
      <c r="W620" t="s">
        <v>38</v>
      </c>
      <c r="X620" t="s">
        <v>52</v>
      </c>
      <c r="Y620" t="s">
        <v>38</v>
      </c>
      <c r="Z620" t="s">
        <v>115</v>
      </c>
      <c r="AA620" t="s">
        <v>103</v>
      </c>
      <c r="AB620" t="s">
        <v>83</v>
      </c>
      <c r="AC620">
        <f t="shared" si="99"/>
        <v>1</v>
      </c>
      <c r="AD620" s="12">
        <f t="shared" si="103"/>
        <v>0</v>
      </c>
      <c r="AE620" s="12">
        <f t="shared" si="104"/>
        <v>0</v>
      </c>
      <c r="AF620">
        <f t="shared" si="100"/>
        <v>1</v>
      </c>
      <c r="AG620">
        <f t="shared" si="105"/>
        <v>0</v>
      </c>
      <c r="AH620">
        <f t="shared" si="106"/>
        <v>0</v>
      </c>
      <c r="AI620">
        <f t="shared" si="107"/>
        <v>0</v>
      </c>
      <c r="AJ620">
        <f t="shared" si="108"/>
        <v>1</v>
      </c>
      <c r="AK620">
        <f t="shared" si="101"/>
        <v>0</v>
      </c>
      <c r="AL620">
        <f t="shared" si="109"/>
        <v>1</v>
      </c>
    </row>
    <row r="621" spans="1:38">
      <c r="A621" t="s">
        <v>1990</v>
      </c>
      <c r="B621" t="s">
        <v>1991</v>
      </c>
      <c r="C621" s="1">
        <f t="shared" si="102"/>
        <v>45566</v>
      </c>
      <c r="D621" t="s">
        <v>1992</v>
      </c>
      <c r="E621">
        <v>452.5</v>
      </c>
      <c r="F621">
        <v>18.899999999999999</v>
      </c>
      <c r="G621" t="s">
        <v>30</v>
      </c>
      <c r="H621" t="s">
        <v>31</v>
      </c>
      <c r="I621" t="s">
        <v>32</v>
      </c>
      <c r="J621">
        <v>240</v>
      </c>
      <c r="K621" t="s">
        <v>33</v>
      </c>
      <c r="L621" t="s">
        <v>113</v>
      </c>
      <c r="M621" t="s">
        <v>35</v>
      </c>
      <c r="N621" t="s">
        <v>50</v>
      </c>
      <c r="O621" t="s">
        <v>37</v>
      </c>
      <c r="P621" t="s">
        <v>39</v>
      </c>
      <c r="Q621" t="s">
        <v>38</v>
      </c>
      <c r="R621">
        <v>0</v>
      </c>
      <c r="S621" t="s">
        <v>39</v>
      </c>
      <c r="T621">
        <v>7</v>
      </c>
      <c r="U621">
        <v>3.3</v>
      </c>
      <c r="V621">
        <v>17.2</v>
      </c>
      <c r="W621" t="s">
        <v>39</v>
      </c>
      <c r="X621" t="s">
        <v>123</v>
      </c>
      <c r="Y621" t="s">
        <v>38</v>
      </c>
      <c r="Z621" t="s">
        <v>73</v>
      </c>
      <c r="AA621" t="s">
        <v>82</v>
      </c>
      <c r="AB621" t="s">
        <v>55</v>
      </c>
      <c r="AC621">
        <f t="shared" si="99"/>
        <v>0</v>
      </c>
      <c r="AD621" s="12">
        <f t="shared" si="103"/>
        <v>0</v>
      </c>
      <c r="AE621" s="12">
        <f t="shared" si="104"/>
        <v>1</v>
      </c>
      <c r="AF621">
        <f t="shared" si="100"/>
        <v>0</v>
      </c>
      <c r="AG621">
        <f t="shared" si="105"/>
        <v>0</v>
      </c>
      <c r="AH621">
        <f t="shared" si="106"/>
        <v>0</v>
      </c>
      <c r="AI621">
        <f t="shared" si="107"/>
        <v>0</v>
      </c>
      <c r="AJ621">
        <f t="shared" si="108"/>
        <v>1</v>
      </c>
      <c r="AK621">
        <f t="shared" si="101"/>
        <v>1</v>
      </c>
      <c r="AL621">
        <f t="shared" si="109"/>
        <v>1</v>
      </c>
    </row>
    <row r="622" spans="1:38">
      <c r="A622" t="s">
        <v>1993</v>
      </c>
      <c r="B622" t="s">
        <v>1994</v>
      </c>
      <c r="C622" s="1">
        <f t="shared" si="102"/>
        <v>45444</v>
      </c>
      <c r="D622" t="s">
        <v>1995</v>
      </c>
      <c r="E622">
        <v>683.2</v>
      </c>
      <c r="F622">
        <v>28.5</v>
      </c>
      <c r="G622" t="s">
        <v>142</v>
      </c>
      <c r="H622" t="s">
        <v>260</v>
      </c>
      <c r="I622" t="s">
        <v>32</v>
      </c>
      <c r="J622">
        <v>240</v>
      </c>
      <c r="K622" t="s">
        <v>33</v>
      </c>
      <c r="L622" t="s">
        <v>70</v>
      </c>
      <c r="M622" t="s">
        <v>35</v>
      </c>
      <c r="N622" t="s">
        <v>72</v>
      </c>
      <c r="O622" t="s">
        <v>7232</v>
      </c>
      <c r="P622" t="s">
        <v>38</v>
      </c>
      <c r="Q622" t="s">
        <v>38</v>
      </c>
      <c r="R622">
        <v>1</v>
      </c>
      <c r="S622" t="s">
        <v>38</v>
      </c>
      <c r="T622">
        <v>5</v>
      </c>
      <c r="U622">
        <v>1.7</v>
      </c>
      <c r="V622">
        <v>22.7</v>
      </c>
      <c r="W622" t="s">
        <v>39</v>
      </c>
      <c r="X622" t="s">
        <v>123</v>
      </c>
      <c r="Y622" t="s">
        <v>39</v>
      </c>
      <c r="Z622" t="s">
        <v>64</v>
      </c>
      <c r="AA622" t="s">
        <v>54</v>
      </c>
      <c r="AB622" t="s">
        <v>43</v>
      </c>
      <c r="AC622">
        <f t="shared" si="99"/>
        <v>0</v>
      </c>
      <c r="AD622" s="12">
        <f t="shared" si="103"/>
        <v>0</v>
      </c>
      <c r="AE622" s="12">
        <f t="shared" si="104"/>
        <v>1</v>
      </c>
      <c r="AF622">
        <f t="shared" si="100"/>
        <v>0</v>
      </c>
      <c r="AG622">
        <f t="shared" si="105"/>
        <v>1</v>
      </c>
      <c r="AH622">
        <f t="shared" si="106"/>
        <v>0</v>
      </c>
      <c r="AI622">
        <f t="shared" si="107"/>
        <v>0</v>
      </c>
      <c r="AJ622">
        <f t="shared" si="108"/>
        <v>1</v>
      </c>
      <c r="AK622">
        <f t="shared" si="101"/>
        <v>0</v>
      </c>
      <c r="AL622">
        <f t="shared" si="109"/>
        <v>0</v>
      </c>
    </row>
    <row r="623" spans="1:38">
      <c r="A623" t="s">
        <v>1996</v>
      </c>
      <c r="B623" t="s">
        <v>1997</v>
      </c>
      <c r="C623" s="1">
        <f t="shared" si="102"/>
        <v>45566</v>
      </c>
      <c r="D623" t="s">
        <v>1998</v>
      </c>
      <c r="E623">
        <v>321.5</v>
      </c>
      <c r="F623">
        <v>13.4</v>
      </c>
      <c r="G623" t="s">
        <v>77</v>
      </c>
      <c r="H623" t="s">
        <v>244</v>
      </c>
      <c r="I623" t="s">
        <v>79</v>
      </c>
      <c r="J623">
        <v>360</v>
      </c>
      <c r="K623" t="s">
        <v>49</v>
      </c>
      <c r="L623" t="s">
        <v>113</v>
      </c>
      <c r="M623" t="s">
        <v>35</v>
      </c>
      <c r="N623" t="s">
        <v>128</v>
      </c>
      <c r="O623" t="s">
        <v>51</v>
      </c>
      <c r="P623" t="s">
        <v>39</v>
      </c>
      <c r="Q623" t="s">
        <v>38</v>
      </c>
      <c r="R623">
        <v>0</v>
      </c>
      <c r="S623" t="s">
        <v>38</v>
      </c>
      <c r="T623">
        <v>9</v>
      </c>
      <c r="U623">
        <v>1.5</v>
      </c>
      <c r="V623">
        <v>9.8000000000000007</v>
      </c>
      <c r="W623" t="s">
        <v>39</v>
      </c>
      <c r="X623" t="s">
        <v>52</v>
      </c>
      <c r="Y623" t="s">
        <v>38</v>
      </c>
      <c r="Z623" t="s">
        <v>81</v>
      </c>
      <c r="AA623" t="s">
        <v>42</v>
      </c>
      <c r="AB623" t="s">
        <v>83</v>
      </c>
      <c r="AC623">
        <f t="shared" si="99"/>
        <v>1</v>
      </c>
      <c r="AD623" s="12">
        <f t="shared" si="103"/>
        <v>0</v>
      </c>
      <c r="AE623" s="12">
        <f t="shared" si="104"/>
        <v>0</v>
      </c>
      <c r="AF623">
        <f t="shared" si="100"/>
        <v>1</v>
      </c>
      <c r="AG623">
        <f t="shared" si="105"/>
        <v>0</v>
      </c>
      <c r="AH623">
        <f t="shared" si="106"/>
        <v>0</v>
      </c>
      <c r="AI623">
        <f t="shared" si="107"/>
        <v>0</v>
      </c>
      <c r="AJ623">
        <f t="shared" si="108"/>
        <v>0</v>
      </c>
      <c r="AK623">
        <f t="shared" si="101"/>
        <v>0</v>
      </c>
      <c r="AL623">
        <f t="shared" si="109"/>
        <v>1</v>
      </c>
    </row>
    <row r="624" spans="1:38">
      <c r="A624" t="s">
        <v>1999</v>
      </c>
      <c r="B624" t="s">
        <v>2000</v>
      </c>
      <c r="C624" s="1">
        <f t="shared" si="102"/>
        <v>45444</v>
      </c>
      <c r="D624" t="s">
        <v>2001</v>
      </c>
      <c r="E624">
        <v>85</v>
      </c>
      <c r="F624">
        <v>3.5</v>
      </c>
      <c r="G624" t="s">
        <v>87</v>
      </c>
      <c r="H624" t="s">
        <v>309</v>
      </c>
      <c r="I624" t="s">
        <v>48</v>
      </c>
      <c r="J624">
        <v>120</v>
      </c>
      <c r="K624" t="s">
        <v>49</v>
      </c>
      <c r="L624" t="s">
        <v>96</v>
      </c>
      <c r="M624" t="s">
        <v>35</v>
      </c>
      <c r="N624" t="s">
        <v>36</v>
      </c>
      <c r="O624" t="s">
        <v>51</v>
      </c>
      <c r="P624" t="s">
        <v>38</v>
      </c>
      <c r="Q624" t="s">
        <v>38</v>
      </c>
      <c r="R624">
        <v>1</v>
      </c>
      <c r="S624" t="s">
        <v>38</v>
      </c>
      <c r="T624">
        <v>5</v>
      </c>
      <c r="U624">
        <v>4.0999999999999996</v>
      </c>
      <c r="V624">
        <v>6</v>
      </c>
      <c r="W624" t="s">
        <v>39</v>
      </c>
      <c r="X624" t="s">
        <v>123</v>
      </c>
      <c r="Y624" t="s">
        <v>39</v>
      </c>
      <c r="Z624" t="s">
        <v>108</v>
      </c>
      <c r="AA624" t="s">
        <v>42</v>
      </c>
      <c r="AB624" t="s">
        <v>55</v>
      </c>
      <c r="AC624">
        <f t="shared" si="99"/>
        <v>0</v>
      </c>
      <c r="AD624" s="12">
        <f t="shared" si="103"/>
        <v>0</v>
      </c>
      <c r="AE624" s="12">
        <f t="shared" si="104"/>
        <v>1</v>
      </c>
      <c r="AF624">
        <f t="shared" si="100"/>
        <v>1</v>
      </c>
      <c r="AG624">
        <f t="shared" si="105"/>
        <v>0</v>
      </c>
      <c r="AH624">
        <f t="shared" si="106"/>
        <v>1</v>
      </c>
      <c r="AI624">
        <f t="shared" si="107"/>
        <v>0</v>
      </c>
      <c r="AJ624">
        <f t="shared" si="108"/>
        <v>0</v>
      </c>
      <c r="AK624">
        <f t="shared" si="101"/>
        <v>0</v>
      </c>
      <c r="AL624">
        <f t="shared" si="109"/>
        <v>0</v>
      </c>
    </row>
    <row r="625" spans="1:38">
      <c r="A625" t="s">
        <v>2002</v>
      </c>
      <c r="B625" t="s">
        <v>2003</v>
      </c>
      <c r="C625" s="1">
        <f t="shared" si="102"/>
        <v>45597</v>
      </c>
      <c r="D625" t="s">
        <v>2004</v>
      </c>
      <c r="E625">
        <v>218.1</v>
      </c>
      <c r="F625">
        <v>9.1</v>
      </c>
      <c r="G625" t="s">
        <v>30</v>
      </c>
      <c r="H625" t="s">
        <v>47</v>
      </c>
      <c r="I625" t="s">
        <v>79</v>
      </c>
      <c r="J625">
        <v>360</v>
      </c>
      <c r="K625" t="s">
        <v>49</v>
      </c>
      <c r="L625" t="s">
        <v>96</v>
      </c>
      <c r="M625" t="s">
        <v>35</v>
      </c>
      <c r="N625" t="s">
        <v>506</v>
      </c>
      <c r="O625" t="s">
        <v>51</v>
      </c>
      <c r="P625" t="s">
        <v>38</v>
      </c>
      <c r="Q625" t="s">
        <v>38</v>
      </c>
      <c r="R625">
        <v>1</v>
      </c>
      <c r="S625" t="s">
        <v>39</v>
      </c>
      <c r="T625">
        <v>6</v>
      </c>
      <c r="U625">
        <v>3.9</v>
      </c>
      <c r="V625">
        <v>29.1</v>
      </c>
      <c r="W625" t="s">
        <v>39</v>
      </c>
      <c r="X625" t="s">
        <v>52</v>
      </c>
      <c r="Y625" t="s">
        <v>39</v>
      </c>
      <c r="Z625" t="s">
        <v>64</v>
      </c>
      <c r="AA625" t="s">
        <v>103</v>
      </c>
      <c r="AB625" t="s">
        <v>83</v>
      </c>
      <c r="AC625">
        <f t="shared" si="99"/>
        <v>1</v>
      </c>
      <c r="AD625" s="12">
        <f t="shared" si="103"/>
        <v>0</v>
      </c>
      <c r="AE625" s="12">
        <f t="shared" si="104"/>
        <v>0</v>
      </c>
      <c r="AF625">
        <f t="shared" si="100"/>
        <v>1</v>
      </c>
      <c r="AG625">
        <f t="shared" si="105"/>
        <v>0</v>
      </c>
      <c r="AH625">
        <f t="shared" si="106"/>
        <v>0</v>
      </c>
      <c r="AI625">
        <f t="shared" si="107"/>
        <v>0</v>
      </c>
      <c r="AJ625">
        <f t="shared" si="108"/>
        <v>0</v>
      </c>
      <c r="AK625">
        <f t="shared" si="101"/>
        <v>1</v>
      </c>
      <c r="AL625">
        <f t="shared" si="109"/>
        <v>0</v>
      </c>
    </row>
    <row r="626" spans="1:38">
      <c r="A626" t="s">
        <v>2005</v>
      </c>
      <c r="B626" t="s">
        <v>2006</v>
      </c>
      <c r="C626" s="1">
        <f t="shared" si="102"/>
        <v>45474</v>
      </c>
      <c r="D626" t="s">
        <v>2007</v>
      </c>
      <c r="E626">
        <v>111.5</v>
      </c>
      <c r="F626">
        <v>4.5999999999999996</v>
      </c>
      <c r="G626" t="s">
        <v>87</v>
      </c>
      <c r="H626" t="s">
        <v>88</v>
      </c>
      <c r="I626" t="s">
        <v>95</v>
      </c>
      <c r="J626">
        <v>48</v>
      </c>
      <c r="K626" t="s">
        <v>33</v>
      </c>
      <c r="L626" t="s">
        <v>96</v>
      </c>
      <c r="M626" t="s">
        <v>71</v>
      </c>
      <c r="N626" t="s">
        <v>36</v>
      </c>
      <c r="O626" t="s">
        <v>7232</v>
      </c>
      <c r="P626" t="s">
        <v>38</v>
      </c>
      <c r="Q626" t="s">
        <v>39</v>
      </c>
      <c r="R626">
        <v>4</v>
      </c>
      <c r="S626" t="s">
        <v>38</v>
      </c>
      <c r="T626">
        <v>2</v>
      </c>
      <c r="U626">
        <v>0.1</v>
      </c>
      <c r="V626">
        <v>37.6</v>
      </c>
      <c r="W626" t="s">
        <v>39</v>
      </c>
      <c r="X626" t="s">
        <v>52</v>
      </c>
      <c r="Y626" t="s">
        <v>38</v>
      </c>
      <c r="Z626" t="s">
        <v>179</v>
      </c>
      <c r="AA626" t="s">
        <v>42</v>
      </c>
      <c r="AB626" t="s">
        <v>83</v>
      </c>
      <c r="AC626">
        <f t="shared" si="99"/>
        <v>1</v>
      </c>
      <c r="AD626" s="12">
        <f t="shared" si="103"/>
        <v>0</v>
      </c>
      <c r="AE626" s="12">
        <f t="shared" si="104"/>
        <v>0</v>
      </c>
      <c r="AF626">
        <f t="shared" si="100"/>
        <v>0</v>
      </c>
      <c r="AG626">
        <f t="shared" si="105"/>
        <v>1</v>
      </c>
      <c r="AH626">
        <f t="shared" si="106"/>
        <v>0</v>
      </c>
      <c r="AI626">
        <f t="shared" si="107"/>
        <v>1</v>
      </c>
      <c r="AJ626">
        <f t="shared" si="108"/>
        <v>0</v>
      </c>
      <c r="AK626">
        <f t="shared" si="101"/>
        <v>0</v>
      </c>
      <c r="AL626">
        <f t="shared" si="109"/>
        <v>1</v>
      </c>
    </row>
    <row r="627" spans="1:38">
      <c r="A627" t="s">
        <v>2008</v>
      </c>
      <c r="B627" t="s">
        <v>2009</v>
      </c>
      <c r="C627" s="1">
        <f t="shared" si="102"/>
        <v>45413</v>
      </c>
      <c r="D627" t="s">
        <v>2010</v>
      </c>
      <c r="E627">
        <v>56.7</v>
      </c>
      <c r="F627">
        <v>2.4</v>
      </c>
      <c r="G627" t="s">
        <v>77</v>
      </c>
      <c r="H627" t="s">
        <v>187</v>
      </c>
      <c r="I627" t="s">
        <v>95</v>
      </c>
      <c r="J627">
        <v>48</v>
      </c>
      <c r="K627" t="s">
        <v>33</v>
      </c>
      <c r="L627" t="s">
        <v>70</v>
      </c>
      <c r="M627" t="s">
        <v>35</v>
      </c>
      <c r="N627" t="s">
        <v>114</v>
      </c>
      <c r="O627" t="s">
        <v>51</v>
      </c>
      <c r="P627" t="s">
        <v>39</v>
      </c>
      <c r="Q627" t="s">
        <v>38</v>
      </c>
      <c r="R627">
        <v>0</v>
      </c>
      <c r="S627" t="s">
        <v>39</v>
      </c>
      <c r="T627">
        <v>7</v>
      </c>
      <c r="U627">
        <v>1.8</v>
      </c>
      <c r="V627">
        <v>35.299999999999997</v>
      </c>
      <c r="W627" t="s">
        <v>38</v>
      </c>
      <c r="X627" t="s">
        <v>63</v>
      </c>
      <c r="Y627" t="s">
        <v>39</v>
      </c>
      <c r="Z627" t="s">
        <v>179</v>
      </c>
      <c r="AA627" t="s">
        <v>103</v>
      </c>
      <c r="AB627" t="s">
        <v>43</v>
      </c>
      <c r="AC627">
        <f t="shared" si="99"/>
        <v>0</v>
      </c>
      <c r="AD627" s="12">
        <f t="shared" si="103"/>
        <v>1</v>
      </c>
      <c r="AE627" s="12">
        <f t="shared" si="104"/>
        <v>0</v>
      </c>
      <c r="AF627">
        <f t="shared" si="100"/>
        <v>1</v>
      </c>
      <c r="AG627">
        <f t="shared" si="105"/>
        <v>0</v>
      </c>
      <c r="AH627">
        <f t="shared" si="106"/>
        <v>0</v>
      </c>
      <c r="AI627">
        <f t="shared" si="107"/>
        <v>1</v>
      </c>
      <c r="AJ627">
        <f t="shared" si="108"/>
        <v>0</v>
      </c>
      <c r="AK627">
        <f t="shared" si="101"/>
        <v>0</v>
      </c>
      <c r="AL627">
        <f t="shared" si="109"/>
        <v>0</v>
      </c>
    </row>
    <row r="628" spans="1:38">
      <c r="A628" t="s">
        <v>2011</v>
      </c>
      <c r="B628" t="s">
        <v>2012</v>
      </c>
      <c r="C628" s="1">
        <f t="shared" si="102"/>
        <v>45292</v>
      </c>
      <c r="D628" t="s">
        <v>2013</v>
      </c>
      <c r="E628">
        <v>41.1</v>
      </c>
      <c r="F628">
        <v>1.7</v>
      </c>
      <c r="G628" t="s">
        <v>30</v>
      </c>
      <c r="H628" t="s">
        <v>159</v>
      </c>
      <c r="I628" t="s">
        <v>95</v>
      </c>
      <c r="J628">
        <v>48</v>
      </c>
      <c r="K628" t="s">
        <v>49</v>
      </c>
      <c r="L628" t="s">
        <v>96</v>
      </c>
      <c r="M628" t="s">
        <v>71</v>
      </c>
      <c r="N628" t="s">
        <v>97</v>
      </c>
      <c r="O628" t="s">
        <v>7232</v>
      </c>
      <c r="P628" t="s">
        <v>38</v>
      </c>
      <c r="Q628" t="s">
        <v>39</v>
      </c>
      <c r="R628">
        <v>1</v>
      </c>
      <c r="S628" t="s">
        <v>38</v>
      </c>
      <c r="T628">
        <v>7</v>
      </c>
      <c r="U628">
        <v>1.6</v>
      </c>
      <c r="V628">
        <v>21.7</v>
      </c>
      <c r="W628" t="s">
        <v>38</v>
      </c>
      <c r="X628" t="s">
        <v>63</v>
      </c>
      <c r="Y628" t="s">
        <v>39</v>
      </c>
      <c r="Z628" t="s">
        <v>53</v>
      </c>
      <c r="AA628" t="s">
        <v>42</v>
      </c>
      <c r="AB628" t="s">
        <v>83</v>
      </c>
      <c r="AC628">
        <f t="shared" si="99"/>
        <v>0</v>
      </c>
      <c r="AD628" s="12">
        <f t="shared" si="103"/>
        <v>1</v>
      </c>
      <c r="AE628" s="12">
        <f t="shared" si="104"/>
        <v>0</v>
      </c>
      <c r="AF628">
        <f t="shared" si="100"/>
        <v>0</v>
      </c>
      <c r="AG628">
        <f t="shared" si="105"/>
        <v>1</v>
      </c>
      <c r="AH628">
        <f t="shared" si="106"/>
        <v>0</v>
      </c>
      <c r="AI628">
        <f t="shared" si="107"/>
        <v>1</v>
      </c>
      <c r="AJ628">
        <f t="shared" si="108"/>
        <v>0</v>
      </c>
      <c r="AK628">
        <f t="shared" si="101"/>
        <v>1</v>
      </c>
      <c r="AL628">
        <f t="shared" si="109"/>
        <v>0</v>
      </c>
    </row>
    <row r="629" spans="1:38">
      <c r="A629" t="s">
        <v>2014</v>
      </c>
      <c r="B629" t="s">
        <v>2015</v>
      </c>
      <c r="C629" s="1">
        <f t="shared" si="102"/>
        <v>45413</v>
      </c>
      <c r="D629" t="s">
        <v>2016</v>
      </c>
      <c r="E629">
        <v>325.2</v>
      </c>
      <c r="F629">
        <v>13.6</v>
      </c>
      <c r="G629" t="s">
        <v>59</v>
      </c>
      <c r="H629" t="s">
        <v>132</v>
      </c>
      <c r="I629" t="s">
        <v>32</v>
      </c>
      <c r="J629">
        <v>240</v>
      </c>
      <c r="K629" t="s">
        <v>33</v>
      </c>
      <c r="L629" t="s">
        <v>113</v>
      </c>
      <c r="M629" t="s">
        <v>35</v>
      </c>
      <c r="N629" t="s">
        <v>414</v>
      </c>
      <c r="O629" t="s">
        <v>7232</v>
      </c>
      <c r="P629" t="s">
        <v>38</v>
      </c>
      <c r="Q629" t="s">
        <v>38</v>
      </c>
      <c r="R629">
        <v>1</v>
      </c>
      <c r="S629" t="s">
        <v>38</v>
      </c>
      <c r="T629">
        <v>9</v>
      </c>
      <c r="U629">
        <v>4.4000000000000004</v>
      </c>
      <c r="V629">
        <v>6.7</v>
      </c>
      <c r="W629" t="s">
        <v>39</v>
      </c>
      <c r="X629" t="s">
        <v>63</v>
      </c>
      <c r="Y629" t="s">
        <v>38</v>
      </c>
      <c r="Z629" t="s">
        <v>108</v>
      </c>
      <c r="AA629" t="s">
        <v>42</v>
      </c>
      <c r="AB629" t="s">
        <v>83</v>
      </c>
      <c r="AC629">
        <f t="shared" si="99"/>
        <v>0</v>
      </c>
      <c r="AD629" s="12">
        <f t="shared" si="103"/>
        <v>1</v>
      </c>
      <c r="AE629" s="12">
        <f t="shared" si="104"/>
        <v>0</v>
      </c>
      <c r="AF629">
        <f t="shared" si="100"/>
        <v>0</v>
      </c>
      <c r="AG629">
        <f t="shared" si="105"/>
        <v>1</v>
      </c>
      <c r="AH629">
        <f t="shared" si="106"/>
        <v>0</v>
      </c>
      <c r="AI629">
        <f t="shared" si="107"/>
        <v>0</v>
      </c>
      <c r="AJ629">
        <f t="shared" si="108"/>
        <v>1</v>
      </c>
      <c r="AK629">
        <f t="shared" si="101"/>
        <v>0</v>
      </c>
      <c r="AL629">
        <f t="shared" si="109"/>
        <v>1</v>
      </c>
    </row>
    <row r="630" spans="1:38">
      <c r="A630" t="s">
        <v>2017</v>
      </c>
      <c r="B630" t="s">
        <v>2018</v>
      </c>
      <c r="C630" s="1">
        <f t="shared" si="102"/>
        <v>45444</v>
      </c>
      <c r="D630" t="s">
        <v>2019</v>
      </c>
      <c r="E630">
        <v>77.400000000000006</v>
      </c>
      <c r="F630">
        <v>3.2</v>
      </c>
      <c r="G630" t="s">
        <v>30</v>
      </c>
      <c r="H630" t="s">
        <v>172</v>
      </c>
      <c r="I630" t="s">
        <v>48</v>
      </c>
      <c r="J630">
        <v>120</v>
      </c>
      <c r="K630" t="s">
        <v>49</v>
      </c>
      <c r="L630" t="s">
        <v>113</v>
      </c>
      <c r="M630" t="s">
        <v>71</v>
      </c>
      <c r="N630" t="s">
        <v>89</v>
      </c>
      <c r="O630" t="s">
        <v>7232</v>
      </c>
      <c r="P630" t="s">
        <v>38</v>
      </c>
      <c r="Q630" t="s">
        <v>39</v>
      </c>
      <c r="R630">
        <v>4</v>
      </c>
      <c r="S630" t="s">
        <v>39</v>
      </c>
      <c r="T630">
        <v>9</v>
      </c>
      <c r="U630">
        <v>2.7</v>
      </c>
      <c r="V630">
        <v>29.3</v>
      </c>
      <c r="W630" t="s">
        <v>39</v>
      </c>
      <c r="X630" t="s">
        <v>123</v>
      </c>
      <c r="Y630" t="s">
        <v>39</v>
      </c>
      <c r="Z630" t="s">
        <v>73</v>
      </c>
      <c r="AA630" t="s">
        <v>109</v>
      </c>
      <c r="AB630" t="s">
        <v>55</v>
      </c>
      <c r="AC630">
        <f t="shared" si="99"/>
        <v>0</v>
      </c>
      <c r="AD630" s="12">
        <f t="shared" si="103"/>
        <v>0</v>
      </c>
      <c r="AE630" s="12">
        <f t="shared" si="104"/>
        <v>1</v>
      </c>
      <c r="AF630">
        <f t="shared" si="100"/>
        <v>0</v>
      </c>
      <c r="AG630">
        <f t="shared" si="105"/>
        <v>1</v>
      </c>
      <c r="AH630">
        <f t="shared" si="106"/>
        <v>1</v>
      </c>
      <c r="AI630">
        <f t="shared" si="107"/>
        <v>0</v>
      </c>
      <c r="AJ630">
        <f t="shared" si="108"/>
        <v>0</v>
      </c>
      <c r="AK630">
        <f t="shared" si="101"/>
        <v>1</v>
      </c>
      <c r="AL630">
        <f t="shared" si="109"/>
        <v>0</v>
      </c>
    </row>
    <row r="631" spans="1:38">
      <c r="A631" t="s">
        <v>2020</v>
      </c>
      <c r="B631" t="s">
        <v>2021</v>
      </c>
      <c r="C631" s="1">
        <f t="shared" si="102"/>
        <v>45536</v>
      </c>
      <c r="D631" t="s">
        <v>2022</v>
      </c>
      <c r="E631">
        <v>169.5</v>
      </c>
      <c r="F631">
        <v>7.1</v>
      </c>
      <c r="G631" t="s">
        <v>77</v>
      </c>
      <c r="H631" t="s">
        <v>78</v>
      </c>
      <c r="I631" t="s">
        <v>32</v>
      </c>
      <c r="J631">
        <v>240</v>
      </c>
      <c r="K631" t="s">
        <v>49</v>
      </c>
      <c r="L631" t="s">
        <v>96</v>
      </c>
      <c r="M631" t="s">
        <v>35</v>
      </c>
      <c r="N631" t="s">
        <v>277</v>
      </c>
      <c r="O631" t="s">
        <v>37</v>
      </c>
      <c r="P631" t="s">
        <v>39</v>
      </c>
      <c r="Q631" t="s">
        <v>38</v>
      </c>
      <c r="R631">
        <v>0</v>
      </c>
      <c r="S631" t="s">
        <v>38</v>
      </c>
      <c r="T631">
        <v>10</v>
      </c>
      <c r="U631">
        <v>2.2000000000000002</v>
      </c>
      <c r="V631">
        <v>18.3</v>
      </c>
      <c r="W631" t="s">
        <v>39</v>
      </c>
      <c r="X631" t="s">
        <v>52</v>
      </c>
      <c r="Y631" t="s">
        <v>39</v>
      </c>
      <c r="Z631" t="s">
        <v>73</v>
      </c>
      <c r="AA631" t="s">
        <v>82</v>
      </c>
      <c r="AB631" t="s">
        <v>83</v>
      </c>
      <c r="AC631">
        <f t="shared" si="99"/>
        <v>1</v>
      </c>
      <c r="AD631" s="12">
        <f t="shared" si="103"/>
        <v>0</v>
      </c>
      <c r="AE631" s="12">
        <f t="shared" si="104"/>
        <v>0</v>
      </c>
      <c r="AF631">
        <f t="shared" si="100"/>
        <v>0</v>
      </c>
      <c r="AG631">
        <f t="shared" si="105"/>
        <v>0</v>
      </c>
      <c r="AH631">
        <f t="shared" si="106"/>
        <v>0</v>
      </c>
      <c r="AI631">
        <f t="shared" si="107"/>
        <v>0</v>
      </c>
      <c r="AJ631">
        <f t="shared" si="108"/>
        <v>1</v>
      </c>
      <c r="AK631">
        <f t="shared" si="101"/>
        <v>0</v>
      </c>
      <c r="AL631">
        <f t="shared" si="109"/>
        <v>0</v>
      </c>
    </row>
    <row r="632" spans="1:38">
      <c r="A632" t="s">
        <v>2023</v>
      </c>
      <c r="B632" t="s">
        <v>2024</v>
      </c>
      <c r="C632" s="1">
        <f t="shared" si="102"/>
        <v>45413</v>
      </c>
      <c r="D632" t="s">
        <v>2025</v>
      </c>
      <c r="E632">
        <v>529.5</v>
      </c>
      <c r="F632">
        <v>22.1</v>
      </c>
      <c r="G632" t="s">
        <v>30</v>
      </c>
      <c r="H632" t="s">
        <v>159</v>
      </c>
      <c r="I632" t="s">
        <v>32</v>
      </c>
      <c r="J632">
        <v>240</v>
      </c>
      <c r="K632" t="s">
        <v>33</v>
      </c>
      <c r="L632" t="s">
        <v>70</v>
      </c>
      <c r="M632" t="s">
        <v>35</v>
      </c>
      <c r="N632" t="s">
        <v>80</v>
      </c>
      <c r="O632" t="s">
        <v>7232</v>
      </c>
      <c r="P632" t="s">
        <v>38</v>
      </c>
      <c r="Q632" t="s">
        <v>38</v>
      </c>
      <c r="R632">
        <v>1</v>
      </c>
      <c r="S632" t="s">
        <v>38</v>
      </c>
      <c r="T632">
        <v>4</v>
      </c>
      <c r="U632">
        <v>2.8</v>
      </c>
      <c r="V632">
        <v>7.8</v>
      </c>
      <c r="W632" t="s">
        <v>39</v>
      </c>
      <c r="X632" t="s">
        <v>63</v>
      </c>
      <c r="Y632" t="s">
        <v>38</v>
      </c>
      <c r="Z632" t="s">
        <v>81</v>
      </c>
      <c r="AA632" t="s">
        <v>54</v>
      </c>
      <c r="AB632" t="s">
        <v>55</v>
      </c>
      <c r="AC632">
        <f t="shared" si="99"/>
        <v>0</v>
      </c>
      <c r="AD632" s="12">
        <f t="shared" si="103"/>
        <v>1</v>
      </c>
      <c r="AE632" s="12">
        <f t="shared" si="104"/>
        <v>0</v>
      </c>
      <c r="AF632">
        <f t="shared" si="100"/>
        <v>0</v>
      </c>
      <c r="AG632">
        <f t="shared" si="105"/>
        <v>1</v>
      </c>
      <c r="AH632">
        <f t="shared" si="106"/>
        <v>0</v>
      </c>
      <c r="AI632">
        <f t="shared" si="107"/>
        <v>0</v>
      </c>
      <c r="AJ632">
        <f t="shared" si="108"/>
        <v>1</v>
      </c>
      <c r="AK632">
        <f t="shared" si="101"/>
        <v>1</v>
      </c>
      <c r="AL632">
        <f t="shared" si="109"/>
        <v>1</v>
      </c>
    </row>
    <row r="633" spans="1:38">
      <c r="A633" t="s">
        <v>2026</v>
      </c>
      <c r="B633" t="s">
        <v>2027</v>
      </c>
      <c r="C633" s="1">
        <f t="shared" si="102"/>
        <v>45505</v>
      </c>
      <c r="D633" t="s">
        <v>2028</v>
      </c>
      <c r="E633">
        <v>99.8</v>
      </c>
      <c r="F633">
        <v>4.2</v>
      </c>
      <c r="G633" t="s">
        <v>59</v>
      </c>
      <c r="H633" t="s">
        <v>127</v>
      </c>
      <c r="I633" t="s">
        <v>48</v>
      </c>
      <c r="J633">
        <v>120</v>
      </c>
      <c r="K633" t="s">
        <v>49</v>
      </c>
      <c r="L633" t="s">
        <v>96</v>
      </c>
      <c r="M633" t="s">
        <v>71</v>
      </c>
      <c r="N633" t="s">
        <v>188</v>
      </c>
      <c r="O633" t="s">
        <v>7232</v>
      </c>
      <c r="P633" t="s">
        <v>38</v>
      </c>
      <c r="Q633" t="s">
        <v>39</v>
      </c>
      <c r="R633">
        <v>4</v>
      </c>
      <c r="S633" t="s">
        <v>39</v>
      </c>
      <c r="T633">
        <v>8</v>
      </c>
      <c r="U633">
        <v>2.1</v>
      </c>
      <c r="V633">
        <v>31.5</v>
      </c>
      <c r="W633" t="s">
        <v>39</v>
      </c>
      <c r="X633" t="s">
        <v>123</v>
      </c>
      <c r="Y633" t="s">
        <v>39</v>
      </c>
      <c r="Z633" t="s">
        <v>41</v>
      </c>
      <c r="AA633" t="s">
        <v>54</v>
      </c>
      <c r="AB633" t="s">
        <v>83</v>
      </c>
      <c r="AC633">
        <f t="shared" si="99"/>
        <v>0</v>
      </c>
      <c r="AD633" s="12">
        <f t="shared" si="103"/>
        <v>0</v>
      </c>
      <c r="AE633" s="12">
        <f t="shared" si="104"/>
        <v>1</v>
      </c>
      <c r="AF633">
        <f t="shared" si="100"/>
        <v>0</v>
      </c>
      <c r="AG633">
        <f t="shared" si="105"/>
        <v>1</v>
      </c>
      <c r="AH633">
        <f t="shared" si="106"/>
        <v>1</v>
      </c>
      <c r="AI633">
        <f t="shared" si="107"/>
        <v>0</v>
      </c>
      <c r="AJ633">
        <f t="shared" si="108"/>
        <v>0</v>
      </c>
      <c r="AK633">
        <f t="shared" si="101"/>
        <v>0</v>
      </c>
      <c r="AL633">
        <f t="shared" si="109"/>
        <v>0</v>
      </c>
    </row>
    <row r="634" spans="1:38">
      <c r="A634" t="s">
        <v>2029</v>
      </c>
      <c r="B634" t="s">
        <v>2030</v>
      </c>
      <c r="C634" s="1">
        <f t="shared" si="102"/>
        <v>45323</v>
      </c>
      <c r="D634" t="s">
        <v>2031</v>
      </c>
      <c r="E634">
        <v>1024</v>
      </c>
      <c r="F634">
        <v>42.7</v>
      </c>
      <c r="G634" t="s">
        <v>77</v>
      </c>
      <c r="H634" t="s">
        <v>78</v>
      </c>
      <c r="I634" t="s">
        <v>79</v>
      </c>
      <c r="J634">
        <v>360</v>
      </c>
      <c r="K634" t="s">
        <v>33</v>
      </c>
      <c r="L634" t="s">
        <v>70</v>
      </c>
      <c r="M634" t="s">
        <v>35</v>
      </c>
      <c r="N634" t="s">
        <v>164</v>
      </c>
      <c r="O634" t="s">
        <v>7232</v>
      </c>
      <c r="P634" t="s">
        <v>38</v>
      </c>
      <c r="Q634" t="s">
        <v>38</v>
      </c>
      <c r="R634">
        <v>1</v>
      </c>
      <c r="S634" t="s">
        <v>38</v>
      </c>
      <c r="T634">
        <v>7</v>
      </c>
      <c r="U634">
        <v>1.7</v>
      </c>
      <c r="V634">
        <v>0.9</v>
      </c>
      <c r="W634" t="s">
        <v>38</v>
      </c>
      <c r="X634" t="s">
        <v>123</v>
      </c>
      <c r="Y634" t="s">
        <v>38</v>
      </c>
      <c r="Z634" t="s">
        <v>64</v>
      </c>
      <c r="AA634" t="s">
        <v>54</v>
      </c>
      <c r="AB634" t="s">
        <v>83</v>
      </c>
      <c r="AC634">
        <f t="shared" si="99"/>
        <v>0</v>
      </c>
      <c r="AD634" s="12">
        <f t="shared" si="103"/>
        <v>0</v>
      </c>
      <c r="AE634" s="12">
        <f t="shared" si="104"/>
        <v>1</v>
      </c>
      <c r="AF634">
        <f t="shared" si="100"/>
        <v>0</v>
      </c>
      <c r="AG634">
        <f t="shared" si="105"/>
        <v>1</v>
      </c>
      <c r="AH634">
        <f t="shared" si="106"/>
        <v>0</v>
      </c>
      <c r="AI634">
        <f t="shared" si="107"/>
        <v>0</v>
      </c>
      <c r="AJ634">
        <f t="shared" si="108"/>
        <v>0</v>
      </c>
      <c r="AK634">
        <f t="shared" si="101"/>
        <v>0</v>
      </c>
      <c r="AL634">
        <f t="shared" si="109"/>
        <v>1</v>
      </c>
    </row>
    <row r="635" spans="1:38">
      <c r="A635" t="s">
        <v>2032</v>
      </c>
      <c r="B635" t="s">
        <v>2033</v>
      </c>
      <c r="C635" s="1">
        <f t="shared" si="102"/>
        <v>45505</v>
      </c>
      <c r="D635" t="s">
        <v>2034</v>
      </c>
      <c r="E635">
        <v>77.400000000000006</v>
      </c>
      <c r="F635">
        <v>3.2</v>
      </c>
      <c r="G635" t="s">
        <v>30</v>
      </c>
      <c r="H635" t="s">
        <v>47</v>
      </c>
      <c r="I635" t="s">
        <v>48</v>
      </c>
      <c r="J635">
        <v>120</v>
      </c>
      <c r="K635" t="s">
        <v>49</v>
      </c>
      <c r="L635" t="s">
        <v>96</v>
      </c>
      <c r="M635" t="s">
        <v>35</v>
      </c>
      <c r="N635" t="s">
        <v>414</v>
      </c>
      <c r="O635" t="s">
        <v>51</v>
      </c>
      <c r="P635" t="s">
        <v>38</v>
      </c>
      <c r="Q635" t="s">
        <v>38</v>
      </c>
      <c r="R635">
        <v>1</v>
      </c>
      <c r="S635" t="s">
        <v>39</v>
      </c>
      <c r="T635">
        <v>9</v>
      </c>
      <c r="U635">
        <v>2.2000000000000002</v>
      </c>
      <c r="V635">
        <v>0</v>
      </c>
      <c r="W635" t="s">
        <v>39</v>
      </c>
      <c r="X635" t="s">
        <v>63</v>
      </c>
      <c r="Y635" t="s">
        <v>39</v>
      </c>
      <c r="Z635" t="s">
        <v>81</v>
      </c>
      <c r="AA635" t="s">
        <v>103</v>
      </c>
      <c r="AB635" t="s">
        <v>43</v>
      </c>
      <c r="AC635">
        <f t="shared" si="99"/>
        <v>0</v>
      </c>
      <c r="AD635" s="12">
        <f t="shared" si="103"/>
        <v>1</v>
      </c>
      <c r="AE635" s="12">
        <f t="shared" si="104"/>
        <v>0</v>
      </c>
      <c r="AF635">
        <f t="shared" si="100"/>
        <v>1</v>
      </c>
      <c r="AG635">
        <f t="shared" si="105"/>
        <v>0</v>
      </c>
      <c r="AH635">
        <f t="shared" si="106"/>
        <v>1</v>
      </c>
      <c r="AI635">
        <f t="shared" si="107"/>
        <v>0</v>
      </c>
      <c r="AJ635">
        <f t="shared" si="108"/>
        <v>0</v>
      </c>
      <c r="AK635">
        <f t="shared" si="101"/>
        <v>1</v>
      </c>
      <c r="AL635">
        <f t="shared" si="109"/>
        <v>0</v>
      </c>
    </row>
    <row r="636" spans="1:38">
      <c r="A636" t="s">
        <v>2035</v>
      </c>
      <c r="B636" t="s">
        <v>2036</v>
      </c>
      <c r="C636" s="1">
        <f t="shared" si="102"/>
        <v>45505</v>
      </c>
      <c r="D636" t="s">
        <v>2037</v>
      </c>
      <c r="E636">
        <v>101.8</v>
      </c>
      <c r="F636">
        <v>4.2</v>
      </c>
      <c r="G636" t="s">
        <v>30</v>
      </c>
      <c r="H636" t="s">
        <v>31</v>
      </c>
      <c r="I636" t="s">
        <v>48</v>
      </c>
      <c r="J636">
        <v>120</v>
      </c>
      <c r="K636" t="s">
        <v>49</v>
      </c>
      <c r="L636" t="s">
        <v>113</v>
      </c>
      <c r="M636" t="s">
        <v>35</v>
      </c>
      <c r="N636" t="s">
        <v>128</v>
      </c>
      <c r="O636" t="s">
        <v>37</v>
      </c>
      <c r="P636" t="s">
        <v>39</v>
      </c>
      <c r="Q636" t="s">
        <v>38</v>
      </c>
      <c r="R636">
        <v>0</v>
      </c>
      <c r="S636" t="s">
        <v>38</v>
      </c>
      <c r="T636">
        <v>10</v>
      </c>
      <c r="U636">
        <v>6</v>
      </c>
      <c r="V636">
        <v>22.6</v>
      </c>
      <c r="W636" t="s">
        <v>38</v>
      </c>
      <c r="X636" t="s">
        <v>123</v>
      </c>
      <c r="Y636" t="s">
        <v>38</v>
      </c>
      <c r="Z636" t="s">
        <v>179</v>
      </c>
      <c r="AA636" t="s">
        <v>42</v>
      </c>
      <c r="AB636" t="s">
        <v>55</v>
      </c>
      <c r="AC636">
        <f t="shared" si="99"/>
        <v>0</v>
      </c>
      <c r="AD636" s="12">
        <f t="shared" si="103"/>
        <v>0</v>
      </c>
      <c r="AE636" s="12">
        <f t="shared" si="104"/>
        <v>1</v>
      </c>
      <c r="AF636">
        <f t="shared" si="100"/>
        <v>0</v>
      </c>
      <c r="AG636">
        <f t="shared" si="105"/>
        <v>0</v>
      </c>
      <c r="AH636">
        <f t="shared" si="106"/>
        <v>1</v>
      </c>
      <c r="AI636">
        <f t="shared" si="107"/>
        <v>0</v>
      </c>
      <c r="AJ636">
        <f t="shared" si="108"/>
        <v>0</v>
      </c>
      <c r="AK636">
        <f t="shared" si="101"/>
        <v>1</v>
      </c>
      <c r="AL636">
        <f t="shared" si="109"/>
        <v>1</v>
      </c>
    </row>
    <row r="637" spans="1:38">
      <c r="A637" t="s">
        <v>2038</v>
      </c>
      <c r="B637" t="s">
        <v>2039</v>
      </c>
      <c r="C637" s="1">
        <f t="shared" si="102"/>
        <v>45597</v>
      </c>
      <c r="D637" t="s">
        <v>2040</v>
      </c>
      <c r="E637">
        <v>259.7</v>
      </c>
      <c r="F637">
        <v>10.8</v>
      </c>
      <c r="G637" t="s">
        <v>30</v>
      </c>
      <c r="H637" t="s">
        <v>47</v>
      </c>
      <c r="I637" t="s">
        <v>79</v>
      </c>
      <c r="J637">
        <v>360</v>
      </c>
      <c r="K637" t="s">
        <v>49</v>
      </c>
      <c r="L637" t="s">
        <v>70</v>
      </c>
      <c r="M637" t="s">
        <v>35</v>
      </c>
      <c r="N637" t="s">
        <v>80</v>
      </c>
      <c r="O637" t="s">
        <v>7232</v>
      </c>
      <c r="P637" t="s">
        <v>38</v>
      </c>
      <c r="Q637" t="s">
        <v>38</v>
      </c>
      <c r="R637">
        <v>1</v>
      </c>
      <c r="S637" t="s">
        <v>38</v>
      </c>
      <c r="T637">
        <v>8</v>
      </c>
      <c r="U637">
        <v>3.5</v>
      </c>
      <c r="V637">
        <v>6.6</v>
      </c>
      <c r="W637" t="s">
        <v>39</v>
      </c>
      <c r="X637" t="s">
        <v>123</v>
      </c>
      <c r="Y637" t="s">
        <v>39</v>
      </c>
      <c r="Z637" t="s">
        <v>73</v>
      </c>
      <c r="AA637" t="s">
        <v>42</v>
      </c>
      <c r="AB637" t="s">
        <v>83</v>
      </c>
      <c r="AC637">
        <f t="shared" si="99"/>
        <v>0</v>
      </c>
      <c r="AD637" s="12">
        <f t="shared" si="103"/>
        <v>0</v>
      </c>
      <c r="AE637" s="12">
        <f t="shared" si="104"/>
        <v>1</v>
      </c>
      <c r="AF637">
        <f t="shared" si="100"/>
        <v>0</v>
      </c>
      <c r="AG637">
        <f t="shared" si="105"/>
        <v>1</v>
      </c>
      <c r="AH637">
        <f t="shared" si="106"/>
        <v>0</v>
      </c>
      <c r="AI637">
        <f t="shared" si="107"/>
        <v>0</v>
      </c>
      <c r="AJ637">
        <f t="shared" si="108"/>
        <v>0</v>
      </c>
      <c r="AK637">
        <f t="shared" si="101"/>
        <v>1</v>
      </c>
      <c r="AL637">
        <f t="shared" si="109"/>
        <v>0</v>
      </c>
    </row>
    <row r="638" spans="1:38">
      <c r="A638" t="s">
        <v>2041</v>
      </c>
      <c r="B638" t="s">
        <v>2042</v>
      </c>
      <c r="C638" s="1">
        <f t="shared" si="102"/>
        <v>45413</v>
      </c>
      <c r="D638" t="s">
        <v>2043</v>
      </c>
      <c r="E638">
        <v>250.7</v>
      </c>
      <c r="F638">
        <v>10.4</v>
      </c>
      <c r="G638" t="s">
        <v>30</v>
      </c>
      <c r="H638" t="s">
        <v>47</v>
      </c>
      <c r="I638" t="s">
        <v>48</v>
      </c>
      <c r="J638">
        <v>120</v>
      </c>
      <c r="K638" t="s">
        <v>33</v>
      </c>
      <c r="L638" t="s">
        <v>70</v>
      </c>
      <c r="M638" t="s">
        <v>35</v>
      </c>
      <c r="N638" t="s">
        <v>72</v>
      </c>
      <c r="O638" t="s">
        <v>7232</v>
      </c>
      <c r="P638" t="s">
        <v>39</v>
      </c>
      <c r="Q638" t="s">
        <v>38</v>
      </c>
      <c r="R638">
        <v>0</v>
      </c>
      <c r="S638" t="s">
        <v>38</v>
      </c>
      <c r="T638">
        <v>6</v>
      </c>
      <c r="U638">
        <v>5.8</v>
      </c>
      <c r="V638">
        <v>12.6</v>
      </c>
      <c r="W638" t="s">
        <v>38</v>
      </c>
      <c r="X638" t="s">
        <v>123</v>
      </c>
      <c r="Y638" t="s">
        <v>39</v>
      </c>
      <c r="Z638" t="s">
        <v>179</v>
      </c>
      <c r="AA638" t="s">
        <v>54</v>
      </c>
      <c r="AB638" t="s">
        <v>55</v>
      </c>
      <c r="AC638">
        <f t="shared" si="99"/>
        <v>0</v>
      </c>
      <c r="AD638" s="12">
        <f t="shared" si="103"/>
        <v>0</v>
      </c>
      <c r="AE638" s="12">
        <f t="shared" si="104"/>
        <v>1</v>
      </c>
      <c r="AF638">
        <f t="shared" si="100"/>
        <v>0</v>
      </c>
      <c r="AG638">
        <f t="shared" si="105"/>
        <v>1</v>
      </c>
      <c r="AH638">
        <f t="shared" si="106"/>
        <v>1</v>
      </c>
      <c r="AI638">
        <f t="shared" si="107"/>
        <v>0</v>
      </c>
      <c r="AJ638">
        <f t="shared" si="108"/>
        <v>0</v>
      </c>
      <c r="AK638">
        <f t="shared" si="101"/>
        <v>1</v>
      </c>
      <c r="AL638">
        <f t="shared" si="109"/>
        <v>0</v>
      </c>
    </row>
    <row r="639" spans="1:38">
      <c r="A639" t="s">
        <v>2044</v>
      </c>
      <c r="B639" t="s">
        <v>2045</v>
      </c>
      <c r="C639" s="1">
        <f t="shared" si="102"/>
        <v>45413</v>
      </c>
      <c r="D639" t="s">
        <v>2046</v>
      </c>
      <c r="E639">
        <v>498.7</v>
      </c>
      <c r="F639">
        <v>20.8</v>
      </c>
      <c r="G639" t="s">
        <v>101</v>
      </c>
      <c r="H639" t="s">
        <v>102</v>
      </c>
      <c r="I639" t="s">
        <v>32</v>
      </c>
      <c r="J639">
        <v>240</v>
      </c>
      <c r="K639" t="s">
        <v>33</v>
      </c>
      <c r="L639" t="s">
        <v>70</v>
      </c>
      <c r="M639" t="s">
        <v>35</v>
      </c>
      <c r="N639" t="s">
        <v>119</v>
      </c>
      <c r="O639" t="s">
        <v>7232</v>
      </c>
      <c r="P639" t="s">
        <v>38</v>
      </c>
      <c r="Q639" t="s">
        <v>38</v>
      </c>
      <c r="R639">
        <v>1</v>
      </c>
      <c r="S639" t="s">
        <v>38</v>
      </c>
      <c r="T639">
        <v>5</v>
      </c>
      <c r="U639">
        <v>2.7</v>
      </c>
      <c r="V639">
        <v>23</v>
      </c>
      <c r="W639" t="s">
        <v>39</v>
      </c>
      <c r="X639" t="s">
        <v>63</v>
      </c>
      <c r="Y639" t="s">
        <v>39</v>
      </c>
      <c r="Z639" t="s">
        <v>108</v>
      </c>
      <c r="AA639" t="s">
        <v>103</v>
      </c>
      <c r="AB639" t="s">
        <v>55</v>
      </c>
      <c r="AC639">
        <f t="shared" si="99"/>
        <v>0</v>
      </c>
      <c r="AD639" s="12">
        <f t="shared" si="103"/>
        <v>1</v>
      </c>
      <c r="AE639" s="12">
        <f t="shared" si="104"/>
        <v>0</v>
      </c>
      <c r="AF639">
        <f t="shared" si="100"/>
        <v>0</v>
      </c>
      <c r="AG639">
        <f t="shared" si="105"/>
        <v>1</v>
      </c>
      <c r="AH639">
        <f t="shared" si="106"/>
        <v>0</v>
      </c>
      <c r="AI639">
        <f t="shared" si="107"/>
        <v>0</v>
      </c>
      <c r="AJ639">
        <f t="shared" si="108"/>
        <v>1</v>
      </c>
      <c r="AK639">
        <f t="shared" si="101"/>
        <v>0</v>
      </c>
      <c r="AL639">
        <f t="shared" si="109"/>
        <v>0</v>
      </c>
    </row>
    <row r="640" spans="1:38">
      <c r="A640" t="s">
        <v>2047</v>
      </c>
      <c r="B640" t="s">
        <v>2048</v>
      </c>
      <c r="C640" s="1">
        <f t="shared" si="102"/>
        <v>45444</v>
      </c>
      <c r="D640" t="s">
        <v>2049</v>
      </c>
      <c r="E640">
        <v>162.4</v>
      </c>
      <c r="F640">
        <v>6.8</v>
      </c>
      <c r="G640" t="s">
        <v>59</v>
      </c>
      <c r="H640" t="s">
        <v>127</v>
      </c>
      <c r="I640" t="s">
        <v>48</v>
      </c>
      <c r="J640">
        <v>120</v>
      </c>
      <c r="K640" t="s">
        <v>33</v>
      </c>
      <c r="L640" t="s">
        <v>96</v>
      </c>
      <c r="M640" t="s">
        <v>35</v>
      </c>
      <c r="N640" t="s">
        <v>97</v>
      </c>
      <c r="O640" t="s">
        <v>7232</v>
      </c>
      <c r="P640" t="s">
        <v>39</v>
      </c>
      <c r="Q640" t="s">
        <v>38</v>
      </c>
      <c r="R640">
        <v>0</v>
      </c>
      <c r="S640" t="s">
        <v>38</v>
      </c>
      <c r="T640">
        <v>5</v>
      </c>
      <c r="U640">
        <v>2.4</v>
      </c>
      <c r="V640">
        <v>13.8</v>
      </c>
      <c r="W640" t="s">
        <v>38</v>
      </c>
      <c r="X640" t="s">
        <v>123</v>
      </c>
      <c r="Y640" t="s">
        <v>39</v>
      </c>
      <c r="Z640" t="s">
        <v>115</v>
      </c>
      <c r="AA640" t="s">
        <v>54</v>
      </c>
      <c r="AB640" t="s">
        <v>83</v>
      </c>
      <c r="AC640">
        <f t="shared" si="99"/>
        <v>0</v>
      </c>
      <c r="AD640" s="12">
        <f t="shared" si="103"/>
        <v>0</v>
      </c>
      <c r="AE640" s="12">
        <f t="shared" si="104"/>
        <v>1</v>
      </c>
      <c r="AF640">
        <f t="shared" si="100"/>
        <v>0</v>
      </c>
      <c r="AG640">
        <f t="shared" si="105"/>
        <v>1</v>
      </c>
      <c r="AH640">
        <f t="shared" si="106"/>
        <v>1</v>
      </c>
      <c r="AI640">
        <f t="shared" si="107"/>
        <v>0</v>
      </c>
      <c r="AJ640">
        <f t="shared" si="108"/>
        <v>0</v>
      </c>
      <c r="AK640">
        <f t="shared" si="101"/>
        <v>0</v>
      </c>
      <c r="AL640">
        <f t="shared" si="109"/>
        <v>0</v>
      </c>
    </row>
    <row r="641" spans="1:38">
      <c r="A641" t="s">
        <v>2050</v>
      </c>
      <c r="B641" t="s">
        <v>2051</v>
      </c>
      <c r="C641" s="1">
        <f t="shared" si="102"/>
        <v>45323</v>
      </c>
      <c r="D641" t="s">
        <v>2052</v>
      </c>
      <c r="E641">
        <v>153.69999999999999</v>
      </c>
      <c r="F641">
        <v>6.4</v>
      </c>
      <c r="G641" t="s">
        <v>93</v>
      </c>
      <c r="H641" t="s">
        <v>163</v>
      </c>
      <c r="I641" t="s">
        <v>48</v>
      </c>
      <c r="J641">
        <v>120</v>
      </c>
      <c r="K641" t="s">
        <v>33</v>
      </c>
      <c r="L641" t="s">
        <v>113</v>
      </c>
      <c r="M641" t="s">
        <v>35</v>
      </c>
      <c r="N641" t="s">
        <v>188</v>
      </c>
      <c r="O641" t="s">
        <v>7232</v>
      </c>
      <c r="P641" t="s">
        <v>39</v>
      </c>
      <c r="Q641" t="s">
        <v>38</v>
      </c>
      <c r="R641">
        <v>0</v>
      </c>
      <c r="S641" t="s">
        <v>38</v>
      </c>
      <c r="T641">
        <v>8</v>
      </c>
      <c r="U641">
        <v>0.1</v>
      </c>
      <c r="V641">
        <v>29</v>
      </c>
      <c r="W641" t="s">
        <v>39</v>
      </c>
      <c r="X641" t="s">
        <v>52</v>
      </c>
      <c r="Y641" t="s">
        <v>38</v>
      </c>
      <c r="Z641" t="s">
        <v>53</v>
      </c>
      <c r="AA641" t="s">
        <v>54</v>
      </c>
      <c r="AB641" t="s">
        <v>43</v>
      </c>
      <c r="AC641">
        <f t="shared" si="99"/>
        <v>1</v>
      </c>
      <c r="AD641" s="12">
        <f t="shared" si="103"/>
        <v>0</v>
      </c>
      <c r="AE641" s="12">
        <f t="shared" si="104"/>
        <v>0</v>
      </c>
      <c r="AF641">
        <f t="shared" si="100"/>
        <v>0</v>
      </c>
      <c r="AG641">
        <f t="shared" si="105"/>
        <v>1</v>
      </c>
      <c r="AH641">
        <f t="shared" si="106"/>
        <v>1</v>
      </c>
      <c r="AI641">
        <f t="shared" si="107"/>
        <v>0</v>
      </c>
      <c r="AJ641">
        <f t="shared" si="108"/>
        <v>0</v>
      </c>
      <c r="AK641">
        <f t="shared" si="101"/>
        <v>0</v>
      </c>
      <c r="AL641">
        <f t="shared" si="109"/>
        <v>1</v>
      </c>
    </row>
    <row r="642" spans="1:38">
      <c r="A642" t="s">
        <v>2053</v>
      </c>
      <c r="B642" t="s">
        <v>2054</v>
      </c>
      <c r="C642" s="1">
        <f t="shared" si="102"/>
        <v>45413</v>
      </c>
      <c r="D642" t="s">
        <v>2055</v>
      </c>
      <c r="E642">
        <v>33.1</v>
      </c>
      <c r="F642">
        <v>1.4</v>
      </c>
      <c r="G642" t="s">
        <v>68</v>
      </c>
      <c r="H642" t="s">
        <v>219</v>
      </c>
      <c r="I642" t="s">
        <v>95</v>
      </c>
      <c r="J642">
        <v>48</v>
      </c>
      <c r="K642" t="s">
        <v>49</v>
      </c>
      <c r="L642" t="s">
        <v>96</v>
      </c>
      <c r="M642" t="s">
        <v>35</v>
      </c>
      <c r="N642" t="s">
        <v>299</v>
      </c>
      <c r="O642" t="s">
        <v>51</v>
      </c>
      <c r="P642" t="s">
        <v>38</v>
      </c>
      <c r="Q642" t="s">
        <v>38</v>
      </c>
      <c r="R642">
        <v>1</v>
      </c>
      <c r="S642" t="s">
        <v>38</v>
      </c>
      <c r="T642">
        <v>6</v>
      </c>
      <c r="U642">
        <v>2.5</v>
      </c>
      <c r="V642">
        <v>12.7</v>
      </c>
      <c r="W642" t="s">
        <v>39</v>
      </c>
      <c r="X642" t="s">
        <v>63</v>
      </c>
      <c r="Y642" t="s">
        <v>39</v>
      </c>
      <c r="Z642" t="s">
        <v>179</v>
      </c>
      <c r="AA642" t="s">
        <v>103</v>
      </c>
      <c r="AB642" t="s">
        <v>55</v>
      </c>
      <c r="AC642">
        <f t="shared" ref="AC642:AC705" si="110">IF(X642="Poor", 1, 0)</f>
        <v>0</v>
      </c>
      <c r="AD642" s="12">
        <f t="shared" si="103"/>
        <v>1</v>
      </c>
      <c r="AE642" s="12">
        <f t="shared" si="104"/>
        <v>0</v>
      </c>
      <c r="AF642">
        <f t="shared" ref="AF642:AF705" si="111">IF(O642="Junior", 1, 0)</f>
        <v>1</v>
      </c>
      <c r="AG642">
        <f t="shared" si="105"/>
        <v>0</v>
      </c>
      <c r="AH642">
        <f t="shared" si="106"/>
        <v>0</v>
      </c>
      <c r="AI642">
        <f t="shared" si="107"/>
        <v>1</v>
      </c>
      <c r="AJ642">
        <f t="shared" si="108"/>
        <v>0</v>
      </c>
      <c r="AK642">
        <f t="shared" ref="AK642:AK705" si="112">IF(G642="Access Requests", 1, 0)</f>
        <v>0</v>
      </c>
      <c r="AL642">
        <f t="shared" si="109"/>
        <v>0</v>
      </c>
    </row>
    <row r="643" spans="1:38">
      <c r="A643" t="s">
        <v>2056</v>
      </c>
      <c r="B643" t="s">
        <v>2057</v>
      </c>
      <c r="C643" s="1">
        <f t="shared" ref="C643:C706" si="113">DATE(YEAR(B643),MONTH(B643),1)</f>
        <v>45536</v>
      </c>
      <c r="D643" t="s">
        <v>2058</v>
      </c>
      <c r="E643">
        <v>335.7</v>
      </c>
      <c r="F643">
        <v>14</v>
      </c>
      <c r="G643" t="s">
        <v>101</v>
      </c>
      <c r="H643" t="s">
        <v>442</v>
      </c>
      <c r="I643" t="s">
        <v>79</v>
      </c>
      <c r="J643">
        <v>360</v>
      </c>
      <c r="K643" t="s">
        <v>49</v>
      </c>
      <c r="L643" t="s">
        <v>96</v>
      </c>
      <c r="M643" t="s">
        <v>35</v>
      </c>
      <c r="N643" t="s">
        <v>202</v>
      </c>
      <c r="O643" t="s">
        <v>7232</v>
      </c>
      <c r="P643" t="s">
        <v>38</v>
      </c>
      <c r="Q643" t="s">
        <v>38</v>
      </c>
      <c r="R643">
        <v>1</v>
      </c>
      <c r="S643" t="s">
        <v>38</v>
      </c>
      <c r="T643">
        <v>7</v>
      </c>
      <c r="U643">
        <v>0.1</v>
      </c>
      <c r="V643">
        <v>15.5</v>
      </c>
      <c r="W643" t="s">
        <v>39</v>
      </c>
      <c r="X643" t="s">
        <v>52</v>
      </c>
      <c r="Y643" t="s">
        <v>39</v>
      </c>
      <c r="Z643" t="s">
        <v>115</v>
      </c>
      <c r="AA643" t="s">
        <v>54</v>
      </c>
      <c r="AB643" t="s">
        <v>83</v>
      </c>
      <c r="AC643">
        <f t="shared" si="110"/>
        <v>1</v>
      </c>
      <c r="AD643" s="12">
        <f t="shared" ref="AD643:AD706" si="114">IF(X643="Fair", 1, 0)</f>
        <v>0</v>
      </c>
      <c r="AE643" s="12">
        <f t="shared" ref="AE643:AE706" si="115">IF(X643="Good", 1, 0)</f>
        <v>0</v>
      </c>
      <c r="AF643">
        <f t="shared" si="111"/>
        <v>0</v>
      </c>
      <c r="AG643">
        <f t="shared" ref="AG643:AG706" si="116">IF(O643="Mid", 1, 0)</f>
        <v>1</v>
      </c>
      <c r="AH643">
        <f t="shared" ref="AH643:AH706" si="117">IF(I643="High", 1, 0)</f>
        <v>0</v>
      </c>
      <c r="AI643">
        <f t="shared" ref="AI643:AI706" si="118">IF(I643="Critical", 1, 0)</f>
        <v>0</v>
      </c>
      <c r="AJ643">
        <f t="shared" ref="AJ643:AJ706" si="119">IF(I643="Medium", 1, 0)</f>
        <v>0</v>
      </c>
      <c r="AK643">
        <f t="shared" si="112"/>
        <v>0</v>
      </c>
      <c r="AL643">
        <f t="shared" ref="AL643:AL706" si="120">IF(Y643="No", 1, 0)</f>
        <v>0</v>
      </c>
    </row>
    <row r="644" spans="1:38">
      <c r="A644" t="s">
        <v>2059</v>
      </c>
      <c r="B644" t="s">
        <v>2060</v>
      </c>
      <c r="C644" s="1">
        <f t="shared" si="113"/>
        <v>45352</v>
      </c>
      <c r="D644" t="s">
        <v>2061</v>
      </c>
      <c r="E644">
        <v>251.1</v>
      </c>
      <c r="F644">
        <v>10.5</v>
      </c>
      <c r="G644" t="s">
        <v>30</v>
      </c>
      <c r="H644" t="s">
        <v>47</v>
      </c>
      <c r="I644" t="s">
        <v>32</v>
      </c>
      <c r="J644">
        <v>240</v>
      </c>
      <c r="K644" t="s">
        <v>33</v>
      </c>
      <c r="L644" t="s">
        <v>96</v>
      </c>
      <c r="M644" t="s">
        <v>35</v>
      </c>
      <c r="N644" t="s">
        <v>119</v>
      </c>
      <c r="O644" t="s">
        <v>51</v>
      </c>
      <c r="P644" t="s">
        <v>39</v>
      </c>
      <c r="Q644" t="s">
        <v>38</v>
      </c>
      <c r="R644">
        <v>0</v>
      </c>
      <c r="S644" t="s">
        <v>38</v>
      </c>
      <c r="T644">
        <v>7</v>
      </c>
      <c r="U644">
        <v>1.5</v>
      </c>
      <c r="V644">
        <v>15.8</v>
      </c>
      <c r="W644" t="s">
        <v>39</v>
      </c>
      <c r="X644" t="s">
        <v>63</v>
      </c>
      <c r="Y644" t="s">
        <v>38</v>
      </c>
      <c r="Z644" t="s">
        <v>64</v>
      </c>
      <c r="AA644" t="s">
        <v>82</v>
      </c>
      <c r="AB644" t="s">
        <v>55</v>
      </c>
      <c r="AC644">
        <f t="shared" si="110"/>
        <v>0</v>
      </c>
      <c r="AD644" s="12">
        <f t="shared" si="114"/>
        <v>1</v>
      </c>
      <c r="AE644" s="12">
        <f t="shared" si="115"/>
        <v>0</v>
      </c>
      <c r="AF644">
        <f t="shared" si="111"/>
        <v>1</v>
      </c>
      <c r="AG644">
        <f t="shared" si="116"/>
        <v>0</v>
      </c>
      <c r="AH644">
        <f t="shared" si="117"/>
        <v>0</v>
      </c>
      <c r="AI644">
        <f t="shared" si="118"/>
        <v>0</v>
      </c>
      <c r="AJ644">
        <f t="shared" si="119"/>
        <v>1</v>
      </c>
      <c r="AK644">
        <f t="shared" si="112"/>
        <v>1</v>
      </c>
      <c r="AL644">
        <f t="shared" si="120"/>
        <v>1</v>
      </c>
    </row>
    <row r="645" spans="1:38">
      <c r="A645" t="s">
        <v>2062</v>
      </c>
      <c r="B645" t="s">
        <v>2063</v>
      </c>
      <c r="C645" s="1">
        <f t="shared" si="113"/>
        <v>45566</v>
      </c>
      <c r="D645" t="s">
        <v>2064</v>
      </c>
      <c r="E645">
        <v>109.2</v>
      </c>
      <c r="F645">
        <v>4.5999999999999996</v>
      </c>
      <c r="G645" t="s">
        <v>87</v>
      </c>
      <c r="H645" t="s">
        <v>183</v>
      </c>
      <c r="I645" t="s">
        <v>48</v>
      </c>
      <c r="J645">
        <v>120</v>
      </c>
      <c r="K645" t="s">
        <v>49</v>
      </c>
      <c r="L645" t="s">
        <v>113</v>
      </c>
      <c r="M645" t="s">
        <v>35</v>
      </c>
      <c r="N645" t="s">
        <v>202</v>
      </c>
      <c r="O645" t="s">
        <v>7232</v>
      </c>
      <c r="P645" t="s">
        <v>38</v>
      </c>
      <c r="Q645" t="s">
        <v>38</v>
      </c>
      <c r="R645">
        <v>1</v>
      </c>
      <c r="S645" t="s">
        <v>38</v>
      </c>
      <c r="T645">
        <v>5</v>
      </c>
      <c r="U645">
        <v>0.1</v>
      </c>
      <c r="V645">
        <v>20.9</v>
      </c>
      <c r="W645" t="s">
        <v>38</v>
      </c>
      <c r="X645" t="s">
        <v>52</v>
      </c>
      <c r="Y645" t="s">
        <v>38</v>
      </c>
      <c r="Z645" t="s">
        <v>53</v>
      </c>
      <c r="AA645" t="s">
        <v>82</v>
      </c>
      <c r="AB645" t="s">
        <v>55</v>
      </c>
      <c r="AC645">
        <f t="shared" si="110"/>
        <v>1</v>
      </c>
      <c r="AD645" s="12">
        <f t="shared" si="114"/>
        <v>0</v>
      </c>
      <c r="AE645" s="12">
        <f t="shared" si="115"/>
        <v>0</v>
      </c>
      <c r="AF645">
        <f t="shared" si="111"/>
        <v>0</v>
      </c>
      <c r="AG645">
        <f t="shared" si="116"/>
        <v>1</v>
      </c>
      <c r="AH645">
        <f t="shared" si="117"/>
        <v>1</v>
      </c>
      <c r="AI645">
        <f t="shared" si="118"/>
        <v>0</v>
      </c>
      <c r="AJ645">
        <f t="shared" si="119"/>
        <v>0</v>
      </c>
      <c r="AK645">
        <f t="shared" si="112"/>
        <v>0</v>
      </c>
      <c r="AL645">
        <f t="shared" si="120"/>
        <v>1</v>
      </c>
    </row>
    <row r="646" spans="1:38">
      <c r="A646" t="s">
        <v>2065</v>
      </c>
      <c r="B646" t="s">
        <v>2066</v>
      </c>
      <c r="C646" s="1">
        <f t="shared" si="113"/>
        <v>45597</v>
      </c>
      <c r="D646" t="s">
        <v>2067</v>
      </c>
      <c r="E646">
        <v>326.39999999999998</v>
      </c>
      <c r="F646">
        <v>13.6</v>
      </c>
      <c r="G646" t="s">
        <v>93</v>
      </c>
      <c r="H646" t="s">
        <v>449</v>
      </c>
      <c r="I646" t="s">
        <v>79</v>
      </c>
      <c r="J646">
        <v>360</v>
      </c>
      <c r="K646" t="s">
        <v>49</v>
      </c>
      <c r="L646" t="s">
        <v>96</v>
      </c>
      <c r="M646" t="s">
        <v>35</v>
      </c>
      <c r="N646" t="s">
        <v>168</v>
      </c>
      <c r="O646" t="s">
        <v>37</v>
      </c>
      <c r="P646" t="s">
        <v>38</v>
      </c>
      <c r="Q646" t="s">
        <v>38</v>
      </c>
      <c r="R646">
        <v>1</v>
      </c>
      <c r="S646" t="s">
        <v>38</v>
      </c>
      <c r="T646">
        <v>7</v>
      </c>
      <c r="U646">
        <v>3.9</v>
      </c>
      <c r="V646">
        <v>16.3</v>
      </c>
      <c r="W646" t="s">
        <v>38</v>
      </c>
      <c r="X646" t="s">
        <v>63</v>
      </c>
      <c r="Y646" t="s">
        <v>39</v>
      </c>
      <c r="Z646" t="s">
        <v>41</v>
      </c>
      <c r="AA646" t="s">
        <v>42</v>
      </c>
      <c r="AB646" t="s">
        <v>83</v>
      </c>
      <c r="AC646">
        <f t="shared" si="110"/>
        <v>0</v>
      </c>
      <c r="AD646" s="12">
        <f t="shared" si="114"/>
        <v>1</v>
      </c>
      <c r="AE646" s="12">
        <f t="shared" si="115"/>
        <v>0</v>
      </c>
      <c r="AF646">
        <f t="shared" si="111"/>
        <v>0</v>
      </c>
      <c r="AG646">
        <f t="shared" si="116"/>
        <v>0</v>
      </c>
      <c r="AH646">
        <f t="shared" si="117"/>
        <v>0</v>
      </c>
      <c r="AI646">
        <f t="shared" si="118"/>
        <v>0</v>
      </c>
      <c r="AJ646">
        <f t="shared" si="119"/>
        <v>0</v>
      </c>
      <c r="AK646">
        <f t="shared" si="112"/>
        <v>0</v>
      </c>
      <c r="AL646">
        <f t="shared" si="120"/>
        <v>0</v>
      </c>
    </row>
    <row r="647" spans="1:38">
      <c r="A647" t="s">
        <v>2068</v>
      </c>
      <c r="B647" t="s">
        <v>2069</v>
      </c>
      <c r="C647" s="1">
        <f t="shared" si="113"/>
        <v>45323</v>
      </c>
      <c r="D647" t="s">
        <v>2070</v>
      </c>
      <c r="E647">
        <v>264.39999999999998</v>
      </c>
      <c r="F647">
        <v>11</v>
      </c>
      <c r="G647" t="s">
        <v>93</v>
      </c>
      <c r="H647" t="s">
        <v>94</v>
      </c>
      <c r="I647" t="s">
        <v>79</v>
      </c>
      <c r="J647">
        <v>360</v>
      </c>
      <c r="K647" t="s">
        <v>49</v>
      </c>
      <c r="L647" t="s">
        <v>70</v>
      </c>
      <c r="M647" t="s">
        <v>35</v>
      </c>
      <c r="N647" t="s">
        <v>414</v>
      </c>
      <c r="O647" t="s">
        <v>51</v>
      </c>
      <c r="P647" t="s">
        <v>38</v>
      </c>
      <c r="Q647" t="s">
        <v>38</v>
      </c>
      <c r="R647">
        <v>1</v>
      </c>
      <c r="S647" t="s">
        <v>38</v>
      </c>
      <c r="T647">
        <v>8</v>
      </c>
      <c r="U647">
        <v>0.6</v>
      </c>
      <c r="V647">
        <v>10.7</v>
      </c>
      <c r="W647" t="s">
        <v>39</v>
      </c>
      <c r="X647" t="s">
        <v>40</v>
      </c>
      <c r="Y647" t="s">
        <v>38</v>
      </c>
      <c r="Z647" t="s">
        <v>115</v>
      </c>
      <c r="AA647" t="s">
        <v>103</v>
      </c>
      <c r="AB647" t="s">
        <v>55</v>
      </c>
      <c r="AC647">
        <f t="shared" si="110"/>
        <v>0</v>
      </c>
      <c r="AD647" s="12">
        <f t="shared" si="114"/>
        <v>0</v>
      </c>
      <c r="AE647" s="12">
        <f t="shared" si="115"/>
        <v>0</v>
      </c>
      <c r="AF647">
        <f t="shared" si="111"/>
        <v>1</v>
      </c>
      <c r="AG647">
        <f t="shared" si="116"/>
        <v>0</v>
      </c>
      <c r="AH647">
        <f t="shared" si="117"/>
        <v>0</v>
      </c>
      <c r="AI647">
        <f t="shared" si="118"/>
        <v>0</v>
      </c>
      <c r="AJ647">
        <f t="shared" si="119"/>
        <v>0</v>
      </c>
      <c r="AK647">
        <f t="shared" si="112"/>
        <v>0</v>
      </c>
      <c r="AL647">
        <f t="shared" si="120"/>
        <v>1</v>
      </c>
    </row>
    <row r="648" spans="1:38">
      <c r="A648" t="s">
        <v>2071</v>
      </c>
      <c r="B648" t="s">
        <v>2072</v>
      </c>
      <c r="C648" s="1">
        <f t="shared" si="113"/>
        <v>45352</v>
      </c>
      <c r="D648" t="s">
        <v>2073</v>
      </c>
      <c r="E648">
        <v>113.5</v>
      </c>
      <c r="F648">
        <v>4.7</v>
      </c>
      <c r="G648" t="s">
        <v>68</v>
      </c>
      <c r="H648" t="s">
        <v>456</v>
      </c>
      <c r="I648" t="s">
        <v>48</v>
      </c>
      <c r="J648">
        <v>120</v>
      </c>
      <c r="K648" t="s">
        <v>49</v>
      </c>
      <c r="L648" t="s">
        <v>70</v>
      </c>
      <c r="M648" t="s">
        <v>35</v>
      </c>
      <c r="N648" t="s">
        <v>220</v>
      </c>
      <c r="O648" t="s">
        <v>37</v>
      </c>
      <c r="P648" t="s">
        <v>39</v>
      </c>
      <c r="Q648" t="s">
        <v>38</v>
      </c>
      <c r="R648">
        <v>0</v>
      </c>
      <c r="S648" t="s">
        <v>38</v>
      </c>
      <c r="T648">
        <v>7</v>
      </c>
      <c r="U648">
        <v>0.1</v>
      </c>
      <c r="V648">
        <v>12.9</v>
      </c>
      <c r="W648" t="s">
        <v>39</v>
      </c>
      <c r="X648" t="s">
        <v>52</v>
      </c>
      <c r="Y648" t="s">
        <v>38</v>
      </c>
      <c r="Z648" t="s">
        <v>53</v>
      </c>
      <c r="AA648" t="s">
        <v>82</v>
      </c>
      <c r="AB648" t="s">
        <v>83</v>
      </c>
      <c r="AC648">
        <f t="shared" si="110"/>
        <v>1</v>
      </c>
      <c r="AD648" s="12">
        <f t="shared" si="114"/>
        <v>0</v>
      </c>
      <c r="AE648" s="12">
        <f t="shared" si="115"/>
        <v>0</v>
      </c>
      <c r="AF648">
        <f t="shared" si="111"/>
        <v>0</v>
      </c>
      <c r="AG648">
        <f t="shared" si="116"/>
        <v>0</v>
      </c>
      <c r="AH648">
        <f t="shared" si="117"/>
        <v>1</v>
      </c>
      <c r="AI648">
        <f t="shared" si="118"/>
        <v>0</v>
      </c>
      <c r="AJ648">
        <f t="shared" si="119"/>
        <v>0</v>
      </c>
      <c r="AK648">
        <f t="shared" si="112"/>
        <v>0</v>
      </c>
      <c r="AL648">
        <f t="shared" si="120"/>
        <v>1</v>
      </c>
    </row>
    <row r="649" spans="1:38">
      <c r="A649" t="s">
        <v>2074</v>
      </c>
      <c r="B649" t="s">
        <v>2075</v>
      </c>
      <c r="C649" s="1">
        <f t="shared" si="113"/>
        <v>45627</v>
      </c>
      <c r="D649" t="s">
        <v>2076</v>
      </c>
      <c r="E649">
        <v>261</v>
      </c>
      <c r="F649">
        <v>10.9</v>
      </c>
      <c r="G649" t="s">
        <v>68</v>
      </c>
      <c r="H649" t="s">
        <v>69</v>
      </c>
      <c r="I649" t="s">
        <v>79</v>
      </c>
      <c r="J649">
        <v>360</v>
      </c>
      <c r="K649" t="s">
        <v>49</v>
      </c>
      <c r="L649" t="s">
        <v>113</v>
      </c>
      <c r="M649" t="s">
        <v>35</v>
      </c>
      <c r="N649" t="s">
        <v>36</v>
      </c>
      <c r="O649" t="s">
        <v>51</v>
      </c>
      <c r="P649" t="s">
        <v>38</v>
      </c>
      <c r="Q649" t="s">
        <v>38</v>
      </c>
      <c r="R649">
        <v>1</v>
      </c>
      <c r="S649" t="s">
        <v>38</v>
      </c>
      <c r="T649">
        <v>9</v>
      </c>
      <c r="U649">
        <v>2.5</v>
      </c>
      <c r="V649">
        <v>12.2</v>
      </c>
      <c r="W649" t="s">
        <v>39</v>
      </c>
      <c r="X649" t="s">
        <v>52</v>
      </c>
      <c r="Y649" t="s">
        <v>39</v>
      </c>
      <c r="Z649" t="s">
        <v>81</v>
      </c>
      <c r="AA649" t="s">
        <v>109</v>
      </c>
      <c r="AB649" t="s">
        <v>83</v>
      </c>
      <c r="AC649">
        <f t="shared" si="110"/>
        <v>1</v>
      </c>
      <c r="AD649" s="12">
        <f t="shared" si="114"/>
        <v>0</v>
      </c>
      <c r="AE649" s="12">
        <f t="shared" si="115"/>
        <v>0</v>
      </c>
      <c r="AF649">
        <f t="shared" si="111"/>
        <v>1</v>
      </c>
      <c r="AG649">
        <f t="shared" si="116"/>
        <v>0</v>
      </c>
      <c r="AH649">
        <f t="shared" si="117"/>
        <v>0</v>
      </c>
      <c r="AI649">
        <f t="shared" si="118"/>
        <v>0</v>
      </c>
      <c r="AJ649">
        <f t="shared" si="119"/>
        <v>0</v>
      </c>
      <c r="AK649">
        <f t="shared" si="112"/>
        <v>0</v>
      </c>
      <c r="AL649">
        <f t="shared" si="120"/>
        <v>0</v>
      </c>
    </row>
    <row r="650" spans="1:38">
      <c r="A650" t="s">
        <v>2077</v>
      </c>
      <c r="B650" t="s">
        <v>2078</v>
      </c>
      <c r="C650" s="1">
        <f t="shared" si="113"/>
        <v>45536</v>
      </c>
      <c r="D650" t="s">
        <v>2079</v>
      </c>
      <c r="E650">
        <v>201.2</v>
      </c>
      <c r="F650">
        <v>8.4</v>
      </c>
      <c r="G650" t="s">
        <v>30</v>
      </c>
      <c r="H650" t="s">
        <v>47</v>
      </c>
      <c r="I650" t="s">
        <v>32</v>
      </c>
      <c r="J650">
        <v>240</v>
      </c>
      <c r="K650" t="s">
        <v>49</v>
      </c>
      <c r="L650" t="s">
        <v>70</v>
      </c>
      <c r="M650" t="s">
        <v>35</v>
      </c>
      <c r="N650" t="s">
        <v>119</v>
      </c>
      <c r="O650" t="s">
        <v>7232</v>
      </c>
      <c r="P650" t="s">
        <v>38</v>
      </c>
      <c r="Q650" t="s">
        <v>38</v>
      </c>
      <c r="R650">
        <v>1</v>
      </c>
      <c r="S650" t="s">
        <v>38</v>
      </c>
      <c r="T650">
        <v>9</v>
      </c>
      <c r="U650">
        <v>3.9</v>
      </c>
      <c r="V650">
        <v>16.3</v>
      </c>
      <c r="W650" t="s">
        <v>38</v>
      </c>
      <c r="X650" t="s">
        <v>123</v>
      </c>
      <c r="Y650" t="s">
        <v>39</v>
      </c>
      <c r="Z650" t="s">
        <v>73</v>
      </c>
      <c r="AA650" t="s">
        <v>42</v>
      </c>
      <c r="AB650" t="s">
        <v>55</v>
      </c>
      <c r="AC650">
        <f t="shared" si="110"/>
        <v>0</v>
      </c>
      <c r="AD650" s="12">
        <f t="shared" si="114"/>
        <v>0</v>
      </c>
      <c r="AE650" s="12">
        <f t="shared" si="115"/>
        <v>1</v>
      </c>
      <c r="AF650">
        <f t="shared" si="111"/>
        <v>0</v>
      </c>
      <c r="AG650">
        <f t="shared" si="116"/>
        <v>1</v>
      </c>
      <c r="AH650">
        <f t="shared" si="117"/>
        <v>0</v>
      </c>
      <c r="AI650">
        <f t="shared" si="118"/>
        <v>0</v>
      </c>
      <c r="AJ650">
        <f t="shared" si="119"/>
        <v>1</v>
      </c>
      <c r="AK650">
        <f t="shared" si="112"/>
        <v>1</v>
      </c>
      <c r="AL650">
        <f t="shared" si="120"/>
        <v>0</v>
      </c>
    </row>
    <row r="651" spans="1:38">
      <c r="A651" t="s">
        <v>2080</v>
      </c>
      <c r="B651" t="s">
        <v>2081</v>
      </c>
      <c r="C651" s="1">
        <f t="shared" si="113"/>
        <v>45323</v>
      </c>
      <c r="D651" t="s">
        <v>2082</v>
      </c>
      <c r="E651">
        <v>156.19999999999999</v>
      </c>
      <c r="F651">
        <v>6.5</v>
      </c>
      <c r="G651" t="s">
        <v>142</v>
      </c>
      <c r="H651" t="s">
        <v>260</v>
      </c>
      <c r="I651" t="s">
        <v>32</v>
      </c>
      <c r="J651">
        <v>240</v>
      </c>
      <c r="K651" t="s">
        <v>49</v>
      </c>
      <c r="L651" t="s">
        <v>133</v>
      </c>
      <c r="M651" t="s">
        <v>71</v>
      </c>
      <c r="N651" t="s">
        <v>299</v>
      </c>
      <c r="O651" t="s">
        <v>51</v>
      </c>
      <c r="P651" t="s">
        <v>38</v>
      </c>
      <c r="Q651" t="s">
        <v>39</v>
      </c>
      <c r="R651">
        <v>3</v>
      </c>
      <c r="S651" t="s">
        <v>38</v>
      </c>
      <c r="T651">
        <v>8</v>
      </c>
      <c r="U651">
        <v>2.2000000000000002</v>
      </c>
      <c r="V651">
        <v>20.2</v>
      </c>
      <c r="W651" t="s">
        <v>39</v>
      </c>
      <c r="X651" t="s">
        <v>40</v>
      </c>
      <c r="Y651" t="s">
        <v>39</v>
      </c>
      <c r="Z651" t="s">
        <v>73</v>
      </c>
      <c r="AA651" t="s">
        <v>42</v>
      </c>
      <c r="AB651" t="s">
        <v>55</v>
      </c>
      <c r="AC651">
        <f t="shared" si="110"/>
        <v>0</v>
      </c>
      <c r="AD651" s="12">
        <f t="shared" si="114"/>
        <v>0</v>
      </c>
      <c r="AE651" s="12">
        <f t="shared" si="115"/>
        <v>0</v>
      </c>
      <c r="AF651">
        <f t="shared" si="111"/>
        <v>1</v>
      </c>
      <c r="AG651">
        <f t="shared" si="116"/>
        <v>0</v>
      </c>
      <c r="AH651">
        <f t="shared" si="117"/>
        <v>0</v>
      </c>
      <c r="AI651">
        <f t="shared" si="118"/>
        <v>0</v>
      </c>
      <c r="AJ651">
        <f t="shared" si="119"/>
        <v>1</v>
      </c>
      <c r="AK651">
        <f t="shared" si="112"/>
        <v>0</v>
      </c>
      <c r="AL651">
        <f t="shared" si="120"/>
        <v>0</v>
      </c>
    </row>
    <row r="652" spans="1:38">
      <c r="A652" t="s">
        <v>2083</v>
      </c>
      <c r="B652" t="s">
        <v>2084</v>
      </c>
      <c r="C652" s="1">
        <f t="shared" si="113"/>
        <v>45505</v>
      </c>
      <c r="D652" t="s">
        <v>2085</v>
      </c>
      <c r="E652">
        <v>150.30000000000001</v>
      </c>
      <c r="F652">
        <v>6.3</v>
      </c>
      <c r="G652" t="s">
        <v>30</v>
      </c>
      <c r="H652" t="s">
        <v>47</v>
      </c>
      <c r="I652" t="s">
        <v>32</v>
      </c>
      <c r="J652">
        <v>240</v>
      </c>
      <c r="K652" t="s">
        <v>49</v>
      </c>
      <c r="L652" t="s">
        <v>96</v>
      </c>
      <c r="M652" t="s">
        <v>35</v>
      </c>
      <c r="N652" t="s">
        <v>36</v>
      </c>
      <c r="O652" t="s">
        <v>51</v>
      </c>
      <c r="P652" t="s">
        <v>38</v>
      </c>
      <c r="Q652" t="s">
        <v>38</v>
      </c>
      <c r="R652">
        <v>1</v>
      </c>
      <c r="S652" t="s">
        <v>38</v>
      </c>
      <c r="T652">
        <v>5</v>
      </c>
      <c r="U652">
        <v>2.7</v>
      </c>
      <c r="V652">
        <v>18.7</v>
      </c>
      <c r="W652" t="s">
        <v>38</v>
      </c>
      <c r="X652" t="s">
        <v>63</v>
      </c>
      <c r="Y652" t="s">
        <v>39</v>
      </c>
      <c r="Z652" t="s">
        <v>115</v>
      </c>
      <c r="AA652" t="s">
        <v>103</v>
      </c>
      <c r="AB652" t="s">
        <v>55</v>
      </c>
      <c r="AC652">
        <f t="shared" si="110"/>
        <v>0</v>
      </c>
      <c r="AD652" s="12">
        <f t="shared" si="114"/>
        <v>1</v>
      </c>
      <c r="AE652" s="12">
        <f t="shared" si="115"/>
        <v>0</v>
      </c>
      <c r="AF652">
        <f t="shared" si="111"/>
        <v>1</v>
      </c>
      <c r="AG652">
        <f t="shared" si="116"/>
        <v>0</v>
      </c>
      <c r="AH652">
        <f t="shared" si="117"/>
        <v>0</v>
      </c>
      <c r="AI652">
        <f t="shared" si="118"/>
        <v>0</v>
      </c>
      <c r="AJ652">
        <f t="shared" si="119"/>
        <v>1</v>
      </c>
      <c r="AK652">
        <f t="shared" si="112"/>
        <v>1</v>
      </c>
      <c r="AL652">
        <f t="shared" si="120"/>
        <v>0</v>
      </c>
    </row>
    <row r="653" spans="1:38">
      <c r="A653" t="s">
        <v>2086</v>
      </c>
      <c r="B653" t="s">
        <v>2087</v>
      </c>
      <c r="C653" s="1">
        <f t="shared" si="113"/>
        <v>45597</v>
      </c>
      <c r="D653" t="s">
        <v>2088</v>
      </c>
      <c r="E653">
        <v>75.7</v>
      </c>
      <c r="F653">
        <v>3.2</v>
      </c>
      <c r="G653" t="s">
        <v>87</v>
      </c>
      <c r="H653" t="s">
        <v>88</v>
      </c>
      <c r="I653" t="s">
        <v>48</v>
      </c>
      <c r="J653">
        <v>120</v>
      </c>
      <c r="K653" t="s">
        <v>49</v>
      </c>
      <c r="L653" t="s">
        <v>96</v>
      </c>
      <c r="M653" t="s">
        <v>71</v>
      </c>
      <c r="N653" t="s">
        <v>89</v>
      </c>
      <c r="O653" t="s">
        <v>51</v>
      </c>
      <c r="P653" t="s">
        <v>38</v>
      </c>
      <c r="Q653" t="s">
        <v>39</v>
      </c>
      <c r="R653">
        <v>2</v>
      </c>
      <c r="S653" t="s">
        <v>38</v>
      </c>
      <c r="T653">
        <v>6</v>
      </c>
      <c r="U653">
        <v>4.2</v>
      </c>
      <c r="V653">
        <v>22.3</v>
      </c>
      <c r="W653" t="s">
        <v>39</v>
      </c>
      <c r="X653" t="s">
        <v>52</v>
      </c>
      <c r="Y653" t="s">
        <v>39</v>
      </c>
      <c r="Z653" t="s">
        <v>41</v>
      </c>
      <c r="AA653" t="s">
        <v>42</v>
      </c>
      <c r="AB653" t="s">
        <v>83</v>
      </c>
      <c r="AC653">
        <f t="shared" si="110"/>
        <v>1</v>
      </c>
      <c r="AD653" s="12">
        <f t="shared" si="114"/>
        <v>0</v>
      </c>
      <c r="AE653" s="12">
        <f t="shared" si="115"/>
        <v>0</v>
      </c>
      <c r="AF653">
        <f t="shared" si="111"/>
        <v>1</v>
      </c>
      <c r="AG653">
        <f t="shared" si="116"/>
        <v>0</v>
      </c>
      <c r="AH653">
        <f t="shared" si="117"/>
        <v>1</v>
      </c>
      <c r="AI653">
        <f t="shared" si="118"/>
        <v>0</v>
      </c>
      <c r="AJ653">
        <f t="shared" si="119"/>
        <v>0</v>
      </c>
      <c r="AK653">
        <f t="shared" si="112"/>
        <v>0</v>
      </c>
      <c r="AL653">
        <f t="shared" si="120"/>
        <v>0</v>
      </c>
    </row>
    <row r="654" spans="1:38">
      <c r="A654" t="s">
        <v>2089</v>
      </c>
      <c r="B654" t="s">
        <v>2090</v>
      </c>
      <c r="C654" s="1">
        <f t="shared" si="113"/>
        <v>45566</v>
      </c>
      <c r="D654" t="s">
        <v>2091</v>
      </c>
      <c r="E654">
        <v>160.30000000000001</v>
      </c>
      <c r="F654">
        <v>6.7</v>
      </c>
      <c r="G654" t="s">
        <v>59</v>
      </c>
      <c r="H654" t="s">
        <v>60</v>
      </c>
      <c r="I654" t="s">
        <v>32</v>
      </c>
      <c r="J654">
        <v>240</v>
      </c>
      <c r="K654" t="s">
        <v>49</v>
      </c>
      <c r="L654" t="s">
        <v>70</v>
      </c>
      <c r="M654" t="s">
        <v>35</v>
      </c>
      <c r="N654" t="s">
        <v>155</v>
      </c>
      <c r="O654" t="s">
        <v>7232</v>
      </c>
      <c r="P654" t="s">
        <v>39</v>
      </c>
      <c r="Q654" t="s">
        <v>38</v>
      </c>
      <c r="R654">
        <v>0</v>
      </c>
      <c r="S654" t="s">
        <v>38</v>
      </c>
      <c r="T654">
        <v>10</v>
      </c>
      <c r="U654">
        <v>0.1</v>
      </c>
      <c r="V654">
        <v>27.9</v>
      </c>
      <c r="W654" t="s">
        <v>38</v>
      </c>
      <c r="X654" t="s">
        <v>123</v>
      </c>
      <c r="Y654" t="s">
        <v>39</v>
      </c>
      <c r="Z654" t="s">
        <v>115</v>
      </c>
      <c r="AA654" t="s">
        <v>42</v>
      </c>
      <c r="AB654" t="s">
        <v>83</v>
      </c>
      <c r="AC654">
        <f t="shared" si="110"/>
        <v>0</v>
      </c>
      <c r="AD654" s="12">
        <f t="shared" si="114"/>
        <v>0</v>
      </c>
      <c r="AE654" s="12">
        <f t="shared" si="115"/>
        <v>1</v>
      </c>
      <c r="AF654">
        <f t="shared" si="111"/>
        <v>0</v>
      </c>
      <c r="AG654">
        <f t="shared" si="116"/>
        <v>1</v>
      </c>
      <c r="AH654">
        <f t="shared" si="117"/>
        <v>0</v>
      </c>
      <c r="AI654">
        <f t="shared" si="118"/>
        <v>0</v>
      </c>
      <c r="AJ654">
        <f t="shared" si="119"/>
        <v>1</v>
      </c>
      <c r="AK654">
        <f t="shared" si="112"/>
        <v>0</v>
      </c>
      <c r="AL654">
        <f t="shared" si="120"/>
        <v>0</v>
      </c>
    </row>
    <row r="655" spans="1:38">
      <c r="A655" t="s">
        <v>2092</v>
      </c>
      <c r="B655" t="s">
        <v>2093</v>
      </c>
      <c r="C655" s="1">
        <f t="shared" si="113"/>
        <v>45323</v>
      </c>
      <c r="D655" t="s">
        <v>2094</v>
      </c>
      <c r="E655">
        <v>218.6</v>
      </c>
      <c r="F655">
        <v>9.1</v>
      </c>
      <c r="G655" t="s">
        <v>101</v>
      </c>
      <c r="H655" t="s">
        <v>368</v>
      </c>
      <c r="I655" t="s">
        <v>32</v>
      </c>
      <c r="J655">
        <v>240</v>
      </c>
      <c r="K655" t="s">
        <v>49</v>
      </c>
      <c r="L655" t="s">
        <v>70</v>
      </c>
      <c r="M655" t="s">
        <v>35</v>
      </c>
      <c r="N655" t="s">
        <v>128</v>
      </c>
      <c r="O655" t="s">
        <v>37</v>
      </c>
      <c r="P655" t="s">
        <v>38</v>
      </c>
      <c r="Q655" t="s">
        <v>38</v>
      </c>
      <c r="R655">
        <v>1</v>
      </c>
      <c r="S655" t="s">
        <v>38</v>
      </c>
      <c r="T655">
        <v>9</v>
      </c>
      <c r="U655">
        <v>4</v>
      </c>
      <c r="V655">
        <v>22.8</v>
      </c>
      <c r="W655" t="s">
        <v>39</v>
      </c>
      <c r="X655" t="s">
        <v>63</v>
      </c>
      <c r="Y655" t="s">
        <v>39</v>
      </c>
      <c r="Z655" t="s">
        <v>73</v>
      </c>
      <c r="AA655" t="s">
        <v>109</v>
      </c>
      <c r="AB655" t="s">
        <v>55</v>
      </c>
      <c r="AC655">
        <f t="shared" si="110"/>
        <v>0</v>
      </c>
      <c r="AD655" s="12">
        <f t="shared" si="114"/>
        <v>1</v>
      </c>
      <c r="AE655" s="12">
        <f t="shared" si="115"/>
        <v>0</v>
      </c>
      <c r="AF655">
        <f t="shared" si="111"/>
        <v>0</v>
      </c>
      <c r="AG655">
        <f t="shared" si="116"/>
        <v>0</v>
      </c>
      <c r="AH655">
        <f t="shared" si="117"/>
        <v>0</v>
      </c>
      <c r="AI655">
        <f t="shared" si="118"/>
        <v>0</v>
      </c>
      <c r="AJ655">
        <f t="shared" si="119"/>
        <v>1</v>
      </c>
      <c r="AK655">
        <f t="shared" si="112"/>
        <v>0</v>
      </c>
      <c r="AL655">
        <f t="shared" si="120"/>
        <v>0</v>
      </c>
    </row>
    <row r="656" spans="1:38">
      <c r="A656" t="s">
        <v>2095</v>
      </c>
      <c r="B656" t="s">
        <v>2096</v>
      </c>
      <c r="C656" s="1">
        <f t="shared" si="113"/>
        <v>45352</v>
      </c>
      <c r="D656" t="s">
        <v>2097</v>
      </c>
      <c r="E656">
        <v>74.8</v>
      </c>
      <c r="F656">
        <v>3.1</v>
      </c>
      <c r="G656" t="s">
        <v>87</v>
      </c>
      <c r="H656" t="s">
        <v>309</v>
      </c>
      <c r="I656" t="s">
        <v>48</v>
      </c>
      <c r="J656">
        <v>120</v>
      </c>
      <c r="K656" t="s">
        <v>49</v>
      </c>
      <c r="L656" t="s">
        <v>113</v>
      </c>
      <c r="M656" t="s">
        <v>71</v>
      </c>
      <c r="N656" t="s">
        <v>192</v>
      </c>
      <c r="O656" t="s">
        <v>51</v>
      </c>
      <c r="P656" t="s">
        <v>38</v>
      </c>
      <c r="Q656" t="s">
        <v>39</v>
      </c>
      <c r="R656">
        <v>1</v>
      </c>
      <c r="S656" t="s">
        <v>39</v>
      </c>
      <c r="T656">
        <v>10</v>
      </c>
      <c r="U656">
        <v>0.1</v>
      </c>
      <c r="V656">
        <v>17.100000000000001</v>
      </c>
      <c r="W656" t="s">
        <v>39</v>
      </c>
      <c r="X656" t="s">
        <v>123</v>
      </c>
      <c r="Y656" t="s">
        <v>39</v>
      </c>
      <c r="Z656" t="s">
        <v>41</v>
      </c>
      <c r="AA656" t="s">
        <v>54</v>
      </c>
      <c r="AB656" t="s">
        <v>55</v>
      </c>
      <c r="AC656">
        <f t="shared" si="110"/>
        <v>0</v>
      </c>
      <c r="AD656" s="12">
        <f t="shared" si="114"/>
        <v>0</v>
      </c>
      <c r="AE656" s="12">
        <f t="shared" si="115"/>
        <v>1</v>
      </c>
      <c r="AF656">
        <f t="shared" si="111"/>
        <v>1</v>
      </c>
      <c r="AG656">
        <f t="shared" si="116"/>
        <v>0</v>
      </c>
      <c r="AH656">
        <f t="shared" si="117"/>
        <v>1</v>
      </c>
      <c r="AI656">
        <f t="shared" si="118"/>
        <v>0</v>
      </c>
      <c r="AJ656">
        <f t="shared" si="119"/>
        <v>0</v>
      </c>
      <c r="AK656">
        <f t="shared" si="112"/>
        <v>0</v>
      </c>
      <c r="AL656">
        <f t="shared" si="120"/>
        <v>0</v>
      </c>
    </row>
    <row r="657" spans="1:38">
      <c r="A657" t="s">
        <v>2098</v>
      </c>
      <c r="B657" t="s">
        <v>2099</v>
      </c>
      <c r="C657" s="1">
        <f t="shared" si="113"/>
        <v>45474</v>
      </c>
      <c r="D657" t="s">
        <v>2100</v>
      </c>
      <c r="E657">
        <v>561.20000000000005</v>
      </c>
      <c r="F657">
        <v>23.4</v>
      </c>
      <c r="G657" t="s">
        <v>77</v>
      </c>
      <c r="H657" t="s">
        <v>244</v>
      </c>
      <c r="I657" t="s">
        <v>79</v>
      </c>
      <c r="J657">
        <v>360</v>
      </c>
      <c r="K657" t="s">
        <v>33</v>
      </c>
      <c r="L657" t="s">
        <v>34</v>
      </c>
      <c r="M657" t="s">
        <v>35</v>
      </c>
      <c r="N657" t="s">
        <v>80</v>
      </c>
      <c r="O657" t="s">
        <v>7232</v>
      </c>
      <c r="P657" t="s">
        <v>38</v>
      </c>
      <c r="Q657" t="s">
        <v>38</v>
      </c>
      <c r="R657">
        <v>1</v>
      </c>
      <c r="S657" t="s">
        <v>38</v>
      </c>
      <c r="T657">
        <v>6</v>
      </c>
      <c r="U657">
        <v>1.1000000000000001</v>
      </c>
      <c r="V657">
        <v>49.9</v>
      </c>
      <c r="W657" t="s">
        <v>38</v>
      </c>
      <c r="X657" t="s">
        <v>52</v>
      </c>
      <c r="Y657" t="s">
        <v>39</v>
      </c>
      <c r="Z657" t="s">
        <v>108</v>
      </c>
      <c r="AA657" t="s">
        <v>82</v>
      </c>
      <c r="AB657" t="s">
        <v>55</v>
      </c>
      <c r="AC657">
        <f t="shared" si="110"/>
        <v>1</v>
      </c>
      <c r="AD657" s="12">
        <f t="shared" si="114"/>
        <v>0</v>
      </c>
      <c r="AE657" s="12">
        <f t="shared" si="115"/>
        <v>0</v>
      </c>
      <c r="AF657">
        <f t="shared" si="111"/>
        <v>0</v>
      </c>
      <c r="AG657">
        <f t="shared" si="116"/>
        <v>1</v>
      </c>
      <c r="AH657">
        <f t="shared" si="117"/>
        <v>0</v>
      </c>
      <c r="AI657">
        <f t="shared" si="118"/>
        <v>0</v>
      </c>
      <c r="AJ657">
        <f t="shared" si="119"/>
        <v>0</v>
      </c>
      <c r="AK657">
        <f t="shared" si="112"/>
        <v>0</v>
      </c>
      <c r="AL657">
        <f t="shared" si="120"/>
        <v>0</v>
      </c>
    </row>
    <row r="658" spans="1:38">
      <c r="A658" t="s">
        <v>2101</v>
      </c>
      <c r="B658" t="s">
        <v>2102</v>
      </c>
      <c r="C658" s="1">
        <f t="shared" si="113"/>
        <v>45474</v>
      </c>
      <c r="D658" t="s">
        <v>2103</v>
      </c>
      <c r="E658">
        <v>265.8</v>
      </c>
      <c r="F658">
        <v>11.1</v>
      </c>
      <c r="G658" t="s">
        <v>68</v>
      </c>
      <c r="H658" t="s">
        <v>456</v>
      </c>
      <c r="I658" t="s">
        <v>32</v>
      </c>
      <c r="J658">
        <v>240</v>
      </c>
      <c r="K658" t="s">
        <v>33</v>
      </c>
      <c r="L658" t="s">
        <v>96</v>
      </c>
      <c r="M658" t="s">
        <v>71</v>
      </c>
      <c r="N658" t="s">
        <v>220</v>
      </c>
      <c r="O658" t="s">
        <v>37</v>
      </c>
      <c r="P658" t="s">
        <v>38</v>
      </c>
      <c r="Q658" t="s">
        <v>39</v>
      </c>
      <c r="R658">
        <v>4</v>
      </c>
      <c r="S658" t="s">
        <v>38</v>
      </c>
      <c r="T658">
        <v>5</v>
      </c>
      <c r="U658">
        <v>0.1</v>
      </c>
      <c r="V658">
        <v>0</v>
      </c>
      <c r="W658" t="s">
        <v>38</v>
      </c>
      <c r="X658" t="s">
        <v>123</v>
      </c>
      <c r="Y658" t="s">
        <v>39</v>
      </c>
      <c r="Z658" t="s">
        <v>108</v>
      </c>
      <c r="AA658" t="s">
        <v>103</v>
      </c>
      <c r="AB658" t="s">
        <v>55</v>
      </c>
      <c r="AC658">
        <f t="shared" si="110"/>
        <v>0</v>
      </c>
      <c r="AD658" s="12">
        <f t="shared" si="114"/>
        <v>0</v>
      </c>
      <c r="AE658" s="12">
        <f t="shared" si="115"/>
        <v>1</v>
      </c>
      <c r="AF658">
        <f t="shared" si="111"/>
        <v>0</v>
      </c>
      <c r="AG658">
        <f t="shared" si="116"/>
        <v>0</v>
      </c>
      <c r="AH658">
        <f t="shared" si="117"/>
        <v>0</v>
      </c>
      <c r="AI658">
        <f t="shared" si="118"/>
        <v>0</v>
      </c>
      <c r="AJ658">
        <f t="shared" si="119"/>
        <v>1</v>
      </c>
      <c r="AK658">
        <f t="shared" si="112"/>
        <v>0</v>
      </c>
      <c r="AL658">
        <f t="shared" si="120"/>
        <v>0</v>
      </c>
    </row>
    <row r="659" spans="1:38">
      <c r="A659" t="s">
        <v>2104</v>
      </c>
      <c r="B659" t="s">
        <v>2105</v>
      </c>
      <c r="C659" s="1">
        <f t="shared" si="113"/>
        <v>45413</v>
      </c>
      <c r="D659" t="s">
        <v>2106</v>
      </c>
      <c r="E659">
        <v>206.4</v>
      </c>
      <c r="F659">
        <v>8.6</v>
      </c>
      <c r="G659" t="s">
        <v>142</v>
      </c>
      <c r="H659" t="s">
        <v>240</v>
      </c>
      <c r="I659" t="s">
        <v>32</v>
      </c>
      <c r="J659">
        <v>240</v>
      </c>
      <c r="K659" t="s">
        <v>49</v>
      </c>
      <c r="L659" t="s">
        <v>70</v>
      </c>
      <c r="M659" t="s">
        <v>35</v>
      </c>
      <c r="N659" t="s">
        <v>144</v>
      </c>
      <c r="O659" t="s">
        <v>37</v>
      </c>
      <c r="P659" t="s">
        <v>38</v>
      </c>
      <c r="Q659" t="s">
        <v>38</v>
      </c>
      <c r="R659">
        <v>1</v>
      </c>
      <c r="S659" t="s">
        <v>38</v>
      </c>
      <c r="T659">
        <v>10</v>
      </c>
      <c r="U659">
        <v>1.3</v>
      </c>
      <c r="V659">
        <v>15.6</v>
      </c>
      <c r="W659" t="s">
        <v>38</v>
      </c>
      <c r="X659" t="s">
        <v>123</v>
      </c>
      <c r="Y659" t="s">
        <v>38</v>
      </c>
      <c r="Z659" t="s">
        <v>179</v>
      </c>
      <c r="AA659" t="s">
        <v>109</v>
      </c>
      <c r="AB659" t="s">
        <v>43</v>
      </c>
      <c r="AC659">
        <f t="shared" si="110"/>
        <v>0</v>
      </c>
      <c r="AD659" s="12">
        <f t="shared" si="114"/>
        <v>0</v>
      </c>
      <c r="AE659" s="12">
        <f t="shared" si="115"/>
        <v>1</v>
      </c>
      <c r="AF659">
        <f t="shared" si="111"/>
        <v>0</v>
      </c>
      <c r="AG659">
        <f t="shared" si="116"/>
        <v>0</v>
      </c>
      <c r="AH659">
        <f t="shared" si="117"/>
        <v>0</v>
      </c>
      <c r="AI659">
        <f t="shared" si="118"/>
        <v>0</v>
      </c>
      <c r="AJ659">
        <f t="shared" si="119"/>
        <v>1</v>
      </c>
      <c r="AK659">
        <f t="shared" si="112"/>
        <v>0</v>
      </c>
      <c r="AL659">
        <f t="shared" si="120"/>
        <v>1</v>
      </c>
    </row>
    <row r="660" spans="1:38">
      <c r="A660" t="s">
        <v>2107</v>
      </c>
      <c r="B660" t="s">
        <v>2108</v>
      </c>
      <c r="C660" s="1">
        <f t="shared" si="113"/>
        <v>45505</v>
      </c>
      <c r="D660" t="s">
        <v>2109</v>
      </c>
      <c r="E660">
        <v>153</v>
      </c>
      <c r="F660">
        <v>6.4</v>
      </c>
      <c r="G660" t="s">
        <v>59</v>
      </c>
      <c r="H660" t="s">
        <v>227</v>
      </c>
      <c r="I660" t="s">
        <v>32</v>
      </c>
      <c r="J660">
        <v>240</v>
      </c>
      <c r="K660" t="s">
        <v>49</v>
      </c>
      <c r="L660" t="s">
        <v>96</v>
      </c>
      <c r="M660" t="s">
        <v>71</v>
      </c>
      <c r="N660" t="s">
        <v>299</v>
      </c>
      <c r="O660" t="s">
        <v>51</v>
      </c>
      <c r="P660" t="s">
        <v>38</v>
      </c>
      <c r="Q660" t="s">
        <v>39</v>
      </c>
      <c r="R660">
        <v>1</v>
      </c>
      <c r="S660" t="s">
        <v>38</v>
      </c>
      <c r="T660">
        <v>8</v>
      </c>
      <c r="U660">
        <v>4.8</v>
      </c>
      <c r="V660">
        <v>46</v>
      </c>
      <c r="W660" t="s">
        <v>39</v>
      </c>
      <c r="X660" t="s">
        <v>123</v>
      </c>
      <c r="Y660" t="s">
        <v>39</v>
      </c>
      <c r="Z660" t="s">
        <v>179</v>
      </c>
      <c r="AA660" t="s">
        <v>109</v>
      </c>
      <c r="AB660" t="s">
        <v>43</v>
      </c>
      <c r="AC660">
        <f t="shared" si="110"/>
        <v>0</v>
      </c>
      <c r="AD660" s="12">
        <f t="shared" si="114"/>
        <v>0</v>
      </c>
      <c r="AE660" s="12">
        <f t="shared" si="115"/>
        <v>1</v>
      </c>
      <c r="AF660">
        <f t="shared" si="111"/>
        <v>1</v>
      </c>
      <c r="AG660">
        <f t="shared" si="116"/>
        <v>0</v>
      </c>
      <c r="AH660">
        <f t="shared" si="117"/>
        <v>0</v>
      </c>
      <c r="AI660">
        <f t="shared" si="118"/>
        <v>0</v>
      </c>
      <c r="AJ660">
        <f t="shared" si="119"/>
        <v>1</v>
      </c>
      <c r="AK660">
        <f t="shared" si="112"/>
        <v>0</v>
      </c>
      <c r="AL660">
        <f t="shared" si="120"/>
        <v>0</v>
      </c>
    </row>
    <row r="661" spans="1:38">
      <c r="A661" t="s">
        <v>2110</v>
      </c>
      <c r="B661" t="s">
        <v>2111</v>
      </c>
      <c r="C661" s="1">
        <f t="shared" si="113"/>
        <v>45597</v>
      </c>
      <c r="D661" t="s">
        <v>2112</v>
      </c>
      <c r="E661">
        <v>128.6</v>
      </c>
      <c r="F661">
        <v>5.4</v>
      </c>
      <c r="G661" t="s">
        <v>93</v>
      </c>
      <c r="H661" t="s">
        <v>94</v>
      </c>
      <c r="I661" t="s">
        <v>48</v>
      </c>
      <c r="J661">
        <v>120</v>
      </c>
      <c r="K661" t="s">
        <v>33</v>
      </c>
      <c r="L661" t="s">
        <v>70</v>
      </c>
      <c r="M661" t="s">
        <v>35</v>
      </c>
      <c r="N661" t="s">
        <v>114</v>
      </c>
      <c r="O661" t="s">
        <v>37</v>
      </c>
      <c r="P661" t="s">
        <v>38</v>
      </c>
      <c r="Q661" t="s">
        <v>38</v>
      </c>
      <c r="R661">
        <v>1</v>
      </c>
      <c r="S661" t="s">
        <v>38</v>
      </c>
      <c r="T661">
        <v>6</v>
      </c>
      <c r="U661">
        <v>1.1000000000000001</v>
      </c>
      <c r="V661">
        <v>27.9</v>
      </c>
      <c r="W661" t="s">
        <v>38</v>
      </c>
      <c r="X661" t="s">
        <v>123</v>
      </c>
      <c r="Y661" t="s">
        <v>39</v>
      </c>
      <c r="Z661" t="s">
        <v>81</v>
      </c>
      <c r="AA661" t="s">
        <v>103</v>
      </c>
      <c r="AB661" t="s">
        <v>55</v>
      </c>
      <c r="AC661">
        <f t="shared" si="110"/>
        <v>0</v>
      </c>
      <c r="AD661" s="12">
        <f t="shared" si="114"/>
        <v>0</v>
      </c>
      <c r="AE661" s="12">
        <f t="shared" si="115"/>
        <v>1</v>
      </c>
      <c r="AF661">
        <f t="shared" si="111"/>
        <v>0</v>
      </c>
      <c r="AG661">
        <f t="shared" si="116"/>
        <v>0</v>
      </c>
      <c r="AH661">
        <f t="shared" si="117"/>
        <v>1</v>
      </c>
      <c r="AI661">
        <f t="shared" si="118"/>
        <v>0</v>
      </c>
      <c r="AJ661">
        <f t="shared" si="119"/>
        <v>0</v>
      </c>
      <c r="AK661">
        <f t="shared" si="112"/>
        <v>0</v>
      </c>
      <c r="AL661">
        <f t="shared" si="120"/>
        <v>0</v>
      </c>
    </row>
    <row r="662" spans="1:38">
      <c r="A662" t="s">
        <v>2113</v>
      </c>
      <c r="B662" t="s">
        <v>2114</v>
      </c>
      <c r="C662" s="1">
        <f t="shared" si="113"/>
        <v>45444</v>
      </c>
      <c r="D662" t="s">
        <v>2115</v>
      </c>
      <c r="E662">
        <v>174.5</v>
      </c>
      <c r="F662">
        <v>7.3</v>
      </c>
      <c r="G662" t="s">
        <v>87</v>
      </c>
      <c r="H662" t="s">
        <v>151</v>
      </c>
      <c r="I662" t="s">
        <v>32</v>
      </c>
      <c r="J662">
        <v>240</v>
      </c>
      <c r="K662" t="s">
        <v>49</v>
      </c>
      <c r="L662" t="s">
        <v>96</v>
      </c>
      <c r="M662" t="s">
        <v>35</v>
      </c>
      <c r="N662" t="s">
        <v>277</v>
      </c>
      <c r="O662" t="s">
        <v>37</v>
      </c>
      <c r="P662" t="s">
        <v>38</v>
      </c>
      <c r="Q662" t="s">
        <v>38</v>
      </c>
      <c r="R662">
        <v>1</v>
      </c>
      <c r="S662" t="s">
        <v>38</v>
      </c>
      <c r="T662">
        <v>8</v>
      </c>
      <c r="U662">
        <v>0.5</v>
      </c>
      <c r="V662">
        <v>9.9</v>
      </c>
      <c r="W662" t="s">
        <v>38</v>
      </c>
      <c r="X662" t="s">
        <v>52</v>
      </c>
      <c r="Y662" t="s">
        <v>38</v>
      </c>
      <c r="Z662" t="s">
        <v>108</v>
      </c>
      <c r="AA662" t="s">
        <v>42</v>
      </c>
      <c r="AB662" t="s">
        <v>55</v>
      </c>
      <c r="AC662">
        <f t="shared" si="110"/>
        <v>1</v>
      </c>
      <c r="AD662" s="12">
        <f t="shared" si="114"/>
        <v>0</v>
      </c>
      <c r="AE662" s="12">
        <f t="shared" si="115"/>
        <v>0</v>
      </c>
      <c r="AF662">
        <f t="shared" si="111"/>
        <v>0</v>
      </c>
      <c r="AG662">
        <f t="shared" si="116"/>
        <v>0</v>
      </c>
      <c r="AH662">
        <f t="shared" si="117"/>
        <v>0</v>
      </c>
      <c r="AI662">
        <f t="shared" si="118"/>
        <v>0</v>
      </c>
      <c r="AJ662">
        <f t="shared" si="119"/>
        <v>1</v>
      </c>
      <c r="AK662">
        <f t="shared" si="112"/>
        <v>0</v>
      </c>
      <c r="AL662">
        <f t="shared" si="120"/>
        <v>1</v>
      </c>
    </row>
    <row r="663" spans="1:38">
      <c r="A663" t="s">
        <v>2116</v>
      </c>
      <c r="B663" t="s">
        <v>2117</v>
      </c>
      <c r="C663" s="1">
        <f t="shared" si="113"/>
        <v>45352</v>
      </c>
      <c r="D663" t="s">
        <v>2118</v>
      </c>
      <c r="E663">
        <v>267.39999999999998</v>
      </c>
      <c r="F663">
        <v>11.1</v>
      </c>
      <c r="G663" t="s">
        <v>142</v>
      </c>
      <c r="H663" t="s">
        <v>240</v>
      </c>
      <c r="I663" t="s">
        <v>32</v>
      </c>
      <c r="J663">
        <v>240</v>
      </c>
      <c r="K663" t="s">
        <v>33</v>
      </c>
      <c r="L663" t="s">
        <v>34</v>
      </c>
      <c r="M663" t="s">
        <v>71</v>
      </c>
      <c r="N663" t="s">
        <v>97</v>
      </c>
      <c r="O663" t="s">
        <v>7232</v>
      </c>
      <c r="P663" t="s">
        <v>38</v>
      </c>
      <c r="Q663" t="s">
        <v>39</v>
      </c>
      <c r="R663">
        <v>2</v>
      </c>
      <c r="S663" t="s">
        <v>38</v>
      </c>
      <c r="T663">
        <v>6</v>
      </c>
      <c r="U663">
        <v>2.1</v>
      </c>
      <c r="V663">
        <v>7.3</v>
      </c>
      <c r="W663" t="s">
        <v>39</v>
      </c>
      <c r="X663" t="s">
        <v>63</v>
      </c>
      <c r="Y663" t="s">
        <v>39</v>
      </c>
      <c r="Z663" t="s">
        <v>64</v>
      </c>
      <c r="AA663" t="s">
        <v>42</v>
      </c>
      <c r="AB663" t="s">
        <v>55</v>
      </c>
      <c r="AC663">
        <f t="shared" si="110"/>
        <v>0</v>
      </c>
      <c r="AD663" s="12">
        <f t="shared" si="114"/>
        <v>1</v>
      </c>
      <c r="AE663" s="12">
        <f t="shared" si="115"/>
        <v>0</v>
      </c>
      <c r="AF663">
        <f t="shared" si="111"/>
        <v>0</v>
      </c>
      <c r="AG663">
        <f t="shared" si="116"/>
        <v>1</v>
      </c>
      <c r="AH663">
        <f t="shared" si="117"/>
        <v>0</v>
      </c>
      <c r="AI663">
        <f t="shared" si="118"/>
        <v>0</v>
      </c>
      <c r="AJ663">
        <f t="shared" si="119"/>
        <v>1</v>
      </c>
      <c r="AK663">
        <f t="shared" si="112"/>
        <v>0</v>
      </c>
      <c r="AL663">
        <f t="shared" si="120"/>
        <v>0</v>
      </c>
    </row>
    <row r="664" spans="1:38">
      <c r="A664" t="s">
        <v>2119</v>
      </c>
      <c r="B664" t="s">
        <v>2120</v>
      </c>
      <c r="C664" s="1">
        <f t="shared" si="113"/>
        <v>45566</v>
      </c>
      <c r="D664" t="s">
        <v>2121</v>
      </c>
      <c r="E664">
        <v>92.4</v>
      </c>
      <c r="F664">
        <v>3.9</v>
      </c>
      <c r="G664" t="s">
        <v>59</v>
      </c>
      <c r="H664" t="s">
        <v>227</v>
      </c>
      <c r="I664" t="s">
        <v>48</v>
      </c>
      <c r="J664">
        <v>120</v>
      </c>
      <c r="K664" t="s">
        <v>49</v>
      </c>
      <c r="L664" t="s">
        <v>96</v>
      </c>
      <c r="M664" t="s">
        <v>71</v>
      </c>
      <c r="N664" t="s">
        <v>277</v>
      </c>
      <c r="O664" t="s">
        <v>37</v>
      </c>
      <c r="P664" t="s">
        <v>38</v>
      </c>
      <c r="Q664" t="s">
        <v>39</v>
      </c>
      <c r="R664">
        <v>4</v>
      </c>
      <c r="S664" t="s">
        <v>38</v>
      </c>
      <c r="T664">
        <v>9</v>
      </c>
      <c r="U664">
        <v>3</v>
      </c>
      <c r="V664">
        <v>29.9</v>
      </c>
      <c r="W664" t="s">
        <v>39</v>
      </c>
      <c r="X664" t="s">
        <v>123</v>
      </c>
      <c r="Y664" t="s">
        <v>39</v>
      </c>
      <c r="Z664" t="s">
        <v>81</v>
      </c>
      <c r="AA664" t="s">
        <v>109</v>
      </c>
      <c r="AB664" t="s">
        <v>83</v>
      </c>
      <c r="AC664">
        <f t="shared" si="110"/>
        <v>0</v>
      </c>
      <c r="AD664" s="12">
        <f t="shared" si="114"/>
        <v>0</v>
      </c>
      <c r="AE664" s="12">
        <f t="shared" si="115"/>
        <v>1</v>
      </c>
      <c r="AF664">
        <f t="shared" si="111"/>
        <v>0</v>
      </c>
      <c r="AG664">
        <f t="shared" si="116"/>
        <v>0</v>
      </c>
      <c r="AH664">
        <f t="shared" si="117"/>
        <v>1</v>
      </c>
      <c r="AI664">
        <f t="shared" si="118"/>
        <v>0</v>
      </c>
      <c r="AJ664">
        <f t="shared" si="119"/>
        <v>0</v>
      </c>
      <c r="AK664">
        <f t="shared" si="112"/>
        <v>0</v>
      </c>
      <c r="AL664">
        <f t="shared" si="120"/>
        <v>0</v>
      </c>
    </row>
    <row r="665" spans="1:38">
      <c r="A665" t="s">
        <v>2122</v>
      </c>
      <c r="B665" t="s">
        <v>2123</v>
      </c>
      <c r="C665" s="1">
        <f t="shared" si="113"/>
        <v>45413</v>
      </c>
      <c r="D665" t="s">
        <v>2124</v>
      </c>
      <c r="E665">
        <v>45.4</v>
      </c>
      <c r="F665">
        <v>1.9</v>
      </c>
      <c r="G665" t="s">
        <v>30</v>
      </c>
      <c r="H665" t="s">
        <v>159</v>
      </c>
      <c r="I665" t="s">
        <v>95</v>
      </c>
      <c r="J665">
        <v>48</v>
      </c>
      <c r="K665" t="s">
        <v>49</v>
      </c>
      <c r="L665" t="s">
        <v>96</v>
      </c>
      <c r="M665" t="s">
        <v>35</v>
      </c>
      <c r="N665" t="s">
        <v>144</v>
      </c>
      <c r="O665" t="s">
        <v>7232</v>
      </c>
      <c r="P665" t="s">
        <v>39</v>
      </c>
      <c r="Q665" t="s">
        <v>38</v>
      </c>
      <c r="R665">
        <v>0</v>
      </c>
      <c r="S665" t="s">
        <v>38</v>
      </c>
      <c r="T665">
        <v>10</v>
      </c>
      <c r="U665">
        <v>1.7</v>
      </c>
      <c r="V665">
        <v>18.3</v>
      </c>
      <c r="W665" t="s">
        <v>39</v>
      </c>
      <c r="X665" t="s">
        <v>63</v>
      </c>
      <c r="Y665" t="s">
        <v>38</v>
      </c>
      <c r="Z665" t="s">
        <v>115</v>
      </c>
      <c r="AA665" t="s">
        <v>82</v>
      </c>
      <c r="AB665" t="s">
        <v>83</v>
      </c>
      <c r="AC665">
        <f t="shared" si="110"/>
        <v>0</v>
      </c>
      <c r="AD665" s="12">
        <f t="shared" si="114"/>
        <v>1</v>
      </c>
      <c r="AE665" s="12">
        <f t="shared" si="115"/>
        <v>0</v>
      </c>
      <c r="AF665">
        <f t="shared" si="111"/>
        <v>0</v>
      </c>
      <c r="AG665">
        <f t="shared" si="116"/>
        <v>1</v>
      </c>
      <c r="AH665">
        <f t="shared" si="117"/>
        <v>0</v>
      </c>
      <c r="AI665">
        <f t="shared" si="118"/>
        <v>1</v>
      </c>
      <c r="AJ665">
        <f t="shared" si="119"/>
        <v>0</v>
      </c>
      <c r="AK665">
        <f t="shared" si="112"/>
        <v>1</v>
      </c>
      <c r="AL665">
        <f t="shared" si="120"/>
        <v>1</v>
      </c>
    </row>
    <row r="666" spans="1:38">
      <c r="A666" t="s">
        <v>2125</v>
      </c>
      <c r="B666" t="s">
        <v>2126</v>
      </c>
      <c r="C666" s="1">
        <f t="shared" si="113"/>
        <v>45597</v>
      </c>
      <c r="D666" t="s">
        <v>2127</v>
      </c>
      <c r="E666">
        <v>683.4</v>
      </c>
      <c r="F666">
        <v>28.5</v>
      </c>
      <c r="G666" t="s">
        <v>30</v>
      </c>
      <c r="H666" t="s">
        <v>159</v>
      </c>
      <c r="I666" t="s">
        <v>32</v>
      </c>
      <c r="J666">
        <v>240</v>
      </c>
      <c r="K666" t="s">
        <v>33</v>
      </c>
      <c r="L666" t="s">
        <v>113</v>
      </c>
      <c r="M666" t="s">
        <v>35</v>
      </c>
      <c r="N666" t="s">
        <v>506</v>
      </c>
      <c r="O666" t="s">
        <v>7232</v>
      </c>
      <c r="P666" t="s">
        <v>39</v>
      </c>
      <c r="Q666" t="s">
        <v>38</v>
      </c>
      <c r="R666">
        <v>0</v>
      </c>
      <c r="S666" t="s">
        <v>38</v>
      </c>
      <c r="T666">
        <v>9</v>
      </c>
      <c r="U666">
        <v>0.1</v>
      </c>
      <c r="V666">
        <v>7.5</v>
      </c>
      <c r="W666" t="s">
        <v>39</v>
      </c>
      <c r="X666" t="s">
        <v>63</v>
      </c>
      <c r="Y666" t="s">
        <v>39</v>
      </c>
      <c r="Z666" t="s">
        <v>81</v>
      </c>
      <c r="AA666" t="s">
        <v>54</v>
      </c>
      <c r="AB666" t="s">
        <v>55</v>
      </c>
      <c r="AC666">
        <f t="shared" si="110"/>
        <v>0</v>
      </c>
      <c r="AD666" s="12">
        <f t="shared" si="114"/>
        <v>1</v>
      </c>
      <c r="AE666" s="12">
        <f t="shared" si="115"/>
        <v>0</v>
      </c>
      <c r="AF666">
        <f t="shared" si="111"/>
        <v>0</v>
      </c>
      <c r="AG666">
        <f t="shared" si="116"/>
        <v>1</v>
      </c>
      <c r="AH666">
        <f t="shared" si="117"/>
        <v>0</v>
      </c>
      <c r="AI666">
        <f t="shared" si="118"/>
        <v>0</v>
      </c>
      <c r="AJ666">
        <f t="shared" si="119"/>
        <v>1</v>
      </c>
      <c r="AK666">
        <f t="shared" si="112"/>
        <v>1</v>
      </c>
      <c r="AL666">
        <f t="shared" si="120"/>
        <v>0</v>
      </c>
    </row>
    <row r="667" spans="1:38">
      <c r="A667" t="s">
        <v>2128</v>
      </c>
      <c r="B667" t="s">
        <v>2129</v>
      </c>
      <c r="C667" s="1">
        <f t="shared" si="113"/>
        <v>45597</v>
      </c>
      <c r="D667" t="s">
        <v>2130</v>
      </c>
      <c r="E667">
        <v>167</v>
      </c>
      <c r="F667">
        <v>7</v>
      </c>
      <c r="G667" t="s">
        <v>101</v>
      </c>
      <c r="H667" t="s">
        <v>295</v>
      </c>
      <c r="I667" t="s">
        <v>32</v>
      </c>
      <c r="J667">
        <v>240</v>
      </c>
      <c r="K667" t="s">
        <v>49</v>
      </c>
      <c r="L667" t="s">
        <v>113</v>
      </c>
      <c r="M667" t="s">
        <v>35</v>
      </c>
      <c r="N667" t="s">
        <v>299</v>
      </c>
      <c r="O667" t="s">
        <v>51</v>
      </c>
      <c r="P667" t="s">
        <v>39</v>
      </c>
      <c r="Q667" t="s">
        <v>38</v>
      </c>
      <c r="R667">
        <v>0</v>
      </c>
      <c r="S667" t="s">
        <v>38</v>
      </c>
      <c r="T667">
        <v>10</v>
      </c>
      <c r="U667">
        <v>2.8</v>
      </c>
      <c r="V667">
        <v>27.5</v>
      </c>
      <c r="W667" t="s">
        <v>39</v>
      </c>
      <c r="X667" t="s">
        <v>52</v>
      </c>
      <c r="Y667" t="s">
        <v>38</v>
      </c>
      <c r="Z667" t="s">
        <v>115</v>
      </c>
      <c r="AA667" t="s">
        <v>42</v>
      </c>
      <c r="AB667" t="s">
        <v>83</v>
      </c>
      <c r="AC667">
        <f t="shared" si="110"/>
        <v>1</v>
      </c>
      <c r="AD667" s="12">
        <f t="shared" si="114"/>
        <v>0</v>
      </c>
      <c r="AE667" s="12">
        <f t="shared" si="115"/>
        <v>0</v>
      </c>
      <c r="AF667">
        <f t="shared" si="111"/>
        <v>1</v>
      </c>
      <c r="AG667">
        <f t="shared" si="116"/>
        <v>0</v>
      </c>
      <c r="AH667">
        <f t="shared" si="117"/>
        <v>0</v>
      </c>
      <c r="AI667">
        <f t="shared" si="118"/>
        <v>0</v>
      </c>
      <c r="AJ667">
        <f t="shared" si="119"/>
        <v>1</v>
      </c>
      <c r="AK667">
        <f t="shared" si="112"/>
        <v>0</v>
      </c>
      <c r="AL667">
        <f t="shared" si="120"/>
        <v>1</v>
      </c>
    </row>
    <row r="668" spans="1:38">
      <c r="A668" t="s">
        <v>2131</v>
      </c>
      <c r="B668" t="s">
        <v>2132</v>
      </c>
      <c r="C668" s="1">
        <f t="shared" si="113"/>
        <v>45323</v>
      </c>
      <c r="D668" t="s">
        <v>2133</v>
      </c>
      <c r="E668">
        <v>196.9</v>
      </c>
      <c r="F668">
        <v>8.1999999999999993</v>
      </c>
      <c r="G668" t="s">
        <v>87</v>
      </c>
      <c r="H668" t="s">
        <v>309</v>
      </c>
      <c r="I668" t="s">
        <v>32</v>
      </c>
      <c r="J668">
        <v>240</v>
      </c>
      <c r="K668" t="s">
        <v>49</v>
      </c>
      <c r="L668" t="s">
        <v>70</v>
      </c>
      <c r="M668" t="s">
        <v>71</v>
      </c>
      <c r="N668" t="s">
        <v>134</v>
      </c>
      <c r="O668" t="s">
        <v>37</v>
      </c>
      <c r="P668" t="s">
        <v>38</v>
      </c>
      <c r="Q668" t="s">
        <v>39</v>
      </c>
      <c r="R668">
        <v>3</v>
      </c>
      <c r="S668" t="s">
        <v>38</v>
      </c>
      <c r="T668">
        <v>9</v>
      </c>
      <c r="U668">
        <v>2.7</v>
      </c>
      <c r="V668">
        <v>29.5</v>
      </c>
      <c r="W668" t="s">
        <v>39</v>
      </c>
      <c r="X668" t="s">
        <v>63</v>
      </c>
      <c r="Y668" t="s">
        <v>39</v>
      </c>
      <c r="Z668" t="s">
        <v>108</v>
      </c>
      <c r="AA668" t="s">
        <v>54</v>
      </c>
      <c r="AB668" t="s">
        <v>83</v>
      </c>
      <c r="AC668">
        <f t="shared" si="110"/>
        <v>0</v>
      </c>
      <c r="AD668" s="12">
        <f t="shared" si="114"/>
        <v>1</v>
      </c>
      <c r="AE668" s="12">
        <f t="shared" si="115"/>
        <v>0</v>
      </c>
      <c r="AF668">
        <f t="shared" si="111"/>
        <v>0</v>
      </c>
      <c r="AG668">
        <f t="shared" si="116"/>
        <v>0</v>
      </c>
      <c r="AH668">
        <f t="shared" si="117"/>
        <v>0</v>
      </c>
      <c r="AI668">
        <f t="shared" si="118"/>
        <v>0</v>
      </c>
      <c r="AJ668">
        <f t="shared" si="119"/>
        <v>1</v>
      </c>
      <c r="AK668">
        <f t="shared" si="112"/>
        <v>0</v>
      </c>
      <c r="AL668">
        <f t="shared" si="120"/>
        <v>0</v>
      </c>
    </row>
    <row r="669" spans="1:38">
      <c r="A669" t="s">
        <v>2134</v>
      </c>
      <c r="B669" t="s">
        <v>2135</v>
      </c>
      <c r="C669" s="1">
        <f t="shared" si="113"/>
        <v>45597</v>
      </c>
      <c r="D669" t="s">
        <v>2136</v>
      </c>
      <c r="E669">
        <v>108.1</v>
      </c>
      <c r="F669">
        <v>4.5</v>
      </c>
      <c r="G669" t="s">
        <v>87</v>
      </c>
      <c r="H669" t="s">
        <v>151</v>
      </c>
      <c r="I669" t="s">
        <v>48</v>
      </c>
      <c r="J669">
        <v>120</v>
      </c>
      <c r="K669" t="s">
        <v>49</v>
      </c>
      <c r="L669" t="s">
        <v>96</v>
      </c>
      <c r="M669" t="s">
        <v>71</v>
      </c>
      <c r="N669" t="s">
        <v>72</v>
      </c>
      <c r="O669" t="s">
        <v>51</v>
      </c>
      <c r="P669" t="s">
        <v>38</v>
      </c>
      <c r="Q669" t="s">
        <v>39</v>
      </c>
      <c r="R669">
        <v>3</v>
      </c>
      <c r="S669" t="s">
        <v>38</v>
      </c>
      <c r="T669">
        <v>9</v>
      </c>
      <c r="U669">
        <v>2.5</v>
      </c>
      <c r="V669">
        <v>14.7</v>
      </c>
      <c r="W669" t="s">
        <v>39</v>
      </c>
      <c r="X669" t="s">
        <v>52</v>
      </c>
      <c r="Y669" t="s">
        <v>38</v>
      </c>
      <c r="Z669" t="s">
        <v>64</v>
      </c>
      <c r="AA669" t="s">
        <v>103</v>
      </c>
      <c r="AB669" t="s">
        <v>55</v>
      </c>
      <c r="AC669">
        <f t="shared" si="110"/>
        <v>1</v>
      </c>
      <c r="AD669" s="12">
        <f t="shared" si="114"/>
        <v>0</v>
      </c>
      <c r="AE669" s="12">
        <f t="shared" si="115"/>
        <v>0</v>
      </c>
      <c r="AF669">
        <f t="shared" si="111"/>
        <v>1</v>
      </c>
      <c r="AG669">
        <f t="shared" si="116"/>
        <v>0</v>
      </c>
      <c r="AH669">
        <f t="shared" si="117"/>
        <v>1</v>
      </c>
      <c r="AI669">
        <f t="shared" si="118"/>
        <v>0</v>
      </c>
      <c r="AJ669">
        <f t="shared" si="119"/>
        <v>0</v>
      </c>
      <c r="AK669">
        <f t="shared" si="112"/>
        <v>0</v>
      </c>
      <c r="AL669">
        <f t="shared" si="120"/>
        <v>1</v>
      </c>
    </row>
    <row r="670" spans="1:38">
      <c r="A670" t="s">
        <v>2137</v>
      </c>
      <c r="B670" t="s">
        <v>2138</v>
      </c>
      <c r="C670" s="1">
        <f t="shared" si="113"/>
        <v>45597</v>
      </c>
      <c r="D670" t="s">
        <v>2139</v>
      </c>
      <c r="E670">
        <v>319.89999999999998</v>
      </c>
      <c r="F670">
        <v>13.3</v>
      </c>
      <c r="G670" t="s">
        <v>59</v>
      </c>
      <c r="H670" t="s">
        <v>60</v>
      </c>
      <c r="I670" t="s">
        <v>48</v>
      </c>
      <c r="J670">
        <v>120</v>
      </c>
      <c r="K670" t="s">
        <v>33</v>
      </c>
      <c r="L670" t="s">
        <v>34</v>
      </c>
      <c r="M670" t="s">
        <v>71</v>
      </c>
      <c r="N670" t="s">
        <v>107</v>
      </c>
      <c r="O670" t="s">
        <v>7232</v>
      </c>
      <c r="P670" t="s">
        <v>38</v>
      </c>
      <c r="Q670" t="s">
        <v>39</v>
      </c>
      <c r="R670">
        <v>1</v>
      </c>
      <c r="S670" t="s">
        <v>38</v>
      </c>
      <c r="T670">
        <v>4</v>
      </c>
      <c r="U670">
        <v>3.1</v>
      </c>
      <c r="V670">
        <v>16.3</v>
      </c>
      <c r="W670" t="s">
        <v>39</v>
      </c>
      <c r="X670" t="s">
        <v>52</v>
      </c>
      <c r="Y670" t="s">
        <v>38</v>
      </c>
      <c r="Z670" t="s">
        <v>53</v>
      </c>
      <c r="AA670" t="s">
        <v>82</v>
      </c>
      <c r="AB670" t="s">
        <v>55</v>
      </c>
      <c r="AC670">
        <f t="shared" si="110"/>
        <v>1</v>
      </c>
      <c r="AD670" s="12">
        <f t="shared" si="114"/>
        <v>0</v>
      </c>
      <c r="AE670" s="12">
        <f t="shared" si="115"/>
        <v>0</v>
      </c>
      <c r="AF670">
        <f t="shared" si="111"/>
        <v>0</v>
      </c>
      <c r="AG670">
        <f t="shared" si="116"/>
        <v>1</v>
      </c>
      <c r="AH670">
        <f t="shared" si="117"/>
        <v>1</v>
      </c>
      <c r="AI670">
        <f t="shared" si="118"/>
        <v>0</v>
      </c>
      <c r="AJ670">
        <f t="shared" si="119"/>
        <v>0</v>
      </c>
      <c r="AK670">
        <f t="shared" si="112"/>
        <v>0</v>
      </c>
      <c r="AL670">
        <f t="shared" si="120"/>
        <v>1</v>
      </c>
    </row>
    <row r="671" spans="1:38">
      <c r="A671" t="s">
        <v>2140</v>
      </c>
      <c r="B671" t="s">
        <v>2141</v>
      </c>
      <c r="C671" s="1">
        <f t="shared" si="113"/>
        <v>45444</v>
      </c>
      <c r="D671" t="s">
        <v>2142</v>
      </c>
      <c r="E671">
        <v>110</v>
      </c>
      <c r="F671">
        <v>4.5999999999999996</v>
      </c>
      <c r="G671" t="s">
        <v>101</v>
      </c>
      <c r="H671" t="s">
        <v>368</v>
      </c>
      <c r="I671" t="s">
        <v>48</v>
      </c>
      <c r="J671">
        <v>120</v>
      </c>
      <c r="K671" t="s">
        <v>49</v>
      </c>
      <c r="L671" t="s">
        <v>34</v>
      </c>
      <c r="M671" t="s">
        <v>35</v>
      </c>
      <c r="N671" t="s">
        <v>36</v>
      </c>
      <c r="O671" t="s">
        <v>37</v>
      </c>
      <c r="P671" t="s">
        <v>39</v>
      </c>
      <c r="Q671" t="s">
        <v>38</v>
      </c>
      <c r="R671">
        <v>0</v>
      </c>
      <c r="S671" t="s">
        <v>38</v>
      </c>
      <c r="T671">
        <v>10</v>
      </c>
      <c r="U671">
        <v>3.2</v>
      </c>
      <c r="V671">
        <v>25.3</v>
      </c>
      <c r="W671" t="s">
        <v>39</v>
      </c>
      <c r="X671" t="s">
        <v>123</v>
      </c>
      <c r="Y671" t="s">
        <v>39</v>
      </c>
      <c r="Z671" t="s">
        <v>41</v>
      </c>
      <c r="AA671" t="s">
        <v>82</v>
      </c>
      <c r="AB671" t="s">
        <v>55</v>
      </c>
      <c r="AC671">
        <f t="shared" si="110"/>
        <v>0</v>
      </c>
      <c r="AD671" s="12">
        <f t="shared" si="114"/>
        <v>0</v>
      </c>
      <c r="AE671" s="12">
        <f t="shared" si="115"/>
        <v>1</v>
      </c>
      <c r="AF671">
        <f t="shared" si="111"/>
        <v>0</v>
      </c>
      <c r="AG671">
        <f t="shared" si="116"/>
        <v>0</v>
      </c>
      <c r="AH671">
        <f t="shared" si="117"/>
        <v>1</v>
      </c>
      <c r="AI671">
        <f t="shared" si="118"/>
        <v>0</v>
      </c>
      <c r="AJ671">
        <f t="shared" si="119"/>
        <v>0</v>
      </c>
      <c r="AK671">
        <f t="shared" si="112"/>
        <v>0</v>
      </c>
      <c r="AL671">
        <f t="shared" si="120"/>
        <v>0</v>
      </c>
    </row>
    <row r="672" spans="1:38">
      <c r="A672" t="s">
        <v>2143</v>
      </c>
      <c r="B672" t="s">
        <v>2144</v>
      </c>
      <c r="C672" s="1">
        <f t="shared" si="113"/>
        <v>45444</v>
      </c>
      <c r="D672" t="s">
        <v>2145</v>
      </c>
      <c r="E672">
        <v>260.7</v>
      </c>
      <c r="F672">
        <v>10.9</v>
      </c>
      <c r="G672" t="s">
        <v>30</v>
      </c>
      <c r="H672" t="s">
        <v>172</v>
      </c>
      <c r="I672" t="s">
        <v>79</v>
      </c>
      <c r="J672">
        <v>360</v>
      </c>
      <c r="K672" t="s">
        <v>49</v>
      </c>
      <c r="L672" t="s">
        <v>96</v>
      </c>
      <c r="M672" t="s">
        <v>35</v>
      </c>
      <c r="N672" t="s">
        <v>89</v>
      </c>
      <c r="O672" t="s">
        <v>51</v>
      </c>
      <c r="P672" t="s">
        <v>38</v>
      </c>
      <c r="Q672" t="s">
        <v>38</v>
      </c>
      <c r="R672">
        <v>1</v>
      </c>
      <c r="S672" t="s">
        <v>38</v>
      </c>
      <c r="T672">
        <v>8</v>
      </c>
      <c r="U672">
        <v>0.2</v>
      </c>
      <c r="V672">
        <v>43.7</v>
      </c>
      <c r="W672" t="s">
        <v>39</v>
      </c>
      <c r="X672" t="s">
        <v>40</v>
      </c>
      <c r="Y672" t="s">
        <v>39</v>
      </c>
      <c r="Z672" t="s">
        <v>73</v>
      </c>
      <c r="AA672" t="s">
        <v>82</v>
      </c>
      <c r="AB672" t="s">
        <v>83</v>
      </c>
      <c r="AC672">
        <f t="shared" si="110"/>
        <v>0</v>
      </c>
      <c r="AD672" s="12">
        <f t="shared" si="114"/>
        <v>0</v>
      </c>
      <c r="AE672" s="12">
        <f t="shared" si="115"/>
        <v>0</v>
      </c>
      <c r="AF672">
        <f t="shared" si="111"/>
        <v>1</v>
      </c>
      <c r="AG672">
        <f t="shared" si="116"/>
        <v>0</v>
      </c>
      <c r="AH672">
        <f t="shared" si="117"/>
        <v>0</v>
      </c>
      <c r="AI672">
        <f t="shared" si="118"/>
        <v>0</v>
      </c>
      <c r="AJ672">
        <f t="shared" si="119"/>
        <v>0</v>
      </c>
      <c r="AK672">
        <f t="shared" si="112"/>
        <v>1</v>
      </c>
      <c r="AL672">
        <f t="shared" si="120"/>
        <v>0</v>
      </c>
    </row>
    <row r="673" spans="1:38">
      <c r="A673" t="s">
        <v>2146</v>
      </c>
      <c r="B673" t="s">
        <v>2147</v>
      </c>
      <c r="C673" s="1">
        <f t="shared" si="113"/>
        <v>45474</v>
      </c>
      <c r="D673" t="s">
        <v>2148</v>
      </c>
      <c r="E673">
        <v>384</v>
      </c>
      <c r="F673">
        <v>16</v>
      </c>
      <c r="G673" t="s">
        <v>59</v>
      </c>
      <c r="H673" t="s">
        <v>127</v>
      </c>
      <c r="I673" t="s">
        <v>32</v>
      </c>
      <c r="J673">
        <v>240</v>
      </c>
      <c r="K673" t="s">
        <v>33</v>
      </c>
      <c r="L673" t="s">
        <v>70</v>
      </c>
      <c r="M673" t="s">
        <v>71</v>
      </c>
      <c r="N673" t="s">
        <v>107</v>
      </c>
      <c r="O673" t="s">
        <v>7232</v>
      </c>
      <c r="P673" t="s">
        <v>38</v>
      </c>
      <c r="Q673" t="s">
        <v>39</v>
      </c>
      <c r="R673">
        <v>4</v>
      </c>
      <c r="S673" t="s">
        <v>38</v>
      </c>
      <c r="T673">
        <v>3</v>
      </c>
      <c r="U673">
        <v>0.2</v>
      </c>
      <c r="V673">
        <v>17.600000000000001</v>
      </c>
      <c r="W673" t="s">
        <v>39</v>
      </c>
      <c r="X673" t="s">
        <v>63</v>
      </c>
      <c r="Y673" t="s">
        <v>38</v>
      </c>
      <c r="Z673" t="s">
        <v>64</v>
      </c>
      <c r="AA673" t="s">
        <v>82</v>
      </c>
      <c r="AB673" t="s">
        <v>43</v>
      </c>
      <c r="AC673">
        <f t="shared" si="110"/>
        <v>0</v>
      </c>
      <c r="AD673" s="12">
        <f t="shared" si="114"/>
        <v>1</v>
      </c>
      <c r="AE673" s="12">
        <f t="shared" si="115"/>
        <v>0</v>
      </c>
      <c r="AF673">
        <f t="shared" si="111"/>
        <v>0</v>
      </c>
      <c r="AG673">
        <f t="shared" si="116"/>
        <v>1</v>
      </c>
      <c r="AH673">
        <f t="shared" si="117"/>
        <v>0</v>
      </c>
      <c r="AI673">
        <f t="shared" si="118"/>
        <v>0</v>
      </c>
      <c r="AJ673">
        <f t="shared" si="119"/>
        <v>1</v>
      </c>
      <c r="AK673">
        <f t="shared" si="112"/>
        <v>0</v>
      </c>
      <c r="AL673">
        <f t="shared" si="120"/>
        <v>1</v>
      </c>
    </row>
    <row r="674" spans="1:38">
      <c r="A674" t="s">
        <v>2149</v>
      </c>
      <c r="B674" t="s">
        <v>2150</v>
      </c>
      <c r="C674" s="1">
        <f t="shared" si="113"/>
        <v>45323</v>
      </c>
      <c r="D674" t="s">
        <v>2151</v>
      </c>
      <c r="E674">
        <v>316.60000000000002</v>
      </c>
      <c r="F674">
        <v>13.2</v>
      </c>
      <c r="G674" t="s">
        <v>30</v>
      </c>
      <c r="H674" t="s">
        <v>172</v>
      </c>
      <c r="I674" t="s">
        <v>32</v>
      </c>
      <c r="J674">
        <v>240</v>
      </c>
      <c r="K674" t="s">
        <v>33</v>
      </c>
      <c r="L674" t="s">
        <v>34</v>
      </c>
      <c r="M674" t="s">
        <v>35</v>
      </c>
      <c r="N674" t="s">
        <v>36</v>
      </c>
      <c r="O674" t="s">
        <v>7232</v>
      </c>
      <c r="P674" t="s">
        <v>38</v>
      </c>
      <c r="Q674" t="s">
        <v>38</v>
      </c>
      <c r="R674">
        <v>1</v>
      </c>
      <c r="S674" t="s">
        <v>38</v>
      </c>
      <c r="T674">
        <v>1</v>
      </c>
      <c r="U674">
        <v>1.5</v>
      </c>
      <c r="V674">
        <v>30.7</v>
      </c>
      <c r="W674" t="s">
        <v>39</v>
      </c>
      <c r="X674" t="s">
        <v>63</v>
      </c>
      <c r="Y674" t="s">
        <v>39</v>
      </c>
      <c r="Z674" t="s">
        <v>41</v>
      </c>
      <c r="AA674" t="s">
        <v>42</v>
      </c>
      <c r="AB674" t="s">
        <v>83</v>
      </c>
      <c r="AC674">
        <f t="shared" si="110"/>
        <v>0</v>
      </c>
      <c r="AD674" s="12">
        <f t="shared" si="114"/>
        <v>1</v>
      </c>
      <c r="AE674" s="12">
        <f t="shared" si="115"/>
        <v>0</v>
      </c>
      <c r="AF674">
        <f t="shared" si="111"/>
        <v>0</v>
      </c>
      <c r="AG674">
        <f t="shared" si="116"/>
        <v>1</v>
      </c>
      <c r="AH674">
        <f t="shared" si="117"/>
        <v>0</v>
      </c>
      <c r="AI674">
        <f t="shared" si="118"/>
        <v>0</v>
      </c>
      <c r="AJ674">
        <f t="shared" si="119"/>
        <v>1</v>
      </c>
      <c r="AK674">
        <f t="shared" si="112"/>
        <v>1</v>
      </c>
      <c r="AL674">
        <f t="shared" si="120"/>
        <v>0</v>
      </c>
    </row>
    <row r="675" spans="1:38">
      <c r="A675" t="s">
        <v>2152</v>
      </c>
      <c r="B675" t="s">
        <v>2153</v>
      </c>
      <c r="C675" s="1">
        <f t="shared" si="113"/>
        <v>45413</v>
      </c>
      <c r="D675" t="s">
        <v>2154</v>
      </c>
      <c r="E675">
        <v>328.8</v>
      </c>
      <c r="F675">
        <v>13.7</v>
      </c>
      <c r="G675" t="s">
        <v>93</v>
      </c>
      <c r="H675" t="s">
        <v>291</v>
      </c>
      <c r="I675" t="s">
        <v>79</v>
      </c>
      <c r="J675">
        <v>360</v>
      </c>
      <c r="K675" t="s">
        <v>49</v>
      </c>
      <c r="L675" t="s">
        <v>96</v>
      </c>
      <c r="M675" t="s">
        <v>35</v>
      </c>
      <c r="N675" t="s">
        <v>89</v>
      </c>
      <c r="O675" t="s">
        <v>7232</v>
      </c>
      <c r="P675" t="s">
        <v>38</v>
      </c>
      <c r="Q675" t="s">
        <v>38</v>
      </c>
      <c r="R675">
        <v>1</v>
      </c>
      <c r="S675" t="s">
        <v>38</v>
      </c>
      <c r="T675">
        <v>9</v>
      </c>
      <c r="U675">
        <v>3.7</v>
      </c>
      <c r="V675">
        <v>10.3</v>
      </c>
      <c r="W675" t="s">
        <v>38</v>
      </c>
      <c r="X675" t="s">
        <v>52</v>
      </c>
      <c r="Y675" t="s">
        <v>39</v>
      </c>
      <c r="Z675" t="s">
        <v>81</v>
      </c>
      <c r="AA675" t="s">
        <v>82</v>
      </c>
      <c r="AB675" t="s">
        <v>43</v>
      </c>
      <c r="AC675">
        <f t="shared" si="110"/>
        <v>1</v>
      </c>
      <c r="AD675" s="12">
        <f t="shared" si="114"/>
        <v>0</v>
      </c>
      <c r="AE675" s="12">
        <f t="shared" si="115"/>
        <v>0</v>
      </c>
      <c r="AF675">
        <f t="shared" si="111"/>
        <v>0</v>
      </c>
      <c r="AG675">
        <f t="shared" si="116"/>
        <v>1</v>
      </c>
      <c r="AH675">
        <f t="shared" si="117"/>
        <v>0</v>
      </c>
      <c r="AI675">
        <f t="shared" si="118"/>
        <v>0</v>
      </c>
      <c r="AJ675">
        <f t="shared" si="119"/>
        <v>0</v>
      </c>
      <c r="AK675">
        <f t="shared" si="112"/>
        <v>0</v>
      </c>
      <c r="AL675">
        <f t="shared" si="120"/>
        <v>0</v>
      </c>
    </row>
    <row r="676" spans="1:38">
      <c r="A676" t="s">
        <v>2155</v>
      </c>
      <c r="B676" t="s">
        <v>2156</v>
      </c>
      <c r="C676" s="1">
        <f t="shared" si="113"/>
        <v>45383</v>
      </c>
      <c r="D676" t="s">
        <v>2157</v>
      </c>
      <c r="E676">
        <v>206.2</v>
      </c>
      <c r="F676">
        <v>8.6</v>
      </c>
      <c r="G676" t="s">
        <v>87</v>
      </c>
      <c r="H676" t="s">
        <v>151</v>
      </c>
      <c r="I676" t="s">
        <v>32</v>
      </c>
      <c r="J676">
        <v>240</v>
      </c>
      <c r="K676" t="s">
        <v>49</v>
      </c>
      <c r="L676" t="s">
        <v>70</v>
      </c>
      <c r="M676" t="s">
        <v>71</v>
      </c>
      <c r="N676" t="s">
        <v>138</v>
      </c>
      <c r="O676" t="s">
        <v>7232</v>
      </c>
      <c r="P676" t="s">
        <v>38</v>
      </c>
      <c r="Q676" t="s">
        <v>39</v>
      </c>
      <c r="R676">
        <v>2</v>
      </c>
      <c r="S676" t="s">
        <v>38</v>
      </c>
      <c r="T676">
        <v>8</v>
      </c>
      <c r="U676">
        <v>5</v>
      </c>
      <c r="V676">
        <v>5.5</v>
      </c>
      <c r="W676" t="s">
        <v>39</v>
      </c>
      <c r="X676" t="s">
        <v>52</v>
      </c>
      <c r="Y676" t="s">
        <v>39</v>
      </c>
      <c r="Z676" t="s">
        <v>41</v>
      </c>
      <c r="AA676" t="s">
        <v>103</v>
      </c>
      <c r="AB676" t="s">
        <v>83</v>
      </c>
      <c r="AC676">
        <f t="shared" si="110"/>
        <v>1</v>
      </c>
      <c r="AD676" s="12">
        <f t="shared" si="114"/>
        <v>0</v>
      </c>
      <c r="AE676" s="12">
        <f t="shared" si="115"/>
        <v>0</v>
      </c>
      <c r="AF676">
        <f t="shared" si="111"/>
        <v>0</v>
      </c>
      <c r="AG676">
        <f t="shared" si="116"/>
        <v>1</v>
      </c>
      <c r="AH676">
        <f t="shared" si="117"/>
        <v>0</v>
      </c>
      <c r="AI676">
        <f t="shared" si="118"/>
        <v>0</v>
      </c>
      <c r="AJ676">
        <f t="shared" si="119"/>
        <v>1</v>
      </c>
      <c r="AK676">
        <f t="shared" si="112"/>
        <v>0</v>
      </c>
      <c r="AL676">
        <f t="shared" si="120"/>
        <v>0</v>
      </c>
    </row>
    <row r="677" spans="1:38">
      <c r="A677" t="s">
        <v>2158</v>
      </c>
      <c r="B677" t="s">
        <v>2159</v>
      </c>
      <c r="C677" s="1">
        <f t="shared" si="113"/>
        <v>45474</v>
      </c>
      <c r="D677" t="s">
        <v>2160</v>
      </c>
      <c r="E677">
        <v>239</v>
      </c>
      <c r="F677">
        <v>10</v>
      </c>
      <c r="G677" t="s">
        <v>93</v>
      </c>
      <c r="H677" t="s">
        <v>449</v>
      </c>
      <c r="I677" t="s">
        <v>79</v>
      </c>
      <c r="J677">
        <v>360</v>
      </c>
      <c r="K677" t="s">
        <v>49</v>
      </c>
      <c r="L677" t="s">
        <v>34</v>
      </c>
      <c r="M677" t="s">
        <v>35</v>
      </c>
      <c r="N677" t="s">
        <v>107</v>
      </c>
      <c r="O677" t="s">
        <v>7232</v>
      </c>
      <c r="P677" t="s">
        <v>38</v>
      </c>
      <c r="Q677" t="s">
        <v>38</v>
      </c>
      <c r="R677">
        <v>1</v>
      </c>
      <c r="S677" t="s">
        <v>38</v>
      </c>
      <c r="T677">
        <v>7</v>
      </c>
      <c r="U677">
        <v>3.4</v>
      </c>
      <c r="V677">
        <v>27.3</v>
      </c>
      <c r="W677" t="s">
        <v>39</v>
      </c>
      <c r="X677" t="s">
        <v>63</v>
      </c>
      <c r="Y677" t="s">
        <v>38</v>
      </c>
      <c r="Z677" t="s">
        <v>81</v>
      </c>
      <c r="AA677" t="s">
        <v>103</v>
      </c>
      <c r="AB677" t="s">
        <v>83</v>
      </c>
      <c r="AC677">
        <f t="shared" si="110"/>
        <v>0</v>
      </c>
      <c r="AD677" s="12">
        <f t="shared" si="114"/>
        <v>1</v>
      </c>
      <c r="AE677" s="12">
        <f t="shared" si="115"/>
        <v>0</v>
      </c>
      <c r="AF677">
        <f t="shared" si="111"/>
        <v>0</v>
      </c>
      <c r="AG677">
        <f t="shared" si="116"/>
        <v>1</v>
      </c>
      <c r="AH677">
        <f t="shared" si="117"/>
        <v>0</v>
      </c>
      <c r="AI677">
        <f t="shared" si="118"/>
        <v>0</v>
      </c>
      <c r="AJ677">
        <f t="shared" si="119"/>
        <v>0</v>
      </c>
      <c r="AK677">
        <f t="shared" si="112"/>
        <v>0</v>
      </c>
      <c r="AL677">
        <f t="shared" si="120"/>
        <v>1</v>
      </c>
    </row>
    <row r="678" spans="1:38">
      <c r="A678" t="s">
        <v>2161</v>
      </c>
      <c r="B678" t="s">
        <v>2162</v>
      </c>
      <c r="C678" s="1">
        <f t="shared" si="113"/>
        <v>45352</v>
      </c>
      <c r="D678" t="s">
        <v>2163</v>
      </c>
      <c r="E678">
        <v>254.5</v>
      </c>
      <c r="F678">
        <v>10.6</v>
      </c>
      <c r="G678" t="s">
        <v>30</v>
      </c>
      <c r="H678" t="s">
        <v>159</v>
      </c>
      <c r="I678" t="s">
        <v>79</v>
      </c>
      <c r="J678">
        <v>360</v>
      </c>
      <c r="K678" t="s">
        <v>49</v>
      </c>
      <c r="L678" t="s">
        <v>34</v>
      </c>
      <c r="M678" t="s">
        <v>35</v>
      </c>
      <c r="N678" t="s">
        <v>414</v>
      </c>
      <c r="O678" t="s">
        <v>7232</v>
      </c>
      <c r="P678" t="s">
        <v>39</v>
      </c>
      <c r="Q678" t="s">
        <v>38</v>
      </c>
      <c r="R678">
        <v>0</v>
      </c>
      <c r="S678" t="s">
        <v>38</v>
      </c>
      <c r="T678">
        <v>8</v>
      </c>
      <c r="U678">
        <v>3.2</v>
      </c>
      <c r="V678">
        <v>22.1</v>
      </c>
      <c r="W678" t="s">
        <v>39</v>
      </c>
      <c r="X678" t="s">
        <v>52</v>
      </c>
      <c r="Y678" t="s">
        <v>38</v>
      </c>
      <c r="Z678" t="s">
        <v>115</v>
      </c>
      <c r="AA678" t="s">
        <v>42</v>
      </c>
      <c r="AB678" t="s">
        <v>43</v>
      </c>
      <c r="AC678">
        <f t="shared" si="110"/>
        <v>1</v>
      </c>
      <c r="AD678" s="12">
        <f t="shared" si="114"/>
        <v>0</v>
      </c>
      <c r="AE678" s="12">
        <f t="shared" si="115"/>
        <v>0</v>
      </c>
      <c r="AF678">
        <f t="shared" si="111"/>
        <v>0</v>
      </c>
      <c r="AG678">
        <f t="shared" si="116"/>
        <v>1</v>
      </c>
      <c r="AH678">
        <f t="shared" si="117"/>
        <v>0</v>
      </c>
      <c r="AI678">
        <f t="shared" si="118"/>
        <v>0</v>
      </c>
      <c r="AJ678">
        <f t="shared" si="119"/>
        <v>0</v>
      </c>
      <c r="AK678">
        <f t="shared" si="112"/>
        <v>1</v>
      </c>
      <c r="AL678">
        <f t="shared" si="120"/>
        <v>1</v>
      </c>
    </row>
    <row r="679" spans="1:38">
      <c r="A679" t="s">
        <v>2164</v>
      </c>
      <c r="B679" t="s">
        <v>2165</v>
      </c>
      <c r="C679" s="1">
        <f t="shared" si="113"/>
        <v>45383</v>
      </c>
      <c r="D679" t="s">
        <v>2166</v>
      </c>
      <c r="E679">
        <v>170.6</v>
      </c>
      <c r="F679">
        <v>7.1</v>
      </c>
      <c r="G679" t="s">
        <v>101</v>
      </c>
      <c r="H679" t="s">
        <v>295</v>
      </c>
      <c r="I679" t="s">
        <v>48</v>
      </c>
      <c r="J679">
        <v>120</v>
      </c>
      <c r="K679" t="s">
        <v>33</v>
      </c>
      <c r="L679" t="s">
        <v>96</v>
      </c>
      <c r="M679" t="s">
        <v>35</v>
      </c>
      <c r="N679" t="s">
        <v>72</v>
      </c>
      <c r="O679" t="s">
        <v>51</v>
      </c>
      <c r="P679" t="s">
        <v>39</v>
      </c>
      <c r="Q679" t="s">
        <v>38</v>
      </c>
      <c r="R679">
        <v>0</v>
      </c>
      <c r="S679" t="s">
        <v>38</v>
      </c>
      <c r="T679">
        <v>9</v>
      </c>
      <c r="U679">
        <v>2.2999999999999998</v>
      </c>
      <c r="V679">
        <v>36.200000000000003</v>
      </c>
      <c r="W679" t="s">
        <v>39</v>
      </c>
      <c r="X679" t="s">
        <v>63</v>
      </c>
      <c r="Y679" t="s">
        <v>38</v>
      </c>
      <c r="Z679" t="s">
        <v>108</v>
      </c>
      <c r="AA679" t="s">
        <v>109</v>
      </c>
      <c r="AB679" t="s">
        <v>83</v>
      </c>
      <c r="AC679">
        <f t="shared" si="110"/>
        <v>0</v>
      </c>
      <c r="AD679" s="12">
        <f t="shared" si="114"/>
        <v>1</v>
      </c>
      <c r="AE679" s="12">
        <f t="shared" si="115"/>
        <v>0</v>
      </c>
      <c r="AF679">
        <f t="shared" si="111"/>
        <v>1</v>
      </c>
      <c r="AG679">
        <f t="shared" si="116"/>
        <v>0</v>
      </c>
      <c r="AH679">
        <f t="shared" si="117"/>
        <v>1</v>
      </c>
      <c r="AI679">
        <f t="shared" si="118"/>
        <v>0</v>
      </c>
      <c r="AJ679">
        <f t="shared" si="119"/>
        <v>0</v>
      </c>
      <c r="AK679">
        <f t="shared" si="112"/>
        <v>0</v>
      </c>
      <c r="AL679">
        <f t="shared" si="120"/>
        <v>1</v>
      </c>
    </row>
    <row r="680" spans="1:38">
      <c r="A680" t="s">
        <v>2167</v>
      </c>
      <c r="B680" t="s">
        <v>2168</v>
      </c>
      <c r="C680" s="1">
        <f t="shared" si="113"/>
        <v>45566</v>
      </c>
      <c r="D680" t="s">
        <v>2169</v>
      </c>
      <c r="E680">
        <v>74.099999999999994</v>
      </c>
      <c r="F680">
        <v>3.1</v>
      </c>
      <c r="G680" t="s">
        <v>87</v>
      </c>
      <c r="H680" t="s">
        <v>88</v>
      </c>
      <c r="I680" t="s">
        <v>48</v>
      </c>
      <c r="J680">
        <v>120</v>
      </c>
      <c r="K680" t="s">
        <v>49</v>
      </c>
      <c r="L680" t="s">
        <v>34</v>
      </c>
      <c r="M680" t="s">
        <v>71</v>
      </c>
      <c r="N680" t="s">
        <v>188</v>
      </c>
      <c r="O680" t="s">
        <v>51</v>
      </c>
      <c r="P680" t="s">
        <v>38</v>
      </c>
      <c r="Q680" t="s">
        <v>39</v>
      </c>
      <c r="R680">
        <v>4</v>
      </c>
      <c r="S680" t="s">
        <v>39</v>
      </c>
      <c r="T680">
        <v>9</v>
      </c>
      <c r="U680">
        <v>4</v>
      </c>
      <c r="V680">
        <v>30.4</v>
      </c>
      <c r="W680" t="s">
        <v>39</v>
      </c>
      <c r="X680" t="s">
        <v>40</v>
      </c>
      <c r="Y680" t="s">
        <v>39</v>
      </c>
      <c r="Z680" t="s">
        <v>81</v>
      </c>
      <c r="AA680" t="s">
        <v>42</v>
      </c>
      <c r="AB680" t="s">
        <v>55</v>
      </c>
      <c r="AC680">
        <f t="shared" si="110"/>
        <v>0</v>
      </c>
      <c r="AD680" s="12">
        <f t="shared" si="114"/>
        <v>0</v>
      </c>
      <c r="AE680" s="12">
        <f t="shared" si="115"/>
        <v>0</v>
      </c>
      <c r="AF680">
        <f t="shared" si="111"/>
        <v>1</v>
      </c>
      <c r="AG680">
        <f t="shared" si="116"/>
        <v>0</v>
      </c>
      <c r="AH680">
        <f t="shared" si="117"/>
        <v>1</v>
      </c>
      <c r="AI680">
        <f t="shared" si="118"/>
        <v>0</v>
      </c>
      <c r="AJ680">
        <f t="shared" si="119"/>
        <v>0</v>
      </c>
      <c r="AK680">
        <f t="shared" si="112"/>
        <v>0</v>
      </c>
      <c r="AL680">
        <f t="shared" si="120"/>
        <v>0</v>
      </c>
    </row>
    <row r="681" spans="1:38">
      <c r="A681" t="s">
        <v>2170</v>
      </c>
      <c r="B681" t="s">
        <v>2171</v>
      </c>
      <c r="C681" s="1">
        <f t="shared" si="113"/>
        <v>45536</v>
      </c>
      <c r="D681" t="s">
        <v>2172</v>
      </c>
      <c r="E681">
        <v>303.10000000000002</v>
      </c>
      <c r="F681">
        <v>12.6</v>
      </c>
      <c r="G681" t="s">
        <v>77</v>
      </c>
      <c r="H681" t="s">
        <v>78</v>
      </c>
      <c r="I681" t="s">
        <v>79</v>
      </c>
      <c r="J681">
        <v>360</v>
      </c>
      <c r="K681" t="s">
        <v>49</v>
      </c>
      <c r="L681" t="s">
        <v>96</v>
      </c>
      <c r="M681" t="s">
        <v>35</v>
      </c>
      <c r="N681" t="s">
        <v>192</v>
      </c>
      <c r="O681" t="s">
        <v>7232</v>
      </c>
      <c r="P681" t="s">
        <v>39</v>
      </c>
      <c r="Q681" t="s">
        <v>38</v>
      </c>
      <c r="R681">
        <v>0</v>
      </c>
      <c r="S681" t="s">
        <v>38</v>
      </c>
      <c r="T681">
        <v>10</v>
      </c>
      <c r="U681">
        <v>4.0999999999999996</v>
      </c>
      <c r="V681">
        <v>42.1</v>
      </c>
      <c r="W681" t="s">
        <v>38</v>
      </c>
      <c r="X681" t="s">
        <v>63</v>
      </c>
      <c r="Y681" t="s">
        <v>39</v>
      </c>
      <c r="Z681" t="s">
        <v>108</v>
      </c>
      <c r="AA681" t="s">
        <v>82</v>
      </c>
      <c r="AB681" t="s">
        <v>55</v>
      </c>
      <c r="AC681">
        <f t="shared" si="110"/>
        <v>0</v>
      </c>
      <c r="AD681" s="12">
        <f t="shared" si="114"/>
        <v>1</v>
      </c>
      <c r="AE681" s="12">
        <f t="shared" si="115"/>
        <v>0</v>
      </c>
      <c r="AF681">
        <f t="shared" si="111"/>
        <v>0</v>
      </c>
      <c r="AG681">
        <f t="shared" si="116"/>
        <v>1</v>
      </c>
      <c r="AH681">
        <f t="shared" si="117"/>
        <v>0</v>
      </c>
      <c r="AI681">
        <f t="shared" si="118"/>
        <v>0</v>
      </c>
      <c r="AJ681">
        <f t="shared" si="119"/>
        <v>0</v>
      </c>
      <c r="AK681">
        <f t="shared" si="112"/>
        <v>0</v>
      </c>
      <c r="AL681">
        <f t="shared" si="120"/>
        <v>0</v>
      </c>
    </row>
    <row r="682" spans="1:38">
      <c r="A682" t="s">
        <v>2173</v>
      </c>
      <c r="B682" t="s">
        <v>2174</v>
      </c>
      <c r="C682" s="1">
        <f t="shared" si="113"/>
        <v>45352</v>
      </c>
      <c r="D682" t="s">
        <v>2175</v>
      </c>
      <c r="E682">
        <v>193.8</v>
      </c>
      <c r="F682">
        <v>8.1</v>
      </c>
      <c r="G682" t="s">
        <v>101</v>
      </c>
      <c r="H682" t="s">
        <v>295</v>
      </c>
      <c r="I682" t="s">
        <v>32</v>
      </c>
      <c r="J682">
        <v>240</v>
      </c>
      <c r="K682" t="s">
        <v>49</v>
      </c>
      <c r="L682" t="s">
        <v>70</v>
      </c>
      <c r="M682" t="s">
        <v>35</v>
      </c>
      <c r="N682" t="s">
        <v>277</v>
      </c>
      <c r="O682" t="s">
        <v>51</v>
      </c>
      <c r="P682" t="s">
        <v>38</v>
      </c>
      <c r="Q682" t="s">
        <v>38</v>
      </c>
      <c r="R682">
        <v>1</v>
      </c>
      <c r="S682" t="s">
        <v>38</v>
      </c>
      <c r="T682">
        <v>7</v>
      </c>
      <c r="U682">
        <v>2</v>
      </c>
      <c r="V682">
        <v>0</v>
      </c>
      <c r="W682" t="s">
        <v>39</v>
      </c>
      <c r="X682" t="s">
        <v>63</v>
      </c>
      <c r="Y682" t="s">
        <v>39</v>
      </c>
      <c r="Z682" t="s">
        <v>53</v>
      </c>
      <c r="AA682" t="s">
        <v>54</v>
      </c>
      <c r="AB682" t="s">
        <v>83</v>
      </c>
      <c r="AC682">
        <f t="shared" si="110"/>
        <v>0</v>
      </c>
      <c r="AD682" s="12">
        <f t="shared" si="114"/>
        <v>1</v>
      </c>
      <c r="AE682" s="12">
        <f t="shared" si="115"/>
        <v>0</v>
      </c>
      <c r="AF682">
        <f t="shared" si="111"/>
        <v>1</v>
      </c>
      <c r="AG682">
        <f t="shared" si="116"/>
        <v>0</v>
      </c>
      <c r="AH682">
        <f t="shared" si="117"/>
        <v>0</v>
      </c>
      <c r="AI682">
        <f t="shared" si="118"/>
        <v>0</v>
      </c>
      <c r="AJ682">
        <f t="shared" si="119"/>
        <v>1</v>
      </c>
      <c r="AK682">
        <f t="shared" si="112"/>
        <v>0</v>
      </c>
      <c r="AL682">
        <f t="shared" si="120"/>
        <v>0</v>
      </c>
    </row>
    <row r="683" spans="1:38">
      <c r="A683" t="s">
        <v>2176</v>
      </c>
      <c r="B683" t="s">
        <v>2177</v>
      </c>
      <c r="C683" s="1">
        <f t="shared" si="113"/>
        <v>45292</v>
      </c>
      <c r="D683" t="s">
        <v>2178</v>
      </c>
      <c r="E683">
        <v>148</v>
      </c>
      <c r="F683">
        <v>6.2</v>
      </c>
      <c r="G683" t="s">
        <v>59</v>
      </c>
      <c r="H683" t="s">
        <v>227</v>
      </c>
      <c r="I683" t="s">
        <v>32</v>
      </c>
      <c r="J683">
        <v>240</v>
      </c>
      <c r="K683" t="s">
        <v>49</v>
      </c>
      <c r="L683" t="s">
        <v>113</v>
      </c>
      <c r="M683" t="s">
        <v>71</v>
      </c>
      <c r="N683" t="s">
        <v>114</v>
      </c>
      <c r="O683" t="s">
        <v>37</v>
      </c>
      <c r="P683" t="s">
        <v>38</v>
      </c>
      <c r="Q683" t="s">
        <v>39</v>
      </c>
      <c r="R683">
        <v>1</v>
      </c>
      <c r="S683" t="s">
        <v>38</v>
      </c>
      <c r="T683">
        <v>8</v>
      </c>
      <c r="U683">
        <v>0.5</v>
      </c>
      <c r="V683">
        <v>21.2</v>
      </c>
      <c r="W683" t="s">
        <v>38</v>
      </c>
      <c r="X683" t="s">
        <v>123</v>
      </c>
      <c r="Y683" t="s">
        <v>38</v>
      </c>
      <c r="Z683" t="s">
        <v>179</v>
      </c>
      <c r="AA683" t="s">
        <v>82</v>
      </c>
      <c r="AB683" t="s">
        <v>83</v>
      </c>
      <c r="AC683">
        <f t="shared" si="110"/>
        <v>0</v>
      </c>
      <c r="AD683" s="12">
        <f t="shared" si="114"/>
        <v>0</v>
      </c>
      <c r="AE683" s="12">
        <f t="shared" si="115"/>
        <v>1</v>
      </c>
      <c r="AF683">
        <f t="shared" si="111"/>
        <v>0</v>
      </c>
      <c r="AG683">
        <f t="shared" si="116"/>
        <v>0</v>
      </c>
      <c r="AH683">
        <f t="shared" si="117"/>
        <v>0</v>
      </c>
      <c r="AI683">
        <f t="shared" si="118"/>
        <v>0</v>
      </c>
      <c r="AJ683">
        <f t="shared" si="119"/>
        <v>1</v>
      </c>
      <c r="AK683">
        <f t="shared" si="112"/>
        <v>0</v>
      </c>
      <c r="AL683">
        <f t="shared" si="120"/>
        <v>1</v>
      </c>
    </row>
    <row r="684" spans="1:38">
      <c r="A684" t="s">
        <v>2179</v>
      </c>
      <c r="B684" t="s">
        <v>2180</v>
      </c>
      <c r="C684" s="1">
        <f t="shared" si="113"/>
        <v>45505</v>
      </c>
      <c r="D684" t="s">
        <v>2181</v>
      </c>
      <c r="E684">
        <v>79.400000000000006</v>
      </c>
      <c r="F684">
        <v>3.3</v>
      </c>
      <c r="G684" t="s">
        <v>68</v>
      </c>
      <c r="H684" t="s">
        <v>456</v>
      </c>
      <c r="I684" t="s">
        <v>48</v>
      </c>
      <c r="J684">
        <v>120</v>
      </c>
      <c r="K684" t="s">
        <v>49</v>
      </c>
      <c r="L684" t="s">
        <v>113</v>
      </c>
      <c r="M684" t="s">
        <v>35</v>
      </c>
      <c r="N684" t="s">
        <v>50</v>
      </c>
      <c r="O684" t="s">
        <v>7232</v>
      </c>
      <c r="P684" t="s">
        <v>39</v>
      </c>
      <c r="Q684" t="s">
        <v>38</v>
      </c>
      <c r="R684">
        <v>0</v>
      </c>
      <c r="S684" t="s">
        <v>38</v>
      </c>
      <c r="T684">
        <v>10</v>
      </c>
      <c r="U684">
        <v>3.5</v>
      </c>
      <c r="V684">
        <v>3.8</v>
      </c>
      <c r="W684" t="s">
        <v>39</v>
      </c>
      <c r="X684" t="s">
        <v>123</v>
      </c>
      <c r="Y684" t="s">
        <v>38</v>
      </c>
      <c r="Z684" t="s">
        <v>81</v>
      </c>
      <c r="AA684" t="s">
        <v>54</v>
      </c>
      <c r="AB684" t="s">
        <v>55</v>
      </c>
      <c r="AC684">
        <f t="shared" si="110"/>
        <v>0</v>
      </c>
      <c r="AD684" s="12">
        <f t="shared" si="114"/>
        <v>0</v>
      </c>
      <c r="AE684" s="12">
        <f t="shared" si="115"/>
        <v>1</v>
      </c>
      <c r="AF684">
        <f t="shared" si="111"/>
        <v>0</v>
      </c>
      <c r="AG684">
        <f t="shared" si="116"/>
        <v>1</v>
      </c>
      <c r="AH684">
        <f t="shared" si="117"/>
        <v>1</v>
      </c>
      <c r="AI684">
        <f t="shared" si="118"/>
        <v>0</v>
      </c>
      <c r="AJ684">
        <f t="shared" si="119"/>
        <v>0</v>
      </c>
      <c r="AK684">
        <f t="shared" si="112"/>
        <v>0</v>
      </c>
      <c r="AL684">
        <f t="shared" si="120"/>
        <v>1</v>
      </c>
    </row>
    <row r="685" spans="1:38">
      <c r="A685" t="s">
        <v>2182</v>
      </c>
      <c r="B685" t="s">
        <v>2183</v>
      </c>
      <c r="C685" s="1">
        <f t="shared" si="113"/>
        <v>45323</v>
      </c>
      <c r="D685" t="s">
        <v>2184</v>
      </c>
      <c r="E685">
        <v>43.6</v>
      </c>
      <c r="F685">
        <v>1.8</v>
      </c>
      <c r="G685" t="s">
        <v>101</v>
      </c>
      <c r="H685" t="s">
        <v>295</v>
      </c>
      <c r="I685" t="s">
        <v>95</v>
      </c>
      <c r="J685">
        <v>48</v>
      </c>
      <c r="K685" t="s">
        <v>49</v>
      </c>
      <c r="L685" t="s">
        <v>70</v>
      </c>
      <c r="M685" t="s">
        <v>35</v>
      </c>
      <c r="N685" t="s">
        <v>114</v>
      </c>
      <c r="O685" t="s">
        <v>51</v>
      </c>
      <c r="P685" t="s">
        <v>39</v>
      </c>
      <c r="Q685" t="s">
        <v>38</v>
      </c>
      <c r="R685">
        <v>0</v>
      </c>
      <c r="S685" t="s">
        <v>38</v>
      </c>
      <c r="T685">
        <v>9</v>
      </c>
      <c r="U685">
        <v>6.1</v>
      </c>
      <c r="V685">
        <v>6.8</v>
      </c>
      <c r="W685" t="s">
        <v>38</v>
      </c>
      <c r="X685" t="s">
        <v>63</v>
      </c>
      <c r="Y685" t="s">
        <v>39</v>
      </c>
      <c r="Z685" t="s">
        <v>179</v>
      </c>
      <c r="AA685" t="s">
        <v>103</v>
      </c>
      <c r="AB685" t="s">
        <v>83</v>
      </c>
      <c r="AC685">
        <f t="shared" si="110"/>
        <v>0</v>
      </c>
      <c r="AD685" s="12">
        <f t="shared" si="114"/>
        <v>1</v>
      </c>
      <c r="AE685" s="12">
        <f t="shared" si="115"/>
        <v>0</v>
      </c>
      <c r="AF685">
        <f t="shared" si="111"/>
        <v>1</v>
      </c>
      <c r="AG685">
        <f t="shared" si="116"/>
        <v>0</v>
      </c>
      <c r="AH685">
        <f t="shared" si="117"/>
        <v>0</v>
      </c>
      <c r="AI685">
        <f t="shared" si="118"/>
        <v>1</v>
      </c>
      <c r="AJ685">
        <f t="shared" si="119"/>
        <v>0</v>
      </c>
      <c r="AK685">
        <f t="shared" si="112"/>
        <v>0</v>
      </c>
      <c r="AL685">
        <f t="shared" si="120"/>
        <v>0</v>
      </c>
    </row>
    <row r="686" spans="1:38">
      <c r="A686" t="s">
        <v>2185</v>
      </c>
      <c r="B686" t="s">
        <v>2186</v>
      </c>
      <c r="C686" s="1">
        <f t="shared" si="113"/>
        <v>45566</v>
      </c>
      <c r="D686" t="s">
        <v>2187</v>
      </c>
      <c r="E686">
        <v>152.69999999999999</v>
      </c>
      <c r="F686">
        <v>6.4</v>
      </c>
      <c r="G686" t="s">
        <v>59</v>
      </c>
      <c r="H686" t="s">
        <v>60</v>
      </c>
      <c r="I686" t="s">
        <v>32</v>
      </c>
      <c r="J686">
        <v>240</v>
      </c>
      <c r="K686" t="s">
        <v>49</v>
      </c>
      <c r="L686" t="s">
        <v>96</v>
      </c>
      <c r="M686" t="s">
        <v>71</v>
      </c>
      <c r="N686" t="s">
        <v>50</v>
      </c>
      <c r="O686" t="s">
        <v>7232</v>
      </c>
      <c r="P686" t="s">
        <v>38</v>
      </c>
      <c r="Q686" t="s">
        <v>39</v>
      </c>
      <c r="R686">
        <v>3</v>
      </c>
      <c r="S686" t="s">
        <v>38</v>
      </c>
      <c r="T686">
        <v>6</v>
      </c>
      <c r="U686">
        <v>1.8</v>
      </c>
      <c r="V686">
        <v>30.8</v>
      </c>
      <c r="W686" t="s">
        <v>38</v>
      </c>
      <c r="X686" t="s">
        <v>63</v>
      </c>
      <c r="Y686" t="s">
        <v>39</v>
      </c>
      <c r="Z686" t="s">
        <v>115</v>
      </c>
      <c r="AA686" t="s">
        <v>82</v>
      </c>
      <c r="AB686" t="s">
        <v>83</v>
      </c>
      <c r="AC686">
        <f t="shared" si="110"/>
        <v>0</v>
      </c>
      <c r="AD686" s="12">
        <f t="shared" si="114"/>
        <v>1</v>
      </c>
      <c r="AE686" s="12">
        <f t="shared" si="115"/>
        <v>0</v>
      </c>
      <c r="AF686">
        <f t="shared" si="111"/>
        <v>0</v>
      </c>
      <c r="AG686">
        <f t="shared" si="116"/>
        <v>1</v>
      </c>
      <c r="AH686">
        <f t="shared" si="117"/>
        <v>0</v>
      </c>
      <c r="AI686">
        <f t="shared" si="118"/>
        <v>0</v>
      </c>
      <c r="AJ686">
        <f t="shared" si="119"/>
        <v>1</v>
      </c>
      <c r="AK686">
        <f t="shared" si="112"/>
        <v>0</v>
      </c>
      <c r="AL686">
        <f t="shared" si="120"/>
        <v>0</v>
      </c>
    </row>
    <row r="687" spans="1:38">
      <c r="A687" t="s">
        <v>2188</v>
      </c>
      <c r="B687" t="s">
        <v>2189</v>
      </c>
      <c r="C687" s="1">
        <f t="shared" si="113"/>
        <v>45413</v>
      </c>
      <c r="D687" t="s">
        <v>2190</v>
      </c>
      <c r="E687">
        <v>238.3</v>
      </c>
      <c r="F687">
        <v>9.9</v>
      </c>
      <c r="G687" t="s">
        <v>77</v>
      </c>
      <c r="H687" t="s">
        <v>244</v>
      </c>
      <c r="I687" t="s">
        <v>79</v>
      </c>
      <c r="J687">
        <v>360</v>
      </c>
      <c r="K687" t="s">
        <v>49</v>
      </c>
      <c r="L687" t="s">
        <v>96</v>
      </c>
      <c r="M687" t="s">
        <v>35</v>
      </c>
      <c r="N687" t="s">
        <v>188</v>
      </c>
      <c r="O687" t="s">
        <v>37</v>
      </c>
      <c r="P687" t="s">
        <v>38</v>
      </c>
      <c r="Q687" t="s">
        <v>38</v>
      </c>
      <c r="R687">
        <v>1</v>
      </c>
      <c r="S687" t="s">
        <v>38</v>
      </c>
      <c r="T687">
        <v>8</v>
      </c>
      <c r="U687">
        <v>2.9</v>
      </c>
      <c r="V687">
        <v>6.6</v>
      </c>
      <c r="W687" t="s">
        <v>39</v>
      </c>
      <c r="X687" t="s">
        <v>123</v>
      </c>
      <c r="Y687" t="s">
        <v>39</v>
      </c>
      <c r="Z687" t="s">
        <v>41</v>
      </c>
      <c r="AA687" t="s">
        <v>82</v>
      </c>
      <c r="AB687" t="s">
        <v>55</v>
      </c>
      <c r="AC687">
        <f t="shared" si="110"/>
        <v>0</v>
      </c>
      <c r="AD687" s="12">
        <f t="shared" si="114"/>
        <v>0</v>
      </c>
      <c r="AE687" s="12">
        <f t="shared" si="115"/>
        <v>1</v>
      </c>
      <c r="AF687">
        <f t="shared" si="111"/>
        <v>0</v>
      </c>
      <c r="AG687">
        <f t="shared" si="116"/>
        <v>0</v>
      </c>
      <c r="AH687">
        <f t="shared" si="117"/>
        <v>0</v>
      </c>
      <c r="AI687">
        <f t="shared" si="118"/>
        <v>0</v>
      </c>
      <c r="AJ687">
        <f t="shared" si="119"/>
        <v>0</v>
      </c>
      <c r="AK687">
        <f t="shared" si="112"/>
        <v>0</v>
      </c>
      <c r="AL687">
        <f t="shared" si="120"/>
        <v>0</v>
      </c>
    </row>
    <row r="688" spans="1:38">
      <c r="A688" t="s">
        <v>2191</v>
      </c>
      <c r="B688" t="s">
        <v>2192</v>
      </c>
      <c r="C688" s="1">
        <f t="shared" si="113"/>
        <v>45292</v>
      </c>
      <c r="D688" t="s">
        <v>2193</v>
      </c>
      <c r="E688">
        <v>325.8</v>
      </c>
      <c r="F688">
        <v>13.6</v>
      </c>
      <c r="G688" t="s">
        <v>93</v>
      </c>
      <c r="H688" t="s">
        <v>449</v>
      </c>
      <c r="I688" t="s">
        <v>79</v>
      </c>
      <c r="J688">
        <v>360</v>
      </c>
      <c r="K688" t="s">
        <v>49</v>
      </c>
      <c r="L688" t="s">
        <v>70</v>
      </c>
      <c r="M688" t="s">
        <v>71</v>
      </c>
      <c r="N688" t="s">
        <v>114</v>
      </c>
      <c r="O688" t="s">
        <v>51</v>
      </c>
      <c r="P688" t="s">
        <v>38</v>
      </c>
      <c r="Q688" t="s">
        <v>39</v>
      </c>
      <c r="R688">
        <v>1</v>
      </c>
      <c r="S688" t="s">
        <v>38</v>
      </c>
      <c r="T688">
        <v>7</v>
      </c>
      <c r="U688">
        <v>0.1</v>
      </c>
      <c r="V688">
        <v>20.3</v>
      </c>
      <c r="W688" t="s">
        <v>38</v>
      </c>
      <c r="X688" t="s">
        <v>63</v>
      </c>
      <c r="Y688" t="s">
        <v>38</v>
      </c>
      <c r="Z688" t="s">
        <v>108</v>
      </c>
      <c r="AA688" t="s">
        <v>42</v>
      </c>
      <c r="AB688" t="s">
        <v>55</v>
      </c>
      <c r="AC688">
        <f t="shared" si="110"/>
        <v>0</v>
      </c>
      <c r="AD688" s="12">
        <f t="shared" si="114"/>
        <v>1</v>
      </c>
      <c r="AE688" s="12">
        <f t="shared" si="115"/>
        <v>0</v>
      </c>
      <c r="AF688">
        <f t="shared" si="111"/>
        <v>1</v>
      </c>
      <c r="AG688">
        <f t="shared" si="116"/>
        <v>0</v>
      </c>
      <c r="AH688">
        <f t="shared" si="117"/>
        <v>0</v>
      </c>
      <c r="AI688">
        <f t="shared" si="118"/>
        <v>0</v>
      </c>
      <c r="AJ688">
        <f t="shared" si="119"/>
        <v>0</v>
      </c>
      <c r="AK688">
        <f t="shared" si="112"/>
        <v>0</v>
      </c>
      <c r="AL688">
        <f t="shared" si="120"/>
        <v>1</v>
      </c>
    </row>
    <row r="689" spans="1:38">
      <c r="A689" t="s">
        <v>2194</v>
      </c>
      <c r="B689" t="s">
        <v>2195</v>
      </c>
      <c r="C689" s="1">
        <f t="shared" si="113"/>
        <v>45323</v>
      </c>
      <c r="D689" t="s">
        <v>2196</v>
      </c>
      <c r="E689">
        <v>152.19999999999999</v>
      </c>
      <c r="F689">
        <v>6.3</v>
      </c>
      <c r="G689" t="s">
        <v>68</v>
      </c>
      <c r="H689" t="s">
        <v>69</v>
      </c>
      <c r="I689" t="s">
        <v>32</v>
      </c>
      <c r="J689">
        <v>240</v>
      </c>
      <c r="K689" t="s">
        <v>49</v>
      </c>
      <c r="L689" t="s">
        <v>96</v>
      </c>
      <c r="M689" t="s">
        <v>35</v>
      </c>
      <c r="N689" t="s">
        <v>138</v>
      </c>
      <c r="O689" t="s">
        <v>51</v>
      </c>
      <c r="P689" t="s">
        <v>38</v>
      </c>
      <c r="Q689" t="s">
        <v>38</v>
      </c>
      <c r="R689">
        <v>1</v>
      </c>
      <c r="S689" t="s">
        <v>38</v>
      </c>
      <c r="T689">
        <v>7</v>
      </c>
      <c r="U689">
        <v>1.7</v>
      </c>
      <c r="V689">
        <v>26.4</v>
      </c>
      <c r="W689" t="s">
        <v>38</v>
      </c>
      <c r="X689" t="s">
        <v>123</v>
      </c>
      <c r="Y689" t="s">
        <v>39</v>
      </c>
      <c r="Z689" t="s">
        <v>115</v>
      </c>
      <c r="AA689" t="s">
        <v>103</v>
      </c>
      <c r="AB689" t="s">
        <v>83</v>
      </c>
      <c r="AC689">
        <f t="shared" si="110"/>
        <v>0</v>
      </c>
      <c r="AD689" s="12">
        <f t="shared" si="114"/>
        <v>0</v>
      </c>
      <c r="AE689" s="12">
        <f t="shared" si="115"/>
        <v>1</v>
      </c>
      <c r="AF689">
        <f t="shared" si="111"/>
        <v>1</v>
      </c>
      <c r="AG689">
        <f t="shared" si="116"/>
        <v>0</v>
      </c>
      <c r="AH689">
        <f t="shared" si="117"/>
        <v>0</v>
      </c>
      <c r="AI689">
        <f t="shared" si="118"/>
        <v>0</v>
      </c>
      <c r="AJ689">
        <f t="shared" si="119"/>
        <v>1</v>
      </c>
      <c r="AK689">
        <f t="shared" si="112"/>
        <v>0</v>
      </c>
      <c r="AL689">
        <f t="shared" si="120"/>
        <v>0</v>
      </c>
    </row>
    <row r="690" spans="1:38">
      <c r="A690" t="s">
        <v>2197</v>
      </c>
      <c r="B690" t="s">
        <v>2198</v>
      </c>
      <c r="C690" s="1">
        <f t="shared" si="113"/>
        <v>45566</v>
      </c>
      <c r="D690" t="s">
        <v>2199</v>
      </c>
      <c r="E690">
        <v>215.3</v>
      </c>
      <c r="F690">
        <v>9</v>
      </c>
      <c r="G690" t="s">
        <v>142</v>
      </c>
      <c r="H690" t="s">
        <v>240</v>
      </c>
      <c r="I690" t="s">
        <v>32</v>
      </c>
      <c r="J690">
        <v>240</v>
      </c>
      <c r="K690" t="s">
        <v>49</v>
      </c>
      <c r="L690" t="s">
        <v>113</v>
      </c>
      <c r="M690" t="s">
        <v>35</v>
      </c>
      <c r="N690" t="s">
        <v>144</v>
      </c>
      <c r="O690" t="s">
        <v>7232</v>
      </c>
      <c r="P690" t="s">
        <v>38</v>
      </c>
      <c r="Q690" t="s">
        <v>38</v>
      </c>
      <c r="R690">
        <v>1</v>
      </c>
      <c r="S690" t="s">
        <v>39</v>
      </c>
      <c r="T690">
        <v>8</v>
      </c>
      <c r="U690">
        <v>3.3</v>
      </c>
      <c r="V690">
        <v>24.1</v>
      </c>
      <c r="W690" t="s">
        <v>39</v>
      </c>
      <c r="X690" t="s">
        <v>123</v>
      </c>
      <c r="Y690" t="s">
        <v>39</v>
      </c>
      <c r="Z690" t="s">
        <v>108</v>
      </c>
      <c r="AA690" t="s">
        <v>82</v>
      </c>
      <c r="AB690" t="s">
        <v>83</v>
      </c>
      <c r="AC690">
        <f t="shared" si="110"/>
        <v>0</v>
      </c>
      <c r="AD690" s="12">
        <f t="shared" si="114"/>
        <v>0</v>
      </c>
      <c r="AE690" s="12">
        <f t="shared" si="115"/>
        <v>1</v>
      </c>
      <c r="AF690">
        <f t="shared" si="111"/>
        <v>0</v>
      </c>
      <c r="AG690">
        <f t="shared" si="116"/>
        <v>1</v>
      </c>
      <c r="AH690">
        <f t="shared" si="117"/>
        <v>0</v>
      </c>
      <c r="AI690">
        <f t="shared" si="118"/>
        <v>0</v>
      </c>
      <c r="AJ690">
        <f t="shared" si="119"/>
        <v>1</v>
      </c>
      <c r="AK690">
        <f t="shared" si="112"/>
        <v>0</v>
      </c>
      <c r="AL690">
        <f t="shared" si="120"/>
        <v>0</v>
      </c>
    </row>
    <row r="691" spans="1:38">
      <c r="A691" t="s">
        <v>2200</v>
      </c>
      <c r="B691" t="s">
        <v>2201</v>
      </c>
      <c r="C691" s="1">
        <f t="shared" si="113"/>
        <v>45474</v>
      </c>
      <c r="D691" t="s">
        <v>2202</v>
      </c>
      <c r="E691">
        <v>146.80000000000001</v>
      </c>
      <c r="F691">
        <v>6.1</v>
      </c>
      <c r="G691" t="s">
        <v>30</v>
      </c>
      <c r="H691" t="s">
        <v>47</v>
      </c>
      <c r="I691" t="s">
        <v>32</v>
      </c>
      <c r="J691">
        <v>240</v>
      </c>
      <c r="K691" t="s">
        <v>49</v>
      </c>
      <c r="L691" t="s">
        <v>70</v>
      </c>
      <c r="M691" t="s">
        <v>35</v>
      </c>
      <c r="N691" t="s">
        <v>128</v>
      </c>
      <c r="O691" t="s">
        <v>7232</v>
      </c>
      <c r="P691" t="s">
        <v>39</v>
      </c>
      <c r="Q691" t="s">
        <v>38</v>
      </c>
      <c r="R691">
        <v>0</v>
      </c>
      <c r="S691" t="s">
        <v>38</v>
      </c>
      <c r="T691">
        <v>10</v>
      </c>
      <c r="U691">
        <v>1.4</v>
      </c>
      <c r="V691">
        <v>15.2</v>
      </c>
      <c r="W691" t="s">
        <v>39</v>
      </c>
      <c r="X691" t="s">
        <v>123</v>
      </c>
      <c r="Y691" t="s">
        <v>39</v>
      </c>
      <c r="Z691" t="s">
        <v>53</v>
      </c>
      <c r="AA691" t="s">
        <v>54</v>
      </c>
      <c r="AB691" t="s">
        <v>83</v>
      </c>
      <c r="AC691">
        <f t="shared" si="110"/>
        <v>0</v>
      </c>
      <c r="AD691" s="12">
        <f t="shared" si="114"/>
        <v>0</v>
      </c>
      <c r="AE691" s="12">
        <f t="shared" si="115"/>
        <v>1</v>
      </c>
      <c r="AF691">
        <f t="shared" si="111"/>
        <v>0</v>
      </c>
      <c r="AG691">
        <f t="shared" si="116"/>
        <v>1</v>
      </c>
      <c r="AH691">
        <f t="shared" si="117"/>
        <v>0</v>
      </c>
      <c r="AI691">
        <f t="shared" si="118"/>
        <v>0</v>
      </c>
      <c r="AJ691">
        <f t="shared" si="119"/>
        <v>1</v>
      </c>
      <c r="AK691">
        <f t="shared" si="112"/>
        <v>1</v>
      </c>
      <c r="AL691">
        <f t="shared" si="120"/>
        <v>0</v>
      </c>
    </row>
    <row r="692" spans="1:38">
      <c r="A692" t="s">
        <v>2203</v>
      </c>
      <c r="B692" t="s">
        <v>2204</v>
      </c>
      <c r="C692" s="1">
        <f t="shared" si="113"/>
        <v>45627</v>
      </c>
      <c r="D692" t="s">
        <v>2205</v>
      </c>
      <c r="E692">
        <v>193</v>
      </c>
      <c r="F692">
        <v>8</v>
      </c>
      <c r="G692" t="s">
        <v>68</v>
      </c>
      <c r="H692" t="s">
        <v>219</v>
      </c>
      <c r="I692" t="s">
        <v>32</v>
      </c>
      <c r="J692">
        <v>240</v>
      </c>
      <c r="K692" t="s">
        <v>49</v>
      </c>
      <c r="L692" t="s">
        <v>113</v>
      </c>
      <c r="M692" t="s">
        <v>71</v>
      </c>
      <c r="N692" t="s">
        <v>134</v>
      </c>
      <c r="O692" t="s">
        <v>51</v>
      </c>
      <c r="P692" t="s">
        <v>38</v>
      </c>
      <c r="Q692" t="s">
        <v>39</v>
      </c>
      <c r="R692">
        <v>4</v>
      </c>
      <c r="S692" t="s">
        <v>38</v>
      </c>
      <c r="T692">
        <v>7</v>
      </c>
      <c r="U692">
        <v>2.5</v>
      </c>
      <c r="V692">
        <v>29.3</v>
      </c>
      <c r="W692" t="s">
        <v>39</v>
      </c>
      <c r="X692" t="s">
        <v>123</v>
      </c>
      <c r="Y692" t="s">
        <v>39</v>
      </c>
      <c r="Z692" t="s">
        <v>108</v>
      </c>
      <c r="AA692" t="s">
        <v>42</v>
      </c>
      <c r="AB692" t="s">
        <v>83</v>
      </c>
      <c r="AC692">
        <f t="shared" si="110"/>
        <v>0</v>
      </c>
      <c r="AD692" s="12">
        <f t="shared" si="114"/>
        <v>0</v>
      </c>
      <c r="AE692" s="12">
        <f t="shared" si="115"/>
        <v>1</v>
      </c>
      <c r="AF692">
        <f t="shared" si="111"/>
        <v>1</v>
      </c>
      <c r="AG692">
        <f t="shared" si="116"/>
        <v>0</v>
      </c>
      <c r="AH692">
        <f t="shared" si="117"/>
        <v>0</v>
      </c>
      <c r="AI692">
        <f t="shared" si="118"/>
        <v>0</v>
      </c>
      <c r="AJ692">
        <f t="shared" si="119"/>
        <v>1</v>
      </c>
      <c r="AK692">
        <f t="shared" si="112"/>
        <v>0</v>
      </c>
      <c r="AL692">
        <f t="shared" si="120"/>
        <v>0</v>
      </c>
    </row>
    <row r="693" spans="1:38">
      <c r="A693" t="s">
        <v>2206</v>
      </c>
      <c r="B693" t="s">
        <v>2207</v>
      </c>
      <c r="C693" s="1">
        <f t="shared" si="113"/>
        <v>45323</v>
      </c>
      <c r="D693" t="s">
        <v>2208</v>
      </c>
      <c r="E693">
        <v>365.5</v>
      </c>
      <c r="F693">
        <v>15.2</v>
      </c>
      <c r="G693" t="s">
        <v>101</v>
      </c>
      <c r="H693" t="s">
        <v>442</v>
      </c>
      <c r="I693" t="s">
        <v>32</v>
      </c>
      <c r="J693">
        <v>240</v>
      </c>
      <c r="K693" t="s">
        <v>33</v>
      </c>
      <c r="L693" t="s">
        <v>70</v>
      </c>
      <c r="M693" t="s">
        <v>35</v>
      </c>
      <c r="N693" t="s">
        <v>168</v>
      </c>
      <c r="O693" t="s">
        <v>37</v>
      </c>
      <c r="P693" t="s">
        <v>38</v>
      </c>
      <c r="Q693" t="s">
        <v>38</v>
      </c>
      <c r="R693">
        <v>1</v>
      </c>
      <c r="S693" t="s">
        <v>38</v>
      </c>
      <c r="T693">
        <v>3</v>
      </c>
      <c r="U693">
        <v>5.5</v>
      </c>
      <c r="V693">
        <v>40.6</v>
      </c>
      <c r="W693" t="s">
        <v>38</v>
      </c>
      <c r="X693" t="s">
        <v>123</v>
      </c>
      <c r="Y693" t="s">
        <v>38</v>
      </c>
      <c r="Z693" t="s">
        <v>179</v>
      </c>
      <c r="AA693" t="s">
        <v>103</v>
      </c>
      <c r="AB693" t="s">
        <v>43</v>
      </c>
      <c r="AC693">
        <f t="shared" si="110"/>
        <v>0</v>
      </c>
      <c r="AD693" s="12">
        <f t="shared" si="114"/>
        <v>0</v>
      </c>
      <c r="AE693" s="12">
        <f t="shared" si="115"/>
        <v>1</v>
      </c>
      <c r="AF693">
        <f t="shared" si="111"/>
        <v>0</v>
      </c>
      <c r="AG693">
        <f t="shared" si="116"/>
        <v>0</v>
      </c>
      <c r="AH693">
        <f t="shared" si="117"/>
        <v>0</v>
      </c>
      <c r="AI693">
        <f t="shared" si="118"/>
        <v>0</v>
      </c>
      <c r="AJ693">
        <f t="shared" si="119"/>
        <v>1</v>
      </c>
      <c r="AK693">
        <f t="shared" si="112"/>
        <v>0</v>
      </c>
      <c r="AL693">
        <f t="shared" si="120"/>
        <v>1</v>
      </c>
    </row>
    <row r="694" spans="1:38">
      <c r="A694" t="s">
        <v>2209</v>
      </c>
      <c r="B694" t="s">
        <v>2210</v>
      </c>
      <c r="C694" s="1">
        <f t="shared" si="113"/>
        <v>45597</v>
      </c>
      <c r="D694" t="s">
        <v>2211</v>
      </c>
      <c r="E694">
        <v>97.1</v>
      </c>
      <c r="F694">
        <v>4</v>
      </c>
      <c r="G694" t="s">
        <v>59</v>
      </c>
      <c r="H694" t="s">
        <v>227</v>
      </c>
      <c r="I694" t="s">
        <v>48</v>
      </c>
      <c r="J694">
        <v>120</v>
      </c>
      <c r="K694" t="s">
        <v>49</v>
      </c>
      <c r="L694" t="s">
        <v>70</v>
      </c>
      <c r="M694" t="s">
        <v>35</v>
      </c>
      <c r="N694" t="s">
        <v>144</v>
      </c>
      <c r="O694" t="s">
        <v>7232</v>
      </c>
      <c r="P694" t="s">
        <v>38</v>
      </c>
      <c r="Q694" t="s">
        <v>38</v>
      </c>
      <c r="R694">
        <v>1</v>
      </c>
      <c r="S694" t="s">
        <v>38</v>
      </c>
      <c r="T694">
        <v>7</v>
      </c>
      <c r="U694">
        <v>2</v>
      </c>
      <c r="V694">
        <v>24.6</v>
      </c>
      <c r="W694" t="s">
        <v>39</v>
      </c>
      <c r="X694" t="s">
        <v>52</v>
      </c>
      <c r="Y694" t="s">
        <v>39</v>
      </c>
      <c r="Z694" t="s">
        <v>179</v>
      </c>
      <c r="AA694" t="s">
        <v>109</v>
      </c>
      <c r="AB694" t="s">
        <v>43</v>
      </c>
      <c r="AC694">
        <f t="shared" si="110"/>
        <v>1</v>
      </c>
      <c r="AD694" s="12">
        <f t="shared" si="114"/>
        <v>0</v>
      </c>
      <c r="AE694" s="12">
        <f t="shared" si="115"/>
        <v>0</v>
      </c>
      <c r="AF694">
        <f t="shared" si="111"/>
        <v>0</v>
      </c>
      <c r="AG694">
        <f t="shared" si="116"/>
        <v>1</v>
      </c>
      <c r="AH694">
        <f t="shared" si="117"/>
        <v>1</v>
      </c>
      <c r="AI694">
        <f t="shared" si="118"/>
        <v>0</v>
      </c>
      <c r="AJ694">
        <f t="shared" si="119"/>
        <v>0</v>
      </c>
      <c r="AK694">
        <f t="shared" si="112"/>
        <v>0</v>
      </c>
      <c r="AL694">
        <f t="shared" si="120"/>
        <v>0</v>
      </c>
    </row>
    <row r="695" spans="1:38">
      <c r="A695" t="s">
        <v>2212</v>
      </c>
      <c r="B695" t="s">
        <v>2213</v>
      </c>
      <c r="C695" s="1">
        <f t="shared" si="113"/>
        <v>45323</v>
      </c>
      <c r="D695" t="s">
        <v>2214</v>
      </c>
      <c r="E695">
        <v>487</v>
      </c>
      <c r="F695">
        <v>20.3</v>
      </c>
      <c r="G695" t="s">
        <v>101</v>
      </c>
      <c r="H695" t="s">
        <v>368</v>
      </c>
      <c r="I695" t="s">
        <v>79</v>
      </c>
      <c r="J695">
        <v>360</v>
      </c>
      <c r="K695" t="s">
        <v>33</v>
      </c>
      <c r="L695" t="s">
        <v>70</v>
      </c>
      <c r="M695" t="s">
        <v>35</v>
      </c>
      <c r="N695" t="s">
        <v>155</v>
      </c>
      <c r="O695" t="s">
        <v>51</v>
      </c>
      <c r="P695" t="s">
        <v>38</v>
      </c>
      <c r="Q695" t="s">
        <v>38</v>
      </c>
      <c r="R695">
        <v>1</v>
      </c>
      <c r="S695" t="s">
        <v>38</v>
      </c>
      <c r="T695">
        <v>5</v>
      </c>
      <c r="U695">
        <v>1.3</v>
      </c>
      <c r="V695">
        <v>10.3</v>
      </c>
      <c r="W695" t="s">
        <v>39</v>
      </c>
      <c r="X695" t="s">
        <v>63</v>
      </c>
      <c r="Y695" t="s">
        <v>39</v>
      </c>
      <c r="Z695" t="s">
        <v>64</v>
      </c>
      <c r="AA695" t="s">
        <v>82</v>
      </c>
      <c r="AB695" t="s">
        <v>55</v>
      </c>
      <c r="AC695">
        <f t="shared" si="110"/>
        <v>0</v>
      </c>
      <c r="AD695" s="12">
        <f t="shared" si="114"/>
        <v>1</v>
      </c>
      <c r="AE695" s="12">
        <f t="shared" si="115"/>
        <v>0</v>
      </c>
      <c r="AF695">
        <f t="shared" si="111"/>
        <v>1</v>
      </c>
      <c r="AG695">
        <f t="shared" si="116"/>
        <v>0</v>
      </c>
      <c r="AH695">
        <f t="shared" si="117"/>
        <v>0</v>
      </c>
      <c r="AI695">
        <f t="shared" si="118"/>
        <v>0</v>
      </c>
      <c r="AJ695">
        <f t="shared" si="119"/>
        <v>0</v>
      </c>
      <c r="AK695">
        <f t="shared" si="112"/>
        <v>0</v>
      </c>
      <c r="AL695">
        <f t="shared" si="120"/>
        <v>0</v>
      </c>
    </row>
    <row r="696" spans="1:38">
      <c r="A696" t="s">
        <v>2215</v>
      </c>
      <c r="B696" t="s">
        <v>2216</v>
      </c>
      <c r="C696" s="1">
        <f t="shared" si="113"/>
        <v>45292</v>
      </c>
      <c r="D696" t="s">
        <v>2217</v>
      </c>
      <c r="E696">
        <v>156.69999999999999</v>
      </c>
      <c r="F696">
        <v>6.5</v>
      </c>
      <c r="G696" t="s">
        <v>87</v>
      </c>
      <c r="H696" t="s">
        <v>309</v>
      </c>
      <c r="I696" t="s">
        <v>48</v>
      </c>
      <c r="J696">
        <v>120</v>
      </c>
      <c r="K696" t="s">
        <v>33</v>
      </c>
      <c r="L696" t="s">
        <v>70</v>
      </c>
      <c r="M696" t="s">
        <v>71</v>
      </c>
      <c r="N696" t="s">
        <v>164</v>
      </c>
      <c r="O696" t="s">
        <v>51</v>
      </c>
      <c r="P696" t="s">
        <v>38</v>
      </c>
      <c r="Q696" t="s">
        <v>39</v>
      </c>
      <c r="R696">
        <v>4</v>
      </c>
      <c r="S696" t="s">
        <v>38</v>
      </c>
      <c r="T696">
        <v>4</v>
      </c>
      <c r="U696">
        <v>1.4</v>
      </c>
      <c r="V696">
        <v>38.4</v>
      </c>
      <c r="W696" t="s">
        <v>39</v>
      </c>
      <c r="X696" t="s">
        <v>63</v>
      </c>
      <c r="Y696" t="s">
        <v>39</v>
      </c>
      <c r="Z696" t="s">
        <v>108</v>
      </c>
      <c r="AA696" t="s">
        <v>109</v>
      </c>
      <c r="AB696" t="s">
        <v>83</v>
      </c>
      <c r="AC696">
        <f t="shared" si="110"/>
        <v>0</v>
      </c>
      <c r="AD696" s="12">
        <f t="shared" si="114"/>
        <v>1</v>
      </c>
      <c r="AE696" s="12">
        <f t="shared" si="115"/>
        <v>0</v>
      </c>
      <c r="AF696">
        <f t="shared" si="111"/>
        <v>1</v>
      </c>
      <c r="AG696">
        <f t="shared" si="116"/>
        <v>0</v>
      </c>
      <c r="AH696">
        <f t="shared" si="117"/>
        <v>1</v>
      </c>
      <c r="AI696">
        <f t="shared" si="118"/>
        <v>0</v>
      </c>
      <c r="AJ696">
        <f t="shared" si="119"/>
        <v>0</v>
      </c>
      <c r="AK696">
        <f t="shared" si="112"/>
        <v>0</v>
      </c>
      <c r="AL696">
        <f t="shared" si="120"/>
        <v>0</v>
      </c>
    </row>
    <row r="697" spans="1:38">
      <c r="A697" t="s">
        <v>2218</v>
      </c>
      <c r="B697" t="s">
        <v>2219</v>
      </c>
      <c r="C697" s="1">
        <f t="shared" si="113"/>
        <v>45444</v>
      </c>
      <c r="D697" t="s">
        <v>2220</v>
      </c>
      <c r="E697">
        <v>251.2</v>
      </c>
      <c r="F697">
        <v>10.5</v>
      </c>
      <c r="G697" t="s">
        <v>93</v>
      </c>
      <c r="H697" t="s">
        <v>449</v>
      </c>
      <c r="I697" t="s">
        <v>79</v>
      </c>
      <c r="J697">
        <v>360</v>
      </c>
      <c r="K697" t="s">
        <v>49</v>
      </c>
      <c r="L697" t="s">
        <v>96</v>
      </c>
      <c r="M697" t="s">
        <v>35</v>
      </c>
      <c r="N697" t="s">
        <v>168</v>
      </c>
      <c r="O697" t="s">
        <v>51</v>
      </c>
      <c r="P697" t="s">
        <v>39</v>
      </c>
      <c r="Q697" t="s">
        <v>38</v>
      </c>
      <c r="R697">
        <v>0</v>
      </c>
      <c r="S697" t="s">
        <v>39</v>
      </c>
      <c r="T697">
        <v>10</v>
      </c>
      <c r="U697">
        <v>0.5</v>
      </c>
      <c r="V697">
        <v>39.1</v>
      </c>
      <c r="W697" t="s">
        <v>39</v>
      </c>
      <c r="X697" t="s">
        <v>52</v>
      </c>
      <c r="Y697" t="s">
        <v>39</v>
      </c>
      <c r="Z697" t="s">
        <v>53</v>
      </c>
      <c r="AA697" t="s">
        <v>42</v>
      </c>
      <c r="AB697" t="s">
        <v>55</v>
      </c>
      <c r="AC697">
        <f t="shared" si="110"/>
        <v>1</v>
      </c>
      <c r="AD697" s="12">
        <f t="shared" si="114"/>
        <v>0</v>
      </c>
      <c r="AE697" s="12">
        <f t="shared" si="115"/>
        <v>0</v>
      </c>
      <c r="AF697">
        <f t="shared" si="111"/>
        <v>1</v>
      </c>
      <c r="AG697">
        <f t="shared" si="116"/>
        <v>0</v>
      </c>
      <c r="AH697">
        <f t="shared" si="117"/>
        <v>0</v>
      </c>
      <c r="AI697">
        <f t="shared" si="118"/>
        <v>0</v>
      </c>
      <c r="AJ697">
        <f t="shared" si="119"/>
        <v>0</v>
      </c>
      <c r="AK697">
        <f t="shared" si="112"/>
        <v>0</v>
      </c>
      <c r="AL697">
        <f t="shared" si="120"/>
        <v>0</v>
      </c>
    </row>
    <row r="698" spans="1:38">
      <c r="A698" t="s">
        <v>2221</v>
      </c>
      <c r="B698" t="s">
        <v>2222</v>
      </c>
      <c r="C698" s="1">
        <f t="shared" si="113"/>
        <v>45566</v>
      </c>
      <c r="D698" t="s">
        <v>2223</v>
      </c>
      <c r="E698">
        <v>272.3</v>
      </c>
      <c r="F698">
        <v>11.3</v>
      </c>
      <c r="G698" t="s">
        <v>77</v>
      </c>
      <c r="H698" t="s">
        <v>244</v>
      </c>
      <c r="I698" t="s">
        <v>79</v>
      </c>
      <c r="J698">
        <v>360</v>
      </c>
      <c r="K698" t="s">
        <v>49</v>
      </c>
      <c r="L698" t="s">
        <v>96</v>
      </c>
      <c r="M698" t="s">
        <v>35</v>
      </c>
      <c r="N698" t="s">
        <v>72</v>
      </c>
      <c r="O698" t="s">
        <v>51</v>
      </c>
      <c r="P698" t="s">
        <v>39</v>
      </c>
      <c r="Q698" t="s">
        <v>38</v>
      </c>
      <c r="R698">
        <v>0</v>
      </c>
      <c r="S698" t="s">
        <v>38</v>
      </c>
      <c r="T698">
        <v>9</v>
      </c>
      <c r="U698">
        <v>5.6</v>
      </c>
      <c r="V698">
        <v>20.5</v>
      </c>
      <c r="W698" t="s">
        <v>39</v>
      </c>
      <c r="X698" t="s">
        <v>123</v>
      </c>
      <c r="Y698" t="s">
        <v>39</v>
      </c>
      <c r="Z698" t="s">
        <v>179</v>
      </c>
      <c r="AA698" t="s">
        <v>54</v>
      </c>
      <c r="AB698" t="s">
        <v>83</v>
      </c>
      <c r="AC698">
        <f t="shared" si="110"/>
        <v>0</v>
      </c>
      <c r="AD698" s="12">
        <f t="shared" si="114"/>
        <v>0</v>
      </c>
      <c r="AE698" s="12">
        <f t="shared" si="115"/>
        <v>1</v>
      </c>
      <c r="AF698">
        <f t="shared" si="111"/>
        <v>1</v>
      </c>
      <c r="AG698">
        <f t="shared" si="116"/>
        <v>0</v>
      </c>
      <c r="AH698">
        <f t="shared" si="117"/>
        <v>0</v>
      </c>
      <c r="AI698">
        <f t="shared" si="118"/>
        <v>0</v>
      </c>
      <c r="AJ698">
        <f t="shared" si="119"/>
        <v>0</v>
      </c>
      <c r="AK698">
        <f t="shared" si="112"/>
        <v>0</v>
      </c>
      <c r="AL698">
        <f t="shared" si="120"/>
        <v>0</v>
      </c>
    </row>
    <row r="699" spans="1:38">
      <c r="A699" t="s">
        <v>2224</v>
      </c>
      <c r="B699" t="s">
        <v>2225</v>
      </c>
      <c r="C699" s="1">
        <f t="shared" si="113"/>
        <v>45474</v>
      </c>
      <c r="D699" t="s">
        <v>2226</v>
      </c>
      <c r="E699">
        <v>78.5</v>
      </c>
      <c r="F699">
        <v>3.3</v>
      </c>
      <c r="G699" t="s">
        <v>30</v>
      </c>
      <c r="H699" t="s">
        <v>172</v>
      </c>
      <c r="I699" t="s">
        <v>48</v>
      </c>
      <c r="J699">
        <v>120</v>
      </c>
      <c r="K699" t="s">
        <v>49</v>
      </c>
      <c r="L699" t="s">
        <v>34</v>
      </c>
      <c r="M699" t="s">
        <v>35</v>
      </c>
      <c r="N699" t="s">
        <v>202</v>
      </c>
      <c r="O699" t="s">
        <v>51</v>
      </c>
      <c r="P699" t="s">
        <v>39</v>
      </c>
      <c r="Q699" t="s">
        <v>38</v>
      </c>
      <c r="R699">
        <v>0</v>
      </c>
      <c r="S699" t="s">
        <v>38</v>
      </c>
      <c r="T699">
        <v>10</v>
      </c>
      <c r="U699">
        <v>2</v>
      </c>
      <c r="V699">
        <v>20.100000000000001</v>
      </c>
      <c r="W699" t="s">
        <v>38</v>
      </c>
      <c r="X699" t="s">
        <v>63</v>
      </c>
      <c r="Y699" t="s">
        <v>38</v>
      </c>
      <c r="Z699" t="s">
        <v>41</v>
      </c>
      <c r="AA699" t="s">
        <v>54</v>
      </c>
      <c r="AB699" t="s">
        <v>55</v>
      </c>
      <c r="AC699">
        <f t="shared" si="110"/>
        <v>0</v>
      </c>
      <c r="AD699" s="12">
        <f t="shared" si="114"/>
        <v>1</v>
      </c>
      <c r="AE699" s="12">
        <f t="shared" si="115"/>
        <v>0</v>
      </c>
      <c r="AF699">
        <f t="shared" si="111"/>
        <v>1</v>
      </c>
      <c r="AG699">
        <f t="shared" si="116"/>
        <v>0</v>
      </c>
      <c r="AH699">
        <f t="shared" si="117"/>
        <v>1</v>
      </c>
      <c r="AI699">
        <f t="shared" si="118"/>
        <v>0</v>
      </c>
      <c r="AJ699">
        <f t="shared" si="119"/>
        <v>0</v>
      </c>
      <c r="AK699">
        <f t="shared" si="112"/>
        <v>1</v>
      </c>
      <c r="AL699">
        <f t="shared" si="120"/>
        <v>1</v>
      </c>
    </row>
    <row r="700" spans="1:38">
      <c r="A700" t="s">
        <v>2227</v>
      </c>
      <c r="B700" t="s">
        <v>2228</v>
      </c>
      <c r="C700" s="1">
        <f t="shared" si="113"/>
        <v>45536</v>
      </c>
      <c r="D700" t="s">
        <v>2229</v>
      </c>
      <c r="E700">
        <v>180.5</v>
      </c>
      <c r="F700">
        <v>7.5</v>
      </c>
      <c r="G700" t="s">
        <v>30</v>
      </c>
      <c r="H700" t="s">
        <v>172</v>
      </c>
      <c r="I700" t="s">
        <v>32</v>
      </c>
      <c r="J700">
        <v>240</v>
      </c>
      <c r="K700" t="s">
        <v>49</v>
      </c>
      <c r="L700" t="s">
        <v>70</v>
      </c>
      <c r="M700" t="s">
        <v>71</v>
      </c>
      <c r="N700" t="s">
        <v>506</v>
      </c>
      <c r="O700" t="s">
        <v>7232</v>
      </c>
      <c r="P700" t="s">
        <v>38</v>
      </c>
      <c r="Q700" t="s">
        <v>39</v>
      </c>
      <c r="R700">
        <v>3</v>
      </c>
      <c r="S700" t="s">
        <v>38</v>
      </c>
      <c r="T700">
        <v>10</v>
      </c>
      <c r="U700">
        <v>2.8</v>
      </c>
      <c r="V700">
        <v>12.2</v>
      </c>
      <c r="W700" t="s">
        <v>39</v>
      </c>
      <c r="X700" t="s">
        <v>52</v>
      </c>
      <c r="Y700" t="s">
        <v>38</v>
      </c>
      <c r="Z700" t="s">
        <v>53</v>
      </c>
      <c r="AA700" t="s">
        <v>109</v>
      </c>
      <c r="AB700" t="s">
        <v>83</v>
      </c>
      <c r="AC700">
        <f t="shared" si="110"/>
        <v>1</v>
      </c>
      <c r="AD700" s="12">
        <f t="shared" si="114"/>
        <v>0</v>
      </c>
      <c r="AE700" s="12">
        <f t="shared" si="115"/>
        <v>0</v>
      </c>
      <c r="AF700">
        <f t="shared" si="111"/>
        <v>0</v>
      </c>
      <c r="AG700">
        <f t="shared" si="116"/>
        <v>1</v>
      </c>
      <c r="AH700">
        <f t="shared" si="117"/>
        <v>0</v>
      </c>
      <c r="AI700">
        <f t="shared" si="118"/>
        <v>0</v>
      </c>
      <c r="AJ700">
        <f t="shared" si="119"/>
        <v>1</v>
      </c>
      <c r="AK700">
        <f t="shared" si="112"/>
        <v>1</v>
      </c>
      <c r="AL700">
        <f t="shared" si="120"/>
        <v>1</v>
      </c>
    </row>
    <row r="701" spans="1:38">
      <c r="A701" t="s">
        <v>2230</v>
      </c>
      <c r="B701" t="s">
        <v>2231</v>
      </c>
      <c r="C701" s="1">
        <f t="shared" si="113"/>
        <v>45383</v>
      </c>
      <c r="D701" t="s">
        <v>2232</v>
      </c>
      <c r="E701">
        <v>326.39999999999998</v>
      </c>
      <c r="F701">
        <v>13.6</v>
      </c>
      <c r="G701" t="s">
        <v>30</v>
      </c>
      <c r="H701" t="s">
        <v>47</v>
      </c>
      <c r="I701" t="s">
        <v>48</v>
      </c>
      <c r="J701">
        <v>120</v>
      </c>
      <c r="K701" t="s">
        <v>33</v>
      </c>
      <c r="L701" t="s">
        <v>34</v>
      </c>
      <c r="M701" t="s">
        <v>71</v>
      </c>
      <c r="N701" t="s">
        <v>192</v>
      </c>
      <c r="O701" t="s">
        <v>51</v>
      </c>
      <c r="P701" t="s">
        <v>38</v>
      </c>
      <c r="Q701" t="s">
        <v>39</v>
      </c>
      <c r="R701">
        <v>3</v>
      </c>
      <c r="S701" t="s">
        <v>38</v>
      </c>
      <c r="T701">
        <v>7</v>
      </c>
      <c r="U701">
        <v>4</v>
      </c>
      <c r="V701">
        <v>29.4</v>
      </c>
      <c r="W701" t="s">
        <v>39</v>
      </c>
      <c r="X701" t="s">
        <v>123</v>
      </c>
      <c r="Y701" t="s">
        <v>38</v>
      </c>
      <c r="Z701" t="s">
        <v>64</v>
      </c>
      <c r="AA701" t="s">
        <v>82</v>
      </c>
      <c r="AB701" t="s">
        <v>83</v>
      </c>
      <c r="AC701">
        <f t="shared" si="110"/>
        <v>0</v>
      </c>
      <c r="AD701" s="12">
        <f t="shared" si="114"/>
        <v>0</v>
      </c>
      <c r="AE701" s="12">
        <f t="shared" si="115"/>
        <v>1</v>
      </c>
      <c r="AF701">
        <f t="shared" si="111"/>
        <v>1</v>
      </c>
      <c r="AG701">
        <f t="shared" si="116"/>
        <v>0</v>
      </c>
      <c r="AH701">
        <f t="shared" si="117"/>
        <v>1</v>
      </c>
      <c r="AI701">
        <f t="shared" si="118"/>
        <v>0</v>
      </c>
      <c r="AJ701">
        <f t="shared" si="119"/>
        <v>0</v>
      </c>
      <c r="AK701">
        <f t="shared" si="112"/>
        <v>1</v>
      </c>
      <c r="AL701">
        <f t="shared" si="120"/>
        <v>1</v>
      </c>
    </row>
    <row r="702" spans="1:38">
      <c r="A702" t="s">
        <v>2233</v>
      </c>
      <c r="B702" t="s">
        <v>2234</v>
      </c>
      <c r="C702" s="1">
        <f t="shared" si="113"/>
        <v>45536</v>
      </c>
      <c r="D702" t="s">
        <v>2235</v>
      </c>
      <c r="E702">
        <v>159.30000000000001</v>
      </c>
      <c r="F702">
        <v>6.6</v>
      </c>
      <c r="G702" t="s">
        <v>30</v>
      </c>
      <c r="H702" t="s">
        <v>47</v>
      </c>
      <c r="I702" t="s">
        <v>48</v>
      </c>
      <c r="J702">
        <v>120</v>
      </c>
      <c r="K702" t="s">
        <v>33</v>
      </c>
      <c r="L702" t="s">
        <v>96</v>
      </c>
      <c r="M702" t="s">
        <v>35</v>
      </c>
      <c r="N702" t="s">
        <v>299</v>
      </c>
      <c r="O702" t="s">
        <v>7232</v>
      </c>
      <c r="P702" t="s">
        <v>39</v>
      </c>
      <c r="Q702" t="s">
        <v>38</v>
      </c>
      <c r="R702">
        <v>0</v>
      </c>
      <c r="S702" t="s">
        <v>38</v>
      </c>
      <c r="T702">
        <v>8</v>
      </c>
      <c r="U702">
        <v>2.9</v>
      </c>
      <c r="V702">
        <v>33.299999999999997</v>
      </c>
      <c r="W702" t="s">
        <v>38</v>
      </c>
      <c r="X702" t="s">
        <v>40</v>
      </c>
      <c r="Y702" t="s">
        <v>38</v>
      </c>
      <c r="Z702" t="s">
        <v>179</v>
      </c>
      <c r="AA702" t="s">
        <v>103</v>
      </c>
      <c r="AB702" t="s">
        <v>55</v>
      </c>
      <c r="AC702">
        <f t="shared" si="110"/>
        <v>0</v>
      </c>
      <c r="AD702" s="12">
        <f t="shared" si="114"/>
        <v>0</v>
      </c>
      <c r="AE702" s="12">
        <f t="shared" si="115"/>
        <v>0</v>
      </c>
      <c r="AF702">
        <f t="shared" si="111"/>
        <v>0</v>
      </c>
      <c r="AG702">
        <f t="shared" si="116"/>
        <v>1</v>
      </c>
      <c r="AH702">
        <f t="shared" si="117"/>
        <v>1</v>
      </c>
      <c r="AI702">
        <f t="shared" si="118"/>
        <v>0</v>
      </c>
      <c r="AJ702">
        <f t="shared" si="119"/>
        <v>0</v>
      </c>
      <c r="AK702">
        <f t="shared" si="112"/>
        <v>1</v>
      </c>
      <c r="AL702">
        <f t="shared" si="120"/>
        <v>1</v>
      </c>
    </row>
    <row r="703" spans="1:38">
      <c r="A703" t="s">
        <v>2236</v>
      </c>
      <c r="B703" t="s">
        <v>2237</v>
      </c>
      <c r="C703" s="1">
        <f t="shared" si="113"/>
        <v>45352</v>
      </c>
      <c r="D703" t="s">
        <v>2238</v>
      </c>
      <c r="E703">
        <v>79.400000000000006</v>
      </c>
      <c r="F703">
        <v>3.3</v>
      </c>
      <c r="G703" t="s">
        <v>87</v>
      </c>
      <c r="H703" t="s">
        <v>309</v>
      </c>
      <c r="I703" t="s">
        <v>48</v>
      </c>
      <c r="J703">
        <v>120</v>
      </c>
      <c r="K703" t="s">
        <v>49</v>
      </c>
      <c r="L703" t="s">
        <v>96</v>
      </c>
      <c r="M703" t="s">
        <v>71</v>
      </c>
      <c r="N703" t="s">
        <v>134</v>
      </c>
      <c r="O703" t="s">
        <v>7232</v>
      </c>
      <c r="P703" t="s">
        <v>38</v>
      </c>
      <c r="Q703" t="s">
        <v>39</v>
      </c>
      <c r="R703">
        <v>2</v>
      </c>
      <c r="S703" t="s">
        <v>38</v>
      </c>
      <c r="T703">
        <v>10</v>
      </c>
      <c r="U703">
        <v>2.7</v>
      </c>
      <c r="V703">
        <v>15.7</v>
      </c>
      <c r="W703" t="s">
        <v>39</v>
      </c>
      <c r="X703" t="s">
        <v>123</v>
      </c>
      <c r="Y703" t="s">
        <v>39</v>
      </c>
      <c r="Z703" t="s">
        <v>73</v>
      </c>
      <c r="AA703" t="s">
        <v>42</v>
      </c>
      <c r="AB703" t="s">
        <v>43</v>
      </c>
      <c r="AC703">
        <f t="shared" si="110"/>
        <v>0</v>
      </c>
      <c r="AD703" s="12">
        <f t="shared" si="114"/>
        <v>0</v>
      </c>
      <c r="AE703" s="12">
        <f t="shared" si="115"/>
        <v>1</v>
      </c>
      <c r="AF703">
        <f t="shared" si="111"/>
        <v>0</v>
      </c>
      <c r="AG703">
        <f t="shared" si="116"/>
        <v>1</v>
      </c>
      <c r="AH703">
        <f t="shared" si="117"/>
        <v>1</v>
      </c>
      <c r="AI703">
        <f t="shared" si="118"/>
        <v>0</v>
      </c>
      <c r="AJ703">
        <f t="shared" si="119"/>
        <v>0</v>
      </c>
      <c r="AK703">
        <f t="shared" si="112"/>
        <v>0</v>
      </c>
      <c r="AL703">
        <f t="shared" si="120"/>
        <v>0</v>
      </c>
    </row>
    <row r="704" spans="1:38">
      <c r="A704" t="s">
        <v>2239</v>
      </c>
      <c r="B704" t="s">
        <v>2240</v>
      </c>
      <c r="C704" s="1">
        <f t="shared" si="113"/>
        <v>45352</v>
      </c>
      <c r="D704" t="s">
        <v>2241</v>
      </c>
      <c r="E704">
        <v>110.8</v>
      </c>
      <c r="F704">
        <v>4.5999999999999996</v>
      </c>
      <c r="G704" t="s">
        <v>101</v>
      </c>
      <c r="H704" t="s">
        <v>368</v>
      </c>
      <c r="I704" t="s">
        <v>48</v>
      </c>
      <c r="J704">
        <v>120</v>
      </c>
      <c r="K704" t="s">
        <v>49</v>
      </c>
      <c r="L704" t="s">
        <v>34</v>
      </c>
      <c r="M704" t="s">
        <v>71</v>
      </c>
      <c r="N704" t="s">
        <v>506</v>
      </c>
      <c r="O704" t="s">
        <v>37</v>
      </c>
      <c r="P704" t="s">
        <v>38</v>
      </c>
      <c r="Q704" t="s">
        <v>39</v>
      </c>
      <c r="R704">
        <v>2</v>
      </c>
      <c r="S704" t="s">
        <v>38</v>
      </c>
      <c r="T704">
        <v>8</v>
      </c>
      <c r="U704">
        <v>0.9</v>
      </c>
      <c r="V704">
        <v>1.9</v>
      </c>
      <c r="W704" t="s">
        <v>38</v>
      </c>
      <c r="X704" t="s">
        <v>52</v>
      </c>
      <c r="Y704" t="s">
        <v>38</v>
      </c>
      <c r="Z704" t="s">
        <v>73</v>
      </c>
      <c r="AA704" t="s">
        <v>42</v>
      </c>
      <c r="AB704" t="s">
        <v>83</v>
      </c>
      <c r="AC704">
        <f t="shared" si="110"/>
        <v>1</v>
      </c>
      <c r="AD704" s="12">
        <f t="shared" si="114"/>
        <v>0</v>
      </c>
      <c r="AE704" s="12">
        <f t="shared" si="115"/>
        <v>0</v>
      </c>
      <c r="AF704">
        <f t="shared" si="111"/>
        <v>0</v>
      </c>
      <c r="AG704">
        <f t="shared" si="116"/>
        <v>0</v>
      </c>
      <c r="AH704">
        <f t="shared" si="117"/>
        <v>1</v>
      </c>
      <c r="AI704">
        <f t="shared" si="118"/>
        <v>0</v>
      </c>
      <c r="AJ704">
        <f t="shared" si="119"/>
        <v>0</v>
      </c>
      <c r="AK704">
        <f t="shared" si="112"/>
        <v>0</v>
      </c>
      <c r="AL704">
        <f t="shared" si="120"/>
        <v>1</v>
      </c>
    </row>
    <row r="705" spans="1:38">
      <c r="A705" t="s">
        <v>2242</v>
      </c>
      <c r="B705" t="s">
        <v>2243</v>
      </c>
      <c r="C705" s="1">
        <f t="shared" si="113"/>
        <v>45444</v>
      </c>
      <c r="D705" t="s">
        <v>2244</v>
      </c>
      <c r="E705">
        <v>511.2</v>
      </c>
      <c r="F705">
        <v>21.3</v>
      </c>
      <c r="G705" t="s">
        <v>77</v>
      </c>
      <c r="H705" t="s">
        <v>244</v>
      </c>
      <c r="I705" t="s">
        <v>79</v>
      </c>
      <c r="J705">
        <v>360</v>
      </c>
      <c r="K705" t="s">
        <v>33</v>
      </c>
      <c r="L705" t="s">
        <v>113</v>
      </c>
      <c r="M705" t="s">
        <v>35</v>
      </c>
      <c r="N705" t="s">
        <v>144</v>
      </c>
      <c r="O705" t="s">
        <v>7232</v>
      </c>
      <c r="P705" t="s">
        <v>39</v>
      </c>
      <c r="Q705" t="s">
        <v>38</v>
      </c>
      <c r="R705">
        <v>0</v>
      </c>
      <c r="S705" t="s">
        <v>38</v>
      </c>
      <c r="T705">
        <v>7</v>
      </c>
      <c r="U705">
        <v>3.8</v>
      </c>
      <c r="V705">
        <v>33.4</v>
      </c>
      <c r="W705" t="s">
        <v>38</v>
      </c>
      <c r="X705" t="s">
        <v>52</v>
      </c>
      <c r="Y705" t="s">
        <v>39</v>
      </c>
      <c r="Z705" t="s">
        <v>115</v>
      </c>
      <c r="AA705" t="s">
        <v>82</v>
      </c>
      <c r="AB705" t="s">
        <v>83</v>
      </c>
      <c r="AC705">
        <f t="shared" si="110"/>
        <v>1</v>
      </c>
      <c r="AD705" s="12">
        <f t="shared" si="114"/>
        <v>0</v>
      </c>
      <c r="AE705" s="12">
        <f t="shared" si="115"/>
        <v>0</v>
      </c>
      <c r="AF705">
        <f t="shared" si="111"/>
        <v>0</v>
      </c>
      <c r="AG705">
        <f t="shared" si="116"/>
        <v>1</v>
      </c>
      <c r="AH705">
        <f t="shared" si="117"/>
        <v>0</v>
      </c>
      <c r="AI705">
        <f t="shared" si="118"/>
        <v>0</v>
      </c>
      <c r="AJ705">
        <f t="shared" si="119"/>
        <v>0</v>
      </c>
      <c r="AK705">
        <f t="shared" si="112"/>
        <v>0</v>
      </c>
      <c r="AL705">
        <f t="shared" si="120"/>
        <v>0</v>
      </c>
    </row>
    <row r="706" spans="1:38">
      <c r="A706" t="s">
        <v>2245</v>
      </c>
      <c r="B706" t="s">
        <v>2246</v>
      </c>
      <c r="C706" s="1">
        <f t="shared" si="113"/>
        <v>45323</v>
      </c>
      <c r="D706" t="s">
        <v>2247</v>
      </c>
      <c r="E706">
        <v>143.6</v>
      </c>
      <c r="F706">
        <v>6</v>
      </c>
      <c r="G706" t="s">
        <v>101</v>
      </c>
      <c r="H706" t="s">
        <v>368</v>
      </c>
      <c r="I706" t="s">
        <v>48</v>
      </c>
      <c r="J706">
        <v>120</v>
      </c>
      <c r="K706" t="s">
        <v>33</v>
      </c>
      <c r="L706" t="s">
        <v>70</v>
      </c>
      <c r="M706" t="s">
        <v>71</v>
      </c>
      <c r="N706" t="s">
        <v>155</v>
      </c>
      <c r="O706" t="s">
        <v>37</v>
      </c>
      <c r="P706" t="s">
        <v>38</v>
      </c>
      <c r="Q706" t="s">
        <v>39</v>
      </c>
      <c r="R706">
        <v>1</v>
      </c>
      <c r="S706" t="s">
        <v>38</v>
      </c>
      <c r="T706">
        <v>6</v>
      </c>
      <c r="U706">
        <v>1.9</v>
      </c>
      <c r="V706">
        <v>27.2</v>
      </c>
      <c r="W706" t="s">
        <v>39</v>
      </c>
      <c r="X706" t="s">
        <v>52</v>
      </c>
      <c r="Y706" t="s">
        <v>39</v>
      </c>
      <c r="Z706" t="s">
        <v>41</v>
      </c>
      <c r="AA706" t="s">
        <v>103</v>
      </c>
      <c r="AB706" t="s">
        <v>55</v>
      </c>
      <c r="AC706">
        <f t="shared" ref="AC706:AC769" si="121">IF(X706="Poor", 1, 0)</f>
        <v>1</v>
      </c>
      <c r="AD706" s="12">
        <f t="shared" si="114"/>
        <v>0</v>
      </c>
      <c r="AE706" s="12">
        <f t="shared" si="115"/>
        <v>0</v>
      </c>
      <c r="AF706">
        <f t="shared" ref="AF706:AF769" si="122">IF(O706="Junior", 1, 0)</f>
        <v>0</v>
      </c>
      <c r="AG706">
        <f t="shared" si="116"/>
        <v>0</v>
      </c>
      <c r="AH706">
        <f t="shared" si="117"/>
        <v>1</v>
      </c>
      <c r="AI706">
        <f t="shared" si="118"/>
        <v>0</v>
      </c>
      <c r="AJ706">
        <f t="shared" si="119"/>
        <v>0</v>
      </c>
      <c r="AK706">
        <f t="shared" ref="AK706:AK769" si="123">IF(G706="Access Requests", 1, 0)</f>
        <v>0</v>
      </c>
      <c r="AL706">
        <f t="shared" si="120"/>
        <v>0</v>
      </c>
    </row>
    <row r="707" spans="1:38">
      <c r="A707" t="s">
        <v>2248</v>
      </c>
      <c r="B707" t="s">
        <v>2249</v>
      </c>
      <c r="C707" s="1">
        <f t="shared" ref="C707:C770" si="124">DATE(YEAR(B707),MONTH(B707),1)</f>
        <v>45444</v>
      </c>
      <c r="D707" t="s">
        <v>2250</v>
      </c>
      <c r="E707">
        <v>309</v>
      </c>
      <c r="F707">
        <v>12.9</v>
      </c>
      <c r="G707" t="s">
        <v>101</v>
      </c>
      <c r="H707" t="s">
        <v>295</v>
      </c>
      <c r="I707" t="s">
        <v>32</v>
      </c>
      <c r="J707">
        <v>240</v>
      </c>
      <c r="K707" t="s">
        <v>33</v>
      </c>
      <c r="L707" t="s">
        <v>96</v>
      </c>
      <c r="M707" t="s">
        <v>35</v>
      </c>
      <c r="N707" t="s">
        <v>192</v>
      </c>
      <c r="O707" t="s">
        <v>7232</v>
      </c>
      <c r="P707" t="s">
        <v>38</v>
      </c>
      <c r="Q707" t="s">
        <v>38</v>
      </c>
      <c r="R707">
        <v>1</v>
      </c>
      <c r="S707" t="s">
        <v>38</v>
      </c>
      <c r="T707">
        <v>7</v>
      </c>
      <c r="U707">
        <v>2.6</v>
      </c>
      <c r="V707">
        <v>38.200000000000003</v>
      </c>
      <c r="W707" t="s">
        <v>38</v>
      </c>
      <c r="X707" t="s">
        <v>123</v>
      </c>
      <c r="Y707" t="s">
        <v>38</v>
      </c>
      <c r="Z707" t="s">
        <v>41</v>
      </c>
      <c r="AA707" t="s">
        <v>42</v>
      </c>
      <c r="AB707" t="s">
        <v>83</v>
      </c>
      <c r="AC707">
        <f t="shared" si="121"/>
        <v>0</v>
      </c>
      <c r="AD707" s="12">
        <f t="shared" ref="AD707:AD770" si="125">IF(X707="Fair", 1, 0)</f>
        <v>0</v>
      </c>
      <c r="AE707" s="12">
        <f t="shared" ref="AE707:AE770" si="126">IF(X707="Good", 1, 0)</f>
        <v>1</v>
      </c>
      <c r="AF707">
        <f t="shared" si="122"/>
        <v>0</v>
      </c>
      <c r="AG707">
        <f t="shared" ref="AG707:AG770" si="127">IF(O707="Mid", 1, 0)</f>
        <v>1</v>
      </c>
      <c r="AH707">
        <f t="shared" ref="AH707:AH770" si="128">IF(I707="High", 1, 0)</f>
        <v>0</v>
      </c>
      <c r="AI707">
        <f t="shared" ref="AI707:AI770" si="129">IF(I707="Critical", 1, 0)</f>
        <v>0</v>
      </c>
      <c r="AJ707">
        <f t="shared" ref="AJ707:AJ770" si="130">IF(I707="Medium", 1, 0)</f>
        <v>1</v>
      </c>
      <c r="AK707">
        <f t="shared" si="123"/>
        <v>0</v>
      </c>
      <c r="AL707">
        <f t="shared" ref="AL707:AL770" si="131">IF(Y707="No", 1, 0)</f>
        <v>1</v>
      </c>
    </row>
    <row r="708" spans="1:38">
      <c r="A708" t="s">
        <v>2251</v>
      </c>
      <c r="B708" t="s">
        <v>2252</v>
      </c>
      <c r="C708" s="1">
        <f t="shared" si="124"/>
        <v>45444</v>
      </c>
      <c r="D708" t="s">
        <v>2253</v>
      </c>
      <c r="E708">
        <v>340.9</v>
      </c>
      <c r="F708">
        <v>14.2</v>
      </c>
      <c r="G708" t="s">
        <v>77</v>
      </c>
      <c r="H708" t="s">
        <v>244</v>
      </c>
      <c r="I708" t="s">
        <v>79</v>
      </c>
      <c r="J708">
        <v>360</v>
      </c>
      <c r="K708" t="s">
        <v>49</v>
      </c>
      <c r="L708" t="s">
        <v>96</v>
      </c>
      <c r="M708" t="s">
        <v>35</v>
      </c>
      <c r="N708" t="s">
        <v>188</v>
      </c>
      <c r="O708" t="s">
        <v>7232</v>
      </c>
      <c r="P708" t="s">
        <v>39</v>
      </c>
      <c r="Q708" t="s">
        <v>38</v>
      </c>
      <c r="R708">
        <v>0</v>
      </c>
      <c r="S708" t="s">
        <v>38</v>
      </c>
      <c r="T708">
        <v>10</v>
      </c>
      <c r="U708">
        <v>1.8</v>
      </c>
      <c r="V708">
        <v>15.3</v>
      </c>
      <c r="W708" t="s">
        <v>39</v>
      </c>
      <c r="X708" t="s">
        <v>63</v>
      </c>
      <c r="Y708" t="s">
        <v>39</v>
      </c>
      <c r="Z708" t="s">
        <v>81</v>
      </c>
      <c r="AA708" t="s">
        <v>103</v>
      </c>
      <c r="AB708" t="s">
        <v>55</v>
      </c>
      <c r="AC708">
        <f t="shared" si="121"/>
        <v>0</v>
      </c>
      <c r="AD708" s="12">
        <f t="shared" si="125"/>
        <v>1</v>
      </c>
      <c r="AE708" s="12">
        <f t="shared" si="126"/>
        <v>0</v>
      </c>
      <c r="AF708">
        <f t="shared" si="122"/>
        <v>0</v>
      </c>
      <c r="AG708">
        <f t="shared" si="127"/>
        <v>1</v>
      </c>
      <c r="AH708">
        <f t="shared" si="128"/>
        <v>0</v>
      </c>
      <c r="AI708">
        <f t="shared" si="129"/>
        <v>0</v>
      </c>
      <c r="AJ708">
        <f t="shared" si="130"/>
        <v>0</v>
      </c>
      <c r="AK708">
        <f t="shared" si="123"/>
        <v>0</v>
      </c>
      <c r="AL708">
        <f t="shared" si="131"/>
        <v>0</v>
      </c>
    </row>
    <row r="709" spans="1:38">
      <c r="A709" t="s">
        <v>2254</v>
      </c>
      <c r="B709" t="s">
        <v>2255</v>
      </c>
      <c r="C709" s="1">
        <f t="shared" si="124"/>
        <v>45323</v>
      </c>
      <c r="D709" t="s">
        <v>2256</v>
      </c>
      <c r="E709">
        <v>614.20000000000005</v>
      </c>
      <c r="F709">
        <v>25.6</v>
      </c>
      <c r="G709" t="s">
        <v>77</v>
      </c>
      <c r="H709" t="s">
        <v>187</v>
      </c>
      <c r="I709" t="s">
        <v>79</v>
      </c>
      <c r="J709">
        <v>360</v>
      </c>
      <c r="K709" t="s">
        <v>33</v>
      </c>
      <c r="L709" t="s">
        <v>70</v>
      </c>
      <c r="M709" t="s">
        <v>35</v>
      </c>
      <c r="N709" t="s">
        <v>202</v>
      </c>
      <c r="O709" t="s">
        <v>51</v>
      </c>
      <c r="P709" t="s">
        <v>39</v>
      </c>
      <c r="Q709" t="s">
        <v>38</v>
      </c>
      <c r="R709">
        <v>0</v>
      </c>
      <c r="S709" t="s">
        <v>38</v>
      </c>
      <c r="T709">
        <v>7</v>
      </c>
      <c r="U709">
        <v>0.1</v>
      </c>
      <c r="V709">
        <v>11.3</v>
      </c>
      <c r="W709" t="s">
        <v>39</v>
      </c>
      <c r="X709" t="s">
        <v>40</v>
      </c>
      <c r="Y709" t="s">
        <v>38</v>
      </c>
      <c r="Z709" t="s">
        <v>179</v>
      </c>
      <c r="AA709" t="s">
        <v>54</v>
      </c>
      <c r="AB709" t="s">
        <v>43</v>
      </c>
      <c r="AC709">
        <f t="shared" si="121"/>
        <v>0</v>
      </c>
      <c r="AD709" s="12">
        <f t="shared" si="125"/>
        <v>0</v>
      </c>
      <c r="AE709" s="12">
        <f t="shared" si="126"/>
        <v>0</v>
      </c>
      <c r="AF709">
        <f t="shared" si="122"/>
        <v>1</v>
      </c>
      <c r="AG709">
        <f t="shared" si="127"/>
        <v>0</v>
      </c>
      <c r="AH709">
        <f t="shared" si="128"/>
        <v>0</v>
      </c>
      <c r="AI709">
        <f t="shared" si="129"/>
        <v>0</v>
      </c>
      <c r="AJ709">
        <f t="shared" si="130"/>
        <v>0</v>
      </c>
      <c r="AK709">
        <f t="shared" si="123"/>
        <v>0</v>
      </c>
      <c r="AL709">
        <f t="shared" si="131"/>
        <v>1</v>
      </c>
    </row>
    <row r="710" spans="1:38">
      <c r="A710" t="s">
        <v>2257</v>
      </c>
      <c r="B710" t="s">
        <v>2258</v>
      </c>
      <c r="C710" s="1">
        <f t="shared" si="124"/>
        <v>45597</v>
      </c>
      <c r="D710" t="s">
        <v>2259</v>
      </c>
      <c r="E710">
        <v>268.60000000000002</v>
      </c>
      <c r="F710">
        <v>11.2</v>
      </c>
      <c r="G710" t="s">
        <v>93</v>
      </c>
      <c r="H710" t="s">
        <v>449</v>
      </c>
      <c r="I710" t="s">
        <v>79</v>
      </c>
      <c r="J710">
        <v>360</v>
      </c>
      <c r="K710" t="s">
        <v>49</v>
      </c>
      <c r="L710" t="s">
        <v>96</v>
      </c>
      <c r="M710" t="s">
        <v>71</v>
      </c>
      <c r="N710" t="s">
        <v>107</v>
      </c>
      <c r="O710" t="s">
        <v>51</v>
      </c>
      <c r="P710" t="s">
        <v>38</v>
      </c>
      <c r="Q710" t="s">
        <v>39</v>
      </c>
      <c r="R710">
        <v>1</v>
      </c>
      <c r="S710" t="s">
        <v>38</v>
      </c>
      <c r="T710">
        <v>6</v>
      </c>
      <c r="U710">
        <v>4.0999999999999996</v>
      </c>
      <c r="V710">
        <v>0</v>
      </c>
      <c r="W710" t="s">
        <v>39</v>
      </c>
      <c r="X710" t="s">
        <v>63</v>
      </c>
      <c r="Y710" t="s">
        <v>39</v>
      </c>
      <c r="Z710" t="s">
        <v>81</v>
      </c>
      <c r="AA710" t="s">
        <v>109</v>
      </c>
      <c r="AB710" t="s">
        <v>55</v>
      </c>
      <c r="AC710">
        <f t="shared" si="121"/>
        <v>0</v>
      </c>
      <c r="AD710" s="12">
        <f t="shared" si="125"/>
        <v>1</v>
      </c>
      <c r="AE710" s="12">
        <f t="shared" si="126"/>
        <v>0</v>
      </c>
      <c r="AF710">
        <f t="shared" si="122"/>
        <v>1</v>
      </c>
      <c r="AG710">
        <f t="shared" si="127"/>
        <v>0</v>
      </c>
      <c r="AH710">
        <f t="shared" si="128"/>
        <v>0</v>
      </c>
      <c r="AI710">
        <f t="shared" si="129"/>
        <v>0</v>
      </c>
      <c r="AJ710">
        <f t="shared" si="130"/>
        <v>0</v>
      </c>
      <c r="AK710">
        <f t="shared" si="123"/>
        <v>0</v>
      </c>
      <c r="AL710">
        <f t="shared" si="131"/>
        <v>0</v>
      </c>
    </row>
    <row r="711" spans="1:38">
      <c r="A711" t="s">
        <v>2260</v>
      </c>
      <c r="B711" t="s">
        <v>2261</v>
      </c>
      <c r="C711" s="1">
        <f t="shared" si="124"/>
        <v>45383</v>
      </c>
      <c r="D711" t="s">
        <v>2262</v>
      </c>
      <c r="E711">
        <v>36.4</v>
      </c>
      <c r="F711">
        <v>1.5</v>
      </c>
      <c r="G711" t="s">
        <v>30</v>
      </c>
      <c r="H711" t="s">
        <v>172</v>
      </c>
      <c r="I711" t="s">
        <v>95</v>
      </c>
      <c r="J711">
        <v>48</v>
      </c>
      <c r="K711" t="s">
        <v>49</v>
      </c>
      <c r="L711" t="s">
        <v>34</v>
      </c>
      <c r="M711" t="s">
        <v>71</v>
      </c>
      <c r="N711" t="s">
        <v>97</v>
      </c>
      <c r="O711" t="s">
        <v>7232</v>
      </c>
      <c r="P711" t="s">
        <v>38</v>
      </c>
      <c r="Q711" t="s">
        <v>39</v>
      </c>
      <c r="R711">
        <v>1</v>
      </c>
      <c r="S711" t="s">
        <v>38</v>
      </c>
      <c r="T711">
        <v>7</v>
      </c>
      <c r="U711">
        <v>5.8</v>
      </c>
      <c r="V711">
        <v>8.6</v>
      </c>
      <c r="W711" t="s">
        <v>38</v>
      </c>
      <c r="X711" t="s">
        <v>52</v>
      </c>
      <c r="Y711" t="s">
        <v>38</v>
      </c>
      <c r="Z711" t="s">
        <v>115</v>
      </c>
      <c r="AA711" t="s">
        <v>54</v>
      </c>
      <c r="AB711" t="s">
        <v>55</v>
      </c>
      <c r="AC711">
        <f t="shared" si="121"/>
        <v>1</v>
      </c>
      <c r="AD711" s="12">
        <f t="shared" si="125"/>
        <v>0</v>
      </c>
      <c r="AE711" s="12">
        <f t="shared" si="126"/>
        <v>0</v>
      </c>
      <c r="AF711">
        <f t="shared" si="122"/>
        <v>0</v>
      </c>
      <c r="AG711">
        <f t="shared" si="127"/>
        <v>1</v>
      </c>
      <c r="AH711">
        <f t="shared" si="128"/>
        <v>0</v>
      </c>
      <c r="AI711">
        <f t="shared" si="129"/>
        <v>1</v>
      </c>
      <c r="AJ711">
        <f t="shared" si="130"/>
        <v>0</v>
      </c>
      <c r="AK711">
        <f t="shared" si="123"/>
        <v>1</v>
      </c>
      <c r="AL711">
        <f t="shared" si="131"/>
        <v>1</v>
      </c>
    </row>
    <row r="712" spans="1:38">
      <c r="A712" t="s">
        <v>2263</v>
      </c>
      <c r="B712" t="s">
        <v>2264</v>
      </c>
      <c r="C712" s="1">
        <f t="shared" si="124"/>
        <v>45627</v>
      </c>
      <c r="D712" t="s">
        <v>2265</v>
      </c>
      <c r="E712">
        <v>1054.8</v>
      </c>
      <c r="F712">
        <v>43.9</v>
      </c>
      <c r="G712" t="s">
        <v>142</v>
      </c>
      <c r="H712" t="s">
        <v>260</v>
      </c>
      <c r="I712" t="s">
        <v>79</v>
      </c>
      <c r="J712">
        <v>360</v>
      </c>
      <c r="K712" t="s">
        <v>33</v>
      </c>
      <c r="L712" t="s">
        <v>113</v>
      </c>
      <c r="M712" t="s">
        <v>35</v>
      </c>
      <c r="N712" t="s">
        <v>202</v>
      </c>
      <c r="O712" t="s">
        <v>7232</v>
      </c>
      <c r="P712" t="s">
        <v>38</v>
      </c>
      <c r="Q712" t="s">
        <v>38</v>
      </c>
      <c r="R712">
        <v>1</v>
      </c>
      <c r="S712" t="s">
        <v>39</v>
      </c>
      <c r="T712">
        <v>4</v>
      </c>
      <c r="U712">
        <v>1.8</v>
      </c>
      <c r="V712">
        <v>32.9</v>
      </c>
      <c r="W712" t="s">
        <v>39</v>
      </c>
      <c r="X712" t="s">
        <v>52</v>
      </c>
      <c r="Y712" t="s">
        <v>38</v>
      </c>
      <c r="Z712" t="s">
        <v>73</v>
      </c>
      <c r="AA712" t="s">
        <v>42</v>
      </c>
      <c r="AB712" t="s">
        <v>83</v>
      </c>
      <c r="AC712">
        <f t="shared" si="121"/>
        <v>1</v>
      </c>
      <c r="AD712" s="12">
        <f t="shared" si="125"/>
        <v>0</v>
      </c>
      <c r="AE712" s="12">
        <f t="shared" si="126"/>
        <v>0</v>
      </c>
      <c r="AF712">
        <f t="shared" si="122"/>
        <v>0</v>
      </c>
      <c r="AG712">
        <f t="shared" si="127"/>
        <v>1</v>
      </c>
      <c r="AH712">
        <f t="shared" si="128"/>
        <v>0</v>
      </c>
      <c r="AI712">
        <f t="shared" si="129"/>
        <v>0</v>
      </c>
      <c r="AJ712">
        <f t="shared" si="130"/>
        <v>0</v>
      </c>
      <c r="AK712">
        <f t="shared" si="123"/>
        <v>0</v>
      </c>
      <c r="AL712">
        <f t="shared" si="131"/>
        <v>1</v>
      </c>
    </row>
    <row r="713" spans="1:38">
      <c r="A713" t="s">
        <v>2266</v>
      </c>
      <c r="B713" t="s">
        <v>2267</v>
      </c>
      <c r="C713" s="1">
        <f t="shared" si="124"/>
        <v>45536</v>
      </c>
      <c r="D713" t="s">
        <v>2268</v>
      </c>
      <c r="E713">
        <v>225.5</v>
      </c>
      <c r="F713">
        <v>9.4</v>
      </c>
      <c r="G713" t="s">
        <v>30</v>
      </c>
      <c r="H713" t="s">
        <v>159</v>
      </c>
      <c r="I713" t="s">
        <v>32</v>
      </c>
      <c r="J713">
        <v>240</v>
      </c>
      <c r="K713" t="s">
        <v>49</v>
      </c>
      <c r="L713" t="s">
        <v>96</v>
      </c>
      <c r="M713" t="s">
        <v>35</v>
      </c>
      <c r="N713" t="s">
        <v>89</v>
      </c>
      <c r="O713" t="s">
        <v>7232</v>
      </c>
      <c r="P713" t="s">
        <v>38</v>
      </c>
      <c r="Q713" t="s">
        <v>38</v>
      </c>
      <c r="R713">
        <v>1</v>
      </c>
      <c r="S713" t="s">
        <v>38</v>
      </c>
      <c r="T713">
        <v>10</v>
      </c>
      <c r="U713">
        <v>0.9</v>
      </c>
      <c r="V713">
        <v>34.9</v>
      </c>
      <c r="W713" t="s">
        <v>38</v>
      </c>
      <c r="X713" t="s">
        <v>63</v>
      </c>
      <c r="Y713" t="s">
        <v>39</v>
      </c>
      <c r="Z713" t="s">
        <v>108</v>
      </c>
      <c r="AA713" t="s">
        <v>42</v>
      </c>
      <c r="AB713" t="s">
        <v>83</v>
      </c>
      <c r="AC713">
        <f t="shared" si="121"/>
        <v>0</v>
      </c>
      <c r="AD713" s="12">
        <f t="shared" si="125"/>
        <v>1</v>
      </c>
      <c r="AE713" s="12">
        <f t="shared" si="126"/>
        <v>0</v>
      </c>
      <c r="AF713">
        <f t="shared" si="122"/>
        <v>0</v>
      </c>
      <c r="AG713">
        <f t="shared" si="127"/>
        <v>1</v>
      </c>
      <c r="AH713">
        <f t="shared" si="128"/>
        <v>0</v>
      </c>
      <c r="AI713">
        <f t="shared" si="129"/>
        <v>0</v>
      </c>
      <c r="AJ713">
        <f t="shared" si="130"/>
        <v>1</v>
      </c>
      <c r="AK713">
        <f t="shared" si="123"/>
        <v>1</v>
      </c>
      <c r="AL713">
        <f t="shared" si="131"/>
        <v>0</v>
      </c>
    </row>
    <row r="714" spans="1:38">
      <c r="A714" t="s">
        <v>2269</v>
      </c>
      <c r="B714" t="s">
        <v>2270</v>
      </c>
      <c r="C714" s="1">
        <f t="shared" si="124"/>
        <v>45323</v>
      </c>
      <c r="D714" t="s">
        <v>2271</v>
      </c>
      <c r="E714">
        <v>494.8</v>
      </c>
      <c r="F714">
        <v>20.6</v>
      </c>
      <c r="G714" t="s">
        <v>142</v>
      </c>
      <c r="H714" t="s">
        <v>240</v>
      </c>
      <c r="I714" t="s">
        <v>32</v>
      </c>
      <c r="J714">
        <v>240</v>
      </c>
      <c r="K714" t="s">
        <v>33</v>
      </c>
      <c r="L714" t="s">
        <v>70</v>
      </c>
      <c r="M714" t="s">
        <v>35</v>
      </c>
      <c r="N714" t="s">
        <v>107</v>
      </c>
      <c r="O714" t="s">
        <v>7232</v>
      </c>
      <c r="P714" t="s">
        <v>39</v>
      </c>
      <c r="Q714" t="s">
        <v>38</v>
      </c>
      <c r="R714">
        <v>0</v>
      </c>
      <c r="S714" t="s">
        <v>38</v>
      </c>
      <c r="T714">
        <v>8</v>
      </c>
      <c r="U714">
        <v>3.9</v>
      </c>
      <c r="V714">
        <v>23.2</v>
      </c>
      <c r="W714" t="s">
        <v>38</v>
      </c>
      <c r="X714" t="s">
        <v>63</v>
      </c>
      <c r="Y714" t="s">
        <v>38</v>
      </c>
      <c r="Z714" t="s">
        <v>73</v>
      </c>
      <c r="AA714" t="s">
        <v>109</v>
      </c>
      <c r="AB714" t="s">
        <v>83</v>
      </c>
      <c r="AC714">
        <f t="shared" si="121"/>
        <v>0</v>
      </c>
      <c r="AD714" s="12">
        <f t="shared" si="125"/>
        <v>1</v>
      </c>
      <c r="AE714" s="12">
        <f t="shared" si="126"/>
        <v>0</v>
      </c>
      <c r="AF714">
        <f t="shared" si="122"/>
        <v>0</v>
      </c>
      <c r="AG714">
        <f t="shared" si="127"/>
        <v>1</v>
      </c>
      <c r="AH714">
        <f t="shared" si="128"/>
        <v>0</v>
      </c>
      <c r="AI714">
        <f t="shared" si="129"/>
        <v>0</v>
      </c>
      <c r="AJ714">
        <f t="shared" si="130"/>
        <v>1</v>
      </c>
      <c r="AK714">
        <f t="shared" si="123"/>
        <v>0</v>
      </c>
      <c r="AL714">
        <f t="shared" si="131"/>
        <v>1</v>
      </c>
    </row>
    <row r="715" spans="1:38">
      <c r="A715" t="s">
        <v>2272</v>
      </c>
      <c r="B715" t="s">
        <v>2273</v>
      </c>
      <c r="C715" s="1">
        <f t="shared" si="124"/>
        <v>45292</v>
      </c>
      <c r="D715" t="s">
        <v>2274</v>
      </c>
      <c r="E715">
        <v>438.5</v>
      </c>
      <c r="F715">
        <v>18.3</v>
      </c>
      <c r="G715" t="s">
        <v>77</v>
      </c>
      <c r="H715" t="s">
        <v>187</v>
      </c>
      <c r="I715" t="s">
        <v>79</v>
      </c>
      <c r="J715">
        <v>360</v>
      </c>
      <c r="K715" t="s">
        <v>33</v>
      </c>
      <c r="L715" t="s">
        <v>70</v>
      </c>
      <c r="M715" t="s">
        <v>35</v>
      </c>
      <c r="N715" t="s">
        <v>155</v>
      </c>
      <c r="O715" t="s">
        <v>51</v>
      </c>
      <c r="P715" t="s">
        <v>38</v>
      </c>
      <c r="Q715" t="s">
        <v>38</v>
      </c>
      <c r="R715">
        <v>1</v>
      </c>
      <c r="S715" t="s">
        <v>38</v>
      </c>
      <c r="T715">
        <v>5</v>
      </c>
      <c r="U715">
        <v>0.5</v>
      </c>
      <c r="V715">
        <v>23.5</v>
      </c>
      <c r="W715" t="s">
        <v>39</v>
      </c>
      <c r="X715" t="s">
        <v>123</v>
      </c>
      <c r="Y715" t="s">
        <v>38</v>
      </c>
      <c r="Z715" t="s">
        <v>64</v>
      </c>
      <c r="AA715" t="s">
        <v>109</v>
      </c>
      <c r="AB715" t="s">
        <v>43</v>
      </c>
      <c r="AC715">
        <f t="shared" si="121"/>
        <v>0</v>
      </c>
      <c r="AD715" s="12">
        <f t="shared" si="125"/>
        <v>0</v>
      </c>
      <c r="AE715" s="12">
        <f t="shared" si="126"/>
        <v>1</v>
      </c>
      <c r="AF715">
        <f t="shared" si="122"/>
        <v>1</v>
      </c>
      <c r="AG715">
        <f t="shared" si="127"/>
        <v>0</v>
      </c>
      <c r="AH715">
        <f t="shared" si="128"/>
        <v>0</v>
      </c>
      <c r="AI715">
        <f t="shared" si="129"/>
        <v>0</v>
      </c>
      <c r="AJ715">
        <f t="shared" si="130"/>
        <v>0</v>
      </c>
      <c r="AK715">
        <f t="shared" si="123"/>
        <v>0</v>
      </c>
      <c r="AL715">
        <f t="shared" si="131"/>
        <v>1</v>
      </c>
    </row>
    <row r="716" spans="1:38">
      <c r="A716" t="s">
        <v>2275</v>
      </c>
      <c r="B716" t="s">
        <v>2276</v>
      </c>
      <c r="C716" s="1">
        <f t="shared" si="124"/>
        <v>45413</v>
      </c>
      <c r="D716" t="s">
        <v>2277</v>
      </c>
      <c r="E716">
        <v>469.1</v>
      </c>
      <c r="F716">
        <v>19.5</v>
      </c>
      <c r="G716" t="s">
        <v>77</v>
      </c>
      <c r="H716" t="s">
        <v>187</v>
      </c>
      <c r="I716" t="s">
        <v>79</v>
      </c>
      <c r="J716">
        <v>360</v>
      </c>
      <c r="K716" t="s">
        <v>33</v>
      </c>
      <c r="L716" t="s">
        <v>34</v>
      </c>
      <c r="M716" t="s">
        <v>35</v>
      </c>
      <c r="N716" t="s">
        <v>220</v>
      </c>
      <c r="O716" t="s">
        <v>51</v>
      </c>
      <c r="P716" t="s">
        <v>38</v>
      </c>
      <c r="Q716" t="s">
        <v>38</v>
      </c>
      <c r="R716">
        <v>1</v>
      </c>
      <c r="S716" t="s">
        <v>38</v>
      </c>
      <c r="T716">
        <v>7</v>
      </c>
      <c r="U716">
        <v>5.0999999999999996</v>
      </c>
      <c r="V716">
        <v>18</v>
      </c>
      <c r="W716" t="s">
        <v>38</v>
      </c>
      <c r="X716" t="s">
        <v>52</v>
      </c>
      <c r="Y716" t="s">
        <v>39</v>
      </c>
      <c r="Z716" t="s">
        <v>41</v>
      </c>
      <c r="AA716" t="s">
        <v>109</v>
      </c>
      <c r="AB716" t="s">
        <v>55</v>
      </c>
      <c r="AC716">
        <f t="shared" si="121"/>
        <v>1</v>
      </c>
      <c r="AD716" s="12">
        <f t="shared" si="125"/>
        <v>0</v>
      </c>
      <c r="AE716" s="12">
        <f t="shared" si="126"/>
        <v>0</v>
      </c>
      <c r="AF716">
        <f t="shared" si="122"/>
        <v>1</v>
      </c>
      <c r="AG716">
        <f t="shared" si="127"/>
        <v>0</v>
      </c>
      <c r="AH716">
        <f t="shared" si="128"/>
        <v>0</v>
      </c>
      <c r="AI716">
        <f t="shared" si="129"/>
        <v>0</v>
      </c>
      <c r="AJ716">
        <f t="shared" si="130"/>
        <v>0</v>
      </c>
      <c r="AK716">
        <f t="shared" si="123"/>
        <v>0</v>
      </c>
      <c r="AL716">
        <f t="shared" si="131"/>
        <v>0</v>
      </c>
    </row>
    <row r="717" spans="1:38">
      <c r="A717" t="s">
        <v>2278</v>
      </c>
      <c r="B717" t="s">
        <v>2279</v>
      </c>
      <c r="C717" s="1">
        <f t="shared" si="124"/>
        <v>45292</v>
      </c>
      <c r="D717" t="s">
        <v>2280</v>
      </c>
      <c r="E717">
        <v>185.3</v>
      </c>
      <c r="F717">
        <v>7.7</v>
      </c>
      <c r="G717" t="s">
        <v>93</v>
      </c>
      <c r="H717" t="s">
        <v>449</v>
      </c>
      <c r="I717" t="s">
        <v>32</v>
      </c>
      <c r="J717">
        <v>240</v>
      </c>
      <c r="K717" t="s">
        <v>49</v>
      </c>
      <c r="L717" t="s">
        <v>96</v>
      </c>
      <c r="M717" t="s">
        <v>71</v>
      </c>
      <c r="N717" t="s">
        <v>168</v>
      </c>
      <c r="O717" t="s">
        <v>51</v>
      </c>
      <c r="P717" t="s">
        <v>38</v>
      </c>
      <c r="Q717" t="s">
        <v>39</v>
      </c>
      <c r="R717">
        <v>3</v>
      </c>
      <c r="S717" t="s">
        <v>38</v>
      </c>
      <c r="T717">
        <v>7</v>
      </c>
      <c r="U717">
        <v>2.7</v>
      </c>
      <c r="V717">
        <v>9.6999999999999993</v>
      </c>
      <c r="W717" t="s">
        <v>38</v>
      </c>
      <c r="X717" t="s">
        <v>63</v>
      </c>
      <c r="Y717" t="s">
        <v>39</v>
      </c>
      <c r="Z717" t="s">
        <v>179</v>
      </c>
      <c r="AA717" t="s">
        <v>103</v>
      </c>
      <c r="AB717" t="s">
        <v>55</v>
      </c>
      <c r="AC717">
        <f t="shared" si="121"/>
        <v>0</v>
      </c>
      <c r="AD717" s="12">
        <f t="shared" si="125"/>
        <v>1</v>
      </c>
      <c r="AE717" s="12">
        <f t="shared" si="126"/>
        <v>0</v>
      </c>
      <c r="AF717">
        <f t="shared" si="122"/>
        <v>1</v>
      </c>
      <c r="AG717">
        <f t="shared" si="127"/>
        <v>0</v>
      </c>
      <c r="AH717">
        <f t="shared" si="128"/>
        <v>0</v>
      </c>
      <c r="AI717">
        <f t="shared" si="129"/>
        <v>0</v>
      </c>
      <c r="AJ717">
        <f t="shared" si="130"/>
        <v>1</v>
      </c>
      <c r="AK717">
        <f t="shared" si="123"/>
        <v>0</v>
      </c>
      <c r="AL717">
        <f t="shared" si="131"/>
        <v>0</v>
      </c>
    </row>
    <row r="718" spans="1:38">
      <c r="A718" t="s">
        <v>2281</v>
      </c>
      <c r="B718" t="s">
        <v>2282</v>
      </c>
      <c r="C718" s="1">
        <f t="shared" si="124"/>
        <v>45627</v>
      </c>
      <c r="D718" t="s">
        <v>2283</v>
      </c>
      <c r="E718">
        <v>187.8</v>
      </c>
      <c r="F718">
        <v>7.8</v>
      </c>
      <c r="G718" t="s">
        <v>101</v>
      </c>
      <c r="H718" t="s">
        <v>295</v>
      </c>
      <c r="I718" t="s">
        <v>32</v>
      </c>
      <c r="J718">
        <v>240</v>
      </c>
      <c r="K718" t="s">
        <v>49</v>
      </c>
      <c r="L718" t="s">
        <v>113</v>
      </c>
      <c r="M718" t="s">
        <v>35</v>
      </c>
      <c r="N718" t="s">
        <v>72</v>
      </c>
      <c r="O718" t="s">
        <v>37</v>
      </c>
      <c r="P718" t="s">
        <v>38</v>
      </c>
      <c r="Q718" t="s">
        <v>38</v>
      </c>
      <c r="R718">
        <v>1</v>
      </c>
      <c r="S718" t="s">
        <v>38</v>
      </c>
      <c r="T718">
        <v>8</v>
      </c>
      <c r="U718">
        <v>2.7</v>
      </c>
      <c r="V718">
        <v>5.9</v>
      </c>
      <c r="W718" t="s">
        <v>38</v>
      </c>
      <c r="X718" t="s">
        <v>123</v>
      </c>
      <c r="Y718" t="s">
        <v>39</v>
      </c>
      <c r="Z718" t="s">
        <v>108</v>
      </c>
      <c r="AA718" t="s">
        <v>82</v>
      </c>
      <c r="AB718" t="s">
        <v>83</v>
      </c>
      <c r="AC718">
        <f t="shared" si="121"/>
        <v>0</v>
      </c>
      <c r="AD718" s="12">
        <f t="shared" si="125"/>
        <v>0</v>
      </c>
      <c r="AE718" s="12">
        <f t="shared" si="126"/>
        <v>1</v>
      </c>
      <c r="AF718">
        <f t="shared" si="122"/>
        <v>0</v>
      </c>
      <c r="AG718">
        <f t="shared" si="127"/>
        <v>0</v>
      </c>
      <c r="AH718">
        <f t="shared" si="128"/>
        <v>0</v>
      </c>
      <c r="AI718">
        <f t="shared" si="129"/>
        <v>0</v>
      </c>
      <c r="AJ718">
        <f t="shared" si="130"/>
        <v>1</v>
      </c>
      <c r="AK718">
        <f t="shared" si="123"/>
        <v>0</v>
      </c>
      <c r="AL718">
        <f t="shared" si="131"/>
        <v>0</v>
      </c>
    </row>
    <row r="719" spans="1:38">
      <c r="A719" t="s">
        <v>2284</v>
      </c>
      <c r="B719" t="s">
        <v>2285</v>
      </c>
      <c r="C719" s="1">
        <f t="shared" si="124"/>
        <v>45383</v>
      </c>
      <c r="D719" t="s">
        <v>2286</v>
      </c>
      <c r="E719">
        <v>295</v>
      </c>
      <c r="F719">
        <v>12.3</v>
      </c>
      <c r="G719" t="s">
        <v>77</v>
      </c>
      <c r="H719" t="s">
        <v>78</v>
      </c>
      <c r="I719" t="s">
        <v>79</v>
      </c>
      <c r="J719">
        <v>360</v>
      </c>
      <c r="K719" t="s">
        <v>49</v>
      </c>
      <c r="L719" t="s">
        <v>96</v>
      </c>
      <c r="M719" t="s">
        <v>35</v>
      </c>
      <c r="N719" t="s">
        <v>144</v>
      </c>
      <c r="O719" t="s">
        <v>7232</v>
      </c>
      <c r="P719" t="s">
        <v>39</v>
      </c>
      <c r="Q719" t="s">
        <v>38</v>
      </c>
      <c r="R719">
        <v>0</v>
      </c>
      <c r="S719" t="s">
        <v>38</v>
      </c>
      <c r="T719">
        <v>10</v>
      </c>
      <c r="U719">
        <v>3.7</v>
      </c>
      <c r="V719">
        <v>8.1</v>
      </c>
      <c r="W719" t="s">
        <v>39</v>
      </c>
      <c r="X719" t="s">
        <v>52</v>
      </c>
      <c r="Y719" t="s">
        <v>39</v>
      </c>
      <c r="Z719" t="s">
        <v>115</v>
      </c>
      <c r="AA719" t="s">
        <v>82</v>
      </c>
      <c r="AB719" t="s">
        <v>55</v>
      </c>
      <c r="AC719">
        <f t="shared" si="121"/>
        <v>1</v>
      </c>
      <c r="AD719" s="12">
        <f t="shared" si="125"/>
        <v>0</v>
      </c>
      <c r="AE719" s="12">
        <f t="shared" si="126"/>
        <v>0</v>
      </c>
      <c r="AF719">
        <f t="shared" si="122"/>
        <v>0</v>
      </c>
      <c r="AG719">
        <f t="shared" si="127"/>
        <v>1</v>
      </c>
      <c r="AH719">
        <f t="shared" si="128"/>
        <v>0</v>
      </c>
      <c r="AI719">
        <f t="shared" si="129"/>
        <v>0</v>
      </c>
      <c r="AJ719">
        <f t="shared" si="130"/>
        <v>0</v>
      </c>
      <c r="AK719">
        <f t="shared" si="123"/>
        <v>0</v>
      </c>
      <c r="AL719">
        <f t="shared" si="131"/>
        <v>0</v>
      </c>
    </row>
    <row r="720" spans="1:38">
      <c r="A720" t="s">
        <v>2287</v>
      </c>
      <c r="B720" t="s">
        <v>2288</v>
      </c>
      <c r="C720" s="1">
        <f t="shared" si="124"/>
        <v>45292</v>
      </c>
      <c r="D720" t="s">
        <v>2289</v>
      </c>
      <c r="E720">
        <v>149.9</v>
      </c>
      <c r="F720">
        <v>6.2</v>
      </c>
      <c r="G720" t="s">
        <v>101</v>
      </c>
      <c r="H720" t="s">
        <v>295</v>
      </c>
      <c r="I720" t="s">
        <v>32</v>
      </c>
      <c r="J720">
        <v>240</v>
      </c>
      <c r="K720" t="s">
        <v>49</v>
      </c>
      <c r="L720" t="s">
        <v>96</v>
      </c>
      <c r="M720" t="s">
        <v>35</v>
      </c>
      <c r="N720" t="s">
        <v>299</v>
      </c>
      <c r="O720" t="s">
        <v>51</v>
      </c>
      <c r="P720" t="s">
        <v>38</v>
      </c>
      <c r="Q720" t="s">
        <v>38</v>
      </c>
      <c r="R720">
        <v>1</v>
      </c>
      <c r="S720" t="s">
        <v>39</v>
      </c>
      <c r="T720">
        <v>8</v>
      </c>
      <c r="U720">
        <v>2.7</v>
      </c>
      <c r="V720">
        <v>22.3</v>
      </c>
      <c r="W720" t="s">
        <v>38</v>
      </c>
      <c r="X720" t="s">
        <v>52</v>
      </c>
      <c r="Y720" t="s">
        <v>39</v>
      </c>
      <c r="Z720" t="s">
        <v>108</v>
      </c>
      <c r="AA720" t="s">
        <v>42</v>
      </c>
      <c r="AB720" t="s">
        <v>55</v>
      </c>
      <c r="AC720">
        <f t="shared" si="121"/>
        <v>1</v>
      </c>
      <c r="AD720" s="12">
        <f t="shared" si="125"/>
        <v>0</v>
      </c>
      <c r="AE720" s="12">
        <f t="shared" si="126"/>
        <v>0</v>
      </c>
      <c r="AF720">
        <f t="shared" si="122"/>
        <v>1</v>
      </c>
      <c r="AG720">
        <f t="shared" si="127"/>
        <v>0</v>
      </c>
      <c r="AH720">
        <f t="shared" si="128"/>
        <v>0</v>
      </c>
      <c r="AI720">
        <f t="shared" si="129"/>
        <v>0</v>
      </c>
      <c r="AJ720">
        <f t="shared" si="130"/>
        <v>1</v>
      </c>
      <c r="AK720">
        <f t="shared" si="123"/>
        <v>0</v>
      </c>
      <c r="AL720">
        <f t="shared" si="131"/>
        <v>0</v>
      </c>
    </row>
    <row r="721" spans="1:38">
      <c r="A721" t="s">
        <v>2290</v>
      </c>
      <c r="B721" t="s">
        <v>2291</v>
      </c>
      <c r="C721" s="1">
        <f t="shared" si="124"/>
        <v>45323</v>
      </c>
      <c r="D721" t="s">
        <v>2292</v>
      </c>
      <c r="E721">
        <v>618.5</v>
      </c>
      <c r="F721">
        <v>25.8</v>
      </c>
      <c r="G721" t="s">
        <v>77</v>
      </c>
      <c r="H721" t="s">
        <v>267</v>
      </c>
      <c r="I721" t="s">
        <v>79</v>
      </c>
      <c r="J721">
        <v>360</v>
      </c>
      <c r="K721" t="s">
        <v>33</v>
      </c>
      <c r="L721" t="s">
        <v>70</v>
      </c>
      <c r="M721" t="s">
        <v>35</v>
      </c>
      <c r="N721" t="s">
        <v>128</v>
      </c>
      <c r="O721" t="s">
        <v>37</v>
      </c>
      <c r="P721" t="s">
        <v>39</v>
      </c>
      <c r="Q721" t="s">
        <v>38</v>
      </c>
      <c r="R721">
        <v>0</v>
      </c>
      <c r="S721" t="s">
        <v>38</v>
      </c>
      <c r="T721">
        <v>6</v>
      </c>
      <c r="U721">
        <v>0.4</v>
      </c>
      <c r="V721">
        <v>25.2</v>
      </c>
      <c r="W721" t="s">
        <v>39</v>
      </c>
      <c r="X721" t="s">
        <v>52</v>
      </c>
      <c r="Y721" t="s">
        <v>39</v>
      </c>
      <c r="Z721" t="s">
        <v>81</v>
      </c>
      <c r="AA721" t="s">
        <v>42</v>
      </c>
      <c r="AB721" t="s">
        <v>83</v>
      </c>
      <c r="AC721">
        <f t="shared" si="121"/>
        <v>1</v>
      </c>
      <c r="AD721" s="12">
        <f t="shared" si="125"/>
        <v>0</v>
      </c>
      <c r="AE721" s="12">
        <f t="shared" si="126"/>
        <v>0</v>
      </c>
      <c r="AF721">
        <f t="shared" si="122"/>
        <v>0</v>
      </c>
      <c r="AG721">
        <f t="shared" si="127"/>
        <v>0</v>
      </c>
      <c r="AH721">
        <f t="shared" si="128"/>
        <v>0</v>
      </c>
      <c r="AI721">
        <f t="shared" si="129"/>
        <v>0</v>
      </c>
      <c r="AJ721">
        <f t="shared" si="130"/>
        <v>0</v>
      </c>
      <c r="AK721">
        <f t="shared" si="123"/>
        <v>0</v>
      </c>
      <c r="AL721">
        <f t="shared" si="131"/>
        <v>0</v>
      </c>
    </row>
    <row r="722" spans="1:38">
      <c r="A722" t="s">
        <v>2293</v>
      </c>
      <c r="B722" t="s">
        <v>2294</v>
      </c>
      <c r="C722" s="1">
        <f t="shared" si="124"/>
        <v>45505</v>
      </c>
      <c r="D722" t="s">
        <v>2295</v>
      </c>
      <c r="E722">
        <v>187.1</v>
      </c>
      <c r="F722">
        <v>7.8</v>
      </c>
      <c r="G722" t="s">
        <v>87</v>
      </c>
      <c r="H722" t="s">
        <v>88</v>
      </c>
      <c r="I722" t="s">
        <v>32</v>
      </c>
      <c r="J722">
        <v>240</v>
      </c>
      <c r="K722" t="s">
        <v>49</v>
      </c>
      <c r="L722" t="s">
        <v>96</v>
      </c>
      <c r="M722" t="s">
        <v>71</v>
      </c>
      <c r="N722" t="s">
        <v>134</v>
      </c>
      <c r="O722" t="s">
        <v>7232</v>
      </c>
      <c r="P722" t="s">
        <v>38</v>
      </c>
      <c r="Q722" t="s">
        <v>39</v>
      </c>
      <c r="R722">
        <v>4</v>
      </c>
      <c r="S722" t="s">
        <v>38</v>
      </c>
      <c r="T722">
        <v>8</v>
      </c>
      <c r="U722">
        <v>2.2000000000000002</v>
      </c>
      <c r="V722">
        <v>34</v>
      </c>
      <c r="W722" t="s">
        <v>39</v>
      </c>
      <c r="X722" t="s">
        <v>63</v>
      </c>
      <c r="Y722" t="s">
        <v>38</v>
      </c>
      <c r="Z722" t="s">
        <v>64</v>
      </c>
      <c r="AA722" t="s">
        <v>109</v>
      </c>
      <c r="AB722" t="s">
        <v>83</v>
      </c>
      <c r="AC722">
        <f t="shared" si="121"/>
        <v>0</v>
      </c>
      <c r="AD722" s="12">
        <f t="shared" si="125"/>
        <v>1</v>
      </c>
      <c r="AE722" s="12">
        <f t="shared" si="126"/>
        <v>0</v>
      </c>
      <c r="AF722">
        <f t="shared" si="122"/>
        <v>0</v>
      </c>
      <c r="AG722">
        <f t="shared" si="127"/>
        <v>1</v>
      </c>
      <c r="AH722">
        <f t="shared" si="128"/>
        <v>0</v>
      </c>
      <c r="AI722">
        <f t="shared" si="129"/>
        <v>0</v>
      </c>
      <c r="AJ722">
        <f t="shared" si="130"/>
        <v>1</v>
      </c>
      <c r="AK722">
        <f t="shared" si="123"/>
        <v>0</v>
      </c>
      <c r="AL722">
        <f t="shared" si="131"/>
        <v>1</v>
      </c>
    </row>
    <row r="723" spans="1:38">
      <c r="A723" t="s">
        <v>2296</v>
      </c>
      <c r="B723" t="s">
        <v>2297</v>
      </c>
      <c r="C723" s="1">
        <f t="shared" si="124"/>
        <v>45566</v>
      </c>
      <c r="D723" t="s">
        <v>2298</v>
      </c>
      <c r="E723">
        <v>220.8</v>
      </c>
      <c r="F723">
        <v>9.1999999999999993</v>
      </c>
      <c r="G723" t="s">
        <v>77</v>
      </c>
      <c r="H723" t="s">
        <v>267</v>
      </c>
      <c r="I723" t="s">
        <v>79</v>
      </c>
      <c r="J723">
        <v>360</v>
      </c>
      <c r="K723" t="s">
        <v>49</v>
      </c>
      <c r="L723" t="s">
        <v>96</v>
      </c>
      <c r="M723" t="s">
        <v>35</v>
      </c>
      <c r="N723" t="s">
        <v>89</v>
      </c>
      <c r="O723" t="s">
        <v>7232</v>
      </c>
      <c r="P723" t="s">
        <v>38</v>
      </c>
      <c r="Q723" t="s">
        <v>38</v>
      </c>
      <c r="R723">
        <v>1</v>
      </c>
      <c r="S723" t="s">
        <v>38</v>
      </c>
      <c r="T723">
        <v>7</v>
      </c>
      <c r="U723">
        <v>0.1</v>
      </c>
      <c r="V723">
        <v>27.6</v>
      </c>
      <c r="W723" t="s">
        <v>39</v>
      </c>
      <c r="X723" t="s">
        <v>123</v>
      </c>
      <c r="Y723" t="s">
        <v>38</v>
      </c>
      <c r="Z723" t="s">
        <v>64</v>
      </c>
      <c r="AA723" t="s">
        <v>103</v>
      </c>
      <c r="AB723" t="s">
        <v>55</v>
      </c>
      <c r="AC723">
        <f t="shared" si="121"/>
        <v>0</v>
      </c>
      <c r="AD723" s="12">
        <f t="shared" si="125"/>
        <v>0</v>
      </c>
      <c r="AE723" s="12">
        <f t="shared" si="126"/>
        <v>1</v>
      </c>
      <c r="AF723">
        <f t="shared" si="122"/>
        <v>0</v>
      </c>
      <c r="AG723">
        <f t="shared" si="127"/>
        <v>1</v>
      </c>
      <c r="AH723">
        <f t="shared" si="128"/>
        <v>0</v>
      </c>
      <c r="AI723">
        <f t="shared" si="129"/>
        <v>0</v>
      </c>
      <c r="AJ723">
        <f t="shared" si="130"/>
        <v>0</v>
      </c>
      <c r="AK723">
        <f t="shared" si="123"/>
        <v>0</v>
      </c>
      <c r="AL723">
        <f t="shared" si="131"/>
        <v>1</v>
      </c>
    </row>
    <row r="724" spans="1:38">
      <c r="A724" t="s">
        <v>2299</v>
      </c>
      <c r="B724" t="s">
        <v>2300</v>
      </c>
      <c r="C724" s="1">
        <f t="shared" si="124"/>
        <v>45566</v>
      </c>
      <c r="D724" t="s">
        <v>2301</v>
      </c>
      <c r="E724">
        <v>419.4</v>
      </c>
      <c r="F724">
        <v>17.5</v>
      </c>
      <c r="G724" t="s">
        <v>142</v>
      </c>
      <c r="H724" t="s">
        <v>240</v>
      </c>
      <c r="I724" t="s">
        <v>79</v>
      </c>
      <c r="J724">
        <v>360</v>
      </c>
      <c r="K724" t="s">
        <v>33</v>
      </c>
      <c r="L724" t="s">
        <v>70</v>
      </c>
      <c r="M724" t="s">
        <v>35</v>
      </c>
      <c r="N724" t="s">
        <v>506</v>
      </c>
      <c r="O724" t="s">
        <v>37</v>
      </c>
      <c r="P724" t="s">
        <v>38</v>
      </c>
      <c r="Q724" t="s">
        <v>38</v>
      </c>
      <c r="R724">
        <v>1</v>
      </c>
      <c r="S724" t="s">
        <v>38</v>
      </c>
      <c r="T724">
        <v>5</v>
      </c>
      <c r="U724">
        <v>4.7</v>
      </c>
      <c r="V724">
        <v>0</v>
      </c>
      <c r="W724" t="s">
        <v>39</v>
      </c>
      <c r="X724" t="s">
        <v>52</v>
      </c>
      <c r="Y724" t="s">
        <v>39</v>
      </c>
      <c r="Z724" t="s">
        <v>115</v>
      </c>
      <c r="AA724" t="s">
        <v>109</v>
      </c>
      <c r="AB724" t="s">
        <v>55</v>
      </c>
      <c r="AC724">
        <f t="shared" si="121"/>
        <v>1</v>
      </c>
      <c r="AD724" s="12">
        <f t="shared" si="125"/>
        <v>0</v>
      </c>
      <c r="AE724" s="12">
        <f t="shared" si="126"/>
        <v>0</v>
      </c>
      <c r="AF724">
        <f t="shared" si="122"/>
        <v>0</v>
      </c>
      <c r="AG724">
        <f t="shared" si="127"/>
        <v>0</v>
      </c>
      <c r="AH724">
        <f t="shared" si="128"/>
        <v>0</v>
      </c>
      <c r="AI724">
        <f t="shared" si="129"/>
        <v>0</v>
      </c>
      <c r="AJ724">
        <f t="shared" si="130"/>
        <v>0</v>
      </c>
      <c r="AK724">
        <f t="shared" si="123"/>
        <v>0</v>
      </c>
      <c r="AL724">
        <f t="shared" si="131"/>
        <v>0</v>
      </c>
    </row>
    <row r="725" spans="1:38">
      <c r="A725" t="s">
        <v>2302</v>
      </c>
      <c r="B725" t="s">
        <v>2303</v>
      </c>
      <c r="C725" s="1">
        <f t="shared" si="124"/>
        <v>45413</v>
      </c>
      <c r="D725" t="s">
        <v>2304</v>
      </c>
      <c r="E725">
        <v>267.2</v>
      </c>
      <c r="F725">
        <v>11.1</v>
      </c>
      <c r="G725" t="s">
        <v>77</v>
      </c>
      <c r="H725" t="s">
        <v>187</v>
      </c>
      <c r="I725" t="s">
        <v>79</v>
      </c>
      <c r="J725">
        <v>360</v>
      </c>
      <c r="K725" t="s">
        <v>49</v>
      </c>
      <c r="L725" t="s">
        <v>70</v>
      </c>
      <c r="M725" t="s">
        <v>35</v>
      </c>
      <c r="N725" t="s">
        <v>188</v>
      </c>
      <c r="O725" t="s">
        <v>51</v>
      </c>
      <c r="P725" t="s">
        <v>38</v>
      </c>
      <c r="Q725" t="s">
        <v>38</v>
      </c>
      <c r="R725">
        <v>1</v>
      </c>
      <c r="S725" t="s">
        <v>38</v>
      </c>
      <c r="T725">
        <v>10</v>
      </c>
      <c r="U725">
        <v>0.1</v>
      </c>
      <c r="V725">
        <v>31.9</v>
      </c>
      <c r="W725" t="s">
        <v>39</v>
      </c>
      <c r="X725" t="s">
        <v>63</v>
      </c>
      <c r="Y725" t="s">
        <v>38</v>
      </c>
      <c r="Z725" t="s">
        <v>108</v>
      </c>
      <c r="AA725" t="s">
        <v>42</v>
      </c>
      <c r="AB725" t="s">
        <v>83</v>
      </c>
      <c r="AC725">
        <f t="shared" si="121"/>
        <v>0</v>
      </c>
      <c r="AD725" s="12">
        <f t="shared" si="125"/>
        <v>1</v>
      </c>
      <c r="AE725" s="12">
        <f t="shared" si="126"/>
        <v>0</v>
      </c>
      <c r="AF725">
        <f t="shared" si="122"/>
        <v>1</v>
      </c>
      <c r="AG725">
        <f t="shared" si="127"/>
        <v>0</v>
      </c>
      <c r="AH725">
        <f t="shared" si="128"/>
        <v>0</v>
      </c>
      <c r="AI725">
        <f t="shared" si="129"/>
        <v>0</v>
      </c>
      <c r="AJ725">
        <f t="shared" si="130"/>
        <v>0</v>
      </c>
      <c r="AK725">
        <f t="shared" si="123"/>
        <v>0</v>
      </c>
      <c r="AL725">
        <f t="shared" si="131"/>
        <v>1</v>
      </c>
    </row>
    <row r="726" spans="1:38">
      <c r="A726" t="s">
        <v>2305</v>
      </c>
      <c r="B726" t="s">
        <v>2306</v>
      </c>
      <c r="C726" s="1">
        <f t="shared" si="124"/>
        <v>45474</v>
      </c>
      <c r="D726" t="s">
        <v>2307</v>
      </c>
      <c r="E726">
        <v>640</v>
      </c>
      <c r="F726">
        <v>26.7</v>
      </c>
      <c r="G726" t="s">
        <v>77</v>
      </c>
      <c r="H726" t="s">
        <v>187</v>
      </c>
      <c r="I726" t="s">
        <v>79</v>
      </c>
      <c r="J726">
        <v>360</v>
      </c>
      <c r="K726" t="s">
        <v>33</v>
      </c>
      <c r="L726" t="s">
        <v>96</v>
      </c>
      <c r="M726" t="s">
        <v>35</v>
      </c>
      <c r="N726" t="s">
        <v>144</v>
      </c>
      <c r="O726" t="s">
        <v>7232</v>
      </c>
      <c r="P726" t="s">
        <v>39</v>
      </c>
      <c r="Q726" t="s">
        <v>38</v>
      </c>
      <c r="R726">
        <v>0</v>
      </c>
      <c r="S726" t="s">
        <v>38</v>
      </c>
      <c r="T726">
        <v>9</v>
      </c>
      <c r="U726">
        <v>2.5</v>
      </c>
      <c r="V726">
        <v>0</v>
      </c>
      <c r="W726" t="s">
        <v>39</v>
      </c>
      <c r="X726" t="s">
        <v>63</v>
      </c>
      <c r="Y726" t="s">
        <v>38</v>
      </c>
      <c r="Z726" t="s">
        <v>108</v>
      </c>
      <c r="AA726" t="s">
        <v>109</v>
      </c>
      <c r="AB726" t="s">
        <v>43</v>
      </c>
      <c r="AC726">
        <f t="shared" si="121"/>
        <v>0</v>
      </c>
      <c r="AD726" s="12">
        <f t="shared" si="125"/>
        <v>1</v>
      </c>
      <c r="AE726" s="12">
        <f t="shared" si="126"/>
        <v>0</v>
      </c>
      <c r="AF726">
        <f t="shared" si="122"/>
        <v>0</v>
      </c>
      <c r="AG726">
        <f t="shared" si="127"/>
        <v>1</v>
      </c>
      <c r="AH726">
        <f t="shared" si="128"/>
        <v>0</v>
      </c>
      <c r="AI726">
        <f t="shared" si="129"/>
        <v>0</v>
      </c>
      <c r="AJ726">
        <f t="shared" si="130"/>
        <v>0</v>
      </c>
      <c r="AK726">
        <f t="shared" si="123"/>
        <v>0</v>
      </c>
      <c r="AL726">
        <f t="shared" si="131"/>
        <v>1</v>
      </c>
    </row>
    <row r="727" spans="1:38">
      <c r="A727" t="s">
        <v>2308</v>
      </c>
      <c r="B727" t="s">
        <v>2309</v>
      </c>
      <c r="C727" s="1">
        <f t="shared" si="124"/>
        <v>45352</v>
      </c>
      <c r="D727" t="s">
        <v>2310</v>
      </c>
      <c r="E727">
        <v>98.8</v>
      </c>
      <c r="F727">
        <v>4.0999999999999996</v>
      </c>
      <c r="G727" t="s">
        <v>142</v>
      </c>
      <c r="H727" t="s">
        <v>240</v>
      </c>
      <c r="I727" t="s">
        <v>48</v>
      </c>
      <c r="J727">
        <v>120</v>
      </c>
      <c r="K727" t="s">
        <v>49</v>
      </c>
      <c r="L727" t="s">
        <v>34</v>
      </c>
      <c r="M727" t="s">
        <v>35</v>
      </c>
      <c r="N727" t="s">
        <v>506</v>
      </c>
      <c r="O727" t="s">
        <v>7232</v>
      </c>
      <c r="P727" t="s">
        <v>39</v>
      </c>
      <c r="Q727" t="s">
        <v>38</v>
      </c>
      <c r="R727">
        <v>0</v>
      </c>
      <c r="S727" t="s">
        <v>38</v>
      </c>
      <c r="T727">
        <v>10</v>
      </c>
      <c r="U727">
        <v>3.4</v>
      </c>
      <c r="V727">
        <v>25.7</v>
      </c>
      <c r="W727" t="s">
        <v>39</v>
      </c>
      <c r="X727" t="s">
        <v>52</v>
      </c>
      <c r="Y727" t="s">
        <v>38</v>
      </c>
      <c r="Z727" t="s">
        <v>81</v>
      </c>
      <c r="AA727" t="s">
        <v>109</v>
      </c>
      <c r="AB727" t="s">
        <v>55</v>
      </c>
      <c r="AC727">
        <f t="shared" si="121"/>
        <v>1</v>
      </c>
      <c r="AD727" s="12">
        <f t="shared" si="125"/>
        <v>0</v>
      </c>
      <c r="AE727" s="12">
        <f t="shared" si="126"/>
        <v>0</v>
      </c>
      <c r="AF727">
        <f t="shared" si="122"/>
        <v>0</v>
      </c>
      <c r="AG727">
        <f t="shared" si="127"/>
        <v>1</v>
      </c>
      <c r="AH727">
        <f t="shared" si="128"/>
        <v>1</v>
      </c>
      <c r="AI727">
        <f t="shared" si="129"/>
        <v>0</v>
      </c>
      <c r="AJ727">
        <f t="shared" si="130"/>
        <v>0</v>
      </c>
      <c r="AK727">
        <f t="shared" si="123"/>
        <v>0</v>
      </c>
      <c r="AL727">
        <f t="shared" si="131"/>
        <v>1</v>
      </c>
    </row>
    <row r="728" spans="1:38">
      <c r="A728" t="s">
        <v>2311</v>
      </c>
      <c r="B728" t="s">
        <v>2312</v>
      </c>
      <c r="C728" s="1">
        <f t="shared" si="124"/>
        <v>45444</v>
      </c>
      <c r="D728" t="s">
        <v>2313</v>
      </c>
      <c r="E728">
        <v>273.8</v>
      </c>
      <c r="F728">
        <v>11.4</v>
      </c>
      <c r="G728" t="s">
        <v>30</v>
      </c>
      <c r="H728" t="s">
        <v>47</v>
      </c>
      <c r="I728" t="s">
        <v>32</v>
      </c>
      <c r="J728">
        <v>240</v>
      </c>
      <c r="K728" t="s">
        <v>33</v>
      </c>
      <c r="L728" t="s">
        <v>70</v>
      </c>
      <c r="M728" t="s">
        <v>35</v>
      </c>
      <c r="N728" t="s">
        <v>80</v>
      </c>
      <c r="O728" t="s">
        <v>51</v>
      </c>
      <c r="P728" t="s">
        <v>39</v>
      </c>
      <c r="Q728" t="s">
        <v>38</v>
      </c>
      <c r="R728">
        <v>0</v>
      </c>
      <c r="S728" t="s">
        <v>39</v>
      </c>
      <c r="T728">
        <v>6</v>
      </c>
      <c r="U728">
        <v>0.1</v>
      </c>
      <c r="V728">
        <v>18.600000000000001</v>
      </c>
      <c r="W728" t="s">
        <v>39</v>
      </c>
      <c r="X728" t="s">
        <v>123</v>
      </c>
      <c r="Y728" t="s">
        <v>39</v>
      </c>
      <c r="Z728" t="s">
        <v>115</v>
      </c>
      <c r="AA728" t="s">
        <v>109</v>
      </c>
      <c r="AB728" t="s">
        <v>83</v>
      </c>
      <c r="AC728">
        <f t="shared" si="121"/>
        <v>0</v>
      </c>
      <c r="AD728" s="12">
        <f t="shared" si="125"/>
        <v>0</v>
      </c>
      <c r="AE728" s="12">
        <f t="shared" si="126"/>
        <v>1</v>
      </c>
      <c r="AF728">
        <f t="shared" si="122"/>
        <v>1</v>
      </c>
      <c r="AG728">
        <f t="shared" si="127"/>
        <v>0</v>
      </c>
      <c r="AH728">
        <f t="shared" si="128"/>
        <v>0</v>
      </c>
      <c r="AI728">
        <f t="shared" si="129"/>
        <v>0</v>
      </c>
      <c r="AJ728">
        <f t="shared" si="130"/>
        <v>1</v>
      </c>
      <c r="AK728">
        <f t="shared" si="123"/>
        <v>1</v>
      </c>
      <c r="AL728">
        <f t="shared" si="131"/>
        <v>0</v>
      </c>
    </row>
    <row r="729" spans="1:38">
      <c r="A729" t="s">
        <v>2314</v>
      </c>
      <c r="B729" t="s">
        <v>2315</v>
      </c>
      <c r="C729" s="1">
        <f t="shared" si="124"/>
        <v>45536</v>
      </c>
      <c r="D729" t="s">
        <v>2316</v>
      </c>
      <c r="E729">
        <v>73</v>
      </c>
      <c r="F729">
        <v>3</v>
      </c>
      <c r="G729" t="s">
        <v>101</v>
      </c>
      <c r="H729" t="s">
        <v>102</v>
      </c>
      <c r="I729" t="s">
        <v>48</v>
      </c>
      <c r="J729">
        <v>120</v>
      </c>
      <c r="K729" t="s">
        <v>49</v>
      </c>
      <c r="L729" t="s">
        <v>96</v>
      </c>
      <c r="M729" t="s">
        <v>35</v>
      </c>
      <c r="N729" t="s">
        <v>144</v>
      </c>
      <c r="O729" t="s">
        <v>7232</v>
      </c>
      <c r="P729" t="s">
        <v>38</v>
      </c>
      <c r="Q729" t="s">
        <v>38</v>
      </c>
      <c r="R729">
        <v>1</v>
      </c>
      <c r="S729" t="s">
        <v>38</v>
      </c>
      <c r="T729">
        <v>9</v>
      </c>
      <c r="U729">
        <v>0.1</v>
      </c>
      <c r="V729">
        <v>11.5</v>
      </c>
      <c r="W729" t="s">
        <v>39</v>
      </c>
      <c r="X729" t="s">
        <v>52</v>
      </c>
      <c r="Y729" t="s">
        <v>39</v>
      </c>
      <c r="Z729" t="s">
        <v>81</v>
      </c>
      <c r="AA729" t="s">
        <v>82</v>
      </c>
      <c r="AB729" t="s">
        <v>83</v>
      </c>
      <c r="AC729">
        <f t="shared" si="121"/>
        <v>1</v>
      </c>
      <c r="AD729" s="12">
        <f t="shared" si="125"/>
        <v>0</v>
      </c>
      <c r="AE729" s="12">
        <f t="shared" si="126"/>
        <v>0</v>
      </c>
      <c r="AF729">
        <f t="shared" si="122"/>
        <v>0</v>
      </c>
      <c r="AG729">
        <f t="shared" si="127"/>
        <v>1</v>
      </c>
      <c r="AH729">
        <f t="shared" si="128"/>
        <v>1</v>
      </c>
      <c r="AI729">
        <f t="shared" si="129"/>
        <v>0</v>
      </c>
      <c r="AJ729">
        <f t="shared" si="130"/>
        <v>0</v>
      </c>
      <c r="AK729">
        <f t="shared" si="123"/>
        <v>0</v>
      </c>
      <c r="AL729">
        <f t="shared" si="131"/>
        <v>0</v>
      </c>
    </row>
    <row r="730" spans="1:38">
      <c r="A730" t="s">
        <v>2317</v>
      </c>
      <c r="B730" t="s">
        <v>2318</v>
      </c>
      <c r="C730" s="1">
        <f t="shared" si="124"/>
        <v>45352</v>
      </c>
      <c r="D730" t="s">
        <v>2319</v>
      </c>
      <c r="E730">
        <v>170.8</v>
      </c>
      <c r="F730">
        <v>7.1</v>
      </c>
      <c r="G730" t="s">
        <v>87</v>
      </c>
      <c r="H730" t="s">
        <v>151</v>
      </c>
      <c r="I730" t="s">
        <v>48</v>
      </c>
      <c r="J730">
        <v>120</v>
      </c>
      <c r="K730" t="s">
        <v>33</v>
      </c>
      <c r="L730" t="s">
        <v>113</v>
      </c>
      <c r="M730" t="s">
        <v>35</v>
      </c>
      <c r="N730" t="s">
        <v>107</v>
      </c>
      <c r="O730" t="s">
        <v>7232</v>
      </c>
      <c r="P730" t="s">
        <v>38</v>
      </c>
      <c r="Q730" t="s">
        <v>38</v>
      </c>
      <c r="R730">
        <v>1</v>
      </c>
      <c r="S730" t="s">
        <v>38</v>
      </c>
      <c r="T730">
        <v>6</v>
      </c>
      <c r="U730">
        <v>1</v>
      </c>
      <c r="V730">
        <v>6.4</v>
      </c>
      <c r="W730" t="s">
        <v>39</v>
      </c>
      <c r="X730" t="s">
        <v>123</v>
      </c>
      <c r="Y730" t="s">
        <v>39</v>
      </c>
      <c r="Z730" t="s">
        <v>73</v>
      </c>
      <c r="AA730" t="s">
        <v>54</v>
      </c>
      <c r="AB730" t="s">
        <v>55</v>
      </c>
      <c r="AC730">
        <f t="shared" si="121"/>
        <v>0</v>
      </c>
      <c r="AD730" s="12">
        <f t="shared" si="125"/>
        <v>0</v>
      </c>
      <c r="AE730" s="12">
        <f t="shared" si="126"/>
        <v>1</v>
      </c>
      <c r="AF730">
        <f t="shared" si="122"/>
        <v>0</v>
      </c>
      <c r="AG730">
        <f t="shared" si="127"/>
        <v>1</v>
      </c>
      <c r="AH730">
        <f t="shared" si="128"/>
        <v>1</v>
      </c>
      <c r="AI730">
        <f t="shared" si="129"/>
        <v>0</v>
      </c>
      <c r="AJ730">
        <f t="shared" si="130"/>
        <v>0</v>
      </c>
      <c r="AK730">
        <f t="shared" si="123"/>
        <v>0</v>
      </c>
      <c r="AL730">
        <f t="shared" si="131"/>
        <v>0</v>
      </c>
    </row>
    <row r="731" spans="1:38">
      <c r="A731" t="s">
        <v>2320</v>
      </c>
      <c r="B731" t="s">
        <v>2321</v>
      </c>
      <c r="C731" s="1">
        <f t="shared" si="124"/>
        <v>45383</v>
      </c>
      <c r="D731" t="s">
        <v>2322</v>
      </c>
      <c r="E731">
        <v>222.6</v>
      </c>
      <c r="F731">
        <v>9.3000000000000007</v>
      </c>
      <c r="G731" t="s">
        <v>59</v>
      </c>
      <c r="H731" t="s">
        <v>132</v>
      </c>
      <c r="I731" t="s">
        <v>32</v>
      </c>
      <c r="J731">
        <v>240</v>
      </c>
      <c r="K731" t="s">
        <v>49</v>
      </c>
      <c r="L731" t="s">
        <v>96</v>
      </c>
      <c r="M731" t="s">
        <v>71</v>
      </c>
      <c r="N731" t="s">
        <v>36</v>
      </c>
      <c r="O731" t="s">
        <v>51</v>
      </c>
      <c r="P731" t="s">
        <v>38</v>
      </c>
      <c r="Q731" t="s">
        <v>39</v>
      </c>
      <c r="R731">
        <v>2</v>
      </c>
      <c r="S731" t="s">
        <v>38</v>
      </c>
      <c r="T731">
        <v>10</v>
      </c>
      <c r="U731">
        <v>0.4</v>
      </c>
      <c r="V731">
        <v>33.9</v>
      </c>
      <c r="W731" t="s">
        <v>39</v>
      </c>
      <c r="X731" t="s">
        <v>52</v>
      </c>
      <c r="Y731" t="s">
        <v>38</v>
      </c>
      <c r="Z731" t="s">
        <v>53</v>
      </c>
      <c r="AA731" t="s">
        <v>109</v>
      </c>
      <c r="AB731" t="s">
        <v>83</v>
      </c>
      <c r="AC731">
        <f t="shared" si="121"/>
        <v>1</v>
      </c>
      <c r="AD731" s="12">
        <f t="shared" si="125"/>
        <v>0</v>
      </c>
      <c r="AE731" s="12">
        <f t="shared" si="126"/>
        <v>0</v>
      </c>
      <c r="AF731">
        <f t="shared" si="122"/>
        <v>1</v>
      </c>
      <c r="AG731">
        <f t="shared" si="127"/>
        <v>0</v>
      </c>
      <c r="AH731">
        <f t="shared" si="128"/>
        <v>0</v>
      </c>
      <c r="AI731">
        <f t="shared" si="129"/>
        <v>0</v>
      </c>
      <c r="AJ731">
        <f t="shared" si="130"/>
        <v>1</v>
      </c>
      <c r="AK731">
        <f t="shared" si="123"/>
        <v>0</v>
      </c>
      <c r="AL731">
        <f t="shared" si="131"/>
        <v>1</v>
      </c>
    </row>
    <row r="732" spans="1:38">
      <c r="A732" t="s">
        <v>2323</v>
      </c>
      <c r="B732" t="s">
        <v>2324</v>
      </c>
      <c r="C732" s="1">
        <f t="shared" si="124"/>
        <v>45323</v>
      </c>
      <c r="D732" t="s">
        <v>2325</v>
      </c>
      <c r="E732">
        <v>430.8</v>
      </c>
      <c r="F732">
        <v>18</v>
      </c>
      <c r="G732" t="s">
        <v>30</v>
      </c>
      <c r="H732" t="s">
        <v>31</v>
      </c>
      <c r="I732" t="s">
        <v>32</v>
      </c>
      <c r="J732">
        <v>240</v>
      </c>
      <c r="K732" t="s">
        <v>33</v>
      </c>
      <c r="L732" t="s">
        <v>113</v>
      </c>
      <c r="M732" t="s">
        <v>35</v>
      </c>
      <c r="N732" t="s">
        <v>119</v>
      </c>
      <c r="O732" t="s">
        <v>37</v>
      </c>
      <c r="P732" t="s">
        <v>39</v>
      </c>
      <c r="Q732" t="s">
        <v>38</v>
      </c>
      <c r="R732">
        <v>0</v>
      </c>
      <c r="S732" t="s">
        <v>38</v>
      </c>
      <c r="T732">
        <v>7</v>
      </c>
      <c r="U732">
        <v>2.8</v>
      </c>
      <c r="V732">
        <v>0</v>
      </c>
      <c r="W732" t="s">
        <v>38</v>
      </c>
      <c r="X732" t="s">
        <v>52</v>
      </c>
      <c r="Y732" t="s">
        <v>38</v>
      </c>
      <c r="Z732" t="s">
        <v>115</v>
      </c>
      <c r="AA732" t="s">
        <v>82</v>
      </c>
      <c r="AB732" t="s">
        <v>55</v>
      </c>
      <c r="AC732">
        <f t="shared" si="121"/>
        <v>1</v>
      </c>
      <c r="AD732" s="12">
        <f t="shared" si="125"/>
        <v>0</v>
      </c>
      <c r="AE732" s="12">
        <f t="shared" si="126"/>
        <v>0</v>
      </c>
      <c r="AF732">
        <f t="shared" si="122"/>
        <v>0</v>
      </c>
      <c r="AG732">
        <f t="shared" si="127"/>
        <v>0</v>
      </c>
      <c r="AH732">
        <f t="shared" si="128"/>
        <v>0</v>
      </c>
      <c r="AI732">
        <f t="shared" si="129"/>
        <v>0</v>
      </c>
      <c r="AJ732">
        <f t="shared" si="130"/>
        <v>1</v>
      </c>
      <c r="AK732">
        <f t="shared" si="123"/>
        <v>1</v>
      </c>
      <c r="AL732">
        <f t="shared" si="131"/>
        <v>1</v>
      </c>
    </row>
    <row r="733" spans="1:38">
      <c r="A733" t="s">
        <v>2326</v>
      </c>
      <c r="B733" t="s">
        <v>2327</v>
      </c>
      <c r="C733" s="1">
        <f t="shared" si="124"/>
        <v>45597</v>
      </c>
      <c r="D733" t="s">
        <v>2328</v>
      </c>
      <c r="E733">
        <v>50.2</v>
      </c>
      <c r="F733">
        <v>2.1</v>
      </c>
      <c r="G733" t="s">
        <v>59</v>
      </c>
      <c r="H733" t="s">
        <v>281</v>
      </c>
      <c r="I733" t="s">
        <v>95</v>
      </c>
      <c r="J733">
        <v>48</v>
      </c>
      <c r="K733" t="s">
        <v>33</v>
      </c>
      <c r="L733" t="s">
        <v>133</v>
      </c>
      <c r="M733" t="s">
        <v>35</v>
      </c>
      <c r="N733" t="s">
        <v>144</v>
      </c>
      <c r="O733" t="s">
        <v>37</v>
      </c>
      <c r="P733" t="s">
        <v>38</v>
      </c>
      <c r="Q733" t="s">
        <v>38</v>
      </c>
      <c r="R733">
        <v>1</v>
      </c>
      <c r="S733" t="s">
        <v>38</v>
      </c>
      <c r="T733">
        <v>3</v>
      </c>
      <c r="U733">
        <v>2.2000000000000002</v>
      </c>
      <c r="V733">
        <v>28.7</v>
      </c>
      <c r="W733" t="s">
        <v>39</v>
      </c>
      <c r="X733" t="s">
        <v>63</v>
      </c>
      <c r="Y733" t="s">
        <v>39</v>
      </c>
      <c r="Z733" t="s">
        <v>108</v>
      </c>
      <c r="AA733" t="s">
        <v>42</v>
      </c>
      <c r="AB733" t="s">
        <v>55</v>
      </c>
      <c r="AC733">
        <f t="shared" si="121"/>
        <v>0</v>
      </c>
      <c r="AD733" s="12">
        <f t="shared" si="125"/>
        <v>1</v>
      </c>
      <c r="AE733" s="12">
        <f t="shared" si="126"/>
        <v>0</v>
      </c>
      <c r="AF733">
        <f t="shared" si="122"/>
        <v>0</v>
      </c>
      <c r="AG733">
        <f t="shared" si="127"/>
        <v>0</v>
      </c>
      <c r="AH733">
        <f t="shared" si="128"/>
        <v>0</v>
      </c>
      <c r="AI733">
        <f t="shared" si="129"/>
        <v>1</v>
      </c>
      <c r="AJ733">
        <f t="shared" si="130"/>
        <v>0</v>
      </c>
      <c r="AK733">
        <f t="shared" si="123"/>
        <v>0</v>
      </c>
      <c r="AL733">
        <f t="shared" si="131"/>
        <v>0</v>
      </c>
    </row>
    <row r="734" spans="1:38">
      <c r="A734" t="s">
        <v>2329</v>
      </c>
      <c r="B734" t="s">
        <v>2330</v>
      </c>
      <c r="C734" s="1">
        <f t="shared" si="124"/>
        <v>45352</v>
      </c>
      <c r="D734" t="s">
        <v>2331</v>
      </c>
      <c r="E734">
        <v>102.7</v>
      </c>
      <c r="F734">
        <v>4.3</v>
      </c>
      <c r="G734" t="s">
        <v>87</v>
      </c>
      <c r="H734" t="s">
        <v>88</v>
      </c>
      <c r="I734" t="s">
        <v>48</v>
      </c>
      <c r="J734">
        <v>120</v>
      </c>
      <c r="K734" t="s">
        <v>49</v>
      </c>
      <c r="L734" t="s">
        <v>96</v>
      </c>
      <c r="M734" t="s">
        <v>71</v>
      </c>
      <c r="N734" t="s">
        <v>188</v>
      </c>
      <c r="O734" t="s">
        <v>7232</v>
      </c>
      <c r="P734" t="s">
        <v>38</v>
      </c>
      <c r="Q734" t="s">
        <v>39</v>
      </c>
      <c r="R734">
        <v>2</v>
      </c>
      <c r="S734" t="s">
        <v>38</v>
      </c>
      <c r="T734">
        <v>8</v>
      </c>
      <c r="U734">
        <v>3.5</v>
      </c>
      <c r="V734">
        <v>29.2</v>
      </c>
      <c r="W734" t="s">
        <v>39</v>
      </c>
      <c r="X734" t="s">
        <v>123</v>
      </c>
      <c r="Y734" t="s">
        <v>38</v>
      </c>
      <c r="Z734" t="s">
        <v>81</v>
      </c>
      <c r="AA734" t="s">
        <v>109</v>
      </c>
      <c r="AB734" t="s">
        <v>43</v>
      </c>
      <c r="AC734">
        <f t="shared" si="121"/>
        <v>0</v>
      </c>
      <c r="AD734" s="12">
        <f t="shared" si="125"/>
        <v>0</v>
      </c>
      <c r="AE734" s="12">
        <f t="shared" si="126"/>
        <v>1</v>
      </c>
      <c r="AF734">
        <f t="shared" si="122"/>
        <v>0</v>
      </c>
      <c r="AG734">
        <f t="shared" si="127"/>
        <v>1</v>
      </c>
      <c r="AH734">
        <f t="shared" si="128"/>
        <v>1</v>
      </c>
      <c r="AI734">
        <f t="shared" si="129"/>
        <v>0</v>
      </c>
      <c r="AJ734">
        <f t="shared" si="130"/>
        <v>0</v>
      </c>
      <c r="AK734">
        <f t="shared" si="123"/>
        <v>0</v>
      </c>
      <c r="AL734">
        <f t="shared" si="131"/>
        <v>1</v>
      </c>
    </row>
    <row r="735" spans="1:38">
      <c r="A735" t="s">
        <v>2332</v>
      </c>
      <c r="B735" t="s">
        <v>2333</v>
      </c>
      <c r="C735" s="1">
        <f t="shared" si="124"/>
        <v>45566</v>
      </c>
      <c r="D735" t="s">
        <v>2334</v>
      </c>
      <c r="E735">
        <v>296.3</v>
      </c>
      <c r="F735">
        <v>12.3</v>
      </c>
      <c r="G735" t="s">
        <v>30</v>
      </c>
      <c r="H735" t="s">
        <v>159</v>
      </c>
      <c r="I735" t="s">
        <v>32</v>
      </c>
      <c r="J735">
        <v>240</v>
      </c>
      <c r="K735" t="s">
        <v>33</v>
      </c>
      <c r="L735" t="s">
        <v>96</v>
      </c>
      <c r="M735" t="s">
        <v>35</v>
      </c>
      <c r="N735" t="s">
        <v>128</v>
      </c>
      <c r="O735" t="s">
        <v>37</v>
      </c>
      <c r="P735" t="s">
        <v>39</v>
      </c>
      <c r="Q735" t="s">
        <v>38</v>
      </c>
      <c r="R735">
        <v>0</v>
      </c>
      <c r="S735" t="s">
        <v>38</v>
      </c>
      <c r="T735">
        <v>5</v>
      </c>
      <c r="U735">
        <v>3.1</v>
      </c>
      <c r="V735">
        <v>26.9</v>
      </c>
      <c r="W735" t="s">
        <v>39</v>
      </c>
      <c r="X735" t="s">
        <v>123</v>
      </c>
      <c r="Y735" t="s">
        <v>39</v>
      </c>
      <c r="Z735" t="s">
        <v>81</v>
      </c>
      <c r="AA735" t="s">
        <v>82</v>
      </c>
      <c r="AB735" t="s">
        <v>83</v>
      </c>
      <c r="AC735">
        <f t="shared" si="121"/>
        <v>0</v>
      </c>
      <c r="AD735" s="12">
        <f t="shared" si="125"/>
        <v>0</v>
      </c>
      <c r="AE735" s="12">
        <f t="shared" si="126"/>
        <v>1</v>
      </c>
      <c r="AF735">
        <f t="shared" si="122"/>
        <v>0</v>
      </c>
      <c r="AG735">
        <f t="shared" si="127"/>
        <v>0</v>
      </c>
      <c r="AH735">
        <f t="shared" si="128"/>
        <v>0</v>
      </c>
      <c r="AI735">
        <f t="shared" si="129"/>
        <v>0</v>
      </c>
      <c r="AJ735">
        <f t="shared" si="130"/>
        <v>1</v>
      </c>
      <c r="AK735">
        <f t="shared" si="123"/>
        <v>1</v>
      </c>
      <c r="AL735">
        <f t="shared" si="131"/>
        <v>0</v>
      </c>
    </row>
    <row r="736" spans="1:38">
      <c r="A736" t="s">
        <v>2335</v>
      </c>
      <c r="B736" t="s">
        <v>2336</v>
      </c>
      <c r="C736" s="1">
        <f t="shared" si="124"/>
        <v>45413</v>
      </c>
      <c r="D736" t="s">
        <v>2337</v>
      </c>
      <c r="E736">
        <v>31.4</v>
      </c>
      <c r="F736">
        <v>1.3</v>
      </c>
      <c r="G736" t="s">
        <v>142</v>
      </c>
      <c r="H736" t="s">
        <v>143</v>
      </c>
      <c r="I736" t="s">
        <v>95</v>
      </c>
      <c r="J736">
        <v>48</v>
      </c>
      <c r="K736" t="s">
        <v>49</v>
      </c>
      <c r="L736" t="s">
        <v>34</v>
      </c>
      <c r="M736" t="s">
        <v>35</v>
      </c>
      <c r="N736" t="s">
        <v>114</v>
      </c>
      <c r="O736" t="s">
        <v>37</v>
      </c>
      <c r="P736" t="s">
        <v>38</v>
      </c>
      <c r="Q736" t="s">
        <v>38</v>
      </c>
      <c r="R736">
        <v>1</v>
      </c>
      <c r="S736" t="s">
        <v>39</v>
      </c>
      <c r="T736">
        <v>9</v>
      </c>
      <c r="U736">
        <v>6.2</v>
      </c>
      <c r="V736">
        <v>32.6</v>
      </c>
      <c r="W736" t="s">
        <v>39</v>
      </c>
      <c r="X736" t="s">
        <v>40</v>
      </c>
      <c r="Y736" t="s">
        <v>38</v>
      </c>
      <c r="Z736" t="s">
        <v>179</v>
      </c>
      <c r="AA736" t="s">
        <v>54</v>
      </c>
      <c r="AB736" t="s">
        <v>83</v>
      </c>
      <c r="AC736">
        <f t="shared" si="121"/>
        <v>0</v>
      </c>
      <c r="AD736" s="12">
        <f t="shared" si="125"/>
        <v>0</v>
      </c>
      <c r="AE736" s="12">
        <f t="shared" si="126"/>
        <v>0</v>
      </c>
      <c r="AF736">
        <f t="shared" si="122"/>
        <v>0</v>
      </c>
      <c r="AG736">
        <f t="shared" si="127"/>
        <v>0</v>
      </c>
      <c r="AH736">
        <f t="shared" si="128"/>
        <v>0</v>
      </c>
      <c r="AI736">
        <f t="shared" si="129"/>
        <v>1</v>
      </c>
      <c r="AJ736">
        <f t="shared" si="130"/>
        <v>0</v>
      </c>
      <c r="AK736">
        <f t="shared" si="123"/>
        <v>0</v>
      </c>
      <c r="AL736">
        <f t="shared" si="131"/>
        <v>1</v>
      </c>
    </row>
    <row r="737" spans="1:38">
      <c r="A737" t="s">
        <v>2338</v>
      </c>
      <c r="B737" t="s">
        <v>2339</v>
      </c>
      <c r="C737" s="1">
        <f t="shared" si="124"/>
        <v>45383</v>
      </c>
      <c r="D737" t="s">
        <v>2340</v>
      </c>
      <c r="E737">
        <v>242.8</v>
      </c>
      <c r="F737">
        <v>10.1</v>
      </c>
      <c r="G737" t="s">
        <v>77</v>
      </c>
      <c r="H737" t="s">
        <v>267</v>
      </c>
      <c r="I737" t="s">
        <v>79</v>
      </c>
      <c r="J737">
        <v>360</v>
      </c>
      <c r="K737" t="s">
        <v>49</v>
      </c>
      <c r="L737" t="s">
        <v>96</v>
      </c>
      <c r="M737" t="s">
        <v>35</v>
      </c>
      <c r="N737" t="s">
        <v>202</v>
      </c>
      <c r="O737" t="s">
        <v>37</v>
      </c>
      <c r="P737" t="s">
        <v>39</v>
      </c>
      <c r="Q737" t="s">
        <v>38</v>
      </c>
      <c r="R737">
        <v>0</v>
      </c>
      <c r="S737" t="s">
        <v>38</v>
      </c>
      <c r="T737">
        <v>9</v>
      </c>
      <c r="U737">
        <v>1.7</v>
      </c>
      <c r="V737">
        <v>15.7</v>
      </c>
      <c r="W737" t="s">
        <v>39</v>
      </c>
      <c r="X737" t="s">
        <v>52</v>
      </c>
      <c r="Y737" t="s">
        <v>38</v>
      </c>
      <c r="Z737" t="s">
        <v>108</v>
      </c>
      <c r="AA737" t="s">
        <v>54</v>
      </c>
      <c r="AB737" t="s">
        <v>83</v>
      </c>
      <c r="AC737">
        <f t="shared" si="121"/>
        <v>1</v>
      </c>
      <c r="AD737" s="12">
        <f t="shared" si="125"/>
        <v>0</v>
      </c>
      <c r="AE737" s="12">
        <f t="shared" si="126"/>
        <v>0</v>
      </c>
      <c r="AF737">
        <f t="shared" si="122"/>
        <v>0</v>
      </c>
      <c r="AG737">
        <f t="shared" si="127"/>
        <v>0</v>
      </c>
      <c r="AH737">
        <f t="shared" si="128"/>
        <v>0</v>
      </c>
      <c r="AI737">
        <f t="shared" si="129"/>
        <v>0</v>
      </c>
      <c r="AJ737">
        <f t="shared" si="130"/>
        <v>0</v>
      </c>
      <c r="AK737">
        <f t="shared" si="123"/>
        <v>0</v>
      </c>
      <c r="AL737">
        <f t="shared" si="131"/>
        <v>1</v>
      </c>
    </row>
    <row r="738" spans="1:38">
      <c r="A738" t="s">
        <v>2341</v>
      </c>
      <c r="B738" t="s">
        <v>2342</v>
      </c>
      <c r="C738" s="1">
        <f t="shared" si="124"/>
        <v>45474</v>
      </c>
      <c r="D738" t="s">
        <v>2343</v>
      </c>
      <c r="E738">
        <v>425.9</v>
      </c>
      <c r="F738">
        <v>17.7</v>
      </c>
      <c r="G738" t="s">
        <v>101</v>
      </c>
      <c r="H738" t="s">
        <v>102</v>
      </c>
      <c r="I738" t="s">
        <v>79</v>
      </c>
      <c r="J738">
        <v>360</v>
      </c>
      <c r="K738" t="s">
        <v>33</v>
      </c>
      <c r="L738" t="s">
        <v>34</v>
      </c>
      <c r="M738" t="s">
        <v>71</v>
      </c>
      <c r="N738" t="s">
        <v>188</v>
      </c>
      <c r="O738" t="s">
        <v>7232</v>
      </c>
      <c r="P738" t="s">
        <v>38</v>
      </c>
      <c r="Q738" t="s">
        <v>39</v>
      </c>
      <c r="R738">
        <v>1</v>
      </c>
      <c r="S738" t="s">
        <v>38</v>
      </c>
      <c r="T738">
        <v>7</v>
      </c>
      <c r="U738">
        <v>0.1</v>
      </c>
      <c r="V738">
        <v>20.7</v>
      </c>
      <c r="W738" t="s">
        <v>38</v>
      </c>
      <c r="X738" t="s">
        <v>123</v>
      </c>
      <c r="Y738" t="s">
        <v>39</v>
      </c>
      <c r="Z738" t="s">
        <v>108</v>
      </c>
      <c r="AA738" t="s">
        <v>54</v>
      </c>
      <c r="AB738" t="s">
        <v>43</v>
      </c>
      <c r="AC738">
        <f t="shared" si="121"/>
        <v>0</v>
      </c>
      <c r="AD738" s="12">
        <f t="shared" si="125"/>
        <v>0</v>
      </c>
      <c r="AE738" s="12">
        <f t="shared" si="126"/>
        <v>1</v>
      </c>
      <c r="AF738">
        <f t="shared" si="122"/>
        <v>0</v>
      </c>
      <c r="AG738">
        <f t="shared" si="127"/>
        <v>1</v>
      </c>
      <c r="AH738">
        <f t="shared" si="128"/>
        <v>0</v>
      </c>
      <c r="AI738">
        <f t="shared" si="129"/>
        <v>0</v>
      </c>
      <c r="AJ738">
        <f t="shared" si="130"/>
        <v>0</v>
      </c>
      <c r="AK738">
        <f t="shared" si="123"/>
        <v>0</v>
      </c>
      <c r="AL738">
        <f t="shared" si="131"/>
        <v>0</v>
      </c>
    </row>
    <row r="739" spans="1:38">
      <c r="A739" t="s">
        <v>2344</v>
      </c>
      <c r="B739" t="s">
        <v>2345</v>
      </c>
      <c r="C739" s="1">
        <f t="shared" si="124"/>
        <v>45383</v>
      </c>
      <c r="D739" t="s">
        <v>2346</v>
      </c>
      <c r="E739">
        <v>402.7</v>
      </c>
      <c r="F739">
        <v>16.8</v>
      </c>
      <c r="G739" t="s">
        <v>77</v>
      </c>
      <c r="H739" t="s">
        <v>244</v>
      </c>
      <c r="I739" t="s">
        <v>79</v>
      </c>
      <c r="J739">
        <v>360</v>
      </c>
      <c r="K739" t="s">
        <v>33</v>
      </c>
      <c r="L739" t="s">
        <v>96</v>
      </c>
      <c r="M739" t="s">
        <v>35</v>
      </c>
      <c r="N739" t="s">
        <v>414</v>
      </c>
      <c r="O739" t="s">
        <v>37</v>
      </c>
      <c r="P739" t="s">
        <v>38</v>
      </c>
      <c r="Q739" t="s">
        <v>38</v>
      </c>
      <c r="R739">
        <v>1</v>
      </c>
      <c r="S739" t="s">
        <v>39</v>
      </c>
      <c r="T739">
        <v>7</v>
      </c>
      <c r="U739">
        <v>1.5</v>
      </c>
      <c r="V739">
        <v>28.9</v>
      </c>
      <c r="W739" t="s">
        <v>39</v>
      </c>
      <c r="X739" t="s">
        <v>123</v>
      </c>
      <c r="Y739" t="s">
        <v>38</v>
      </c>
      <c r="Z739" t="s">
        <v>53</v>
      </c>
      <c r="AA739" t="s">
        <v>54</v>
      </c>
      <c r="AB739" t="s">
        <v>83</v>
      </c>
      <c r="AC739">
        <f t="shared" si="121"/>
        <v>0</v>
      </c>
      <c r="AD739" s="12">
        <f t="shared" si="125"/>
        <v>0</v>
      </c>
      <c r="AE739" s="12">
        <f t="shared" si="126"/>
        <v>1</v>
      </c>
      <c r="AF739">
        <f t="shared" si="122"/>
        <v>0</v>
      </c>
      <c r="AG739">
        <f t="shared" si="127"/>
        <v>0</v>
      </c>
      <c r="AH739">
        <f t="shared" si="128"/>
        <v>0</v>
      </c>
      <c r="AI739">
        <f t="shared" si="129"/>
        <v>0</v>
      </c>
      <c r="AJ739">
        <f t="shared" si="130"/>
        <v>0</v>
      </c>
      <c r="AK739">
        <f t="shared" si="123"/>
        <v>0</v>
      </c>
      <c r="AL739">
        <f t="shared" si="131"/>
        <v>1</v>
      </c>
    </row>
    <row r="740" spans="1:38">
      <c r="A740" t="s">
        <v>2347</v>
      </c>
      <c r="B740" t="s">
        <v>2348</v>
      </c>
      <c r="C740" s="1">
        <f t="shared" si="124"/>
        <v>45474</v>
      </c>
      <c r="D740" t="s">
        <v>2349</v>
      </c>
      <c r="E740">
        <v>94.6</v>
      </c>
      <c r="F740">
        <v>3.9</v>
      </c>
      <c r="G740" t="s">
        <v>59</v>
      </c>
      <c r="H740" t="s">
        <v>281</v>
      </c>
      <c r="I740" t="s">
        <v>48</v>
      </c>
      <c r="J740">
        <v>120</v>
      </c>
      <c r="K740" t="s">
        <v>49</v>
      </c>
      <c r="L740" t="s">
        <v>96</v>
      </c>
      <c r="M740" t="s">
        <v>71</v>
      </c>
      <c r="N740" t="s">
        <v>138</v>
      </c>
      <c r="O740" t="s">
        <v>7232</v>
      </c>
      <c r="P740" t="s">
        <v>38</v>
      </c>
      <c r="Q740" t="s">
        <v>39</v>
      </c>
      <c r="R740">
        <v>3</v>
      </c>
      <c r="S740" t="s">
        <v>38</v>
      </c>
      <c r="T740">
        <v>6</v>
      </c>
      <c r="U740">
        <v>2.2999999999999998</v>
      </c>
      <c r="V740">
        <v>9.8000000000000007</v>
      </c>
      <c r="W740" t="s">
        <v>39</v>
      </c>
      <c r="X740" t="s">
        <v>123</v>
      </c>
      <c r="Y740" t="s">
        <v>38</v>
      </c>
      <c r="Z740" t="s">
        <v>179</v>
      </c>
      <c r="AA740" t="s">
        <v>54</v>
      </c>
      <c r="AB740" t="s">
        <v>55</v>
      </c>
      <c r="AC740">
        <f t="shared" si="121"/>
        <v>0</v>
      </c>
      <c r="AD740" s="12">
        <f t="shared" si="125"/>
        <v>0</v>
      </c>
      <c r="AE740" s="12">
        <f t="shared" si="126"/>
        <v>1</v>
      </c>
      <c r="AF740">
        <f t="shared" si="122"/>
        <v>0</v>
      </c>
      <c r="AG740">
        <f t="shared" si="127"/>
        <v>1</v>
      </c>
      <c r="AH740">
        <f t="shared" si="128"/>
        <v>1</v>
      </c>
      <c r="AI740">
        <f t="shared" si="129"/>
        <v>0</v>
      </c>
      <c r="AJ740">
        <f t="shared" si="130"/>
        <v>0</v>
      </c>
      <c r="AK740">
        <f t="shared" si="123"/>
        <v>0</v>
      </c>
      <c r="AL740">
        <f t="shared" si="131"/>
        <v>1</v>
      </c>
    </row>
    <row r="741" spans="1:38">
      <c r="A741" t="s">
        <v>2350</v>
      </c>
      <c r="B741" t="s">
        <v>2351</v>
      </c>
      <c r="C741" s="1">
        <f t="shared" si="124"/>
        <v>45627</v>
      </c>
      <c r="D741" t="s">
        <v>2352</v>
      </c>
      <c r="E741">
        <v>228.2</v>
      </c>
      <c r="F741">
        <v>9.5</v>
      </c>
      <c r="G741" t="s">
        <v>77</v>
      </c>
      <c r="H741" t="s">
        <v>267</v>
      </c>
      <c r="I741" t="s">
        <v>79</v>
      </c>
      <c r="J741">
        <v>360</v>
      </c>
      <c r="K741" t="s">
        <v>49</v>
      </c>
      <c r="L741" t="s">
        <v>96</v>
      </c>
      <c r="M741" t="s">
        <v>35</v>
      </c>
      <c r="N741" t="s">
        <v>50</v>
      </c>
      <c r="O741" t="s">
        <v>7232</v>
      </c>
      <c r="P741" t="s">
        <v>39</v>
      </c>
      <c r="Q741" t="s">
        <v>38</v>
      </c>
      <c r="R741">
        <v>0</v>
      </c>
      <c r="S741" t="s">
        <v>38</v>
      </c>
      <c r="T741">
        <v>8</v>
      </c>
      <c r="U741">
        <v>4.7</v>
      </c>
      <c r="V741">
        <v>14.5</v>
      </c>
      <c r="W741" t="s">
        <v>39</v>
      </c>
      <c r="X741" t="s">
        <v>123</v>
      </c>
      <c r="Y741" t="s">
        <v>39</v>
      </c>
      <c r="Z741" t="s">
        <v>179</v>
      </c>
      <c r="AA741" t="s">
        <v>109</v>
      </c>
      <c r="AB741" t="s">
        <v>83</v>
      </c>
      <c r="AC741">
        <f t="shared" si="121"/>
        <v>0</v>
      </c>
      <c r="AD741" s="12">
        <f t="shared" si="125"/>
        <v>0</v>
      </c>
      <c r="AE741" s="12">
        <f t="shared" si="126"/>
        <v>1</v>
      </c>
      <c r="AF741">
        <f t="shared" si="122"/>
        <v>0</v>
      </c>
      <c r="AG741">
        <f t="shared" si="127"/>
        <v>1</v>
      </c>
      <c r="AH741">
        <f t="shared" si="128"/>
        <v>0</v>
      </c>
      <c r="AI741">
        <f t="shared" si="129"/>
        <v>0</v>
      </c>
      <c r="AJ741">
        <f t="shared" si="130"/>
        <v>0</v>
      </c>
      <c r="AK741">
        <f t="shared" si="123"/>
        <v>0</v>
      </c>
      <c r="AL741">
        <f t="shared" si="131"/>
        <v>0</v>
      </c>
    </row>
    <row r="742" spans="1:38">
      <c r="A742" t="s">
        <v>2353</v>
      </c>
      <c r="B742" t="s">
        <v>2354</v>
      </c>
      <c r="C742" s="1">
        <f t="shared" si="124"/>
        <v>45413</v>
      </c>
      <c r="D742" t="s">
        <v>2355</v>
      </c>
      <c r="E742">
        <v>128</v>
      </c>
      <c r="F742">
        <v>5.3</v>
      </c>
      <c r="G742" t="s">
        <v>59</v>
      </c>
      <c r="H742" t="s">
        <v>60</v>
      </c>
      <c r="I742" t="s">
        <v>48</v>
      </c>
      <c r="J742">
        <v>120</v>
      </c>
      <c r="K742" t="s">
        <v>33</v>
      </c>
      <c r="L742" t="s">
        <v>70</v>
      </c>
      <c r="M742" t="s">
        <v>35</v>
      </c>
      <c r="N742" t="s">
        <v>188</v>
      </c>
      <c r="O742" t="s">
        <v>7232</v>
      </c>
      <c r="P742" t="s">
        <v>38</v>
      </c>
      <c r="Q742" t="s">
        <v>38</v>
      </c>
      <c r="R742">
        <v>1</v>
      </c>
      <c r="S742" t="s">
        <v>39</v>
      </c>
      <c r="T742">
        <v>8</v>
      </c>
      <c r="U742">
        <v>3</v>
      </c>
      <c r="V742">
        <v>9.1999999999999993</v>
      </c>
      <c r="W742" t="s">
        <v>38</v>
      </c>
      <c r="X742" t="s">
        <v>123</v>
      </c>
      <c r="Y742" t="s">
        <v>38</v>
      </c>
      <c r="Z742" t="s">
        <v>64</v>
      </c>
      <c r="AA742" t="s">
        <v>109</v>
      </c>
      <c r="AB742" t="s">
        <v>83</v>
      </c>
      <c r="AC742">
        <f t="shared" si="121"/>
        <v>0</v>
      </c>
      <c r="AD742" s="12">
        <f t="shared" si="125"/>
        <v>0</v>
      </c>
      <c r="AE742" s="12">
        <f t="shared" si="126"/>
        <v>1</v>
      </c>
      <c r="AF742">
        <f t="shared" si="122"/>
        <v>0</v>
      </c>
      <c r="AG742">
        <f t="shared" si="127"/>
        <v>1</v>
      </c>
      <c r="AH742">
        <f t="shared" si="128"/>
        <v>1</v>
      </c>
      <c r="AI742">
        <f t="shared" si="129"/>
        <v>0</v>
      </c>
      <c r="AJ742">
        <f t="shared" si="130"/>
        <v>0</v>
      </c>
      <c r="AK742">
        <f t="shared" si="123"/>
        <v>0</v>
      </c>
      <c r="AL742">
        <f t="shared" si="131"/>
        <v>1</v>
      </c>
    </row>
    <row r="743" spans="1:38">
      <c r="A743" t="s">
        <v>2356</v>
      </c>
      <c r="B743" t="s">
        <v>2357</v>
      </c>
      <c r="C743" s="1">
        <f t="shared" si="124"/>
        <v>45505</v>
      </c>
      <c r="D743" t="s">
        <v>2358</v>
      </c>
      <c r="E743">
        <v>383.7</v>
      </c>
      <c r="F743">
        <v>16</v>
      </c>
      <c r="G743" t="s">
        <v>77</v>
      </c>
      <c r="H743" t="s">
        <v>78</v>
      </c>
      <c r="I743" t="s">
        <v>79</v>
      </c>
      <c r="J743">
        <v>360</v>
      </c>
      <c r="K743" t="s">
        <v>33</v>
      </c>
      <c r="L743" t="s">
        <v>96</v>
      </c>
      <c r="M743" t="s">
        <v>35</v>
      </c>
      <c r="N743" t="s">
        <v>220</v>
      </c>
      <c r="O743" t="s">
        <v>51</v>
      </c>
      <c r="P743" t="s">
        <v>39</v>
      </c>
      <c r="Q743" t="s">
        <v>38</v>
      </c>
      <c r="R743">
        <v>0</v>
      </c>
      <c r="S743" t="s">
        <v>39</v>
      </c>
      <c r="T743">
        <v>7</v>
      </c>
      <c r="U743">
        <v>6</v>
      </c>
      <c r="V743">
        <v>27.7</v>
      </c>
      <c r="W743" t="s">
        <v>38</v>
      </c>
      <c r="X743" t="s">
        <v>52</v>
      </c>
      <c r="Y743" t="s">
        <v>38</v>
      </c>
      <c r="Z743" t="s">
        <v>81</v>
      </c>
      <c r="AA743" t="s">
        <v>103</v>
      </c>
      <c r="AB743" t="s">
        <v>43</v>
      </c>
      <c r="AC743">
        <f t="shared" si="121"/>
        <v>1</v>
      </c>
      <c r="AD743" s="12">
        <f t="shared" si="125"/>
        <v>0</v>
      </c>
      <c r="AE743" s="12">
        <f t="shared" si="126"/>
        <v>0</v>
      </c>
      <c r="AF743">
        <f t="shared" si="122"/>
        <v>1</v>
      </c>
      <c r="AG743">
        <f t="shared" si="127"/>
        <v>0</v>
      </c>
      <c r="AH743">
        <f t="shared" si="128"/>
        <v>0</v>
      </c>
      <c r="AI743">
        <f t="shared" si="129"/>
        <v>0</v>
      </c>
      <c r="AJ743">
        <f t="shared" si="130"/>
        <v>0</v>
      </c>
      <c r="AK743">
        <f t="shared" si="123"/>
        <v>0</v>
      </c>
      <c r="AL743">
        <f t="shared" si="131"/>
        <v>1</v>
      </c>
    </row>
    <row r="744" spans="1:38">
      <c r="A744" t="s">
        <v>2359</v>
      </c>
      <c r="B744" t="s">
        <v>2360</v>
      </c>
      <c r="C744" s="1">
        <f t="shared" si="124"/>
        <v>45323</v>
      </c>
      <c r="D744" t="s">
        <v>2361</v>
      </c>
      <c r="E744">
        <v>217.8</v>
      </c>
      <c r="F744">
        <v>9.1</v>
      </c>
      <c r="G744" t="s">
        <v>77</v>
      </c>
      <c r="H744" t="s">
        <v>267</v>
      </c>
      <c r="I744" t="s">
        <v>79</v>
      </c>
      <c r="J744">
        <v>360</v>
      </c>
      <c r="K744" t="s">
        <v>49</v>
      </c>
      <c r="L744" t="s">
        <v>96</v>
      </c>
      <c r="M744" t="s">
        <v>35</v>
      </c>
      <c r="N744" t="s">
        <v>89</v>
      </c>
      <c r="O744" t="s">
        <v>7232</v>
      </c>
      <c r="P744" t="s">
        <v>39</v>
      </c>
      <c r="Q744" t="s">
        <v>38</v>
      </c>
      <c r="R744">
        <v>0</v>
      </c>
      <c r="S744" t="s">
        <v>38</v>
      </c>
      <c r="T744">
        <v>10</v>
      </c>
      <c r="U744">
        <v>3.2</v>
      </c>
      <c r="V744">
        <v>35.700000000000003</v>
      </c>
      <c r="W744" t="s">
        <v>39</v>
      </c>
      <c r="X744" t="s">
        <v>123</v>
      </c>
      <c r="Y744" t="s">
        <v>39</v>
      </c>
      <c r="Z744" t="s">
        <v>64</v>
      </c>
      <c r="AA744" t="s">
        <v>54</v>
      </c>
      <c r="AB744" t="s">
        <v>83</v>
      </c>
      <c r="AC744">
        <f t="shared" si="121"/>
        <v>0</v>
      </c>
      <c r="AD744" s="12">
        <f t="shared" si="125"/>
        <v>0</v>
      </c>
      <c r="AE744" s="12">
        <f t="shared" si="126"/>
        <v>1</v>
      </c>
      <c r="AF744">
        <f t="shared" si="122"/>
        <v>0</v>
      </c>
      <c r="AG744">
        <f t="shared" si="127"/>
        <v>1</v>
      </c>
      <c r="AH744">
        <f t="shared" si="128"/>
        <v>0</v>
      </c>
      <c r="AI744">
        <f t="shared" si="129"/>
        <v>0</v>
      </c>
      <c r="AJ744">
        <f t="shared" si="130"/>
        <v>0</v>
      </c>
      <c r="AK744">
        <f t="shared" si="123"/>
        <v>0</v>
      </c>
      <c r="AL744">
        <f t="shared" si="131"/>
        <v>0</v>
      </c>
    </row>
    <row r="745" spans="1:38">
      <c r="A745" t="s">
        <v>2362</v>
      </c>
      <c r="B745" t="s">
        <v>2363</v>
      </c>
      <c r="C745" s="1">
        <f t="shared" si="124"/>
        <v>45505</v>
      </c>
      <c r="D745" t="s">
        <v>2364</v>
      </c>
      <c r="E745">
        <v>157.9</v>
      </c>
      <c r="F745">
        <v>6.6</v>
      </c>
      <c r="G745" t="s">
        <v>93</v>
      </c>
      <c r="H745" t="s">
        <v>449</v>
      </c>
      <c r="I745" t="s">
        <v>32</v>
      </c>
      <c r="J745">
        <v>240</v>
      </c>
      <c r="K745" t="s">
        <v>49</v>
      </c>
      <c r="L745" t="s">
        <v>34</v>
      </c>
      <c r="M745" t="s">
        <v>35</v>
      </c>
      <c r="N745" t="s">
        <v>89</v>
      </c>
      <c r="O745" t="s">
        <v>51</v>
      </c>
      <c r="P745" t="s">
        <v>39</v>
      </c>
      <c r="Q745" t="s">
        <v>38</v>
      </c>
      <c r="R745">
        <v>0</v>
      </c>
      <c r="S745" t="s">
        <v>38</v>
      </c>
      <c r="T745">
        <v>10</v>
      </c>
      <c r="U745">
        <v>4.7</v>
      </c>
      <c r="V745">
        <v>24.4</v>
      </c>
      <c r="W745" t="s">
        <v>39</v>
      </c>
      <c r="X745" t="s">
        <v>123</v>
      </c>
      <c r="Y745" t="s">
        <v>38</v>
      </c>
      <c r="Z745" t="s">
        <v>179</v>
      </c>
      <c r="AA745" t="s">
        <v>82</v>
      </c>
      <c r="AB745" t="s">
        <v>55</v>
      </c>
      <c r="AC745">
        <f t="shared" si="121"/>
        <v>0</v>
      </c>
      <c r="AD745" s="12">
        <f t="shared" si="125"/>
        <v>0</v>
      </c>
      <c r="AE745" s="12">
        <f t="shared" si="126"/>
        <v>1</v>
      </c>
      <c r="AF745">
        <f t="shared" si="122"/>
        <v>1</v>
      </c>
      <c r="AG745">
        <f t="shared" si="127"/>
        <v>0</v>
      </c>
      <c r="AH745">
        <f t="shared" si="128"/>
        <v>0</v>
      </c>
      <c r="AI745">
        <f t="shared" si="129"/>
        <v>0</v>
      </c>
      <c r="AJ745">
        <f t="shared" si="130"/>
        <v>1</v>
      </c>
      <c r="AK745">
        <f t="shared" si="123"/>
        <v>0</v>
      </c>
      <c r="AL745">
        <f t="shared" si="131"/>
        <v>1</v>
      </c>
    </row>
    <row r="746" spans="1:38">
      <c r="A746" t="s">
        <v>2365</v>
      </c>
      <c r="B746" t="s">
        <v>2366</v>
      </c>
      <c r="C746" s="1">
        <f t="shared" si="124"/>
        <v>45566</v>
      </c>
      <c r="D746" t="s">
        <v>2367</v>
      </c>
      <c r="E746">
        <v>683.4</v>
      </c>
      <c r="F746">
        <v>28.5</v>
      </c>
      <c r="G746" t="s">
        <v>101</v>
      </c>
      <c r="H746" t="s">
        <v>102</v>
      </c>
      <c r="I746" t="s">
        <v>79</v>
      </c>
      <c r="J746">
        <v>360</v>
      </c>
      <c r="K746" t="s">
        <v>33</v>
      </c>
      <c r="L746" t="s">
        <v>70</v>
      </c>
      <c r="M746" t="s">
        <v>35</v>
      </c>
      <c r="N746" t="s">
        <v>128</v>
      </c>
      <c r="O746" t="s">
        <v>37</v>
      </c>
      <c r="P746" t="s">
        <v>39</v>
      </c>
      <c r="Q746" t="s">
        <v>38</v>
      </c>
      <c r="R746">
        <v>0</v>
      </c>
      <c r="S746" t="s">
        <v>38</v>
      </c>
      <c r="T746">
        <v>7</v>
      </c>
      <c r="U746">
        <v>1.2</v>
      </c>
      <c r="V746">
        <v>19.3</v>
      </c>
      <c r="W746" t="s">
        <v>39</v>
      </c>
      <c r="X746" t="s">
        <v>123</v>
      </c>
      <c r="Y746" t="s">
        <v>39</v>
      </c>
      <c r="Z746" t="s">
        <v>73</v>
      </c>
      <c r="AA746" t="s">
        <v>82</v>
      </c>
      <c r="AB746" t="s">
        <v>43</v>
      </c>
      <c r="AC746">
        <f t="shared" si="121"/>
        <v>0</v>
      </c>
      <c r="AD746" s="12">
        <f t="shared" si="125"/>
        <v>0</v>
      </c>
      <c r="AE746" s="12">
        <f t="shared" si="126"/>
        <v>1</v>
      </c>
      <c r="AF746">
        <f t="shared" si="122"/>
        <v>0</v>
      </c>
      <c r="AG746">
        <f t="shared" si="127"/>
        <v>0</v>
      </c>
      <c r="AH746">
        <f t="shared" si="128"/>
        <v>0</v>
      </c>
      <c r="AI746">
        <f t="shared" si="129"/>
        <v>0</v>
      </c>
      <c r="AJ746">
        <f t="shared" si="130"/>
        <v>0</v>
      </c>
      <c r="AK746">
        <f t="shared" si="123"/>
        <v>0</v>
      </c>
      <c r="AL746">
        <f t="shared" si="131"/>
        <v>0</v>
      </c>
    </row>
    <row r="747" spans="1:38">
      <c r="A747" t="s">
        <v>2368</v>
      </c>
      <c r="B747" t="s">
        <v>2369</v>
      </c>
      <c r="C747" s="1">
        <f t="shared" si="124"/>
        <v>45292</v>
      </c>
      <c r="D747" t="s">
        <v>2370</v>
      </c>
      <c r="E747">
        <v>164.5</v>
      </c>
      <c r="F747">
        <v>6.9</v>
      </c>
      <c r="G747" t="s">
        <v>101</v>
      </c>
      <c r="H747" t="s">
        <v>368</v>
      </c>
      <c r="I747" t="s">
        <v>48</v>
      </c>
      <c r="J747">
        <v>120</v>
      </c>
      <c r="K747" t="s">
        <v>33</v>
      </c>
      <c r="L747" t="s">
        <v>96</v>
      </c>
      <c r="M747" t="s">
        <v>35</v>
      </c>
      <c r="N747" t="s">
        <v>97</v>
      </c>
      <c r="O747" t="s">
        <v>51</v>
      </c>
      <c r="P747" t="s">
        <v>38</v>
      </c>
      <c r="Q747" t="s">
        <v>38</v>
      </c>
      <c r="R747">
        <v>1</v>
      </c>
      <c r="S747" t="s">
        <v>39</v>
      </c>
      <c r="T747">
        <v>6</v>
      </c>
      <c r="U747">
        <v>2.9</v>
      </c>
      <c r="V747">
        <v>1.8</v>
      </c>
      <c r="W747" t="s">
        <v>39</v>
      </c>
      <c r="X747" t="s">
        <v>52</v>
      </c>
      <c r="Y747" t="s">
        <v>38</v>
      </c>
      <c r="Z747" t="s">
        <v>41</v>
      </c>
      <c r="AA747" t="s">
        <v>82</v>
      </c>
      <c r="AB747" t="s">
        <v>43</v>
      </c>
      <c r="AC747">
        <f t="shared" si="121"/>
        <v>1</v>
      </c>
      <c r="AD747" s="12">
        <f t="shared" si="125"/>
        <v>0</v>
      </c>
      <c r="AE747" s="12">
        <f t="shared" si="126"/>
        <v>0</v>
      </c>
      <c r="AF747">
        <f t="shared" si="122"/>
        <v>1</v>
      </c>
      <c r="AG747">
        <f t="shared" si="127"/>
        <v>0</v>
      </c>
      <c r="AH747">
        <f t="shared" si="128"/>
        <v>1</v>
      </c>
      <c r="AI747">
        <f t="shared" si="129"/>
        <v>0</v>
      </c>
      <c r="AJ747">
        <f t="shared" si="130"/>
        <v>0</v>
      </c>
      <c r="AK747">
        <f t="shared" si="123"/>
        <v>0</v>
      </c>
      <c r="AL747">
        <f t="shared" si="131"/>
        <v>1</v>
      </c>
    </row>
    <row r="748" spans="1:38">
      <c r="A748" t="s">
        <v>2371</v>
      </c>
      <c r="B748" t="s">
        <v>2372</v>
      </c>
      <c r="C748" s="1">
        <f t="shared" si="124"/>
        <v>45383</v>
      </c>
      <c r="D748" t="s">
        <v>2373</v>
      </c>
      <c r="E748">
        <v>41.6</v>
      </c>
      <c r="F748">
        <v>1.7</v>
      </c>
      <c r="G748" t="s">
        <v>87</v>
      </c>
      <c r="H748" t="s">
        <v>151</v>
      </c>
      <c r="I748" t="s">
        <v>95</v>
      </c>
      <c r="J748">
        <v>48</v>
      </c>
      <c r="K748" t="s">
        <v>49</v>
      </c>
      <c r="L748" t="s">
        <v>34</v>
      </c>
      <c r="M748" t="s">
        <v>35</v>
      </c>
      <c r="N748" t="s">
        <v>164</v>
      </c>
      <c r="O748" t="s">
        <v>51</v>
      </c>
      <c r="P748" t="s">
        <v>38</v>
      </c>
      <c r="Q748" t="s">
        <v>38</v>
      </c>
      <c r="R748">
        <v>1</v>
      </c>
      <c r="S748" t="s">
        <v>38</v>
      </c>
      <c r="T748">
        <v>9</v>
      </c>
      <c r="U748">
        <v>0.1</v>
      </c>
      <c r="V748">
        <v>16.3</v>
      </c>
      <c r="W748" t="s">
        <v>38</v>
      </c>
      <c r="X748" t="s">
        <v>63</v>
      </c>
      <c r="Y748" t="s">
        <v>39</v>
      </c>
      <c r="Z748" t="s">
        <v>115</v>
      </c>
      <c r="AA748" t="s">
        <v>54</v>
      </c>
      <c r="AB748" t="s">
        <v>83</v>
      </c>
      <c r="AC748">
        <f t="shared" si="121"/>
        <v>0</v>
      </c>
      <c r="AD748" s="12">
        <f t="shared" si="125"/>
        <v>1</v>
      </c>
      <c r="AE748" s="12">
        <f t="shared" si="126"/>
        <v>0</v>
      </c>
      <c r="AF748">
        <f t="shared" si="122"/>
        <v>1</v>
      </c>
      <c r="AG748">
        <f t="shared" si="127"/>
        <v>0</v>
      </c>
      <c r="AH748">
        <f t="shared" si="128"/>
        <v>0</v>
      </c>
      <c r="AI748">
        <f t="shared" si="129"/>
        <v>1</v>
      </c>
      <c r="AJ748">
        <f t="shared" si="130"/>
        <v>0</v>
      </c>
      <c r="AK748">
        <f t="shared" si="123"/>
        <v>0</v>
      </c>
      <c r="AL748">
        <f t="shared" si="131"/>
        <v>0</v>
      </c>
    </row>
    <row r="749" spans="1:38">
      <c r="A749" t="s">
        <v>2374</v>
      </c>
      <c r="B749" t="s">
        <v>2375</v>
      </c>
      <c r="C749" s="1">
        <f t="shared" si="124"/>
        <v>45292</v>
      </c>
      <c r="D749" t="s">
        <v>2376</v>
      </c>
      <c r="E749">
        <v>293.3</v>
      </c>
      <c r="F749">
        <v>12.2</v>
      </c>
      <c r="G749" t="s">
        <v>93</v>
      </c>
      <c r="H749" t="s">
        <v>94</v>
      </c>
      <c r="I749" t="s">
        <v>79</v>
      </c>
      <c r="J749">
        <v>360</v>
      </c>
      <c r="K749" t="s">
        <v>49</v>
      </c>
      <c r="L749" t="s">
        <v>96</v>
      </c>
      <c r="M749" t="s">
        <v>35</v>
      </c>
      <c r="N749" t="s">
        <v>192</v>
      </c>
      <c r="O749" t="s">
        <v>7232</v>
      </c>
      <c r="P749" t="s">
        <v>38</v>
      </c>
      <c r="Q749" t="s">
        <v>38</v>
      </c>
      <c r="R749">
        <v>1</v>
      </c>
      <c r="S749" t="s">
        <v>39</v>
      </c>
      <c r="T749">
        <v>10</v>
      </c>
      <c r="U749">
        <v>3.2</v>
      </c>
      <c r="V749">
        <v>0</v>
      </c>
      <c r="W749" t="s">
        <v>39</v>
      </c>
      <c r="X749" t="s">
        <v>123</v>
      </c>
      <c r="Y749" t="s">
        <v>39</v>
      </c>
      <c r="Z749" t="s">
        <v>81</v>
      </c>
      <c r="AA749" t="s">
        <v>42</v>
      </c>
      <c r="AB749" t="s">
        <v>83</v>
      </c>
      <c r="AC749">
        <f t="shared" si="121"/>
        <v>0</v>
      </c>
      <c r="AD749" s="12">
        <f t="shared" si="125"/>
        <v>0</v>
      </c>
      <c r="AE749" s="12">
        <f t="shared" si="126"/>
        <v>1</v>
      </c>
      <c r="AF749">
        <f t="shared" si="122"/>
        <v>0</v>
      </c>
      <c r="AG749">
        <f t="shared" si="127"/>
        <v>1</v>
      </c>
      <c r="AH749">
        <f t="shared" si="128"/>
        <v>0</v>
      </c>
      <c r="AI749">
        <f t="shared" si="129"/>
        <v>0</v>
      </c>
      <c r="AJ749">
        <f t="shared" si="130"/>
        <v>0</v>
      </c>
      <c r="AK749">
        <f t="shared" si="123"/>
        <v>0</v>
      </c>
      <c r="AL749">
        <f t="shared" si="131"/>
        <v>0</v>
      </c>
    </row>
    <row r="750" spans="1:38">
      <c r="A750" t="s">
        <v>2377</v>
      </c>
      <c r="B750" t="s">
        <v>2378</v>
      </c>
      <c r="C750" s="1">
        <f t="shared" si="124"/>
        <v>45413</v>
      </c>
      <c r="D750" t="s">
        <v>2379</v>
      </c>
      <c r="E750">
        <v>197.9</v>
      </c>
      <c r="F750">
        <v>8.1999999999999993</v>
      </c>
      <c r="G750" t="s">
        <v>30</v>
      </c>
      <c r="H750" t="s">
        <v>47</v>
      </c>
      <c r="I750" t="s">
        <v>32</v>
      </c>
      <c r="J750">
        <v>240</v>
      </c>
      <c r="K750" t="s">
        <v>49</v>
      </c>
      <c r="L750" t="s">
        <v>113</v>
      </c>
      <c r="M750" t="s">
        <v>35</v>
      </c>
      <c r="N750" t="s">
        <v>72</v>
      </c>
      <c r="O750" t="s">
        <v>7232</v>
      </c>
      <c r="P750" t="s">
        <v>39</v>
      </c>
      <c r="Q750" t="s">
        <v>38</v>
      </c>
      <c r="R750">
        <v>0</v>
      </c>
      <c r="S750" t="s">
        <v>39</v>
      </c>
      <c r="T750">
        <v>10</v>
      </c>
      <c r="U750">
        <v>3.5</v>
      </c>
      <c r="V750">
        <v>14.5</v>
      </c>
      <c r="W750" t="s">
        <v>39</v>
      </c>
      <c r="X750" t="s">
        <v>52</v>
      </c>
      <c r="Y750" t="s">
        <v>39</v>
      </c>
      <c r="Z750" t="s">
        <v>64</v>
      </c>
      <c r="AA750" t="s">
        <v>109</v>
      </c>
      <c r="AB750" t="s">
        <v>55</v>
      </c>
      <c r="AC750">
        <f t="shared" si="121"/>
        <v>1</v>
      </c>
      <c r="AD750" s="12">
        <f t="shared" si="125"/>
        <v>0</v>
      </c>
      <c r="AE750" s="12">
        <f t="shared" si="126"/>
        <v>0</v>
      </c>
      <c r="AF750">
        <f t="shared" si="122"/>
        <v>0</v>
      </c>
      <c r="AG750">
        <f t="shared" si="127"/>
        <v>1</v>
      </c>
      <c r="AH750">
        <f t="shared" si="128"/>
        <v>0</v>
      </c>
      <c r="AI750">
        <f t="shared" si="129"/>
        <v>0</v>
      </c>
      <c r="AJ750">
        <f t="shared" si="130"/>
        <v>1</v>
      </c>
      <c r="AK750">
        <f t="shared" si="123"/>
        <v>1</v>
      </c>
      <c r="AL750">
        <f t="shared" si="131"/>
        <v>0</v>
      </c>
    </row>
    <row r="751" spans="1:38">
      <c r="A751" t="s">
        <v>2380</v>
      </c>
      <c r="B751" t="s">
        <v>2381</v>
      </c>
      <c r="C751" s="1">
        <f t="shared" si="124"/>
        <v>45474</v>
      </c>
      <c r="D751" t="s">
        <v>2382</v>
      </c>
      <c r="E751">
        <v>152.1</v>
      </c>
      <c r="F751">
        <v>6.3</v>
      </c>
      <c r="G751" t="s">
        <v>77</v>
      </c>
      <c r="H751" t="s">
        <v>187</v>
      </c>
      <c r="I751" t="s">
        <v>32</v>
      </c>
      <c r="J751">
        <v>240</v>
      </c>
      <c r="K751" t="s">
        <v>49</v>
      </c>
      <c r="L751" t="s">
        <v>96</v>
      </c>
      <c r="M751" t="s">
        <v>35</v>
      </c>
      <c r="N751" t="s">
        <v>61</v>
      </c>
      <c r="O751" t="s">
        <v>7232</v>
      </c>
      <c r="P751" t="s">
        <v>39</v>
      </c>
      <c r="Q751" t="s">
        <v>38</v>
      </c>
      <c r="R751">
        <v>0</v>
      </c>
      <c r="S751" t="s">
        <v>39</v>
      </c>
      <c r="T751">
        <v>10</v>
      </c>
      <c r="U751">
        <v>1.9</v>
      </c>
      <c r="V751">
        <v>21.1</v>
      </c>
      <c r="W751" t="s">
        <v>39</v>
      </c>
      <c r="X751" t="s">
        <v>63</v>
      </c>
      <c r="Y751" t="s">
        <v>38</v>
      </c>
      <c r="Z751" t="s">
        <v>41</v>
      </c>
      <c r="AA751" t="s">
        <v>82</v>
      </c>
      <c r="AB751" t="s">
        <v>43</v>
      </c>
      <c r="AC751">
        <f t="shared" si="121"/>
        <v>0</v>
      </c>
      <c r="AD751" s="12">
        <f t="shared" si="125"/>
        <v>1</v>
      </c>
      <c r="AE751" s="12">
        <f t="shared" si="126"/>
        <v>0</v>
      </c>
      <c r="AF751">
        <f t="shared" si="122"/>
        <v>0</v>
      </c>
      <c r="AG751">
        <f t="shared" si="127"/>
        <v>1</v>
      </c>
      <c r="AH751">
        <f t="shared" si="128"/>
        <v>0</v>
      </c>
      <c r="AI751">
        <f t="shared" si="129"/>
        <v>0</v>
      </c>
      <c r="AJ751">
        <f t="shared" si="130"/>
        <v>1</v>
      </c>
      <c r="AK751">
        <f t="shared" si="123"/>
        <v>0</v>
      </c>
      <c r="AL751">
        <f t="shared" si="131"/>
        <v>1</v>
      </c>
    </row>
    <row r="752" spans="1:38">
      <c r="A752" t="s">
        <v>2383</v>
      </c>
      <c r="B752" t="s">
        <v>2384</v>
      </c>
      <c r="C752" s="1">
        <f t="shared" si="124"/>
        <v>45352</v>
      </c>
      <c r="D752" t="s">
        <v>2385</v>
      </c>
      <c r="E752">
        <v>64.8</v>
      </c>
      <c r="F752">
        <v>2.7</v>
      </c>
      <c r="G752" t="s">
        <v>87</v>
      </c>
      <c r="H752" t="s">
        <v>88</v>
      </c>
      <c r="I752" t="s">
        <v>95</v>
      </c>
      <c r="J752">
        <v>48</v>
      </c>
      <c r="K752" t="s">
        <v>33</v>
      </c>
      <c r="L752" t="s">
        <v>96</v>
      </c>
      <c r="M752" t="s">
        <v>35</v>
      </c>
      <c r="N752" t="s">
        <v>80</v>
      </c>
      <c r="O752" t="s">
        <v>51</v>
      </c>
      <c r="P752" t="s">
        <v>38</v>
      </c>
      <c r="Q752" t="s">
        <v>38</v>
      </c>
      <c r="R752">
        <v>1</v>
      </c>
      <c r="S752" t="s">
        <v>38</v>
      </c>
      <c r="T752">
        <v>3</v>
      </c>
      <c r="U752">
        <v>2.2000000000000002</v>
      </c>
      <c r="V752">
        <v>30.1</v>
      </c>
      <c r="W752" t="s">
        <v>38</v>
      </c>
      <c r="X752" t="s">
        <v>123</v>
      </c>
      <c r="Y752" t="s">
        <v>39</v>
      </c>
      <c r="Z752" t="s">
        <v>115</v>
      </c>
      <c r="AA752" t="s">
        <v>54</v>
      </c>
      <c r="AB752" t="s">
        <v>83</v>
      </c>
      <c r="AC752">
        <f t="shared" si="121"/>
        <v>0</v>
      </c>
      <c r="AD752" s="12">
        <f t="shared" si="125"/>
        <v>0</v>
      </c>
      <c r="AE752" s="12">
        <f t="shared" si="126"/>
        <v>1</v>
      </c>
      <c r="AF752">
        <f t="shared" si="122"/>
        <v>1</v>
      </c>
      <c r="AG752">
        <f t="shared" si="127"/>
        <v>0</v>
      </c>
      <c r="AH752">
        <f t="shared" si="128"/>
        <v>0</v>
      </c>
      <c r="AI752">
        <f t="shared" si="129"/>
        <v>1</v>
      </c>
      <c r="AJ752">
        <f t="shared" si="130"/>
        <v>0</v>
      </c>
      <c r="AK752">
        <f t="shared" si="123"/>
        <v>0</v>
      </c>
      <c r="AL752">
        <f t="shared" si="131"/>
        <v>0</v>
      </c>
    </row>
    <row r="753" spans="1:38">
      <c r="A753" t="s">
        <v>2386</v>
      </c>
      <c r="B753" t="s">
        <v>2387</v>
      </c>
      <c r="C753" s="1">
        <f t="shared" si="124"/>
        <v>45536</v>
      </c>
      <c r="D753" t="s">
        <v>2388</v>
      </c>
      <c r="E753">
        <v>328.2</v>
      </c>
      <c r="F753">
        <v>13.7</v>
      </c>
      <c r="G753" t="s">
        <v>77</v>
      </c>
      <c r="H753" t="s">
        <v>187</v>
      </c>
      <c r="I753" t="s">
        <v>79</v>
      </c>
      <c r="J753">
        <v>360</v>
      </c>
      <c r="K753" t="s">
        <v>49</v>
      </c>
      <c r="L753" t="s">
        <v>70</v>
      </c>
      <c r="M753" t="s">
        <v>35</v>
      </c>
      <c r="N753" t="s">
        <v>138</v>
      </c>
      <c r="O753" t="s">
        <v>51</v>
      </c>
      <c r="P753" t="s">
        <v>39</v>
      </c>
      <c r="Q753" t="s">
        <v>38</v>
      </c>
      <c r="R753">
        <v>0</v>
      </c>
      <c r="S753" t="s">
        <v>39</v>
      </c>
      <c r="T753">
        <v>10</v>
      </c>
      <c r="U753">
        <v>0.5</v>
      </c>
      <c r="V753">
        <v>18.8</v>
      </c>
      <c r="W753" t="s">
        <v>39</v>
      </c>
      <c r="X753" t="s">
        <v>63</v>
      </c>
      <c r="Y753" t="s">
        <v>38</v>
      </c>
      <c r="Z753" t="s">
        <v>115</v>
      </c>
      <c r="AA753" t="s">
        <v>103</v>
      </c>
      <c r="AB753" t="s">
        <v>83</v>
      </c>
      <c r="AC753">
        <f t="shared" si="121"/>
        <v>0</v>
      </c>
      <c r="AD753" s="12">
        <f t="shared" si="125"/>
        <v>1</v>
      </c>
      <c r="AE753" s="12">
        <f t="shared" si="126"/>
        <v>0</v>
      </c>
      <c r="AF753">
        <f t="shared" si="122"/>
        <v>1</v>
      </c>
      <c r="AG753">
        <f t="shared" si="127"/>
        <v>0</v>
      </c>
      <c r="AH753">
        <f t="shared" si="128"/>
        <v>0</v>
      </c>
      <c r="AI753">
        <f t="shared" si="129"/>
        <v>0</v>
      </c>
      <c r="AJ753">
        <f t="shared" si="130"/>
        <v>0</v>
      </c>
      <c r="AK753">
        <f t="shared" si="123"/>
        <v>0</v>
      </c>
      <c r="AL753">
        <f t="shared" si="131"/>
        <v>1</v>
      </c>
    </row>
    <row r="754" spans="1:38">
      <c r="A754" t="s">
        <v>2389</v>
      </c>
      <c r="B754" t="s">
        <v>2390</v>
      </c>
      <c r="C754" s="1">
        <f t="shared" si="124"/>
        <v>45505</v>
      </c>
      <c r="D754" t="s">
        <v>2391</v>
      </c>
      <c r="E754">
        <v>147.9</v>
      </c>
      <c r="F754">
        <v>6.2</v>
      </c>
      <c r="G754" t="s">
        <v>142</v>
      </c>
      <c r="H754" t="s">
        <v>319</v>
      </c>
      <c r="I754" t="s">
        <v>32</v>
      </c>
      <c r="J754">
        <v>240</v>
      </c>
      <c r="K754" t="s">
        <v>49</v>
      </c>
      <c r="L754" t="s">
        <v>113</v>
      </c>
      <c r="M754" t="s">
        <v>71</v>
      </c>
      <c r="N754" t="s">
        <v>72</v>
      </c>
      <c r="O754" t="s">
        <v>37</v>
      </c>
      <c r="P754" t="s">
        <v>38</v>
      </c>
      <c r="Q754" t="s">
        <v>39</v>
      </c>
      <c r="R754">
        <v>3</v>
      </c>
      <c r="S754" t="s">
        <v>39</v>
      </c>
      <c r="T754">
        <v>8</v>
      </c>
      <c r="U754">
        <v>5.0999999999999996</v>
      </c>
      <c r="V754">
        <v>29.2</v>
      </c>
      <c r="W754" t="s">
        <v>38</v>
      </c>
      <c r="X754" t="s">
        <v>52</v>
      </c>
      <c r="Y754" t="s">
        <v>38</v>
      </c>
      <c r="Z754" t="s">
        <v>108</v>
      </c>
      <c r="AA754" t="s">
        <v>103</v>
      </c>
      <c r="AB754" t="s">
        <v>55</v>
      </c>
      <c r="AC754">
        <f t="shared" si="121"/>
        <v>1</v>
      </c>
      <c r="AD754" s="12">
        <f t="shared" si="125"/>
        <v>0</v>
      </c>
      <c r="AE754" s="12">
        <f t="shared" si="126"/>
        <v>0</v>
      </c>
      <c r="AF754">
        <f t="shared" si="122"/>
        <v>0</v>
      </c>
      <c r="AG754">
        <f t="shared" si="127"/>
        <v>0</v>
      </c>
      <c r="AH754">
        <f t="shared" si="128"/>
        <v>0</v>
      </c>
      <c r="AI754">
        <f t="shared" si="129"/>
        <v>0</v>
      </c>
      <c r="AJ754">
        <f t="shared" si="130"/>
        <v>1</v>
      </c>
      <c r="AK754">
        <f t="shared" si="123"/>
        <v>0</v>
      </c>
      <c r="AL754">
        <f t="shared" si="131"/>
        <v>1</v>
      </c>
    </row>
    <row r="755" spans="1:38">
      <c r="A755" t="s">
        <v>2392</v>
      </c>
      <c r="B755" t="s">
        <v>2393</v>
      </c>
      <c r="C755" s="1">
        <f t="shared" si="124"/>
        <v>45413</v>
      </c>
      <c r="D755" t="s">
        <v>2394</v>
      </c>
      <c r="E755">
        <v>341.9</v>
      </c>
      <c r="F755">
        <v>14.2</v>
      </c>
      <c r="G755" t="s">
        <v>101</v>
      </c>
      <c r="H755" t="s">
        <v>442</v>
      </c>
      <c r="I755" t="s">
        <v>79</v>
      </c>
      <c r="J755">
        <v>360</v>
      </c>
      <c r="K755" t="s">
        <v>49</v>
      </c>
      <c r="L755" t="s">
        <v>34</v>
      </c>
      <c r="M755" t="s">
        <v>35</v>
      </c>
      <c r="N755" t="s">
        <v>36</v>
      </c>
      <c r="O755" t="s">
        <v>51</v>
      </c>
      <c r="P755" t="s">
        <v>39</v>
      </c>
      <c r="Q755" t="s">
        <v>38</v>
      </c>
      <c r="R755">
        <v>0</v>
      </c>
      <c r="S755" t="s">
        <v>38</v>
      </c>
      <c r="T755">
        <v>6</v>
      </c>
      <c r="U755">
        <v>0.1</v>
      </c>
      <c r="V755">
        <v>32.200000000000003</v>
      </c>
      <c r="W755" t="s">
        <v>39</v>
      </c>
      <c r="X755" t="s">
        <v>123</v>
      </c>
      <c r="Y755" t="s">
        <v>38</v>
      </c>
      <c r="Z755" t="s">
        <v>73</v>
      </c>
      <c r="AA755" t="s">
        <v>82</v>
      </c>
      <c r="AB755" t="s">
        <v>83</v>
      </c>
      <c r="AC755">
        <f t="shared" si="121"/>
        <v>0</v>
      </c>
      <c r="AD755" s="12">
        <f t="shared" si="125"/>
        <v>0</v>
      </c>
      <c r="AE755" s="12">
        <f t="shared" si="126"/>
        <v>1</v>
      </c>
      <c r="AF755">
        <f t="shared" si="122"/>
        <v>1</v>
      </c>
      <c r="AG755">
        <f t="shared" si="127"/>
        <v>0</v>
      </c>
      <c r="AH755">
        <f t="shared" si="128"/>
        <v>0</v>
      </c>
      <c r="AI755">
        <f t="shared" si="129"/>
        <v>0</v>
      </c>
      <c r="AJ755">
        <f t="shared" si="130"/>
        <v>0</v>
      </c>
      <c r="AK755">
        <f t="shared" si="123"/>
        <v>0</v>
      </c>
      <c r="AL755">
        <f t="shared" si="131"/>
        <v>1</v>
      </c>
    </row>
    <row r="756" spans="1:38">
      <c r="A756" t="s">
        <v>2395</v>
      </c>
      <c r="B756" t="s">
        <v>2396</v>
      </c>
      <c r="C756" s="1">
        <f t="shared" si="124"/>
        <v>45323</v>
      </c>
      <c r="D756" t="s">
        <v>2397</v>
      </c>
      <c r="E756">
        <v>500</v>
      </c>
      <c r="F756">
        <v>20.8</v>
      </c>
      <c r="G756" t="s">
        <v>30</v>
      </c>
      <c r="H756" t="s">
        <v>47</v>
      </c>
      <c r="I756" t="s">
        <v>32</v>
      </c>
      <c r="J756">
        <v>240</v>
      </c>
      <c r="K756" t="s">
        <v>33</v>
      </c>
      <c r="L756" t="s">
        <v>133</v>
      </c>
      <c r="M756" t="s">
        <v>35</v>
      </c>
      <c r="N756" t="s">
        <v>72</v>
      </c>
      <c r="O756" t="s">
        <v>51</v>
      </c>
      <c r="P756" t="s">
        <v>38</v>
      </c>
      <c r="Q756" t="s">
        <v>38</v>
      </c>
      <c r="R756">
        <v>1</v>
      </c>
      <c r="S756" t="s">
        <v>38</v>
      </c>
      <c r="T756">
        <v>4</v>
      </c>
      <c r="U756">
        <v>4.8</v>
      </c>
      <c r="V756">
        <v>0.4</v>
      </c>
      <c r="W756" t="s">
        <v>38</v>
      </c>
      <c r="X756" t="s">
        <v>40</v>
      </c>
      <c r="Y756" t="s">
        <v>38</v>
      </c>
      <c r="Z756" t="s">
        <v>81</v>
      </c>
      <c r="AA756" t="s">
        <v>42</v>
      </c>
      <c r="AB756" t="s">
        <v>55</v>
      </c>
      <c r="AC756">
        <f t="shared" si="121"/>
        <v>0</v>
      </c>
      <c r="AD756" s="12">
        <f t="shared" si="125"/>
        <v>0</v>
      </c>
      <c r="AE756" s="12">
        <f t="shared" si="126"/>
        <v>0</v>
      </c>
      <c r="AF756">
        <f t="shared" si="122"/>
        <v>1</v>
      </c>
      <c r="AG756">
        <f t="shared" si="127"/>
        <v>0</v>
      </c>
      <c r="AH756">
        <f t="shared" si="128"/>
        <v>0</v>
      </c>
      <c r="AI756">
        <f t="shared" si="129"/>
        <v>0</v>
      </c>
      <c r="AJ756">
        <f t="shared" si="130"/>
        <v>1</v>
      </c>
      <c r="AK756">
        <f t="shared" si="123"/>
        <v>1</v>
      </c>
      <c r="AL756">
        <f t="shared" si="131"/>
        <v>1</v>
      </c>
    </row>
    <row r="757" spans="1:38">
      <c r="A757" t="s">
        <v>2398</v>
      </c>
      <c r="B757" t="s">
        <v>2399</v>
      </c>
      <c r="C757" s="1">
        <f t="shared" si="124"/>
        <v>45383</v>
      </c>
      <c r="D757" t="s">
        <v>2400</v>
      </c>
      <c r="E757">
        <v>322.39999999999998</v>
      </c>
      <c r="F757">
        <v>13.4</v>
      </c>
      <c r="G757" t="s">
        <v>77</v>
      </c>
      <c r="H757" t="s">
        <v>267</v>
      </c>
      <c r="I757" t="s">
        <v>32</v>
      </c>
      <c r="J757">
        <v>240</v>
      </c>
      <c r="K757" t="s">
        <v>33</v>
      </c>
      <c r="L757" t="s">
        <v>96</v>
      </c>
      <c r="M757" t="s">
        <v>35</v>
      </c>
      <c r="N757" t="s">
        <v>277</v>
      </c>
      <c r="O757" t="s">
        <v>37</v>
      </c>
      <c r="P757" t="s">
        <v>38</v>
      </c>
      <c r="Q757" t="s">
        <v>38</v>
      </c>
      <c r="R757">
        <v>1</v>
      </c>
      <c r="S757" t="s">
        <v>38</v>
      </c>
      <c r="T757">
        <v>7</v>
      </c>
      <c r="U757">
        <v>5.5</v>
      </c>
      <c r="V757">
        <v>9</v>
      </c>
      <c r="W757" t="s">
        <v>38</v>
      </c>
      <c r="X757" t="s">
        <v>63</v>
      </c>
      <c r="Y757" t="s">
        <v>38</v>
      </c>
      <c r="Z757" t="s">
        <v>179</v>
      </c>
      <c r="AA757" t="s">
        <v>42</v>
      </c>
      <c r="AB757" t="s">
        <v>83</v>
      </c>
      <c r="AC757">
        <f t="shared" si="121"/>
        <v>0</v>
      </c>
      <c r="AD757" s="12">
        <f t="shared" si="125"/>
        <v>1</v>
      </c>
      <c r="AE757" s="12">
        <f t="shared" si="126"/>
        <v>0</v>
      </c>
      <c r="AF757">
        <f t="shared" si="122"/>
        <v>0</v>
      </c>
      <c r="AG757">
        <f t="shared" si="127"/>
        <v>0</v>
      </c>
      <c r="AH757">
        <f t="shared" si="128"/>
        <v>0</v>
      </c>
      <c r="AI757">
        <f t="shared" si="129"/>
        <v>0</v>
      </c>
      <c r="AJ757">
        <f t="shared" si="130"/>
        <v>1</v>
      </c>
      <c r="AK757">
        <f t="shared" si="123"/>
        <v>0</v>
      </c>
      <c r="AL757">
        <f t="shared" si="131"/>
        <v>1</v>
      </c>
    </row>
    <row r="758" spans="1:38">
      <c r="A758" t="s">
        <v>2401</v>
      </c>
      <c r="B758" t="s">
        <v>2402</v>
      </c>
      <c r="C758" s="1">
        <f t="shared" si="124"/>
        <v>45566</v>
      </c>
      <c r="D758" t="s">
        <v>2403</v>
      </c>
      <c r="E758">
        <v>100.2</v>
      </c>
      <c r="F758">
        <v>4.2</v>
      </c>
      <c r="G758" t="s">
        <v>68</v>
      </c>
      <c r="H758" t="s">
        <v>456</v>
      </c>
      <c r="I758" t="s">
        <v>48</v>
      </c>
      <c r="J758">
        <v>120</v>
      </c>
      <c r="K758" t="s">
        <v>49</v>
      </c>
      <c r="L758" t="s">
        <v>34</v>
      </c>
      <c r="M758" t="s">
        <v>35</v>
      </c>
      <c r="N758" t="s">
        <v>138</v>
      </c>
      <c r="O758" t="s">
        <v>51</v>
      </c>
      <c r="P758" t="s">
        <v>38</v>
      </c>
      <c r="Q758" t="s">
        <v>38</v>
      </c>
      <c r="R758">
        <v>1</v>
      </c>
      <c r="S758" t="s">
        <v>38</v>
      </c>
      <c r="T758">
        <v>6</v>
      </c>
      <c r="U758">
        <v>2</v>
      </c>
      <c r="V758">
        <v>33.299999999999997</v>
      </c>
      <c r="W758" t="s">
        <v>39</v>
      </c>
      <c r="X758" t="s">
        <v>63</v>
      </c>
      <c r="Y758" t="s">
        <v>39</v>
      </c>
      <c r="Z758" t="s">
        <v>179</v>
      </c>
      <c r="AA758" t="s">
        <v>103</v>
      </c>
      <c r="AB758" t="s">
        <v>83</v>
      </c>
      <c r="AC758">
        <f t="shared" si="121"/>
        <v>0</v>
      </c>
      <c r="AD758" s="12">
        <f t="shared" si="125"/>
        <v>1</v>
      </c>
      <c r="AE758" s="12">
        <f t="shared" si="126"/>
        <v>0</v>
      </c>
      <c r="AF758">
        <f t="shared" si="122"/>
        <v>1</v>
      </c>
      <c r="AG758">
        <f t="shared" si="127"/>
        <v>0</v>
      </c>
      <c r="AH758">
        <f t="shared" si="128"/>
        <v>1</v>
      </c>
      <c r="AI758">
        <f t="shared" si="129"/>
        <v>0</v>
      </c>
      <c r="AJ758">
        <f t="shared" si="130"/>
        <v>0</v>
      </c>
      <c r="AK758">
        <f t="shared" si="123"/>
        <v>0</v>
      </c>
      <c r="AL758">
        <f t="shared" si="131"/>
        <v>0</v>
      </c>
    </row>
    <row r="759" spans="1:38">
      <c r="A759" t="s">
        <v>2404</v>
      </c>
      <c r="B759" t="s">
        <v>2405</v>
      </c>
      <c r="C759" s="1">
        <f t="shared" si="124"/>
        <v>45474</v>
      </c>
      <c r="D759" t="s">
        <v>2406</v>
      </c>
      <c r="E759">
        <v>332.7</v>
      </c>
      <c r="F759">
        <v>13.9</v>
      </c>
      <c r="G759" t="s">
        <v>142</v>
      </c>
      <c r="H759" t="s">
        <v>260</v>
      </c>
      <c r="I759" t="s">
        <v>79</v>
      </c>
      <c r="J759">
        <v>360</v>
      </c>
      <c r="K759" t="s">
        <v>49</v>
      </c>
      <c r="L759" t="s">
        <v>34</v>
      </c>
      <c r="M759" t="s">
        <v>35</v>
      </c>
      <c r="N759" t="s">
        <v>144</v>
      </c>
      <c r="O759" t="s">
        <v>51</v>
      </c>
      <c r="P759" t="s">
        <v>38</v>
      </c>
      <c r="Q759" t="s">
        <v>38</v>
      </c>
      <c r="R759">
        <v>1</v>
      </c>
      <c r="S759" t="s">
        <v>38</v>
      </c>
      <c r="T759">
        <v>7</v>
      </c>
      <c r="U759">
        <v>2.5</v>
      </c>
      <c r="V759">
        <v>6.1</v>
      </c>
      <c r="W759" t="s">
        <v>38</v>
      </c>
      <c r="X759" t="s">
        <v>63</v>
      </c>
      <c r="Y759" t="s">
        <v>39</v>
      </c>
      <c r="Z759" t="s">
        <v>53</v>
      </c>
      <c r="AA759" t="s">
        <v>103</v>
      </c>
      <c r="AB759" t="s">
        <v>83</v>
      </c>
      <c r="AC759">
        <f t="shared" si="121"/>
        <v>0</v>
      </c>
      <c r="AD759" s="12">
        <f t="shared" si="125"/>
        <v>1</v>
      </c>
      <c r="AE759" s="12">
        <f t="shared" si="126"/>
        <v>0</v>
      </c>
      <c r="AF759">
        <f t="shared" si="122"/>
        <v>1</v>
      </c>
      <c r="AG759">
        <f t="shared" si="127"/>
        <v>0</v>
      </c>
      <c r="AH759">
        <f t="shared" si="128"/>
        <v>0</v>
      </c>
      <c r="AI759">
        <f t="shared" si="129"/>
        <v>0</v>
      </c>
      <c r="AJ759">
        <f t="shared" si="130"/>
        <v>0</v>
      </c>
      <c r="AK759">
        <f t="shared" si="123"/>
        <v>0</v>
      </c>
      <c r="AL759">
        <f t="shared" si="131"/>
        <v>0</v>
      </c>
    </row>
    <row r="760" spans="1:38">
      <c r="A760" t="s">
        <v>2407</v>
      </c>
      <c r="B760" t="s">
        <v>2408</v>
      </c>
      <c r="C760" s="1">
        <f t="shared" si="124"/>
        <v>45566</v>
      </c>
      <c r="D760" t="s">
        <v>2409</v>
      </c>
      <c r="E760">
        <v>179.2</v>
      </c>
      <c r="F760">
        <v>7.5</v>
      </c>
      <c r="G760" t="s">
        <v>59</v>
      </c>
      <c r="H760" t="s">
        <v>281</v>
      </c>
      <c r="I760" t="s">
        <v>48</v>
      </c>
      <c r="J760">
        <v>120</v>
      </c>
      <c r="K760" t="s">
        <v>33</v>
      </c>
      <c r="L760" t="s">
        <v>70</v>
      </c>
      <c r="M760" t="s">
        <v>35</v>
      </c>
      <c r="N760" t="s">
        <v>414</v>
      </c>
      <c r="O760" t="s">
        <v>7232</v>
      </c>
      <c r="P760" t="s">
        <v>38</v>
      </c>
      <c r="Q760" t="s">
        <v>38</v>
      </c>
      <c r="R760">
        <v>1</v>
      </c>
      <c r="S760" t="s">
        <v>39</v>
      </c>
      <c r="T760">
        <v>6</v>
      </c>
      <c r="U760">
        <v>0.7</v>
      </c>
      <c r="V760">
        <v>9.6999999999999993</v>
      </c>
      <c r="W760" t="s">
        <v>39</v>
      </c>
      <c r="X760" t="s">
        <v>63</v>
      </c>
      <c r="Y760" t="s">
        <v>39</v>
      </c>
      <c r="Z760" t="s">
        <v>115</v>
      </c>
      <c r="AA760" t="s">
        <v>109</v>
      </c>
      <c r="AB760" t="s">
        <v>83</v>
      </c>
      <c r="AC760">
        <f t="shared" si="121"/>
        <v>0</v>
      </c>
      <c r="AD760" s="12">
        <f t="shared" si="125"/>
        <v>1</v>
      </c>
      <c r="AE760" s="12">
        <f t="shared" si="126"/>
        <v>0</v>
      </c>
      <c r="AF760">
        <f t="shared" si="122"/>
        <v>0</v>
      </c>
      <c r="AG760">
        <f t="shared" si="127"/>
        <v>1</v>
      </c>
      <c r="AH760">
        <f t="shared" si="128"/>
        <v>1</v>
      </c>
      <c r="AI760">
        <f t="shared" si="129"/>
        <v>0</v>
      </c>
      <c r="AJ760">
        <f t="shared" si="130"/>
        <v>0</v>
      </c>
      <c r="AK760">
        <f t="shared" si="123"/>
        <v>0</v>
      </c>
      <c r="AL760">
        <f t="shared" si="131"/>
        <v>0</v>
      </c>
    </row>
    <row r="761" spans="1:38">
      <c r="A761" t="s">
        <v>2410</v>
      </c>
      <c r="B761" t="s">
        <v>2411</v>
      </c>
      <c r="C761" s="1">
        <f t="shared" si="124"/>
        <v>45444</v>
      </c>
      <c r="D761" t="s">
        <v>2412</v>
      </c>
      <c r="E761">
        <v>93.8</v>
      </c>
      <c r="F761">
        <v>3.9</v>
      </c>
      <c r="G761" t="s">
        <v>30</v>
      </c>
      <c r="H761" t="s">
        <v>31</v>
      </c>
      <c r="I761" t="s">
        <v>48</v>
      </c>
      <c r="J761">
        <v>120</v>
      </c>
      <c r="K761" t="s">
        <v>49</v>
      </c>
      <c r="L761" t="s">
        <v>96</v>
      </c>
      <c r="M761" t="s">
        <v>35</v>
      </c>
      <c r="N761" t="s">
        <v>134</v>
      </c>
      <c r="O761" t="s">
        <v>7232</v>
      </c>
      <c r="P761" t="s">
        <v>38</v>
      </c>
      <c r="Q761" t="s">
        <v>38</v>
      </c>
      <c r="R761">
        <v>1</v>
      </c>
      <c r="S761" t="s">
        <v>39</v>
      </c>
      <c r="T761">
        <v>6</v>
      </c>
      <c r="U761">
        <v>0.5</v>
      </c>
      <c r="V761">
        <v>14.1</v>
      </c>
      <c r="W761" t="s">
        <v>38</v>
      </c>
      <c r="X761" t="s">
        <v>123</v>
      </c>
      <c r="Y761" t="s">
        <v>38</v>
      </c>
      <c r="Z761" t="s">
        <v>81</v>
      </c>
      <c r="AA761" t="s">
        <v>103</v>
      </c>
      <c r="AB761" t="s">
        <v>55</v>
      </c>
      <c r="AC761">
        <f t="shared" si="121"/>
        <v>0</v>
      </c>
      <c r="AD761" s="12">
        <f t="shared" si="125"/>
        <v>0</v>
      </c>
      <c r="AE761" s="12">
        <f t="shared" si="126"/>
        <v>1</v>
      </c>
      <c r="AF761">
        <f t="shared" si="122"/>
        <v>0</v>
      </c>
      <c r="AG761">
        <f t="shared" si="127"/>
        <v>1</v>
      </c>
      <c r="AH761">
        <f t="shared" si="128"/>
        <v>1</v>
      </c>
      <c r="AI761">
        <f t="shared" si="129"/>
        <v>0</v>
      </c>
      <c r="AJ761">
        <f t="shared" si="130"/>
        <v>0</v>
      </c>
      <c r="AK761">
        <f t="shared" si="123"/>
        <v>1</v>
      </c>
      <c r="AL761">
        <f t="shared" si="131"/>
        <v>1</v>
      </c>
    </row>
    <row r="762" spans="1:38">
      <c r="A762" t="s">
        <v>2413</v>
      </c>
      <c r="B762" t="s">
        <v>2414</v>
      </c>
      <c r="C762" s="1">
        <f t="shared" si="124"/>
        <v>45383</v>
      </c>
      <c r="D762" t="s">
        <v>2415</v>
      </c>
      <c r="E762">
        <v>146.6</v>
      </c>
      <c r="F762">
        <v>6.1</v>
      </c>
      <c r="G762" t="s">
        <v>59</v>
      </c>
      <c r="H762" t="s">
        <v>127</v>
      </c>
      <c r="I762" t="s">
        <v>32</v>
      </c>
      <c r="J762">
        <v>240</v>
      </c>
      <c r="K762" t="s">
        <v>49</v>
      </c>
      <c r="L762" t="s">
        <v>96</v>
      </c>
      <c r="M762" t="s">
        <v>71</v>
      </c>
      <c r="N762" t="s">
        <v>107</v>
      </c>
      <c r="O762" t="s">
        <v>51</v>
      </c>
      <c r="P762" t="s">
        <v>38</v>
      </c>
      <c r="Q762" t="s">
        <v>39</v>
      </c>
      <c r="R762">
        <v>3</v>
      </c>
      <c r="S762" t="s">
        <v>38</v>
      </c>
      <c r="T762">
        <v>9</v>
      </c>
      <c r="U762">
        <v>0.1</v>
      </c>
      <c r="V762">
        <v>6.5</v>
      </c>
      <c r="W762" t="s">
        <v>39</v>
      </c>
      <c r="X762" t="s">
        <v>52</v>
      </c>
      <c r="Y762" t="s">
        <v>39</v>
      </c>
      <c r="Z762" t="s">
        <v>179</v>
      </c>
      <c r="AA762" t="s">
        <v>109</v>
      </c>
      <c r="AB762" t="s">
        <v>83</v>
      </c>
      <c r="AC762">
        <f t="shared" si="121"/>
        <v>1</v>
      </c>
      <c r="AD762" s="12">
        <f t="shared" si="125"/>
        <v>0</v>
      </c>
      <c r="AE762" s="12">
        <f t="shared" si="126"/>
        <v>0</v>
      </c>
      <c r="AF762">
        <f t="shared" si="122"/>
        <v>1</v>
      </c>
      <c r="AG762">
        <f t="shared" si="127"/>
        <v>0</v>
      </c>
      <c r="AH762">
        <f t="shared" si="128"/>
        <v>0</v>
      </c>
      <c r="AI762">
        <f t="shared" si="129"/>
        <v>0</v>
      </c>
      <c r="AJ762">
        <f t="shared" si="130"/>
        <v>1</v>
      </c>
      <c r="AK762">
        <f t="shared" si="123"/>
        <v>0</v>
      </c>
      <c r="AL762">
        <f t="shared" si="131"/>
        <v>0</v>
      </c>
    </row>
    <row r="763" spans="1:38">
      <c r="A763" t="s">
        <v>2416</v>
      </c>
      <c r="B763" t="s">
        <v>2417</v>
      </c>
      <c r="C763" s="1">
        <f t="shared" si="124"/>
        <v>45566</v>
      </c>
      <c r="D763" t="s">
        <v>2418</v>
      </c>
      <c r="E763">
        <v>344.7</v>
      </c>
      <c r="F763">
        <v>14.4</v>
      </c>
      <c r="G763" t="s">
        <v>142</v>
      </c>
      <c r="H763" t="s">
        <v>240</v>
      </c>
      <c r="I763" t="s">
        <v>32</v>
      </c>
      <c r="J763">
        <v>240</v>
      </c>
      <c r="K763" t="s">
        <v>33</v>
      </c>
      <c r="L763" t="s">
        <v>34</v>
      </c>
      <c r="M763" t="s">
        <v>35</v>
      </c>
      <c r="N763" t="s">
        <v>134</v>
      </c>
      <c r="O763" t="s">
        <v>7232</v>
      </c>
      <c r="P763" t="s">
        <v>38</v>
      </c>
      <c r="Q763" t="s">
        <v>38</v>
      </c>
      <c r="R763">
        <v>1</v>
      </c>
      <c r="S763" t="s">
        <v>38</v>
      </c>
      <c r="T763">
        <v>6</v>
      </c>
      <c r="U763">
        <v>0.8</v>
      </c>
      <c r="V763">
        <v>16.600000000000001</v>
      </c>
      <c r="W763" t="s">
        <v>38</v>
      </c>
      <c r="X763" t="s">
        <v>63</v>
      </c>
      <c r="Y763" t="s">
        <v>38</v>
      </c>
      <c r="Z763" t="s">
        <v>53</v>
      </c>
      <c r="AA763" t="s">
        <v>109</v>
      </c>
      <c r="AB763" t="s">
        <v>55</v>
      </c>
      <c r="AC763">
        <f t="shared" si="121"/>
        <v>0</v>
      </c>
      <c r="AD763" s="12">
        <f t="shared" si="125"/>
        <v>1</v>
      </c>
      <c r="AE763" s="12">
        <f t="shared" si="126"/>
        <v>0</v>
      </c>
      <c r="AF763">
        <f t="shared" si="122"/>
        <v>0</v>
      </c>
      <c r="AG763">
        <f t="shared" si="127"/>
        <v>1</v>
      </c>
      <c r="AH763">
        <f t="shared" si="128"/>
        <v>0</v>
      </c>
      <c r="AI763">
        <f t="shared" si="129"/>
        <v>0</v>
      </c>
      <c r="AJ763">
        <f t="shared" si="130"/>
        <v>1</v>
      </c>
      <c r="AK763">
        <f t="shared" si="123"/>
        <v>0</v>
      </c>
      <c r="AL763">
        <f t="shared" si="131"/>
        <v>1</v>
      </c>
    </row>
    <row r="764" spans="1:38">
      <c r="A764" t="s">
        <v>2419</v>
      </c>
      <c r="B764" t="s">
        <v>2420</v>
      </c>
      <c r="C764" s="1">
        <f t="shared" si="124"/>
        <v>45597</v>
      </c>
      <c r="D764" t="s">
        <v>2421</v>
      </c>
      <c r="E764">
        <v>158.1</v>
      </c>
      <c r="F764">
        <v>6.6</v>
      </c>
      <c r="G764" t="s">
        <v>30</v>
      </c>
      <c r="H764" t="s">
        <v>172</v>
      </c>
      <c r="I764" t="s">
        <v>32</v>
      </c>
      <c r="J764">
        <v>240</v>
      </c>
      <c r="K764" t="s">
        <v>49</v>
      </c>
      <c r="L764" t="s">
        <v>113</v>
      </c>
      <c r="M764" t="s">
        <v>35</v>
      </c>
      <c r="N764" t="s">
        <v>134</v>
      </c>
      <c r="O764" t="s">
        <v>37</v>
      </c>
      <c r="P764" t="s">
        <v>39</v>
      </c>
      <c r="Q764" t="s">
        <v>38</v>
      </c>
      <c r="R764">
        <v>0</v>
      </c>
      <c r="S764" t="s">
        <v>38</v>
      </c>
      <c r="T764">
        <v>10</v>
      </c>
      <c r="U764">
        <v>2.7</v>
      </c>
      <c r="V764">
        <v>15.6</v>
      </c>
      <c r="W764" t="s">
        <v>38</v>
      </c>
      <c r="X764" t="s">
        <v>40</v>
      </c>
      <c r="Y764" t="s">
        <v>39</v>
      </c>
      <c r="Z764" t="s">
        <v>179</v>
      </c>
      <c r="AA764" t="s">
        <v>103</v>
      </c>
      <c r="AB764" t="s">
        <v>83</v>
      </c>
      <c r="AC764">
        <f t="shared" si="121"/>
        <v>0</v>
      </c>
      <c r="AD764" s="12">
        <f t="shared" si="125"/>
        <v>0</v>
      </c>
      <c r="AE764" s="12">
        <f t="shared" si="126"/>
        <v>0</v>
      </c>
      <c r="AF764">
        <f t="shared" si="122"/>
        <v>0</v>
      </c>
      <c r="AG764">
        <f t="shared" si="127"/>
        <v>0</v>
      </c>
      <c r="AH764">
        <f t="shared" si="128"/>
        <v>0</v>
      </c>
      <c r="AI764">
        <f t="shared" si="129"/>
        <v>0</v>
      </c>
      <c r="AJ764">
        <f t="shared" si="130"/>
        <v>1</v>
      </c>
      <c r="AK764">
        <f t="shared" si="123"/>
        <v>1</v>
      </c>
      <c r="AL764">
        <f t="shared" si="131"/>
        <v>0</v>
      </c>
    </row>
    <row r="765" spans="1:38">
      <c r="A765" t="s">
        <v>2422</v>
      </c>
      <c r="B765" t="s">
        <v>2423</v>
      </c>
      <c r="C765" s="1">
        <f t="shared" si="124"/>
        <v>45292</v>
      </c>
      <c r="D765" t="s">
        <v>2424</v>
      </c>
      <c r="E765">
        <v>169.9</v>
      </c>
      <c r="F765">
        <v>7.1</v>
      </c>
      <c r="G765" t="s">
        <v>77</v>
      </c>
      <c r="H765" t="s">
        <v>78</v>
      </c>
      <c r="I765" t="s">
        <v>48</v>
      </c>
      <c r="J765">
        <v>120</v>
      </c>
      <c r="K765" t="s">
        <v>33</v>
      </c>
      <c r="L765" t="s">
        <v>96</v>
      </c>
      <c r="M765" t="s">
        <v>35</v>
      </c>
      <c r="N765" t="s">
        <v>114</v>
      </c>
      <c r="O765" t="s">
        <v>7232</v>
      </c>
      <c r="P765" t="s">
        <v>39</v>
      </c>
      <c r="Q765" t="s">
        <v>38</v>
      </c>
      <c r="R765">
        <v>0</v>
      </c>
      <c r="S765" t="s">
        <v>38</v>
      </c>
      <c r="T765">
        <v>9</v>
      </c>
      <c r="U765">
        <v>0.6</v>
      </c>
      <c r="V765">
        <v>5.5</v>
      </c>
      <c r="W765" t="s">
        <v>38</v>
      </c>
      <c r="X765" t="s">
        <v>63</v>
      </c>
      <c r="Y765" t="s">
        <v>39</v>
      </c>
      <c r="Z765" t="s">
        <v>64</v>
      </c>
      <c r="AA765" t="s">
        <v>109</v>
      </c>
      <c r="AB765" t="s">
        <v>83</v>
      </c>
      <c r="AC765">
        <f t="shared" si="121"/>
        <v>0</v>
      </c>
      <c r="AD765" s="12">
        <f t="shared" si="125"/>
        <v>1</v>
      </c>
      <c r="AE765" s="12">
        <f t="shared" si="126"/>
        <v>0</v>
      </c>
      <c r="AF765">
        <f t="shared" si="122"/>
        <v>0</v>
      </c>
      <c r="AG765">
        <f t="shared" si="127"/>
        <v>1</v>
      </c>
      <c r="AH765">
        <f t="shared" si="128"/>
        <v>1</v>
      </c>
      <c r="AI765">
        <f t="shared" si="129"/>
        <v>0</v>
      </c>
      <c r="AJ765">
        <f t="shared" si="130"/>
        <v>0</v>
      </c>
      <c r="AK765">
        <f t="shared" si="123"/>
        <v>0</v>
      </c>
      <c r="AL765">
        <f t="shared" si="131"/>
        <v>0</v>
      </c>
    </row>
    <row r="766" spans="1:38">
      <c r="A766" t="s">
        <v>2425</v>
      </c>
      <c r="B766" t="s">
        <v>2426</v>
      </c>
      <c r="C766" s="1">
        <f t="shared" si="124"/>
        <v>45323</v>
      </c>
      <c r="D766" t="s">
        <v>2427</v>
      </c>
      <c r="E766">
        <v>145.69999999999999</v>
      </c>
      <c r="F766">
        <v>6.1</v>
      </c>
      <c r="G766" t="s">
        <v>142</v>
      </c>
      <c r="H766" t="s">
        <v>240</v>
      </c>
      <c r="I766" t="s">
        <v>32</v>
      </c>
      <c r="J766">
        <v>240</v>
      </c>
      <c r="K766" t="s">
        <v>49</v>
      </c>
      <c r="L766" t="s">
        <v>34</v>
      </c>
      <c r="M766" t="s">
        <v>71</v>
      </c>
      <c r="N766" t="s">
        <v>114</v>
      </c>
      <c r="O766" t="s">
        <v>7232</v>
      </c>
      <c r="P766" t="s">
        <v>38</v>
      </c>
      <c r="Q766" t="s">
        <v>39</v>
      </c>
      <c r="R766">
        <v>3</v>
      </c>
      <c r="S766" t="s">
        <v>38</v>
      </c>
      <c r="T766">
        <v>5</v>
      </c>
      <c r="U766">
        <v>2.4</v>
      </c>
      <c r="V766">
        <v>39</v>
      </c>
      <c r="W766" t="s">
        <v>39</v>
      </c>
      <c r="X766" t="s">
        <v>123</v>
      </c>
      <c r="Y766" t="s">
        <v>39</v>
      </c>
      <c r="Z766" t="s">
        <v>41</v>
      </c>
      <c r="AA766" t="s">
        <v>109</v>
      </c>
      <c r="AB766" t="s">
        <v>83</v>
      </c>
      <c r="AC766">
        <f t="shared" si="121"/>
        <v>0</v>
      </c>
      <c r="AD766" s="12">
        <f t="shared" si="125"/>
        <v>0</v>
      </c>
      <c r="AE766" s="12">
        <f t="shared" si="126"/>
        <v>1</v>
      </c>
      <c r="AF766">
        <f t="shared" si="122"/>
        <v>0</v>
      </c>
      <c r="AG766">
        <f t="shared" si="127"/>
        <v>1</v>
      </c>
      <c r="AH766">
        <f t="shared" si="128"/>
        <v>0</v>
      </c>
      <c r="AI766">
        <f t="shared" si="129"/>
        <v>0</v>
      </c>
      <c r="AJ766">
        <f t="shared" si="130"/>
        <v>1</v>
      </c>
      <c r="AK766">
        <f t="shared" si="123"/>
        <v>0</v>
      </c>
      <c r="AL766">
        <f t="shared" si="131"/>
        <v>0</v>
      </c>
    </row>
    <row r="767" spans="1:38">
      <c r="A767" t="s">
        <v>2428</v>
      </c>
      <c r="B767" t="s">
        <v>2429</v>
      </c>
      <c r="C767" s="1">
        <f t="shared" si="124"/>
        <v>45352</v>
      </c>
      <c r="D767" t="s">
        <v>2430</v>
      </c>
      <c r="E767">
        <v>494</v>
      </c>
      <c r="F767">
        <v>20.6</v>
      </c>
      <c r="G767" t="s">
        <v>87</v>
      </c>
      <c r="H767" t="s">
        <v>183</v>
      </c>
      <c r="I767" t="s">
        <v>79</v>
      </c>
      <c r="J767">
        <v>360</v>
      </c>
      <c r="K767" t="s">
        <v>33</v>
      </c>
      <c r="L767" t="s">
        <v>113</v>
      </c>
      <c r="M767" t="s">
        <v>71</v>
      </c>
      <c r="N767" t="s">
        <v>144</v>
      </c>
      <c r="O767" t="s">
        <v>7232</v>
      </c>
      <c r="P767" t="s">
        <v>38</v>
      </c>
      <c r="Q767" t="s">
        <v>39</v>
      </c>
      <c r="R767">
        <v>3</v>
      </c>
      <c r="S767" t="s">
        <v>38</v>
      </c>
      <c r="T767">
        <v>5</v>
      </c>
      <c r="U767">
        <v>3.4</v>
      </c>
      <c r="V767">
        <v>35.9</v>
      </c>
      <c r="W767" t="s">
        <v>38</v>
      </c>
      <c r="X767" t="s">
        <v>63</v>
      </c>
      <c r="Y767" t="s">
        <v>38</v>
      </c>
      <c r="Z767" t="s">
        <v>81</v>
      </c>
      <c r="AA767" t="s">
        <v>82</v>
      </c>
      <c r="AB767" t="s">
        <v>55</v>
      </c>
      <c r="AC767">
        <f t="shared" si="121"/>
        <v>0</v>
      </c>
      <c r="AD767" s="12">
        <f t="shared" si="125"/>
        <v>1</v>
      </c>
      <c r="AE767" s="12">
        <f t="shared" si="126"/>
        <v>0</v>
      </c>
      <c r="AF767">
        <f t="shared" si="122"/>
        <v>0</v>
      </c>
      <c r="AG767">
        <f t="shared" si="127"/>
        <v>1</v>
      </c>
      <c r="AH767">
        <f t="shared" si="128"/>
        <v>0</v>
      </c>
      <c r="AI767">
        <f t="shared" si="129"/>
        <v>0</v>
      </c>
      <c r="AJ767">
        <f t="shared" si="130"/>
        <v>0</v>
      </c>
      <c r="AK767">
        <f t="shared" si="123"/>
        <v>0</v>
      </c>
      <c r="AL767">
        <f t="shared" si="131"/>
        <v>1</v>
      </c>
    </row>
    <row r="768" spans="1:38">
      <c r="A768" t="s">
        <v>2431</v>
      </c>
      <c r="B768" t="s">
        <v>2432</v>
      </c>
      <c r="C768" s="1">
        <f t="shared" si="124"/>
        <v>45597</v>
      </c>
      <c r="D768" t="s">
        <v>2433</v>
      </c>
      <c r="E768">
        <v>225.4</v>
      </c>
      <c r="F768">
        <v>9.4</v>
      </c>
      <c r="G768" t="s">
        <v>101</v>
      </c>
      <c r="H768" t="s">
        <v>102</v>
      </c>
      <c r="I768" t="s">
        <v>32</v>
      </c>
      <c r="J768">
        <v>240</v>
      </c>
      <c r="K768" t="s">
        <v>49</v>
      </c>
      <c r="L768" t="s">
        <v>70</v>
      </c>
      <c r="M768" t="s">
        <v>35</v>
      </c>
      <c r="N768" t="s">
        <v>107</v>
      </c>
      <c r="O768" t="s">
        <v>7232</v>
      </c>
      <c r="P768" t="s">
        <v>38</v>
      </c>
      <c r="Q768" t="s">
        <v>38</v>
      </c>
      <c r="R768">
        <v>1</v>
      </c>
      <c r="S768" t="s">
        <v>38</v>
      </c>
      <c r="T768">
        <v>9</v>
      </c>
      <c r="U768">
        <v>1.8</v>
      </c>
      <c r="V768">
        <v>24.6</v>
      </c>
      <c r="W768" t="s">
        <v>38</v>
      </c>
      <c r="X768" t="s">
        <v>63</v>
      </c>
      <c r="Y768" t="s">
        <v>38</v>
      </c>
      <c r="Z768" t="s">
        <v>41</v>
      </c>
      <c r="AA768" t="s">
        <v>103</v>
      </c>
      <c r="AB768" t="s">
        <v>83</v>
      </c>
      <c r="AC768">
        <f t="shared" si="121"/>
        <v>0</v>
      </c>
      <c r="AD768" s="12">
        <f t="shared" si="125"/>
        <v>1</v>
      </c>
      <c r="AE768" s="12">
        <f t="shared" si="126"/>
        <v>0</v>
      </c>
      <c r="AF768">
        <f t="shared" si="122"/>
        <v>0</v>
      </c>
      <c r="AG768">
        <f t="shared" si="127"/>
        <v>1</v>
      </c>
      <c r="AH768">
        <f t="shared" si="128"/>
        <v>0</v>
      </c>
      <c r="AI768">
        <f t="shared" si="129"/>
        <v>0</v>
      </c>
      <c r="AJ768">
        <f t="shared" si="130"/>
        <v>1</v>
      </c>
      <c r="AK768">
        <f t="shared" si="123"/>
        <v>0</v>
      </c>
      <c r="AL768">
        <f t="shared" si="131"/>
        <v>1</v>
      </c>
    </row>
    <row r="769" spans="1:38">
      <c r="A769" t="s">
        <v>2434</v>
      </c>
      <c r="B769" t="s">
        <v>2435</v>
      </c>
      <c r="C769" s="1">
        <f t="shared" si="124"/>
        <v>45444</v>
      </c>
      <c r="D769" t="s">
        <v>2436</v>
      </c>
      <c r="E769">
        <v>147.69999999999999</v>
      </c>
      <c r="F769">
        <v>6.2</v>
      </c>
      <c r="G769" t="s">
        <v>30</v>
      </c>
      <c r="H769" t="s">
        <v>159</v>
      </c>
      <c r="I769" t="s">
        <v>32</v>
      </c>
      <c r="J769">
        <v>240</v>
      </c>
      <c r="K769" t="s">
        <v>49</v>
      </c>
      <c r="L769" t="s">
        <v>34</v>
      </c>
      <c r="M769" t="s">
        <v>35</v>
      </c>
      <c r="N769" t="s">
        <v>164</v>
      </c>
      <c r="O769" t="s">
        <v>7232</v>
      </c>
      <c r="P769" t="s">
        <v>39</v>
      </c>
      <c r="Q769" t="s">
        <v>38</v>
      </c>
      <c r="R769">
        <v>0</v>
      </c>
      <c r="S769" t="s">
        <v>38</v>
      </c>
      <c r="T769">
        <v>10</v>
      </c>
      <c r="U769">
        <v>3</v>
      </c>
      <c r="V769">
        <v>22.3</v>
      </c>
      <c r="W769" t="s">
        <v>39</v>
      </c>
      <c r="X769" t="s">
        <v>63</v>
      </c>
      <c r="Y769" t="s">
        <v>39</v>
      </c>
      <c r="Z769" t="s">
        <v>41</v>
      </c>
      <c r="AA769" t="s">
        <v>42</v>
      </c>
      <c r="AB769" t="s">
        <v>83</v>
      </c>
      <c r="AC769">
        <f t="shared" si="121"/>
        <v>0</v>
      </c>
      <c r="AD769" s="12">
        <f t="shared" si="125"/>
        <v>1</v>
      </c>
      <c r="AE769" s="12">
        <f t="shared" si="126"/>
        <v>0</v>
      </c>
      <c r="AF769">
        <f t="shared" si="122"/>
        <v>0</v>
      </c>
      <c r="AG769">
        <f t="shared" si="127"/>
        <v>1</v>
      </c>
      <c r="AH769">
        <f t="shared" si="128"/>
        <v>0</v>
      </c>
      <c r="AI769">
        <f t="shared" si="129"/>
        <v>0</v>
      </c>
      <c r="AJ769">
        <f t="shared" si="130"/>
        <v>1</v>
      </c>
      <c r="AK769">
        <f t="shared" si="123"/>
        <v>1</v>
      </c>
      <c r="AL769">
        <f t="shared" si="131"/>
        <v>0</v>
      </c>
    </row>
    <row r="770" spans="1:38">
      <c r="A770" t="s">
        <v>2437</v>
      </c>
      <c r="B770" t="s">
        <v>2438</v>
      </c>
      <c r="C770" s="1">
        <f t="shared" si="124"/>
        <v>45352</v>
      </c>
      <c r="D770" t="s">
        <v>2439</v>
      </c>
      <c r="E770">
        <v>249.1</v>
      </c>
      <c r="F770">
        <v>10.4</v>
      </c>
      <c r="G770" t="s">
        <v>93</v>
      </c>
      <c r="H770" t="s">
        <v>291</v>
      </c>
      <c r="I770" t="s">
        <v>32</v>
      </c>
      <c r="J770">
        <v>240</v>
      </c>
      <c r="K770" t="s">
        <v>33</v>
      </c>
      <c r="L770" t="s">
        <v>70</v>
      </c>
      <c r="M770" t="s">
        <v>35</v>
      </c>
      <c r="N770" t="s">
        <v>72</v>
      </c>
      <c r="O770" t="s">
        <v>51</v>
      </c>
      <c r="P770" t="s">
        <v>39</v>
      </c>
      <c r="Q770" t="s">
        <v>38</v>
      </c>
      <c r="R770">
        <v>0</v>
      </c>
      <c r="S770" t="s">
        <v>38</v>
      </c>
      <c r="T770">
        <v>9</v>
      </c>
      <c r="U770">
        <v>1.2</v>
      </c>
      <c r="V770">
        <v>18.3</v>
      </c>
      <c r="W770" t="s">
        <v>39</v>
      </c>
      <c r="X770" t="s">
        <v>63</v>
      </c>
      <c r="Y770" t="s">
        <v>39</v>
      </c>
      <c r="Z770" t="s">
        <v>41</v>
      </c>
      <c r="AA770" t="s">
        <v>42</v>
      </c>
      <c r="AB770" t="s">
        <v>55</v>
      </c>
      <c r="AC770">
        <f t="shared" ref="AC770:AC833" si="132">IF(X770="Poor", 1, 0)</f>
        <v>0</v>
      </c>
      <c r="AD770" s="12">
        <f t="shared" si="125"/>
        <v>1</v>
      </c>
      <c r="AE770" s="12">
        <f t="shared" si="126"/>
        <v>0</v>
      </c>
      <c r="AF770">
        <f t="shared" ref="AF770:AF833" si="133">IF(O770="Junior", 1, 0)</f>
        <v>1</v>
      </c>
      <c r="AG770">
        <f t="shared" si="127"/>
        <v>0</v>
      </c>
      <c r="AH770">
        <f t="shared" si="128"/>
        <v>0</v>
      </c>
      <c r="AI770">
        <f t="shared" si="129"/>
        <v>0</v>
      </c>
      <c r="AJ770">
        <f t="shared" si="130"/>
        <v>1</v>
      </c>
      <c r="AK770">
        <f t="shared" ref="AK770:AK833" si="134">IF(G770="Access Requests", 1, 0)</f>
        <v>0</v>
      </c>
      <c r="AL770">
        <f t="shared" si="131"/>
        <v>0</v>
      </c>
    </row>
    <row r="771" spans="1:38">
      <c r="A771" t="s">
        <v>2440</v>
      </c>
      <c r="B771" t="s">
        <v>2441</v>
      </c>
      <c r="C771" s="1">
        <f t="shared" ref="C771:C834" si="135">DATE(YEAR(B771),MONTH(B771),1)</f>
        <v>45566</v>
      </c>
      <c r="D771" t="s">
        <v>2442</v>
      </c>
      <c r="E771">
        <v>258.39999999999998</v>
      </c>
      <c r="F771">
        <v>10.8</v>
      </c>
      <c r="G771" t="s">
        <v>87</v>
      </c>
      <c r="H771" t="s">
        <v>151</v>
      </c>
      <c r="I771" t="s">
        <v>32</v>
      </c>
      <c r="J771">
        <v>240</v>
      </c>
      <c r="K771" t="s">
        <v>33</v>
      </c>
      <c r="L771" t="s">
        <v>96</v>
      </c>
      <c r="M771" t="s">
        <v>71</v>
      </c>
      <c r="N771" t="s">
        <v>506</v>
      </c>
      <c r="O771" t="s">
        <v>7232</v>
      </c>
      <c r="P771" t="s">
        <v>38</v>
      </c>
      <c r="Q771" t="s">
        <v>39</v>
      </c>
      <c r="R771">
        <v>3</v>
      </c>
      <c r="S771" t="s">
        <v>38</v>
      </c>
      <c r="T771">
        <v>4</v>
      </c>
      <c r="U771">
        <v>2</v>
      </c>
      <c r="V771">
        <v>13.1</v>
      </c>
      <c r="W771" t="s">
        <v>38</v>
      </c>
      <c r="X771" t="s">
        <v>123</v>
      </c>
      <c r="Y771" t="s">
        <v>38</v>
      </c>
      <c r="Z771" t="s">
        <v>81</v>
      </c>
      <c r="AA771" t="s">
        <v>109</v>
      </c>
      <c r="AB771" t="s">
        <v>43</v>
      </c>
      <c r="AC771">
        <f t="shared" si="132"/>
        <v>0</v>
      </c>
      <c r="AD771" s="12">
        <f t="shared" ref="AD771:AD834" si="136">IF(X771="Fair", 1, 0)</f>
        <v>0</v>
      </c>
      <c r="AE771" s="12">
        <f t="shared" ref="AE771:AE834" si="137">IF(X771="Good", 1, 0)</f>
        <v>1</v>
      </c>
      <c r="AF771">
        <f t="shared" si="133"/>
        <v>0</v>
      </c>
      <c r="AG771">
        <f t="shared" ref="AG771:AG834" si="138">IF(O771="Mid", 1, 0)</f>
        <v>1</v>
      </c>
      <c r="AH771">
        <f t="shared" ref="AH771:AH834" si="139">IF(I771="High", 1, 0)</f>
        <v>0</v>
      </c>
      <c r="AI771">
        <f t="shared" ref="AI771:AI834" si="140">IF(I771="Critical", 1, 0)</f>
        <v>0</v>
      </c>
      <c r="AJ771">
        <f t="shared" ref="AJ771:AJ834" si="141">IF(I771="Medium", 1, 0)</f>
        <v>1</v>
      </c>
      <c r="AK771">
        <f t="shared" si="134"/>
        <v>0</v>
      </c>
      <c r="AL771">
        <f t="shared" ref="AL771:AL834" si="142">IF(Y771="No", 1, 0)</f>
        <v>1</v>
      </c>
    </row>
    <row r="772" spans="1:38">
      <c r="A772" t="s">
        <v>2443</v>
      </c>
      <c r="B772" t="s">
        <v>2444</v>
      </c>
      <c r="C772" s="1">
        <f t="shared" si="135"/>
        <v>45413</v>
      </c>
      <c r="D772" t="s">
        <v>2445</v>
      </c>
      <c r="E772">
        <v>148.30000000000001</v>
      </c>
      <c r="F772">
        <v>6.2</v>
      </c>
      <c r="G772" t="s">
        <v>59</v>
      </c>
      <c r="H772" t="s">
        <v>227</v>
      </c>
      <c r="I772" t="s">
        <v>48</v>
      </c>
      <c r="J772">
        <v>120</v>
      </c>
      <c r="K772" t="s">
        <v>33</v>
      </c>
      <c r="L772" t="s">
        <v>34</v>
      </c>
      <c r="M772" t="s">
        <v>71</v>
      </c>
      <c r="N772" t="s">
        <v>168</v>
      </c>
      <c r="O772" t="s">
        <v>7232</v>
      </c>
      <c r="P772" t="s">
        <v>38</v>
      </c>
      <c r="Q772" t="s">
        <v>39</v>
      </c>
      <c r="R772">
        <v>4</v>
      </c>
      <c r="S772" t="s">
        <v>38</v>
      </c>
      <c r="T772">
        <v>8</v>
      </c>
      <c r="U772">
        <v>4.8</v>
      </c>
      <c r="V772">
        <v>25.6</v>
      </c>
      <c r="W772" t="s">
        <v>38</v>
      </c>
      <c r="X772" t="s">
        <v>52</v>
      </c>
      <c r="Y772" t="s">
        <v>38</v>
      </c>
      <c r="Z772" t="s">
        <v>115</v>
      </c>
      <c r="AA772" t="s">
        <v>82</v>
      </c>
      <c r="AB772" t="s">
        <v>43</v>
      </c>
      <c r="AC772">
        <f t="shared" si="132"/>
        <v>1</v>
      </c>
      <c r="AD772" s="12">
        <f t="shared" si="136"/>
        <v>0</v>
      </c>
      <c r="AE772" s="12">
        <f t="shared" si="137"/>
        <v>0</v>
      </c>
      <c r="AF772">
        <f t="shared" si="133"/>
        <v>0</v>
      </c>
      <c r="AG772">
        <f t="shared" si="138"/>
        <v>1</v>
      </c>
      <c r="AH772">
        <f t="shared" si="139"/>
        <v>1</v>
      </c>
      <c r="AI772">
        <f t="shared" si="140"/>
        <v>0</v>
      </c>
      <c r="AJ772">
        <f t="shared" si="141"/>
        <v>0</v>
      </c>
      <c r="AK772">
        <f t="shared" si="134"/>
        <v>0</v>
      </c>
      <c r="AL772">
        <f t="shared" si="142"/>
        <v>1</v>
      </c>
    </row>
    <row r="773" spans="1:38">
      <c r="A773" t="s">
        <v>2446</v>
      </c>
      <c r="B773" t="s">
        <v>2447</v>
      </c>
      <c r="C773" s="1">
        <f t="shared" si="135"/>
        <v>45292</v>
      </c>
      <c r="D773" t="s">
        <v>2448</v>
      </c>
      <c r="E773">
        <v>99.2</v>
      </c>
      <c r="F773">
        <v>4.0999999999999996</v>
      </c>
      <c r="G773" t="s">
        <v>59</v>
      </c>
      <c r="H773" t="s">
        <v>281</v>
      </c>
      <c r="I773" t="s">
        <v>48</v>
      </c>
      <c r="J773">
        <v>120</v>
      </c>
      <c r="K773" t="s">
        <v>49</v>
      </c>
      <c r="L773" t="s">
        <v>34</v>
      </c>
      <c r="M773" t="s">
        <v>35</v>
      </c>
      <c r="N773" t="s">
        <v>277</v>
      </c>
      <c r="O773" t="s">
        <v>7232</v>
      </c>
      <c r="P773" t="s">
        <v>38</v>
      </c>
      <c r="Q773" t="s">
        <v>38</v>
      </c>
      <c r="R773">
        <v>1</v>
      </c>
      <c r="S773" t="s">
        <v>38</v>
      </c>
      <c r="T773">
        <v>9</v>
      </c>
      <c r="U773">
        <v>4.5</v>
      </c>
      <c r="V773">
        <v>12.2</v>
      </c>
      <c r="W773" t="s">
        <v>39</v>
      </c>
      <c r="X773" t="s">
        <v>63</v>
      </c>
      <c r="Y773" t="s">
        <v>39</v>
      </c>
      <c r="Z773" t="s">
        <v>73</v>
      </c>
      <c r="AA773" t="s">
        <v>54</v>
      </c>
      <c r="AB773" t="s">
        <v>55</v>
      </c>
      <c r="AC773">
        <f t="shared" si="132"/>
        <v>0</v>
      </c>
      <c r="AD773" s="12">
        <f t="shared" si="136"/>
        <v>1</v>
      </c>
      <c r="AE773" s="12">
        <f t="shared" si="137"/>
        <v>0</v>
      </c>
      <c r="AF773">
        <f t="shared" si="133"/>
        <v>0</v>
      </c>
      <c r="AG773">
        <f t="shared" si="138"/>
        <v>1</v>
      </c>
      <c r="AH773">
        <f t="shared" si="139"/>
        <v>1</v>
      </c>
      <c r="AI773">
        <f t="shared" si="140"/>
        <v>0</v>
      </c>
      <c r="AJ773">
        <f t="shared" si="141"/>
        <v>0</v>
      </c>
      <c r="AK773">
        <f t="shared" si="134"/>
        <v>0</v>
      </c>
      <c r="AL773">
        <f t="shared" si="142"/>
        <v>0</v>
      </c>
    </row>
    <row r="774" spans="1:38">
      <c r="A774" t="s">
        <v>2449</v>
      </c>
      <c r="B774" t="s">
        <v>2450</v>
      </c>
      <c r="C774" s="1">
        <f t="shared" si="135"/>
        <v>45352</v>
      </c>
      <c r="D774" t="s">
        <v>2451</v>
      </c>
      <c r="E774">
        <v>210.7</v>
      </c>
      <c r="F774">
        <v>8.8000000000000007</v>
      </c>
      <c r="G774" t="s">
        <v>30</v>
      </c>
      <c r="H774" t="s">
        <v>31</v>
      </c>
      <c r="I774" t="s">
        <v>32</v>
      </c>
      <c r="J774">
        <v>240</v>
      </c>
      <c r="K774" t="s">
        <v>49</v>
      </c>
      <c r="L774" t="s">
        <v>96</v>
      </c>
      <c r="M774" t="s">
        <v>35</v>
      </c>
      <c r="N774" t="s">
        <v>192</v>
      </c>
      <c r="O774" t="s">
        <v>37</v>
      </c>
      <c r="P774" t="s">
        <v>38</v>
      </c>
      <c r="Q774" t="s">
        <v>38</v>
      </c>
      <c r="R774">
        <v>1</v>
      </c>
      <c r="S774" t="s">
        <v>38</v>
      </c>
      <c r="T774">
        <v>9</v>
      </c>
      <c r="U774">
        <v>4.3</v>
      </c>
      <c r="V774">
        <v>25.4</v>
      </c>
      <c r="W774" t="s">
        <v>39</v>
      </c>
      <c r="X774" t="s">
        <v>63</v>
      </c>
      <c r="Y774" t="s">
        <v>39</v>
      </c>
      <c r="Z774" t="s">
        <v>115</v>
      </c>
      <c r="AA774" t="s">
        <v>42</v>
      </c>
      <c r="AB774" t="s">
        <v>43</v>
      </c>
      <c r="AC774">
        <f t="shared" si="132"/>
        <v>0</v>
      </c>
      <c r="AD774" s="12">
        <f t="shared" si="136"/>
        <v>1</v>
      </c>
      <c r="AE774" s="12">
        <f t="shared" si="137"/>
        <v>0</v>
      </c>
      <c r="AF774">
        <f t="shared" si="133"/>
        <v>0</v>
      </c>
      <c r="AG774">
        <f t="shared" si="138"/>
        <v>0</v>
      </c>
      <c r="AH774">
        <f t="shared" si="139"/>
        <v>0</v>
      </c>
      <c r="AI774">
        <f t="shared" si="140"/>
        <v>0</v>
      </c>
      <c r="AJ774">
        <f t="shared" si="141"/>
        <v>1</v>
      </c>
      <c r="AK774">
        <f t="shared" si="134"/>
        <v>1</v>
      </c>
      <c r="AL774">
        <f t="shared" si="142"/>
        <v>0</v>
      </c>
    </row>
    <row r="775" spans="1:38">
      <c r="A775" t="s">
        <v>2452</v>
      </c>
      <c r="B775" t="s">
        <v>2453</v>
      </c>
      <c r="C775" s="1">
        <f t="shared" si="135"/>
        <v>45566</v>
      </c>
      <c r="D775" t="s">
        <v>2454</v>
      </c>
      <c r="E775">
        <v>205.7</v>
      </c>
      <c r="F775">
        <v>8.6</v>
      </c>
      <c r="G775" t="s">
        <v>30</v>
      </c>
      <c r="H775" t="s">
        <v>31</v>
      </c>
      <c r="I775" t="s">
        <v>32</v>
      </c>
      <c r="J775">
        <v>240</v>
      </c>
      <c r="K775" t="s">
        <v>49</v>
      </c>
      <c r="L775" t="s">
        <v>133</v>
      </c>
      <c r="M775" t="s">
        <v>35</v>
      </c>
      <c r="N775" t="s">
        <v>80</v>
      </c>
      <c r="O775" t="s">
        <v>7232</v>
      </c>
      <c r="P775" t="s">
        <v>38</v>
      </c>
      <c r="Q775" t="s">
        <v>38</v>
      </c>
      <c r="R775">
        <v>1</v>
      </c>
      <c r="S775" t="s">
        <v>39</v>
      </c>
      <c r="T775">
        <v>10</v>
      </c>
      <c r="U775">
        <v>2.2999999999999998</v>
      </c>
      <c r="V775">
        <v>14.6</v>
      </c>
      <c r="W775" t="s">
        <v>38</v>
      </c>
      <c r="X775" t="s">
        <v>123</v>
      </c>
      <c r="Y775" t="s">
        <v>39</v>
      </c>
      <c r="Z775" t="s">
        <v>108</v>
      </c>
      <c r="AA775" t="s">
        <v>109</v>
      </c>
      <c r="AB775" t="s">
        <v>55</v>
      </c>
      <c r="AC775">
        <f t="shared" si="132"/>
        <v>0</v>
      </c>
      <c r="AD775" s="12">
        <f t="shared" si="136"/>
        <v>0</v>
      </c>
      <c r="AE775" s="12">
        <f t="shared" si="137"/>
        <v>1</v>
      </c>
      <c r="AF775">
        <f t="shared" si="133"/>
        <v>0</v>
      </c>
      <c r="AG775">
        <f t="shared" si="138"/>
        <v>1</v>
      </c>
      <c r="AH775">
        <f t="shared" si="139"/>
        <v>0</v>
      </c>
      <c r="AI775">
        <f t="shared" si="140"/>
        <v>0</v>
      </c>
      <c r="AJ775">
        <f t="shared" si="141"/>
        <v>1</v>
      </c>
      <c r="AK775">
        <f t="shared" si="134"/>
        <v>1</v>
      </c>
      <c r="AL775">
        <f t="shared" si="142"/>
        <v>0</v>
      </c>
    </row>
    <row r="776" spans="1:38">
      <c r="A776" t="s">
        <v>2455</v>
      </c>
      <c r="B776" t="s">
        <v>2456</v>
      </c>
      <c r="C776" s="1">
        <f t="shared" si="135"/>
        <v>45536</v>
      </c>
      <c r="D776" t="s">
        <v>2457</v>
      </c>
      <c r="E776">
        <v>214.6</v>
      </c>
      <c r="F776">
        <v>8.9</v>
      </c>
      <c r="G776" t="s">
        <v>87</v>
      </c>
      <c r="H776" t="s">
        <v>309</v>
      </c>
      <c r="I776" t="s">
        <v>32</v>
      </c>
      <c r="J776">
        <v>240</v>
      </c>
      <c r="K776" t="s">
        <v>49</v>
      </c>
      <c r="L776" t="s">
        <v>70</v>
      </c>
      <c r="M776" t="s">
        <v>71</v>
      </c>
      <c r="N776" t="s">
        <v>192</v>
      </c>
      <c r="O776" t="s">
        <v>37</v>
      </c>
      <c r="P776" t="s">
        <v>38</v>
      </c>
      <c r="Q776" t="s">
        <v>39</v>
      </c>
      <c r="R776">
        <v>3</v>
      </c>
      <c r="S776" t="s">
        <v>38</v>
      </c>
      <c r="T776">
        <v>8</v>
      </c>
      <c r="U776">
        <v>1</v>
      </c>
      <c r="V776">
        <v>42.3</v>
      </c>
      <c r="W776" t="s">
        <v>39</v>
      </c>
      <c r="X776" t="s">
        <v>63</v>
      </c>
      <c r="Y776" t="s">
        <v>39</v>
      </c>
      <c r="Z776" t="s">
        <v>81</v>
      </c>
      <c r="AA776" t="s">
        <v>103</v>
      </c>
      <c r="AB776" t="s">
        <v>55</v>
      </c>
      <c r="AC776">
        <f t="shared" si="132"/>
        <v>0</v>
      </c>
      <c r="AD776" s="12">
        <f t="shared" si="136"/>
        <v>1</v>
      </c>
      <c r="AE776" s="12">
        <f t="shared" si="137"/>
        <v>0</v>
      </c>
      <c r="AF776">
        <f t="shared" si="133"/>
        <v>0</v>
      </c>
      <c r="AG776">
        <f t="shared" si="138"/>
        <v>0</v>
      </c>
      <c r="AH776">
        <f t="shared" si="139"/>
        <v>0</v>
      </c>
      <c r="AI776">
        <f t="shared" si="140"/>
        <v>0</v>
      </c>
      <c r="AJ776">
        <f t="shared" si="141"/>
        <v>1</v>
      </c>
      <c r="AK776">
        <f t="shared" si="134"/>
        <v>0</v>
      </c>
      <c r="AL776">
        <f t="shared" si="142"/>
        <v>0</v>
      </c>
    </row>
    <row r="777" spans="1:38">
      <c r="A777" t="s">
        <v>2458</v>
      </c>
      <c r="B777" t="s">
        <v>2459</v>
      </c>
      <c r="C777" s="1">
        <f t="shared" si="135"/>
        <v>45352</v>
      </c>
      <c r="D777" t="s">
        <v>2460</v>
      </c>
      <c r="E777">
        <v>276.3</v>
      </c>
      <c r="F777">
        <v>11.5</v>
      </c>
      <c r="G777" t="s">
        <v>59</v>
      </c>
      <c r="H777" t="s">
        <v>60</v>
      </c>
      <c r="I777" t="s">
        <v>48</v>
      </c>
      <c r="J777">
        <v>120</v>
      </c>
      <c r="K777" t="s">
        <v>33</v>
      </c>
      <c r="L777" t="s">
        <v>70</v>
      </c>
      <c r="M777" t="s">
        <v>35</v>
      </c>
      <c r="N777" t="s">
        <v>114</v>
      </c>
      <c r="O777" t="s">
        <v>7232</v>
      </c>
      <c r="P777" t="s">
        <v>38</v>
      </c>
      <c r="Q777" t="s">
        <v>38</v>
      </c>
      <c r="R777">
        <v>1</v>
      </c>
      <c r="S777" t="s">
        <v>38</v>
      </c>
      <c r="T777">
        <v>4</v>
      </c>
      <c r="U777">
        <v>4.8</v>
      </c>
      <c r="V777">
        <v>10.9</v>
      </c>
      <c r="W777" t="s">
        <v>39</v>
      </c>
      <c r="X777" t="s">
        <v>63</v>
      </c>
      <c r="Y777" t="s">
        <v>39</v>
      </c>
      <c r="Z777" t="s">
        <v>64</v>
      </c>
      <c r="AA777" t="s">
        <v>42</v>
      </c>
      <c r="AB777" t="s">
        <v>55</v>
      </c>
      <c r="AC777">
        <f t="shared" si="132"/>
        <v>0</v>
      </c>
      <c r="AD777" s="12">
        <f t="shared" si="136"/>
        <v>1</v>
      </c>
      <c r="AE777" s="12">
        <f t="shared" si="137"/>
        <v>0</v>
      </c>
      <c r="AF777">
        <f t="shared" si="133"/>
        <v>0</v>
      </c>
      <c r="AG777">
        <f t="shared" si="138"/>
        <v>1</v>
      </c>
      <c r="AH777">
        <f t="shared" si="139"/>
        <v>1</v>
      </c>
      <c r="AI777">
        <f t="shared" si="140"/>
        <v>0</v>
      </c>
      <c r="AJ777">
        <f t="shared" si="141"/>
        <v>0</v>
      </c>
      <c r="AK777">
        <f t="shared" si="134"/>
        <v>0</v>
      </c>
      <c r="AL777">
        <f t="shared" si="142"/>
        <v>0</v>
      </c>
    </row>
    <row r="778" spans="1:38">
      <c r="A778" t="s">
        <v>2461</v>
      </c>
      <c r="B778" t="s">
        <v>2462</v>
      </c>
      <c r="C778" s="1">
        <f t="shared" si="135"/>
        <v>45292</v>
      </c>
      <c r="D778" t="s">
        <v>2463</v>
      </c>
      <c r="E778">
        <v>80.900000000000006</v>
      </c>
      <c r="F778">
        <v>3.4</v>
      </c>
      <c r="G778" t="s">
        <v>87</v>
      </c>
      <c r="H778" t="s">
        <v>88</v>
      </c>
      <c r="I778" t="s">
        <v>48</v>
      </c>
      <c r="J778">
        <v>120</v>
      </c>
      <c r="K778" t="s">
        <v>49</v>
      </c>
      <c r="L778" t="s">
        <v>34</v>
      </c>
      <c r="M778" t="s">
        <v>71</v>
      </c>
      <c r="N778" t="s">
        <v>72</v>
      </c>
      <c r="O778" t="s">
        <v>37</v>
      </c>
      <c r="P778" t="s">
        <v>38</v>
      </c>
      <c r="Q778" t="s">
        <v>39</v>
      </c>
      <c r="R778">
        <v>4</v>
      </c>
      <c r="S778" t="s">
        <v>38</v>
      </c>
      <c r="T778">
        <v>7</v>
      </c>
      <c r="U778">
        <v>0.1</v>
      </c>
      <c r="V778">
        <v>9.6</v>
      </c>
      <c r="W778" t="s">
        <v>38</v>
      </c>
      <c r="X778" t="s">
        <v>63</v>
      </c>
      <c r="Y778" t="s">
        <v>39</v>
      </c>
      <c r="Z778" t="s">
        <v>81</v>
      </c>
      <c r="AA778" t="s">
        <v>109</v>
      </c>
      <c r="AB778" t="s">
        <v>55</v>
      </c>
      <c r="AC778">
        <f t="shared" si="132"/>
        <v>0</v>
      </c>
      <c r="AD778" s="12">
        <f t="shared" si="136"/>
        <v>1</v>
      </c>
      <c r="AE778" s="12">
        <f t="shared" si="137"/>
        <v>0</v>
      </c>
      <c r="AF778">
        <f t="shared" si="133"/>
        <v>0</v>
      </c>
      <c r="AG778">
        <f t="shared" si="138"/>
        <v>0</v>
      </c>
      <c r="AH778">
        <f t="shared" si="139"/>
        <v>1</v>
      </c>
      <c r="AI778">
        <f t="shared" si="140"/>
        <v>0</v>
      </c>
      <c r="AJ778">
        <f t="shared" si="141"/>
        <v>0</v>
      </c>
      <c r="AK778">
        <f t="shared" si="134"/>
        <v>0</v>
      </c>
      <c r="AL778">
        <f t="shared" si="142"/>
        <v>0</v>
      </c>
    </row>
    <row r="779" spans="1:38">
      <c r="A779" t="s">
        <v>2464</v>
      </c>
      <c r="B779" t="s">
        <v>2465</v>
      </c>
      <c r="C779" s="1">
        <f t="shared" si="135"/>
        <v>45566</v>
      </c>
      <c r="D779" t="s">
        <v>2466</v>
      </c>
      <c r="E779">
        <v>1020.1</v>
      </c>
      <c r="F779">
        <v>42.5</v>
      </c>
      <c r="G779" t="s">
        <v>77</v>
      </c>
      <c r="H779" t="s">
        <v>187</v>
      </c>
      <c r="I779" t="s">
        <v>79</v>
      </c>
      <c r="J779">
        <v>360</v>
      </c>
      <c r="K779" t="s">
        <v>33</v>
      </c>
      <c r="L779" t="s">
        <v>70</v>
      </c>
      <c r="M779" t="s">
        <v>35</v>
      </c>
      <c r="N779" t="s">
        <v>107</v>
      </c>
      <c r="O779" t="s">
        <v>51</v>
      </c>
      <c r="P779" t="s">
        <v>39</v>
      </c>
      <c r="Q779" t="s">
        <v>38</v>
      </c>
      <c r="R779">
        <v>0</v>
      </c>
      <c r="S779" t="s">
        <v>39</v>
      </c>
      <c r="T779">
        <v>5</v>
      </c>
      <c r="U779">
        <v>0.5</v>
      </c>
      <c r="V779">
        <v>13.8</v>
      </c>
      <c r="W779" t="s">
        <v>39</v>
      </c>
      <c r="X779" t="s">
        <v>52</v>
      </c>
      <c r="Y779" t="s">
        <v>38</v>
      </c>
      <c r="Z779" t="s">
        <v>81</v>
      </c>
      <c r="AA779" t="s">
        <v>82</v>
      </c>
      <c r="AB779" t="s">
        <v>83</v>
      </c>
      <c r="AC779">
        <f t="shared" si="132"/>
        <v>1</v>
      </c>
      <c r="AD779" s="12">
        <f t="shared" si="136"/>
        <v>0</v>
      </c>
      <c r="AE779" s="12">
        <f t="shared" si="137"/>
        <v>0</v>
      </c>
      <c r="AF779">
        <f t="shared" si="133"/>
        <v>1</v>
      </c>
      <c r="AG779">
        <f t="shared" si="138"/>
        <v>0</v>
      </c>
      <c r="AH779">
        <f t="shared" si="139"/>
        <v>0</v>
      </c>
      <c r="AI779">
        <f t="shared" si="140"/>
        <v>0</v>
      </c>
      <c r="AJ779">
        <f t="shared" si="141"/>
        <v>0</v>
      </c>
      <c r="AK779">
        <f t="shared" si="134"/>
        <v>0</v>
      </c>
      <c r="AL779">
        <f t="shared" si="142"/>
        <v>1</v>
      </c>
    </row>
    <row r="780" spans="1:38">
      <c r="A780" t="s">
        <v>2467</v>
      </c>
      <c r="B780" t="s">
        <v>2468</v>
      </c>
      <c r="C780" s="1">
        <f t="shared" si="135"/>
        <v>45474</v>
      </c>
      <c r="D780" t="s">
        <v>2469</v>
      </c>
      <c r="E780">
        <v>150.6</v>
      </c>
      <c r="F780">
        <v>6.3</v>
      </c>
      <c r="G780" t="s">
        <v>30</v>
      </c>
      <c r="H780" t="s">
        <v>172</v>
      </c>
      <c r="I780" t="s">
        <v>32</v>
      </c>
      <c r="J780">
        <v>240</v>
      </c>
      <c r="K780" t="s">
        <v>49</v>
      </c>
      <c r="L780" t="s">
        <v>96</v>
      </c>
      <c r="M780" t="s">
        <v>35</v>
      </c>
      <c r="N780" t="s">
        <v>144</v>
      </c>
      <c r="O780" t="s">
        <v>7232</v>
      </c>
      <c r="P780" t="s">
        <v>38</v>
      </c>
      <c r="Q780" t="s">
        <v>38</v>
      </c>
      <c r="R780">
        <v>1</v>
      </c>
      <c r="S780" t="s">
        <v>39</v>
      </c>
      <c r="T780">
        <v>9</v>
      </c>
      <c r="U780">
        <v>2.5</v>
      </c>
      <c r="V780">
        <v>9.6</v>
      </c>
      <c r="W780" t="s">
        <v>39</v>
      </c>
      <c r="X780" t="s">
        <v>63</v>
      </c>
      <c r="Y780" t="s">
        <v>38</v>
      </c>
      <c r="Z780" t="s">
        <v>73</v>
      </c>
      <c r="AA780" t="s">
        <v>103</v>
      </c>
      <c r="AB780" t="s">
        <v>55</v>
      </c>
      <c r="AC780">
        <f t="shared" si="132"/>
        <v>0</v>
      </c>
      <c r="AD780" s="12">
        <f t="shared" si="136"/>
        <v>1</v>
      </c>
      <c r="AE780" s="12">
        <f t="shared" si="137"/>
        <v>0</v>
      </c>
      <c r="AF780">
        <f t="shared" si="133"/>
        <v>0</v>
      </c>
      <c r="AG780">
        <f t="shared" si="138"/>
        <v>1</v>
      </c>
      <c r="AH780">
        <f t="shared" si="139"/>
        <v>0</v>
      </c>
      <c r="AI780">
        <f t="shared" si="140"/>
        <v>0</v>
      </c>
      <c r="AJ780">
        <f t="shared" si="141"/>
        <v>1</v>
      </c>
      <c r="AK780">
        <f t="shared" si="134"/>
        <v>1</v>
      </c>
      <c r="AL780">
        <f t="shared" si="142"/>
        <v>1</v>
      </c>
    </row>
    <row r="781" spans="1:38">
      <c r="A781" t="s">
        <v>2470</v>
      </c>
      <c r="B781" t="s">
        <v>2471</v>
      </c>
      <c r="C781" s="1">
        <f t="shared" si="135"/>
        <v>45444</v>
      </c>
      <c r="D781" t="s">
        <v>2472</v>
      </c>
      <c r="E781">
        <v>216.9</v>
      </c>
      <c r="F781">
        <v>9</v>
      </c>
      <c r="G781" t="s">
        <v>142</v>
      </c>
      <c r="H781" t="s">
        <v>729</v>
      </c>
      <c r="I781" t="s">
        <v>32</v>
      </c>
      <c r="J781">
        <v>240</v>
      </c>
      <c r="K781" t="s">
        <v>49</v>
      </c>
      <c r="L781" t="s">
        <v>113</v>
      </c>
      <c r="M781" t="s">
        <v>71</v>
      </c>
      <c r="N781" t="s">
        <v>168</v>
      </c>
      <c r="O781" t="s">
        <v>51</v>
      </c>
      <c r="P781" t="s">
        <v>38</v>
      </c>
      <c r="Q781" t="s">
        <v>39</v>
      </c>
      <c r="R781">
        <v>2</v>
      </c>
      <c r="S781" t="s">
        <v>38</v>
      </c>
      <c r="T781">
        <v>8</v>
      </c>
      <c r="U781">
        <v>5</v>
      </c>
      <c r="V781">
        <v>19.899999999999999</v>
      </c>
      <c r="W781" t="s">
        <v>39</v>
      </c>
      <c r="X781" t="s">
        <v>52</v>
      </c>
      <c r="Y781" t="s">
        <v>39</v>
      </c>
      <c r="Z781" t="s">
        <v>64</v>
      </c>
      <c r="AA781" t="s">
        <v>103</v>
      </c>
      <c r="AB781" t="s">
        <v>83</v>
      </c>
      <c r="AC781">
        <f t="shared" si="132"/>
        <v>1</v>
      </c>
      <c r="AD781" s="12">
        <f t="shared" si="136"/>
        <v>0</v>
      </c>
      <c r="AE781" s="12">
        <f t="shared" si="137"/>
        <v>0</v>
      </c>
      <c r="AF781">
        <f t="shared" si="133"/>
        <v>1</v>
      </c>
      <c r="AG781">
        <f t="shared" si="138"/>
        <v>0</v>
      </c>
      <c r="AH781">
        <f t="shared" si="139"/>
        <v>0</v>
      </c>
      <c r="AI781">
        <f t="shared" si="140"/>
        <v>0</v>
      </c>
      <c r="AJ781">
        <f t="shared" si="141"/>
        <v>1</v>
      </c>
      <c r="AK781">
        <f t="shared" si="134"/>
        <v>0</v>
      </c>
      <c r="AL781">
        <f t="shared" si="142"/>
        <v>0</v>
      </c>
    </row>
    <row r="782" spans="1:38">
      <c r="A782" t="s">
        <v>2473</v>
      </c>
      <c r="B782" t="s">
        <v>2474</v>
      </c>
      <c r="C782" s="1">
        <f t="shared" si="135"/>
        <v>45292</v>
      </c>
      <c r="D782" t="s">
        <v>2475</v>
      </c>
      <c r="E782">
        <v>112.1</v>
      </c>
      <c r="F782">
        <v>4.7</v>
      </c>
      <c r="G782" t="s">
        <v>142</v>
      </c>
      <c r="H782" t="s">
        <v>729</v>
      </c>
      <c r="I782" t="s">
        <v>48</v>
      </c>
      <c r="J782">
        <v>120</v>
      </c>
      <c r="K782" t="s">
        <v>49</v>
      </c>
      <c r="L782" t="s">
        <v>96</v>
      </c>
      <c r="M782" t="s">
        <v>35</v>
      </c>
      <c r="N782" t="s">
        <v>61</v>
      </c>
      <c r="O782" t="s">
        <v>7232</v>
      </c>
      <c r="P782" t="s">
        <v>38</v>
      </c>
      <c r="Q782" t="s">
        <v>38</v>
      </c>
      <c r="R782">
        <v>1</v>
      </c>
      <c r="S782" t="s">
        <v>38</v>
      </c>
      <c r="T782">
        <v>7</v>
      </c>
      <c r="U782">
        <v>4.0999999999999996</v>
      </c>
      <c r="V782">
        <v>1</v>
      </c>
      <c r="W782" t="s">
        <v>39</v>
      </c>
      <c r="X782" t="s">
        <v>40</v>
      </c>
      <c r="Y782" t="s">
        <v>38</v>
      </c>
      <c r="Z782" t="s">
        <v>81</v>
      </c>
      <c r="AA782" t="s">
        <v>82</v>
      </c>
      <c r="AB782" t="s">
        <v>43</v>
      </c>
      <c r="AC782">
        <f t="shared" si="132"/>
        <v>0</v>
      </c>
      <c r="AD782" s="12">
        <f t="shared" si="136"/>
        <v>0</v>
      </c>
      <c r="AE782" s="12">
        <f t="shared" si="137"/>
        <v>0</v>
      </c>
      <c r="AF782">
        <f t="shared" si="133"/>
        <v>0</v>
      </c>
      <c r="AG782">
        <f t="shared" si="138"/>
        <v>1</v>
      </c>
      <c r="AH782">
        <f t="shared" si="139"/>
        <v>1</v>
      </c>
      <c r="AI782">
        <f t="shared" si="140"/>
        <v>0</v>
      </c>
      <c r="AJ782">
        <f t="shared" si="141"/>
        <v>0</v>
      </c>
      <c r="AK782">
        <f t="shared" si="134"/>
        <v>0</v>
      </c>
      <c r="AL782">
        <f t="shared" si="142"/>
        <v>1</v>
      </c>
    </row>
    <row r="783" spans="1:38">
      <c r="A783" t="s">
        <v>2476</v>
      </c>
      <c r="B783" t="s">
        <v>2477</v>
      </c>
      <c r="C783" s="1">
        <f t="shared" si="135"/>
        <v>45566</v>
      </c>
      <c r="D783" t="s">
        <v>2478</v>
      </c>
      <c r="E783">
        <v>224.3</v>
      </c>
      <c r="F783">
        <v>9.3000000000000007</v>
      </c>
      <c r="G783" t="s">
        <v>77</v>
      </c>
      <c r="H783" t="s">
        <v>187</v>
      </c>
      <c r="I783" t="s">
        <v>79</v>
      </c>
      <c r="J783">
        <v>360</v>
      </c>
      <c r="K783" t="s">
        <v>49</v>
      </c>
      <c r="L783" t="s">
        <v>96</v>
      </c>
      <c r="M783" t="s">
        <v>35</v>
      </c>
      <c r="N783" t="s">
        <v>299</v>
      </c>
      <c r="O783" t="s">
        <v>7232</v>
      </c>
      <c r="P783" t="s">
        <v>39</v>
      </c>
      <c r="Q783" t="s">
        <v>38</v>
      </c>
      <c r="R783">
        <v>0</v>
      </c>
      <c r="S783" t="s">
        <v>38</v>
      </c>
      <c r="T783">
        <v>7</v>
      </c>
      <c r="U783">
        <v>5.5</v>
      </c>
      <c r="V783">
        <v>16.899999999999999</v>
      </c>
      <c r="W783" t="s">
        <v>39</v>
      </c>
      <c r="X783" t="s">
        <v>63</v>
      </c>
      <c r="Y783" t="s">
        <v>39</v>
      </c>
      <c r="Z783" t="s">
        <v>81</v>
      </c>
      <c r="AA783" t="s">
        <v>54</v>
      </c>
      <c r="AB783" t="s">
        <v>83</v>
      </c>
      <c r="AC783">
        <f t="shared" si="132"/>
        <v>0</v>
      </c>
      <c r="AD783" s="12">
        <f t="shared" si="136"/>
        <v>1</v>
      </c>
      <c r="AE783" s="12">
        <f t="shared" si="137"/>
        <v>0</v>
      </c>
      <c r="AF783">
        <f t="shared" si="133"/>
        <v>0</v>
      </c>
      <c r="AG783">
        <f t="shared" si="138"/>
        <v>1</v>
      </c>
      <c r="AH783">
        <f t="shared" si="139"/>
        <v>0</v>
      </c>
      <c r="AI783">
        <f t="shared" si="140"/>
        <v>0</v>
      </c>
      <c r="AJ783">
        <f t="shared" si="141"/>
        <v>0</v>
      </c>
      <c r="AK783">
        <f t="shared" si="134"/>
        <v>0</v>
      </c>
      <c r="AL783">
        <f t="shared" si="142"/>
        <v>0</v>
      </c>
    </row>
    <row r="784" spans="1:38">
      <c r="A784" t="s">
        <v>2479</v>
      </c>
      <c r="B784" t="s">
        <v>2480</v>
      </c>
      <c r="C784" s="1">
        <f t="shared" si="135"/>
        <v>45566</v>
      </c>
      <c r="D784" t="s">
        <v>2481</v>
      </c>
      <c r="E784">
        <v>127.7</v>
      </c>
      <c r="F784">
        <v>5.3</v>
      </c>
      <c r="G784" t="s">
        <v>59</v>
      </c>
      <c r="H784" t="s">
        <v>127</v>
      </c>
      <c r="I784" t="s">
        <v>48</v>
      </c>
      <c r="J784">
        <v>120</v>
      </c>
      <c r="K784" t="s">
        <v>33</v>
      </c>
      <c r="L784" t="s">
        <v>70</v>
      </c>
      <c r="M784" t="s">
        <v>35</v>
      </c>
      <c r="N784" t="s">
        <v>72</v>
      </c>
      <c r="O784" t="s">
        <v>51</v>
      </c>
      <c r="P784" t="s">
        <v>38</v>
      </c>
      <c r="Q784" t="s">
        <v>38</v>
      </c>
      <c r="R784">
        <v>1</v>
      </c>
      <c r="S784" t="s">
        <v>38</v>
      </c>
      <c r="T784">
        <v>8</v>
      </c>
      <c r="U784">
        <v>5.7</v>
      </c>
      <c r="V784">
        <v>16.600000000000001</v>
      </c>
      <c r="W784" t="s">
        <v>39</v>
      </c>
      <c r="X784" t="s">
        <v>52</v>
      </c>
      <c r="Y784" t="s">
        <v>38</v>
      </c>
      <c r="Z784" t="s">
        <v>115</v>
      </c>
      <c r="AA784" t="s">
        <v>103</v>
      </c>
      <c r="AB784" t="s">
        <v>83</v>
      </c>
      <c r="AC784">
        <f t="shared" si="132"/>
        <v>1</v>
      </c>
      <c r="AD784" s="12">
        <f t="shared" si="136"/>
        <v>0</v>
      </c>
      <c r="AE784" s="12">
        <f t="shared" si="137"/>
        <v>0</v>
      </c>
      <c r="AF784">
        <f t="shared" si="133"/>
        <v>1</v>
      </c>
      <c r="AG784">
        <f t="shared" si="138"/>
        <v>0</v>
      </c>
      <c r="AH784">
        <f t="shared" si="139"/>
        <v>1</v>
      </c>
      <c r="AI784">
        <f t="shared" si="140"/>
        <v>0</v>
      </c>
      <c r="AJ784">
        <f t="shared" si="141"/>
        <v>0</v>
      </c>
      <c r="AK784">
        <f t="shared" si="134"/>
        <v>0</v>
      </c>
      <c r="AL784">
        <f t="shared" si="142"/>
        <v>1</v>
      </c>
    </row>
    <row r="785" spans="1:38">
      <c r="A785" t="s">
        <v>2482</v>
      </c>
      <c r="B785" t="s">
        <v>2483</v>
      </c>
      <c r="C785" s="1">
        <f t="shared" si="135"/>
        <v>45566</v>
      </c>
      <c r="D785" t="s">
        <v>2484</v>
      </c>
      <c r="E785">
        <v>253.7</v>
      </c>
      <c r="F785">
        <v>10.6</v>
      </c>
      <c r="G785" t="s">
        <v>87</v>
      </c>
      <c r="H785" t="s">
        <v>151</v>
      </c>
      <c r="I785" t="s">
        <v>48</v>
      </c>
      <c r="J785">
        <v>120</v>
      </c>
      <c r="K785" t="s">
        <v>33</v>
      </c>
      <c r="L785" t="s">
        <v>113</v>
      </c>
      <c r="M785" t="s">
        <v>35</v>
      </c>
      <c r="N785" t="s">
        <v>138</v>
      </c>
      <c r="O785" t="s">
        <v>51</v>
      </c>
      <c r="P785" t="s">
        <v>38</v>
      </c>
      <c r="Q785" t="s">
        <v>38</v>
      </c>
      <c r="R785">
        <v>1</v>
      </c>
      <c r="S785" t="s">
        <v>38</v>
      </c>
      <c r="T785">
        <v>6</v>
      </c>
      <c r="U785">
        <v>2.9</v>
      </c>
      <c r="V785">
        <v>9.9</v>
      </c>
      <c r="W785" t="s">
        <v>39</v>
      </c>
      <c r="X785" t="s">
        <v>123</v>
      </c>
      <c r="Y785" t="s">
        <v>38</v>
      </c>
      <c r="Z785" t="s">
        <v>179</v>
      </c>
      <c r="AA785" t="s">
        <v>54</v>
      </c>
      <c r="AB785" t="s">
        <v>83</v>
      </c>
      <c r="AC785">
        <f t="shared" si="132"/>
        <v>0</v>
      </c>
      <c r="AD785" s="12">
        <f t="shared" si="136"/>
        <v>0</v>
      </c>
      <c r="AE785" s="12">
        <f t="shared" si="137"/>
        <v>1</v>
      </c>
      <c r="AF785">
        <f t="shared" si="133"/>
        <v>1</v>
      </c>
      <c r="AG785">
        <f t="shared" si="138"/>
        <v>0</v>
      </c>
      <c r="AH785">
        <f t="shared" si="139"/>
        <v>1</v>
      </c>
      <c r="AI785">
        <f t="shared" si="140"/>
        <v>0</v>
      </c>
      <c r="AJ785">
        <f t="shared" si="141"/>
        <v>0</v>
      </c>
      <c r="AK785">
        <f t="shared" si="134"/>
        <v>0</v>
      </c>
      <c r="AL785">
        <f t="shared" si="142"/>
        <v>1</v>
      </c>
    </row>
    <row r="786" spans="1:38">
      <c r="A786" t="s">
        <v>2485</v>
      </c>
      <c r="B786" t="s">
        <v>2486</v>
      </c>
      <c r="C786" s="1">
        <f t="shared" si="135"/>
        <v>45474</v>
      </c>
      <c r="D786" t="s">
        <v>2487</v>
      </c>
      <c r="E786">
        <v>162</v>
      </c>
      <c r="F786">
        <v>6.8</v>
      </c>
      <c r="G786" t="s">
        <v>30</v>
      </c>
      <c r="H786" t="s">
        <v>47</v>
      </c>
      <c r="I786" t="s">
        <v>32</v>
      </c>
      <c r="J786">
        <v>240</v>
      </c>
      <c r="K786" t="s">
        <v>49</v>
      </c>
      <c r="L786" t="s">
        <v>70</v>
      </c>
      <c r="M786" t="s">
        <v>35</v>
      </c>
      <c r="N786" t="s">
        <v>202</v>
      </c>
      <c r="O786" t="s">
        <v>51</v>
      </c>
      <c r="P786" t="s">
        <v>39</v>
      </c>
      <c r="Q786" t="s">
        <v>38</v>
      </c>
      <c r="R786">
        <v>0</v>
      </c>
      <c r="S786" t="s">
        <v>38</v>
      </c>
      <c r="T786">
        <v>10</v>
      </c>
      <c r="U786">
        <v>2.2999999999999998</v>
      </c>
      <c r="V786">
        <v>15.4</v>
      </c>
      <c r="W786" t="s">
        <v>39</v>
      </c>
      <c r="X786" t="s">
        <v>52</v>
      </c>
      <c r="Y786" t="s">
        <v>39</v>
      </c>
      <c r="Z786" t="s">
        <v>115</v>
      </c>
      <c r="AA786" t="s">
        <v>54</v>
      </c>
      <c r="AB786" t="s">
        <v>55</v>
      </c>
      <c r="AC786">
        <f t="shared" si="132"/>
        <v>1</v>
      </c>
      <c r="AD786" s="12">
        <f t="shared" si="136"/>
        <v>0</v>
      </c>
      <c r="AE786" s="12">
        <f t="shared" si="137"/>
        <v>0</v>
      </c>
      <c r="AF786">
        <f t="shared" si="133"/>
        <v>1</v>
      </c>
      <c r="AG786">
        <f t="shared" si="138"/>
        <v>0</v>
      </c>
      <c r="AH786">
        <f t="shared" si="139"/>
        <v>0</v>
      </c>
      <c r="AI786">
        <f t="shared" si="140"/>
        <v>0</v>
      </c>
      <c r="AJ786">
        <f t="shared" si="141"/>
        <v>1</v>
      </c>
      <c r="AK786">
        <f t="shared" si="134"/>
        <v>1</v>
      </c>
      <c r="AL786">
        <f t="shared" si="142"/>
        <v>0</v>
      </c>
    </row>
    <row r="787" spans="1:38">
      <c r="A787" t="s">
        <v>2488</v>
      </c>
      <c r="B787" t="s">
        <v>2489</v>
      </c>
      <c r="C787" s="1">
        <f t="shared" si="135"/>
        <v>45413</v>
      </c>
      <c r="D787" t="s">
        <v>2490</v>
      </c>
      <c r="E787">
        <v>147.30000000000001</v>
      </c>
      <c r="F787">
        <v>6.1</v>
      </c>
      <c r="G787" t="s">
        <v>142</v>
      </c>
      <c r="H787" t="s">
        <v>143</v>
      </c>
      <c r="I787" t="s">
        <v>48</v>
      </c>
      <c r="J787">
        <v>120</v>
      </c>
      <c r="K787" t="s">
        <v>33</v>
      </c>
      <c r="L787" t="s">
        <v>70</v>
      </c>
      <c r="M787" t="s">
        <v>35</v>
      </c>
      <c r="N787" t="s">
        <v>202</v>
      </c>
      <c r="O787" t="s">
        <v>37</v>
      </c>
      <c r="P787" t="s">
        <v>39</v>
      </c>
      <c r="Q787" t="s">
        <v>38</v>
      </c>
      <c r="R787">
        <v>0</v>
      </c>
      <c r="S787" t="s">
        <v>38</v>
      </c>
      <c r="T787">
        <v>8</v>
      </c>
      <c r="U787">
        <v>3.7</v>
      </c>
      <c r="V787">
        <v>18.100000000000001</v>
      </c>
      <c r="W787" t="s">
        <v>39</v>
      </c>
      <c r="X787" t="s">
        <v>52</v>
      </c>
      <c r="Y787" t="s">
        <v>39</v>
      </c>
      <c r="Z787" t="s">
        <v>115</v>
      </c>
      <c r="AA787" t="s">
        <v>54</v>
      </c>
      <c r="AB787" t="s">
        <v>83</v>
      </c>
      <c r="AC787">
        <f t="shared" si="132"/>
        <v>1</v>
      </c>
      <c r="AD787" s="12">
        <f t="shared" si="136"/>
        <v>0</v>
      </c>
      <c r="AE787" s="12">
        <f t="shared" si="137"/>
        <v>0</v>
      </c>
      <c r="AF787">
        <f t="shared" si="133"/>
        <v>0</v>
      </c>
      <c r="AG787">
        <f t="shared" si="138"/>
        <v>0</v>
      </c>
      <c r="AH787">
        <f t="shared" si="139"/>
        <v>1</v>
      </c>
      <c r="AI787">
        <f t="shared" si="140"/>
        <v>0</v>
      </c>
      <c r="AJ787">
        <f t="shared" si="141"/>
        <v>0</v>
      </c>
      <c r="AK787">
        <f t="shared" si="134"/>
        <v>0</v>
      </c>
      <c r="AL787">
        <f t="shared" si="142"/>
        <v>0</v>
      </c>
    </row>
    <row r="788" spans="1:38">
      <c r="A788" t="s">
        <v>2491</v>
      </c>
      <c r="B788" t="s">
        <v>2492</v>
      </c>
      <c r="C788" s="1">
        <f t="shared" si="135"/>
        <v>45413</v>
      </c>
      <c r="D788" t="s">
        <v>2493</v>
      </c>
      <c r="E788">
        <v>207.5</v>
      </c>
      <c r="F788">
        <v>8.6</v>
      </c>
      <c r="G788" t="s">
        <v>87</v>
      </c>
      <c r="H788" t="s">
        <v>309</v>
      </c>
      <c r="I788" t="s">
        <v>32</v>
      </c>
      <c r="J788">
        <v>240</v>
      </c>
      <c r="K788" t="s">
        <v>49</v>
      </c>
      <c r="L788" t="s">
        <v>70</v>
      </c>
      <c r="M788" t="s">
        <v>71</v>
      </c>
      <c r="N788" t="s">
        <v>299</v>
      </c>
      <c r="O788" t="s">
        <v>51</v>
      </c>
      <c r="P788" t="s">
        <v>38</v>
      </c>
      <c r="Q788" t="s">
        <v>39</v>
      </c>
      <c r="R788">
        <v>2</v>
      </c>
      <c r="S788" t="s">
        <v>39</v>
      </c>
      <c r="T788">
        <v>8</v>
      </c>
      <c r="U788">
        <v>0.1</v>
      </c>
      <c r="V788">
        <v>20.7</v>
      </c>
      <c r="W788" t="s">
        <v>38</v>
      </c>
      <c r="X788" t="s">
        <v>123</v>
      </c>
      <c r="Y788" t="s">
        <v>39</v>
      </c>
      <c r="Z788" t="s">
        <v>73</v>
      </c>
      <c r="AA788" t="s">
        <v>82</v>
      </c>
      <c r="AB788" t="s">
        <v>83</v>
      </c>
      <c r="AC788">
        <f t="shared" si="132"/>
        <v>0</v>
      </c>
      <c r="AD788" s="12">
        <f t="shared" si="136"/>
        <v>0</v>
      </c>
      <c r="AE788" s="12">
        <f t="shared" si="137"/>
        <v>1</v>
      </c>
      <c r="AF788">
        <f t="shared" si="133"/>
        <v>1</v>
      </c>
      <c r="AG788">
        <f t="shared" si="138"/>
        <v>0</v>
      </c>
      <c r="AH788">
        <f t="shared" si="139"/>
        <v>0</v>
      </c>
      <c r="AI788">
        <f t="shared" si="140"/>
        <v>0</v>
      </c>
      <c r="AJ788">
        <f t="shared" si="141"/>
        <v>1</v>
      </c>
      <c r="AK788">
        <f t="shared" si="134"/>
        <v>0</v>
      </c>
      <c r="AL788">
        <f t="shared" si="142"/>
        <v>0</v>
      </c>
    </row>
    <row r="789" spans="1:38">
      <c r="A789" t="s">
        <v>2494</v>
      </c>
      <c r="B789" t="s">
        <v>2495</v>
      </c>
      <c r="C789" s="1">
        <f t="shared" si="135"/>
        <v>45413</v>
      </c>
      <c r="D789" t="s">
        <v>2496</v>
      </c>
      <c r="E789">
        <v>280</v>
      </c>
      <c r="F789">
        <v>11.7</v>
      </c>
      <c r="G789" t="s">
        <v>93</v>
      </c>
      <c r="H789" t="s">
        <v>291</v>
      </c>
      <c r="I789" t="s">
        <v>79</v>
      </c>
      <c r="J789">
        <v>360</v>
      </c>
      <c r="K789" t="s">
        <v>49</v>
      </c>
      <c r="L789" t="s">
        <v>70</v>
      </c>
      <c r="M789" t="s">
        <v>71</v>
      </c>
      <c r="N789" t="s">
        <v>202</v>
      </c>
      <c r="O789" t="s">
        <v>7232</v>
      </c>
      <c r="P789" t="s">
        <v>38</v>
      </c>
      <c r="Q789" t="s">
        <v>39</v>
      </c>
      <c r="R789">
        <v>1</v>
      </c>
      <c r="S789" t="s">
        <v>38</v>
      </c>
      <c r="T789">
        <v>7</v>
      </c>
      <c r="U789">
        <v>1.6</v>
      </c>
      <c r="V789">
        <v>17.5</v>
      </c>
      <c r="W789" t="s">
        <v>38</v>
      </c>
      <c r="X789" t="s">
        <v>63</v>
      </c>
      <c r="Y789" t="s">
        <v>39</v>
      </c>
      <c r="Z789" t="s">
        <v>73</v>
      </c>
      <c r="AA789" t="s">
        <v>109</v>
      </c>
      <c r="AB789" t="s">
        <v>83</v>
      </c>
      <c r="AC789">
        <f t="shared" si="132"/>
        <v>0</v>
      </c>
      <c r="AD789" s="12">
        <f t="shared" si="136"/>
        <v>1</v>
      </c>
      <c r="AE789" s="12">
        <f t="shared" si="137"/>
        <v>0</v>
      </c>
      <c r="AF789">
        <f t="shared" si="133"/>
        <v>0</v>
      </c>
      <c r="AG789">
        <f t="shared" si="138"/>
        <v>1</v>
      </c>
      <c r="AH789">
        <f t="shared" si="139"/>
        <v>0</v>
      </c>
      <c r="AI789">
        <f t="shared" si="140"/>
        <v>0</v>
      </c>
      <c r="AJ789">
        <f t="shared" si="141"/>
        <v>0</v>
      </c>
      <c r="AK789">
        <f t="shared" si="134"/>
        <v>0</v>
      </c>
      <c r="AL789">
        <f t="shared" si="142"/>
        <v>0</v>
      </c>
    </row>
    <row r="790" spans="1:38">
      <c r="A790" t="s">
        <v>2497</v>
      </c>
      <c r="B790" t="s">
        <v>2498</v>
      </c>
      <c r="C790" s="1">
        <f t="shared" si="135"/>
        <v>45474</v>
      </c>
      <c r="D790" t="s">
        <v>2499</v>
      </c>
      <c r="E790">
        <v>298.5</v>
      </c>
      <c r="F790">
        <v>12.4</v>
      </c>
      <c r="G790" t="s">
        <v>77</v>
      </c>
      <c r="H790" t="s">
        <v>267</v>
      </c>
      <c r="I790" t="s">
        <v>79</v>
      </c>
      <c r="J790">
        <v>360</v>
      </c>
      <c r="K790" t="s">
        <v>49</v>
      </c>
      <c r="L790" t="s">
        <v>96</v>
      </c>
      <c r="M790" t="s">
        <v>35</v>
      </c>
      <c r="N790" t="s">
        <v>72</v>
      </c>
      <c r="O790" t="s">
        <v>37</v>
      </c>
      <c r="P790" t="s">
        <v>39</v>
      </c>
      <c r="Q790" t="s">
        <v>38</v>
      </c>
      <c r="R790">
        <v>0</v>
      </c>
      <c r="S790" t="s">
        <v>38</v>
      </c>
      <c r="T790">
        <v>10</v>
      </c>
      <c r="U790">
        <v>0.6</v>
      </c>
      <c r="V790">
        <v>18.600000000000001</v>
      </c>
      <c r="W790" t="s">
        <v>39</v>
      </c>
      <c r="X790" t="s">
        <v>63</v>
      </c>
      <c r="Y790" t="s">
        <v>38</v>
      </c>
      <c r="Z790" t="s">
        <v>115</v>
      </c>
      <c r="AA790" t="s">
        <v>54</v>
      </c>
      <c r="AB790" t="s">
        <v>55</v>
      </c>
      <c r="AC790">
        <f t="shared" si="132"/>
        <v>0</v>
      </c>
      <c r="AD790" s="12">
        <f t="shared" si="136"/>
        <v>1</v>
      </c>
      <c r="AE790" s="12">
        <f t="shared" si="137"/>
        <v>0</v>
      </c>
      <c r="AF790">
        <f t="shared" si="133"/>
        <v>0</v>
      </c>
      <c r="AG790">
        <f t="shared" si="138"/>
        <v>0</v>
      </c>
      <c r="AH790">
        <f t="shared" si="139"/>
        <v>0</v>
      </c>
      <c r="AI790">
        <f t="shared" si="140"/>
        <v>0</v>
      </c>
      <c r="AJ790">
        <f t="shared" si="141"/>
        <v>0</v>
      </c>
      <c r="AK790">
        <f t="shared" si="134"/>
        <v>0</v>
      </c>
      <c r="AL790">
        <f t="shared" si="142"/>
        <v>1</v>
      </c>
    </row>
    <row r="791" spans="1:38">
      <c r="A791" t="s">
        <v>2500</v>
      </c>
      <c r="B791" t="s">
        <v>2501</v>
      </c>
      <c r="C791" s="1">
        <f t="shared" si="135"/>
        <v>45444</v>
      </c>
      <c r="D791" t="s">
        <v>2502</v>
      </c>
      <c r="E791">
        <v>147.6</v>
      </c>
      <c r="F791">
        <v>6.1</v>
      </c>
      <c r="G791" t="s">
        <v>142</v>
      </c>
      <c r="H791" t="s">
        <v>143</v>
      </c>
      <c r="I791" t="s">
        <v>32</v>
      </c>
      <c r="J791">
        <v>240</v>
      </c>
      <c r="K791" t="s">
        <v>49</v>
      </c>
      <c r="L791" t="s">
        <v>133</v>
      </c>
      <c r="M791" t="s">
        <v>35</v>
      </c>
      <c r="N791" t="s">
        <v>220</v>
      </c>
      <c r="O791" t="s">
        <v>51</v>
      </c>
      <c r="P791" t="s">
        <v>39</v>
      </c>
      <c r="Q791" t="s">
        <v>38</v>
      </c>
      <c r="R791">
        <v>0</v>
      </c>
      <c r="S791" t="s">
        <v>38</v>
      </c>
      <c r="T791">
        <v>10</v>
      </c>
      <c r="U791">
        <v>0.9</v>
      </c>
      <c r="V791">
        <v>10.1</v>
      </c>
      <c r="W791" t="s">
        <v>39</v>
      </c>
      <c r="X791" t="s">
        <v>63</v>
      </c>
      <c r="Y791" t="s">
        <v>38</v>
      </c>
      <c r="Z791" t="s">
        <v>41</v>
      </c>
      <c r="AA791" t="s">
        <v>103</v>
      </c>
      <c r="AB791" t="s">
        <v>83</v>
      </c>
      <c r="AC791">
        <f t="shared" si="132"/>
        <v>0</v>
      </c>
      <c r="AD791" s="12">
        <f t="shared" si="136"/>
        <v>1</v>
      </c>
      <c r="AE791" s="12">
        <f t="shared" si="137"/>
        <v>0</v>
      </c>
      <c r="AF791">
        <f t="shared" si="133"/>
        <v>1</v>
      </c>
      <c r="AG791">
        <f t="shared" si="138"/>
        <v>0</v>
      </c>
      <c r="AH791">
        <f t="shared" si="139"/>
        <v>0</v>
      </c>
      <c r="AI791">
        <f t="shared" si="140"/>
        <v>0</v>
      </c>
      <c r="AJ791">
        <f t="shared" si="141"/>
        <v>1</v>
      </c>
      <c r="AK791">
        <f t="shared" si="134"/>
        <v>0</v>
      </c>
      <c r="AL791">
        <f t="shared" si="142"/>
        <v>1</v>
      </c>
    </row>
    <row r="792" spans="1:38">
      <c r="A792" t="s">
        <v>2503</v>
      </c>
      <c r="B792" t="s">
        <v>2504</v>
      </c>
      <c r="C792" s="1">
        <f t="shared" si="135"/>
        <v>45413</v>
      </c>
      <c r="D792" t="s">
        <v>2505</v>
      </c>
      <c r="E792">
        <v>223.2</v>
      </c>
      <c r="F792">
        <v>9.3000000000000007</v>
      </c>
      <c r="G792" t="s">
        <v>30</v>
      </c>
      <c r="H792" t="s">
        <v>31</v>
      </c>
      <c r="I792" t="s">
        <v>32</v>
      </c>
      <c r="J792">
        <v>240</v>
      </c>
      <c r="K792" t="s">
        <v>49</v>
      </c>
      <c r="L792" t="s">
        <v>70</v>
      </c>
      <c r="M792" t="s">
        <v>35</v>
      </c>
      <c r="N792" t="s">
        <v>114</v>
      </c>
      <c r="O792" t="s">
        <v>7232</v>
      </c>
      <c r="P792" t="s">
        <v>38</v>
      </c>
      <c r="Q792" t="s">
        <v>38</v>
      </c>
      <c r="R792">
        <v>1</v>
      </c>
      <c r="S792" t="s">
        <v>38</v>
      </c>
      <c r="T792">
        <v>8</v>
      </c>
      <c r="U792">
        <v>2.4</v>
      </c>
      <c r="V792">
        <v>13</v>
      </c>
      <c r="W792" t="s">
        <v>39</v>
      </c>
      <c r="X792" t="s">
        <v>52</v>
      </c>
      <c r="Y792" t="s">
        <v>39</v>
      </c>
      <c r="Z792" t="s">
        <v>115</v>
      </c>
      <c r="AA792" t="s">
        <v>42</v>
      </c>
      <c r="AB792" t="s">
        <v>55</v>
      </c>
      <c r="AC792">
        <f t="shared" si="132"/>
        <v>1</v>
      </c>
      <c r="AD792" s="12">
        <f t="shared" si="136"/>
        <v>0</v>
      </c>
      <c r="AE792" s="12">
        <f t="shared" si="137"/>
        <v>0</v>
      </c>
      <c r="AF792">
        <f t="shared" si="133"/>
        <v>0</v>
      </c>
      <c r="AG792">
        <f t="shared" si="138"/>
        <v>1</v>
      </c>
      <c r="AH792">
        <f t="shared" si="139"/>
        <v>0</v>
      </c>
      <c r="AI792">
        <f t="shared" si="140"/>
        <v>0</v>
      </c>
      <c r="AJ792">
        <f t="shared" si="141"/>
        <v>1</v>
      </c>
      <c r="AK792">
        <f t="shared" si="134"/>
        <v>1</v>
      </c>
      <c r="AL792">
        <f t="shared" si="142"/>
        <v>0</v>
      </c>
    </row>
    <row r="793" spans="1:38">
      <c r="A793" t="s">
        <v>2506</v>
      </c>
      <c r="B793" t="s">
        <v>2507</v>
      </c>
      <c r="C793" s="1">
        <f t="shared" si="135"/>
        <v>45566</v>
      </c>
      <c r="D793" t="s">
        <v>2508</v>
      </c>
      <c r="E793">
        <v>279</v>
      </c>
      <c r="F793">
        <v>11.6</v>
      </c>
      <c r="G793" t="s">
        <v>142</v>
      </c>
      <c r="H793" t="s">
        <v>240</v>
      </c>
      <c r="I793" t="s">
        <v>79</v>
      </c>
      <c r="J793">
        <v>360</v>
      </c>
      <c r="K793" t="s">
        <v>49</v>
      </c>
      <c r="L793" t="s">
        <v>113</v>
      </c>
      <c r="M793" t="s">
        <v>35</v>
      </c>
      <c r="N793" t="s">
        <v>220</v>
      </c>
      <c r="O793" t="s">
        <v>37</v>
      </c>
      <c r="P793" t="s">
        <v>38</v>
      </c>
      <c r="Q793" t="s">
        <v>38</v>
      </c>
      <c r="R793">
        <v>1</v>
      </c>
      <c r="S793" t="s">
        <v>38</v>
      </c>
      <c r="T793">
        <v>8</v>
      </c>
      <c r="U793">
        <v>0.4</v>
      </c>
      <c r="V793">
        <v>20</v>
      </c>
      <c r="W793" t="s">
        <v>38</v>
      </c>
      <c r="X793" t="s">
        <v>63</v>
      </c>
      <c r="Y793" t="s">
        <v>39</v>
      </c>
      <c r="Z793" t="s">
        <v>81</v>
      </c>
      <c r="AA793" t="s">
        <v>109</v>
      </c>
      <c r="AB793" t="s">
        <v>55</v>
      </c>
      <c r="AC793">
        <f t="shared" si="132"/>
        <v>0</v>
      </c>
      <c r="AD793" s="12">
        <f t="shared" si="136"/>
        <v>1</v>
      </c>
      <c r="AE793" s="12">
        <f t="shared" si="137"/>
        <v>0</v>
      </c>
      <c r="AF793">
        <f t="shared" si="133"/>
        <v>0</v>
      </c>
      <c r="AG793">
        <f t="shared" si="138"/>
        <v>0</v>
      </c>
      <c r="AH793">
        <f t="shared" si="139"/>
        <v>0</v>
      </c>
      <c r="AI793">
        <f t="shared" si="140"/>
        <v>0</v>
      </c>
      <c r="AJ793">
        <f t="shared" si="141"/>
        <v>0</v>
      </c>
      <c r="AK793">
        <f t="shared" si="134"/>
        <v>0</v>
      </c>
      <c r="AL793">
        <f t="shared" si="142"/>
        <v>0</v>
      </c>
    </row>
    <row r="794" spans="1:38">
      <c r="A794" t="s">
        <v>2509</v>
      </c>
      <c r="B794" t="s">
        <v>2510</v>
      </c>
      <c r="C794" s="1">
        <f t="shared" si="135"/>
        <v>45292</v>
      </c>
      <c r="D794" t="s">
        <v>2511</v>
      </c>
      <c r="E794">
        <v>182.4</v>
      </c>
      <c r="F794">
        <v>7.6</v>
      </c>
      <c r="G794" t="s">
        <v>142</v>
      </c>
      <c r="H794" t="s">
        <v>260</v>
      </c>
      <c r="I794" t="s">
        <v>32</v>
      </c>
      <c r="J794">
        <v>240</v>
      </c>
      <c r="K794" t="s">
        <v>49</v>
      </c>
      <c r="L794" t="s">
        <v>96</v>
      </c>
      <c r="M794" t="s">
        <v>35</v>
      </c>
      <c r="N794" t="s">
        <v>277</v>
      </c>
      <c r="O794" t="s">
        <v>51</v>
      </c>
      <c r="P794" t="s">
        <v>38</v>
      </c>
      <c r="Q794" t="s">
        <v>38</v>
      </c>
      <c r="R794">
        <v>1</v>
      </c>
      <c r="S794" t="s">
        <v>38</v>
      </c>
      <c r="T794">
        <v>9</v>
      </c>
      <c r="U794">
        <v>4.5999999999999996</v>
      </c>
      <c r="V794">
        <v>12.9</v>
      </c>
      <c r="W794" t="s">
        <v>39</v>
      </c>
      <c r="X794" t="s">
        <v>63</v>
      </c>
      <c r="Y794" t="s">
        <v>39</v>
      </c>
      <c r="Z794" t="s">
        <v>53</v>
      </c>
      <c r="AA794" t="s">
        <v>109</v>
      </c>
      <c r="AB794" t="s">
        <v>83</v>
      </c>
      <c r="AC794">
        <f t="shared" si="132"/>
        <v>0</v>
      </c>
      <c r="AD794" s="12">
        <f t="shared" si="136"/>
        <v>1</v>
      </c>
      <c r="AE794" s="12">
        <f t="shared" si="137"/>
        <v>0</v>
      </c>
      <c r="AF794">
        <f t="shared" si="133"/>
        <v>1</v>
      </c>
      <c r="AG794">
        <f t="shared" si="138"/>
        <v>0</v>
      </c>
      <c r="AH794">
        <f t="shared" si="139"/>
        <v>0</v>
      </c>
      <c r="AI794">
        <f t="shared" si="140"/>
        <v>0</v>
      </c>
      <c r="AJ794">
        <f t="shared" si="141"/>
        <v>1</v>
      </c>
      <c r="AK794">
        <f t="shared" si="134"/>
        <v>0</v>
      </c>
      <c r="AL794">
        <f t="shared" si="142"/>
        <v>0</v>
      </c>
    </row>
    <row r="795" spans="1:38">
      <c r="A795" t="s">
        <v>2512</v>
      </c>
      <c r="B795" t="s">
        <v>2513</v>
      </c>
      <c r="C795" s="1">
        <f t="shared" si="135"/>
        <v>45383</v>
      </c>
      <c r="D795" t="s">
        <v>2514</v>
      </c>
      <c r="E795">
        <v>293.3</v>
      </c>
      <c r="F795">
        <v>12.2</v>
      </c>
      <c r="G795" t="s">
        <v>30</v>
      </c>
      <c r="H795" t="s">
        <v>47</v>
      </c>
      <c r="I795" t="s">
        <v>32</v>
      </c>
      <c r="J795">
        <v>240</v>
      </c>
      <c r="K795" t="s">
        <v>33</v>
      </c>
      <c r="L795" t="s">
        <v>34</v>
      </c>
      <c r="M795" t="s">
        <v>35</v>
      </c>
      <c r="N795" t="s">
        <v>50</v>
      </c>
      <c r="O795" t="s">
        <v>7232</v>
      </c>
      <c r="P795" t="s">
        <v>39</v>
      </c>
      <c r="Q795" t="s">
        <v>38</v>
      </c>
      <c r="R795">
        <v>0</v>
      </c>
      <c r="S795" t="s">
        <v>38</v>
      </c>
      <c r="T795">
        <v>10</v>
      </c>
      <c r="U795">
        <v>2.7</v>
      </c>
      <c r="V795">
        <v>14.1</v>
      </c>
      <c r="W795" t="s">
        <v>38</v>
      </c>
      <c r="X795" t="s">
        <v>52</v>
      </c>
      <c r="Y795" t="s">
        <v>38</v>
      </c>
      <c r="Z795" t="s">
        <v>73</v>
      </c>
      <c r="AA795" t="s">
        <v>54</v>
      </c>
      <c r="AB795" t="s">
        <v>55</v>
      </c>
      <c r="AC795">
        <f t="shared" si="132"/>
        <v>1</v>
      </c>
      <c r="AD795" s="12">
        <f t="shared" si="136"/>
        <v>0</v>
      </c>
      <c r="AE795" s="12">
        <f t="shared" si="137"/>
        <v>0</v>
      </c>
      <c r="AF795">
        <f t="shared" si="133"/>
        <v>0</v>
      </c>
      <c r="AG795">
        <f t="shared" si="138"/>
        <v>1</v>
      </c>
      <c r="AH795">
        <f t="shared" si="139"/>
        <v>0</v>
      </c>
      <c r="AI795">
        <f t="shared" si="140"/>
        <v>0</v>
      </c>
      <c r="AJ795">
        <f t="shared" si="141"/>
        <v>1</v>
      </c>
      <c r="AK795">
        <f t="shared" si="134"/>
        <v>1</v>
      </c>
      <c r="AL795">
        <f t="shared" si="142"/>
        <v>1</v>
      </c>
    </row>
    <row r="796" spans="1:38">
      <c r="A796" t="s">
        <v>2515</v>
      </c>
      <c r="B796" t="s">
        <v>2516</v>
      </c>
      <c r="C796" s="1">
        <f t="shared" si="135"/>
        <v>45474</v>
      </c>
      <c r="D796" t="s">
        <v>2517</v>
      </c>
      <c r="E796">
        <v>87.9</v>
      </c>
      <c r="F796">
        <v>3.7</v>
      </c>
      <c r="G796" t="s">
        <v>77</v>
      </c>
      <c r="H796" t="s">
        <v>78</v>
      </c>
      <c r="I796" t="s">
        <v>48</v>
      </c>
      <c r="J796">
        <v>120</v>
      </c>
      <c r="K796" t="s">
        <v>49</v>
      </c>
      <c r="L796" t="s">
        <v>96</v>
      </c>
      <c r="M796" t="s">
        <v>35</v>
      </c>
      <c r="N796" t="s">
        <v>119</v>
      </c>
      <c r="O796" t="s">
        <v>51</v>
      </c>
      <c r="P796" t="s">
        <v>39</v>
      </c>
      <c r="Q796" t="s">
        <v>38</v>
      </c>
      <c r="R796">
        <v>0</v>
      </c>
      <c r="S796" t="s">
        <v>38</v>
      </c>
      <c r="T796">
        <v>7</v>
      </c>
      <c r="U796">
        <v>3.6</v>
      </c>
      <c r="V796">
        <v>16.600000000000001</v>
      </c>
      <c r="W796" t="s">
        <v>38</v>
      </c>
      <c r="X796" t="s">
        <v>52</v>
      </c>
      <c r="Y796" t="s">
        <v>39</v>
      </c>
      <c r="Z796" t="s">
        <v>81</v>
      </c>
      <c r="AA796" t="s">
        <v>54</v>
      </c>
      <c r="AB796" t="s">
        <v>43</v>
      </c>
      <c r="AC796">
        <f t="shared" si="132"/>
        <v>1</v>
      </c>
      <c r="AD796" s="12">
        <f t="shared" si="136"/>
        <v>0</v>
      </c>
      <c r="AE796" s="12">
        <f t="shared" si="137"/>
        <v>0</v>
      </c>
      <c r="AF796">
        <f t="shared" si="133"/>
        <v>1</v>
      </c>
      <c r="AG796">
        <f t="shared" si="138"/>
        <v>0</v>
      </c>
      <c r="AH796">
        <f t="shared" si="139"/>
        <v>1</v>
      </c>
      <c r="AI796">
        <f t="shared" si="140"/>
        <v>0</v>
      </c>
      <c r="AJ796">
        <f t="shared" si="141"/>
        <v>0</v>
      </c>
      <c r="AK796">
        <f t="shared" si="134"/>
        <v>0</v>
      </c>
      <c r="AL796">
        <f t="shared" si="142"/>
        <v>0</v>
      </c>
    </row>
    <row r="797" spans="1:38">
      <c r="A797" t="s">
        <v>2518</v>
      </c>
      <c r="B797" t="s">
        <v>2519</v>
      </c>
      <c r="C797" s="1">
        <f t="shared" si="135"/>
        <v>45413</v>
      </c>
      <c r="D797" t="s">
        <v>2520</v>
      </c>
      <c r="E797">
        <v>207.9</v>
      </c>
      <c r="F797">
        <v>8.6999999999999993</v>
      </c>
      <c r="G797" t="s">
        <v>101</v>
      </c>
      <c r="H797" t="s">
        <v>368</v>
      </c>
      <c r="I797" t="s">
        <v>32</v>
      </c>
      <c r="J797">
        <v>240</v>
      </c>
      <c r="K797" t="s">
        <v>49</v>
      </c>
      <c r="L797" t="s">
        <v>34</v>
      </c>
      <c r="M797" t="s">
        <v>35</v>
      </c>
      <c r="N797" t="s">
        <v>107</v>
      </c>
      <c r="O797" t="s">
        <v>7232</v>
      </c>
      <c r="P797" t="s">
        <v>38</v>
      </c>
      <c r="Q797" t="s">
        <v>38</v>
      </c>
      <c r="R797">
        <v>1</v>
      </c>
      <c r="S797" t="s">
        <v>38</v>
      </c>
      <c r="T797">
        <v>10</v>
      </c>
      <c r="U797">
        <v>2.6</v>
      </c>
      <c r="V797">
        <v>12.9</v>
      </c>
      <c r="W797" t="s">
        <v>38</v>
      </c>
      <c r="X797" t="s">
        <v>63</v>
      </c>
      <c r="Y797" t="s">
        <v>39</v>
      </c>
      <c r="Z797" t="s">
        <v>53</v>
      </c>
      <c r="AA797" t="s">
        <v>109</v>
      </c>
      <c r="AB797" t="s">
        <v>55</v>
      </c>
      <c r="AC797">
        <f t="shared" si="132"/>
        <v>0</v>
      </c>
      <c r="AD797" s="12">
        <f t="shared" si="136"/>
        <v>1</v>
      </c>
      <c r="AE797" s="12">
        <f t="shared" si="137"/>
        <v>0</v>
      </c>
      <c r="AF797">
        <f t="shared" si="133"/>
        <v>0</v>
      </c>
      <c r="AG797">
        <f t="shared" si="138"/>
        <v>1</v>
      </c>
      <c r="AH797">
        <f t="shared" si="139"/>
        <v>0</v>
      </c>
      <c r="AI797">
        <f t="shared" si="140"/>
        <v>0</v>
      </c>
      <c r="AJ797">
        <f t="shared" si="141"/>
        <v>1</v>
      </c>
      <c r="AK797">
        <f t="shared" si="134"/>
        <v>0</v>
      </c>
      <c r="AL797">
        <f t="shared" si="142"/>
        <v>0</v>
      </c>
    </row>
    <row r="798" spans="1:38">
      <c r="A798" t="s">
        <v>2521</v>
      </c>
      <c r="B798" t="s">
        <v>2522</v>
      </c>
      <c r="C798" s="1">
        <f t="shared" si="135"/>
        <v>45597</v>
      </c>
      <c r="D798" t="s">
        <v>2523</v>
      </c>
      <c r="E798">
        <v>1039.2</v>
      </c>
      <c r="F798">
        <v>43.3</v>
      </c>
      <c r="G798" t="s">
        <v>77</v>
      </c>
      <c r="H798" t="s">
        <v>78</v>
      </c>
      <c r="I798" t="s">
        <v>79</v>
      </c>
      <c r="J798">
        <v>360</v>
      </c>
      <c r="K798" t="s">
        <v>33</v>
      </c>
      <c r="L798" t="s">
        <v>34</v>
      </c>
      <c r="M798" t="s">
        <v>35</v>
      </c>
      <c r="N798" t="s">
        <v>89</v>
      </c>
      <c r="O798" t="s">
        <v>7232</v>
      </c>
      <c r="P798" t="s">
        <v>39</v>
      </c>
      <c r="Q798" t="s">
        <v>38</v>
      </c>
      <c r="R798">
        <v>0</v>
      </c>
      <c r="S798" t="s">
        <v>38</v>
      </c>
      <c r="T798">
        <v>7</v>
      </c>
      <c r="U798">
        <v>2.2999999999999998</v>
      </c>
      <c r="V798">
        <v>18.7</v>
      </c>
      <c r="W798" t="s">
        <v>39</v>
      </c>
      <c r="X798" t="s">
        <v>52</v>
      </c>
      <c r="Y798" t="s">
        <v>38</v>
      </c>
      <c r="Z798" t="s">
        <v>108</v>
      </c>
      <c r="AA798" t="s">
        <v>109</v>
      </c>
      <c r="AB798" t="s">
        <v>55</v>
      </c>
      <c r="AC798">
        <f t="shared" si="132"/>
        <v>1</v>
      </c>
      <c r="AD798" s="12">
        <f t="shared" si="136"/>
        <v>0</v>
      </c>
      <c r="AE798" s="12">
        <f t="shared" si="137"/>
        <v>0</v>
      </c>
      <c r="AF798">
        <f t="shared" si="133"/>
        <v>0</v>
      </c>
      <c r="AG798">
        <f t="shared" si="138"/>
        <v>1</v>
      </c>
      <c r="AH798">
        <f t="shared" si="139"/>
        <v>0</v>
      </c>
      <c r="AI798">
        <f t="shared" si="140"/>
        <v>0</v>
      </c>
      <c r="AJ798">
        <f t="shared" si="141"/>
        <v>0</v>
      </c>
      <c r="AK798">
        <f t="shared" si="134"/>
        <v>0</v>
      </c>
      <c r="AL798">
        <f t="shared" si="142"/>
        <v>1</v>
      </c>
    </row>
    <row r="799" spans="1:38">
      <c r="A799" t="s">
        <v>2524</v>
      </c>
      <c r="B799" t="s">
        <v>2525</v>
      </c>
      <c r="C799" s="1">
        <f t="shared" si="135"/>
        <v>45536</v>
      </c>
      <c r="D799" t="s">
        <v>2526</v>
      </c>
      <c r="E799">
        <v>363</v>
      </c>
      <c r="F799">
        <v>15.1</v>
      </c>
      <c r="G799" t="s">
        <v>93</v>
      </c>
      <c r="H799" t="s">
        <v>449</v>
      </c>
      <c r="I799" t="s">
        <v>79</v>
      </c>
      <c r="J799">
        <v>360</v>
      </c>
      <c r="K799" t="s">
        <v>33</v>
      </c>
      <c r="L799" t="s">
        <v>70</v>
      </c>
      <c r="M799" t="s">
        <v>71</v>
      </c>
      <c r="N799" t="s">
        <v>114</v>
      </c>
      <c r="O799" t="s">
        <v>7232</v>
      </c>
      <c r="P799" t="s">
        <v>38</v>
      </c>
      <c r="Q799" t="s">
        <v>39</v>
      </c>
      <c r="R799">
        <v>4</v>
      </c>
      <c r="S799" t="s">
        <v>38</v>
      </c>
      <c r="T799">
        <v>4</v>
      </c>
      <c r="U799">
        <v>2.1</v>
      </c>
      <c r="V799">
        <v>15.1</v>
      </c>
      <c r="W799" t="s">
        <v>38</v>
      </c>
      <c r="X799" t="s">
        <v>123</v>
      </c>
      <c r="Y799" t="s">
        <v>39</v>
      </c>
      <c r="Z799" t="s">
        <v>41</v>
      </c>
      <c r="AA799" t="s">
        <v>103</v>
      </c>
      <c r="AB799" t="s">
        <v>43</v>
      </c>
      <c r="AC799">
        <f t="shared" si="132"/>
        <v>0</v>
      </c>
      <c r="AD799" s="12">
        <f t="shared" si="136"/>
        <v>0</v>
      </c>
      <c r="AE799" s="12">
        <f t="shared" si="137"/>
        <v>1</v>
      </c>
      <c r="AF799">
        <f t="shared" si="133"/>
        <v>0</v>
      </c>
      <c r="AG799">
        <f t="shared" si="138"/>
        <v>1</v>
      </c>
      <c r="AH799">
        <f t="shared" si="139"/>
        <v>0</v>
      </c>
      <c r="AI799">
        <f t="shared" si="140"/>
        <v>0</v>
      </c>
      <c r="AJ799">
        <f t="shared" si="141"/>
        <v>0</v>
      </c>
      <c r="AK799">
        <f t="shared" si="134"/>
        <v>0</v>
      </c>
      <c r="AL799">
        <f t="shared" si="142"/>
        <v>0</v>
      </c>
    </row>
    <row r="800" spans="1:38">
      <c r="A800" t="s">
        <v>2527</v>
      </c>
      <c r="B800" t="s">
        <v>2528</v>
      </c>
      <c r="C800" s="1">
        <f t="shared" si="135"/>
        <v>45444</v>
      </c>
      <c r="D800" t="s">
        <v>2529</v>
      </c>
      <c r="E800">
        <v>197.2</v>
      </c>
      <c r="F800">
        <v>8.1999999999999993</v>
      </c>
      <c r="G800" t="s">
        <v>68</v>
      </c>
      <c r="H800" t="s">
        <v>456</v>
      </c>
      <c r="I800" t="s">
        <v>32</v>
      </c>
      <c r="J800">
        <v>240</v>
      </c>
      <c r="K800" t="s">
        <v>49</v>
      </c>
      <c r="L800" t="s">
        <v>96</v>
      </c>
      <c r="M800" t="s">
        <v>35</v>
      </c>
      <c r="N800" t="s">
        <v>188</v>
      </c>
      <c r="O800" t="s">
        <v>37</v>
      </c>
      <c r="P800" t="s">
        <v>38</v>
      </c>
      <c r="Q800" t="s">
        <v>38</v>
      </c>
      <c r="R800">
        <v>1</v>
      </c>
      <c r="S800" t="s">
        <v>38</v>
      </c>
      <c r="T800">
        <v>6</v>
      </c>
      <c r="U800">
        <v>2.7</v>
      </c>
      <c r="V800">
        <v>32.1</v>
      </c>
      <c r="W800" t="s">
        <v>39</v>
      </c>
      <c r="X800" t="s">
        <v>52</v>
      </c>
      <c r="Y800" t="s">
        <v>38</v>
      </c>
      <c r="Z800" t="s">
        <v>53</v>
      </c>
      <c r="AA800" t="s">
        <v>109</v>
      </c>
      <c r="AB800" t="s">
        <v>83</v>
      </c>
      <c r="AC800">
        <f t="shared" si="132"/>
        <v>1</v>
      </c>
      <c r="AD800" s="12">
        <f t="shared" si="136"/>
        <v>0</v>
      </c>
      <c r="AE800" s="12">
        <f t="shared" si="137"/>
        <v>0</v>
      </c>
      <c r="AF800">
        <f t="shared" si="133"/>
        <v>0</v>
      </c>
      <c r="AG800">
        <f t="shared" si="138"/>
        <v>0</v>
      </c>
      <c r="AH800">
        <f t="shared" si="139"/>
        <v>0</v>
      </c>
      <c r="AI800">
        <f t="shared" si="140"/>
        <v>0</v>
      </c>
      <c r="AJ800">
        <f t="shared" si="141"/>
        <v>1</v>
      </c>
      <c r="AK800">
        <f t="shared" si="134"/>
        <v>0</v>
      </c>
      <c r="AL800">
        <f t="shared" si="142"/>
        <v>1</v>
      </c>
    </row>
    <row r="801" spans="1:38">
      <c r="A801" t="s">
        <v>2530</v>
      </c>
      <c r="B801" t="s">
        <v>2531</v>
      </c>
      <c r="C801" s="1">
        <f t="shared" si="135"/>
        <v>45566</v>
      </c>
      <c r="D801" t="s">
        <v>2532</v>
      </c>
      <c r="E801">
        <v>62.5</v>
      </c>
      <c r="F801">
        <v>2.6</v>
      </c>
      <c r="G801" t="s">
        <v>77</v>
      </c>
      <c r="H801" t="s">
        <v>267</v>
      </c>
      <c r="I801" t="s">
        <v>95</v>
      </c>
      <c r="J801">
        <v>48</v>
      </c>
      <c r="K801" t="s">
        <v>33</v>
      </c>
      <c r="L801" t="s">
        <v>70</v>
      </c>
      <c r="M801" t="s">
        <v>35</v>
      </c>
      <c r="N801" t="s">
        <v>80</v>
      </c>
      <c r="O801" t="s">
        <v>37</v>
      </c>
      <c r="P801" t="s">
        <v>39</v>
      </c>
      <c r="Q801" t="s">
        <v>38</v>
      </c>
      <c r="R801">
        <v>0</v>
      </c>
      <c r="S801" t="s">
        <v>38</v>
      </c>
      <c r="T801">
        <v>4</v>
      </c>
      <c r="U801">
        <v>0.5</v>
      </c>
      <c r="V801">
        <v>26</v>
      </c>
      <c r="W801" t="s">
        <v>38</v>
      </c>
      <c r="X801" t="s">
        <v>123</v>
      </c>
      <c r="Y801" t="s">
        <v>38</v>
      </c>
      <c r="Z801" t="s">
        <v>41</v>
      </c>
      <c r="AA801" t="s">
        <v>54</v>
      </c>
      <c r="AB801" t="s">
        <v>83</v>
      </c>
      <c r="AC801">
        <f t="shared" si="132"/>
        <v>0</v>
      </c>
      <c r="AD801" s="12">
        <f t="shared" si="136"/>
        <v>0</v>
      </c>
      <c r="AE801" s="12">
        <f t="shared" si="137"/>
        <v>1</v>
      </c>
      <c r="AF801">
        <f t="shared" si="133"/>
        <v>0</v>
      </c>
      <c r="AG801">
        <f t="shared" si="138"/>
        <v>0</v>
      </c>
      <c r="AH801">
        <f t="shared" si="139"/>
        <v>0</v>
      </c>
      <c r="AI801">
        <f t="shared" si="140"/>
        <v>1</v>
      </c>
      <c r="AJ801">
        <f t="shared" si="141"/>
        <v>0</v>
      </c>
      <c r="AK801">
        <f t="shared" si="134"/>
        <v>0</v>
      </c>
      <c r="AL801">
        <f t="shared" si="142"/>
        <v>1</v>
      </c>
    </row>
    <row r="802" spans="1:38">
      <c r="A802" t="s">
        <v>2533</v>
      </c>
      <c r="B802" t="s">
        <v>2534</v>
      </c>
      <c r="C802" s="1">
        <f t="shared" si="135"/>
        <v>45474</v>
      </c>
      <c r="D802" t="s">
        <v>2535</v>
      </c>
      <c r="E802">
        <v>91.6</v>
      </c>
      <c r="F802">
        <v>3.8</v>
      </c>
      <c r="G802" t="s">
        <v>101</v>
      </c>
      <c r="H802" t="s">
        <v>442</v>
      </c>
      <c r="I802" t="s">
        <v>48</v>
      </c>
      <c r="J802">
        <v>120</v>
      </c>
      <c r="K802" t="s">
        <v>49</v>
      </c>
      <c r="L802" t="s">
        <v>96</v>
      </c>
      <c r="M802" t="s">
        <v>35</v>
      </c>
      <c r="N802" t="s">
        <v>414</v>
      </c>
      <c r="O802" t="s">
        <v>7232</v>
      </c>
      <c r="P802" t="s">
        <v>38</v>
      </c>
      <c r="Q802" t="s">
        <v>38</v>
      </c>
      <c r="R802">
        <v>1</v>
      </c>
      <c r="S802" t="s">
        <v>39</v>
      </c>
      <c r="T802">
        <v>8</v>
      </c>
      <c r="U802">
        <v>0.1</v>
      </c>
      <c r="V802">
        <v>28.8</v>
      </c>
      <c r="W802" t="s">
        <v>39</v>
      </c>
      <c r="X802" t="s">
        <v>52</v>
      </c>
      <c r="Y802" t="s">
        <v>39</v>
      </c>
      <c r="Z802" t="s">
        <v>108</v>
      </c>
      <c r="AA802" t="s">
        <v>103</v>
      </c>
      <c r="AB802" t="s">
        <v>55</v>
      </c>
      <c r="AC802">
        <f t="shared" si="132"/>
        <v>1</v>
      </c>
      <c r="AD802" s="12">
        <f t="shared" si="136"/>
        <v>0</v>
      </c>
      <c r="AE802" s="12">
        <f t="shared" si="137"/>
        <v>0</v>
      </c>
      <c r="AF802">
        <f t="shared" si="133"/>
        <v>0</v>
      </c>
      <c r="AG802">
        <f t="shared" si="138"/>
        <v>1</v>
      </c>
      <c r="AH802">
        <f t="shared" si="139"/>
        <v>1</v>
      </c>
      <c r="AI802">
        <f t="shared" si="140"/>
        <v>0</v>
      </c>
      <c r="AJ802">
        <f t="shared" si="141"/>
        <v>0</v>
      </c>
      <c r="AK802">
        <f t="shared" si="134"/>
        <v>0</v>
      </c>
      <c r="AL802">
        <f t="shared" si="142"/>
        <v>0</v>
      </c>
    </row>
    <row r="803" spans="1:38">
      <c r="A803" t="s">
        <v>2536</v>
      </c>
      <c r="B803" t="s">
        <v>2537</v>
      </c>
      <c r="C803" s="1">
        <f t="shared" si="135"/>
        <v>45323</v>
      </c>
      <c r="D803" t="s">
        <v>2538</v>
      </c>
      <c r="E803">
        <v>354.3</v>
      </c>
      <c r="F803">
        <v>14.8</v>
      </c>
      <c r="G803" t="s">
        <v>30</v>
      </c>
      <c r="H803" t="s">
        <v>47</v>
      </c>
      <c r="I803" t="s">
        <v>32</v>
      </c>
      <c r="J803">
        <v>240</v>
      </c>
      <c r="K803" t="s">
        <v>33</v>
      </c>
      <c r="L803" t="s">
        <v>70</v>
      </c>
      <c r="M803" t="s">
        <v>71</v>
      </c>
      <c r="N803" t="s">
        <v>97</v>
      </c>
      <c r="O803" t="s">
        <v>7232</v>
      </c>
      <c r="P803" t="s">
        <v>38</v>
      </c>
      <c r="Q803" t="s">
        <v>39</v>
      </c>
      <c r="R803">
        <v>4</v>
      </c>
      <c r="S803" t="s">
        <v>38</v>
      </c>
      <c r="T803">
        <v>4</v>
      </c>
      <c r="U803">
        <v>5.0999999999999996</v>
      </c>
      <c r="V803">
        <v>23.8</v>
      </c>
      <c r="W803" t="s">
        <v>38</v>
      </c>
      <c r="X803" t="s">
        <v>52</v>
      </c>
      <c r="Y803" t="s">
        <v>38</v>
      </c>
      <c r="Z803" t="s">
        <v>73</v>
      </c>
      <c r="AA803" t="s">
        <v>109</v>
      </c>
      <c r="AB803" t="s">
        <v>55</v>
      </c>
      <c r="AC803">
        <f t="shared" si="132"/>
        <v>1</v>
      </c>
      <c r="AD803" s="12">
        <f t="shared" si="136"/>
        <v>0</v>
      </c>
      <c r="AE803" s="12">
        <f t="shared" si="137"/>
        <v>0</v>
      </c>
      <c r="AF803">
        <f t="shared" si="133"/>
        <v>0</v>
      </c>
      <c r="AG803">
        <f t="shared" si="138"/>
        <v>1</v>
      </c>
      <c r="AH803">
        <f t="shared" si="139"/>
        <v>0</v>
      </c>
      <c r="AI803">
        <f t="shared" si="140"/>
        <v>0</v>
      </c>
      <c r="AJ803">
        <f t="shared" si="141"/>
        <v>1</v>
      </c>
      <c r="AK803">
        <f t="shared" si="134"/>
        <v>1</v>
      </c>
      <c r="AL803">
        <f t="shared" si="142"/>
        <v>1</v>
      </c>
    </row>
    <row r="804" spans="1:38">
      <c r="A804" t="s">
        <v>2539</v>
      </c>
      <c r="B804" t="s">
        <v>2540</v>
      </c>
      <c r="C804" s="1">
        <f t="shared" si="135"/>
        <v>45323</v>
      </c>
      <c r="D804" t="s">
        <v>2541</v>
      </c>
      <c r="E804">
        <v>95.3</v>
      </c>
      <c r="F804">
        <v>4</v>
      </c>
      <c r="G804" t="s">
        <v>101</v>
      </c>
      <c r="H804" t="s">
        <v>368</v>
      </c>
      <c r="I804" t="s">
        <v>48</v>
      </c>
      <c r="J804">
        <v>120</v>
      </c>
      <c r="K804" t="s">
        <v>49</v>
      </c>
      <c r="L804" t="s">
        <v>34</v>
      </c>
      <c r="M804" t="s">
        <v>35</v>
      </c>
      <c r="N804" t="s">
        <v>36</v>
      </c>
      <c r="O804" t="s">
        <v>7232</v>
      </c>
      <c r="P804" t="s">
        <v>39</v>
      </c>
      <c r="Q804" t="s">
        <v>38</v>
      </c>
      <c r="R804">
        <v>0</v>
      </c>
      <c r="S804" t="s">
        <v>38</v>
      </c>
      <c r="T804">
        <v>10</v>
      </c>
      <c r="U804">
        <v>0.5</v>
      </c>
      <c r="V804">
        <v>1.5</v>
      </c>
      <c r="W804" t="s">
        <v>38</v>
      </c>
      <c r="X804" t="s">
        <v>52</v>
      </c>
      <c r="Y804" t="s">
        <v>38</v>
      </c>
      <c r="Z804" t="s">
        <v>179</v>
      </c>
      <c r="AA804" t="s">
        <v>54</v>
      </c>
      <c r="AB804" t="s">
        <v>83</v>
      </c>
      <c r="AC804">
        <f t="shared" si="132"/>
        <v>1</v>
      </c>
      <c r="AD804" s="12">
        <f t="shared" si="136"/>
        <v>0</v>
      </c>
      <c r="AE804" s="12">
        <f t="shared" si="137"/>
        <v>0</v>
      </c>
      <c r="AF804">
        <f t="shared" si="133"/>
        <v>0</v>
      </c>
      <c r="AG804">
        <f t="shared" si="138"/>
        <v>1</v>
      </c>
      <c r="AH804">
        <f t="shared" si="139"/>
        <v>1</v>
      </c>
      <c r="AI804">
        <f t="shared" si="140"/>
        <v>0</v>
      </c>
      <c r="AJ804">
        <f t="shared" si="141"/>
        <v>0</v>
      </c>
      <c r="AK804">
        <f t="shared" si="134"/>
        <v>0</v>
      </c>
      <c r="AL804">
        <f t="shared" si="142"/>
        <v>1</v>
      </c>
    </row>
    <row r="805" spans="1:38">
      <c r="A805" t="s">
        <v>2542</v>
      </c>
      <c r="B805" t="s">
        <v>2543</v>
      </c>
      <c r="C805" s="1">
        <f t="shared" si="135"/>
        <v>45505</v>
      </c>
      <c r="D805" t="s">
        <v>2544</v>
      </c>
      <c r="E805">
        <v>227.9</v>
      </c>
      <c r="F805">
        <v>9.5</v>
      </c>
      <c r="G805" t="s">
        <v>87</v>
      </c>
      <c r="H805" t="s">
        <v>309</v>
      </c>
      <c r="I805" t="s">
        <v>32</v>
      </c>
      <c r="J805">
        <v>240</v>
      </c>
      <c r="K805" t="s">
        <v>49</v>
      </c>
      <c r="L805" t="s">
        <v>70</v>
      </c>
      <c r="M805" t="s">
        <v>71</v>
      </c>
      <c r="N805" t="s">
        <v>128</v>
      </c>
      <c r="O805" t="s">
        <v>37</v>
      </c>
      <c r="P805" t="s">
        <v>38</v>
      </c>
      <c r="Q805" t="s">
        <v>39</v>
      </c>
      <c r="R805">
        <v>3</v>
      </c>
      <c r="S805" t="s">
        <v>38</v>
      </c>
      <c r="T805">
        <v>5</v>
      </c>
      <c r="U805">
        <v>1.2</v>
      </c>
      <c r="V805">
        <v>15.6</v>
      </c>
      <c r="W805" t="s">
        <v>38</v>
      </c>
      <c r="X805" t="s">
        <v>63</v>
      </c>
      <c r="Y805" t="s">
        <v>39</v>
      </c>
      <c r="Z805" t="s">
        <v>73</v>
      </c>
      <c r="AA805" t="s">
        <v>54</v>
      </c>
      <c r="AB805" t="s">
        <v>83</v>
      </c>
      <c r="AC805">
        <f t="shared" si="132"/>
        <v>0</v>
      </c>
      <c r="AD805" s="12">
        <f t="shared" si="136"/>
        <v>1</v>
      </c>
      <c r="AE805" s="12">
        <f t="shared" si="137"/>
        <v>0</v>
      </c>
      <c r="AF805">
        <f t="shared" si="133"/>
        <v>0</v>
      </c>
      <c r="AG805">
        <f t="shared" si="138"/>
        <v>0</v>
      </c>
      <c r="AH805">
        <f t="shared" si="139"/>
        <v>0</v>
      </c>
      <c r="AI805">
        <f t="shared" si="140"/>
        <v>0</v>
      </c>
      <c r="AJ805">
        <f t="shared" si="141"/>
        <v>1</v>
      </c>
      <c r="AK805">
        <f t="shared" si="134"/>
        <v>0</v>
      </c>
      <c r="AL805">
        <f t="shared" si="142"/>
        <v>0</v>
      </c>
    </row>
    <row r="806" spans="1:38">
      <c r="A806" t="s">
        <v>2545</v>
      </c>
      <c r="B806" t="s">
        <v>2546</v>
      </c>
      <c r="C806" s="1">
        <f t="shared" si="135"/>
        <v>45352</v>
      </c>
      <c r="D806" t="s">
        <v>2547</v>
      </c>
      <c r="E806">
        <v>372.8</v>
      </c>
      <c r="F806">
        <v>15.5</v>
      </c>
      <c r="G806" t="s">
        <v>142</v>
      </c>
      <c r="H806" t="s">
        <v>143</v>
      </c>
      <c r="I806" t="s">
        <v>32</v>
      </c>
      <c r="J806">
        <v>240</v>
      </c>
      <c r="K806" t="s">
        <v>33</v>
      </c>
      <c r="L806" t="s">
        <v>70</v>
      </c>
      <c r="M806" t="s">
        <v>35</v>
      </c>
      <c r="N806" t="s">
        <v>80</v>
      </c>
      <c r="O806" t="s">
        <v>7232</v>
      </c>
      <c r="P806" t="s">
        <v>38</v>
      </c>
      <c r="Q806" t="s">
        <v>38</v>
      </c>
      <c r="R806">
        <v>1</v>
      </c>
      <c r="S806" t="s">
        <v>39</v>
      </c>
      <c r="T806">
        <v>6</v>
      </c>
      <c r="U806">
        <v>0.5</v>
      </c>
      <c r="V806">
        <v>7</v>
      </c>
      <c r="W806" t="s">
        <v>39</v>
      </c>
      <c r="X806" t="s">
        <v>52</v>
      </c>
      <c r="Y806" t="s">
        <v>38</v>
      </c>
      <c r="Z806" t="s">
        <v>81</v>
      </c>
      <c r="AA806" t="s">
        <v>42</v>
      </c>
      <c r="AB806" t="s">
        <v>83</v>
      </c>
      <c r="AC806">
        <f t="shared" si="132"/>
        <v>1</v>
      </c>
      <c r="AD806" s="12">
        <f t="shared" si="136"/>
        <v>0</v>
      </c>
      <c r="AE806" s="12">
        <f t="shared" si="137"/>
        <v>0</v>
      </c>
      <c r="AF806">
        <f t="shared" si="133"/>
        <v>0</v>
      </c>
      <c r="AG806">
        <f t="shared" si="138"/>
        <v>1</v>
      </c>
      <c r="AH806">
        <f t="shared" si="139"/>
        <v>0</v>
      </c>
      <c r="AI806">
        <f t="shared" si="140"/>
        <v>0</v>
      </c>
      <c r="AJ806">
        <f t="shared" si="141"/>
        <v>1</v>
      </c>
      <c r="AK806">
        <f t="shared" si="134"/>
        <v>0</v>
      </c>
      <c r="AL806">
        <f t="shared" si="142"/>
        <v>1</v>
      </c>
    </row>
    <row r="807" spans="1:38">
      <c r="A807" t="s">
        <v>2548</v>
      </c>
      <c r="B807" t="s">
        <v>2549</v>
      </c>
      <c r="C807" s="1">
        <f t="shared" si="135"/>
        <v>45536</v>
      </c>
      <c r="D807" t="s">
        <v>2550</v>
      </c>
      <c r="E807">
        <v>208.7</v>
      </c>
      <c r="F807">
        <v>8.6999999999999993</v>
      </c>
      <c r="G807" t="s">
        <v>93</v>
      </c>
      <c r="H807" t="s">
        <v>291</v>
      </c>
      <c r="I807" t="s">
        <v>32</v>
      </c>
      <c r="J807">
        <v>240</v>
      </c>
      <c r="K807" t="s">
        <v>49</v>
      </c>
      <c r="L807" t="s">
        <v>96</v>
      </c>
      <c r="M807" t="s">
        <v>71</v>
      </c>
      <c r="N807" t="s">
        <v>97</v>
      </c>
      <c r="O807" t="s">
        <v>51</v>
      </c>
      <c r="P807" t="s">
        <v>38</v>
      </c>
      <c r="Q807" t="s">
        <v>39</v>
      </c>
      <c r="R807">
        <v>3</v>
      </c>
      <c r="S807" t="s">
        <v>38</v>
      </c>
      <c r="T807">
        <v>7</v>
      </c>
      <c r="U807">
        <v>6</v>
      </c>
      <c r="V807">
        <v>1.9</v>
      </c>
      <c r="W807" t="s">
        <v>39</v>
      </c>
      <c r="X807" t="s">
        <v>123</v>
      </c>
      <c r="Y807" t="s">
        <v>39</v>
      </c>
      <c r="Z807" t="s">
        <v>108</v>
      </c>
      <c r="AA807" t="s">
        <v>109</v>
      </c>
      <c r="AB807" t="s">
        <v>43</v>
      </c>
      <c r="AC807">
        <f t="shared" si="132"/>
        <v>0</v>
      </c>
      <c r="AD807" s="12">
        <f t="shared" si="136"/>
        <v>0</v>
      </c>
      <c r="AE807" s="12">
        <f t="shared" si="137"/>
        <v>1</v>
      </c>
      <c r="AF807">
        <f t="shared" si="133"/>
        <v>1</v>
      </c>
      <c r="AG807">
        <f t="shared" si="138"/>
        <v>0</v>
      </c>
      <c r="AH807">
        <f t="shared" si="139"/>
        <v>0</v>
      </c>
      <c r="AI807">
        <f t="shared" si="140"/>
        <v>0</v>
      </c>
      <c r="AJ807">
        <f t="shared" si="141"/>
        <v>1</v>
      </c>
      <c r="AK807">
        <f t="shared" si="134"/>
        <v>0</v>
      </c>
      <c r="AL807">
        <f t="shared" si="142"/>
        <v>0</v>
      </c>
    </row>
    <row r="808" spans="1:38">
      <c r="A808" t="s">
        <v>2551</v>
      </c>
      <c r="B808" t="s">
        <v>2552</v>
      </c>
      <c r="C808" s="1">
        <f t="shared" si="135"/>
        <v>45383</v>
      </c>
      <c r="D808" t="s">
        <v>2553</v>
      </c>
      <c r="E808">
        <v>173.6</v>
      </c>
      <c r="F808">
        <v>7.2</v>
      </c>
      <c r="G808" t="s">
        <v>87</v>
      </c>
      <c r="H808" t="s">
        <v>88</v>
      </c>
      <c r="I808" t="s">
        <v>48</v>
      </c>
      <c r="J808">
        <v>120</v>
      </c>
      <c r="K808" t="s">
        <v>33</v>
      </c>
      <c r="L808" t="s">
        <v>113</v>
      </c>
      <c r="M808" t="s">
        <v>71</v>
      </c>
      <c r="N808" t="s">
        <v>144</v>
      </c>
      <c r="O808" t="s">
        <v>51</v>
      </c>
      <c r="P808" t="s">
        <v>38</v>
      </c>
      <c r="Q808" t="s">
        <v>39</v>
      </c>
      <c r="R808">
        <v>1</v>
      </c>
      <c r="S808" t="s">
        <v>38</v>
      </c>
      <c r="T808">
        <v>3</v>
      </c>
      <c r="U808">
        <v>3.8</v>
      </c>
      <c r="V808">
        <v>28.5</v>
      </c>
      <c r="W808" t="s">
        <v>38</v>
      </c>
      <c r="X808" t="s">
        <v>52</v>
      </c>
      <c r="Y808" t="s">
        <v>39</v>
      </c>
      <c r="Z808" t="s">
        <v>115</v>
      </c>
      <c r="AA808" t="s">
        <v>54</v>
      </c>
      <c r="AB808" t="s">
        <v>55</v>
      </c>
      <c r="AC808">
        <f t="shared" si="132"/>
        <v>1</v>
      </c>
      <c r="AD808" s="12">
        <f t="shared" si="136"/>
        <v>0</v>
      </c>
      <c r="AE808" s="12">
        <f t="shared" si="137"/>
        <v>0</v>
      </c>
      <c r="AF808">
        <f t="shared" si="133"/>
        <v>1</v>
      </c>
      <c r="AG808">
        <f t="shared" si="138"/>
        <v>0</v>
      </c>
      <c r="AH808">
        <f t="shared" si="139"/>
        <v>1</v>
      </c>
      <c r="AI808">
        <f t="shared" si="140"/>
        <v>0</v>
      </c>
      <c r="AJ808">
        <f t="shared" si="141"/>
        <v>0</v>
      </c>
      <c r="AK808">
        <f t="shared" si="134"/>
        <v>0</v>
      </c>
      <c r="AL808">
        <f t="shared" si="142"/>
        <v>0</v>
      </c>
    </row>
    <row r="809" spans="1:38">
      <c r="A809" t="s">
        <v>2554</v>
      </c>
      <c r="B809" t="s">
        <v>2555</v>
      </c>
      <c r="C809" s="1">
        <f t="shared" si="135"/>
        <v>45383</v>
      </c>
      <c r="D809" t="s">
        <v>2556</v>
      </c>
      <c r="E809">
        <v>340.6</v>
      </c>
      <c r="F809">
        <v>14.2</v>
      </c>
      <c r="G809" t="s">
        <v>77</v>
      </c>
      <c r="H809" t="s">
        <v>78</v>
      </c>
      <c r="I809" t="s">
        <v>79</v>
      </c>
      <c r="J809">
        <v>360</v>
      </c>
      <c r="K809" t="s">
        <v>49</v>
      </c>
      <c r="L809" t="s">
        <v>96</v>
      </c>
      <c r="M809" t="s">
        <v>35</v>
      </c>
      <c r="N809" t="s">
        <v>50</v>
      </c>
      <c r="O809" t="s">
        <v>51</v>
      </c>
      <c r="P809" t="s">
        <v>38</v>
      </c>
      <c r="Q809" t="s">
        <v>38</v>
      </c>
      <c r="R809">
        <v>1</v>
      </c>
      <c r="S809" t="s">
        <v>38</v>
      </c>
      <c r="T809">
        <v>8</v>
      </c>
      <c r="U809">
        <v>4.8</v>
      </c>
      <c r="V809">
        <v>19.600000000000001</v>
      </c>
      <c r="W809" t="s">
        <v>39</v>
      </c>
      <c r="X809" t="s">
        <v>63</v>
      </c>
      <c r="Y809" t="s">
        <v>39</v>
      </c>
      <c r="Z809" t="s">
        <v>81</v>
      </c>
      <c r="AA809" t="s">
        <v>103</v>
      </c>
      <c r="AB809" t="s">
        <v>55</v>
      </c>
      <c r="AC809">
        <f t="shared" si="132"/>
        <v>0</v>
      </c>
      <c r="AD809" s="12">
        <f t="shared" si="136"/>
        <v>1</v>
      </c>
      <c r="AE809" s="12">
        <f t="shared" si="137"/>
        <v>0</v>
      </c>
      <c r="AF809">
        <f t="shared" si="133"/>
        <v>1</v>
      </c>
      <c r="AG809">
        <f t="shared" si="138"/>
        <v>0</v>
      </c>
      <c r="AH809">
        <f t="shared" si="139"/>
        <v>0</v>
      </c>
      <c r="AI809">
        <f t="shared" si="140"/>
        <v>0</v>
      </c>
      <c r="AJ809">
        <f t="shared" si="141"/>
        <v>0</v>
      </c>
      <c r="AK809">
        <f t="shared" si="134"/>
        <v>0</v>
      </c>
      <c r="AL809">
        <f t="shared" si="142"/>
        <v>0</v>
      </c>
    </row>
    <row r="810" spans="1:38">
      <c r="A810" t="s">
        <v>2557</v>
      </c>
      <c r="B810" t="s">
        <v>2558</v>
      </c>
      <c r="C810" s="1">
        <f t="shared" si="135"/>
        <v>45474</v>
      </c>
      <c r="D810" t="s">
        <v>2559</v>
      </c>
      <c r="E810">
        <v>136.30000000000001</v>
      </c>
      <c r="F810">
        <v>5.7</v>
      </c>
      <c r="G810" t="s">
        <v>30</v>
      </c>
      <c r="H810" t="s">
        <v>31</v>
      </c>
      <c r="I810" t="s">
        <v>48</v>
      </c>
      <c r="J810">
        <v>120</v>
      </c>
      <c r="K810" t="s">
        <v>33</v>
      </c>
      <c r="L810" t="s">
        <v>70</v>
      </c>
      <c r="M810" t="s">
        <v>35</v>
      </c>
      <c r="N810" t="s">
        <v>50</v>
      </c>
      <c r="O810" t="s">
        <v>7232</v>
      </c>
      <c r="P810" t="s">
        <v>38</v>
      </c>
      <c r="Q810" t="s">
        <v>38</v>
      </c>
      <c r="R810">
        <v>1</v>
      </c>
      <c r="S810" t="s">
        <v>38</v>
      </c>
      <c r="T810">
        <v>5</v>
      </c>
      <c r="U810">
        <v>4.0999999999999996</v>
      </c>
      <c r="V810">
        <v>23.2</v>
      </c>
      <c r="W810" t="s">
        <v>39</v>
      </c>
      <c r="X810" t="s">
        <v>40</v>
      </c>
      <c r="Y810" t="s">
        <v>39</v>
      </c>
      <c r="Z810" t="s">
        <v>64</v>
      </c>
      <c r="AA810" t="s">
        <v>42</v>
      </c>
      <c r="AB810" t="s">
        <v>43</v>
      </c>
      <c r="AC810">
        <f t="shared" si="132"/>
        <v>0</v>
      </c>
      <c r="AD810" s="12">
        <f t="shared" si="136"/>
        <v>0</v>
      </c>
      <c r="AE810" s="12">
        <f t="shared" si="137"/>
        <v>0</v>
      </c>
      <c r="AF810">
        <f t="shared" si="133"/>
        <v>0</v>
      </c>
      <c r="AG810">
        <f t="shared" si="138"/>
        <v>1</v>
      </c>
      <c r="AH810">
        <f t="shared" si="139"/>
        <v>1</v>
      </c>
      <c r="AI810">
        <f t="shared" si="140"/>
        <v>0</v>
      </c>
      <c r="AJ810">
        <f t="shared" si="141"/>
        <v>0</v>
      </c>
      <c r="AK810">
        <f t="shared" si="134"/>
        <v>1</v>
      </c>
      <c r="AL810">
        <f t="shared" si="142"/>
        <v>0</v>
      </c>
    </row>
    <row r="811" spans="1:38">
      <c r="A811" t="s">
        <v>2560</v>
      </c>
      <c r="B811" t="s">
        <v>2561</v>
      </c>
      <c r="C811" s="1">
        <f t="shared" si="135"/>
        <v>45597</v>
      </c>
      <c r="D811" t="s">
        <v>2562</v>
      </c>
      <c r="E811">
        <v>44.5</v>
      </c>
      <c r="F811">
        <v>1.9</v>
      </c>
      <c r="G811" t="s">
        <v>30</v>
      </c>
      <c r="H811" t="s">
        <v>47</v>
      </c>
      <c r="I811" t="s">
        <v>95</v>
      </c>
      <c r="J811">
        <v>48</v>
      </c>
      <c r="K811" t="s">
        <v>49</v>
      </c>
      <c r="L811" t="s">
        <v>113</v>
      </c>
      <c r="M811" t="s">
        <v>35</v>
      </c>
      <c r="N811" t="s">
        <v>414</v>
      </c>
      <c r="O811" t="s">
        <v>7232</v>
      </c>
      <c r="P811" t="s">
        <v>39</v>
      </c>
      <c r="Q811" t="s">
        <v>38</v>
      </c>
      <c r="R811">
        <v>0</v>
      </c>
      <c r="S811" t="s">
        <v>38</v>
      </c>
      <c r="T811">
        <v>10</v>
      </c>
      <c r="U811">
        <v>1</v>
      </c>
      <c r="V811">
        <v>6.9</v>
      </c>
      <c r="W811" t="s">
        <v>39</v>
      </c>
      <c r="X811" t="s">
        <v>123</v>
      </c>
      <c r="Y811" t="s">
        <v>39</v>
      </c>
      <c r="Z811" t="s">
        <v>41</v>
      </c>
      <c r="AA811" t="s">
        <v>103</v>
      </c>
      <c r="AB811" t="s">
        <v>83</v>
      </c>
      <c r="AC811">
        <f t="shared" si="132"/>
        <v>0</v>
      </c>
      <c r="AD811" s="12">
        <f t="shared" si="136"/>
        <v>0</v>
      </c>
      <c r="AE811" s="12">
        <f t="shared" si="137"/>
        <v>1</v>
      </c>
      <c r="AF811">
        <f t="shared" si="133"/>
        <v>0</v>
      </c>
      <c r="AG811">
        <f t="shared" si="138"/>
        <v>1</v>
      </c>
      <c r="AH811">
        <f t="shared" si="139"/>
        <v>0</v>
      </c>
      <c r="AI811">
        <f t="shared" si="140"/>
        <v>1</v>
      </c>
      <c r="AJ811">
        <f t="shared" si="141"/>
        <v>0</v>
      </c>
      <c r="AK811">
        <f t="shared" si="134"/>
        <v>1</v>
      </c>
      <c r="AL811">
        <f t="shared" si="142"/>
        <v>0</v>
      </c>
    </row>
    <row r="812" spans="1:38">
      <c r="A812" t="s">
        <v>2563</v>
      </c>
      <c r="B812" t="s">
        <v>2564</v>
      </c>
      <c r="C812" s="1">
        <f t="shared" si="135"/>
        <v>45292</v>
      </c>
      <c r="D812" t="s">
        <v>2565</v>
      </c>
      <c r="E812">
        <v>102</v>
      </c>
      <c r="F812">
        <v>4.3</v>
      </c>
      <c r="G812" t="s">
        <v>59</v>
      </c>
      <c r="H812" t="s">
        <v>466</v>
      </c>
      <c r="I812" t="s">
        <v>48</v>
      </c>
      <c r="J812">
        <v>120</v>
      </c>
      <c r="K812" t="s">
        <v>49</v>
      </c>
      <c r="L812" t="s">
        <v>96</v>
      </c>
      <c r="M812" t="s">
        <v>71</v>
      </c>
      <c r="N812" t="s">
        <v>89</v>
      </c>
      <c r="O812" t="s">
        <v>51</v>
      </c>
      <c r="P812" t="s">
        <v>38</v>
      </c>
      <c r="Q812" t="s">
        <v>39</v>
      </c>
      <c r="R812">
        <v>4</v>
      </c>
      <c r="S812" t="s">
        <v>39</v>
      </c>
      <c r="T812">
        <v>10</v>
      </c>
      <c r="U812">
        <v>1.9</v>
      </c>
      <c r="V812">
        <v>10.6</v>
      </c>
      <c r="W812" t="s">
        <v>39</v>
      </c>
      <c r="X812" t="s">
        <v>63</v>
      </c>
      <c r="Y812" t="s">
        <v>38</v>
      </c>
      <c r="Z812" t="s">
        <v>81</v>
      </c>
      <c r="AA812" t="s">
        <v>109</v>
      </c>
      <c r="AB812" t="s">
        <v>43</v>
      </c>
      <c r="AC812">
        <f t="shared" si="132"/>
        <v>0</v>
      </c>
      <c r="AD812" s="12">
        <f t="shared" si="136"/>
        <v>1</v>
      </c>
      <c r="AE812" s="12">
        <f t="shared" si="137"/>
        <v>0</v>
      </c>
      <c r="AF812">
        <f t="shared" si="133"/>
        <v>1</v>
      </c>
      <c r="AG812">
        <f t="shared" si="138"/>
        <v>0</v>
      </c>
      <c r="AH812">
        <f t="shared" si="139"/>
        <v>1</v>
      </c>
      <c r="AI812">
        <f t="shared" si="140"/>
        <v>0</v>
      </c>
      <c r="AJ812">
        <f t="shared" si="141"/>
        <v>0</v>
      </c>
      <c r="AK812">
        <f t="shared" si="134"/>
        <v>0</v>
      </c>
      <c r="AL812">
        <f t="shared" si="142"/>
        <v>1</v>
      </c>
    </row>
    <row r="813" spans="1:38">
      <c r="A813" t="s">
        <v>2566</v>
      </c>
      <c r="B813" t="s">
        <v>2567</v>
      </c>
      <c r="C813" s="1">
        <f t="shared" si="135"/>
        <v>45383</v>
      </c>
      <c r="D813" t="s">
        <v>2568</v>
      </c>
      <c r="E813">
        <v>215.5</v>
      </c>
      <c r="F813">
        <v>9</v>
      </c>
      <c r="G813" t="s">
        <v>142</v>
      </c>
      <c r="H813" t="s">
        <v>260</v>
      </c>
      <c r="I813" t="s">
        <v>32</v>
      </c>
      <c r="J813">
        <v>240</v>
      </c>
      <c r="K813" t="s">
        <v>49</v>
      </c>
      <c r="L813" t="s">
        <v>34</v>
      </c>
      <c r="M813" t="s">
        <v>71</v>
      </c>
      <c r="N813" t="s">
        <v>50</v>
      </c>
      <c r="O813" t="s">
        <v>7232</v>
      </c>
      <c r="P813" t="s">
        <v>38</v>
      </c>
      <c r="Q813" t="s">
        <v>39</v>
      </c>
      <c r="R813">
        <v>2</v>
      </c>
      <c r="S813" t="s">
        <v>38</v>
      </c>
      <c r="T813">
        <v>9</v>
      </c>
      <c r="U813">
        <v>0.3</v>
      </c>
      <c r="V813">
        <v>10</v>
      </c>
      <c r="W813" t="s">
        <v>39</v>
      </c>
      <c r="X813" t="s">
        <v>52</v>
      </c>
      <c r="Y813" t="s">
        <v>38</v>
      </c>
      <c r="Z813" t="s">
        <v>81</v>
      </c>
      <c r="AA813" t="s">
        <v>54</v>
      </c>
      <c r="AB813" t="s">
        <v>83</v>
      </c>
      <c r="AC813">
        <f t="shared" si="132"/>
        <v>1</v>
      </c>
      <c r="AD813" s="12">
        <f t="shared" si="136"/>
        <v>0</v>
      </c>
      <c r="AE813" s="12">
        <f t="shared" si="137"/>
        <v>0</v>
      </c>
      <c r="AF813">
        <f t="shared" si="133"/>
        <v>0</v>
      </c>
      <c r="AG813">
        <f t="shared" si="138"/>
        <v>1</v>
      </c>
      <c r="AH813">
        <f t="shared" si="139"/>
        <v>0</v>
      </c>
      <c r="AI813">
        <f t="shared" si="140"/>
        <v>0</v>
      </c>
      <c r="AJ813">
        <f t="shared" si="141"/>
        <v>1</v>
      </c>
      <c r="AK813">
        <f t="shared" si="134"/>
        <v>0</v>
      </c>
      <c r="AL813">
        <f t="shared" si="142"/>
        <v>1</v>
      </c>
    </row>
    <row r="814" spans="1:38">
      <c r="A814" t="s">
        <v>2569</v>
      </c>
      <c r="B814" t="s">
        <v>2570</v>
      </c>
      <c r="C814" s="1">
        <f t="shared" si="135"/>
        <v>45566</v>
      </c>
      <c r="D814" t="s">
        <v>2571</v>
      </c>
      <c r="E814">
        <v>33.299999999999997</v>
      </c>
      <c r="F814">
        <v>1.4</v>
      </c>
      <c r="G814" t="s">
        <v>30</v>
      </c>
      <c r="H814" t="s">
        <v>172</v>
      </c>
      <c r="I814" t="s">
        <v>95</v>
      </c>
      <c r="J814">
        <v>48</v>
      </c>
      <c r="K814" t="s">
        <v>49</v>
      </c>
      <c r="L814" t="s">
        <v>96</v>
      </c>
      <c r="M814" t="s">
        <v>35</v>
      </c>
      <c r="N814" t="s">
        <v>277</v>
      </c>
      <c r="O814" t="s">
        <v>7232</v>
      </c>
      <c r="P814" t="s">
        <v>39</v>
      </c>
      <c r="Q814" t="s">
        <v>38</v>
      </c>
      <c r="R814">
        <v>0</v>
      </c>
      <c r="S814" t="s">
        <v>38</v>
      </c>
      <c r="T814">
        <v>10</v>
      </c>
      <c r="U814">
        <v>3.1</v>
      </c>
      <c r="V814">
        <v>20.7</v>
      </c>
      <c r="W814" t="s">
        <v>38</v>
      </c>
      <c r="X814" t="s">
        <v>123</v>
      </c>
      <c r="Y814" t="s">
        <v>39</v>
      </c>
      <c r="Z814" t="s">
        <v>108</v>
      </c>
      <c r="AA814" t="s">
        <v>42</v>
      </c>
      <c r="AB814" t="s">
        <v>55</v>
      </c>
      <c r="AC814">
        <f t="shared" si="132"/>
        <v>0</v>
      </c>
      <c r="AD814" s="12">
        <f t="shared" si="136"/>
        <v>0</v>
      </c>
      <c r="AE814" s="12">
        <f t="shared" si="137"/>
        <v>1</v>
      </c>
      <c r="AF814">
        <f t="shared" si="133"/>
        <v>0</v>
      </c>
      <c r="AG814">
        <f t="shared" si="138"/>
        <v>1</v>
      </c>
      <c r="AH814">
        <f t="shared" si="139"/>
        <v>0</v>
      </c>
      <c r="AI814">
        <f t="shared" si="140"/>
        <v>1</v>
      </c>
      <c r="AJ814">
        <f t="shared" si="141"/>
        <v>0</v>
      </c>
      <c r="AK814">
        <f t="shared" si="134"/>
        <v>1</v>
      </c>
      <c r="AL814">
        <f t="shared" si="142"/>
        <v>0</v>
      </c>
    </row>
    <row r="815" spans="1:38">
      <c r="A815" t="s">
        <v>2572</v>
      </c>
      <c r="B815" t="s">
        <v>2573</v>
      </c>
      <c r="C815" s="1">
        <f t="shared" si="135"/>
        <v>45597</v>
      </c>
      <c r="D815" t="s">
        <v>2574</v>
      </c>
      <c r="E815">
        <v>240.4</v>
      </c>
      <c r="F815">
        <v>10</v>
      </c>
      <c r="G815" t="s">
        <v>142</v>
      </c>
      <c r="H815" t="s">
        <v>143</v>
      </c>
      <c r="I815" t="s">
        <v>32</v>
      </c>
      <c r="J815">
        <v>240</v>
      </c>
      <c r="K815" t="s">
        <v>33</v>
      </c>
      <c r="L815" t="s">
        <v>113</v>
      </c>
      <c r="M815" t="s">
        <v>71</v>
      </c>
      <c r="N815" t="s">
        <v>72</v>
      </c>
      <c r="O815" t="s">
        <v>51</v>
      </c>
      <c r="P815" t="s">
        <v>38</v>
      </c>
      <c r="Q815" t="s">
        <v>39</v>
      </c>
      <c r="R815">
        <v>1</v>
      </c>
      <c r="S815" t="s">
        <v>38</v>
      </c>
      <c r="T815">
        <v>4</v>
      </c>
      <c r="U815">
        <v>2.2999999999999998</v>
      </c>
      <c r="V815">
        <v>24.8</v>
      </c>
      <c r="W815" t="s">
        <v>39</v>
      </c>
      <c r="X815" t="s">
        <v>123</v>
      </c>
      <c r="Y815" t="s">
        <v>38</v>
      </c>
      <c r="Z815" t="s">
        <v>115</v>
      </c>
      <c r="AA815" t="s">
        <v>109</v>
      </c>
      <c r="AB815" t="s">
        <v>83</v>
      </c>
      <c r="AC815">
        <f t="shared" si="132"/>
        <v>0</v>
      </c>
      <c r="AD815" s="12">
        <f t="shared" si="136"/>
        <v>0</v>
      </c>
      <c r="AE815" s="12">
        <f t="shared" si="137"/>
        <v>1</v>
      </c>
      <c r="AF815">
        <f t="shared" si="133"/>
        <v>1</v>
      </c>
      <c r="AG815">
        <f t="shared" si="138"/>
        <v>0</v>
      </c>
      <c r="AH815">
        <f t="shared" si="139"/>
        <v>0</v>
      </c>
      <c r="AI815">
        <f t="shared" si="140"/>
        <v>0</v>
      </c>
      <c r="AJ815">
        <f t="shared" si="141"/>
        <v>1</v>
      </c>
      <c r="AK815">
        <f t="shared" si="134"/>
        <v>0</v>
      </c>
      <c r="AL815">
        <f t="shared" si="142"/>
        <v>1</v>
      </c>
    </row>
    <row r="816" spans="1:38">
      <c r="A816" t="s">
        <v>2575</v>
      </c>
      <c r="B816" t="s">
        <v>2576</v>
      </c>
      <c r="C816" s="1">
        <f t="shared" si="135"/>
        <v>45383</v>
      </c>
      <c r="D816" t="s">
        <v>2577</v>
      </c>
      <c r="E816">
        <v>181</v>
      </c>
      <c r="F816">
        <v>7.5</v>
      </c>
      <c r="G816" t="s">
        <v>87</v>
      </c>
      <c r="H816" t="s">
        <v>183</v>
      </c>
      <c r="I816" t="s">
        <v>32</v>
      </c>
      <c r="J816">
        <v>240</v>
      </c>
      <c r="K816" t="s">
        <v>49</v>
      </c>
      <c r="L816" t="s">
        <v>96</v>
      </c>
      <c r="M816" t="s">
        <v>71</v>
      </c>
      <c r="N816" t="s">
        <v>138</v>
      </c>
      <c r="O816" t="s">
        <v>7232</v>
      </c>
      <c r="P816" t="s">
        <v>38</v>
      </c>
      <c r="Q816" t="s">
        <v>39</v>
      </c>
      <c r="R816">
        <v>3</v>
      </c>
      <c r="S816" t="s">
        <v>38</v>
      </c>
      <c r="T816">
        <v>10</v>
      </c>
      <c r="U816">
        <v>4.3</v>
      </c>
      <c r="V816">
        <v>15.7</v>
      </c>
      <c r="W816" t="s">
        <v>39</v>
      </c>
      <c r="X816" t="s">
        <v>63</v>
      </c>
      <c r="Y816" t="s">
        <v>39</v>
      </c>
      <c r="Z816" t="s">
        <v>115</v>
      </c>
      <c r="AA816" t="s">
        <v>103</v>
      </c>
      <c r="AB816" t="s">
        <v>43</v>
      </c>
      <c r="AC816">
        <f t="shared" si="132"/>
        <v>0</v>
      </c>
      <c r="AD816" s="12">
        <f t="shared" si="136"/>
        <v>1</v>
      </c>
      <c r="AE816" s="12">
        <f t="shared" si="137"/>
        <v>0</v>
      </c>
      <c r="AF816">
        <f t="shared" si="133"/>
        <v>0</v>
      </c>
      <c r="AG816">
        <f t="shared" si="138"/>
        <v>1</v>
      </c>
      <c r="AH816">
        <f t="shared" si="139"/>
        <v>0</v>
      </c>
      <c r="AI816">
        <f t="shared" si="140"/>
        <v>0</v>
      </c>
      <c r="AJ816">
        <f t="shared" si="141"/>
        <v>1</v>
      </c>
      <c r="AK816">
        <f t="shared" si="134"/>
        <v>0</v>
      </c>
      <c r="AL816">
        <f t="shared" si="142"/>
        <v>0</v>
      </c>
    </row>
    <row r="817" spans="1:38">
      <c r="A817" t="s">
        <v>2578</v>
      </c>
      <c r="B817" t="s">
        <v>2579</v>
      </c>
      <c r="C817" s="1">
        <f t="shared" si="135"/>
        <v>45292</v>
      </c>
      <c r="D817" t="s">
        <v>2580</v>
      </c>
      <c r="E817">
        <v>174.9</v>
      </c>
      <c r="F817">
        <v>7.3</v>
      </c>
      <c r="G817" t="s">
        <v>87</v>
      </c>
      <c r="H817" t="s">
        <v>309</v>
      </c>
      <c r="I817" t="s">
        <v>32</v>
      </c>
      <c r="J817">
        <v>240</v>
      </c>
      <c r="K817" t="s">
        <v>49</v>
      </c>
      <c r="L817" t="s">
        <v>96</v>
      </c>
      <c r="M817" t="s">
        <v>35</v>
      </c>
      <c r="N817" t="s">
        <v>80</v>
      </c>
      <c r="O817" t="s">
        <v>37</v>
      </c>
      <c r="P817" t="s">
        <v>39</v>
      </c>
      <c r="Q817" t="s">
        <v>38</v>
      </c>
      <c r="R817">
        <v>0</v>
      </c>
      <c r="S817" t="s">
        <v>38</v>
      </c>
      <c r="T817">
        <v>10</v>
      </c>
      <c r="U817">
        <v>4.9000000000000004</v>
      </c>
      <c r="V817">
        <v>30.8</v>
      </c>
      <c r="W817" t="s">
        <v>39</v>
      </c>
      <c r="X817" t="s">
        <v>63</v>
      </c>
      <c r="Y817" t="s">
        <v>39</v>
      </c>
      <c r="Z817" t="s">
        <v>53</v>
      </c>
      <c r="AA817" t="s">
        <v>103</v>
      </c>
      <c r="AB817" t="s">
        <v>83</v>
      </c>
      <c r="AC817">
        <f t="shared" si="132"/>
        <v>0</v>
      </c>
      <c r="AD817" s="12">
        <f t="shared" si="136"/>
        <v>1</v>
      </c>
      <c r="AE817" s="12">
        <f t="shared" si="137"/>
        <v>0</v>
      </c>
      <c r="AF817">
        <f t="shared" si="133"/>
        <v>0</v>
      </c>
      <c r="AG817">
        <f t="shared" si="138"/>
        <v>0</v>
      </c>
      <c r="AH817">
        <f t="shared" si="139"/>
        <v>0</v>
      </c>
      <c r="AI817">
        <f t="shared" si="140"/>
        <v>0</v>
      </c>
      <c r="AJ817">
        <f t="shared" si="141"/>
        <v>1</v>
      </c>
      <c r="AK817">
        <f t="shared" si="134"/>
        <v>0</v>
      </c>
      <c r="AL817">
        <f t="shared" si="142"/>
        <v>0</v>
      </c>
    </row>
    <row r="818" spans="1:38">
      <c r="A818" t="s">
        <v>2581</v>
      </c>
      <c r="B818" t="s">
        <v>2582</v>
      </c>
      <c r="C818" s="1">
        <f t="shared" si="135"/>
        <v>45474</v>
      </c>
      <c r="D818" t="s">
        <v>2583</v>
      </c>
      <c r="E818">
        <v>110.4</v>
      </c>
      <c r="F818">
        <v>4.5999999999999996</v>
      </c>
      <c r="G818" t="s">
        <v>87</v>
      </c>
      <c r="H818" t="s">
        <v>88</v>
      </c>
      <c r="I818" t="s">
        <v>48</v>
      </c>
      <c r="J818">
        <v>120</v>
      </c>
      <c r="K818" t="s">
        <v>49</v>
      </c>
      <c r="L818" t="s">
        <v>96</v>
      </c>
      <c r="M818" t="s">
        <v>71</v>
      </c>
      <c r="N818" t="s">
        <v>138</v>
      </c>
      <c r="O818" t="s">
        <v>37</v>
      </c>
      <c r="P818" t="s">
        <v>38</v>
      </c>
      <c r="Q818" t="s">
        <v>39</v>
      </c>
      <c r="R818">
        <v>1</v>
      </c>
      <c r="S818" t="s">
        <v>39</v>
      </c>
      <c r="T818">
        <v>8</v>
      </c>
      <c r="U818">
        <v>2.9</v>
      </c>
      <c r="V818">
        <v>19.8</v>
      </c>
      <c r="W818" t="s">
        <v>38</v>
      </c>
      <c r="X818" t="s">
        <v>123</v>
      </c>
      <c r="Y818" t="s">
        <v>38</v>
      </c>
      <c r="Z818" t="s">
        <v>108</v>
      </c>
      <c r="AA818" t="s">
        <v>103</v>
      </c>
      <c r="AB818" t="s">
        <v>83</v>
      </c>
      <c r="AC818">
        <f t="shared" si="132"/>
        <v>0</v>
      </c>
      <c r="AD818" s="12">
        <f t="shared" si="136"/>
        <v>0</v>
      </c>
      <c r="AE818" s="12">
        <f t="shared" si="137"/>
        <v>1</v>
      </c>
      <c r="AF818">
        <f t="shared" si="133"/>
        <v>0</v>
      </c>
      <c r="AG818">
        <f t="shared" si="138"/>
        <v>0</v>
      </c>
      <c r="AH818">
        <f t="shared" si="139"/>
        <v>1</v>
      </c>
      <c r="AI818">
        <f t="shared" si="140"/>
        <v>0</v>
      </c>
      <c r="AJ818">
        <f t="shared" si="141"/>
        <v>0</v>
      </c>
      <c r="AK818">
        <f t="shared" si="134"/>
        <v>0</v>
      </c>
      <c r="AL818">
        <f t="shared" si="142"/>
        <v>1</v>
      </c>
    </row>
    <row r="819" spans="1:38">
      <c r="A819" t="s">
        <v>2584</v>
      </c>
      <c r="B819" t="s">
        <v>2585</v>
      </c>
      <c r="C819" s="1">
        <f t="shared" si="135"/>
        <v>45352</v>
      </c>
      <c r="D819" t="s">
        <v>2586</v>
      </c>
      <c r="E819">
        <v>78.8</v>
      </c>
      <c r="F819">
        <v>3.3</v>
      </c>
      <c r="G819" t="s">
        <v>87</v>
      </c>
      <c r="H819" t="s">
        <v>183</v>
      </c>
      <c r="I819" t="s">
        <v>48</v>
      </c>
      <c r="J819">
        <v>120</v>
      </c>
      <c r="K819" t="s">
        <v>49</v>
      </c>
      <c r="L819" t="s">
        <v>70</v>
      </c>
      <c r="M819" t="s">
        <v>35</v>
      </c>
      <c r="N819" t="s">
        <v>155</v>
      </c>
      <c r="O819" t="s">
        <v>37</v>
      </c>
      <c r="P819" t="s">
        <v>38</v>
      </c>
      <c r="Q819" t="s">
        <v>38</v>
      </c>
      <c r="R819">
        <v>1</v>
      </c>
      <c r="S819" t="s">
        <v>38</v>
      </c>
      <c r="T819">
        <v>9</v>
      </c>
      <c r="U819">
        <v>3.4</v>
      </c>
      <c r="V819">
        <v>14</v>
      </c>
      <c r="W819" t="s">
        <v>39</v>
      </c>
      <c r="X819" t="s">
        <v>52</v>
      </c>
      <c r="Y819" t="s">
        <v>38</v>
      </c>
      <c r="Z819" t="s">
        <v>41</v>
      </c>
      <c r="AA819" t="s">
        <v>54</v>
      </c>
      <c r="AB819" t="s">
        <v>83</v>
      </c>
      <c r="AC819">
        <f t="shared" si="132"/>
        <v>1</v>
      </c>
      <c r="AD819" s="12">
        <f t="shared" si="136"/>
        <v>0</v>
      </c>
      <c r="AE819" s="12">
        <f t="shared" si="137"/>
        <v>0</v>
      </c>
      <c r="AF819">
        <f t="shared" si="133"/>
        <v>0</v>
      </c>
      <c r="AG819">
        <f t="shared" si="138"/>
        <v>0</v>
      </c>
      <c r="AH819">
        <f t="shared" si="139"/>
        <v>1</v>
      </c>
      <c r="AI819">
        <f t="shared" si="140"/>
        <v>0</v>
      </c>
      <c r="AJ819">
        <f t="shared" si="141"/>
        <v>0</v>
      </c>
      <c r="AK819">
        <f t="shared" si="134"/>
        <v>0</v>
      </c>
      <c r="AL819">
        <f t="shared" si="142"/>
        <v>1</v>
      </c>
    </row>
    <row r="820" spans="1:38">
      <c r="A820" t="s">
        <v>2587</v>
      </c>
      <c r="B820" t="s">
        <v>2588</v>
      </c>
      <c r="C820" s="1">
        <f t="shared" si="135"/>
        <v>45474</v>
      </c>
      <c r="D820" t="s">
        <v>2589</v>
      </c>
      <c r="E820">
        <v>105.7</v>
      </c>
      <c r="F820">
        <v>4.4000000000000004</v>
      </c>
      <c r="G820" t="s">
        <v>77</v>
      </c>
      <c r="H820" t="s">
        <v>267</v>
      </c>
      <c r="I820" t="s">
        <v>48</v>
      </c>
      <c r="J820">
        <v>120</v>
      </c>
      <c r="K820" t="s">
        <v>49</v>
      </c>
      <c r="L820" t="s">
        <v>70</v>
      </c>
      <c r="M820" t="s">
        <v>35</v>
      </c>
      <c r="N820" t="s">
        <v>97</v>
      </c>
      <c r="O820" t="s">
        <v>37</v>
      </c>
      <c r="P820" t="s">
        <v>38</v>
      </c>
      <c r="Q820" t="s">
        <v>38</v>
      </c>
      <c r="R820">
        <v>1</v>
      </c>
      <c r="S820" t="s">
        <v>38</v>
      </c>
      <c r="T820">
        <v>10</v>
      </c>
      <c r="U820">
        <v>3.1</v>
      </c>
      <c r="V820">
        <v>18.600000000000001</v>
      </c>
      <c r="W820" t="s">
        <v>39</v>
      </c>
      <c r="X820" t="s">
        <v>40</v>
      </c>
      <c r="Y820" t="s">
        <v>38</v>
      </c>
      <c r="Z820" t="s">
        <v>179</v>
      </c>
      <c r="AA820" t="s">
        <v>54</v>
      </c>
      <c r="AB820" t="s">
        <v>55</v>
      </c>
      <c r="AC820">
        <f t="shared" si="132"/>
        <v>0</v>
      </c>
      <c r="AD820" s="12">
        <f t="shared" si="136"/>
        <v>0</v>
      </c>
      <c r="AE820" s="12">
        <f t="shared" si="137"/>
        <v>0</v>
      </c>
      <c r="AF820">
        <f t="shared" si="133"/>
        <v>0</v>
      </c>
      <c r="AG820">
        <f t="shared" si="138"/>
        <v>0</v>
      </c>
      <c r="AH820">
        <f t="shared" si="139"/>
        <v>1</v>
      </c>
      <c r="AI820">
        <f t="shared" si="140"/>
        <v>0</v>
      </c>
      <c r="AJ820">
        <f t="shared" si="141"/>
        <v>0</v>
      </c>
      <c r="AK820">
        <f t="shared" si="134"/>
        <v>0</v>
      </c>
      <c r="AL820">
        <f t="shared" si="142"/>
        <v>1</v>
      </c>
    </row>
    <row r="821" spans="1:38">
      <c r="A821" t="s">
        <v>2590</v>
      </c>
      <c r="B821" t="s">
        <v>2591</v>
      </c>
      <c r="C821" s="1">
        <f t="shared" si="135"/>
        <v>45474</v>
      </c>
      <c r="D821" t="s">
        <v>2592</v>
      </c>
      <c r="E821">
        <v>175.6</v>
      </c>
      <c r="F821">
        <v>7.3</v>
      </c>
      <c r="G821" t="s">
        <v>87</v>
      </c>
      <c r="H821" t="s">
        <v>183</v>
      </c>
      <c r="I821" t="s">
        <v>32</v>
      </c>
      <c r="J821">
        <v>240</v>
      </c>
      <c r="K821" t="s">
        <v>49</v>
      </c>
      <c r="L821" t="s">
        <v>133</v>
      </c>
      <c r="M821" t="s">
        <v>35</v>
      </c>
      <c r="N821" t="s">
        <v>72</v>
      </c>
      <c r="O821" t="s">
        <v>51</v>
      </c>
      <c r="P821" t="s">
        <v>39</v>
      </c>
      <c r="Q821" t="s">
        <v>38</v>
      </c>
      <c r="R821">
        <v>0</v>
      </c>
      <c r="S821" t="s">
        <v>38</v>
      </c>
      <c r="T821">
        <v>10</v>
      </c>
      <c r="U821">
        <v>2.4</v>
      </c>
      <c r="V821">
        <v>33.700000000000003</v>
      </c>
      <c r="W821" t="s">
        <v>38</v>
      </c>
      <c r="X821" t="s">
        <v>52</v>
      </c>
      <c r="Y821" t="s">
        <v>39</v>
      </c>
      <c r="Z821" t="s">
        <v>53</v>
      </c>
      <c r="AA821" t="s">
        <v>54</v>
      </c>
      <c r="AB821" t="s">
        <v>83</v>
      </c>
      <c r="AC821">
        <f t="shared" si="132"/>
        <v>1</v>
      </c>
      <c r="AD821" s="12">
        <f t="shared" si="136"/>
        <v>0</v>
      </c>
      <c r="AE821" s="12">
        <f t="shared" si="137"/>
        <v>0</v>
      </c>
      <c r="AF821">
        <f t="shared" si="133"/>
        <v>1</v>
      </c>
      <c r="AG821">
        <f t="shared" si="138"/>
        <v>0</v>
      </c>
      <c r="AH821">
        <f t="shared" si="139"/>
        <v>0</v>
      </c>
      <c r="AI821">
        <f t="shared" si="140"/>
        <v>0</v>
      </c>
      <c r="AJ821">
        <f t="shared" si="141"/>
        <v>1</v>
      </c>
      <c r="AK821">
        <f t="shared" si="134"/>
        <v>0</v>
      </c>
      <c r="AL821">
        <f t="shared" si="142"/>
        <v>0</v>
      </c>
    </row>
    <row r="822" spans="1:38">
      <c r="A822" t="s">
        <v>2593</v>
      </c>
      <c r="B822" t="s">
        <v>2594</v>
      </c>
      <c r="C822" s="1">
        <f t="shared" si="135"/>
        <v>45292</v>
      </c>
      <c r="D822" t="s">
        <v>2595</v>
      </c>
      <c r="E822">
        <v>202.5</v>
      </c>
      <c r="F822">
        <v>8.4</v>
      </c>
      <c r="G822" t="s">
        <v>142</v>
      </c>
      <c r="H822" t="s">
        <v>260</v>
      </c>
      <c r="I822" t="s">
        <v>32</v>
      </c>
      <c r="J822">
        <v>240</v>
      </c>
      <c r="K822" t="s">
        <v>49</v>
      </c>
      <c r="L822" t="s">
        <v>96</v>
      </c>
      <c r="M822" t="s">
        <v>35</v>
      </c>
      <c r="N822" t="s">
        <v>506</v>
      </c>
      <c r="O822" t="s">
        <v>7232</v>
      </c>
      <c r="P822" t="s">
        <v>39</v>
      </c>
      <c r="Q822" t="s">
        <v>38</v>
      </c>
      <c r="R822">
        <v>0</v>
      </c>
      <c r="S822" t="s">
        <v>38</v>
      </c>
      <c r="T822">
        <v>9</v>
      </c>
      <c r="U822">
        <v>5.3</v>
      </c>
      <c r="V822">
        <v>0</v>
      </c>
      <c r="W822" t="s">
        <v>39</v>
      </c>
      <c r="X822" t="s">
        <v>52</v>
      </c>
      <c r="Y822" t="s">
        <v>38</v>
      </c>
      <c r="Z822" t="s">
        <v>64</v>
      </c>
      <c r="AA822" t="s">
        <v>103</v>
      </c>
      <c r="AB822" t="s">
        <v>55</v>
      </c>
      <c r="AC822">
        <f t="shared" si="132"/>
        <v>1</v>
      </c>
      <c r="AD822" s="12">
        <f t="shared" si="136"/>
        <v>0</v>
      </c>
      <c r="AE822" s="12">
        <f t="shared" si="137"/>
        <v>0</v>
      </c>
      <c r="AF822">
        <f t="shared" si="133"/>
        <v>0</v>
      </c>
      <c r="AG822">
        <f t="shared" si="138"/>
        <v>1</v>
      </c>
      <c r="AH822">
        <f t="shared" si="139"/>
        <v>0</v>
      </c>
      <c r="AI822">
        <f t="shared" si="140"/>
        <v>0</v>
      </c>
      <c r="AJ822">
        <f t="shared" si="141"/>
        <v>1</v>
      </c>
      <c r="AK822">
        <f t="shared" si="134"/>
        <v>0</v>
      </c>
      <c r="AL822">
        <f t="shared" si="142"/>
        <v>1</v>
      </c>
    </row>
    <row r="823" spans="1:38">
      <c r="A823" t="s">
        <v>2596</v>
      </c>
      <c r="B823" t="s">
        <v>2597</v>
      </c>
      <c r="C823" s="1">
        <f t="shared" si="135"/>
        <v>45292</v>
      </c>
      <c r="D823" t="s">
        <v>2598</v>
      </c>
      <c r="E823">
        <v>223.4</v>
      </c>
      <c r="F823">
        <v>9.3000000000000007</v>
      </c>
      <c r="G823" t="s">
        <v>59</v>
      </c>
      <c r="H823" t="s">
        <v>60</v>
      </c>
      <c r="I823" t="s">
        <v>32</v>
      </c>
      <c r="J823">
        <v>240</v>
      </c>
      <c r="K823" t="s">
        <v>49</v>
      </c>
      <c r="L823" t="s">
        <v>70</v>
      </c>
      <c r="M823" t="s">
        <v>35</v>
      </c>
      <c r="N823" t="s">
        <v>114</v>
      </c>
      <c r="O823" t="s">
        <v>37</v>
      </c>
      <c r="P823" t="s">
        <v>38</v>
      </c>
      <c r="Q823" t="s">
        <v>38</v>
      </c>
      <c r="R823">
        <v>1</v>
      </c>
      <c r="S823" t="s">
        <v>38</v>
      </c>
      <c r="T823">
        <v>8</v>
      </c>
      <c r="U823">
        <v>3.4</v>
      </c>
      <c r="V823">
        <v>8.8000000000000007</v>
      </c>
      <c r="W823" t="s">
        <v>38</v>
      </c>
      <c r="X823" t="s">
        <v>52</v>
      </c>
      <c r="Y823" t="s">
        <v>39</v>
      </c>
      <c r="Z823" t="s">
        <v>73</v>
      </c>
      <c r="AA823" t="s">
        <v>42</v>
      </c>
      <c r="AB823" t="s">
        <v>55</v>
      </c>
      <c r="AC823">
        <f t="shared" si="132"/>
        <v>1</v>
      </c>
      <c r="AD823" s="12">
        <f t="shared" si="136"/>
        <v>0</v>
      </c>
      <c r="AE823" s="12">
        <f t="shared" si="137"/>
        <v>0</v>
      </c>
      <c r="AF823">
        <f t="shared" si="133"/>
        <v>0</v>
      </c>
      <c r="AG823">
        <f t="shared" si="138"/>
        <v>0</v>
      </c>
      <c r="AH823">
        <f t="shared" si="139"/>
        <v>0</v>
      </c>
      <c r="AI823">
        <f t="shared" si="140"/>
        <v>0</v>
      </c>
      <c r="AJ823">
        <f t="shared" si="141"/>
        <v>1</v>
      </c>
      <c r="AK823">
        <f t="shared" si="134"/>
        <v>0</v>
      </c>
      <c r="AL823">
        <f t="shared" si="142"/>
        <v>0</v>
      </c>
    </row>
    <row r="824" spans="1:38">
      <c r="A824" t="s">
        <v>2599</v>
      </c>
      <c r="B824" t="s">
        <v>2600</v>
      </c>
      <c r="C824" s="1">
        <f t="shared" si="135"/>
        <v>45566</v>
      </c>
      <c r="D824" t="s">
        <v>2601</v>
      </c>
      <c r="E824">
        <v>287.10000000000002</v>
      </c>
      <c r="F824">
        <v>12</v>
      </c>
      <c r="G824" t="s">
        <v>142</v>
      </c>
      <c r="H824" t="s">
        <v>319</v>
      </c>
      <c r="I824" t="s">
        <v>79</v>
      </c>
      <c r="J824">
        <v>360</v>
      </c>
      <c r="K824" t="s">
        <v>49</v>
      </c>
      <c r="L824" t="s">
        <v>70</v>
      </c>
      <c r="M824" t="s">
        <v>35</v>
      </c>
      <c r="N824" t="s">
        <v>414</v>
      </c>
      <c r="O824" t="s">
        <v>7232</v>
      </c>
      <c r="P824" t="s">
        <v>38</v>
      </c>
      <c r="Q824" t="s">
        <v>38</v>
      </c>
      <c r="R824">
        <v>1</v>
      </c>
      <c r="S824" t="s">
        <v>38</v>
      </c>
      <c r="T824">
        <v>8</v>
      </c>
      <c r="U824">
        <v>2.8</v>
      </c>
      <c r="V824">
        <v>10.3</v>
      </c>
      <c r="W824" t="s">
        <v>38</v>
      </c>
      <c r="X824" t="s">
        <v>123</v>
      </c>
      <c r="Y824" t="s">
        <v>39</v>
      </c>
      <c r="Z824" t="s">
        <v>41</v>
      </c>
      <c r="AA824" t="s">
        <v>109</v>
      </c>
      <c r="AB824" t="s">
        <v>55</v>
      </c>
      <c r="AC824">
        <f t="shared" si="132"/>
        <v>0</v>
      </c>
      <c r="AD824" s="12">
        <f t="shared" si="136"/>
        <v>0</v>
      </c>
      <c r="AE824" s="12">
        <f t="shared" si="137"/>
        <v>1</v>
      </c>
      <c r="AF824">
        <f t="shared" si="133"/>
        <v>0</v>
      </c>
      <c r="AG824">
        <f t="shared" si="138"/>
        <v>1</v>
      </c>
      <c r="AH824">
        <f t="shared" si="139"/>
        <v>0</v>
      </c>
      <c r="AI824">
        <f t="shared" si="140"/>
        <v>0</v>
      </c>
      <c r="AJ824">
        <f t="shared" si="141"/>
        <v>0</v>
      </c>
      <c r="AK824">
        <f t="shared" si="134"/>
        <v>0</v>
      </c>
      <c r="AL824">
        <f t="shared" si="142"/>
        <v>0</v>
      </c>
    </row>
    <row r="825" spans="1:38">
      <c r="A825" t="s">
        <v>2602</v>
      </c>
      <c r="B825" t="s">
        <v>2603</v>
      </c>
      <c r="C825" s="1">
        <f t="shared" si="135"/>
        <v>45627</v>
      </c>
      <c r="D825" t="s">
        <v>2604</v>
      </c>
      <c r="E825">
        <v>130.1</v>
      </c>
      <c r="F825">
        <v>5.4</v>
      </c>
      <c r="G825" t="s">
        <v>59</v>
      </c>
      <c r="H825" t="s">
        <v>466</v>
      </c>
      <c r="I825" t="s">
        <v>48</v>
      </c>
      <c r="J825">
        <v>120</v>
      </c>
      <c r="K825" t="s">
        <v>33</v>
      </c>
      <c r="L825" t="s">
        <v>96</v>
      </c>
      <c r="M825" t="s">
        <v>35</v>
      </c>
      <c r="N825" t="s">
        <v>107</v>
      </c>
      <c r="O825" t="s">
        <v>51</v>
      </c>
      <c r="P825" t="s">
        <v>38</v>
      </c>
      <c r="Q825" t="s">
        <v>38</v>
      </c>
      <c r="R825">
        <v>1</v>
      </c>
      <c r="S825" t="s">
        <v>38</v>
      </c>
      <c r="T825">
        <v>5</v>
      </c>
      <c r="U825">
        <v>4.0999999999999996</v>
      </c>
      <c r="V825">
        <v>26.1</v>
      </c>
      <c r="W825" t="s">
        <v>39</v>
      </c>
      <c r="X825" t="s">
        <v>63</v>
      </c>
      <c r="Y825" t="s">
        <v>38</v>
      </c>
      <c r="Z825" t="s">
        <v>108</v>
      </c>
      <c r="AA825" t="s">
        <v>109</v>
      </c>
      <c r="AB825" t="s">
        <v>83</v>
      </c>
      <c r="AC825">
        <f t="shared" si="132"/>
        <v>0</v>
      </c>
      <c r="AD825" s="12">
        <f t="shared" si="136"/>
        <v>1</v>
      </c>
      <c r="AE825" s="12">
        <f t="shared" si="137"/>
        <v>0</v>
      </c>
      <c r="AF825">
        <f t="shared" si="133"/>
        <v>1</v>
      </c>
      <c r="AG825">
        <f t="shared" si="138"/>
        <v>0</v>
      </c>
      <c r="AH825">
        <f t="shared" si="139"/>
        <v>1</v>
      </c>
      <c r="AI825">
        <f t="shared" si="140"/>
        <v>0</v>
      </c>
      <c r="AJ825">
        <f t="shared" si="141"/>
        <v>0</v>
      </c>
      <c r="AK825">
        <f t="shared" si="134"/>
        <v>0</v>
      </c>
      <c r="AL825">
        <f t="shared" si="142"/>
        <v>1</v>
      </c>
    </row>
    <row r="826" spans="1:38">
      <c r="A826" t="s">
        <v>2605</v>
      </c>
      <c r="B826" t="s">
        <v>2606</v>
      </c>
      <c r="C826" s="1">
        <f t="shared" si="135"/>
        <v>45352</v>
      </c>
      <c r="D826" t="s">
        <v>2607</v>
      </c>
      <c r="E826">
        <v>215.2</v>
      </c>
      <c r="F826">
        <v>9</v>
      </c>
      <c r="G826" t="s">
        <v>30</v>
      </c>
      <c r="H826" t="s">
        <v>31</v>
      </c>
      <c r="I826" t="s">
        <v>32</v>
      </c>
      <c r="J826">
        <v>240</v>
      </c>
      <c r="K826" t="s">
        <v>49</v>
      </c>
      <c r="L826" t="s">
        <v>133</v>
      </c>
      <c r="M826" t="s">
        <v>35</v>
      </c>
      <c r="N826" t="s">
        <v>138</v>
      </c>
      <c r="O826" t="s">
        <v>7232</v>
      </c>
      <c r="P826" t="s">
        <v>38</v>
      </c>
      <c r="Q826" t="s">
        <v>38</v>
      </c>
      <c r="R826">
        <v>1</v>
      </c>
      <c r="S826" t="s">
        <v>38</v>
      </c>
      <c r="T826">
        <v>6</v>
      </c>
      <c r="U826">
        <v>4.5999999999999996</v>
      </c>
      <c r="V826">
        <v>3.1</v>
      </c>
      <c r="W826" t="s">
        <v>38</v>
      </c>
      <c r="X826" t="s">
        <v>52</v>
      </c>
      <c r="Y826" t="s">
        <v>38</v>
      </c>
      <c r="Z826" t="s">
        <v>64</v>
      </c>
      <c r="AA826" t="s">
        <v>103</v>
      </c>
      <c r="AB826" t="s">
        <v>83</v>
      </c>
      <c r="AC826">
        <f t="shared" si="132"/>
        <v>1</v>
      </c>
      <c r="AD826" s="12">
        <f t="shared" si="136"/>
        <v>0</v>
      </c>
      <c r="AE826" s="12">
        <f t="shared" si="137"/>
        <v>0</v>
      </c>
      <c r="AF826">
        <f t="shared" si="133"/>
        <v>0</v>
      </c>
      <c r="AG826">
        <f t="shared" si="138"/>
        <v>1</v>
      </c>
      <c r="AH826">
        <f t="shared" si="139"/>
        <v>0</v>
      </c>
      <c r="AI826">
        <f t="shared" si="140"/>
        <v>0</v>
      </c>
      <c r="AJ826">
        <f t="shared" si="141"/>
        <v>1</v>
      </c>
      <c r="AK826">
        <f t="shared" si="134"/>
        <v>1</v>
      </c>
      <c r="AL826">
        <f t="shared" si="142"/>
        <v>1</v>
      </c>
    </row>
    <row r="827" spans="1:38">
      <c r="A827" t="s">
        <v>2608</v>
      </c>
      <c r="B827" t="s">
        <v>2609</v>
      </c>
      <c r="C827" s="1">
        <f t="shared" si="135"/>
        <v>45352</v>
      </c>
      <c r="D827" t="s">
        <v>2610</v>
      </c>
      <c r="E827">
        <v>110.6</v>
      </c>
      <c r="F827">
        <v>4.5999999999999996</v>
      </c>
      <c r="G827" t="s">
        <v>77</v>
      </c>
      <c r="H827" t="s">
        <v>267</v>
      </c>
      <c r="I827" t="s">
        <v>48</v>
      </c>
      <c r="J827">
        <v>120</v>
      </c>
      <c r="K827" t="s">
        <v>49</v>
      </c>
      <c r="L827" t="s">
        <v>34</v>
      </c>
      <c r="M827" t="s">
        <v>35</v>
      </c>
      <c r="N827" t="s">
        <v>80</v>
      </c>
      <c r="O827" t="s">
        <v>51</v>
      </c>
      <c r="P827" t="s">
        <v>38</v>
      </c>
      <c r="Q827" t="s">
        <v>38</v>
      </c>
      <c r="R827">
        <v>1</v>
      </c>
      <c r="S827" t="s">
        <v>38</v>
      </c>
      <c r="T827">
        <v>10</v>
      </c>
      <c r="U827">
        <v>4.3</v>
      </c>
      <c r="V827">
        <v>24</v>
      </c>
      <c r="W827" t="s">
        <v>39</v>
      </c>
      <c r="X827" t="s">
        <v>63</v>
      </c>
      <c r="Y827" t="s">
        <v>38</v>
      </c>
      <c r="Z827" t="s">
        <v>108</v>
      </c>
      <c r="AA827" t="s">
        <v>109</v>
      </c>
      <c r="AB827" t="s">
        <v>55</v>
      </c>
      <c r="AC827">
        <f t="shared" si="132"/>
        <v>0</v>
      </c>
      <c r="AD827" s="12">
        <f t="shared" si="136"/>
        <v>1</v>
      </c>
      <c r="AE827" s="12">
        <f t="shared" si="137"/>
        <v>0</v>
      </c>
      <c r="AF827">
        <f t="shared" si="133"/>
        <v>1</v>
      </c>
      <c r="AG827">
        <f t="shared" si="138"/>
        <v>0</v>
      </c>
      <c r="AH827">
        <f t="shared" si="139"/>
        <v>1</v>
      </c>
      <c r="AI827">
        <f t="shared" si="140"/>
        <v>0</v>
      </c>
      <c r="AJ827">
        <f t="shared" si="141"/>
        <v>0</v>
      </c>
      <c r="AK827">
        <f t="shared" si="134"/>
        <v>0</v>
      </c>
      <c r="AL827">
        <f t="shared" si="142"/>
        <v>1</v>
      </c>
    </row>
    <row r="828" spans="1:38">
      <c r="A828" t="s">
        <v>2611</v>
      </c>
      <c r="B828" t="s">
        <v>2612</v>
      </c>
      <c r="C828" s="1">
        <f t="shared" si="135"/>
        <v>45352</v>
      </c>
      <c r="D828" t="s">
        <v>2613</v>
      </c>
      <c r="E828">
        <v>95.7</v>
      </c>
      <c r="F828">
        <v>4</v>
      </c>
      <c r="G828" t="s">
        <v>142</v>
      </c>
      <c r="H828" t="s">
        <v>143</v>
      </c>
      <c r="I828" t="s">
        <v>48</v>
      </c>
      <c r="J828">
        <v>120</v>
      </c>
      <c r="K828" t="s">
        <v>49</v>
      </c>
      <c r="L828" t="s">
        <v>34</v>
      </c>
      <c r="M828" t="s">
        <v>71</v>
      </c>
      <c r="N828" t="s">
        <v>414</v>
      </c>
      <c r="O828" t="s">
        <v>51</v>
      </c>
      <c r="P828" t="s">
        <v>38</v>
      </c>
      <c r="Q828" t="s">
        <v>39</v>
      </c>
      <c r="R828">
        <v>2</v>
      </c>
      <c r="S828" t="s">
        <v>38</v>
      </c>
      <c r="T828">
        <v>7</v>
      </c>
      <c r="U828">
        <v>2.2000000000000002</v>
      </c>
      <c r="V828">
        <v>10.199999999999999</v>
      </c>
      <c r="W828" t="s">
        <v>39</v>
      </c>
      <c r="X828" t="s">
        <v>123</v>
      </c>
      <c r="Y828" t="s">
        <v>38</v>
      </c>
      <c r="Z828" t="s">
        <v>41</v>
      </c>
      <c r="AA828" t="s">
        <v>103</v>
      </c>
      <c r="AB828" t="s">
        <v>83</v>
      </c>
      <c r="AC828">
        <f t="shared" si="132"/>
        <v>0</v>
      </c>
      <c r="AD828" s="12">
        <f t="shared" si="136"/>
        <v>0</v>
      </c>
      <c r="AE828" s="12">
        <f t="shared" si="137"/>
        <v>1</v>
      </c>
      <c r="AF828">
        <f t="shared" si="133"/>
        <v>1</v>
      </c>
      <c r="AG828">
        <f t="shared" si="138"/>
        <v>0</v>
      </c>
      <c r="AH828">
        <f t="shared" si="139"/>
        <v>1</v>
      </c>
      <c r="AI828">
        <f t="shared" si="140"/>
        <v>0</v>
      </c>
      <c r="AJ828">
        <f t="shared" si="141"/>
        <v>0</v>
      </c>
      <c r="AK828">
        <f t="shared" si="134"/>
        <v>0</v>
      </c>
      <c r="AL828">
        <f t="shared" si="142"/>
        <v>1</v>
      </c>
    </row>
    <row r="829" spans="1:38">
      <c r="A829" t="s">
        <v>2614</v>
      </c>
      <c r="B829" t="s">
        <v>2615</v>
      </c>
      <c r="C829" s="1">
        <f t="shared" si="135"/>
        <v>45536</v>
      </c>
      <c r="D829" t="s">
        <v>2616</v>
      </c>
      <c r="E829">
        <v>163.30000000000001</v>
      </c>
      <c r="F829">
        <v>6.8</v>
      </c>
      <c r="G829" t="s">
        <v>93</v>
      </c>
      <c r="H829" t="s">
        <v>163</v>
      </c>
      <c r="I829" t="s">
        <v>32</v>
      </c>
      <c r="J829">
        <v>240</v>
      </c>
      <c r="K829" t="s">
        <v>49</v>
      </c>
      <c r="L829" t="s">
        <v>113</v>
      </c>
      <c r="M829" t="s">
        <v>71</v>
      </c>
      <c r="N829" t="s">
        <v>220</v>
      </c>
      <c r="O829" t="s">
        <v>37</v>
      </c>
      <c r="P829" t="s">
        <v>38</v>
      </c>
      <c r="Q829" t="s">
        <v>39</v>
      </c>
      <c r="R829">
        <v>1</v>
      </c>
      <c r="S829" t="s">
        <v>38</v>
      </c>
      <c r="T829">
        <v>6</v>
      </c>
      <c r="U829">
        <v>2.7</v>
      </c>
      <c r="V829">
        <v>16.5</v>
      </c>
      <c r="W829" t="s">
        <v>39</v>
      </c>
      <c r="X829" t="s">
        <v>123</v>
      </c>
      <c r="Y829" t="s">
        <v>38</v>
      </c>
      <c r="Z829" t="s">
        <v>41</v>
      </c>
      <c r="AA829" t="s">
        <v>109</v>
      </c>
      <c r="AB829" t="s">
        <v>83</v>
      </c>
      <c r="AC829">
        <f t="shared" si="132"/>
        <v>0</v>
      </c>
      <c r="AD829" s="12">
        <f t="shared" si="136"/>
        <v>0</v>
      </c>
      <c r="AE829" s="12">
        <f t="shared" si="137"/>
        <v>1</v>
      </c>
      <c r="AF829">
        <f t="shared" si="133"/>
        <v>0</v>
      </c>
      <c r="AG829">
        <f t="shared" si="138"/>
        <v>0</v>
      </c>
      <c r="AH829">
        <f t="shared" si="139"/>
        <v>0</v>
      </c>
      <c r="AI829">
        <f t="shared" si="140"/>
        <v>0</v>
      </c>
      <c r="AJ829">
        <f t="shared" si="141"/>
        <v>1</v>
      </c>
      <c r="AK829">
        <f t="shared" si="134"/>
        <v>0</v>
      </c>
      <c r="AL829">
        <f t="shared" si="142"/>
        <v>1</v>
      </c>
    </row>
    <row r="830" spans="1:38">
      <c r="A830" t="s">
        <v>2617</v>
      </c>
      <c r="B830" t="s">
        <v>2618</v>
      </c>
      <c r="C830" s="1">
        <f t="shared" si="135"/>
        <v>45292</v>
      </c>
      <c r="D830" t="s">
        <v>2619</v>
      </c>
      <c r="E830">
        <v>318.10000000000002</v>
      </c>
      <c r="F830">
        <v>13.3</v>
      </c>
      <c r="G830" t="s">
        <v>68</v>
      </c>
      <c r="H830" t="s">
        <v>212</v>
      </c>
      <c r="I830" t="s">
        <v>32</v>
      </c>
      <c r="J830">
        <v>240</v>
      </c>
      <c r="K830" t="s">
        <v>33</v>
      </c>
      <c r="L830" t="s">
        <v>133</v>
      </c>
      <c r="M830" t="s">
        <v>35</v>
      </c>
      <c r="N830" t="s">
        <v>72</v>
      </c>
      <c r="O830" t="s">
        <v>7232</v>
      </c>
      <c r="P830" t="s">
        <v>38</v>
      </c>
      <c r="Q830" t="s">
        <v>38</v>
      </c>
      <c r="R830">
        <v>1</v>
      </c>
      <c r="S830" t="s">
        <v>38</v>
      </c>
      <c r="T830">
        <v>6</v>
      </c>
      <c r="U830">
        <v>0.1</v>
      </c>
      <c r="V830">
        <v>6</v>
      </c>
      <c r="W830" t="s">
        <v>38</v>
      </c>
      <c r="X830" t="s">
        <v>52</v>
      </c>
      <c r="Y830" t="s">
        <v>39</v>
      </c>
      <c r="Z830" t="s">
        <v>64</v>
      </c>
      <c r="AA830" t="s">
        <v>82</v>
      </c>
      <c r="AB830" t="s">
        <v>55</v>
      </c>
      <c r="AC830">
        <f t="shared" si="132"/>
        <v>1</v>
      </c>
      <c r="AD830" s="12">
        <f t="shared" si="136"/>
        <v>0</v>
      </c>
      <c r="AE830" s="12">
        <f t="shared" si="137"/>
        <v>0</v>
      </c>
      <c r="AF830">
        <f t="shared" si="133"/>
        <v>0</v>
      </c>
      <c r="AG830">
        <f t="shared" si="138"/>
        <v>1</v>
      </c>
      <c r="AH830">
        <f t="shared" si="139"/>
        <v>0</v>
      </c>
      <c r="AI830">
        <f t="shared" si="140"/>
        <v>0</v>
      </c>
      <c r="AJ830">
        <f t="shared" si="141"/>
        <v>1</v>
      </c>
      <c r="AK830">
        <f t="shared" si="134"/>
        <v>0</v>
      </c>
      <c r="AL830">
        <f t="shared" si="142"/>
        <v>0</v>
      </c>
    </row>
    <row r="831" spans="1:38">
      <c r="A831" t="s">
        <v>2620</v>
      </c>
      <c r="B831" t="s">
        <v>2621</v>
      </c>
      <c r="C831" s="1">
        <f t="shared" si="135"/>
        <v>45597</v>
      </c>
      <c r="D831" t="s">
        <v>2622</v>
      </c>
      <c r="E831">
        <v>209.8</v>
      </c>
      <c r="F831">
        <v>8.6999999999999993</v>
      </c>
      <c r="G831" t="s">
        <v>101</v>
      </c>
      <c r="H831" t="s">
        <v>442</v>
      </c>
      <c r="I831" t="s">
        <v>32</v>
      </c>
      <c r="J831">
        <v>240</v>
      </c>
      <c r="K831" t="s">
        <v>49</v>
      </c>
      <c r="L831" t="s">
        <v>70</v>
      </c>
      <c r="M831" t="s">
        <v>35</v>
      </c>
      <c r="N831" t="s">
        <v>36</v>
      </c>
      <c r="O831" t="s">
        <v>37</v>
      </c>
      <c r="P831" t="s">
        <v>38</v>
      </c>
      <c r="Q831" t="s">
        <v>38</v>
      </c>
      <c r="R831">
        <v>1</v>
      </c>
      <c r="S831" t="s">
        <v>38</v>
      </c>
      <c r="T831">
        <v>10</v>
      </c>
      <c r="U831">
        <v>4.5</v>
      </c>
      <c r="V831">
        <v>13.5</v>
      </c>
      <c r="W831" t="s">
        <v>39</v>
      </c>
      <c r="X831" t="s">
        <v>123</v>
      </c>
      <c r="Y831" t="s">
        <v>38</v>
      </c>
      <c r="Z831" t="s">
        <v>108</v>
      </c>
      <c r="AA831" t="s">
        <v>82</v>
      </c>
      <c r="AB831" t="s">
        <v>83</v>
      </c>
      <c r="AC831">
        <f t="shared" si="132"/>
        <v>0</v>
      </c>
      <c r="AD831" s="12">
        <f t="shared" si="136"/>
        <v>0</v>
      </c>
      <c r="AE831" s="12">
        <f t="shared" si="137"/>
        <v>1</v>
      </c>
      <c r="AF831">
        <f t="shared" si="133"/>
        <v>0</v>
      </c>
      <c r="AG831">
        <f t="shared" si="138"/>
        <v>0</v>
      </c>
      <c r="AH831">
        <f t="shared" si="139"/>
        <v>0</v>
      </c>
      <c r="AI831">
        <f t="shared" si="140"/>
        <v>0</v>
      </c>
      <c r="AJ831">
        <f t="shared" si="141"/>
        <v>1</v>
      </c>
      <c r="AK831">
        <f t="shared" si="134"/>
        <v>0</v>
      </c>
      <c r="AL831">
        <f t="shared" si="142"/>
        <v>1</v>
      </c>
    </row>
    <row r="832" spans="1:38">
      <c r="A832" t="s">
        <v>2623</v>
      </c>
      <c r="B832" t="s">
        <v>2624</v>
      </c>
      <c r="C832" s="1">
        <f t="shared" si="135"/>
        <v>45383</v>
      </c>
      <c r="D832" t="s">
        <v>2625</v>
      </c>
      <c r="E832">
        <v>270.7</v>
      </c>
      <c r="F832">
        <v>11.3</v>
      </c>
      <c r="G832" t="s">
        <v>87</v>
      </c>
      <c r="H832" t="s">
        <v>88</v>
      </c>
      <c r="I832" t="s">
        <v>79</v>
      </c>
      <c r="J832">
        <v>360</v>
      </c>
      <c r="K832" t="s">
        <v>49</v>
      </c>
      <c r="L832" t="s">
        <v>96</v>
      </c>
      <c r="M832" t="s">
        <v>35</v>
      </c>
      <c r="N832" t="s">
        <v>114</v>
      </c>
      <c r="O832" t="s">
        <v>7232</v>
      </c>
      <c r="P832" t="s">
        <v>38</v>
      </c>
      <c r="Q832" t="s">
        <v>38</v>
      </c>
      <c r="R832">
        <v>1</v>
      </c>
      <c r="S832" t="s">
        <v>38</v>
      </c>
      <c r="T832">
        <v>8</v>
      </c>
      <c r="U832">
        <v>0.1</v>
      </c>
      <c r="V832">
        <v>22.5</v>
      </c>
      <c r="W832" t="s">
        <v>39</v>
      </c>
      <c r="X832" t="s">
        <v>52</v>
      </c>
      <c r="Y832" t="s">
        <v>38</v>
      </c>
      <c r="Z832" t="s">
        <v>115</v>
      </c>
      <c r="AA832" t="s">
        <v>42</v>
      </c>
      <c r="AB832" t="s">
        <v>83</v>
      </c>
      <c r="AC832">
        <f t="shared" si="132"/>
        <v>1</v>
      </c>
      <c r="AD832" s="12">
        <f t="shared" si="136"/>
        <v>0</v>
      </c>
      <c r="AE832" s="12">
        <f t="shared" si="137"/>
        <v>0</v>
      </c>
      <c r="AF832">
        <f t="shared" si="133"/>
        <v>0</v>
      </c>
      <c r="AG832">
        <f t="shared" si="138"/>
        <v>1</v>
      </c>
      <c r="AH832">
        <f t="shared" si="139"/>
        <v>0</v>
      </c>
      <c r="AI832">
        <f t="shared" si="140"/>
        <v>0</v>
      </c>
      <c r="AJ832">
        <f t="shared" si="141"/>
        <v>0</v>
      </c>
      <c r="AK832">
        <f t="shared" si="134"/>
        <v>0</v>
      </c>
      <c r="AL832">
        <f t="shared" si="142"/>
        <v>1</v>
      </c>
    </row>
    <row r="833" spans="1:38">
      <c r="A833" t="s">
        <v>2626</v>
      </c>
      <c r="B833" t="s">
        <v>2627</v>
      </c>
      <c r="C833" s="1">
        <f t="shared" si="135"/>
        <v>45444</v>
      </c>
      <c r="D833" t="s">
        <v>2628</v>
      </c>
      <c r="E833">
        <v>82.2</v>
      </c>
      <c r="F833">
        <v>3.4</v>
      </c>
      <c r="G833" t="s">
        <v>87</v>
      </c>
      <c r="H833" t="s">
        <v>309</v>
      </c>
      <c r="I833" t="s">
        <v>48</v>
      </c>
      <c r="J833">
        <v>120</v>
      </c>
      <c r="K833" t="s">
        <v>49</v>
      </c>
      <c r="L833" t="s">
        <v>96</v>
      </c>
      <c r="M833" t="s">
        <v>35</v>
      </c>
      <c r="N833" t="s">
        <v>97</v>
      </c>
      <c r="O833" t="s">
        <v>37</v>
      </c>
      <c r="P833" t="s">
        <v>39</v>
      </c>
      <c r="Q833" t="s">
        <v>38</v>
      </c>
      <c r="R833">
        <v>0</v>
      </c>
      <c r="S833" t="s">
        <v>38</v>
      </c>
      <c r="T833">
        <v>10</v>
      </c>
      <c r="U833">
        <v>0.1</v>
      </c>
      <c r="V833">
        <v>1.6</v>
      </c>
      <c r="W833" t="s">
        <v>39</v>
      </c>
      <c r="X833" t="s">
        <v>63</v>
      </c>
      <c r="Y833" t="s">
        <v>39</v>
      </c>
      <c r="Z833" t="s">
        <v>64</v>
      </c>
      <c r="AA833" t="s">
        <v>103</v>
      </c>
      <c r="AB833" t="s">
        <v>83</v>
      </c>
      <c r="AC833">
        <f t="shared" si="132"/>
        <v>0</v>
      </c>
      <c r="AD833" s="12">
        <f t="shared" si="136"/>
        <v>1</v>
      </c>
      <c r="AE833" s="12">
        <f t="shared" si="137"/>
        <v>0</v>
      </c>
      <c r="AF833">
        <f t="shared" si="133"/>
        <v>0</v>
      </c>
      <c r="AG833">
        <f t="shared" si="138"/>
        <v>0</v>
      </c>
      <c r="AH833">
        <f t="shared" si="139"/>
        <v>1</v>
      </c>
      <c r="AI833">
        <f t="shared" si="140"/>
        <v>0</v>
      </c>
      <c r="AJ833">
        <f t="shared" si="141"/>
        <v>0</v>
      </c>
      <c r="AK833">
        <f t="shared" si="134"/>
        <v>0</v>
      </c>
      <c r="AL833">
        <f t="shared" si="142"/>
        <v>0</v>
      </c>
    </row>
    <row r="834" spans="1:38">
      <c r="A834" t="s">
        <v>2629</v>
      </c>
      <c r="B834" t="s">
        <v>2630</v>
      </c>
      <c r="C834" s="1">
        <f t="shared" si="135"/>
        <v>45536</v>
      </c>
      <c r="D834" t="s">
        <v>2631</v>
      </c>
      <c r="E834">
        <v>172.1</v>
      </c>
      <c r="F834">
        <v>7.2</v>
      </c>
      <c r="G834" t="s">
        <v>77</v>
      </c>
      <c r="H834" t="s">
        <v>267</v>
      </c>
      <c r="I834" t="s">
        <v>32</v>
      </c>
      <c r="J834">
        <v>240</v>
      </c>
      <c r="K834" t="s">
        <v>49</v>
      </c>
      <c r="L834" t="s">
        <v>96</v>
      </c>
      <c r="M834" t="s">
        <v>35</v>
      </c>
      <c r="N834" t="s">
        <v>36</v>
      </c>
      <c r="O834" t="s">
        <v>51</v>
      </c>
      <c r="P834" t="s">
        <v>38</v>
      </c>
      <c r="Q834" t="s">
        <v>38</v>
      </c>
      <c r="R834">
        <v>1</v>
      </c>
      <c r="S834" t="s">
        <v>38</v>
      </c>
      <c r="T834">
        <v>7</v>
      </c>
      <c r="U834">
        <v>0.9</v>
      </c>
      <c r="V834">
        <v>17</v>
      </c>
      <c r="W834" t="s">
        <v>39</v>
      </c>
      <c r="X834" t="s">
        <v>52</v>
      </c>
      <c r="Y834" t="s">
        <v>39</v>
      </c>
      <c r="Z834" t="s">
        <v>81</v>
      </c>
      <c r="AA834" t="s">
        <v>42</v>
      </c>
      <c r="AB834" t="s">
        <v>83</v>
      </c>
      <c r="AC834">
        <f t="shared" ref="AC834:AC897" si="143">IF(X834="Poor", 1, 0)</f>
        <v>1</v>
      </c>
      <c r="AD834" s="12">
        <f t="shared" si="136"/>
        <v>0</v>
      </c>
      <c r="AE834" s="12">
        <f t="shared" si="137"/>
        <v>0</v>
      </c>
      <c r="AF834">
        <f t="shared" ref="AF834:AF897" si="144">IF(O834="Junior", 1, 0)</f>
        <v>1</v>
      </c>
      <c r="AG834">
        <f t="shared" si="138"/>
        <v>0</v>
      </c>
      <c r="AH834">
        <f t="shared" si="139"/>
        <v>0</v>
      </c>
      <c r="AI834">
        <f t="shared" si="140"/>
        <v>0</v>
      </c>
      <c r="AJ834">
        <f t="shared" si="141"/>
        <v>1</v>
      </c>
      <c r="AK834">
        <f t="shared" ref="AK834:AK897" si="145">IF(G834="Access Requests", 1, 0)</f>
        <v>0</v>
      </c>
      <c r="AL834">
        <f t="shared" si="142"/>
        <v>0</v>
      </c>
    </row>
    <row r="835" spans="1:38">
      <c r="A835" t="s">
        <v>2632</v>
      </c>
      <c r="B835" t="s">
        <v>2633</v>
      </c>
      <c r="C835" s="1">
        <f t="shared" ref="C835:C898" si="146">DATE(YEAR(B835),MONTH(B835),1)</f>
        <v>45323</v>
      </c>
      <c r="D835" t="s">
        <v>2634</v>
      </c>
      <c r="E835">
        <v>168.8</v>
      </c>
      <c r="F835">
        <v>7</v>
      </c>
      <c r="G835" t="s">
        <v>59</v>
      </c>
      <c r="H835" t="s">
        <v>60</v>
      </c>
      <c r="I835" t="s">
        <v>32</v>
      </c>
      <c r="J835">
        <v>240</v>
      </c>
      <c r="K835" t="s">
        <v>49</v>
      </c>
      <c r="L835" t="s">
        <v>34</v>
      </c>
      <c r="M835" t="s">
        <v>35</v>
      </c>
      <c r="N835" t="s">
        <v>168</v>
      </c>
      <c r="O835" t="s">
        <v>51</v>
      </c>
      <c r="P835" t="s">
        <v>38</v>
      </c>
      <c r="Q835" t="s">
        <v>38</v>
      </c>
      <c r="R835">
        <v>1</v>
      </c>
      <c r="S835" t="s">
        <v>38</v>
      </c>
      <c r="T835">
        <v>9</v>
      </c>
      <c r="U835">
        <v>2.2999999999999998</v>
      </c>
      <c r="V835">
        <v>0</v>
      </c>
      <c r="W835" t="s">
        <v>39</v>
      </c>
      <c r="X835" t="s">
        <v>123</v>
      </c>
      <c r="Y835" t="s">
        <v>38</v>
      </c>
      <c r="Z835" t="s">
        <v>108</v>
      </c>
      <c r="AA835" t="s">
        <v>54</v>
      </c>
      <c r="AB835" t="s">
        <v>83</v>
      </c>
      <c r="AC835">
        <f t="shared" si="143"/>
        <v>0</v>
      </c>
      <c r="AD835" s="12">
        <f t="shared" ref="AD835:AD898" si="147">IF(X835="Fair", 1, 0)</f>
        <v>0</v>
      </c>
      <c r="AE835" s="12">
        <f t="shared" ref="AE835:AE898" si="148">IF(X835="Good", 1, 0)</f>
        <v>1</v>
      </c>
      <c r="AF835">
        <f t="shared" si="144"/>
        <v>1</v>
      </c>
      <c r="AG835">
        <f t="shared" ref="AG835:AG898" si="149">IF(O835="Mid", 1, 0)</f>
        <v>0</v>
      </c>
      <c r="AH835">
        <f t="shared" ref="AH835:AH898" si="150">IF(I835="High", 1, 0)</f>
        <v>0</v>
      </c>
      <c r="AI835">
        <f t="shared" ref="AI835:AI898" si="151">IF(I835="Critical", 1, 0)</f>
        <v>0</v>
      </c>
      <c r="AJ835">
        <f t="shared" ref="AJ835:AJ898" si="152">IF(I835="Medium", 1, 0)</f>
        <v>1</v>
      </c>
      <c r="AK835">
        <f t="shared" si="145"/>
        <v>0</v>
      </c>
      <c r="AL835">
        <f t="shared" ref="AL835:AL898" si="153">IF(Y835="No", 1, 0)</f>
        <v>1</v>
      </c>
    </row>
    <row r="836" spans="1:38">
      <c r="A836" t="s">
        <v>2635</v>
      </c>
      <c r="B836" t="s">
        <v>2636</v>
      </c>
      <c r="C836" s="1">
        <f t="shared" si="146"/>
        <v>45474</v>
      </c>
      <c r="D836" t="s">
        <v>2637</v>
      </c>
      <c r="E836">
        <v>124</v>
      </c>
      <c r="F836">
        <v>5.2</v>
      </c>
      <c r="G836" t="s">
        <v>87</v>
      </c>
      <c r="H836" t="s">
        <v>88</v>
      </c>
      <c r="I836" t="s">
        <v>48</v>
      </c>
      <c r="J836">
        <v>120</v>
      </c>
      <c r="K836" t="s">
        <v>33</v>
      </c>
      <c r="L836" t="s">
        <v>34</v>
      </c>
      <c r="M836" t="s">
        <v>35</v>
      </c>
      <c r="N836" t="s">
        <v>80</v>
      </c>
      <c r="O836" t="s">
        <v>51</v>
      </c>
      <c r="P836" t="s">
        <v>39</v>
      </c>
      <c r="Q836" t="s">
        <v>38</v>
      </c>
      <c r="R836">
        <v>0</v>
      </c>
      <c r="S836" t="s">
        <v>38</v>
      </c>
      <c r="T836">
        <v>7</v>
      </c>
      <c r="U836">
        <v>5.4</v>
      </c>
      <c r="V836">
        <v>4.3</v>
      </c>
      <c r="W836" t="s">
        <v>39</v>
      </c>
      <c r="X836" t="s">
        <v>52</v>
      </c>
      <c r="Y836" t="s">
        <v>39</v>
      </c>
      <c r="Z836" t="s">
        <v>179</v>
      </c>
      <c r="AA836" t="s">
        <v>42</v>
      </c>
      <c r="AB836" t="s">
        <v>83</v>
      </c>
      <c r="AC836">
        <f t="shared" si="143"/>
        <v>1</v>
      </c>
      <c r="AD836" s="12">
        <f t="shared" si="147"/>
        <v>0</v>
      </c>
      <c r="AE836" s="12">
        <f t="shared" si="148"/>
        <v>0</v>
      </c>
      <c r="AF836">
        <f t="shared" si="144"/>
        <v>1</v>
      </c>
      <c r="AG836">
        <f t="shared" si="149"/>
        <v>0</v>
      </c>
      <c r="AH836">
        <f t="shared" si="150"/>
        <v>1</v>
      </c>
      <c r="AI836">
        <f t="shared" si="151"/>
        <v>0</v>
      </c>
      <c r="AJ836">
        <f t="shared" si="152"/>
        <v>0</v>
      </c>
      <c r="AK836">
        <f t="shared" si="145"/>
        <v>0</v>
      </c>
      <c r="AL836">
        <f t="shared" si="153"/>
        <v>0</v>
      </c>
    </row>
    <row r="837" spans="1:38">
      <c r="A837" t="s">
        <v>2638</v>
      </c>
      <c r="B837" t="s">
        <v>2639</v>
      </c>
      <c r="C837" s="1">
        <f t="shared" si="146"/>
        <v>45323</v>
      </c>
      <c r="D837" t="s">
        <v>2640</v>
      </c>
      <c r="E837">
        <v>87.1</v>
      </c>
      <c r="F837">
        <v>3.6</v>
      </c>
      <c r="G837" t="s">
        <v>30</v>
      </c>
      <c r="H837" t="s">
        <v>47</v>
      </c>
      <c r="I837" t="s">
        <v>48</v>
      </c>
      <c r="J837">
        <v>120</v>
      </c>
      <c r="K837" t="s">
        <v>49</v>
      </c>
      <c r="L837" t="s">
        <v>34</v>
      </c>
      <c r="M837" t="s">
        <v>35</v>
      </c>
      <c r="N837" t="s">
        <v>168</v>
      </c>
      <c r="O837" t="s">
        <v>7232</v>
      </c>
      <c r="P837" t="s">
        <v>39</v>
      </c>
      <c r="Q837" t="s">
        <v>38</v>
      </c>
      <c r="R837">
        <v>0</v>
      </c>
      <c r="S837" t="s">
        <v>38</v>
      </c>
      <c r="T837">
        <v>10</v>
      </c>
      <c r="U837">
        <v>5.9</v>
      </c>
      <c r="V837">
        <v>23.3</v>
      </c>
      <c r="W837" t="s">
        <v>39</v>
      </c>
      <c r="X837" t="s">
        <v>123</v>
      </c>
      <c r="Y837" t="s">
        <v>39</v>
      </c>
      <c r="Z837" t="s">
        <v>41</v>
      </c>
      <c r="AA837" t="s">
        <v>54</v>
      </c>
      <c r="AB837" t="s">
        <v>55</v>
      </c>
      <c r="AC837">
        <f t="shared" si="143"/>
        <v>0</v>
      </c>
      <c r="AD837" s="12">
        <f t="shared" si="147"/>
        <v>0</v>
      </c>
      <c r="AE837" s="12">
        <f t="shared" si="148"/>
        <v>1</v>
      </c>
      <c r="AF837">
        <f t="shared" si="144"/>
        <v>0</v>
      </c>
      <c r="AG837">
        <f t="shared" si="149"/>
        <v>1</v>
      </c>
      <c r="AH837">
        <f t="shared" si="150"/>
        <v>1</v>
      </c>
      <c r="AI837">
        <f t="shared" si="151"/>
        <v>0</v>
      </c>
      <c r="AJ837">
        <f t="shared" si="152"/>
        <v>0</v>
      </c>
      <c r="AK837">
        <f t="shared" si="145"/>
        <v>1</v>
      </c>
      <c r="AL837">
        <f t="shared" si="153"/>
        <v>0</v>
      </c>
    </row>
    <row r="838" spans="1:38">
      <c r="A838" t="s">
        <v>2641</v>
      </c>
      <c r="B838" t="s">
        <v>2642</v>
      </c>
      <c r="C838" s="1">
        <f t="shared" si="146"/>
        <v>45566</v>
      </c>
      <c r="D838" t="s">
        <v>2643</v>
      </c>
      <c r="E838">
        <v>215.9</v>
      </c>
      <c r="F838">
        <v>9</v>
      </c>
      <c r="G838" t="s">
        <v>101</v>
      </c>
      <c r="H838" t="s">
        <v>442</v>
      </c>
      <c r="I838" t="s">
        <v>32</v>
      </c>
      <c r="J838">
        <v>240</v>
      </c>
      <c r="K838" t="s">
        <v>49</v>
      </c>
      <c r="L838" t="s">
        <v>113</v>
      </c>
      <c r="M838" t="s">
        <v>35</v>
      </c>
      <c r="N838" t="s">
        <v>138</v>
      </c>
      <c r="O838" t="s">
        <v>7232</v>
      </c>
      <c r="P838" t="s">
        <v>38</v>
      </c>
      <c r="Q838" t="s">
        <v>38</v>
      </c>
      <c r="R838">
        <v>1</v>
      </c>
      <c r="S838" t="s">
        <v>39</v>
      </c>
      <c r="T838">
        <v>5</v>
      </c>
      <c r="U838">
        <v>3</v>
      </c>
      <c r="V838">
        <v>26.4</v>
      </c>
      <c r="W838" t="s">
        <v>39</v>
      </c>
      <c r="X838" t="s">
        <v>52</v>
      </c>
      <c r="Y838" t="s">
        <v>39</v>
      </c>
      <c r="Z838" t="s">
        <v>81</v>
      </c>
      <c r="AA838" t="s">
        <v>82</v>
      </c>
      <c r="AB838" t="s">
        <v>83</v>
      </c>
      <c r="AC838">
        <f t="shared" si="143"/>
        <v>1</v>
      </c>
      <c r="AD838" s="12">
        <f t="shared" si="147"/>
        <v>0</v>
      </c>
      <c r="AE838" s="12">
        <f t="shared" si="148"/>
        <v>0</v>
      </c>
      <c r="AF838">
        <f t="shared" si="144"/>
        <v>0</v>
      </c>
      <c r="AG838">
        <f t="shared" si="149"/>
        <v>1</v>
      </c>
      <c r="AH838">
        <f t="shared" si="150"/>
        <v>0</v>
      </c>
      <c r="AI838">
        <f t="shared" si="151"/>
        <v>0</v>
      </c>
      <c r="AJ838">
        <f t="shared" si="152"/>
        <v>1</v>
      </c>
      <c r="AK838">
        <f t="shared" si="145"/>
        <v>0</v>
      </c>
      <c r="AL838">
        <f t="shared" si="153"/>
        <v>0</v>
      </c>
    </row>
    <row r="839" spans="1:38">
      <c r="A839" t="s">
        <v>2644</v>
      </c>
      <c r="B839" t="s">
        <v>2645</v>
      </c>
      <c r="C839" s="1">
        <f t="shared" si="146"/>
        <v>45352</v>
      </c>
      <c r="D839" t="s">
        <v>2646</v>
      </c>
      <c r="E839">
        <v>489.2</v>
      </c>
      <c r="F839">
        <v>20.399999999999999</v>
      </c>
      <c r="G839" t="s">
        <v>77</v>
      </c>
      <c r="H839" t="s">
        <v>187</v>
      </c>
      <c r="I839" t="s">
        <v>79</v>
      </c>
      <c r="J839">
        <v>360</v>
      </c>
      <c r="K839" t="s">
        <v>33</v>
      </c>
      <c r="L839" t="s">
        <v>113</v>
      </c>
      <c r="M839" t="s">
        <v>35</v>
      </c>
      <c r="N839" t="s">
        <v>114</v>
      </c>
      <c r="O839" t="s">
        <v>37</v>
      </c>
      <c r="P839" t="s">
        <v>39</v>
      </c>
      <c r="Q839" t="s">
        <v>38</v>
      </c>
      <c r="R839">
        <v>0</v>
      </c>
      <c r="S839" t="s">
        <v>38</v>
      </c>
      <c r="T839">
        <v>6</v>
      </c>
      <c r="U839">
        <v>3.4</v>
      </c>
      <c r="V839">
        <v>7.6</v>
      </c>
      <c r="W839" t="s">
        <v>39</v>
      </c>
      <c r="X839" t="s">
        <v>63</v>
      </c>
      <c r="Y839" t="s">
        <v>39</v>
      </c>
      <c r="Z839" t="s">
        <v>73</v>
      </c>
      <c r="AA839" t="s">
        <v>54</v>
      </c>
      <c r="AB839" t="s">
        <v>83</v>
      </c>
      <c r="AC839">
        <f t="shared" si="143"/>
        <v>0</v>
      </c>
      <c r="AD839" s="12">
        <f t="shared" si="147"/>
        <v>1</v>
      </c>
      <c r="AE839" s="12">
        <f t="shared" si="148"/>
        <v>0</v>
      </c>
      <c r="AF839">
        <f t="shared" si="144"/>
        <v>0</v>
      </c>
      <c r="AG839">
        <f t="shared" si="149"/>
        <v>0</v>
      </c>
      <c r="AH839">
        <f t="shared" si="150"/>
        <v>0</v>
      </c>
      <c r="AI839">
        <f t="shared" si="151"/>
        <v>0</v>
      </c>
      <c r="AJ839">
        <f t="shared" si="152"/>
        <v>0</v>
      </c>
      <c r="AK839">
        <f t="shared" si="145"/>
        <v>0</v>
      </c>
      <c r="AL839">
        <f t="shared" si="153"/>
        <v>0</v>
      </c>
    </row>
    <row r="840" spans="1:38">
      <c r="A840" t="s">
        <v>2647</v>
      </c>
      <c r="B840" t="s">
        <v>2648</v>
      </c>
      <c r="C840" s="1">
        <f t="shared" si="146"/>
        <v>45444</v>
      </c>
      <c r="D840" t="s">
        <v>2649</v>
      </c>
      <c r="E840">
        <v>221.2</v>
      </c>
      <c r="F840">
        <v>9.1999999999999993</v>
      </c>
      <c r="G840" t="s">
        <v>30</v>
      </c>
      <c r="H840" t="s">
        <v>159</v>
      </c>
      <c r="I840" t="s">
        <v>32</v>
      </c>
      <c r="J840">
        <v>240</v>
      </c>
      <c r="K840" t="s">
        <v>49</v>
      </c>
      <c r="L840" t="s">
        <v>113</v>
      </c>
      <c r="M840" t="s">
        <v>35</v>
      </c>
      <c r="N840" t="s">
        <v>299</v>
      </c>
      <c r="O840" t="s">
        <v>51</v>
      </c>
      <c r="P840" t="s">
        <v>38</v>
      </c>
      <c r="Q840" t="s">
        <v>38</v>
      </c>
      <c r="R840">
        <v>1</v>
      </c>
      <c r="S840" t="s">
        <v>38</v>
      </c>
      <c r="T840">
        <v>8</v>
      </c>
      <c r="U840">
        <v>0.2</v>
      </c>
      <c r="V840">
        <v>16.100000000000001</v>
      </c>
      <c r="W840" t="s">
        <v>38</v>
      </c>
      <c r="X840" t="s">
        <v>63</v>
      </c>
      <c r="Y840" t="s">
        <v>38</v>
      </c>
      <c r="Z840" t="s">
        <v>73</v>
      </c>
      <c r="AA840" t="s">
        <v>42</v>
      </c>
      <c r="AB840" t="s">
        <v>83</v>
      </c>
      <c r="AC840">
        <f t="shared" si="143"/>
        <v>0</v>
      </c>
      <c r="AD840" s="12">
        <f t="shared" si="147"/>
        <v>1</v>
      </c>
      <c r="AE840" s="12">
        <f t="shared" si="148"/>
        <v>0</v>
      </c>
      <c r="AF840">
        <f t="shared" si="144"/>
        <v>1</v>
      </c>
      <c r="AG840">
        <f t="shared" si="149"/>
        <v>0</v>
      </c>
      <c r="AH840">
        <f t="shared" si="150"/>
        <v>0</v>
      </c>
      <c r="AI840">
        <f t="shared" si="151"/>
        <v>0</v>
      </c>
      <c r="AJ840">
        <f t="shared" si="152"/>
        <v>1</v>
      </c>
      <c r="AK840">
        <f t="shared" si="145"/>
        <v>1</v>
      </c>
      <c r="AL840">
        <f t="shared" si="153"/>
        <v>1</v>
      </c>
    </row>
    <row r="841" spans="1:38">
      <c r="A841" t="s">
        <v>2650</v>
      </c>
      <c r="B841" t="s">
        <v>2651</v>
      </c>
      <c r="C841" s="1">
        <f t="shared" si="146"/>
        <v>45444</v>
      </c>
      <c r="D841" t="s">
        <v>2652</v>
      </c>
      <c r="E841">
        <v>44.1</v>
      </c>
      <c r="F841">
        <v>1.8</v>
      </c>
      <c r="G841" t="s">
        <v>87</v>
      </c>
      <c r="H841" t="s">
        <v>183</v>
      </c>
      <c r="I841" t="s">
        <v>95</v>
      </c>
      <c r="J841">
        <v>48</v>
      </c>
      <c r="K841" t="s">
        <v>49</v>
      </c>
      <c r="L841" t="s">
        <v>70</v>
      </c>
      <c r="M841" t="s">
        <v>71</v>
      </c>
      <c r="N841" t="s">
        <v>128</v>
      </c>
      <c r="O841" t="s">
        <v>37</v>
      </c>
      <c r="P841" t="s">
        <v>38</v>
      </c>
      <c r="Q841" t="s">
        <v>39</v>
      </c>
      <c r="R841">
        <v>4</v>
      </c>
      <c r="S841" t="s">
        <v>38</v>
      </c>
      <c r="T841">
        <v>7</v>
      </c>
      <c r="U841">
        <v>3.1</v>
      </c>
      <c r="V841">
        <v>22.1</v>
      </c>
      <c r="W841" t="s">
        <v>38</v>
      </c>
      <c r="X841" t="s">
        <v>63</v>
      </c>
      <c r="Y841" t="s">
        <v>39</v>
      </c>
      <c r="Z841" t="s">
        <v>41</v>
      </c>
      <c r="AA841" t="s">
        <v>82</v>
      </c>
      <c r="AB841" t="s">
        <v>83</v>
      </c>
      <c r="AC841">
        <f t="shared" si="143"/>
        <v>0</v>
      </c>
      <c r="AD841" s="12">
        <f t="shared" si="147"/>
        <v>1</v>
      </c>
      <c r="AE841" s="12">
        <f t="shared" si="148"/>
        <v>0</v>
      </c>
      <c r="AF841">
        <f t="shared" si="144"/>
        <v>0</v>
      </c>
      <c r="AG841">
        <f t="shared" si="149"/>
        <v>0</v>
      </c>
      <c r="AH841">
        <f t="shared" si="150"/>
        <v>0</v>
      </c>
      <c r="AI841">
        <f t="shared" si="151"/>
        <v>1</v>
      </c>
      <c r="AJ841">
        <f t="shared" si="152"/>
        <v>0</v>
      </c>
      <c r="AK841">
        <f t="shared" si="145"/>
        <v>0</v>
      </c>
      <c r="AL841">
        <f t="shared" si="153"/>
        <v>0</v>
      </c>
    </row>
    <row r="842" spans="1:38">
      <c r="A842" t="s">
        <v>2653</v>
      </c>
      <c r="B842" t="s">
        <v>2654</v>
      </c>
      <c r="C842" s="1">
        <f t="shared" si="146"/>
        <v>45566</v>
      </c>
      <c r="D842" t="s">
        <v>2655</v>
      </c>
      <c r="E842">
        <v>201</v>
      </c>
      <c r="F842">
        <v>8.4</v>
      </c>
      <c r="G842" t="s">
        <v>77</v>
      </c>
      <c r="H842" t="s">
        <v>244</v>
      </c>
      <c r="I842" t="s">
        <v>32</v>
      </c>
      <c r="J842">
        <v>240</v>
      </c>
      <c r="K842" t="s">
        <v>49</v>
      </c>
      <c r="L842" t="s">
        <v>70</v>
      </c>
      <c r="M842" t="s">
        <v>35</v>
      </c>
      <c r="N842" t="s">
        <v>164</v>
      </c>
      <c r="O842" t="s">
        <v>37</v>
      </c>
      <c r="P842" t="s">
        <v>39</v>
      </c>
      <c r="Q842" t="s">
        <v>38</v>
      </c>
      <c r="R842">
        <v>0</v>
      </c>
      <c r="S842" t="s">
        <v>38</v>
      </c>
      <c r="T842">
        <v>10</v>
      </c>
      <c r="U842">
        <v>3.1</v>
      </c>
      <c r="V842">
        <v>42.9</v>
      </c>
      <c r="W842" t="s">
        <v>39</v>
      </c>
      <c r="X842" t="s">
        <v>123</v>
      </c>
      <c r="Y842" t="s">
        <v>39</v>
      </c>
      <c r="Z842" t="s">
        <v>115</v>
      </c>
      <c r="AA842" t="s">
        <v>54</v>
      </c>
      <c r="AB842" t="s">
        <v>83</v>
      </c>
      <c r="AC842">
        <f t="shared" si="143"/>
        <v>0</v>
      </c>
      <c r="AD842" s="12">
        <f t="shared" si="147"/>
        <v>0</v>
      </c>
      <c r="AE842" s="12">
        <f t="shared" si="148"/>
        <v>1</v>
      </c>
      <c r="AF842">
        <f t="shared" si="144"/>
        <v>0</v>
      </c>
      <c r="AG842">
        <f t="shared" si="149"/>
        <v>0</v>
      </c>
      <c r="AH842">
        <f t="shared" si="150"/>
        <v>0</v>
      </c>
      <c r="AI842">
        <f t="shared" si="151"/>
        <v>0</v>
      </c>
      <c r="AJ842">
        <f t="shared" si="152"/>
        <v>1</v>
      </c>
      <c r="AK842">
        <f t="shared" si="145"/>
        <v>0</v>
      </c>
      <c r="AL842">
        <f t="shared" si="153"/>
        <v>0</v>
      </c>
    </row>
    <row r="843" spans="1:38">
      <c r="A843" t="s">
        <v>2656</v>
      </c>
      <c r="B843" t="s">
        <v>2657</v>
      </c>
      <c r="C843" s="1">
        <f t="shared" si="146"/>
        <v>45323</v>
      </c>
      <c r="D843" t="s">
        <v>2658</v>
      </c>
      <c r="E843">
        <v>206.7</v>
      </c>
      <c r="F843">
        <v>8.6</v>
      </c>
      <c r="G843" t="s">
        <v>101</v>
      </c>
      <c r="H843" t="s">
        <v>442</v>
      </c>
      <c r="I843" t="s">
        <v>32</v>
      </c>
      <c r="J843">
        <v>240</v>
      </c>
      <c r="K843" t="s">
        <v>49</v>
      </c>
      <c r="L843" t="s">
        <v>34</v>
      </c>
      <c r="M843" t="s">
        <v>35</v>
      </c>
      <c r="N843" t="s">
        <v>164</v>
      </c>
      <c r="O843" t="s">
        <v>37</v>
      </c>
      <c r="P843" t="s">
        <v>38</v>
      </c>
      <c r="Q843" t="s">
        <v>38</v>
      </c>
      <c r="R843">
        <v>1</v>
      </c>
      <c r="S843" t="s">
        <v>38</v>
      </c>
      <c r="T843">
        <v>10</v>
      </c>
      <c r="U843">
        <v>0.4</v>
      </c>
      <c r="V843">
        <v>31.9</v>
      </c>
      <c r="W843" t="s">
        <v>38</v>
      </c>
      <c r="X843" t="s">
        <v>63</v>
      </c>
      <c r="Y843" t="s">
        <v>39</v>
      </c>
      <c r="Z843" t="s">
        <v>53</v>
      </c>
      <c r="AA843" t="s">
        <v>109</v>
      </c>
      <c r="AB843" t="s">
        <v>55</v>
      </c>
      <c r="AC843">
        <f t="shared" si="143"/>
        <v>0</v>
      </c>
      <c r="AD843" s="12">
        <f t="shared" si="147"/>
        <v>1</v>
      </c>
      <c r="AE843" s="12">
        <f t="shared" si="148"/>
        <v>0</v>
      </c>
      <c r="AF843">
        <f t="shared" si="144"/>
        <v>0</v>
      </c>
      <c r="AG843">
        <f t="shared" si="149"/>
        <v>0</v>
      </c>
      <c r="AH843">
        <f t="shared" si="150"/>
        <v>0</v>
      </c>
      <c r="AI843">
        <f t="shared" si="151"/>
        <v>0</v>
      </c>
      <c r="AJ843">
        <f t="shared" si="152"/>
        <v>1</v>
      </c>
      <c r="AK843">
        <f t="shared" si="145"/>
        <v>0</v>
      </c>
      <c r="AL843">
        <f t="shared" si="153"/>
        <v>0</v>
      </c>
    </row>
    <row r="844" spans="1:38">
      <c r="A844" t="s">
        <v>2659</v>
      </c>
      <c r="B844" t="s">
        <v>2660</v>
      </c>
      <c r="C844" s="1">
        <f t="shared" si="146"/>
        <v>45383</v>
      </c>
      <c r="D844" t="s">
        <v>2661</v>
      </c>
      <c r="E844">
        <v>182.1</v>
      </c>
      <c r="F844">
        <v>7.6</v>
      </c>
      <c r="G844" t="s">
        <v>68</v>
      </c>
      <c r="H844" t="s">
        <v>456</v>
      </c>
      <c r="I844" t="s">
        <v>32</v>
      </c>
      <c r="J844">
        <v>240</v>
      </c>
      <c r="K844" t="s">
        <v>49</v>
      </c>
      <c r="L844" t="s">
        <v>70</v>
      </c>
      <c r="M844" t="s">
        <v>35</v>
      </c>
      <c r="N844" t="s">
        <v>506</v>
      </c>
      <c r="O844" t="s">
        <v>7232</v>
      </c>
      <c r="P844" t="s">
        <v>38</v>
      </c>
      <c r="Q844" t="s">
        <v>38</v>
      </c>
      <c r="R844">
        <v>1</v>
      </c>
      <c r="S844" t="s">
        <v>38</v>
      </c>
      <c r="T844">
        <v>8</v>
      </c>
      <c r="U844">
        <v>4.3</v>
      </c>
      <c r="V844">
        <v>23.6</v>
      </c>
      <c r="W844" t="s">
        <v>38</v>
      </c>
      <c r="X844" t="s">
        <v>63</v>
      </c>
      <c r="Y844" t="s">
        <v>39</v>
      </c>
      <c r="Z844" t="s">
        <v>73</v>
      </c>
      <c r="AA844" t="s">
        <v>42</v>
      </c>
      <c r="AB844" t="s">
        <v>55</v>
      </c>
      <c r="AC844">
        <f t="shared" si="143"/>
        <v>0</v>
      </c>
      <c r="AD844" s="12">
        <f t="shared" si="147"/>
        <v>1</v>
      </c>
      <c r="AE844" s="12">
        <f t="shared" si="148"/>
        <v>0</v>
      </c>
      <c r="AF844">
        <f t="shared" si="144"/>
        <v>0</v>
      </c>
      <c r="AG844">
        <f t="shared" si="149"/>
        <v>1</v>
      </c>
      <c r="AH844">
        <f t="shared" si="150"/>
        <v>0</v>
      </c>
      <c r="AI844">
        <f t="shared" si="151"/>
        <v>0</v>
      </c>
      <c r="AJ844">
        <f t="shared" si="152"/>
        <v>1</v>
      </c>
      <c r="AK844">
        <f t="shared" si="145"/>
        <v>0</v>
      </c>
      <c r="AL844">
        <f t="shared" si="153"/>
        <v>0</v>
      </c>
    </row>
    <row r="845" spans="1:38">
      <c r="A845" t="s">
        <v>2662</v>
      </c>
      <c r="B845" t="s">
        <v>2663</v>
      </c>
      <c r="C845" s="1">
        <f t="shared" si="146"/>
        <v>45323</v>
      </c>
      <c r="D845" t="s">
        <v>2664</v>
      </c>
      <c r="E845">
        <v>78.8</v>
      </c>
      <c r="F845">
        <v>3.3</v>
      </c>
      <c r="G845" t="s">
        <v>87</v>
      </c>
      <c r="H845" t="s">
        <v>151</v>
      </c>
      <c r="I845" t="s">
        <v>48</v>
      </c>
      <c r="J845">
        <v>120</v>
      </c>
      <c r="K845" t="s">
        <v>49</v>
      </c>
      <c r="L845" t="s">
        <v>34</v>
      </c>
      <c r="M845" t="s">
        <v>35</v>
      </c>
      <c r="N845" t="s">
        <v>134</v>
      </c>
      <c r="O845" t="s">
        <v>7232</v>
      </c>
      <c r="P845" t="s">
        <v>39</v>
      </c>
      <c r="Q845" t="s">
        <v>38</v>
      </c>
      <c r="R845">
        <v>0</v>
      </c>
      <c r="S845" t="s">
        <v>38</v>
      </c>
      <c r="T845">
        <v>10</v>
      </c>
      <c r="U845">
        <v>1.6</v>
      </c>
      <c r="V845">
        <v>21.2</v>
      </c>
      <c r="W845" t="s">
        <v>38</v>
      </c>
      <c r="X845" t="s">
        <v>123</v>
      </c>
      <c r="Y845" t="s">
        <v>39</v>
      </c>
      <c r="Z845" t="s">
        <v>115</v>
      </c>
      <c r="AA845" t="s">
        <v>82</v>
      </c>
      <c r="AB845" t="s">
        <v>55</v>
      </c>
      <c r="AC845">
        <f t="shared" si="143"/>
        <v>0</v>
      </c>
      <c r="AD845" s="12">
        <f t="shared" si="147"/>
        <v>0</v>
      </c>
      <c r="AE845" s="12">
        <f t="shared" si="148"/>
        <v>1</v>
      </c>
      <c r="AF845">
        <f t="shared" si="144"/>
        <v>0</v>
      </c>
      <c r="AG845">
        <f t="shared" si="149"/>
        <v>1</v>
      </c>
      <c r="AH845">
        <f t="shared" si="150"/>
        <v>1</v>
      </c>
      <c r="AI845">
        <f t="shared" si="151"/>
        <v>0</v>
      </c>
      <c r="AJ845">
        <f t="shared" si="152"/>
        <v>0</v>
      </c>
      <c r="AK845">
        <f t="shared" si="145"/>
        <v>0</v>
      </c>
      <c r="AL845">
        <f t="shared" si="153"/>
        <v>0</v>
      </c>
    </row>
    <row r="846" spans="1:38">
      <c r="A846" t="s">
        <v>2665</v>
      </c>
      <c r="B846" t="s">
        <v>2666</v>
      </c>
      <c r="C846" s="1">
        <f t="shared" si="146"/>
        <v>45627</v>
      </c>
      <c r="D846" t="s">
        <v>2667</v>
      </c>
      <c r="E846">
        <v>172.9</v>
      </c>
      <c r="F846">
        <v>7.2</v>
      </c>
      <c r="G846" t="s">
        <v>101</v>
      </c>
      <c r="H846" t="s">
        <v>102</v>
      </c>
      <c r="I846" t="s">
        <v>48</v>
      </c>
      <c r="J846">
        <v>120</v>
      </c>
      <c r="K846" t="s">
        <v>33</v>
      </c>
      <c r="L846" t="s">
        <v>70</v>
      </c>
      <c r="M846" t="s">
        <v>35</v>
      </c>
      <c r="N846" t="s">
        <v>164</v>
      </c>
      <c r="O846" t="s">
        <v>51</v>
      </c>
      <c r="P846" t="s">
        <v>38</v>
      </c>
      <c r="Q846" t="s">
        <v>38</v>
      </c>
      <c r="R846">
        <v>1</v>
      </c>
      <c r="S846" t="s">
        <v>38</v>
      </c>
      <c r="T846">
        <v>4</v>
      </c>
      <c r="U846">
        <v>4.0999999999999996</v>
      </c>
      <c r="V846">
        <v>14.5</v>
      </c>
      <c r="W846" t="s">
        <v>39</v>
      </c>
      <c r="X846" t="s">
        <v>123</v>
      </c>
      <c r="Y846" t="s">
        <v>39</v>
      </c>
      <c r="Z846" t="s">
        <v>73</v>
      </c>
      <c r="AA846" t="s">
        <v>42</v>
      </c>
      <c r="AB846" t="s">
        <v>55</v>
      </c>
      <c r="AC846">
        <f t="shared" si="143"/>
        <v>0</v>
      </c>
      <c r="AD846" s="12">
        <f t="shared" si="147"/>
        <v>0</v>
      </c>
      <c r="AE846" s="12">
        <f t="shared" si="148"/>
        <v>1</v>
      </c>
      <c r="AF846">
        <f t="shared" si="144"/>
        <v>1</v>
      </c>
      <c r="AG846">
        <f t="shared" si="149"/>
        <v>0</v>
      </c>
      <c r="AH846">
        <f t="shared" si="150"/>
        <v>1</v>
      </c>
      <c r="AI846">
        <f t="shared" si="151"/>
        <v>0</v>
      </c>
      <c r="AJ846">
        <f t="shared" si="152"/>
        <v>0</v>
      </c>
      <c r="AK846">
        <f t="shared" si="145"/>
        <v>0</v>
      </c>
      <c r="AL846">
        <f t="shared" si="153"/>
        <v>0</v>
      </c>
    </row>
    <row r="847" spans="1:38">
      <c r="A847" t="s">
        <v>2668</v>
      </c>
      <c r="B847" t="s">
        <v>2669</v>
      </c>
      <c r="C847" s="1">
        <f t="shared" si="146"/>
        <v>45505</v>
      </c>
      <c r="D847" t="s">
        <v>2670</v>
      </c>
      <c r="E847">
        <v>914.6</v>
      </c>
      <c r="F847">
        <v>38.1</v>
      </c>
      <c r="G847" t="s">
        <v>77</v>
      </c>
      <c r="H847" t="s">
        <v>244</v>
      </c>
      <c r="I847" t="s">
        <v>79</v>
      </c>
      <c r="J847">
        <v>360</v>
      </c>
      <c r="K847" t="s">
        <v>33</v>
      </c>
      <c r="L847" t="s">
        <v>96</v>
      </c>
      <c r="M847" t="s">
        <v>35</v>
      </c>
      <c r="N847" t="s">
        <v>192</v>
      </c>
      <c r="O847" t="s">
        <v>7232</v>
      </c>
      <c r="P847" t="s">
        <v>38</v>
      </c>
      <c r="Q847" t="s">
        <v>38</v>
      </c>
      <c r="R847">
        <v>1</v>
      </c>
      <c r="S847" t="s">
        <v>38</v>
      </c>
      <c r="T847">
        <v>5</v>
      </c>
      <c r="U847">
        <v>1.5</v>
      </c>
      <c r="V847">
        <v>14.8</v>
      </c>
      <c r="W847" t="s">
        <v>39</v>
      </c>
      <c r="X847" t="s">
        <v>40</v>
      </c>
      <c r="Y847" t="s">
        <v>38</v>
      </c>
      <c r="Z847" t="s">
        <v>115</v>
      </c>
      <c r="AA847" t="s">
        <v>103</v>
      </c>
      <c r="AB847" t="s">
        <v>43</v>
      </c>
      <c r="AC847">
        <f t="shared" si="143"/>
        <v>0</v>
      </c>
      <c r="AD847" s="12">
        <f t="shared" si="147"/>
        <v>0</v>
      </c>
      <c r="AE847" s="12">
        <f t="shared" si="148"/>
        <v>0</v>
      </c>
      <c r="AF847">
        <f t="shared" si="144"/>
        <v>0</v>
      </c>
      <c r="AG847">
        <f t="shared" si="149"/>
        <v>1</v>
      </c>
      <c r="AH847">
        <f t="shared" si="150"/>
        <v>0</v>
      </c>
      <c r="AI847">
        <f t="shared" si="151"/>
        <v>0</v>
      </c>
      <c r="AJ847">
        <f t="shared" si="152"/>
        <v>0</v>
      </c>
      <c r="AK847">
        <f t="shared" si="145"/>
        <v>0</v>
      </c>
      <c r="AL847">
        <f t="shared" si="153"/>
        <v>1</v>
      </c>
    </row>
    <row r="848" spans="1:38">
      <c r="A848" t="s">
        <v>2671</v>
      </c>
      <c r="B848" t="s">
        <v>2672</v>
      </c>
      <c r="C848" s="1">
        <f t="shared" si="146"/>
        <v>45383</v>
      </c>
      <c r="D848" t="s">
        <v>2673</v>
      </c>
      <c r="E848">
        <v>181.7</v>
      </c>
      <c r="F848">
        <v>7.6</v>
      </c>
      <c r="G848" t="s">
        <v>142</v>
      </c>
      <c r="H848" t="s">
        <v>729</v>
      </c>
      <c r="I848" t="s">
        <v>32</v>
      </c>
      <c r="J848">
        <v>240</v>
      </c>
      <c r="K848" t="s">
        <v>49</v>
      </c>
      <c r="L848" t="s">
        <v>70</v>
      </c>
      <c r="M848" t="s">
        <v>71</v>
      </c>
      <c r="N848" t="s">
        <v>299</v>
      </c>
      <c r="O848" t="s">
        <v>51</v>
      </c>
      <c r="P848" t="s">
        <v>38</v>
      </c>
      <c r="Q848" t="s">
        <v>39</v>
      </c>
      <c r="R848">
        <v>4</v>
      </c>
      <c r="S848" t="s">
        <v>38</v>
      </c>
      <c r="T848">
        <v>7</v>
      </c>
      <c r="U848">
        <v>0.9</v>
      </c>
      <c r="V848">
        <v>22.5</v>
      </c>
      <c r="W848" t="s">
        <v>38</v>
      </c>
      <c r="X848" t="s">
        <v>123</v>
      </c>
      <c r="Y848" t="s">
        <v>38</v>
      </c>
      <c r="Z848" t="s">
        <v>115</v>
      </c>
      <c r="AA848" t="s">
        <v>109</v>
      </c>
      <c r="AB848" t="s">
        <v>43</v>
      </c>
      <c r="AC848">
        <f t="shared" si="143"/>
        <v>0</v>
      </c>
      <c r="AD848" s="12">
        <f t="shared" si="147"/>
        <v>0</v>
      </c>
      <c r="AE848" s="12">
        <f t="shared" si="148"/>
        <v>1</v>
      </c>
      <c r="AF848">
        <f t="shared" si="144"/>
        <v>1</v>
      </c>
      <c r="AG848">
        <f t="shared" si="149"/>
        <v>0</v>
      </c>
      <c r="AH848">
        <f t="shared" si="150"/>
        <v>0</v>
      </c>
      <c r="AI848">
        <f t="shared" si="151"/>
        <v>0</v>
      </c>
      <c r="AJ848">
        <f t="shared" si="152"/>
        <v>1</v>
      </c>
      <c r="AK848">
        <f t="shared" si="145"/>
        <v>0</v>
      </c>
      <c r="AL848">
        <f t="shared" si="153"/>
        <v>1</v>
      </c>
    </row>
    <row r="849" spans="1:38">
      <c r="A849" t="s">
        <v>2674</v>
      </c>
      <c r="B849" t="s">
        <v>2675</v>
      </c>
      <c r="C849" s="1">
        <f t="shared" si="146"/>
        <v>45323</v>
      </c>
      <c r="D849" t="s">
        <v>2676</v>
      </c>
      <c r="E849">
        <v>336.8</v>
      </c>
      <c r="F849">
        <v>14</v>
      </c>
      <c r="G849" t="s">
        <v>77</v>
      </c>
      <c r="H849" t="s">
        <v>244</v>
      </c>
      <c r="I849" t="s">
        <v>79</v>
      </c>
      <c r="J849">
        <v>360</v>
      </c>
      <c r="K849" t="s">
        <v>49</v>
      </c>
      <c r="L849" t="s">
        <v>96</v>
      </c>
      <c r="M849" t="s">
        <v>35</v>
      </c>
      <c r="N849" t="s">
        <v>72</v>
      </c>
      <c r="O849" t="s">
        <v>7232</v>
      </c>
      <c r="P849" t="s">
        <v>38</v>
      </c>
      <c r="Q849" t="s">
        <v>38</v>
      </c>
      <c r="R849">
        <v>1</v>
      </c>
      <c r="S849" t="s">
        <v>38</v>
      </c>
      <c r="T849">
        <v>9</v>
      </c>
      <c r="U849">
        <v>3.1</v>
      </c>
      <c r="V849">
        <v>22.7</v>
      </c>
      <c r="W849" t="s">
        <v>38</v>
      </c>
      <c r="X849" t="s">
        <v>63</v>
      </c>
      <c r="Y849" t="s">
        <v>38</v>
      </c>
      <c r="Z849" t="s">
        <v>81</v>
      </c>
      <c r="AA849" t="s">
        <v>42</v>
      </c>
      <c r="AB849" t="s">
        <v>83</v>
      </c>
      <c r="AC849">
        <f t="shared" si="143"/>
        <v>0</v>
      </c>
      <c r="AD849" s="12">
        <f t="shared" si="147"/>
        <v>1</v>
      </c>
      <c r="AE849" s="12">
        <f t="shared" si="148"/>
        <v>0</v>
      </c>
      <c r="AF849">
        <f t="shared" si="144"/>
        <v>0</v>
      </c>
      <c r="AG849">
        <f t="shared" si="149"/>
        <v>1</v>
      </c>
      <c r="AH849">
        <f t="shared" si="150"/>
        <v>0</v>
      </c>
      <c r="AI849">
        <f t="shared" si="151"/>
        <v>0</v>
      </c>
      <c r="AJ849">
        <f t="shared" si="152"/>
        <v>0</v>
      </c>
      <c r="AK849">
        <f t="shared" si="145"/>
        <v>0</v>
      </c>
      <c r="AL849">
        <f t="shared" si="153"/>
        <v>1</v>
      </c>
    </row>
    <row r="850" spans="1:38">
      <c r="A850" t="s">
        <v>2677</v>
      </c>
      <c r="B850" t="s">
        <v>2678</v>
      </c>
      <c r="C850" s="1">
        <f t="shared" si="146"/>
        <v>45505</v>
      </c>
      <c r="D850" t="s">
        <v>2679</v>
      </c>
      <c r="E850">
        <v>152.5</v>
      </c>
      <c r="F850">
        <v>6.4</v>
      </c>
      <c r="G850" t="s">
        <v>93</v>
      </c>
      <c r="H850" t="s">
        <v>449</v>
      </c>
      <c r="I850" t="s">
        <v>32</v>
      </c>
      <c r="J850">
        <v>240</v>
      </c>
      <c r="K850" t="s">
        <v>49</v>
      </c>
      <c r="L850" t="s">
        <v>70</v>
      </c>
      <c r="M850" t="s">
        <v>71</v>
      </c>
      <c r="N850" t="s">
        <v>119</v>
      </c>
      <c r="O850" t="s">
        <v>7232</v>
      </c>
      <c r="P850" t="s">
        <v>38</v>
      </c>
      <c r="Q850" t="s">
        <v>39</v>
      </c>
      <c r="R850">
        <v>2</v>
      </c>
      <c r="S850" t="s">
        <v>38</v>
      </c>
      <c r="T850">
        <v>7</v>
      </c>
      <c r="U850">
        <v>2.2000000000000002</v>
      </c>
      <c r="V850">
        <v>9.6999999999999993</v>
      </c>
      <c r="W850" t="s">
        <v>39</v>
      </c>
      <c r="X850" t="s">
        <v>40</v>
      </c>
      <c r="Y850" t="s">
        <v>39</v>
      </c>
      <c r="Z850" t="s">
        <v>73</v>
      </c>
      <c r="AA850" t="s">
        <v>82</v>
      </c>
      <c r="AB850" t="s">
        <v>83</v>
      </c>
      <c r="AC850">
        <f t="shared" si="143"/>
        <v>0</v>
      </c>
      <c r="AD850" s="12">
        <f t="shared" si="147"/>
        <v>0</v>
      </c>
      <c r="AE850" s="12">
        <f t="shared" si="148"/>
        <v>0</v>
      </c>
      <c r="AF850">
        <f t="shared" si="144"/>
        <v>0</v>
      </c>
      <c r="AG850">
        <f t="shared" si="149"/>
        <v>1</v>
      </c>
      <c r="AH850">
        <f t="shared" si="150"/>
        <v>0</v>
      </c>
      <c r="AI850">
        <f t="shared" si="151"/>
        <v>0</v>
      </c>
      <c r="AJ850">
        <f t="shared" si="152"/>
        <v>1</v>
      </c>
      <c r="AK850">
        <f t="shared" si="145"/>
        <v>0</v>
      </c>
      <c r="AL850">
        <f t="shared" si="153"/>
        <v>0</v>
      </c>
    </row>
    <row r="851" spans="1:38">
      <c r="A851" t="s">
        <v>2680</v>
      </c>
      <c r="B851" t="s">
        <v>2681</v>
      </c>
      <c r="C851" s="1">
        <f t="shared" si="146"/>
        <v>45505</v>
      </c>
      <c r="D851" t="s">
        <v>2682</v>
      </c>
      <c r="E851">
        <v>219.6</v>
      </c>
      <c r="F851">
        <v>9.1999999999999993</v>
      </c>
      <c r="G851" t="s">
        <v>30</v>
      </c>
      <c r="H851" t="s">
        <v>172</v>
      </c>
      <c r="I851" t="s">
        <v>32</v>
      </c>
      <c r="J851">
        <v>240</v>
      </c>
      <c r="K851" t="s">
        <v>49</v>
      </c>
      <c r="L851" t="s">
        <v>133</v>
      </c>
      <c r="M851" t="s">
        <v>35</v>
      </c>
      <c r="N851" t="s">
        <v>50</v>
      </c>
      <c r="O851" t="s">
        <v>37</v>
      </c>
      <c r="P851" t="s">
        <v>39</v>
      </c>
      <c r="Q851" t="s">
        <v>38</v>
      </c>
      <c r="R851">
        <v>0</v>
      </c>
      <c r="S851" t="s">
        <v>38</v>
      </c>
      <c r="T851">
        <v>8</v>
      </c>
      <c r="U851">
        <v>5.2</v>
      </c>
      <c r="V851">
        <v>0.3</v>
      </c>
      <c r="W851" t="s">
        <v>39</v>
      </c>
      <c r="X851" t="s">
        <v>40</v>
      </c>
      <c r="Y851" t="s">
        <v>39</v>
      </c>
      <c r="Z851" t="s">
        <v>115</v>
      </c>
      <c r="AA851" t="s">
        <v>109</v>
      </c>
      <c r="AB851" t="s">
        <v>83</v>
      </c>
      <c r="AC851">
        <f t="shared" si="143"/>
        <v>0</v>
      </c>
      <c r="AD851" s="12">
        <f t="shared" si="147"/>
        <v>0</v>
      </c>
      <c r="AE851" s="12">
        <f t="shared" si="148"/>
        <v>0</v>
      </c>
      <c r="AF851">
        <f t="shared" si="144"/>
        <v>0</v>
      </c>
      <c r="AG851">
        <f t="shared" si="149"/>
        <v>0</v>
      </c>
      <c r="AH851">
        <f t="shared" si="150"/>
        <v>0</v>
      </c>
      <c r="AI851">
        <f t="shared" si="151"/>
        <v>0</v>
      </c>
      <c r="AJ851">
        <f t="shared" si="152"/>
        <v>1</v>
      </c>
      <c r="AK851">
        <f t="shared" si="145"/>
        <v>1</v>
      </c>
      <c r="AL851">
        <f t="shared" si="153"/>
        <v>0</v>
      </c>
    </row>
    <row r="852" spans="1:38">
      <c r="A852" t="s">
        <v>2683</v>
      </c>
      <c r="B852" t="s">
        <v>2684</v>
      </c>
      <c r="C852" s="1">
        <f t="shared" si="146"/>
        <v>45383</v>
      </c>
      <c r="D852" t="s">
        <v>2685</v>
      </c>
      <c r="E852">
        <v>222.2</v>
      </c>
      <c r="F852">
        <v>9.3000000000000007</v>
      </c>
      <c r="G852" t="s">
        <v>30</v>
      </c>
      <c r="H852" t="s">
        <v>172</v>
      </c>
      <c r="I852" t="s">
        <v>32</v>
      </c>
      <c r="J852">
        <v>240</v>
      </c>
      <c r="K852" t="s">
        <v>49</v>
      </c>
      <c r="L852" t="s">
        <v>34</v>
      </c>
      <c r="M852" t="s">
        <v>35</v>
      </c>
      <c r="N852" t="s">
        <v>144</v>
      </c>
      <c r="O852" t="s">
        <v>37</v>
      </c>
      <c r="P852" t="s">
        <v>39</v>
      </c>
      <c r="Q852" t="s">
        <v>38</v>
      </c>
      <c r="R852">
        <v>0</v>
      </c>
      <c r="S852" t="s">
        <v>38</v>
      </c>
      <c r="T852">
        <v>10</v>
      </c>
      <c r="U852">
        <v>1.8</v>
      </c>
      <c r="V852">
        <v>29.5</v>
      </c>
      <c r="W852" t="s">
        <v>39</v>
      </c>
      <c r="X852" t="s">
        <v>123</v>
      </c>
      <c r="Y852" t="s">
        <v>38</v>
      </c>
      <c r="Z852" t="s">
        <v>81</v>
      </c>
      <c r="AA852" t="s">
        <v>42</v>
      </c>
      <c r="AB852" t="s">
        <v>55</v>
      </c>
      <c r="AC852">
        <f t="shared" si="143"/>
        <v>0</v>
      </c>
      <c r="AD852" s="12">
        <f t="shared" si="147"/>
        <v>0</v>
      </c>
      <c r="AE852" s="12">
        <f t="shared" si="148"/>
        <v>1</v>
      </c>
      <c r="AF852">
        <f t="shared" si="144"/>
        <v>0</v>
      </c>
      <c r="AG852">
        <f t="shared" si="149"/>
        <v>0</v>
      </c>
      <c r="AH852">
        <f t="shared" si="150"/>
        <v>0</v>
      </c>
      <c r="AI852">
        <f t="shared" si="151"/>
        <v>0</v>
      </c>
      <c r="AJ852">
        <f t="shared" si="152"/>
        <v>1</v>
      </c>
      <c r="AK852">
        <f t="shared" si="145"/>
        <v>1</v>
      </c>
      <c r="AL852">
        <f t="shared" si="153"/>
        <v>1</v>
      </c>
    </row>
    <row r="853" spans="1:38">
      <c r="A853" t="s">
        <v>2686</v>
      </c>
      <c r="B853" t="s">
        <v>2687</v>
      </c>
      <c r="C853" s="1">
        <f t="shared" si="146"/>
        <v>45352</v>
      </c>
      <c r="D853" t="s">
        <v>2688</v>
      </c>
      <c r="E853">
        <v>288.8</v>
      </c>
      <c r="F853">
        <v>12</v>
      </c>
      <c r="G853" t="s">
        <v>77</v>
      </c>
      <c r="H853" t="s">
        <v>187</v>
      </c>
      <c r="I853" t="s">
        <v>79</v>
      </c>
      <c r="J853">
        <v>360</v>
      </c>
      <c r="K853" t="s">
        <v>49</v>
      </c>
      <c r="L853" t="s">
        <v>96</v>
      </c>
      <c r="M853" t="s">
        <v>35</v>
      </c>
      <c r="N853" t="s">
        <v>72</v>
      </c>
      <c r="O853" t="s">
        <v>7232</v>
      </c>
      <c r="P853" t="s">
        <v>39</v>
      </c>
      <c r="Q853" t="s">
        <v>38</v>
      </c>
      <c r="R853">
        <v>0</v>
      </c>
      <c r="S853" t="s">
        <v>38</v>
      </c>
      <c r="T853">
        <v>9</v>
      </c>
      <c r="U853">
        <v>3.4</v>
      </c>
      <c r="V853">
        <v>20.7</v>
      </c>
      <c r="W853" t="s">
        <v>39</v>
      </c>
      <c r="X853" t="s">
        <v>63</v>
      </c>
      <c r="Y853" t="s">
        <v>39</v>
      </c>
      <c r="Z853" t="s">
        <v>81</v>
      </c>
      <c r="AA853" t="s">
        <v>109</v>
      </c>
      <c r="AB853" t="s">
        <v>55</v>
      </c>
      <c r="AC853">
        <f t="shared" si="143"/>
        <v>0</v>
      </c>
      <c r="AD853" s="12">
        <f t="shared" si="147"/>
        <v>1</v>
      </c>
      <c r="AE853" s="12">
        <f t="shared" si="148"/>
        <v>0</v>
      </c>
      <c r="AF853">
        <f t="shared" si="144"/>
        <v>0</v>
      </c>
      <c r="AG853">
        <f t="shared" si="149"/>
        <v>1</v>
      </c>
      <c r="AH853">
        <f t="shared" si="150"/>
        <v>0</v>
      </c>
      <c r="AI853">
        <f t="shared" si="151"/>
        <v>0</v>
      </c>
      <c r="AJ853">
        <f t="shared" si="152"/>
        <v>0</v>
      </c>
      <c r="AK853">
        <f t="shared" si="145"/>
        <v>0</v>
      </c>
      <c r="AL853">
        <f t="shared" si="153"/>
        <v>0</v>
      </c>
    </row>
    <row r="854" spans="1:38">
      <c r="A854" t="s">
        <v>2689</v>
      </c>
      <c r="B854" t="s">
        <v>2690</v>
      </c>
      <c r="C854" s="1">
        <f t="shared" si="146"/>
        <v>45536</v>
      </c>
      <c r="D854" t="s">
        <v>2691</v>
      </c>
      <c r="E854">
        <v>104.6</v>
      </c>
      <c r="F854">
        <v>4.4000000000000004</v>
      </c>
      <c r="G854" t="s">
        <v>59</v>
      </c>
      <c r="H854" t="s">
        <v>281</v>
      </c>
      <c r="I854" t="s">
        <v>48</v>
      </c>
      <c r="J854">
        <v>120</v>
      </c>
      <c r="K854" t="s">
        <v>49</v>
      </c>
      <c r="L854" t="s">
        <v>34</v>
      </c>
      <c r="M854" t="s">
        <v>35</v>
      </c>
      <c r="N854" t="s">
        <v>277</v>
      </c>
      <c r="O854" t="s">
        <v>7232</v>
      </c>
      <c r="P854" t="s">
        <v>38</v>
      </c>
      <c r="Q854" t="s">
        <v>38</v>
      </c>
      <c r="R854">
        <v>1</v>
      </c>
      <c r="S854" t="s">
        <v>39</v>
      </c>
      <c r="T854">
        <v>7</v>
      </c>
      <c r="U854">
        <v>3.8</v>
      </c>
      <c r="V854">
        <v>23.3</v>
      </c>
      <c r="W854" t="s">
        <v>38</v>
      </c>
      <c r="X854" t="s">
        <v>123</v>
      </c>
      <c r="Y854" t="s">
        <v>39</v>
      </c>
      <c r="Z854" t="s">
        <v>73</v>
      </c>
      <c r="AA854" t="s">
        <v>109</v>
      </c>
      <c r="AB854" t="s">
        <v>55</v>
      </c>
      <c r="AC854">
        <f t="shared" si="143"/>
        <v>0</v>
      </c>
      <c r="AD854" s="12">
        <f t="shared" si="147"/>
        <v>0</v>
      </c>
      <c r="AE854" s="12">
        <f t="shared" si="148"/>
        <v>1</v>
      </c>
      <c r="AF854">
        <f t="shared" si="144"/>
        <v>0</v>
      </c>
      <c r="AG854">
        <f t="shared" si="149"/>
        <v>1</v>
      </c>
      <c r="AH854">
        <f t="shared" si="150"/>
        <v>1</v>
      </c>
      <c r="AI854">
        <f t="shared" si="151"/>
        <v>0</v>
      </c>
      <c r="AJ854">
        <f t="shared" si="152"/>
        <v>0</v>
      </c>
      <c r="AK854">
        <f t="shared" si="145"/>
        <v>0</v>
      </c>
      <c r="AL854">
        <f t="shared" si="153"/>
        <v>0</v>
      </c>
    </row>
    <row r="855" spans="1:38">
      <c r="A855" t="s">
        <v>2692</v>
      </c>
      <c r="B855" t="s">
        <v>2693</v>
      </c>
      <c r="C855" s="1">
        <f t="shared" si="146"/>
        <v>45597</v>
      </c>
      <c r="D855" t="s">
        <v>2694</v>
      </c>
      <c r="E855">
        <v>223.7</v>
      </c>
      <c r="F855">
        <v>9.3000000000000007</v>
      </c>
      <c r="G855" t="s">
        <v>101</v>
      </c>
      <c r="H855" t="s">
        <v>368</v>
      </c>
      <c r="I855" t="s">
        <v>32</v>
      </c>
      <c r="J855">
        <v>240</v>
      </c>
      <c r="K855" t="s">
        <v>49</v>
      </c>
      <c r="L855" t="s">
        <v>96</v>
      </c>
      <c r="M855" t="s">
        <v>35</v>
      </c>
      <c r="N855" t="s">
        <v>144</v>
      </c>
      <c r="O855" t="s">
        <v>7232</v>
      </c>
      <c r="P855" t="s">
        <v>38</v>
      </c>
      <c r="Q855" t="s">
        <v>38</v>
      </c>
      <c r="R855">
        <v>1</v>
      </c>
      <c r="S855" t="s">
        <v>38</v>
      </c>
      <c r="T855">
        <v>10</v>
      </c>
      <c r="U855">
        <v>0.1</v>
      </c>
      <c r="V855">
        <v>9.3000000000000007</v>
      </c>
      <c r="W855" t="s">
        <v>39</v>
      </c>
      <c r="X855" t="s">
        <v>63</v>
      </c>
      <c r="Y855" t="s">
        <v>39</v>
      </c>
      <c r="Z855" t="s">
        <v>115</v>
      </c>
      <c r="AA855" t="s">
        <v>103</v>
      </c>
      <c r="AB855" t="s">
        <v>83</v>
      </c>
      <c r="AC855">
        <f t="shared" si="143"/>
        <v>0</v>
      </c>
      <c r="AD855" s="12">
        <f t="shared" si="147"/>
        <v>1</v>
      </c>
      <c r="AE855" s="12">
        <f t="shared" si="148"/>
        <v>0</v>
      </c>
      <c r="AF855">
        <f t="shared" si="144"/>
        <v>0</v>
      </c>
      <c r="AG855">
        <f t="shared" si="149"/>
        <v>1</v>
      </c>
      <c r="AH855">
        <f t="shared" si="150"/>
        <v>0</v>
      </c>
      <c r="AI855">
        <f t="shared" si="151"/>
        <v>0</v>
      </c>
      <c r="AJ855">
        <f t="shared" si="152"/>
        <v>1</v>
      </c>
      <c r="AK855">
        <f t="shared" si="145"/>
        <v>0</v>
      </c>
      <c r="AL855">
        <f t="shared" si="153"/>
        <v>0</v>
      </c>
    </row>
    <row r="856" spans="1:38">
      <c r="A856" t="s">
        <v>2695</v>
      </c>
      <c r="B856" t="s">
        <v>2696</v>
      </c>
      <c r="C856" s="1">
        <f t="shared" si="146"/>
        <v>45352</v>
      </c>
      <c r="D856" t="s">
        <v>2697</v>
      </c>
      <c r="E856">
        <v>213.5</v>
      </c>
      <c r="F856">
        <v>8.9</v>
      </c>
      <c r="G856" t="s">
        <v>68</v>
      </c>
      <c r="H856" t="s">
        <v>456</v>
      </c>
      <c r="I856" t="s">
        <v>48</v>
      </c>
      <c r="J856">
        <v>120</v>
      </c>
      <c r="K856" t="s">
        <v>33</v>
      </c>
      <c r="L856" t="s">
        <v>133</v>
      </c>
      <c r="M856" t="s">
        <v>71</v>
      </c>
      <c r="N856" t="s">
        <v>72</v>
      </c>
      <c r="O856" t="s">
        <v>7232</v>
      </c>
      <c r="P856" t="s">
        <v>38</v>
      </c>
      <c r="Q856" t="s">
        <v>39</v>
      </c>
      <c r="R856">
        <v>1</v>
      </c>
      <c r="S856" t="s">
        <v>38</v>
      </c>
      <c r="T856">
        <v>7</v>
      </c>
      <c r="U856">
        <v>4.9000000000000004</v>
      </c>
      <c r="V856">
        <v>20</v>
      </c>
      <c r="W856" t="s">
        <v>39</v>
      </c>
      <c r="X856" t="s">
        <v>123</v>
      </c>
      <c r="Y856" t="s">
        <v>38</v>
      </c>
      <c r="Z856" t="s">
        <v>64</v>
      </c>
      <c r="AA856" t="s">
        <v>82</v>
      </c>
      <c r="AB856" t="s">
        <v>83</v>
      </c>
      <c r="AC856">
        <f t="shared" si="143"/>
        <v>0</v>
      </c>
      <c r="AD856" s="12">
        <f t="shared" si="147"/>
        <v>0</v>
      </c>
      <c r="AE856" s="12">
        <f t="shared" si="148"/>
        <v>1</v>
      </c>
      <c r="AF856">
        <f t="shared" si="144"/>
        <v>0</v>
      </c>
      <c r="AG856">
        <f t="shared" si="149"/>
        <v>1</v>
      </c>
      <c r="AH856">
        <f t="shared" si="150"/>
        <v>1</v>
      </c>
      <c r="AI856">
        <f t="shared" si="151"/>
        <v>0</v>
      </c>
      <c r="AJ856">
        <f t="shared" si="152"/>
        <v>0</v>
      </c>
      <c r="AK856">
        <f t="shared" si="145"/>
        <v>0</v>
      </c>
      <c r="AL856">
        <f t="shared" si="153"/>
        <v>1</v>
      </c>
    </row>
    <row r="857" spans="1:38">
      <c r="A857" t="s">
        <v>2698</v>
      </c>
      <c r="B857" t="s">
        <v>2699</v>
      </c>
      <c r="C857" s="1">
        <f t="shared" si="146"/>
        <v>45627</v>
      </c>
      <c r="D857" t="s">
        <v>2700</v>
      </c>
      <c r="E857">
        <v>45.2</v>
      </c>
      <c r="F857">
        <v>1.9</v>
      </c>
      <c r="G857" t="s">
        <v>87</v>
      </c>
      <c r="H857" t="s">
        <v>309</v>
      </c>
      <c r="I857" t="s">
        <v>95</v>
      </c>
      <c r="J857">
        <v>48</v>
      </c>
      <c r="K857" t="s">
        <v>49</v>
      </c>
      <c r="L857" t="s">
        <v>113</v>
      </c>
      <c r="M857" t="s">
        <v>35</v>
      </c>
      <c r="N857" t="s">
        <v>188</v>
      </c>
      <c r="O857" t="s">
        <v>51</v>
      </c>
      <c r="P857" t="s">
        <v>38</v>
      </c>
      <c r="Q857" t="s">
        <v>38</v>
      </c>
      <c r="R857">
        <v>1</v>
      </c>
      <c r="S857" t="s">
        <v>38</v>
      </c>
      <c r="T857">
        <v>7</v>
      </c>
      <c r="U857">
        <v>5</v>
      </c>
      <c r="V857">
        <v>7.3</v>
      </c>
      <c r="W857" t="s">
        <v>38</v>
      </c>
      <c r="X857" t="s">
        <v>52</v>
      </c>
      <c r="Y857" t="s">
        <v>39</v>
      </c>
      <c r="Z857" t="s">
        <v>179</v>
      </c>
      <c r="AA857" t="s">
        <v>103</v>
      </c>
      <c r="AB857" t="s">
        <v>83</v>
      </c>
      <c r="AC857">
        <f t="shared" si="143"/>
        <v>1</v>
      </c>
      <c r="AD857" s="12">
        <f t="shared" si="147"/>
        <v>0</v>
      </c>
      <c r="AE857" s="12">
        <f t="shared" si="148"/>
        <v>0</v>
      </c>
      <c r="AF857">
        <f t="shared" si="144"/>
        <v>1</v>
      </c>
      <c r="AG857">
        <f t="shared" si="149"/>
        <v>0</v>
      </c>
      <c r="AH857">
        <f t="shared" si="150"/>
        <v>0</v>
      </c>
      <c r="AI857">
        <f t="shared" si="151"/>
        <v>1</v>
      </c>
      <c r="AJ857">
        <f t="shared" si="152"/>
        <v>0</v>
      </c>
      <c r="AK857">
        <f t="shared" si="145"/>
        <v>0</v>
      </c>
      <c r="AL857">
        <f t="shared" si="153"/>
        <v>0</v>
      </c>
    </row>
    <row r="858" spans="1:38">
      <c r="A858" t="s">
        <v>2701</v>
      </c>
      <c r="B858" t="s">
        <v>2702</v>
      </c>
      <c r="C858" s="1">
        <f t="shared" si="146"/>
        <v>45383</v>
      </c>
      <c r="D858" t="s">
        <v>2703</v>
      </c>
      <c r="E858">
        <v>271.2</v>
      </c>
      <c r="F858">
        <v>11.3</v>
      </c>
      <c r="G858" t="s">
        <v>93</v>
      </c>
      <c r="H858" t="s">
        <v>94</v>
      </c>
      <c r="I858" t="s">
        <v>79</v>
      </c>
      <c r="J858">
        <v>360</v>
      </c>
      <c r="K858" t="s">
        <v>49</v>
      </c>
      <c r="L858" t="s">
        <v>70</v>
      </c>
      <c r="M858" t="s">
        <v>35</v>
      </c>
      <c r="N858" t="s">
        <v>36</v>
      </c>
      <c r="O858" t="s">
        <v>7232</v>
      </c>
      <c r="P858" t="s">
        <v>38</v>
      </c>
      <c r="Q858" t="s">
        <v>38</v>
      </c>
      <c r="R858">
        <v>1</v>
      </c>
      <c r="S858" t="s">
        <v>38</v>
      </c>
      <c r="T858">
        <v>8</v>
      </c>
      <c r="U858">
        <v>2.1</v>
      </c>
      <c r="V858">
        <v>0</v>
      </c>
      <c r="W858" t="s">
        <v>39</v>
      </c>
      <c r="X858" t="s">
        <v>63</v>
      </c>
      <c r="Y858" t="s">
        <v>39</v>
      </c>
      <c r="Z858" t="s">
        <v>115</v>
      </c>
      <c r="AA858" t="s">
        <v>103</v>
      </c>
      <c r="AB858" t="s">
        <v>55</v>
      </c>
      <c r="AC858">
        <f t="shared" si="143"/>
        <v>0</v>
      </c>
      <c r="AD858" s="12">
        <f t="shared" si="147"/>
        <v>1</v>
      </c>
      <c r="AE858" s="12">
        <f t="shared" si="148"/>
        <v>0</v>
      </c>
      <c r="AF858">
        <f t="shared" si="144"/>
        <v>0</v>
      </c>
      <c r="AG858">
        <f t="shared" si="149"/>
        <v>1</v>
      </c>
      <c r="AH858">
        <f t="shared" si="150"/>
        <v>0</v>
      </c>
      <c r="AI858">
        <f t="shared" si="151"/>
        <v>0</v>
      </c>
      <c r="AJ858">
        <f t="shared" si="152"/>
        <v>0</v>
      </c>
      <c r="AK858">
        <f t="shared" si="145"/>
        <v>0</v>
      </c>
      <c r="AL858">
        <f t="shared" si="153"/>
        <v>0</v>
      </c>
    </row>
    <row r="859" spans="1:38">
      <c r="A859" t="s">
        <v>2704</v>
      </c>
      <c r="B859" t="s">
        <v>2705</v>
      </c>
      <c r="C859" s="1">
        <f t="shared" si="146"/>
        <v>45352</v>
      </c>
      <c r="D859" t="s">
        <v>2706</v>
      </c>
      <c r="E859">
        <v>219.4</v>
      </c>
      <c r="F859">
        <v>9.1</v>
      </c>
      <c r="G859" t="s">
        <v>68</v>
      </c>
      <c r="H859" t="s">
        <v>456</v>
      </c>
      <c r="I859" t="s">
        <v>32</v>
      </c>
      <c r="J859">
        <v>240</v>
      </c>
      <c r="K859" t="s">
        <v>49</v>
      </c>
      <c r="L859" t="s">
        <v>96</v>
      </c>
      <c r="M859" t="s">
        <v>35</v>
      </c>
      <c r="N859" t="s">
        <v>61</v>
      </c>
      <c r="O859" t="s">
        <v>37</v>
      </c>
      <c r="P859" t="s">
        <v>39</v>
      </c>
      <c r="Q859" t="s">
        <v>38</v>
      </c>
      <c r="R859">
        <v>0</v>
      </c>
      <c r="S859" t="s">
        <v>38</v>
      </c>
      <c r="T859">
        <v>9</v>
      </c>
      <c r="U859">
        <v>4.5</v>
      </c>
      <c r="V859">
        <v>34.9</v>
      </c>
      <c r="W859" t="s">
        <v>39</v>
      </c>
      <c r="X859" t="s">
        <v>123</v>
      </c>
      <c r="Y859" t="s">
        <v>39</v>
      </c>
      <c r="Z859" t="s">
        <v>81</v>
      </c>
      <c r="AA859" t="s">
        <v>42</v>
      </c>
      <c r="AB859" t="s">
        <v>43</v>
      </c>
      <c r="AC859">
        <f t="shared" si="143"/>
        <v>0</v>
      </c>
      <c r="AD859" s="12">
        <f t="shared" si="147"/>
        <v>0</v>
      </c>
      <c r="AE859" s="12">
        <f t="shared" si="148"/>
        <v>1</v>
      </c>
      <c r="AF859">
        <f t="shared" si="144"/>
        <v>0</v>
      </c>
      <c r="AG859">
        <f t="shared" si="149"/>
        <v>0</v>
      </c>
      <c r="AH859">
        <f t="shared" si="150"/>
        <v>0</v>
      </c>
      <c r="AI859">
        <f t="shared" si="151"/>
        <v>0</v>
      </c>
      <c r="AJ859">
        <f t="shared" si="152"/>
        <v>1</v>
      </c>
      <c r="AK859">
        <f t="shared" si="145"/>
        <v>0</v>
      </c>
      <c r="AL859">
        <f t="shared" si="153"/>
        <v>0</v>
      </c>
    </row>
    <row r="860" spans="1:38">
      <c r="A860" t="s">
        <v>2707</v>
      </c>
      <c r="B860" t="s">
        <v>2708</v>
      </c>
      <c r="C860" s="1">
        <f t="shared" si="146"/>
        <v>45323</v>
      </c>
      <c r="D860" t="s">
        <v>2709</v>
      </c>
      <c r="E860">
        <v>710.8</v>
      </c>
      <c r="F860">
        <v>29.6</v>
      </c>
      <c r="G860" t="s">
        <v>59</v>
      </c>
      <c r="H860" t="s">
        <v>132</v>
      </c>
      <c r="I860" t="s">
        <v>32</v>
      </c>
      <c r="J860">
        <v>240</v>
      </c>
      <c r="K860" t="s">
        <v>33</v>
      </c>
      <c r="L860" t="s">
        <v>96</v>
      </c>
      <c r="M860" t="s">
        <v>71</v>
      </c>
      <c r="N860" t="s">
        <v>299</v>
      </c>
      <c r="O860" t="s">
        <v>7232</v>
      </c>
      <c r="P860" t="s">
        <v>38</v>
      </c>
      <c r="Q860" t="s">
        <v>39</v>
      </c>
      <c r="R860">
        <v>2</v>
      </c>
      <c r="S860" t="s">
        <v>38</v>
      </c>
      <c r="T860">
        <v>4</v>
      </c>
      <c r="U860">
        <v>0.2</v>
      </c>
      <c r="V860">
        <v>14.7</v>
      </c>
      <c r="W860" t="s">
        <v>39</v>
      </c>
      <c r="X860" t="s">
        <v>40</v>
      </c>
      <c r="Y860" t="s">
        <v>38</v>
      </c>
      <c r="Z860" t="s">
        <v>179</v>
      </c>
      <c r="AA860" t="s">
        <v>82</v>
      </c>
      <c r="AB860" t="s">
        <v>55</v>
      </c>
      <c r="AC860">
        <f t="shared" si="143"/>
        <v>0</v>
      </c>
      <c r="AD860" s="12">
        <f t="shared" si="147"/>
        <v>0</v>
      </c>
      <c r="AE860" s="12">
        <f t="shared" si="148"/>
        <v>0</v>
      </c>
      <c r="AF860">
        <f t="shared" si="144"/>
        <v>0</v>
      </c>
      <c r="AG860">
        <f t="shared" si="149"/>
        <v>1</v>
      </c>
      <c r="AH860">
        <f t="shared" si="150"/>
        <v>0</v>
      </c>
      <c r="AI860">
        <f t="shared" si="151"/>
        <v>0</v>
      </c>
      <c r="AJ860">
        <f t="shared" si="152"/>
        <v>1</v>
      </c>
      <c r="AK860">
        <f t="shared" si="145"/>
        <v>0</v>
      </c>
      <c r="AL860">
        <f t="shared" si="153"/>
        <v>1</v>
      </c>
    </row>
    <row r="861" spans="1:38">
      <c r="A861" t="s">
        <v>2710</v>
      </c>
      <c r="B861" t="s">
        <v>2711</v>
      </c>
      <c r="C861" s="1">
        <f t="shared" si="146"/>
        <v>45474</v>
      </c>
      <c r="D861" t="s">
        <v>2712</v>
      </c>
      <c r="E861">
        <v>81.2</v>
      </c>
      <c r="F861">
        <v>3.4</v>
      </c>
      <c r="G861" t="s">
        <v>59</v>
      </c>
      <c r="H861" t="s">
        <v>60</v>
      </c>
      <c r="I861" t="s">
        <v>48</v>
      </c>
      <c r="J861">
        <v>120</v>
      </c>
      <c r="K861" t="s">
        <v>49</v>
      </c>
      <c r="L861" t="s">
        <v>70</v>
      </c>
      <c r="M861" t="s">
        <v>71</v>
      </c>
      <c r="N861" t="s">
        <v>114</v>
      </c>
      <c r="O861" t="s">
        <v>37</v>
      </c>
      <c r="P861" t="s">
        <v>38</v>
      </c>
      <c r="Q861" t="s">
        <v>39</v>
      </c>
      <c r="R861">
        <v>3</v>
      </c>
      <c r="S861" t="s">
        <v>39</v>
      </c>
      <c r="T861">
        <v>6</v>
      </c>
      <c r="U861">
        <v>0.5</v>
      </c>
      <c r="V861">
        <v>20.5</v>
      </c>
      <c r="W861" t="s">
        <v>38</v>
      </c>
      <c r="X861" t="s">
        <v>63</v>
      </c>
      <c r="Y861" t="s">
        <v>38</v>
      </c>
      <c r="Z861" t="s">
        <v>41</v>
      </c>
      <c r="AA861" t="s">
        <v>109</v>
      </c>
      <c r="AB861" t="s">
        <v>83</v>
      </c>
      <c r="AC861">
        <f t="shared" si="143"/>
        <v>0</v>
      </c>
      <c r="AD861" s="12">
        <f t="shared" si="147"/>
        <v>1</v>
      </c>
      <c r="AE861" s="12">
        <f t="shared" si="148"/>
        <v>0</v>
      </c>
      <c r="AF861">
        <f t="shared" si="144"/>
        <v>0</v>
      </c>
      <c r="AG861">
        <f t="shared" si="149"/>
        <v>0</v>
      </c>
      <c r="AH861">
        <f t="shared" si="150"/>
        <v>1</v>
      </c>
      <c r="AI861">
        <f t="shared" si="151"/>
        <v>0</v>
      </c>
      <c r="AJ861">
        <f t="shared" si="152"/>
        <v>0</v>
      </c>
      <c r="AK861">
        <f t="shared" si="145"/>
        <v>0</v>
      </c>
      <c r="AL861">
        <f t="shared" si="153"/>
        <v>1</v>
      </c>
    </row>
    <row r="862" spans="1:38">
      <c r="A862" t="s">
        <v>2713</v>
      </c>
      <c r="B862" t="s">
        <v>2714</v>
      </c>
      <c r="C862" s="1">
        <f t="shared" si="146"/>
        <v>45323</v>
      </c>
      <c r="D862" t="s">
        <v>2715</v>
      </c>
      <c r="E862">
        <v>837.1</v>
      </c>
      <c r="F862">
        <v>34.9</v>
      </c>
      <c r="G862" t="s">
        <v>30</v>
      </c>
      <c r="H862" t="s">
        <v>159</v>
      </c>
      <c r="I862" t="s">
        <v>79</v>
      </c>
      <c r="J862">
        <v>360</v>
      </c>
      <c r="K862" t="s">
        <v>33</v>
      </c>
      <c r="L862" t="s">
        <v>34</v>
      </c>
      <c r="M862" t="s">
        <v>35</v>
      </c>
      <c r="N862" t="s">
        <v>155</v>
      </c>
      <c r="O862" t="s">
        <v>37</v>
      </c>
      <c r="P862" t="s">
        <v>38</v>
      </c>
      <c r="Q862" t="s">
        <v>38</v>
      </c>
      <c r="R862">
        <v>1</v>
      </c>
      <c r="S862" t="s">
        <v>38</v>
      </c>
      <c r="T862">
        <v>4</v>
      </c>
      <c r="U862">
        <v>1.4</v>
      </c>
      <c r="V862">
        <v>18.7</v>
      </c>
      <c r="W862" t="s">
        <v>39</v>
      </c>
      <c r="X862" t="s">
        <v>123</v>
      </c>
      <c r="Y862" t="s">
        <v>39</v>
      </c>
      <c r="Z862" t="s">
        <v>108</v>
      </c>
      <c r="AA862" t="s">
        <v>54</v>
      </c>
      <c r="AB862" t="s">
        <v>83</v>
      </c>
      <c r="AC862">
        <f t="shared" si="143"/>
        <v>0</v>
      </c>
      <c r="AD862" s="12">
        <f t="shared" si="147"/>
        <v>0</v>
      </c>
      <c r="AE862" s="12">
        <f t="shared" si="148"/>
        <v>1</v>
      </c>
      <c r="AF862">
        <f t="shared" si="144"/>
        <v>0</v>
      </c>
      <c r="AG862">
        <f t="shared" si="149"/>
        <v>0</v>
      </c>
      <c r="AH862">
        <f t="shared" si="150"/>
        <v>0</v>
      </c>
      <c r="AI862">
        <f t="shared" si="151"/>
        <v>0</v>
      </c>
      <c r="AJ862">
        <f t="shared" si="152"/>
        <v>0</v>
      </c>
      <c r="AK862">
        <f t="shared" si="145"/>
        <v>1</v>
      </c>
      <c r="AL862">
        <f t="shared" si="153"/>
        <v>0</v>
      </c>
    </row>
    <row r="863" spans="1:38">
      <c r="A863" t="s">
        <v>2716</v>
      </c>
      <c r="B863" t="s">
        <v>2717</v>
      </c>
      <c r="C863" s="1">
        <f t="shared" si="146"/>
        <v>45323</v>
      </c>
      <c r="D863" t="s">
        <v>2718</v>
      </c>
      <c r="E863">
        <v>225.6</v>
      </c>
      <c r="F863">
        <v>9.4</v>
      </c>
      <c r="G863" t="s">
        <v>30</v>
      </c>
      <c r="H863" t="s">
        <v>172</v>
      </c>
      <c r="I863" t="s">
        <v>32</v>
      </c>
      <c r="J863">
        <v>240</v>
      </c>
      <c r="K863" t="s">
        <v>49</v>
      </c>
      <c r="L863" t="s">
        <v>70</v>
      </c>
      <c r="M863" t="s">
        <v>35</v>
      </c>
      <c r="N863" t="s">
        <v>506</v>
      </c>
      <c r="O863" t="s">
        <v>7232</v>
      </c>
      <c r="P863" t="s">
        <v>39</v>
      </c>
      <c r="Q863" t="s">
        <v>38</v>
      </c>
      <c r="R863">
        <v>0</v>
      </c>
      <c r="S863" t="s">
        <v>38</v>
      </c>
      <c r="T863">
        <v>8</v>
      </c>
      <c r="U863">
        <v>1.4</v>
      </c>
      <c r="V863">
        <v>13.3</v>
      </c>
      <c r="W863" t="s">
        <v>38</v>
      </c>
      <c r="X863" t="s">
        <v>52</v>
      </c>
      <c r="Y863" t="s">
        <v>39</v>
      </c>
      <c r="Z863" t="s">
        <v>81</v>
      </c>
      <c r="AA863" t="s">
        <v>82</v>
      </c>
      <c r="AB863" t="s">
        <v>83</v>
      </c>
      <c r="AC863">
        <f t="shared" si="143"/>
        <v>1</v>
      </c>
      <c r="AD863" s="12">
        <f t="shared" si="147"/>
        <v>0</v>
      </c>
      <c r="AE863" s="12">
        <f t="shared" si="148"/>
        <v>0</v>
      </c>
      <c r="AF863">
        <f t="shared" si="144"/>
        <v>0</v>
      </c>
      <c r="AG863">
        <f t="shared" si="149"/>
        <v>1</v>
      </c>
      <c r="AH863">
        <f t="shared" si="150"/>
        <v>0</v>
      </c>
      <c r="AI863">
        <f t="shared" si="151"/>
        <v>0</v>
      </c>
      <c r="AJ863">
        <f t="shared" si="152"/>
        <v>1</v>
      </c>
      <c r="AK863">
        <f t="shared" si="145"/>
        <v>1</v>
      </c>
      <c r="AL863">
        <f t="shared" si="153"/>
        <v>0</v>
      </c>
    </row>
    <row r="864" spans="1:38">
      <c r="A864" t="s">
        <v>2719</v>
      </c>
      <c r="B864" t="s">
        <v>2720</v>
      </c>
      <c r="C864" s="1">
        <f t="shared" si="146"/>
        <v>45627</v>
      </c>
      <c r="D864" t="s">
        <v>2721</v>
      </c>
      <c r="E864">
        <v>75.099999999999994</v>
      </c>
      <c r="F864">
        <v>3.1</v>
      </c>
      <c r="G864" t="s">
        <v>77</v>
      </c>
      <c r="H864" t="s">
        <v>78</v>
      </c>
      <c r="I864" t="s">
        <v>48</v>
      </c>
      <c r="J864">
        <v>120</v>
      </c>
      <c r="K864" t="s">
        <v>49</v>
      </c>
      <c r="L864" t="s">
        <v>113</v>
      </c>
      <c r="M864" t="s">
        <v>35</v>
      </c>
      <c r="N864" t="s">
        <v>168</v>
      </c>
      <c r="O864" t="s">
        <v>7232</v>
      </c>
      <c r="P864" t="s">
        <v>38</v>
      </c>
      <c r="Q864" t="s">
        <v>38</v>
      </c>
      <c r="R864">
        <v>1</v>
      </c>
      <c r="S864" t="s">
        <v>38</v>
      </c>
      <c r="T864">
        <v>9</v>
      </c>
      <c r="U864">
        <v>3.1</v>
      </c>
      <c r="V864">
        <v>11.1</v>
      </c>
      <c r="W864" t="s">
        <v>38</v>
      </c>
      <c r="X864" t="s">
        <v>52</v>
      </c>
      <c r="Y864" t="s">
        <v>38</v>
      </c>
      <c r="Z864" t="s">
        <v>73</v>
      </c>
      <c r="AA864" t="s">
        <v>42</v>
      </c>
      <c r="AB864" t="s">
        <v>55</v>
      </c>
      <c r="AC864">
        <f t="shared" si="143"/>
        <v>1</v>
      </c>
      <c r="AD864" s="12">
        <f t="shared" si="147"/>
        <v>0</v>
      </c>
      <c r="AE864" s="12">
        <f t="shared" si="148"/>
        <v>0</v>
      </c>
      <c r="AF864">
        <f t="shared" si="144"/>
        <v>0</v>
      </c>
      <c r="AG864">
        <f t="shared" si="149"/>
        <v>1</v>
      </c>
      <c r="AH864">
        <f t="shared" si="150"/>
        <v>1</v>
      </c>
      <c r="AI864">
        <f t="shared" si="151"/>
        <v>0</v>
      </c>
      <c r="AJ864">
        <f t="shared" si="152"/>
        <v>0</v>
      </c>
      <c r="AK864">
        <f t="shared" si="145"/>
        <v>0</v>
      </c>
      <c r="AL864">
        <f t="shared" si="153"/>
        <v>1</v>
      </c>
    </row>
    <row r="865" spans="1:38">
      <c r="A865" t="s">
        <v>2722</v>
      </c>
      <c r="B865" t="s">
        <v>2723</v>
      </c>
      <c r="C865" s="1">
        <f t="shared" si="146"/>
        <v>45292</v>
      </c>
      <c r="D865" t="s">
        <v>2724</v>
      </c>
      <c r="E865">
        <v>321.60000000000002</v>
      </c>
      <c r="F865">
        <v>13.4</v>
      </c>
      <c r="G865" t="s">
        <v>142</v>
      </c>
      <c r="H865" t="s">
        <v>319</v>
      </c>
      <c r="I865" t="s">
        <v>32</v>
      </c>
      <c r="J865">
        <v>240</v>
      </c>
      <c r="K865" t="s">
        <v>33</v>
      </c>
      <c r="L865" t="s">
        <v>70</v>
      </c>
      <c r="M865" t="s">
        <v>71</v>
      </c>
      <c r="N865" t="s">
        <v>299</v>
      </c>
      <c r="O865" t="s">
        <v>51</v>
      </c>
      <c r="P865" t="s">
        <v>38</v>
      </c>
      <c r="Q865" t="s">
        <v>39</v>
      </c>
      <c r="R865">
        <v>1</v>
      </c>
      <c r="S865" t="s">
        <v>38</v>
      </c>
      <c r="T865">
        <v>6</v>
      </c>
      <c r="U865">
        <v>1.6</v>
      </c>
      <c r="V865">
        <v>29.9</v>
      </c>
      <c r="W865" t="s">
        <v>39</v>
      </c>
      <c r="X865" t="s">
        <v>123</v>
      </c>
      <c r="Y865" t="s">
        <v>39</v>
      </c>
      <c r="Z865" t="s">
        <v>53</v>
      </c>
      <c r="AA865" t="s">
        <v>103</v>
      </c>
      <c r="AB865" t="s">
        <v>43</v>
      </c>
      <c r="AC865">
        <f t="shared" si="143"/>
        <v>0</v>
      </c>
      <c r="AD865" s="12">
        <f t="shared" si="147"/>
        <v>0</v>
      </c>
      <c r="AE865" s="12">
        <f t="shared" si="148"/>
        <v>1</v>
      </c>
      <c r="AF865">
        <f t="shared" si="144"/>
        <v>1</v>
      </c>
      <c r="AG865">
        <f t="shared" si="149"/>
        <v>0</v>
      </c>
      <c r="AH865">
        <f t="shared" si="150"/>
        <v>0</v>
      </c>
      <c r="AI865">
        <f t="shared" si="151"/>
        <v>0</v>
      </c>
      <c r="AJ865">
        <f t="shared" si="152"/>
        <v>1</v>
      </c>
      <c r="AK865">
        <f t="shared" si="145"/>
        <v>0</v>
      </c>
      <c r="AL865">
        <f t="shared" si="153"/>
        <v>0</v>
      </c>
    </row>
    <row r="866" spans="1:38">
      <c r="A866" t="s">
        <v>2725</v>
      </c>
      <c r="B866" t="s">
        <v>2726</v>
      </c>
      <c r="C866" s="1">
        <f t="shared" si="146"/>
        <v>45536</v>
      </c>
      <c r="D866" t="s">
        <v>2727</v>
      </c>
      <c r="E866">
        <v>330.3</v>
      </c>
      <c r="F866">
        <v>13.8</v>
      </c>
      <c r="G866" t="s">
        <v>77</v>
      </c>
      <c r="H866" t="s">
        <v>187</v>
      </c>
      <c r="I866" t="s">
        <v>79</v>
      </c>
      <c r="J866">
        <v>360</v>
      </c>
      <c r="K866" t="s">
        <v>49</v>
      </c>
      <c r="L866" t="s">
        <v>70</v>
      </c>
      <c r="M866" t="s">
        <v>35</v>
      </c>
      <c r="N866" t="s">
        <v>114</v>
      </c>
      <c r="O866" t="s">
        <v>7232</v>
      </c>
      <c r="P866" t="s">
        <v>38</v>
      </c>
      <c r="Q866" t="s">
        <v>38</v>
      </c>
      <c r="R866">
        <v>1</v>
      </c>
      <c r="S866" t="s">
        <v>38</v>
      </c>
      <c r="T866">
        <v>6</v>
      </c>
      <c r="U866">
        <v>3.4</v>
      </c>
      <c r="V866">
        <v>19.3</v>
      </c>
      <c r="W866" t="s">
        <v>38</v>
      </c>
      <c r="X866" t="s">
        <v>52</v>
      </c>
      <c r="Y866" t="s">
        <v>39</v>
      </c>
      <c r="Z866" t="s">
        <v>115</v>
      </c>
      <c r="AA866" t="s">
        <v>42</v>
      </c>
      <c r="AB866" t="s">
        <v>43</v>
      </c>
      <c r="AC866">
        <f t="shared" si="143"/>
        <v>1</v>
      </c>
      <c r="AD866" s="12">
        <f t="shared" si="147"/>
        <v>0</v>
      </c>
      <c r="AE866" s="12">
        <f t="shared" si="148"/>
        <v>0</v>
      </c>
      <c r="AF866">
        <f t="shared" si="144"/>
        <v>0</v>
      </c>
      <c r="AG866">
        <f t="shared" si="149"/>
        <v>1</v>
      </c>
      <c r="AH866">
        <f t="shared" si="150"/>
        <v>0</v>
      </c>
      <c r="AI866">
        <f t="shared" si="151"/>
        <v>0</v>
      </c>
      <c r="AJ866">
        <f t="shared" si="152"/>
        <v>0</v>
      </c>
      <c r="AK866">
        <f t="shared" si="145"/>
        <v>0</v>
      </c>
      <c r="AL866">
        <f t="shared" si="153"/>
        <v>0</v>
      </c>
    </row>
    <row r="867" spans="1:38">
      <c r="A867" t="s">
        <v>2728</v>
      </c>
      <c r="B867" t="s">
        <v>2729</v>
      </c>
      <c r="C867" s="1">
        <f t="shared" si="146"/>
        <v>45323</v>
      </c>
      <c r="D867" t="s">
        <v>2730</v>
      </c>
      <c r="E867">
        <v>93.6</v>
      </c>
      <c r="F867">
        <v>3.9</v>
      </c>
      <c r="G867" t="s">
        <v>68</v>
      </c>
      <c r="H867" t="s">
        <v>69</v>
      </c>
      <c r="I867" t="s">
        <v>48</v>
      </c>
      <c r="J867">
        <v>120</v>
      </c>
      <c r="K867" t="s">
        <v>49</v>
      </c>
      <c r="L867" t="s">
        <v>34</v>
      </c>
      <c r="M867" t="s">
        <v>71</v>
      </c>
      <c r="N867" t="s">
        <v>138</v>
      </c>
      <c r="O867" t="s">
        <v>37</v>
      </c>
      <c r="P867" t="s">
        <v>38</v>
      </c>
      <c r="Q867" t="s">
        <v>39</v>
      </c>
      <c r="R867">
        <v>1</v>
      </c>
      <c r="S867" t="s">
        <v>38</v>
      </c>
      <c r="T867">
        <v>10</v>
      </c>
      <c r="U867">
        <v>3.4</v>
      </c>
      <c r="V867">
        <v>15.9</v>
      </c>
      <c r="W867" t="s">
        <v>39</v>
      </c>
      <c r="X867" t="s">
        <v>63</v>
      </c>
      <c r="Y867" t="s">
        <v>39</v>
      </c>
      <c r="Z867" t="s">
        <v>53</v>
      </c>
      <c r="AA867" t="s">
        <v>109</v>
      </c>
      <c r="AB867" t="s">
        <v>83</v>
      </c>
      <c r="AC867">
        <f t="shared" si="143"/>
        <v>0</v>
      </c>
      <c r="AD867" s="12">
        <f t="shared" si="147"/>
        <v>1</v>
      </c>
      <c r="AE867" s="12">
        <f t="shared" si="148"/>
        <v>0</v>
      </c>
      <c r="AF867">
        <f t="shared" si="144"/>
        <v>0</v>
      </c>
      <c r="AG867">
        <f t="shared" si="149"/>
        <v>0</v>
      </c>
      <c r="AH867">
        <f t="shared" si="150"/>
        <v>1</v>
      </c>
      <c r="AI867">
        <f t="shared" si="151"/>
        <v>0</v>
      </c>
      <c r="AJ867">
        <f t="shared" si="152"/>
        <v>0</v>
      </c>
      <c r="AK867">
        <f t="shared" si="145"/>
        <v>0</v>
      </c>
      <c r="AL867">
        <f t="shared" si="153"/>
        <v>0</v>
      </c>
    </row>
    <row r="868" spans="1:38">
      <c r="A868" t="s">
        <v>2731</v>
      </c>
      <c r="B868" t="s">
        <v>2732</v>
      </c>
      <c r="C868" s="1">
        <f t="shared" si="146"/>
        <v>45566</v>
      </c>
      <c r="D868" t="s">
        <v>2733</v>
      </c>
      <c r="E868">
        <v>314.5</v>
      </c>
      <c r="F868">
        <v>13.1</v>
      </c>
      <c r="G868" t="s">
        <v>93</v>
      </c>
      <c r="H868" t="s">
        <v>163</v>
      </c>
      <c r="I868" t="s">
        <v>79</v>
      </c>
      <c r="J868">
        <v>360</v>
      </c>
      <c r="K868" t="s">
        <v>49</v>
      </c>
      <c r="L868" t="s">
        <v>70</v>
      </c>
      <c r="M868" t="s">
        <v>35</v>
      </c>
      <c r="N868" t="s">
        <v>36</v>
      </c>
      <c r="O868" t="s">
        <v>7232</v>
      </c>
      <c r="P868" t="s">
        <v>38</v>
      </c>
      <c r="Q868" t="s">
        <v>38</v>
      </c>
      <c r="R868">
        <v>1</v>
      </c>
      <c r="S868" t="s">
        <v>38</v>
      </c>
      <c r="T868">
        <v>10</v>
      </c>
      <c r="U868">
        <v>2.4</v>
      </c>
      <c r="V868">
        <v>26.6</v>
      </c>
      <c r="W868" t="s">
        <v>39</v>
      </c>
      <c r="X868" t="s">
        <v>123</v>
      </c>
      <c r="Y868" t="s">
        <v>38</v>
      </c>
      <c r="Z868" t="s">
        <v>53</v>
      </c>
      <c r="AA868" t="s">
        <v>103</v>
      </c>
      <c r="AB868" t="s">
        <v>55</v>
      </c>
      <c r="AC868">
        <f t="shared" si="143"/>
        <v>0</v>
      </c>
      <c r="AD868" s="12">
        <f t="shared" si="147"/>
        <v>0</v>
      </c>
      <c r="AE868" s="12">
        <f t="shared" si="148"/>
        <v>1</v>
      </c>
      <c r="AF868">
        <f t="shared" si="144"/>
        <v>0</v>
      </c>
      <c r="AG868">
        <f t="shared" si="149"/>
        <v>1</v>
      </c>
      <c r="AH868">
        <f t="shared" si="150"/>
        <v>0</v>
      </c>
      <c r="AI868">
        <f t="shared" si="151"/>
        <v>0</v>
      </c>
      <c r="AJ868">
        <f t="shared" si="152"/>
        <v>0</v>
      </c>
      <c r="AK868">
        <f t="shared" si="145"/>
        <v>0</v>
      </c>
      <c r="AL868">
        <f t="shared" si="153"/>
        <v>1</v>
      </c>
    </row>
    <row r="869" spans="1:38">
      <c r="A869" t="s">
        <v>2734</v>
      </c>
      <c r="B869" t="s">
        <v>2735</v>
      </c>
      <c r="C869" s="1">
        <f t="shared" si="146"/>
        <v>45383</v>
      </c>
      <c r="D869" t="s">
        <v>2736</v>
      </c>
      <c r="E869">
        <v>687.9</v>
      </c>
      <c r="F869">
        <v>28.7</v>
      </c>
      <c r="G869" t="s">
        <v>77</v>
      </c>
      <c r="H869" t="s">
        <v>267</v>
      </c>
      <c r="I869" t="s">
        <v>79</v>
      </c>
      <c r="J869">
        <v>360</v>
      </c>
      <c r="K869" t="s">
        <v>33</v>
      </c>
      <c r="L869" t="s">
        <v>70</v>
      </c>
      <c r="M869" t="s">
        <v>35</v>
      </c>
      <c r="N869" t="s">
        <v>299</v>
      </c>
      <c r="O869" t="s">
        <v>37</v>
      </c>
      <c r="P869" t="s">
        <v>39</v>
      </c>
      <c r="Q869" t="s">
        <v>38</v>
      </c>
      <c r="R869">
        <v>0</v>
      </c>
      <c r="S869" t="s">
        <v>38</v>
      </c>
      <c r="T869">
        <v>8</v>
      </c>
      <c r="U869">
        <v>2.4</v>
      </c>
      <c r="V869">
        <v>0</v>
      </c>
      <c r="W869" t="s">
        <v>38</v>
      </c>
      <c r="X869" t="s">
        <v>52</v>
      </c>
      <c r="Y869" t="s">
        <v>39</v>
      </c>
      <c r="Z869" t="s">
        <v>179</v>
      </c>
      <c r="AA869" t="s">
        <v>109</v>
      </c>
      <c r="AB869" t="s">
        <v>83</v>
      </c>
      <c r="AC869">
        <f t="shared" si="143"/>
        <v>1</v>
      </c>
      <c r="AD869" s="12">
        <f t="shared" si="147"/>
        <v>0</v>
      </c>
      <c r="AE869" s="12">
        <f t="shared" si="148"/>
        <v>0</v>
      </c>
      <c r="AF869">
        <f t="shared" si="144"/>
        <v>0</v>
      </c>
      <c r="AG869">
        <f t="shared" si="149"/>
        <v>0</v>
      </c>
      <c r="AH869">
        <f t="shared" si="150"/>
        <v>0</v>
      </c>
      <c r="AI869">
        <f t="shared" si="151"/>
        <v>0</v>
      </c>
      <c r="AJ869">
        <f t="shared" si="152"/>
        <v>0</v>
      </c>
      <c r="AK869">
        <f t="shared" si="145"/>
        <v>0</v>
      </c>
      <c r="AL869">
        <f t="shared" si="153"/>
        <v>0</v>
      </c>
    </row>
    <row r="870" spans="1:38">
      <c r="A870" t="s">
        <v>2737</v>
      </c>
      <c r="B870" t="s">
        <v>2738</v>
      </c>
      <c r="C870" s="1">
        <f t="shared" si="146"/>
        <v>45352</v>
      </c>
      <c r="D870" t="s">
        <v>2739</v>
      </c>
      <c r="E870">
        <v>74.099999999999994</v>
      </c>
      <c r="F870">
        <v>3.1</v>
      </c>
      <c r="G870" t="s">
        <v>87</v>
      </c>
      <c r="H870" t="s">
        <v>183</v>
      </c>
      <c r="I870" t="s">
        <v>48</v>
      </c>
      <c r="J870">
        <v>120</v>
      </c>
      <c r="K870" t="s">
        <v>49</v>
      </c>
      <c r="L870" t="s">
        <v>113</v>
      </c>
      <c r="M870" t="s">
        <v>71</v>
      </c>
      <c r="N870" t="s">
        <v>50</v>
      </c>
      <c r="O870" t="s">
        <v>7232</v>
      </c>
      <c r="P870" t="s">
        <v>38</v>
      </c>
      <c r="Q870" t="s">
        <v>39</v>
      </c>
      <c r="R870">
        <v>3</v>
      </c>
      <c r="S870" t="s">
        <v>38</v>
      </c>
      <c r="T870">
        <v>8</v>
      </c>
      <c r="U870">
        <v>3</v>
      </c>
      <c r="V870">
        <v>7</v>
      </c>
      <c r="W870" t="s">
        <v>38</v>
      </c>
      <c r="X870" t="s">
        <v>52</v>
      </c>
      <c r="Y870" t="s">
        <v>39</v>
      </c>
      <c r="Z870" t="s">
        <v>64</v>
      </c>
      <c r="AA870" t="s">
        <v>54</v>
      </c>
      <c r="AB870" t="s">
        <v>55</v>
      </c>
      <c r="AC870">
        <f t="shared" si="143"/>
        <v>1</v>
      </c>
      <c r="AD870" s="12">
        <f t="shared" si="147"/>
        <v>0</v>
      </c>
      <c r="AE870" s="12">
        <f t="shared" si="148"/>
        <v>0</v>
      </c>
      <c r="AF870">
        <f t="shared" si="144"/>
        <v>0</v>
      </c>
      <c r="AG870">
        <f t="shared" si="149"/>
        <v>1</v>
      </c>
      <c r="AH870">
        <f t="shared" si="150"/>
        <v>1</v>
      </c>
      <c r="AI870">
        <f t="shared" si="151"/>
        <v>0</v>
      </c>
      <c r="AJ870">
        <f t="shared" si="152"/>
        <v>0</v>
      </c>
      <c r="AK870">
        <f t="shared" si="145"/>
        <v>0</v>
      </c>
      <c r="AL870">
        <f t="shared" si="153"/>
        <v>0</v>
      </c>
    </row>
    <row r="871" spans="1:38">
      <c r="A871" t="s">
        <v>2740</v>
      </c>
      <c r="B871" t="s">
        <v>2741</v>
      </c>
      <c r="C871" s="1">
        <f t="shared" si="146"/>
        <v>45352</v>
      </c>
      <c r="D871" t="s">
        <v>2742</v>
      </c>
      <c r="E871">
        <v>238.6</v>
      </c>
      <c r="F871">
        <v>9.9</v>
      </c>
      <c r="G871" t="s">
        <v>101</v>
      </c>
      <c r="H871" t="s">
        <v>442</v>
      </c>
      <c r="I871" t="s">
        <v>79</v>
      </c>
      <c r="J871">
        <v>360</v>
      </c>
      <c r="K871" t="s">
        <v>49</v>
      </c>
      <c r="L871" t="s">
        <v>113</v>
      </c>
      <c r="M871" t="s">
        <v>35</v>
      </c>
      <c r="N871" t="s">
        <v>80</v>
      </c>
      <c r="O871" t="s">
        <v>51</v>
      </c>
      <c r="P871" t="s">
        <v>38</v>
      </c>
      <c r="Q871" t="s">
        <v>38</v>
      </c>
      <c r="R871">
        <v>1</v>
      </c>
      <c r="S871" t="s">
        <v>38</v>
      </c>
      <c r="T871">
        <v>8</v>
      </c>
      <c r="U871">
        <v>4.2</v>
      </c>
      <c r="V871">
        <v>30.2</v>
      </c>
      <c r="W871" t="s">
        <v>39</v>
      </c>
      <c r="X871" t="s">
        <v>123</v>
      </c>
      <c r="Y871" t="s">
        <v>39</v>
      </c>
      <c r="Z871" t="s">
        <v>64</v>
      </c>
      <c r="AA871" t="s">
        <v>103</v>
      </c>
      <c r="AB871" t="s">
        <v>83</v>
      </c>
      <c r="AC871">
        <f t="shared" si="143"/>
        <v>0</v>
      </c>
      <c r="AD871" s="12">
        <f t="shared" si="147"/>
        <v>0</v>
      </c>
      <c r="AE871" s="12">
        <f t="shared" si="148"/>
        <v>1</v>
      </c>
      <c r="AF871">
        <f t="shared" si="144"/>
        <v>1</v>
      </c>
      <c r="AG871">
        <f t="shared" si="149"/>
        <v>0</v>
      </c>
      <c r="AH871">
        <f t="shared" si="150"/>
        <v>0</v>
      </c>
      <c r="AI871">
        <f t="shared" si="151"/>
        <v>0</v>
      </c>
      <c r="AJ871">
        <f t="shared" si="152"/>
        <v>0</v>
      </c>
      <c r="AK871">
        <f t="shared" si="145"/>
        <v>0</v>
      </c>
      <c r="AL871">
        <f t="shared" si="153"/>
        <v>0</v>
      </c>
    </row>
    <row r="872" spans="1:38">
      <c r="A872" t="s">
        <v>2743</v>
      </c>
      <c r="B872" t="s">
        <v>2744</v>
      </c>
      <c r="C872" s="1">
        <f t="shared" si="146"/>
        <v>45536</v>
      </c>
      <c r="D872" t="s">
        <v>2745</v>
      </c>
      <c r="E872">
        <v>226.3</v>
      </c>
      <c r="F872">
        <v>9.4</v>
      </c>
      <c r="G872" t="s">
        <v>77</v>
      </c>
      <c r="H872" t="s">
        <v>244</v>
      </c>
      <c r="I872" t="s">
        <v>79</v>
      </c>
      <c r="J872">
        <v>360</v>
      </c>
      <c r="K872" t="s">
        <v>49</v>
      </c>
      <c r="L872" t="s">
        <v>96</v>
      </c>
      <c r="M872" t="s">
        <v>35</v>
      </c>
      <c r="N872" t="s">
        <v>89</v>
      </c>
      <c r="O872" t="s">
        <v>7232</v>
      </c>
      <c r="P872" t="s">
        <v>39</v>
      </c>
      <c r="Q872" t="s">
        <v>38</v>
      </c>
      <c r="R872">
        <v>0</v>
      </c>
      <c r="S872" t="s">
        <v>38</v>
      </c>
      <c r="T872">
        <v>7</v>
      </c>
      <c r="U872">
        <v>0.1</v>
      </c>
      <c r="V872">
        <v>29.7</v>
      </c>
      <c r="W872" t="s">
        <v>38</v>
      </c>
      <c r="X872" t="s">
        <v>123</v>
      </c>
      <c r="Y872" t="s">
        <v>39</v>
      </c>
      <c r="Z872" t="s">
        <v>108</v>
      </c>
      <c r="AA872" t="s">
        <v>109</v>
      </c>
      <c r="AB872" t="s">
        <v>55</v>
      </c>
      <c r="AC872">
        <f t="shared" si="143"/>
        <v>0</v>
      </c>
      <c r="AD872" s="12">
        <f t="shared" si="147"/>
        <v>0</v>
      </c>
      <c r="AE872" s="12">
        <f t="shared" si="148"/>
        <v>1</v>
      </c>
      <c r="AF872">
        <f t="shared" si="144"/>
        <v>0</v>
      </c>
      <c r="AG872">
        <f t="shared" si="149"/>
        <v>1</v>
      </c>
      <c r="AH872">
        <f t="shared" si="150"/>
        <v>0</v>
      </c>
      <c r="AI872">
        <f t="shared" si="151"/>
        <v>0</v>
      </c>
      <c r="AJ872">
        <f t="shared" si="152"/>
        <v>0</v>
      </c>
      <c r="AK872">
        <f t="shared" si="145"/>
        <v>0</v>
      </c>
      <c r="AL872">
        <f t="shared" si="153"/>
        <v>0</v>
      </c>
    </row>
    <row r="873" spans="1:38">
      <c r="A873" t="s">
        <v>2746</v>
      </c>
      <c r="B873" t="s">
        <v>2747</v>
      </c>
      <c r="C873" s="1">
        <f t="shared" si="146"/>
        <v>45352</v>
      </c>
      <c r="D873" t="s">
        <v>2748</v>
      </c>
      <c r="E873">
        <v>287.3</v>
      </c>
      <c r="F873">
        <v>12</v>
      </c>
      <c r="G873" t="s">
        <v>77</v>
      </c>
      <c r="H873" t="s">
        <v>244</v>
      </c>
      <c r="I873" t="s">
        <v>79</v>
      </c>
      <c r="J873">
        <v>360</v>
      </c>
      <c r="K873" t="s">
        <v>49</v>
      </c>
      <c r="L873" t="s">
        <v>34</v>
      </c>
      <c r="M873" t="s">
        <v>35</v>
      </c>
      <c r="N873" t="s">
        <v>164</v>
      </c>
      <c r="O873" t="s">
        <v>7232</v>
      </c>
      <c r="P873" t="s">
        <v>39</v>
      </c>
      <c r="Q873" t="s">
        <v>38</v>
      </c>
      <c r="R873">
        <v>0</v>
      </c>
      <c r="S873" t="s">
        <v>38</v>
      </c>
      <c r="T873">
        <v>10</v>
      </c>
      <c r="U873">
        <v>2.9</v>
      </c>
      <c r="V873">
        <v>15</v>
      </c>
      <c r="W873" t="s">
        <v>39</v>
      </c>
      <c r="X873" t="s">
        <v>40</v>
      </c>
      <c r="Y873" t="s">
        <v>39</v>
      </c>
      <c r="Z873" t="s">
        <v>41</v>
      </c>
      <c r="AA873" t="s">
        <v>82</v>
      </c>
      <c r="AB873" t="s">
        <v>83</v>
      </c>
      <c r="AC873">
        <f t="shared" si="143"/>
        <v>0</v>
      </c>
      <c r="AD873" s="12">
        <f t="shared" si="147"/>
        <v>0</v>
      </c>
      <c r="AE873" s="12">
        <f t="shared" si="148"/>
        <v>0</v>
      </c>
      <c r="AF873">
        <f t="shared" si="144"/>
        <v>0</v>
      </c>
      <c r="AG873">
        <f t="shared" si="149"/>
        <v>1</v>
      </c>
      <c r="AH873">
        <f t="shared" si="150"/>
        <v>0</v>
      </c>
      <c r="AI873">
        <f t="shared" si="151"/>
        <v>0</v>
      </c>
      <c r="AJ873">
        <f t="shared" si="152"/>
        <v>0</v>
      </c>
      <c r="AK873">
        <f t="shared" si="145"/>
        <v>0</v>
      </c>
      <c r="AL873">
        <f t="shared" si="153"/>
        <v>0</v>
      </c>
    </row>
    <row r="874" spans="1:38">
      <c r="A874" t="s">
        <v>2749</v>
      </c>
      <c r="B874" t="s">
        <v>2750</v>
      </c>
      <c r="C874" s="1">
        <f t="shared" si="146"/>
        <v>45566</v>
      </c>
      <c r="D874" t="s">
        <v>2751</v>
      </c>
      <c r="E874">
        <v>88.6</v>
      </c>
      <c r="F874">
        <v>3.7</v>
      </c>
      <c r="G874" t="s">
        <v>87</v>
      </c>
      <c r="H874" t="s">
        <v>88</v>
      </c>
      <c r="I874" t="s">
        <v>48</v>
      </c>
      <c r="J874">
        <v>120</v>
      </c>
      <c r="K874" t="s">
        <v>49</v>
      </c>
      <c r="L874" t="s">
        <v>96</v>
      </c>
      <c r="M874" t="s">
        <v>35</v>
      </c>
      <c r="N874" t="s">
        <v>299</v>
      </c>
      <c r="O874" t="s">
        <v>37</v>
      </c>
      <c r="P874" t="s">
        <v>38</v>
      </c>
      <c r="Q874" t="s">
        <v>38</v>
      </c>
      <c r="R874">
        <v>1</v>
      </c>
      <c r="S874" t="s">
        <v>38</v>
      </c>
      <c r="T874">
        <v>7</v>
      </c>
      <c r="U874">
        <v>1.6</v>
      </c>
      <c r="V874">
        <v>21.9</v>
      </c>
      <c r="W874" t="s">
        <v>39</v>
      </c>
      <c r="X874" t="s">
        <v>63</v>
      </c>
      <c r="Y874" t="s">
        <v>39</v>
      </c>
      <c r="Z874" t="s">
        <v>81</v>
      </c>
      <c r="AA874" t="s">
        <v>82</v>
      </c>
      <c r="AB874" t="s">
        <v>83</v>
      </c>
      <c r="AC874">
        <f t="shared" si="143"/>
        <v>0</v>
      </c>
      <c r="AD874" s="12">
        <f t="shared" si="147"/>
        <v>1</v>
      </c>
      <c r="AE874" s="12">
        <f t="shared" si="148"/>
        <v>0</v>
      </c>
      <c r="AF874">
        <f t="shared" si="144"/>
        <v>0</v>
      </c>
      <c r="AG874">
        <f t="shared" si="149"/>
        <v>0</v>
      </c>
      <c r="AH874">
        <f t="shared" si="150"/>
        <v>1</v>
      </c>
      <c r="AI874">
        <f t="shared" si="151"/>
        <v>0</v>
      </c>
      <c r="AJ874">
        <f t="shared" si="152"/>
        <v>0</v>
      </c>
      <c r="AK874">
        <f t="shared" si="145"/>
        <v>0</v>
      </c>
      <c r="AL874">
        <f t="shared" si="153"/>
        <v>0</v>
      </c>
    </row>
    <row r="875" spans="1:38">
      <c r="A875" t="s">
        <v>2752</v>
      </c>
      <c r="B875" t="s">
        <v>2753</v>
      </c>
      <c r="C875" s="1">
        <f t="shared" si="146"/>
        <v>45597</v>
      </c>
      <c r="D875" t="s">
        <v>2754</v>
      </c>
      <c r="E875">
        <v>276.60000000000002</v>
      </c>
      <c r="F875">
        <v>11.5</v>
      </c>
      <c r="G875" t="s">
        <v>77</v>
      </c>
      <c r="H875" t="s">
        <v>267</v>
      </c>
      <c r="I875" t="s">
        <v>79</v>
      </c>
      <c r="J875">
        <v>360</v>
      </c>
      <c r="K875" t="s">
        <v>49</v>
      </c>
      <c r="L875" t="s">
        <v>70</v>
      </c>
      <c r="M875" t="s">
        <v>35</v>
      </c>
      <c r="N875" t="s">
        <v>50</v>
      </c>
      <c r="O875" t="s">
        <v>51</v>
      </c>
      <c r="P875" t="s">
        <v>39</v>
      </c>
      <c r="Q875" t="s">
        <v>38</v>
      </c>
      <c r="R875">
        <v>0</v>
      </c>
      <c r="S875" t="s">
        <v>39</v>
      </c>
      <c r="T875">
        <v>9</v>
      </c>
      <c r="U875">
        <v>4.0999999999999996</v>
      </c>
      <c r="V875">
        <v>30.4</v>
      </c>
      <c r="W875" t="s">
        <v>39</v>
      </c>
      <c r="X875" t="s">
        <v>40</v>
      </c>
      <c r="Y875" t="s">
        <v>39</v>
      </c>
      <c r="Z875" t="s">
        <v>108</v>
      </c>
      <c r="AA875" t="s">
        <v>42</v>
      </c>
      <c r="AB875" t="s">
        <v>83</v>
      </c>
      <c r="AC875">
        <f t="shared" si="143"/>
        <v>0</v>
      </c>
      <c r="AD875" s="12">
        <f t="shared" si="147"/>
        <v>0</v>
      </c>
      <c r="AE875" s="12">
        <f t="shared" si="148"/>
        <v>0</v>
      </c>
      <c r="AF875">
        <f t="shared" si="144"/>
        <v>1</v>
      </c>
      <c r="AG875">
        <f t="shared" si="149"/>
        <v>0</v>
      </c>
      <c r="AH875">
        <f t="shared" si="150"/>
        <v>0</v>
      </c>
      <c r="AI875">
        <f t="shared" si="151"/>
        <v>0</v>
      </c>
      <c r="AJ875">
        <f t="shared" si="152"/>
        <v>0</v>
      </c>
      <c r="AK875">
        <f t="shared" si="145"/>
        <v>0</v>
      </c>
      <c r="AL875">
        <f t="shared" si="153"/>
        <v>0</v>
      </c>
    </row>
    <row r="876" spans="1:38">
      <c r="A876" t="s">
        <v>2755</v>
      </c>
      <c r="B876" t="s">
        <v>2756</v>
      </c>
      <c r="C876" s="1">
        <f t="shared" si="146"/>
        <v>45536</v>
      </c>
      <c r="D876" t="s">
        <v>2757</v>
      </c>
      <c r="E876">
        <v>323.10000000000002</v>
      </c>
      <c r="F876">
        <v>13.5</v>
      </c>
      <c r="G876" t="s">
        <v>77</v>
      </c>
      <c r="H876" t="s">
        <v>267</v>
      </c>
      <c r="I876" t="s">
        <v>79</v>
      </c>
      <c r="J876">
        <v>360</v>
      </c>
      <c r="K876" t="s">
        <v>49</v>
      </c>
      <c r="L876" t="s">
        <v>34</v>
      </c>
      <c r="M876" t="s">
        <v>35</v>
      </c>
      <c r="N876" t="s">
        <v>97</v>
      </c>
      <c r="O876" t="s">
        <v>7232</v>
      </c>
      <c r="P876" t="s">
        <v>38</v>
      </c>
      <c r="Q876" t="s">
        <v>38</v>
      </c>
      <c r="R876">
        <v>1</v>
      </c>
      <c r="S876" t="s">
        <v>39</v>
      </c>
      <c r="T876">
        <v>9</v>
      </c>
      <c r="U876">
        <v>7.1</v>
      </c>
      <c r="V876">
        <v>36.799999999999997</v>
      </c>
      <c r="W876" t="s">
        <v>38</v>
      </c>
      <c r="X876" t="s">
        <v>63</v>
      </c>
      <c r="Y876" t="s">
        <v>39</v>
      </c>
      <c r="Z876" t="s">
        <v>81</v>
      </c>
      <c r="AA876" t="s">
        <v>42</v>
      </c>
      <c r="AB876" t="s">
        <v>83</v>
      </c>
      <c r="AC876">
        <f t="shared" si="143"/>
        <v>0</v>
      </c>
      <c r="AD876" s="12">
        <f t="shared" si="147"/>
        <v>1</v>
      </c>
      <c r="AE876" s="12">
        <f t="shared" si="148"/>
        <v>0</v>
      </c>
      <c r="AF876">
        <f t="shared" si="144"/>
        <v>0</v>
      </c>
      <c r="AG876">
        <f t="shared" si="149"/>
        <v>1</v>
      </c>
      <c r="AH876">
        <f t="shared" si="150"/>
        <v>0</v>
      </c>
      <c r="AI876">
        <f t="shared" si="151"/>
        <v>0</v>
      </c>
      <c r="AJ876">
        <f t="shared" si="152"/>
        <v>0</v>
      </c>
      <c r="AK876">
        <f t="shared" si="145"/>
        <v>0</v>
      </c>
      <c r="AL876">
        <f t="shared" si="153"/>
        <v>0</v>
      </c>
    </row>
    <row r="877" spans="1:38">
      <c r="A877" t="s">
        <v>2758</v>
      </c>
      <c r="B877" t="s">
        <v>2759</v>
      </c>
      <c r="C877" s="1">
        <f t="shared" si="146"/>
        <v>45566</v>
      </c>
      <c r="D877" t="s">
        <v>2760</v>
      </c>
      <c r="E877">
        <v>77.900000000000006</v>
      </c>
      <c r="F877">
        <v>3.2</v>
      </c>
      <c r="G877" t="s">
        <v>101</v>
      </c>
      <c r="H877" t="s">
        <v>442</v>
      </c>
      <c r="I877" t="s">
        <v>48</v>
      </c>
      <c r="J877">
        <v>120</v>
      </c>
      <c r="K877" t="s">
        <v>49</v>
      </c>
      <c r="L877" t="s">
        <v>34</v>
      </c>
      <c r="M877" t="s">
        <v>35</v>
      </c>
      <c r="N877" t="s">
        <v>164</v>
      </c>
      <c r="O877" t="s">
        <v>51</v>
      </c>
      <c r="P877" t="s">
        <v>38</v>
      </c>
      <c r="Q877" t="s">
        <v>38</v>
      </c>
      <c r="R877">
        <v>1</v>
      </c>
      <c r="S877" t="s">
        <v>38</v>
      </c>
      <c r="T877">
        <v>9</v>
      </c>
      <c r="U877">
        <v>1.3</v>
      </c>
      <c r="V877">
        <v>14.3</v>
      </c>
      <c r="W877" t="s">
        <v>38</v>
      </c>
      <c r="X877" t="s">
        <v>40</v>
      </c>
      <c r="Y877" t="s">
        <v>39</v>
      </c>
      <c r="Z877" t="s">
        <v>73</v>
      </c>
      <c r="AA877" t="s">
        <v>109</v>
      </c>
      <c r="AB877" t="s">
        <v>55</v>
      </c>
      <c r="AC877">
        <f t="shared" si="143"/>
        <v>0</v>
      </c>
      <c r="AD877" s="12">
        <f t="shared" si="147"/>
        <v>0</v>
      </c>
      <c r="AE877" s="12">
        <f t="shared" si="148"/>
        <v>0</v>
      </c>
      <c r="AF877">
        <f t="shared" si="144"/>
        <v>1</v>
      </c>
      <c r="AG877">
        <f t="shared" si="149"/>
        <v>0</v>
      </c>
      <c r="AH877">
        <f t="shared" si="150"/>
        <v>1</v>
      </c>
      <c r="AI877">
        <f t="shared" si="151"/>
        <v>0</v>
      </c>
      <c r="AJ877">
        <f t="shared" si="152"/>
        <v>0</v>
      </c>
      <c r="AK877">
        <f t="shared" si="145"/>
        <v>0</v>
      </c>
      <c r="AL877">
        <f t="shared" si="153"/>
        <v>0</v>
      </c>
    </row>
    <row r="878" spans="1:38">
      <c r="A878" t="s">
        <v>2761</v>
      </c>
      <c r="B878" t="s">
        <v>2762</v>
      </c>
      <c r="C878" s="1">
        <f t="shared" si="146"/>
        <v>45444</v>
      </c>
      <c r="D878" t="s">
        <v>2763</v>
      </c>
      <c r="E878">
        <v>163.5</v>
      </c>
      <c r="F878">
        <v>6.8</v>
      </c>
      <c r="G878" t="s">
        <v>68</v>
      </c>
      <c r="H878" t="s">
        <v>219</v>
      </c>
      <c r="I878" t="s">
        <v>32</v>
      </c>
      <c r="J878">
        <v>240</v>
      </c>
      <c r="K878" t="s">
        <v>49</v>
      </c>
      <c r="L878" t="s">
        <v>96</v>
      </c>
      <c r="M878" t="s">
        <v>35</v>
      </c>
      <c r="N878" t="s">
        <v>192</v>
      </c>
      <c r="O878" t="s">
        <v>51</v>
      </c>
      <c r="P878" t="s">
        <v>38</v>
      </c>
      <c r="Q878" t="s">
        <v>38</v>
      </c>
      <c r="R878">
        <v>1</v>
      </c>
      <c r="S878" t="s">
        <v>38</v>
      </c>
      <c r="T878">
        <v>9</v>
      </c>
      <c r="U878">
        <v>2.8</v>
      </c>
      <c r="V878">
        <v>24.7</v>
      </c>
      <c r="W878" t="s">
        <v>39</v>
      </c>
      <c r="X878" t="s">
        <v>52</v>
      </c>
      <c r="Y878" t="s">
        <v>39</v>
      </c>
      <c r="Z878" t="s">
        <v>81</v>
      </c>
      <c r="AA878" t="s">
        <v>54</v>
      </c>
      <c r="AB878" t="s">
        <v>55</v>
      </c>
      <c r="AC878">
        <f t="shared" si="143"/>
        <v>1</v>
      </c>
      <c r="AD878" s="12">
        <f t="shared" si="147"/>
        <v>0</v>
      </c>
      <c r="AE878" s="12">
        <f t="shared" si="148"/>
        <v>0</v>
      </c>
      <c r="AF878">
        <f t="shared" si="144"/>
        <v>1</v>
      </c>
      <c r="AG878">
        <f t="shared" si="149"/>
        <v>0</v>
      </c>
      <c r="AH878">
        <f t="shared" si="150"/>
        <v>0</v>
      </c>
      <c r="AI878">
        <f t="shared" si="151"/>
        <v>0</v>
      </c>
      <c r="AJ878">
        <f t="shared" si="152"/>
        <v>1</v>
      </c>
      <c r="AK878">
        <f t="shared" si="145"/>
        <v>0</v>
      </c>
      <c r="AL878">
        <f t="shared" si="153"/>
        <v>0</v>
      </c>
    </row>
    <row r="879" spans="1:38">
      <c r="A879" t="s">
        <v>2764</v>
      </c>
      <c r="B879" t="s">
        <v>2765</v>
      </c>
      <c r="C879" s="1">
        <f t="shared" si="146"/>
        <v>45292</v>
      </c>
      <c r="D879" t="s">
        <v>2766</v>
      </c>
      <c r="E879">
        <v>211.3</v>
      </c>
      <c r="F879">
        <v>8.8000000000000007</v>
      </c>
      <c r="G879" t="s">
        <v>93</v>
      </c>
      <c r="H879" t="s">
        <v>94</v>
      </c>
      <c r="I879" t="s">
        <v>32</v>
      </c>
      <c r="J879">
        <v>240</v>
      </c>
      <c r="K879" t="s">
        <v>49</v>
      </c>
      <c r="L879" t="s">
        <v>96</v>
      </c>
      <c r="M879" t="s">
        <v>35</v>
      </c>
      <c r="N879" t="s">
        <v>114</v>
      </c>
      <c r="O879" t="s">
        <v>51</v>
      </c>
      <c r="P879" t="s">
        <v>38</v>
      </c>
      <c r="Q879" t="s">
        <v>38</v>
      </c>
      <c r="R879">
        <v>1</v>
      </c>
      <c r="S879" t="s">
        <v>39</v>
      </c>
      <c r="T879">
        <v>9</v>
      </c>
      <c r="U879">
        <v>3.4</v>
      </c>
      <c r="V879">
        <v>14.5</v>
      </c>
      <c r="W879" t="s">
        <v>38</v>
      </c>
      <c r="X879" t="s">
        <v>63</v>
      </c>
      <c r="Y879" t="s">
        <v>39</v>
      </c>
      <c r="Z879" t="s">
        <v>73</v>
      </c>
      <c r="AA879" t="s">
        <v>109</v>
      </c>
      <c r="AB879" t="s">
        <v>83</v>
      </c>
      <c r="AC879">
        <f t="shared" si="143"/>
        <v>0</v>
      </c>
      <c r="AD879" s="12">
        <f t="shared" si="147"/>
        <v>1</v>
      </c>
      <c r="AE879" s="12">
        <f t="shared" si="148"/>
        <v>0</v>
      </c>
      <c r="AF879">
        <f t="shared" si="144"/>
        <v>1</v>
      </c>
      <c r="AG879">
        <f t="shared" si="149"/>
        <v>0</v>
      </c>
      <c r="AH879">
        <f t="shared" si="150"/>
        <v>0</v>
      </c>
      <c r="AI879">
        <f t="shared" si="151"/>
        <v>0</v>
      </c>
      <c r="AJ879">
        <f t="shared" si="152"/>
        <v>1</v>
      </c>
      <c r="AK879">
        <f t="shared" si="145"/>
        <v>0</v>
      </c>
      <c r="AL879">
        <f t="shared" si="153"/>
        <v>0</v>
      </c>
    </row>
    <row r="880" spans="1:38">
      <c r="A880" t="s">
        <v>2767</v>
      </c>
      <c r="B880" t="s">
        <v>2768</v>
      </c>
      <c r="C880" s="1">
        <f t="shared" si="146"/>
        <v>45352</v>
      </c>
      <c r="D880" t="s">
        <v>2769</v>
      </c>
      <c r="E880">
        <v>243</v>
      </c>
      <c r="F880">
        <v>10.1</v>
      </c>
      <c r="G880" t="s">
        <v>77</v>
      </c>
      <c r="H880" t="s">
        <v>267</v>
      </c>
      <c r="I880" t="s">
        <v>79</v>
      </c>
      <c r="J880">
        <v>360</v>
      </c>
      <c r="K880" t="s">
        <v>49</v>
      </c>
      <c r="L880" t="s">
        <v>96</v>
      </c>
      <c r="M880" t="s">
        <v>35</v>
      </c>
      <c r="N880" t="s">
        <v>128</v>
      </c>
      <c r="O880" t="s">
        <v>7232</v>
      </c>
      <c r="P880" t="s">
        <v>38</v>
      </c>
      <c r="Q880" t="s">
        <v>38</v>
      </c>
      <c r="R880">
        <v>1</v>
      </c>
      <c r="S880" t="s">
        <v>38</v>
      </c>
      <c r="T880">
        <v>7</v>
      </c>
      <c r="U880">
        <v>3.7</v>
      </c>
      <c r="V880">
        <v>23.5</v>
      </c>
      <c r="W880" t="s">
        <v>39</v>
      </c>
      <c r="X880" t="s">
        <v>123</v>
      </c>
      <c r="Y880" t="s">
        <v>39</v>
      </c>
      <c r="Z880" t="s">
        <v>41</v>
      </c>
      <c r="AA880" t="s">
        <v>109</v>
      </c>
      <c r="AB880" t="s">
        <v>83</v>
      </c>
      <c r="AC880">
        <f t="shared" si="143"/>
        <v>0</v>
      </c>
      <c r="AD880" s="12">
        <f t="shared" si="147"/>
        <v>0</v>
      </c>
      <c r="AE880" s="12">
        <f t="shared" si="148"/>
        <v>1</v>
      </c>
      <c r="AF880">
        <f t="shared" si="144"/>
        <v>0</v>
      </c>
      <c r="AG880">
        <f t="shared" si="149"/>
        <v>1</v>
      </c>
      <c r="AH880">
        <f t="shared" si="150"/>
        <v>0</v>
      </c>
      <c r="AI880">
        <f t="shared" si="151"/>
        <v>0</v>
      </c>
      <c r="AJ880">
        <f t="shared" si="152"/>
        <v>0</v>
      </c>
      <c r="AK880">
        <f t="shared" si="145"/>
        <v>0</v>
      </c>
      <c r="AL880">
        <f t="shared" si="153"/>
        <v>0</v>
      </c>
    </row>
    <row r="881" spans="1:38">
      <c r="A881" t="s">
        <v>2770</v>
      </c>
      <c r="B881" t="s">
        <v>2771</v>
      </c>
      <c r="C881" s="1">
        <f t="shared" si="146"/>
        <v>45444</v>
      </c>
      <c r="D881" t="s">
        <v>2772</v>
      </c>
      <c r="E881">
        <v>165.2</v>
      </c>
      <c r="F881">
        <v>6.9</v>
      </c>
      <c r="G881" t="s">
        <v>101</v>
      </c>
      <c r="H881" t="s">
        <v>295</v>
      </c>
      <c r="I881" t="s">
        <v>32</v>
      </c>
      <c r="J881">
        <v>240</v>
      </c>
      <c r="K881" t="s">
        <v>49</v>
      </c>
      <c r="L881" t="s">
        <v>96</v>
      </c>
      <c r="M881" t="s">
        <v>35</v>
      </c>
      <c r="N881" t="s">
        <v>134</v>
      </c>
      <c r="O881" t="s">
        <v>51</v>
      </c>
      <c r="P881" t="s">
        <v>39</v>
      </c>
      <c r="Q881" t="s">
        <v>38</v>
      </c>
      <c r="R881">
        <v>0</v>
      </c>
      <c r="S881" t="s">
        <v>38</v>
      </c>
      <c r="T881">
        <v>10</v>
      </c>
      <c r="U881">
        <v>4</v>
      </c>
      <c r="V881">
        <v>35.4</v>
      </c>
      <c r="W881" t="s">
        <v>38</v>
      </c>
      <c r="X881" t="s">
        <v>52</v>
      </c>
      <c r="Y881" t="s">
        <v>38</v>
      </c>
      <c r="Z881" t="s">
        <v>73</v>
      </c>
      <c r="AA881" t="s">
        <v>103</v>
      </c>
      <c r="AB881" t="s">
        <v>83</v>
      </c>
      <c r="AC881">
        <f t="shared" si="143"/>
        <v>1</v>
      </c>
      <c r="AD881" s="12">
        <f t="shared" si="147"/>
        <v>0</v>
      </c>
      <c r="AE881" s="12">
        <f t="shared" si="148"/>
        <v>0</v>
      </c>
      <c r="AF881">
        <f t="shared" si="144"/>
        <v>1</v>
      </c>
      <c r="AG881">
        <f t="shared" si="149"/>
        <v>0</v>
      </c>
      <c r="AH881">
        <f t="shared" si="150"/>
        <v>0</v>
      </c>
      <c r="AI881">
        <f t="shared" si="151"/>
        <v>0</v>
      </c>
      <c r="AJ881">
        <f t="shared" si="152"/>
        <v>1</v>
      </c>
      <c r="AK881">
        <f t="shared" si="145"/>
        <v>0</v>
      </c>
      <c r="AL881">
        <f t="shared" si="153"/>
        <v>1</v>
      </c>
    </row>
    <row r="882" spans="1:38">
      <c r="A882" t="s">
        <v>2773</v>
      </c>
      <c r="B882" t="s">
        <v>2774</v>
      </c>
      <c r="C882" s="1">
        <f t="shared" si="146"/>
        <v>45292</v>
      </c>
      <c r="D882" t="s">
        <v>2775</v>
      </c>
      <c r="E882">
        <v>95.2</v>
      </c>
      <c r="F882">
        <v>4</v>
      </c>
      <c r="G882" t="s">
        <v>142</v>
      </c>
      <c r="H882" t="s">
        <v>260</v>
      </c>
      <c r="I882" t="s">
        <v>48</v>
      </c>
      <c r="J882">
        <v>120</v>
      </c>
      <c r="K882" t="s">
        <v>49</v>
      </c>
      <c r="L882" t="s">
        <v>96</v>
      </c>
      <c r="M882" t="s">
        <v>35</v>
      </c>
      <c r="N882" t="s">
        <v>506</v>
      </c>
      <c r="O882" t="s">
        <v>7232</v>
      </c>
      <c r="P882" t="s">
        <v>38</v>
      </c>
      <c r="Q882" t="s">
        <v>38</v>
      </c>
      <c r="R882">
        <v>1</v>
      </c>
      <c r="S882" t="s">
        <v>38</v>
      </c>
      <c r="T882">
        <v>8</v>
      </c>
      <c r="U882">
        <v>1.8</v>
      </c>
      <c r="V882">
        <v>32</v>
      </c>
      <c r="W882" t="s">
        <v>39</v>
      </c>
      <c r="X882" t="s">
        <v>63</v>
      </c>
      <c r="Y882" t="s">
        <v>38</v>
      </c>
      <c r="Z882" t="s">
        <v>41</v>
      </c>
      <c r="AA882" t="s">
        <v>54</v>
      </c>
      <c r="AB882" t="s">
        <v>55</v>
      </c>
      <c r="AC882">
        <f t="shared" si="143"/>
        <v>0</v>
      </c>
      <c r="AD882" s="12">
        <f t="shared" si="147"/>
        <v>1</v>
      </c>
      <c r="AE882" s="12">
        <f t="shared" si="148"/>
        <v>0</v>
      </c>
      <c r="AF882">
        <f t="shared" si="144"/>
        <v>0</v>
      </c>
      <c r="AG882">
        <f t="shared" si="149"/>
        <v>1</v>
      </c>
      <c r="AH882">
        <f t="shared" si="150"/>
        <v>1</v>
      </c>
      <c r="AI882">
        <f t="shared" si="151"/>
        <v>0</v>
      </c>
      <c r="AJ882">
        <f t="shared" si="152"/>
        <v>0</v>
      </c>
      <c r="AK882">
        <f t="shared" si="145"/>
        <v>0</v>
      </c>
      <c r="AL882">
        <f t="shared" si="153"/>
        <v>1</v>
      </c>
    </row>
    <row r="883" spans="1:38">
      <c r="A883" t="s">
        <v>2776</v>
      </c>
      <c r="B883" t="s">
        <v>2777</v>
      </c>
      <c r="C883" s="1">
        <f t="shared" si="146"/>
        <v>45597</v>
      </c>
      <c r="D883" t="s">
        <v>2778</v>
      </c>
      <c r="E883">
        <v>108.4</v>
      </c>
      <c r="F883">
        <v>4.5</v>
      </c>
      <c r="G883" t="s">
        <v>59</v>
      </c>
      <c r="H883" t="s">
        <v>132</v>
      </c>
      <c r="I883" t="s">
        <v>48</v>
      </c>
      <c r="J883">
        <v>120</v>
      </c>
      <c r="K883" t="s">
        <v>49</v>
      </c>
      <c r="L883" t="s">
        <v>133</v>
      </c>
      <c r="M883" t="s">
        <v>71</v>
      </c>
      <c r="N883" t="s">
        <v>61</v>
      </c>
      <c r="O883" t="s">
        <v>51</v>
      </c>
      <c r="P883" t="s">
        <v>38</v>
      </c>
      <c r="Q883" t="s">
        <v>39</v>
      </c>
      <c r="R883">
        <v>3</v>
      </c>
      <c r="S883" t="s">
        <v>38</v>
      </c>
      <c r="T883">
        <v>8</v>
      </c>
      <c r="U883">
        <v>2.8</v>
      </c>
      <c r="V883">
        <v>8.5</v>
      </c>
      <c r="W883" t="s">
        <v>39</v>
      </c>
      <c r="X883" t="s">
        <v>63</v>
      </c>
      <c r="Y883" t="s">
        <v>39</v>
      </c>
      <c r="Z883" t="s">
        <v>108</v>
      </c>
      <c r="AA883" t="s">
        <v>109</v>
      </c>
      <c r="AB883" t="s">
        <v>83</v>
      </c>
      <c r="AC883">
        <f t="shared" si="143"/>
        <v>0</v>
      </c>
      <c r="AD883" s="12">
        <f t="shared" si="147"/>
        <v>1</v>
      </c>
      <c r="AE883" s="12">
        <f t="shared" si="148"/>
        <v>0</v>
      </c>
      <c r="AF883">
        <f t="shared" si="144"/>
        <v>1</v>
      </c>
      <c r="AG883">
        <f t="shared" si="149"/>
        <v>0</v>
      </c>
      <c r="AH883">
        <f t="shared" si="150"/>
        <v>1</v>
      </c>
      <c r="AI883">
        <f t="shared" si="151"/>
        <v>0</v>
      </c>
      <c r="AJ883">
        <f t="shared" si="152"/>
        <v>0</v>
      </c>
      <c r="AK883">
        <f t="shared" si="145"/>
        <v>0</v>
      </c>
      <c r="AL883">
        <f t="shared" si="153"/>
        <v>0</v>
      </c>
    </row>
    <row r="884" spans="1:38">
      <c r="A884" t="s">
        <v>2779</v>
      </c>
      <c r="B884" t="s">
        <v>2780</v>
      </c>
      <c r="C884" s="1">
        <f t="shared" si="146"/>
        <v>45627</v>
      </c>
      <c r="D884" t="s">
        <v>2781</v>
      </c>
      <c r="E884">
        <v>150.80000000000001</v>
      </c>
      <c r="F884">
        <v>6.3</v>
      </c>
      <c r="G884" t="s">
        <v>87</v>
      </c>
      <c r="H884" t="s">
        <v>88</v>
      </c>
      <c r="I884" t="s">
        <v>48</v>
      </c>
      <c r="J884">
        <v>120</v>
      </c>
      <c r="K884" t="s">
        <v>33</v>
      </c>
      <c r="L884" t="s">
        <v>34</v>
      </c>
      <c r="M884" t="s">
        <v>35</v>
      </c>
      <c r="N884" t="s">
        <v>155</v>
      </c>
      <c r="O884" t="s">
        <v>37</v>
      </c>
      <c r="P884" t="s">
        <v>38</v>
      </c>
      <c r="Q884" t="s">
        <v>38</v>
      </c>
      <c r="R884">
        <v>1</v>
      </c>
      <c r="S884" t="s">
        <v>38</v>
      </c>
      <c r="T884">
        <v>8</v>
      </c>
      <c r="U884">
        <v>0.4</v>
      </c>
      <c r="V884">
        <v>6.3</v>
      </c>
      <c r="W884" t="s">
        <v>39</v>
      </c>
      <c r="X884" t="s">
        <v>52</v>
      </c>
      <c r="Y884" t="s">
        <v>38</v>
      </c>
      <c r="Z884" t="s">
        <v>115</v>
      </c>
      <c r="AA884" t="s">
        <v>109</v>
      </c>
      <c r="AB884" t="s">
        <v>55</v>
      </c>
      <c r="AC884">
        <f t="shared" si="143"/>
        <v>1</v>
      </c>
      <c r="AD884" s="12">
        <f t="shared" si="147"/>
        <v>0</v>
      </c>
      <c r="AE884" s="12">
        <f t="shared" si="148"/>
        <v>0</v>
      </c>
      <c r="AF884">
        <f t="shared" si="144"/>
        <v>0</v>
      </c>
      <c r="AG884">
        <f t="shared" si="149"/>
        <v>0</v>
      </c>
      <c r="AH884">
        <f t="shared" si="150"/>
        <v>1</v>
      </c>
      <c r="AI884">
        <f t="shared" si="151"/>
        <v>0</v>
      </c>
      <c r="AJ884">
        <f t="shared" si="152"/>
        <v>0</v>
      </c>
      <c r="AK884">
        <f t="shared" si="145"/>
        <v>0</v>
      </c>
      <c r="AL884">
        <f t="shared" si="153"/>
        <v>1</v>
      </c>
    </row>
    <row r="885" spans="1:38">
      <c r="A885" t="s">
        <v>2782</v>
      </c>
      <c r="B885" t="s">
        <v>2783</v>
      </c>
      <c r="C885" s="1">
        <f t="shared" si="146"/>
        <v>45323</v>
      </c>
      <c r="D885" t="s">
        <v>2784</v>
      </c>
      <c r="E885">
        <v>356.9</v>
      </c>
      <c r="F885">
        <v>14.9</v>
      </c>
      <c r="G885" t="s">
        <v>101</v>
      </c>
      <c r="H885" t="s">
        <v>295</v>
      </c>
      <c r="I885" t="s">
        <v>48</v>
      </c>
      <c r="J885">
        <v>120</v>
      </c>
      <c r="K885" t="s">
        <v>33</v>
      </c>
      <c r="L885" t="s">
        <v>70</v>
      </c>
      <c r="M885" t="s">
        <v>35</v>
      </c>
      <c r="N885" t="s">
        <v>97</v>
      </c>
      <c r="O885" t="s">
        <v>37</v>
      </c>
      <c r="P885" t="s">
        <v>38</v>
      </c>
      <c r="Q885" t="s">
        <v>38</v>
      </c>
      <c r="R885">
        <v>1</v>
      </c>
      <c r="S885" t="s">
        <v>39</v>
      </c>
      <c r="T885">
        <v>5</v>
      </c>
      <c r="U885">
        <v>1.3</v>
      </c>
      <c r="V885">
        <v>28.6</v>
      </c>
      <c r="W885" t="s">
        <v>38</v>
      </c>
      <c r="X885" t="s">
        <v>63</v>
      </c>
      <c r="Y885" t="s">
        <v>38</v>
      </c>
      <c r="Z885" t="s">
        <v>53</v>
      </c>
      <c r="AA885" t="s">
        <v>42</v>
      </c>
      <c r="AB885" t="s">
        <v>43</v>
      </c>
      <c r="AC885">
        <f t="shared" si="143"/>
        <v>0</v>
      </c>
      <c r="AD885" s="12">
        <f t="shared" si="147"/>
        <v>1</v>
      </c>
      <c r="AE885" s="12">
        <f t="shared" si="148"/>
        <v>0</v>
      </c>
      <c r="AF885">
        <f t="shared" si="144"/>
        <v>0</v>
      </c>
      <c r="AG885">
        <f t="shared" si="149"/>
        <v>0</v>
      </c>
      <c r="AH885">
        <f t="shared" si="150"/>
        <v>1</v>
      </c>
      <c r="AI885">
        <f t="shared" si="151"/>
        <v>0</v>
      </c>
      <c r="AJ885">
        <f t="shared" si="152"/>
        <v>0</v>
      </c>
      <c r="AK885">
        <f t="shared" si="145"/>
        <v>0</v>
      </c>
      <c r="AL885">
        <f t="shared" si="153"/>
        <v>1</v>
      </c>
    </row>
    <row r="886" spans="1:38">
      <c r="A886" t="s">
        <v>2785</v>
      </c>
      <c r="B886" t="s">
        <v>2786</v>
      </c>
      <c r="C886" s="1">
        <f t="shared" si="146"/>
        <v>45536</v>
      </c>
      <c r="D886" t="s">
        <v>2787</v>
      </c>
      <c r="E886">
        <v>105.5</v>
      </c>
      <c r="F886">
        <v>4.4000000000000004</v>
      </c>
      <c r="G886" t="s">
        <v>59</v>
      </c>
      <c r="H886" t="s">
        <v>281</v>
      </c>
      <c r="I886" t="s">
        <v>48</v>
      </c>
      <c r="J886">
        <v>120</v>
      </c>
      <c r="K886" t="s">
        <v>49</v>
      </c>
      <c r="L886" t="s">
        <v>34</v>
      </c>
      <c r="M886" t="s">
        <v>35</v>
      </c>
      <c r="N886" t="s">
        <v>299</v>
      </c>
      <c r="O886" t="s">
        <v>7232</v>
      </c>
      <c r="P886" t="s">
        <v>38</v>
      </c>
      <c r="Q886" t="s">
        <v>38</v>
      </c>
      <c r="R886">
        <v>1</v>
      </c>
      <c r="S886" t="s">
        <v>39</v>
      </c>
      <c r="T886">
        <v>10</v>
      </c>
      <c r="U886">
        <v>3.7</v>
      </c>
      <c r="V886">
        <v>2.2000000000000002</v>
      </c>
      <c r="W886" t="s">
        <v>39</v>
      </c>
      <c r="X886" t="s">
        <v>123</v>
      </c>
      <c r="Y886" t="s">
        <v>39</v>
      </c>
      <c r="Z886" t="s">
        <v>179</v>
      </c>
      <c r="AA886" t="s">
        <v>54</v>
      </c>
      <c r="AB886" t="s">
        <v>55</v>
      </c>
      <c r="AC886">
        <f t="shared" si="143"/>
        <v>0</v>
      </c>
      <c r="AD886" s="12">
        <f t="shared" si="147"/>
        <v>0</v>
      </c>
      <c r="AE886" s="12">
        <f t="shared" si="148"/>
        <v>1</v>
      </c>
      <c r="AF886">
        <f t="shared" si="144"/>
        <v>0</v>
      </c>
      <c r="AG886">
        <f t="shared" si="149"/>
        <v>1</v>
      </c>
      <c r="AH886">
        <f t="shared" si="150"/>
        <v>1</v>
      </c>
      <c r="AI886">
        <f t="shared" si="151"/>
        <v>0</v>
      </c>
      <c r="AJ886">
        <f t="shared" si="152"/>
        <v>0</v>
      </c>
      <c r="AK886">
        <f t="shared" si="145"/>
        <v>0</v>
      </c>
      <c r="AL886">
        <f t="shared" si="153"/>
        <v>0</v>
      </c>
    </row>
    <row r="887" spans="1:38">
      <c r="A887" t="s">
        <v>2788</v>
      </c>
      <c r="B887" t="s">
        <v>2789</v>
      </c>
      <c r="C887" s="1">
        <f t="shared" si="146"/>
        <v>45383</v>
      </c>
      <c r="D887" t="s">
        <v>2790</v>
      </c>
      <c r="E887">
        <v>337.5</v>
      </c>
      <c r="F887">
        <v>14.1</v>
      </c>
      <c r="G887" t="s">
        <v>142</v>
      </c>
      <c r="H887" t="s">
        <v>240</v>
      </c>
      <c r="I887" t="s">
        <v>79</v>
      </c>
      <c r="J887">
        <v>360</v>
      </c>
      <c r="K887" t="s">
        <v>49</v>
      </c>
      <c r="L887" t="s">
        <v>96</v>
      </c>
      <c r="M887" t="s">
        <v>35</v>
      </c>
      <c r="N887" t="s">
        <v>506</v>
      </c>
      <c r="O887" t="s">
        <v>51</v>
      </c>
      <c r="P887" t="s">
        <v>39</v>
      </c>
      <c r="Q887" t="s">
        <v>38</v>
      </c>
      <c r="R887">
        <v>0</v>
      </c>
      <c r="S887" t="s">
        <v>38</v>
      </c>
      <c r="T887">
        <v>7</v>
      </c>
      <c r="U887">
        <v>1.7</v>
      </c>
      <c r="V887">
        <v>13.4</v>
      </c>
      <c r="W887" t="s">
        <v>38</v>
      </c>
      <c r="X887" t="s">
        <v>52</v>
      </c>
      <c r="Y887" t="s">
        <v>38</v>
      </c>
      <c r="Z887" t="s">
        <v>115</v>
      </c>
      <c r="AA887" t="s">
        <v>103</v>
      </c>
      <c r="AB887" t="s">
        <v>43</v>
      </c>
      <c r="AC887">
        <f t="shared" si="143"/>
        <v>1</v>
      </c>
      <c r="AD887" s="12">
        <f t="shared" si="147"/>
        <v>0</v>
      </c>
      <c r="AE887" s="12">
        <f t="shared" si="148"/>
        <v>0</v>
      </c>
      <c r="AF887">
        <f t="shared" si="144"/>
        <v>1</v>
      </c>
      <c r="AG887">
        <f t="shared" si="149"/>
        <v>0</v>
      </c>
      <c r="AH887">
        <f t="shared" si="150"/>
        <v>0</v>
      </c>
      <c r="AI887">
        <f t="shared" si="151"/>
        <v>0</v>
      </c>
      <c r="AJ887">
        <f t="shared" si="152"/>
        <v>0</v>
      </c>
      <c r="AK887">
        <f t="shared" si="145"/>
        <v>0</v>
      </c>
      <c r="AL887">
        <f t="shared" si="153"/>
        <v>1</v>
      </c>
    </row>
    <row r="888" spans="1:38">
      <c r="A888" t="s">
        <v>2791</v>
      </c>
      <c r="B888" t="s">
        <v>2792</v>
      </c>
      <c r="C888" s="1">
        <f t="shared" si="146"/>
        <v>45536</v>
      </c>
      <c r="D888" t="s">
        <v>2793</v>
      </c>
      <c r="E888">
        <v>165.7</v>
      </c>
      <c r="F888">
        <v>6.9</v>
      </c>
      <c r="G888" t="s">
        <v>101</v>
      </c>
      <c r="H888" t="s">
        <v>295</v>
      </c>
      <c r="I888" t="s">
        <v>32</v>
      </c>
      <c r="J888">
        <v>240</v>
      </c>
      <c r="K888" t="s">
        <v>49</v>
      </c>
      <c r="L888" t="s">
        <v>70</v>
      </c>
      <c r="M888" t="s">
        <v>35</v>
      </c>
      <c r="N888" t="s">
        <v>220</v>
      </c>
      <c r="O888" t="s">
        <v>7232</v>
      </c>
      <c r="P888" t="s">
        <v>38</v>
      </c>
      <c r="Q888" t="s">
        <v>38</v>
      </c>
      <c r="R888">
        <v>1</v>
      </c>
      <c r="S888" t="s">
        <v>38</v>
      </c>
      <c r="T888">
        <v>9</v>
      </c>
      <c r="U888">
        <v>2.2999999999999998</v>
      </c>
      <c r="V888">
        <v>35.200000000000003</v>
      </c>
      <c r="W888" t="s">
        <v>39</v>
      </c>
      <c r="X888" t="s">
        <v>123</v>
      </c>
      <c r="Y888" t="s">
        <v>39</v>
      </c>
      <c r="Z888" t="s">
        <v>179</v>
      </c>
      <c r="AA888" t="s">
        <v>54</v>
      </c>
      <c r="AB888" t="s">
        <v>43</v>
      </c>
      <c r="AC888">
        <f t="shared" si="143"/>
        <v>0</v>
      </c>
      <c r="AD888" s="12">
        <f t="shared" si="147"/>
        <v>0</v>
      </c>
      <c r="AE888" s="12">
        <f t="shared" si="148"/>
        <v>1</v>
      </c>
      <c r="AF888">
        <f t="shared" si="144"/>
        <v>0</v>
      </c>
      <c r="AG888">
        <f t="shared" si="149"/>
        <v>1</v>
      </c>
      <c r="AH888">
        <f t="shared" si="150"/>
        <v>0</v>
      </c>
      <c r="AI888">
        <f t="shared" si="151"/>
        <v>0</v>
      </c>
      <c r="AJ888">
        <f t="shared" si="152"/>
        <v>1</v>
      </c>
      <c r="AK888">
        <f t="shared" si="145"/>
        <v>0</v>
      </c>
      <c r="AL888">
        <f t="shared" si="153"/>
        <v>0</v>
      </c>
    </row>
    <row r="889" spans="1:38">
      <c r="A889" t="s">
        <v>2794</v>
      </c>
      <c r="B889" t="s">
        <v>2795</v>
      </c>
      <c r="C889" s="1">
        <f t="shared" si="146"/>
        <v>45566</v>
      </c>
      <c r="D889" t="s">
        <v>2796</v>
      </c>
      <c r="E889">
        <v>74.900000000000006</v>
      </c>
      <c r="F889">
        <v>3.1</v>
      </c>
      <c r="G889" t="s">
        <v>93</v>
      </c>
      <c r="H889" t="s">
        <v>291</v>
      </c>
      <c r="I889" t="s">
        <v>48</v>
      </c>
      <c r="J889">
        <v>120</v>
      </c>
      <c r="K889" t="s">
        <v>49</v>
      </c>
      <c r="L889" t="s">
        <v>34</v>
      </c>
      <c r="M889" t="s">
        <v>35</v>
      </c>
      <c r="N889" t="s">
        <v>128</v>
      </c>
      <c r="O889" t="s">
        <v>51</v>
      </c>
      <c r="P889" t="s">
        <v>39</v>
      </c>
      <c r="Q889" t="s">
        <v>38</v>
      </c>
      <c r="R889">
        <v>0</v>
      </c>
      <c r="S889" t="s">
        <v>39</v>
      </c>
      <c r="T889">
        <v>9</v>
      </c>
      <c r="U889">
        <v>0.7</v>
      </c>
      <c r="V889">
        <v>21.7</v>
      </c>
      <c r="W889" t="s">
        <v>39</v>
      </c>
      <c r="X889" t="s">
        <v>63</v>
      </c>
      <c r="Y889" t="s">
        <v>39</v>
      </c>
      <c r="Z889" t="s">
        <v>73</v>
      </c>
      <c r="AA889" t="s">
        <v>82</v>
      </c>
      <c r="AB889" t="s">
        <v>55</v>
      </c>
      <c r="AC889">
        <f t="shared" si="143"/>
        <v>0</v>
      </c>
      <c r="AD889" s="12">
        <f t="shared" si="147"/>
        <v>1</v>
      </c>
      <c r="AE889" s="12">
        <f t="shared" si="148"/>
        <v>0</v>
      </c>
      <c r="AF889">
        <f t="shared" si="144"/>
        <v>1</v>
      </c>
      <c r="AG889">
        <f t="shared" si="149"/>
        <v>0</v>
      </c>
      <c r="AH889">
        <f t="shared" si="150"/>
        <v>1</v>
      </c>
      <c r="AI889">
        <f t="shared" si="151"/>
        <v>0</v>
      </c>
      <c r="AJ889">
        <f t="shared" si="152"/>
        <v>0</v>
      </c>
      <c r="AK889">
        <f t="shared" si="145"/>
        <v>0</v>
      </c>
      <c r="AL889">
        <f t="shared" si="153"/>
        <v>0</v>
      </c>
    </row>
    <row r="890" spans="1:38">
      <c r="A890" t="s">
        <v>2797</v>
      </c>
      <c r="B890" t="s">
        <v>2798</v>
      </c>
      <c r="C890" s="1">
        <f t="shared" si="146"/>
        <v>45505</v>
      </c>
      <c r="D890" t="s">
        <v>2799</v>
      </c>
      <c r="E890">
        <v>74.8</v>
      </c>
      <c r="F890">
        <v>3.1</v>
      </c>
      <c r="G890" t="s">
        <v>101</v>
      </c>
      <c r="H890" t="s">
        <v>442</v>
      </c>
      <c r="I890" t="s">
        <v>48</v>
      </c>
      <c r="J890">
        <v>120</v>
      </c>
      <c r="K890" t="s">
        <v>49</v>
      </c>
      <c r="L890" t="s">
        <v>34</v>
      </c>
      <c r="M890" t="s">
        <v>35</v>
      </c>
      <c r="N890" t="s">
        <v>202</v>
      </c>
      <c r="O890" t="s">
        <v>7232</v>
      </c>
      <c r="P890" t="s">
        <v>39</v>
      </c>
      <c r="Q890" t="s">
        <v>38</v>
      </c>
      <c r="R890">
        <v>0</v>
      </c>
      <c r="S890" t="s">
        <v>38</v>
      </c>
      <c r="T890">
        <v>10</v>
      </c>
      <c r="U890">
        <v>1.5</v>
      </c>
      <c r="V890">
        <v>20.8</v>
      </c>
      <c r="W890" t="s">
        <v>39</v>
      </c>
      <c r="X890" t="s">
        <v>123</v>
      </c>
      <c r="Y890" t="s">
        <v>38</v>
      </c>
      <c r="Z890" t="s">
        <v>53</v>
      </c>
      <c r="AA890" t="s">
        <v>82</v>
      </c>
      <c r="AB890" t="s">
        <v>55</v>
      </c>
      <c r="AC890">
        <f t="shared" si="143"/>
        <v>0</v>
      </c>
      <c r="AD890" s="12">
        <f t="shared" si="147"/>
        <v>0</v>
      </c>
      <c r="AE890" s="12">
        <f t="shared" si="148"/>
        <v>1</v>
      </c>
      <c r="AF890">
        <f t="shared" si="144"/>
        <v>0</v>
      </c>
      <c r="AG890">
        <f t="shared" si="149"/>
        <v>1</v>
      </c>
      <c r="AH890">
        <f t="shared" si="150"/>
        <v>1</v>
      </c>
      <c r="AI890">
        <f t="shared" si="151"/>
        <v>0</v>
      </c>
      <c r="AJ890">
        <f t="shared" si="152"/>
        <v>0</v>
      </c>
      <c r="AK890">
        <f t="shared" si="145"/>
        <v>0</v>
      </c>
      <c r="AL890">
        <f t="shared" si="153"/>
        <v>1</v>
      </c>
    </row>
    <row r="891" spans="1:38">
      <c r="A891" t="s">
        <v>2800</v>
      </c>
      <c r="B891" t="s">
        <v>2801</v>
      </c>
      <c r="C891" s="1">
        <f t="shared" si="146"/>
        <v>45413</v>
      </c>
      <c r="D891" t="s">
        <v>2802</v>
      </c>
      <c r="E891">
        <v>249.2</v>
      </c>
      <c r="F891">
        <v>10.4</v>
      </c>
      <c r="G891" t="s">
        <v>93</v>
      </c>
      <c r="H891" t="s">
        <v>163</v>
      </c>
      <c r="I891" t="s">
        <v>79</v>
      </c>
      <c r="J891">
        <v>360</v>
      </c>
      <c r="K891" t="s">
        <v>49</v>
      </c>
      <c r="L891" t="s">
        <v>96</v>
      </c>
      <c r="M891" t="s">
        <v>71</v>
      </c>
      <c r="N891" t="s">
        <v>97</v>
      </c>
      <c r="O891" t="s">
        <v>7232</v>
      </c>
      <c r="P891" t="s">
        <v>38</v>
      </c>
      <c r="Q891" t="s">
        <v>39</v>
      </c>
      <c r="R891">
        <v>4</v>
      </c>
      <c r="S891" t="s">
        <v>38</v>
      </c>
      <c r="T891">
        <v>9</v>
      </c>
      <c r="U891">
        <v>0.8</v>
      </c>
      <c r="V891">
        <v>0.5</v>
      </c>
      <c r="W891" t="s">
        <v>39</v>
      </c>
      <c r="X891" t="s">
        <v>123</v>
      </c>
      <c r="Y891" t="s">
        <v>39</v>
      </c>
      <c r="Z891" t="s">
        <v>81</v>
      </c>
      <c r="AA891" t="s">
        <v>82</v>
      </c>
      <c r="AB891" t="s">
        <v>83</v>
      </c>
      <c r="AC891">
        <f t="shared" si="143"/>
        <v>0</v>
      </c>
      <c r="AD891" s="12">
        <f t="shared" si="147"/>
        <v>0</v>
      </c>
      <c r="AE891" s="12">
        <f t="shared" si="148"/>
        <v>1</v>
      </c>
      <c r="AF891">
        <f t="shared" si="144"/>
        <v>0</v>
      </c>
      <c r="AG891">
        <f t="shared" si="149"/>
        <v>1</v>
      </c>
      <c r="AH891">
        <f t="shared" si="150"/>
        <v>0</v>
      </c>
      <c r="AI891">
        <f t="shared" si="151"/>
        <v>0</v>
      </c>
      <c r="AJ891">
        <f t="shared" si="152"/>
        <v>0</v>
      </c>
      <c r="AK891">
        <f t="shared" si="145"/>
        <v>0</v>
      </c>
      <c r="AL891">
        <f t="shared" si="153"/>
        <v>0</v>
      </c>
    </row>
    <row r="892" spans="1:38">
      <c r="A892" t="s">
        <v>2803</v>
      </c>
      <c r="B892" t="s">
        <v>2804</v>
      </c>
      <c r="C892" s="1">
        <f t="shared" si="146"/>
        <v>45627</v>
      </c>
      <c r="D892" t="s">
        <v>2805</v>
      </c>
      <c r="E892">
        <v>249.2</v>
      </c>
      <c r="F892">
        <v>10.4</v>
      </c>
      <c r="G892" t="s">
        <v>68</v>
      </c>
      <c r="H892" t="s">
        <v>69</v>
      </c>
      <c r="I892" t="s">
        <v>48</v>
      </c>
      <c r="J892">
        <v>120</v>
      </c>
      <c r="K892" t="s">
        <v>33</v>
      </c>
      <c r="L892" t="s">
        <v>34</v>
      </c>
      <c r="M892" t="s">
        <v>71</v>
      </c>
      <c r="N892" t="s">
        <v>89</v>
      </c>
      <c r="O892" t="s">
        <v>51</v>
      </c>
      <c r="P892" t="s">
        <v>38</v>
      </c>
      <c r="Q892" t="s">
        <v>39</v>
      </c>
      <c r="R892">
        <v>1</v>
      </c>
      <c r="S892" t="s">
        <v>38</v>
      </c>
      <c r="T892">
        <v>5</v>
      </c>
      <c r="U892">
        <v>1.6</v>
      </c>
      <c r="V892">
        <v>7.7</v>
      </c>
      <c r="W892" t="s">
        <v>39</v>
      </c>
      <c r="X892" t="s">
        <v>52</v>
      </c>
      <c r="Y892" t="s">
        <v>38</v>
      </c>
      <c r="Z892" t="s">
        <v>41</v>
      </c>
      <c r="AA892" t="s">
        <v>103</v>
      </c>
      <c r="AB892" t="s">
        <v>55</v>
      </c>
      <c r="AC892">
        <f t="shared" si="143"/>
        <v>1</v>
      </c>
      <c r="AD892" s="12">
        <f t="shared" si="147"/>
        <v>0</v>
      </c>
      <c r="AE892" s="12">
        <f t="shared" si="148"/>
        <v>0</v>
      </c>
      <c r="AF892">
        <f t="shared" si="144"/>
        <v>1</v>
      </c>
      <c r="AG892">
        <f t="shared" si="149"/>
        <v>0</v>
      </c>
      <c r="AH892">
        <f t="shared" si="150"/>
        <v>1</v>
      </c>
      <c r="AI892">
        <f t="shared" si="151"/>
        <v>0</v>
      </c>
      <c r="AJ892">
        <f t="shared" si="152"/>
        <v>0</v>
      </c>
      <c r="AK892">
        <f t="shared" si="145"/>
        <v>0</v>
      </c>
      <c r="AL892">
        <f t="shared" si="153"/>
        <v>1</v>
      </c>
    </row>
    <row r="893" spans="1:38">
      <c r="A893" t="s">
        <v>2806</v>
      </c>
      <c r="B893" t="s">
        <v>2807</v>
      </c>
      <c r="C893" s="1">
        <f t="shared" si="146"/>
        <v>45536</v>
      </c>
      <c r="D893" t="s">
        <v>2808</v>
      </c>
      <c r="E893">
        <v>156</v>
      </c>
      <c r="F893">
        <v>6.5</v>
      </c>
      <c r="G893" t="s">
        <v>93</v>
      </c>
      <c r="H893" t="s">
        <v>94</v>
      </c>
      <c r="I893" t="s">
        <v>32</v>
      </c>
      <c r="J893">
        <v>240</v>
      </c>
      <c r="K893" t="s">
        <v>49</v>
      </c>
      <c r="L893" t="s">
        <v>96</v>
      </c>
      <c r="M893" t="s">
        <v>35</v>
      </c>
      <c r="N893" t="s">
        <v>119</v>
      </c>
      <c r="O893" t="s">
        <v>51</v>
      </c>
      <c r="P893" t="s">
        <v>38</v>
      </c>
      <c r="Q893" t="s">
        <v>38</v>
      </c>
      <c r="R893">
        <v>1</v>
      </c>
      <c r="S893" t="s">
        <v>38</v>
      </c>
      <c r="T893">
        <v>7</v>
      </c>
      <c r="U893">
        <v>5.3</v>
      </c>
      <c r="V893">
        <v>29</v>
      </c>
      <c r="W893" t="s">
        <v>39</v>
      </c>
      <c r="X893" t="s">
        <v>63</v>
      </c>
      <c r="Y893" t="s">
        <v>39</v>
      </c>
      <c r="Z893" t="s">
        <v>179</v>
      </c>
      <c r="AA893" t="s">
        <v>109</v>
      </c>
      <c r="AB893" t="s">
        <v>83</v>
      </c>
      <c r="AC893">
        <f t="shared" si="143"/>
        <v>0</v>
      </c>
      <c r="AD893" s="12">
        <f t="shared" si="147"/>
        <v>1</v>
      </c>
      <c r="AE893" s="12">
        <f t="shared" si="148"/>
        <v>0</v>
      </c>
      <c r="AF893">
        <f t="shared" si="144"/>
        <v>1</v>
      </c>
      <c r="AG893">
        <f t="shared" si="149"/>
        <v>0</v>
      </c>
      <c r="AH893">
        <f t="shared" si="150"/>
        <v>0</v>
      </c>
      <c r="AI893">
        <f t="shared" si="151"/>
        <v>0</v>
      </c>
      <c r="AJ893">
        <f t="shared" si="152"/>
        <v>1</v>
      </c>
      <c r="AK893">
        <f t="shared" si="145"/>
        <v>0</v>
      </c>
      <c r="AL893">
        <f t="shared" si="153"/>
        <v>0</v>
      </c>
    </row>
    <row r="894" spans="1:38">
      <c r="A894" t="s">
        <v>2809</v>
      </c>
      <c r="B894" t="s">
        <v>2810</v>
      </c>
      <c r="C894" s="1">
        <f t="shared" si="146"/>
        <v>45383</v>
      </c>
      <c r="D894" t="s">
        <v>2811</v>
      </c>
      <c r="E894">
        <v>83.8</v>
      </c>
      <c r="F894">
        <v>3.5</v>
      </c>
      <c r="G894" t="s">
        <v>87</v>
      </c>
      <c r="H894" t="s">
        <v>88</v>
      </c>
      <c r="I894" t="s">
        <v>48</v>
      </c>
      <c r="J894">
        <v>120</v>
      </c>
      <c r="K894" t="s">
        <v>49</v>
      </c>
      <c r="L894" t="s">
        <v>34</v>
      </c>
      <c r="M894" t="s">
        <v>71</v>
      </c>
      <c r="N894" t="s">
        <v>164</v>
      </c>
      <c r="O894" t="s">
        <v>7232</v>
      </c>
      <c r="P894" t="s">
        <v>38</v>
      </c>
      <c r="Q894" t="s">
        <v>39</v>
      </c>
      <c r="R894">
        <v>2</v>
      </c>
      <c r="S894" t="s">
        <v>39</v>
      </c>
      <c r="T894">
        <v>7</v>
      </c>
      <c r="U894">
        <v>0.1</v>
      </c>
      <c r="V894">
        <v>12.8</v>
      </c>
      <c r="W894" t="s">
        <v>39</v>
      </c>
      <c r="X894" t="s">
        <v>40</v>
      </c>
      <c r="Y894" t="s">
        <v>38</v>
      </c>
      <c r="Z894" t="s">
        <v>108</v>
      </c>
      <c r="AA894" t="s">
        <v>109</v>
      </c>
      <c r="AB894" t="s">
        <v>83</v>
      </c>
      <c r="AC894">
        <f t="shared" si="143"/>
        <v>0</v>
      </c>
      <c r="AD894" s="12">
        <f t="shared" si="147"/>
        <v>0</v>
      </c>
      <c r="AE894" s="12">
        <f t="shared" si="148"/>
        <v>0</v>
      </c>
      <c r="AF894">
        <f t="shared" si="144"/>
        <v>0</v>
      </c>
      <c r="AG894">
        <f t="shared" si="149"/>
        <v>1</v>
      </c>
      <c r="AH894">
        <f t="shared" si="150"/>
        <v>1</v>
      </c>
      <c r="AI894">
        <f t="shared" si="151"/>
        <v>0</v>
      </c>
      <c r="AJ894">
        <f t="shared" si="152"/>
        <v>0</v>
      </c>
      <c r="AK894">
        <f t="shared" si="145"/>
        <v>0</v>
      </c>
      <c r="AL894">
        <f t="shared" si="153"/>
        <v>1</v>
      </c>
    </row>
    <row r="895" spans="1:38">
      <c r="A895" t="s">
        <v>2812</v>
      </c>
      <c r="B895" t="s">
        <v>2813</v>
      </c>
      <c r="C895" s="1">
        <f t="shared" si="146"/>
        <v>45413</v>
      </c>
      <c r="D895" t="s">
        <v>2814</v>
      </c>
      <c r="E895">
        <v>311.89999999999998</v>
      </c>
      <c r="F895">
        <v>13</v>
      </c>
      <c r="G895" t="s">
        <v>101</v>
      </c>
      <c r="H895" t="s">
        <v>368</v>
      </c>
      <c r="I895" t="s">
        <v>79</v>
      </c>
      <c r="J895">
        <v>360</v>
      </c>
      <c r="K895" t="s">
        <v>49</v>
      </c>
      <c r="L895" t="s">
        <v>34</v>
      </c>
      <c r="M895" t="s">
        <v>71</v>
      </c>
      <c r="N895" t="s">
        <v>277</v>
      </c>
      <c r="O895" t="s">
        <v>7232</v>
      </c>
      <c r="P895" t="s">
        <v>38</v>
      </c>
      <c r="Q895" t="s">
        <v>39</v>
      </c>
      <c r="R895">
        <v>4</v>
      </c>
      <c r="S895" t="s">
        <v>38</v>
      </c>
      <c r="T895">
        <v>8</v>
      </c>
      <c r="U895">
        <v>4.4000000000000004</v>
      </c>
      <c r="V895">
        <v>10.9</v>
      </c>
      <c r="W895" t="s">
        <v>39</v>
      </c>
      <c r="X895" t="s">
        <v>63</v>
      </c>
      <c r="Y895" t="s">
        <v>39</v>
      </c>
      <c r="Z895" t="s">
        <v>73</v>
      </c>
      <c r="AA895" t="s">
        <v>54</v>
      </c>
      <c r="AB895" t="s">
        <v>43</v>
      </c>
      <c r="AC895">
        <f t="shared" si="143"/>
        <v>0</v>
      </c>
      <c r="AD895" s="12">
        <f t="shared" si="147"/>
        <v>1</v>
      </c>
      <c r="AE895" s="12">
        <f t="shared" si="148"/>
        <v>0</v>
      </c>
      <c r="AF895">
        <f t="shared" si="144"/>
        <v>0</v>
      </c>
      <c r="AG895">
        <f t="shared" si="149"/>
        <v>1</v>
      </c>
      <c r="AH895">
        <f t="shared" si="150"/>
        <v>0</v>
      </c>
      <c r="AI895">
        <f t="shared" si="151"/>
        <v>0</v>
      </c>
      <c r="AJ895">
        <f t="shared" si="152"/>
        <v>0</v>
      </c>
      <c r="AK895">
        <f t="shared" si="145"/>
        <v>0</v>
      </c>
      <c r="AL895">
        <f t="shared" si="153"/>
        <v>0</v>
      </c>
    </row>
    <row r="896" spans="1:38">
      <c r="A896" t="s">
        <v>2815</v>
      </c>
      <c r="B896" t="s">
        <v>2816</v>
      </c>
      <c r="C896" s="1">
        <f t="shared" si="146"/>
        <v>45323</v>
      </c>
      <c r="D896" t="s">
        <v>2817</v>
      </c>
      <c r="E896">
        <v>307.10000000000002</v>
      </c>
      <c r="F896">
        <v>12.8</v>
      </c>
      <c r="G896" t="s">
        <v>59</v>
      </c>
      <c r="H896" t="s">
        <v>281</v>
      </c>
      <c r="I896" t="s">
        <v>48</v>
      </c>
      <c r="J896">
        <v>120</v>
      </c>
      <c r="K896" t="s">
        <v>33</v>
      </c>
      <c r="L896" t="s">
        <v>70</v>
      </c>
      <c r="M896" t="s">
        <v>35</v>
      </c>
      <c r="N896" t="s">
        <v>299</v>
      </c>
      <c r="O896" t="s">
        <v>7232</v>
      </c>
      <c r="P896" t="s">
        <v>39</v>
      </c>
      <c r="Q896" t="s">
        <v>38</v>
      </c>
      <c r="R896">
        <v>0</v>
      </c>
      <c r="S896" t="s">
        <v>39</v>
      </c>
      <c r="T896">
        <v>7</v>
      </c>
      <c r="U896">
        <v>0.5</v>
      </c>
      <c r="V896">
        <v>5.6</v>
      </c>
      <c r="W896" t="s">
        <v>39</v>
      </c>
      <c r="X896" t="s">
        <v>52</v>
      </c>
      <c r="Y896" t="s">
        <v>39</v>
      </c>
      <c r="Z896" t="s">
        <v>64</v>
      </c>
      <c r="AA896" t="s">
        <v>109</v>
      </c>
      <c r="AB896" t="s">
        <v>83</v>
      </c>
      <c r="AC896">
        <f t="shared" si="143"/>
        <v>1</v>
      </c>
      <c r="AD896" s="12">
        <f t="shared" si="147"/>
        <v>0</v>
      </c>
      <c r="AE896" s="12">
        <f t="shared" si="148"/>
        <v>0</v>
      </c>
      <c r="AF896">
        <f t="shared" si="144"/>
        <v>0</v>
      </c>
      <c r="AG896">
        <f t="shared" si="149"/>
        <v>1</v>
      </c>
      <c r="AH896">
        <f t="shared" si="150"/>
        <v>1</v>
      </c>
      <c r="AI896">
        <f t="shared" si="151"/>
        <v>0</v>
      </c>
      <c r="AJ896">
        <f t="shared" si="152"/>
        <v>0</v>
      </c>
      <c r="AK896">
        <f t="shared" si="145"/>
        <v>0</v>
      </c>
      <c r="AL896">
        <f t="shared" si="153"/>
        <v>0</v>
      </c>
    </row>
    <row r="897" spans="1:38">
      <c r="A897" t="s">
        <v>2818</v>
      </c>
      <c r="B897" t="s">
        <v>2819</v>
      </c>
      <c r="C897" s="1">
        <f t="shared" si="146"/>
        <v>45413</v>
      </c>
      <c r="D897" t="s">
        <v>2820</v>
      </c>
      <c r="E897">
        <v>149.4</v>
      </c>
      <c r="F897">
        <v>6.2</v>
      </c>
      <c r="G897" t="s">
        <v>101</v>
      </c>
      <c r="H897" t="s">
        <v>368</v>
      </c>
      <c r="I897" t="s">
        <v>32</v>
      </c>
      <c r="J897">
        <v>240</v>
      </c>
      <c r="K897" t="s">
        <v>49</v>
      </c>
      <c r="L897" t="s">
        <v>70</v>
      </c>
      <c r="M897" t="s">
        <v>35</v>
      </c>
      <c r="N897" t="s">
        <v>119</v>
      </c>
      <c r="O897" t="s">
        <v>37</v>
      </c>
      <c r="P897" t="s">
        <v>38</v>
      </c>
      <c r="Q897" t="s">
        <v>38</v>
      </c>
      <c r="R897">
        <v>1</v>
      </c>
      <c r="S897" t="s">
        <v>39</v>
      </c>
      <c r="T897">
        <v>9</v>
      </c>
      <c r="U897">
        <v>2.2999999999999998</v>
      </c>
      <c r="V897">
        <v>25.2</v>
      </c>
      <c r="W897" t="s">
        <v>39</v>
      </c>
      <c r="X897" t="s">
        <v>63</v>
      </c>
      <c r="Y897" t="s">
        <v>39</v>
      </c>
      <c r="Z897" t="s">
        <v>115</v>
      </c>
      <c r="AA897" t="s">
        <v>103</v>
      </c>
      <c r="AB897" t="s">
        <v>43</v>
      </c>
      <c r="AC897">
        <f t="shared" si="143"/>
        <v>0</v>
      </c>
      <c r="AD897" s="12">
        <f t="shared" si="147"/>
        <v>1</v>
      </c>
      <c r="AE897" s="12">
        <f t="shared" si="148"/>
        <v>0</v>
      </c>
      <c r="AF897">
        <f t="shared" si="144"/>
        <v>0</v>
      </c>
      <c r="AG897">
        <f t="shared" si="149"/>
        <v>0</v>
      </c>
      <c r="AH897">
        <f t="shared" si="150"/>
        <v>0</v>
      </c>
      <c r="AI897">
        <f t="shared" si="151"/>
        <v>0</v>
      </c>
      <c r="AJ897">
        <f t="shared" si="152"/>
        <v>1</v>
      </c>
      <c r="AK897">
        <f t="shared" si="145"/>
        <v>0</v>
      </c>
      <c r="AL897">
        <f t="shared" si="153"/>
        <v>0</v>
      </c>
    </row>
    <row r="898" spans="1:38">
      <c r="A898" t="s">
        <v>2821</v>
      </c>
      <c r="B898" t="s">
        <v>2822</v>
      </c>
      <c r="C898" s="1">
        <f t="shared" si="146"/>
        <v>45352</v>
      </c>
      <c r="D898" t="s">
        <v>2823</v>
      </c>
      <c r="E898">
        <v>710.8</v>
      </c>
      <c r="F898">
        <v>29.6</v>
      </c>
      <c r="G898" t="s">
        <v>142</v>
      </c>
      <c r="H898" t="s">
        <v>319</v>
      </c>
      <c r="I898" t="s">
        <v>79</v>
      </c>
      <c r="J898">
        <v>360</v>
      </c>
      <c r="K898" t="s">
        <v>33</v>
      </c>
      <c r="L898" t="s">
        <v>70</v>
      </c>
      <c r="M898" t="s">
        <v>35</v>
      </c>
      <c r="N898" t="s">
        <v>164</v>
      </c>
      <c r="O898" t="s">
        <v>37</v>
      </c>
      <c r="P898" t="s">
        <v>38</v>
      </c>
      <c r="Q898" t="s">
        <v>38</v>
      </c>
      <c r="R898">
        <v>1</v>
      </c>
      <c r="S898" t="s">
        <v>38</v>
      </c>
      <c r="T898">
        <v>5</v>
      </c>
      <c r="U898">
        <v>2.2000000000000002</v>
      </c>
      <c r="V898">
        <v>13.2</v>
      </c>
      <c r="W898" t="s">
        <v>38</v>
      </c>
      <c r="X898" t="s">
        <v>63</v>
      </c>
      <c r="Y898" t="s">
        <v>38</v>
      </c>
      <c r="Z898" t="s">
        <v>41</v>
      </c>
      <c r="AA898" t="s">
        <v>103</v>
      </c>
      <c r="AB898" t="s">
        <v>83</v>
      </c>
      <c r="AC898">
        <f t="shared" ref="AC898:AC961" si="154">IF(X898="Poor", 1, 0)</f>
        <v>0</v>
      </c>
      <c r="AD898" s="12">
        <f t="shared" si="147"/>
        <v>1</v>
      </c>
      <c r="AE898" s="12">
        <f t="shared" si="148"/>
        <v>0</v>
      </c>
      <c r="AF898">
        <f t="shared" ref="AF898:AF961" si="155">IF(O898="Junior", 1, 0)</f>
        <v>0</v>
      </c>
      <c r="AG898">
        <f t="shared" si="149"/>
        <v>0</v>
      </c>
      <c r="AH898">
        <f t="shared" si="150"/>
        <v>0</v>
      </c>
      <c r="AI898">
        <f t="shared" si="151"/>
        <v>0</v>
      </c>
      <c r="AJ898">
        <f t="shared" si="152"/>
        <v>0</v>
      </c>
      <c r="AK898">
        <f t="shared" ref="AK898:AK961" si="156">IF(G898="Access Requests", 1, 0)</f>
        <v>0</v>
      </c>
      <c r="AL898">
        <f t="shared" si="153"/>
        <v>1</v>
      </c>
    </row>
    <row r="899" spans="1:38">
      <c r="A899" t="s">
        <v>2824</v>
      </c>
      <c r="B899" t="s">
        <v>2825</v>
      </c>
      <c r="C899" s="1">
        <f t="shared" ref="C899:C962" si="157">DATE(YEAR(B899),MONTH(B899),1)</f>
        <v>45413</v>
      </c>
      <c r="D899" t="s">
        <v>2826</v>
      </c>
      <c r="E899">
        <v>339.9</v>
      </c>
      <c r="F899">
        <v>14.2</v>
      </c>
      <c r="G899" t="s">
        <v>77</v>
      </c>
      <c r="H899" t="s">
        <v>78</v>
      </c>
      <c r="I899" t="s">
        <v>79</v>
      </c>
      <c r="J899">
        <v>360</v>
      </c>
      <c r="K899" t="s">
        <v>49</v>
      </c>
      <c r="L899" t="s">
        <v>96</v>
      </c>
      <c r="M899" t="s">
        <v>35</v>
      </c>
      <c r="N899" t="s">
        <v>50</v>
      </c>
      <c r="O899" t="s">
        <v>51</v>
      </c>
      <c r="P899" t="s">
        <v>38</v>
      </c>
      <c r="Q899" t="s">
        <v>38</v>
      </c>
      <c r="R899">
        <v>1</v>
      </c>
      <c r="S899" t="s">
        <v>39</v>
      </c>
      <c r="T899">
        <v>8</v>
      </c>
      <c r="U899">
        <v>4.3</v>
      </c>
      <c r="V899">
        <v>11.7</v>
      </c>
      <c r="W899" t="s">
        <v>38</v>
      </c>
      <c r="X899" t="s">
        <v>123</v>
      </c>
      <c r="Y899" t="s">
        <v>39</v>
      </c>
      <c r="Z899" t="s">
        <v>73</v>
      </c>
      <c r="AA899" t="s">
        <v>42</v>
      </c>
      <c r="AB899" t="s">
        <v>83</v>
      </c>
      <c r="AC899">
        <f t="shared" si="154"/>
        <v>0</v>
      </c>
      <c r="AD899" s="12">
        <f t="shared" ref="AD899:AD962" si="158">IF(X899="Fair", 1, 0)</f>
        <v>0</v>
      </c>
      <c r="AE899" s="12">
        <f t="shared" ref="AE899:AE962" si="159">IF(X899="Good", 1, 0)</f>
        <v>1</v>
      </c>
      <c r="AF899">
        <f t="shared" si="155"/>
        <v>1</v>
      </c>
      <c r="AG899">
        <f t="shared" ref="AG899:AG962" si="160">IF(O899="Mid", 1, 0)</f>
        <v>0</v>
      </c>
      <c r="AH899">
        <f t="shared" ref="AH899:AH962" si="161">IF(I899="High", 1, 0)</f>
        <v>0</v>
      </c>
      <c r="AI899">
        <f t="shared" ref="AI899:AI962" si="162">IF(I899="Critical", 1, 0)</f>
        <v>0</v>
      </c>
      <c r="AJ899">
        <f t="shared" ref="AJ899:AJ962" si="163">IF(I899="Medium", 1, 0)</f>
        <v>0</v>
      </c>
      <c r="AK899">
        <f t="shared" si="156"/>
        <v>0</v>
      </c>
      <c r="AL899">
        <f t="shared" ref="AL899:AL962" si="164">IF(Y899="No", 1, 0)</f>
        <v>0</v>
      </c>
    </row>
    <row r="900" spans="1:38">
      <c r="A900" t="s">
        <v>2827</v>
      </c>
      <c r="B900" t="s">
        <v>2828</v>
      </c>
      <c r="C900" s="1">
        <f t="shared" si="157"/>
        <v>45566</v>
      </c>
      <c r="D900" t="s">
        <v>2829</v>
      </c>
      <c r="E900">
        <v>79.7</v>
      </c>
      <c r="F900">
        <v>3.3</v>
      </c>
      <c r="G900" t="s">
        <v>87</v>
      </c>
      <c r="H900" t="s">
        <v>183</v>
      </c>
      <c r="I900" t="s">
        <v>48</v>
      </c>
      <c r="J900">
        <v>120</v>
      </c>
      <c r="K900" t="s">
        <v>49</v>
      </c>
      <c r="L900" t="s">
        <v>96</v>
      </c>
      <c r="M900" t="s">
        <v>35</v>
      </c>
      <c r="N900" t="s">
        <v>506</v>
      </c>
      <c r="O900" t="s">
        <v>51</v>
      </c>
      <c r="P900" t="s">
        <v>38</v>
      </c>
      <c r="Q900" t="s">
        <v>38</v>
      </c>
      <c r="R900">
        <v>1</v>
      </c>
      <c r="S900" t="s">
        <v>38</v>
      </c>
      <c r="T900">
        <v>8</v>
      </c>
      <c r="U900">
        <v>3.4</v>
      </c>
      <c r="V900">
        <v>13.6</v>
      </c>
      <c r="W900" t="s">
        <v>39</v>
      </c>
      <c r="X900" t="s">
        <v>63</v>
      </c>
      <c r="Y900" t="s">
        <v>39</v>
      </c>
      <c r="Z900" t="s">
        <v>53</v>
      </c>
      <c r="AA900" t="s">
        <v>109</v>
      </c>
      <c r="AB900" t="s">
        <v>55</v>
      </c>
      <c r="AC900">
        <f t="shared" si="154"/>
        <v>0</v>
      </c>
      <c r="AD900" s="12">
        <f t="shared" si="158"/>
        <v>1</v>
      </c>
      <c r="AE900" s="12">
        <f t="shared" si="159"/>
        <v>0</v>
      </c>
      <c r="AF900">
        <f t="shared" si="155"/>
        <v>1</v>
      </c>
      <c r="AG900">
        <f t="shared" si="160"/>
        <v>0</v>
      </c>
      <c r="AH900">
        <f t="shared" si="161"/>
        <v>1</v>
      </c>
      <c r="AI900">
        <f t="shared" si="162"/>
        <v>0</v>
      </c>
      <c r="AJ900">
        <f t="shared" si="163"/>
        <v>0</v>
      </c>
      <c r="AK900">
        <f t="shared" si="156"/>
        <v>0</v>
      </c>
      <c r="AL900">
        <f t="shared" si="164"/>
        <v>0</v>
      </c>
    </row>
    <row r="901" spans="1:38">
      <c r="A901" t="s">
        <v>2830</v>
      </c>
      <c r="B901" t="s">
        <v>2831</v>
      </c>
      <c r="C901" s="1">
        <f t="shared" si="157"/>
        <v>45597</v>
      </c>
      <c r="D901" t="s">
        <v>2832</v>
      </c>
      <c r="E901">
        <v>280.10000000000002</v>
      </c>
      <c r="F901">
        <v>11.7</v>
      </c>
      <c r="G901" t="s">
        <v>77</v>
      </c>
      <c r="H901" t="s">
        <v>78</v>
      </c>
      <c r="I901" t="s">
        <v>79</v>
      </c>
      <c r="J901">
        <v>360</v>
      </c>
      <c r="K901" t="s">
        <v>49</v>
      </c>
      <c r="L901" t="s">
        <v>70</v>
      </c>
      <c r="M901" t="s">
        <v>35</v>
      </c>
      <c r="N901" t="s">
        <v>36</v>
      </c>
      <c r="O901" t="s">
        <v>7232</v>
      </c>
      <c r="P901" t="s">
        <v>39</v>
      </c>
      <c r="Q901" t="s">
        <v>38</v>
      </c>
      <c r="R901">
        <v>0</v>
      </c>
      <c r="S901" t="s">
        <v>38</v>
      </c>
      <c r="T901">
        <v>8</v>
      </c>
      <c r="U901">
        <v>2.8</v>
      </c>
      <c r="V901">
        <v>15</v>
      </c>
      <c r="W901" t="s">
        <v>38</v>
      </c>
      <c r="X901" t="s">
        <v>123</v>
      </c>
      <c r="Y901" t="s">
        <v>39</v>
      </c>
      <c r="Z901" t="s">
        <v>81</v>
      </c>
      <c r="AA901" t="s">
        <v>109</v>
      </c>
      <c r="AB901" t="s">
        <v>43</v>
      </c>
      <c r="AC901">
        <f t="shared" si="154"/>
        <v>0</v>
      </c>
      <c r="AD901" s="12">
        <f t="shared" si="158"/>
        <v>0</v>
      </c>
      <c r="AE901" s="12">
        <f t="shared" si="159"/>
        <v>1</v>
      </c>
      <c r="AF901">
        <f t="shared" si="155"/>
        <v>0</v>
      </c>
      <c r="AG901">
        <f t="shared" si="160"/>
        <v>1</v>
      </c>
      <c r="AH901">
        <f t="shared" si="161"/>
        <v>0</v>
      </c>
      <c r="AI901">
        <f t="shared" si="162"/>
        <v>0</v>
      </c>
      <c r="AJ901">
        <f t="shared" si="163"/>
        <v>0</v>
      </c>
      <c r="AK901">
        <f t="shared" si="156"/>
        <v>0</v>
      </c>
      <c r="AL901">
        <f t="shared" si="164"/>
        <v>0</v>
      </c>
    </row>
    <row r="902" spans="1:38">
      <c r="A902" t="s">
        <v>2833</v>
      </c>
      <c r="B902" t="s">
        <v>2834</v>
      </c>
      <c r="C902" s="1">
        <f t="shared" si="157"/>
        <v>45474</v>
      </c>
      <c r="D902" t="s">
        <v>2835</v>
      </c>
      <c r="E902">
        <v>106.3</v>
      </c>
      <c r="F902">
        <v>4.4000000000000004</v>
      </c>
      <c r="G902" t="s">
        <v>93</v>
      </c>
      <c r="H902" t="s">
        <v>163</v>
      </c>
      <c r="I902" t="s">
        <v>48</v>
      </c>
      <c r="J902">
        <v>120</v>
      </c>
      <c r="K902" t="s">
        <v>49</v>
      </c>
      <c r="L902" t="s">
        <v>96</v>
      </c>
      <c r="M902" t="s">
        <v>71</v>
      </c>
      <c r="N902" t="s">
        <v>220</v>
      </c>
      <c r="O902" t="s">
        <v>7232</v>
      </c>
      <c r="P902" t="s">
        <v>38</v>
      </c>
      <c r="Q902" t="s">
        <v>39</v>
      </c>
      <c r="R902">
        <v>1</v>
      </c>
      <c r="S902" t="s">
        <v>38</v>
      </c>
      <c r="T902">
        <v>8</v>
      </c>
      <c r="U902">
        <v>4.2</v>
      </c>
      <c r="V902">
        <v>19.8</v>
      </c>
      <c r="W902" t="s">
        <v>39</v>
      </c>
      <c r="X902" t="s">
        <v>52</v>
      </c>
      <c r="Y902" t="s">
        <v>38</v>
      </c>
      <c r="Z902" t="s">
        <v>179</v>
      </c>
      <c r="AA902" t="s">
        <v>54</v>
      </c>
      <c r="AB902" t="s">
        <v>55</v>
      </c>
      <c r="AC902">
        <f t="shared" si="154"/>
        <v>1</v>
      </c>
      <c r="AD902" s="12">
        <f t="shared" si="158"/>
        <v>0</v>
      </c>
      <c r="AE902" s="12">
        <f t="shared" si="159"/>
        <v>0</v>
      </c>
      <c r="AF902">
        <f t="shared" si="155"/>
        <v>0</v>
      </c>
      <c r="AG902">
        <f t="shared" si="160"/>
        <v>1</v>
      </c>
      <c r="AH902">
        <f t="shared" si="161"/>
        <v>1</v>
      </c>
      <c r="AI902">
        <f t="shared" si="162"/>
        <v>0</v>
      </c>
      <c r="AJ902">
        <f t="shared" si="163"/>
        <v>0</v>
      </c>
      <c r="AK902">
        <f t="shared" si="156"/>
        <v>0</v>
      </c>
      <c r="AL902">
        <f t="shared" si="164"/>
        <v>1</v>
      </c>
    </row>
    <row r="903" spans="1:38">
      <c r="A903" t="s">
        <v>2836</v>
      </c>
      <c r="B903" t="s">
        <v>2837</v>
      </c>
      <c r="C903" s="1">
        <f t="shared" si="157"/>
        <v>45383</v>
      </c>
      <c r="D903" t="s">
        <v>2838</v>
      </c>
      <c r="E903">
        <v>299.60000000000002</v>
      </c>
      <c r="F903">
        <v>12.5</v>
      </c>
      <c r="G903" t="s">
        <v>93</v>
      </c>
      <c r="H903" t="s">
        <v>163</v>
      </c>
      <c r="I903" t="s">
        <v>32</v>
      </c>
      <c r="J903">
        <v>240</v>
      </c>
      <c r="K903" t="s">
        <v>33</v>
      </c>
      <c r="L903" t="s">
        <v>70</v>
      </c>
      <c r="M903" t="s">
        <v>71</v>
      </c>
      <c r="N903" t="s">
        <v>61</v>
      </c>
      <c r="O903" t="s">
        <v>37</v>
      </c>
      <c r="P903" t="s">
        <v>38</v>
      </c>
      <c r="Q903" t="s">
        <v>39</v>
      </c>
      <c r="R903">
        <v>2</v>
      </c>
      <c r="S903" t="s">
        <v>38</v>
      </c>
      <c r="T903">
        <v>6</v>
      </c>
      <c r="U903">
        <v>2.9</v>
      </c>
      <c r="V903">
        <v>18.399999999999999</v>
      </c>
      <c r="W903" t="s">
        <v>39</v>
      </c>
      <c r="X903" t="s">
        <v>123</v>
      </c>
      <c r="Y903" t="s">
        <v>38</v>
      </c>
      <c r="Z903" t="s">
        <v>53</v>
      </c>
      <c r="AA903" t="s">
        <v>54</v>
      </c>
      <c r="AB903" t="s">
        <v>55</v>
      </c>
      <c r="AC903">
        <f t="shared" si="154"/>
        <v>0</v>
      </c>
      <c r="AD903" s="12">
        <f t="shared" si="158"/>
        <v>0</v>
      </c>
      <c r="AE903" s="12">
        <f t="shared" si="159"/>
        <v>1</v>
      </c>
      <c r="AF903">
        <f t="shared" si="155"/>
        <v>0</v>
      </c>
      <c r="AG903">
        <f t="shared" si="160"/>
        <v>0</v>
      </c>
      <c r="AH903">
        <f t="shared" si="161"/>
        <v>0</v>
      </c>
      <c r="AI903">
        <f t="shared" si="162"/>
        <v>0</v>
      </c>
      <c r="AJ903">
        <f t="shared" si="163"/>
        <v>1</v>
      </c>
      <c r="AK903">
        <f t="shared" si="156"/>
        <v>0</v>
      </c>
      <c r="AL903">
        <f t="shared" si="164"/>
        <v>1</v>
      </c>
    </row>
    <row r="904" spans="1:38">
      <c r="A904" t="s">
        <v>2839</v>
      </c>
      <c r="B904" t="s">
        <v>2840</v>
      </c>
      <c r="C904" s="1">
        <f t="shared" si="157"/>
        <v>45413</v>
      </c>
      <c r="D904" t="s">
        <v>2841</v>
      </c>
      <c r="E904">
        <v>205.6</v>
      </c>
      <c r="F904">
        <v>8.6</v>
      </c>
      <c r="G904" t="s">
        <v>142</v>
      </c>
      <c r="H904" t="s">
        <v>260</v>
      </c>
      <c r="I904" t="s">
        <v>32</v>
      </c>
      <c r="J904">
        <v>240</v>
      </c>
      <c r="K904" t="s">
        <v>49</v>
      </c>
      <c r="L904" t="s">
        <v>96</v>
      </c>
      <c r="M904" t="s">
        <v>35</v>
      </c>
      <c r="N904" t="s">
        <v>119</v>
      </c>
      <c r="O904" t="s">
        <v>37</v>
      </c>
      <c r="P904" t="s">
        <v>39</v>
      </c>
      <c r="Q904" t="s">
        <v>38</v>
      </c>
      <c r="R904">
        <v>0</v>
      </c>
      <c r="S904" t="s">
        <v>38</v>
      </c>
      <c r="T904">
        <v>9</v>
      </c>
      <c r="U904">
        <v>2.4</v>
      </c>
      <c r="V904">
        <v>3.4</v>
      </c>
      <c r="W904" t="s">
        <v>39</v>
      </c>
      <c r="X904" t="s">
        <v>52</v>
      </c>
      <c r="Y904" t="s">
        <v>39</v>
      </c>
      <c r="Z904" t="s">
        <v>115</v>
      </c>
      <c r="AA904" t="s">
        <v>103</v>
      </c>
      <c r="AB904" t="s">
        <v>55</v>
      </c>
      <c r="AC904">
        <f t="shared" si="154"/>
        <v>1</v>
      </c>
      <c r="AD904" s="12">
        <f t="shared" si="158"/>
        <v>0</v>
      </c>
      <c r="AE904" s="12">
        <f t="shared" si="159"/>
        <v>0</v>
      </c>
      <c r="AF904">
        <f t="shared" si="155"/>
        <v>0</v>
      </c>
      <c r="AG904">
        <f t="shared" si="160"/>
        <v>0</v>
      </c>
      <c r="AH904">
        <f t="shared" si="161"/>
        <v>0</v>
      </c>
      <c r="AI904">
        <f t="shared" si="162"/>
        <v>0</v>
      </c>
      <c r="AJ904">
        <f t="shared" si="163"/>
        <v>1</v>
      </c>
      <c r="AK904">
        <f t="shared" si="156"/>
        <v>0</v>
      </c>
      <c r="AL904">
        <f t="shared" si="164"/>
        <v>0</v>
      </c>
    </row>
    <row r="905" spans="1:38">
      <c r="A905" t="s">
        <v>2842</v>
      </c>
      <c r="B905" t="s">
        <v>2843</v>
      </c>
      <c r="C905" s="1">
        <f t="shared" si="157"/>
        <v>45413</v>
      </c>
      <c r="D905" t="s">
        <v>2844</v>
      </c>
      <c r="E905">
        <v>243.1</v>
      </c>
      <c r="F905">
        <v>10.1</v>
      </c>
      <c r="G905" t="s">
        <v>68</v>
      </c>
      <c r="H905" t="s">
        <v>219</v>
      </c>
      <c r="I905" t="s">
        <v>32</v>
      </c>
      <c r="J905">
        <v>240</v>
      </c>
      <c r="K905" t="s">
        <v>33</v>
      </c>
      <c r="L905" t="s">
        <v>113</v>
      </c>
      <c r="M905" t="s">
        <v>35</v>
      </c>
      <c r="N905" t="s">
        <v>128</v>
      </c>
      <c r="O905" t="s">
        <v>7232</v>
      </c>
      <c r="P905" t="s">
        <v>38</v>
      </c>
      <c r="Q905" t="s">
        <v>38</v>
      </c>
      <c r="R905">
        <v>1</v>
      </c>
      <c r="S905" t="s">
        <v>39</v>
      </c>
      <c r="T905">
        <v>7</v>
      </c>
      <c r="U905">
        <v>0.4</v>
      </c>
      <c r="V905">
        <v>0</v>
      </c>
      <c r="W905" t="s">
        <v>39</v>
      </c>
      <c r="X905" t="s">
        <v>52</v>
      </c>
      <c r="Y905" t="s">
        <v>39</v>
      </c>
      <c r="Z905" t="s">
        <v>41</v>
      </c>
      <c r="AA905" t="s">
        <v>109</v>
      </c>
      <c r="AB905" t="s">
        <v>55</v>
      </c>
      <c r="AC905">
        <f t="shared" si="154"/>
        <v>1</v>
      </c>
      <c r="AD905" s="12">
        <f t="shared" si="158"/>
        <v>0</v>
      </c>
      <c r="AE905" s="12">
        <f t="shared" si="159"/>
        <v>0</v>
      </c>
      <c r="AF905">
        <f t="shared" si="155"/>
        <v>0</v>
      </c>
      <c r="AG905">
        <f t="shared" si="160"/>
        <v>1</v>
      </c>
      <c r="AH905">
        <f t="shared" si="161"/>
        <v>0</v>
      </c>
      <c r="AI905">
        <f t="shared" si="162"/>
        <v>0</v>
      </c>
      <c r="AJ905">
        <f t="shared" si="163"/>
        <v>1</v>
      </c>
      <c r="AK905">
        <f t="shared" si="156"/>
        <v>0</v>
      </c>
      <c r="AL905">
        <f t="shared" si="164"/>
        <v>0</v>
      </c>
    </row>
    <row r="906" spans="1:38">
      <c r="A906" t="s">
        <v>2845</v>
      </c>
      <c r="B906" t="s">
        <v>2846</v>
      </c>
      <c r="C906" s="1">
        <f t="shared" si="157"/>
        <v>45536</v>
      </c>
      <c r="D906" t="s">
        <v>2847</v>
      </c>
      <c r="E906">
        <v>313.60000000000002</v>
      </c>
      <c r="F906">
        <v>13.1</v>
      </c>
      <c r="G906" t="s">
        <v>77</v>
      </c>
      <c r="H906" t="s">
        <v>267</v>
      </c>
      <c r="I906" t="s">
        <v>79</v>
      </c>
      <c r="J906">
        <v>360</v>
      </c>
      <c r="K906" t="s">
        <v>49</v>
      </c>
      <c r="L906" t="s">
        <v>96</v>
      </c>
      <c r="M906" t="s">
        <v>35</v>
      </c>
      <c r="N906" t="s">
        <v>134</v>
      </c>
      <c r="O906" t="s">
        <v>37</v>
      </c>
      <c r="P906" t="s">
        <v>38</v>
      </c>
      <c r="Q906" t="s">
        <v>38</v>
      </c>
      <c r="R906">
        <v>1</v>
      </c>
      <c r="S906" t="s">
        <v>38</v>
      </c>
      <c r="T906">
        <v>8</v>
      </c>
      <c r="U906">
        <v>2.4</v>
      </c>
      <c r="V906">
        <v>5.6</v>
      </c>
      <c r="W906" t="s">
        <v>39</v>
      </c>
      <c r="X906" t="s">
        <v>63</v>
      </c>
      <c r="Y906" t="s">
        <v>39</v>
      </c>
      <c r="Z906" t="s">
        <v>64</v>
      </c>
      <c r="AA906" t="s">
        <v>42</v>
      </c>
      <c r="AB906" t="s">
        <v>83</v>
      </c>
      <c r="AC906">
        <f t="shared" si="154"/>
        <v>0</v>
      </c>
      <c r="AD906" s="12">
        <f t="shared" si="158"/>
        <v>1</v>
      </c>
      <c r="AE906" s="12">
        <f t="shared" si="159"/>
        <v>0</v>
      </c>
      <c r="AF906">
        <f t="shared" si="155"/>
        <v>0</v>
      </c>
      <c r="AG906">
        <f t="shared" si="160"/>
        <v>0</v>
      </c>
      <c r="AH906">
        <f t="shared" si="161"/>
        <v>0</v>
      </c>
      <c r="AI906">
        <f t="shared" si="162"/>
        <v>0</v>
      </c>
      <c r="AJ906">
        <f t="shared" si="163"/>
        <v>0</v>
      </c>
      <c r="AK906">
        <f t="shared" si="156"/>
        <v>0</v>
      </c>
      <c r="AL906">
        <f t="shared" si="164"/>
        <v>0</v>
      </c>
    </row>
    <row r="907" spans="1:38">
      <c r="A907" t="s">
        <v>2848</v>
      </c>
      <c r="B907" t="s">
        <v>2849</v>
      </c>
      <c r="C907" s="1">
        <f t="shared" si="157"/>
        <v>45413</v>
      </c>
      <c r="D907" t="s">
        <v>2850</v>
      </c>
      <c r="E907">
        <v>226.9</v>
      </c>
      <c r="F907">
        <v>9.5</v>
      </c>
      <c r="G907" t="s">
        <v>93</v>
      </c>
      <c r="H907" t="s">
        <v>449</v>
      </c>
      <c r="I907" t="s">
        <v>32</v>
      </c>
      <c r="J907">
        <v>240</v>
      </c>
      <c r="K907" t="s">
        <v>49</v>
      </c>
      <c r="L907" t="s">
        <v>70</v>
      </c>
      <c r="M907" t="s">
        <v>35</v>
      </c>
      <c r="N907" t="s">
        <v>220</v>
      </c>
      <c r="O907" t="s">
        <v>7232</v>
      </c>
      <c r="P907" t="s">
        <v>38</v>
      </c>
      <c r="Q907" t="s">
        <v>38</v>
      </c>
      <c r="R907">
        <v>1</v>
      </c>
      <c r="S907" t="s">
        <v>38</v>
      </c>
      <c r="T907">
        <v>9</v>
      </c>
      <c r="U907">
        <v>5.5</v>
      </c>
      <c r="V907">
        <v>48.4</v>
      </c>
      <c r="W907" t="s">
        <v>38</v>
      </c>
      <c r="X907" t="s">
        <v>52</v>
      </c>
      <c r="Y907" t="s">
        <v>38</v>
      </c>
      <c r="Z907" t="s">
        <v>41</v>
      </c>
      <c r="AA907" t="s">
        <v>42</v>
      </c>
      <c r="AB907" t="s">
        <v>55</v>
      </c>
      <c r="AC907">
        <f t="shared" si="154"/>
        <v>1</v>
      </c>
      <c r="AD907" s="12">
        <f t="shared" si="158"/>
        <v>0</v>
      </c>
      <c r="AE907" s="12">
        <f t="shared" si="159"/>
        <v>0</v>
      </c>
      <c r="AF907">
        <f t="shared" si="155"/>
        <v>0</v>
      </c>
      <c r="AG907">
        <f t="shared" si="160"/>
        <v>1</v>
      </c>
      <c r="AH907">
        <f t="shared" si="161"/>
        <v>0</v>
      </c>
      <c r="AI907">
        <f t="shared" si="162"/>
        <v>0</v>
      </c>
      <c r="AJ907">
        <f t="shared" si="163"/>
        <v>1</v>
      </c>
      <c r="AK907">
        <f t="shared" si="156"/>
        <v>0</v>
      </c>
      <c r="AL907">
        <f t="shared" si="164"/>
        <v>1</v>
      </c>
    </row>
    <row r="908" spans="1:38">
      <c r="A908" t="s">
        <v>2851</v>
      </c>
      <c r="B908" t="s">
        <v>2852</v>
      </c>
      <c r="C908" s="1">
        <f t="shared" si="157"/>
        <v>45536</v>
      </c>
      <c r="D908" t="s">
        <v>2853</v>
      </c>
      <c r="E908">
        <v>174.2</v>
      </c>
      <c r="F908">
        <v>7.3</v>
      </c>
      <c r="G908" t="s">
        <v>142</v>
      </c>
      <c r="H908" t="s">
        <v>260</v>
      </c>
      <c r="I908" t="s">
        <v>32</v>
      </c>
      <c r="J908">
        <v>240</v>
      </c>
      <c r="K908" t="s">
        <v>49</v>
      </c>
      <c r="L908" t="s">
        <v>133</v>
      </c>
      <c r="M908" t="s">
        <v>35</v>
      </c>
      <c r="N908" t="s">
        <v>155</v>
      </c>
      <c r="O908" t="s">
        <v>7232</v>
      </c>
      <c r="P908" t="s">
        <v>38</v>
      </c>
      <c r="Q908" t="s">
        <v>38</v>
      </c>
      <c r="R908">
        <v>1</v>
      </c>
      <c r="S908" t="s">
        <v>38</v>
      </c>
      <c r="T908">
        <v>8</v>
      </c>
      <c r="U908">
        <v>2</v>
      </c>
      <c r="V908">
        <v>35.700000000000003</v>
      </c>
      <c r="W908" t="s">
        <v>39</v>
      </c>
      <c r="X908" t="s">
        <v>40</v>
      </c>
      <c r="Y908" t="s">
        <v>39</v>
      </c>
      <c r="Z908" t="s">
        <v>73</v>
      </c>
      <c r="AA908" t="s">
        <v>54</v>
      </c>
      <c r="AB908" t="s">
        <v>55</v>
      </c>
      <c r="AC908">
        <f t="shared" si="154"/>
        <v>0</v>
      </c>
      <c r="AD908" s="12">
        <f t="shared" si="158"/>
        <v>0</v>
      </c>
      <c r="AE908" s="12">
        <f t="shared" si="159"/>
        <v>0</v>
      </c>
      <c r="AF908">
        <f t="shared" si="155"/>
        <v>0</v>
      </c>
      <c r="AG908">
        <f t="shared" si="160"/>
        <v>1</v>
      </c>
      <c r="AH908">
        <f t="shared" si="161"/>
        <v>0</v>
      </c>
      <c r="AI908">
        <f t="shared" si="162"/>
        <v>0</v>
      </c>
      <c r="AJ908">
        <f t="shared" si="163"/>
        <v>1</v>
      </c>
      <c r="AK908">
        <f t="shared" si="156"/>
        <v>0</v>
      </c>
      <c r="AL908">
        <f t="shared" si="164"/>
        <v>0</v>
      </c>
    </row>
    <row r="909" spans="1:38">
      <c r="A909" t="s">
        <v>2854</v>
      </c>
      <c r="B909" t="s">
        <v>2855</v>
      </c>
      <c r="C909" s="1">
        <f t="shared" si="157"/>
        <v>45566</v>
      </c>
      <c r="D909" t="s">
        <v>2856</v>
      </c>
      <c r="E909">
        <v>113.8</v>
      </c>
      <c r="F909">
        <v>4.7</v>
      </c>
      <c r="G909" t="s">
        <v>101</v>
      </c>
      <c r="H909" t="s">
        <v>102</v>
      </c>
      <c r="I909" t="s">
        <v>48</v>
      </c>
      <c r="J909">
        <v>120</v>
      </c>
      <c r="K909" t="s">
        <v>49</v>
      </c>
      <c r="L909" t="s">
        <v>96</v>
      </c>
      <c r="M909" t="s">
        <v>35</v>
      </c>
      <c r="N909" t="s">
        <v>114</v>
      </c>
      <c r="O909" t="s">
        <v>37</v>
      </c>
      <c r="P909" t="s">
        <v>38</v>
      </c>
      <c r="Q909" t="s">
        <v>38</v>
      </c>
      <c r="R909">
        <v>1</v>
      </c>
      <c r="S909" t="s">
        <v>38</v>
      </c>
      <c r="T909">
        <v>6</v>
      </c>
      <c r="U909">
        <v>5.6</v>
      </c>
      <c r="V909">
        <v>25.7</v>
      </c>
      <c r="W909" t="s">
        <v>39</v>
      </c>
      <c r="X909" t="s">
        <v>52</v>
      </c>
      <c r="Y909" t="s">
        <v>39</v>
      </c>
      <c r="Z909" t="s">
        <v>81</v>
      </c>
      <c r="AA909" t="s">
        <v>42</v>
      </c>
      <c r="AB909" t="s">
        <v>83</v>
      </c>
      <c r="AC909">
        <f t="shared" si="154"/>
        <v>1</v>
      </c>
      <c r="AD909" s="12">
        <f t="shared" si="158"/>
        <v>0</v>
      </c>
      <c r="AE909" s="12">
        <f t="shared" si="159"/>
        <v>0</v>
      </c>
      <c r="AF909">
        <f t="shared" si="155"/>
        <v>0</v>
      </c>
      <c r="AG909">
        <f t="shared" si="160"/>
        <v>0</v>
      </c>
      <c r="AH909">
        <f t="shared" si="161"/>
        <v>1</v>
      </c>
      <c r="AI909">
        <f t="shared" si="162"/>
        <v>0</v>
      </c>
      <c r="AJ909">
        <f t="shared" si="163"/>
        <v>0</v>
      </c>
      <c r="AK909">
        <f t="shared" si="156"/>
        <v>0</v>
      </c>
      <c r="AL909">
        <f t="shared" si="164"/>
        <v>0</v>
      </c>
    </row>
    <row r="910" spans="1:38">
      <c r="A910" t="s">
        <v>2857</v>
      </c>
      <c r="B910" t="s">
        <v>2858</v>
      </c>
      <c r="C910" s="1">
        <f t="shared" si="157"/>
        <v>45383</v>
      </c>
      <c r="D910" t="s">
        <v>2859</v>
      </c>
      <c r="E910">
        <v>195</v>
      </c>
      <c r="F910">
        <v>8.1</v>
      </c>
      <c r="G910" t="s">
        <v>30</v>
      </c>
      <c r="H910" t="s">
        <v>31</v>
      </c>
      <c r="I910" t="s">
        <v>32</v>
      </c>
      <c r="J910">
        <v>240</v>
      </c>
      <c r="K910" t="s">
        <v>49</v>
      </c>
      <c r="L910" t="s">
        <v>133</v>
      </c>
      <c r="M910" t="s">
        <v>35</v>
      </c>
      <c r="N910" t="s">
        <v>36</v>
      </c>
      <c r="O910" t="s">
        <v>51</v>
      </c>
      <c r="P910" t="s">
        <v>39</v>
      </c>
      <c r="Q910" t="s">
        <v>38</v>
      </c>
      <c r="R910">
        <v>0</v>
      </c>
      <c r="S910" t="s">
        <v>38</v>
      </c>
      <c r="T910">
        <v>8</v>
      </c>
      <c r="U910">
        <v>3.7</v>
      </c>
      <c r="V910">
        <v>8.6</v>
      </c>
      <c r="W910" t="s">
        <v>39</v>
      </c>
      <c r="X910" t="s">
        <v>123</v>
      </c>
      <c r="Y910" t="s">
        <v>38</v>
      </c>
      <c r="Z910" t="s">
        <v>179</v>
      </c>
      <c r="AA910" t="s">
        <v>42</v>
      </c>
      <c r="AB910" t="s">
        <v>43</v>
      </c>
      <c r="AC910">
        <f t="shared" si="154"/>
        <v>0</v>
      </c>
      <c r="AD910" s="12">
        <f t="shared" si="158"/>
        <v>0</v>
      </c>
      <c r="AE910" s="12">
        <f t="shared" si="159"/>
        <v>1</v>
      </c>
      <c r="AF910">
        <f t="shared" si="155"/>
        <v>1</v>
      </c>
      <c r="AG910">
        <f t="shared" si="160"/>
        <v>0</v>
      </c>
      <c r="AH910">
        <f t="shared" si="161"/>
        <v>0</v>
      </c>
      <c r="AI910">
        <f t="shared" si="162"/>
        <v>0</v>
      </c>
      <c r="AJ910">
        <f t="shared" si="163"/>
        <v>1</v>
      </c>
      <c r="AK910">
        <f t="shared" si="156"/>
        <v>1</v>
      </c>
      <c r="AL910">
        <f t="shared" si="164"/>
        <v>1</v>
      </c>
    </row>
    <row r="911" spans="1:38">
      <c r="A911" t="s">
        <v>2860</v>
      </c>
      <c r="B911" t="s">
        <v>2861</v>
      </c>
      <c r="C911" s="1">
        <f t="shared" si="157"/>
        <v>45627</v>
      </c>
      <c r="D911" t="s">
        <v>2862</v>
      </c>
      <c r="E911">
        <v>101.9</v>
      </c>
      <c r="F911">
        <v>4.2</v>
      </c>
      <c r="G911" t="s">
        <v>101</v>
      </c>
      <c r="H911" t="s">
        <v>295</v>
      </c>
      <c r="I911" t="s">
        <v>48</v>
      </c>
      <c r="J911">
        <v>120</v>
      </c>
      <c r="K911" t="s">
        <v>49</v>
      </c>
      <c r="L911" t="s">
        <v>113</v>
      </c>
      <c r="M911" t="s">
        <v>35</v>
      </c>
      <c r="N911" t="s">
        <v>220</v>
      </c>
      <c r="O911" t="s">
        <v>7232</v>
      </c>
      <c r="P911" t="s">
        <v>38</v>
      </c>
      <c r="Q911" t="s">
        <v>38</v>
      </c>
      <c r="R911">
        <v>1</v>
      </c>
      <c r="S911" t="s">
        <v>38</v>
      </c>
      <c r="T911">
        <v>8</v>
      </c>
      <c r="U911">
        <v>2.6</v>
      </c>
      <c r="V911">
        <v>19.3</v>
      </c>
      <c r="W911" t="s">
        <v>39</v>
      </c>
      <c r="X911" t="s">
        <v>123</v>
      </c>
      <c r="Y911" t="s">
        <v>38</v>
      </c>
      <c r="Z911" t="s">
        <v>108</v>
      </c>
      <c r="AA911" t="s">
        <v>54</v>
      </c>
      <c r="AB911" t="s">
        <v>55</v>
      </c>
      <c r="AC911">
        <f t="shared" si="154"/>
        <v>0</v>
      </c>
      <c r="AD911" s="12">
        <f t="shared" si="158"/>
        <v>0</v>
      </c>
      <c r="AE911" s="12">
        <f t="shared" si="159"/>
        <v>1</v>
      </c>
      <c r="AF911">
        <f t="shared" si="155"/>
        <v>0</v>
      </c>
      <c r="AG911">
        <f t="shared" si="160"/>
        <v>1</v>
      </c>
      <c r="AH911">
        <f t="shared" si="161"/>
        <v>1</v>
      </c>
      <c r="AI911">
        <f t="shared" si="162"/>
        <v>0</v>
      </c>
      <c r="AJ911">
        <f t="shared" si="163"/>
        <v>0</v>
      </c>
      <c r="AK911">
        <f t="shared" si="156"/>
        <v>0</v>
      </c>
      <c r="AL911">
        <f t="shared" si="164"/>
        <v>1</v>
      </c>
    </row>
    <row r="912" spans="1:38">
      <c r="A912" t="s">
        <v>2863</v>
      </c>
      <c r="B912" t="s">
        <v>2864</v>
      </c>
      <c r="C912" s="1">
        <f t="shared" si="157"/>
        <v>45352</v>
      </c>
      <c r="D912" t="s">
        <v>2865</v>
      </c>
      <c r="E912">
        <v>167.8</v>
      </c>
      <c r="F912">
        <v>7</v>
      </c>
      <c r="G912" t="s">
        <v>30</v>
      </c>
      <c r="H912" t="s">
        <v>172</v>
      </c>
      <c r="I912" t="s">
        <v>32</v>
      </c>
      <c r="J912">
        <v>240</v>
      </c>
      <c r="K912" t="s">
        <v>49</v>
      </c>
      <c r="L912" t="s">
        <v>96</v>
      </c>
      <c r="M912" t="s">
        <v>35</v>
      </c>
      <c r="N912" t="s">
        <v>138</v>
      </c>
      <c r="O912" t="s">
        <v>7232</v>
      </c>
      <c r="P912" t="s">
        <v>39</v>
      </c>
      <c r="Q912" t="s">
        <v>38</v>
      </c>
      <c r="R912">
        <v>0</v>
      </c>
      <c r="S912" t="s">
        <v>38</v>
      </c>
      <c r="T912">
        <v>9</v>
      </c>
      <c r="U912">
        <v>2.6</v>
      </c>
      <c r="V912">
        <v>10.8</v>
      </c>
      <c r="W912" t="s">
        <v>39</v>
      </c>
      <c r="X912" t="s">
        <v>63</v>
      </c>
      <c r="Y912" t="s">
        <v>38</v>
      </c>
      <c r="Z912" t="s">
        <v>53</v>
      </c>
      <c r="AA912" t="s">
        <v>109</v>
      </c>
      <c r="AB912" t="s">
        <v>55</v>
      </c>
      <c r="AC912">
        <f t="shared" si="154"/>
        <v>0</v>
      </c>
      <c r="AD912" s="12">
        <f t="shared" si="158"/>
        <v>1</v>
      </c>
      <c r="AE912" s="12">
        <f t="shared" si="159"/>
        <v>0</v>
      </c>
      <c r="AF912">
        <f t="shared" si="155"/>
        <v>0</v>
      </c>
      <c r="AG912">
        <f t="shared" si="160"/>
        <v>1</v>
      </c>
      <c r="AH912">
        <f t="shared" si="161"/>
        <v>0</v>
      </c>
      <c r="AI912">
        <f t="shared" si="162"/>
        <v>0</v>
      </c>
      <c r="AJ912">
        <f t="shared" si="163"/>
        <v>1</v>
      </c>
      <c r="AK912">
        <f t="shared" si="156"/>
        <v>1</v>
      </c>
      <c r="AL912">
        <f t="shared" si="164"/>
        <v>1</v>
      </c>
    </row>
    <row r="913" spans="1:38">
      <c r="A913" t="s">
        <v>2866</v>
      </c>
      <c r="B913" t="s">
        <v>2867</v>
      </c>
      <c r="C913" s="1">
        <f t="shared" si="157"/>
        <v>45413</v>
      </c>
      <c r="D913" t="s">
        <v>2868</v>
      </c>
      <c r="E913">
        <v>161.9</v>
      </c>
      <c r="F913">
        <v>6.7</v>
      </c>
      <c r="G913" t="s">
        <v>77</v>
      </c>
      <c r="H913" t="s">
        <v>187</v>
      </c>
      <c r="I913" t="s">
        <v>32</v>
      </c>
      <c r="J913">
        <v>240</v>
      </c>
      <c r="K913" t="s">
        <v>49</v>
      </c>
      <c r="L913" t="s">
        <v>70</v>
      </c>
      <c r="M913" t="s">
        <v>35</v>
      </c>
      <c r="N913" t="s">
        <v>155</v>
      </c>
      <c r="O913" t="s">
        <v>51</v>
      </c>
      <c r="P913" t="s">
        <v>39</v>
      </c>
      <c r="Q913" t="s">
        <v>38</v>
      </c>
      <c r="R913">
        <v>0</v>
      </c>
      <c r="S913" t="s">
        <v>38</v>
      </c>
      <c r="T913">
        <v>10</v>
      </c>
      <c r="U913">
        <v>2.6</v>
      </c>
      <c r="V913">
        <v>22.3</v>
      </c>
      <c r="W913" t="s">
        <v>39</v>
      </c>
      <c r="X913" t="s">
        <v>123</v>
      </c>
      <c r="Y913" t="s">
        <v>39</v>
      </c>
      <c r="Z913" t="s">
        <v>115</v>
      </c>
      <c r="AA913" t="s">
        <v>42</v>
      </c>
      <c r="AB913" t="s">
        <v>83</v>
      </c>
      <c r="AC913">
        <f t="shared" si="154"/>
        <v>0</v>
      </c>
      <c r="AD913" s="12">
        <f t="shared" si="158"/>
        <v>0</v>
      </c>
      <c r="AE913" s="12">
        <f t="shared" si="159"/>
        <v>1</v>
      </c>
      <c r="AF913">
        <f t="shared" si="155"/>
        <v>1</v>
      </c>
      <c r="AG913">
        <f t="shared" si="160"/>
        <v>0</v>
      </c>
      <c r="AH913">
        <f t="shared" si="161"/>
        <v>0</v>
      </c>
      <c r="AI913">
        <f t="shared" si="162"/>
        <v>0</v>
      </c>
      <c r="AJ913">
        <f t="shared" si="163"/>
        <v>1</v>
      </c>
      <c r="AK913">
        <f t="shared" si="156"/>
        <v>0</v>
      </c>
      <c r="AL913">
        <f t="shared" si="164"/>
        <v>0</v>
      </c>
    </row>
    <row r="914" spans="1:38">
      <c r="A914" t="s">
        <v>2869</v>
      </c>
      <c r="B914" t="s">
        <v>2870</v>
      </c>
      <c r="C914" s="1">
        <f t="shared" si="157"/>
        <v>45566</v>
      </c>
      <c r="D914" t="s">
        <v>2871</v>
      </c>
      <c r="E914">
        <v>96.9</v>
      </c>
      <c r="F914">
        <v>4</v>
      </c>
      <c r="G914" t="s">
        <v>59</v>
      </c>
      <c r="H914" t="s">
        <v>127</v>
      </c>
      <c r="I914" t="s">
        <v>48</v>
      </c>
      <c r="J914">
        <v>120</v>
      </c>
      <c r="K914" t="s">
        <v>49</v>
      </c>
      <c r="L914" t="s">
        <v>133</v>
      </c>
      <c r="M914" t="s">
        <v>71</v>
      </c>
      <c r="N914" t="s">
        <v>72</v>
      </c>
      <c r="O914" t="s">
        <v>7232</v>
      </c>
      <c r="P914" t="s">
        <v>38</v>
      </c>
      <c r="Q914" t="s">
        <v>39</v>
      </c>
      <c r="R914">
        <v>1</v>
      </c>
      <c r="S914" t="s">
        <v>38</v>
      </c>
      <c r="T914">
        <v>6</v>
      </c>
      <c r="U914">
        <v>4.5</v>
      </c>
      <c r="V914">
        <v>21.9</v>
      </c>
      <c r="W914" t="s">
        <v>38</v>
      </c>
      <c r="X914" t="s">
        <v>123</v>
      </c>
      <c r="Y914" t="s">
        <v>38</v>
      </c>
      <c r="Z914" t="s">
        <v>53</v>
      </c>
      <c r="AA914" t="s">
        <v>54</v>
      </c>
      <c r="AB914" t="s">
        <v>83</v>
      </c>
      <c r="AC914">
        <f t="shared" si="154"/>
        <v>0</v>
      </c>
      <c r="AD914" s="12">
        <f t="shared" si="158"/>
        <v>0</v>
      </c>
      <c r="AE914" s="12">
        <f t="shared" si="159"/>
        <v>1</v>
      </c>
      <c r="AF914">
        <f t="shared" si="155"/>
        <v>0</v>
      </c>
      <c r="AG914">
        <f t="shared" si="160"/>
        <v>1</v>
      </c>
      <c r="AH914">
        <f t="shared" si="161"/>
        <v>1</v>
      </c>
      <c r="AI914">
        <f t="shared" si="162"/>
        <v>0</v>
      </c>
      <c r="AJ914">
        <f t="shared" si="163"/>
        <v>0</v>
      </c>
      <c r="AK914">
        <f t="shared" si="156"/>
        <v>0</v>
      </c>
      <c r="AL914">
        <f t="shared" si="164"/>
        <v>1</v>
      </c>
    </row>
    <row r="915" spans="1:38">
      <c r="A915" t="s">
        <v>2872</v>
      </c>
      <c r="B915" t="s">
        <v>2873</v>
      </c>
      <c r="C915" s="1">
        <f t="shared" si="157"/>
        <v>45383</v>
      </c>
      <c r="D915" t="s">
        <v>2874</v>
      </c>
      <c r="E915">
        <v>89.4</v>
      </c>
      <c r="F915">
        <v>3.7</v>
      </c>
      <c r="G915" t="s">
        <v>87</v>
      </c>
      <c r="H915" t="s">
        <v>309</v>
      </c>
      <c r="I915" t="s">
        <v>48</v>
      </c>
      <c r="J915">
        <v>120</v>
      </c>
      <c r="K915" t="s">
        <v>49</v>
      </c>
      <c r="L915" t="s">
        <v>34</v>
      </c>
      <c r="M915" t="s">
        <v>71</v>
      </c>
      <c r="N915" t="s">
        <v>89</v>
      </c>
      <c r="O915" t="s">
        <v>51</v>
      </c>
      <c r="P915" t="s">
        <v>38</v>
      </c>
      <c r="Q915" t="s">
        <v>39</v>
      </c>
      <c r="R915">
        <v>3</v>
      </c>
      <c r="S915" t="s">
        <v>38</v>
      </c>
      <c r="T915">
        <v>5</v>
      </c>
      <c r="U915">
        <v>1.8</v>
      </c>
      <c r="V915">
        <v>11.3</v>
      </c>
      <c r="W915" t="s">
        <v>38</v>
      </c>
      <c r="X915" t="s">
        <v>63</v>
      </c>
      <c r="Y915" t="s">
        <v>38</v>
      </c>
      <c r="Z915" t="s">
        <v>41</v>
      </c>
      <c r="AA915" t="s">
        <v>109</v>
      </c>
      <c r="AB915" t="s">
        <v>83</v>
      </c>
      <c r="AC915">
        <f t="shared" si="154"/>
        <v>0</v>
      </c>
      <c r="AD915" s="12">
        <f t="shared" si="158"/>
        <v>1</v>
      </c>
      <c r="AE915" s="12">
        <f t="shared" si="159"/>
        <v>0</v>
      </c>
      <c r="AF915">
        <f t="shared" si="155"/>
        <v>1</v>
      </c>
      <c r="AG915">
        <f t="shared" si="160"/>
        <v>0</v>
      </c>
      <c r="AH915">
        <f t="shared" si="161"/>
        <v>1</v>
      </c>
      <c r="AI915">
        <f t="shared" si="162"/>
        <v>0</v>
      </c>
      <c r="AJ915">
        <f t="shared" si="163"/>
        <v>0</v>
      </c>
      <c r="AK915">
        <f t="shared" si="156"/>
        <v>0</v>
      </c>
      <c r="AL915">
        <f t="shared" si="164"/>
        <v>1</v>
      </c>
    </row>
    <row r="916" spans="1:38">
      <c r="A916" t="s">
        <v>2875</v>
      </c>
      <c r="B916" t="s">
        <v>2876</v>
      </c>
      <c r="C916" s="1">
        <f t="shared" si="157"/>
        <v>45536</v>
      </c>
      <c r="D916" t="s">
        <v>2877</v>
      </c>
      <c r="E916">
        <v>169.7</v>
      </c>
      <c r="F916">
        <v>7.1</v>
      </c>
      <c r="G916" t="s">
        <v>142</v>
      </c>
      <c r="H916" t="s">
        <v>729</v>
      </c>
      <c r="I916" t="s">
        <v>32</v>
      </c>
      <c r="J916">
        <v>240</v>
      </c>
      <c r="K916" t="s">
        <v>49</v>
      </c>
      <c r="L916" t="s">
        <v>133</v>
      </c>
      <c r="M916" t="s">
        <v>71</v>
      </c>
      <c r="N916" t="s">
        <v>89</v>
      </c>
      <c r="O916" t="s">
        <v>7232</v>
      </c>
      <c r="P916" t="s">
        <v>38</v>
      </c>
      <c r="Q916" t="s">
        <v>39</v>
      </c>
      <c r="R916">
        <v>4</v>
      </c>
      <c r="S916" t="s">
        <v>38</v>
      </c>
      <c r="T916">
        <v>10</v>
      </c>
      <c r="U916">
        <v>1.6</v>
      </c>
      <c r="V916">
        <v>35</v>
      </c>
      <c r="W916" t="s">
        <v>39</v>
      </c>
      <c r="X916" t="s">
        <v>123</v>
      </c>
      <c r="Y916" t="s">
        <v>39</v>
      </c>
      <c r="Z916" t="s">
        <v>81</v>
      </c>
      <c r="AA916" t="s">
        <v>42</v>
      </c>
      <c r="AB916" t="s">
        <v>83</v>
      </c>
      <c r="AC916">
        <f t="shared" si="154"/>
        <v>0</v>
      </c>
      <c r="AD916" s="12">
        <f t="shared" si="158"/>
        <v>0</v>
      </c>
      <c r="AE916" s="12">
        <f t="shared" si="159"/>
        <v>1</v>
      </c>
      <c r="AF916">
        <f t="shared" si="155"/>
        <v>0</v>
      </c>
      <c r="AG916">
        <f t="shared" si="160"/>
        <v>1</v>
      </c>
      <c r="AH916">
        <f t="shared" si="161"/>
        <v>0</v>
      </c>
      <c r="AI916">
        <f t="shared" si="162"/>
        <v>0</v>
      </c>
      <c r="AJ916">
        <f t="shared" si="163"/>
        <v>1</v>
      </c>
      <c r="AK916">
        <f t="shared" si="156"/>
        <v>0</v>
      </c>
      <c r="AL916">
        <f t="shared" si="164"/>
        <v>0</v>
      </c>
    </row>
    <row r="917" spans="1:38">
      <c r="A917" t="s">
        <v>2878</v>
      </c>
      <c r="B917" t="s">
        <v>2879</v>
      </c>
      <c r="C917" s="1">
        <f t="shared" si="157"/>
        <v>45474</v>
      </c>
      <c r="D917" t="s">
        <v>2880</v>
      </c>
      <c r="E917">
        <v>504.7</v>
      </c>
      <c r="F917">
        <v>21</v>
      </c>
      <c r="G917" t="s">
        <v>77</v>
      </c>
      <c r="H917" t="s">
        <v>187</v>
      </c>
      <c r="I917" t="s">
        <v>79</v>
      </c>
      <c r="J917">
        <v>360</v>
      </c>
      <c r="K917" t="s">
        <v>33</v>
      </c>
      <c r="L917" t="s">
        <v>96</v>
      </c>
      <c r="M917" t="s">
        <v>35</v>
      </c>
      <c r="N917" t="s">
        <v>188</v>
      </c>
      <c r="O917" t="s">
        <v>7232</v>
      </c>
      <c r="P917" t="s">
        <v>38</v>
      </c>
      <c r="Q917" t="s">
        <v>38</v>
      </c>
      <c r="R917">
        <v>1</v>
      </c>
      <c r="S917" t="s">
        <v>38</v>
      </c>
      <c r="T917">
        <v>8</v>
      </c>
      <c r="U917">
        <v>1.6</v>
      </c>
      <c r="V917">
        <v>14.2</v>
      </c>
      <c r="W917" t="s">
        <v>39</v>
      </c>
      <c r="X917" t="s">
        <v>40</v>
      </c>
      <c r="Y917" t="s">
        <v>39</v>
      </c>
      <c r="Z917" t="s">
        <v>64</v>
      </c>
      <c r="AA917" t="s">
        <v>54</v>
      </c>
      <c r="AB917" t="s">
        <v>83</v>
      </c>
      <c r="AC917">
        <f t="shared" si="154"/>
        <v>0</v>
      </c>
      <c r="AD917" s="12">
        <f t="shared" si="158"/>
        <v>0</v>
      </c>
      <c r="AE917" s="12">
        <f t="shared" si="159"/>
        <v>0</v>
      </c>
      <c r="AF917">
        <f t="shared" si="155"/>
        <v>0</v>
      </c>
      <c r="AG917">
        <f t="shared" si="160"/>
        <v>1</v>
      </c>
      <c r="AH917">
        <f t="shared" si="161"/>
        <v>0</v>
      </c>
      <c r="AI917">
        <f t="shared" si="162"/>
        <v>0</v>
      </c>
      <c r="AJ917">
        <f t="shared" si="163"/>
        <v>0</v>
      </c>
      <c r="AK917">
        <f t="shared" si="156"/>
        <v>0</v>
      </c>
      <c r="AL917">
        <f t="shared" si="164"/>
        <v>0</v>
      </c>
    </row>
    <row r="918" spans="1:38">
      <c r="A918" t="s">
        <v>2881</v>
      </c>
      <c r="B918" t="s">
        <v>2882</v>
      </c>
      <c r="C918" s="1">
        <f t="shared" si="157"/>
        <v>45627</v>
      </c>
      <c r="D918" t="s">
        <v>2883</v>
      </c>
      <c r="E918">
        <v>236.6</v>
      </c>
      <c r="F918">
        <v>9.9</v>
      </c>
      <c r="G918" t="s">
        <v>68</v>
      </c>
      <c r="H918" t="s">
        <v>219</v>
      </c>
      <c r="I918" t="s">
        <v>79</v>
      </c>
      <c r="J918">
        <v>360</v>
      </c>
      <c r="K918" t="s">
        <v>49</v>
      </c>
      <c r="L918" t="s">
        <v>34</v>
      </c>
      <c r="M918" t="s">
        <v>35</v>
      </c>
      <c r="N918" t="s">
        <v>192</v>
      </c>
      <c r="O918" t="s">
        <v>7232</v>
      </c>
      <c r="P918" t="s">
        <v>38</v>
      </c>
      <c r="Q918" t="s">
        <v>38</v>
      </c>
      <c r="R918">
        <v>1</v>
      </c>
      <c r="S918" t="s">
        <v>38</v>
      </c>
      <c r="T918">
        <v>7</v>
      </c>
      <c r="U918">
        <v>3.8</v>
      </c>
      <c r="V918">
        <v>21.7</v>
      </c>
      <c r="W918" t="s">
        <v>39</v>
      </c>
      <c r="X918" t="s">
        <v>40</v>
      </c>
      <c r="Y918" t="s">
        <v>39</v>
      </c>
      <c r="Z918" t="s">
        <v>115</v>
      </c>
      <c r="AA918" t="s">
        <v>103</v>
      </c>
      <c r="AB918" t="s">
        <v>55</v>
      </c>
      <c r="AC918">
        <f t="shared" si="154"/>
        <v>0</v>
      </c>
      <c r="AD918" s="12">
        <f t="shared" si="158"/>
        <v>0</v>
      </c>
      <c r="AE918" s="12">
        <f t="shared" si="159"/>
        <v>0</v>
      </c>
      <c r="AF918">
        <f t="shared" si="155"/>
        <v>0</v>
      </c>
      <c r="AG918">
        <f t="shared" si="160"/>
        <v>1</v>
      </c>
      <c r="AH918">
        <f t="shared" si="161"/>
        <v>0</v>
      </c>
      <c r="AI918">
        <f t="shared" si="162"/>
        <v>0</v>
      </c>
      <c r="AJ918">
        <f t="shared" si="163"/>
        <v>0</v>
      </c>
      <c r="AK918">
        <f t="shared" si="156"/>
        <v>0</v>
      </c>
      <c r="AL918">
        <f t="shared" si="164"/>
        <v>0</v>
      </c>
    </row>
    <row r="919" spans="1:38">
      <c r="A919" t="s">
        <v>2884</v>
      </c>
      <c r="B919" t="s">
        <v>2885</v>
      </c>
      <c r="C919" s="1">
        <f t="shared" si="157"/>
        <v>45474</v>
      </c>
      <c r="D919" t="s">
        <v>2886</v>
      </c>
      <c r="E919">
        <v>476.3</v>
      </c>
      <c r="F919">
        <v>19.8</v>
      </c>
      <c r="G919" t="s">
        <v>30</v>
      </c>
      <c r="H919" t="s">
        <v>159</v>
      </c>
      <c r="I919" t="s">
        <v>79</v>
      </c>
      <c r="J919">
        <v>360</v>
      </c>
      <c r="K919" t="s">
        <v>33</v>
      </c>
      <c r="L919" t="s">
        <v>70</v>
      </c>
      <c r="M919" t="s">
        <v>71</v>
      </c>
      <c r="N919" t="s">
        <v>61</v>
      </c>
      <c r="O919" t="s">
        <v>7232</v>
      </c>
      <c r="P919" t="s">
        <v>38</v>
      </c>
      <c r="Q919" t="s">
        <v>39</v>
      </c>
      <c r="R919">
        <v>3</v>
      </c>
      <c r="S919" t="s">
        <v>38</v>
      </c>
      <c r="T919">
        <v>5</v>
      </c>
      <c r="U919">
        <v>1.4</v>
      </c>
      <c r="V919">
        <v>20.399999999999999</v>
      </c>
      <c r="W919" t="s">
        <v>39</v>
      </c>
      <c r="X919" t="s">
        <v>63</v>
      </c>
      <c r="Y919" t="s">
        <v>39</v>
      </c>
      <c r="Z919" t="s">
        <v>108</v>
      </c>
      <c r="AA919" t="s">
        <v>103</v>
      </c>
      <c r="AB919" t="s">
        <v>83</v>
      </c>
      <c r="AC919">
        <f t="shared" si="154"/>
        <v>0</v>
      </c>
      <c r="AD919" s="12">
        <f t="shared" si="158"/>
        <v>1</v>
      </c>
      <c r="AE919" s="12">
        <f t="shared" si="159"/>
        <v>0</v>
      </c>
      <c r="AF919">
        <f t="shared" si="155"/>
        <v>0</v>
      </c>
      <c r="AG919">
        <f t="shared" si="160"/>
        <v>1</v>
      </c>
      <c r="AH919">
        <f t="shared" si="161"/>
        <v>0</v>
      </c>
      <c r="AI919">
        <f t="shared" si="162"/>
        <v>0</v>
      </c>
      <c r="AJ919">
        <f t="shared" si="163"/>
        <v>0</v>
      </c>
      <c r="AK919">
        <f t="shared" si="156"/>
        <v>1</v>
      </c>
      <c r="AL919">
        <f t="shared" si="164"/>
        <v>0</v>
      </c>
    </row>
    <row r="920" spans="1:38">
      <c r="A920" t="s">
        <v>2887</v>
      </c>
      <c r="B920" t="s">
        <v>2888</v>
      </c>
      <c r="C920" s="1">
        <f t="shared" si="157"/>
        <v>45413</v>
      </c>
      <c r="D920" t="s">
        <v>2889</v>
      </c>
      <c r="E920">
        <v>180.4</v>
      </c>
      <c r="F920">
        <v>7.5</v>
      </c>
      <c r="G920" t="s">
        <v>30</v>
      </c>
      <c r="H920" t="s">
        <v>172</v>
      </c>
      <c r="I920" t="s">
        <v>32</v>
      </c>
      <c r="J920">
        <v>240</v>
      </c>
      <c r="K920" t="s">
        <v>49</v>
      </c>
      <c r="L920" t="s">
        <v>34</v>
      </c>
      <c r="M920" t="s">
        <v>35</v>
      </c>
      <c r="N920" t="s">
        <v>277</v>
      </c>
      <c r="O920" t="s">
        <v>7232</v>
      </c>
      <c r="P920" t="s">
        <v>38</v>
      </c>
      <c r="Q920" t="s">
        <v>38</v>
      </c>
      <c r="R920">
        <v>1</v>
      </c>
      <c r="S920" t="s">
        <v>38</v>
      </c>
      <c r="T920">
        <v>9</v>
      </c>
      <c r="U920">
        <v>1.3</v>
      </c>
      <c r="V920">
        <v>14.4</v>
      </c>
      <c r="W920" t="s">
        <v>39</v>
      </c>
      <c r="X920" t="s">
        <v>63</v>
      </c>
      <c r="Y920" t="s">
        <v>38</v>
      </c>
      <c r="Z920" t="s">
        <v>81</v>
      </c>
      <c r="AA920" t="s">
        <v>42</v>
      </c>
      <c r="AB920" t="s">
        <v>83</v>
      </c>
      <c r="AC920">
        <f t="shared" si="154"/>
        <v>0</v>
      </c>
      <c r="AD920" s="12">
        <f t="shared" si="158"/>
        <v>1</v>
      </c>
      <c r="AE920" s="12">
        <f t="shared" si="159"/>
        <v>0</v>
      </c>
      <c r="AF920">
        <f t="shared" si="155"/>
        <v>0</v>
      </c>
      <c r="AG920">
        <f t="shared" si="160"/>
        <v>1</v>
      </c>
      <c r="AH920">
        <f t="shared" si="161"/>
        <v>0</v>
      </c>
      <c r="AI920">
        <f t="shared" si="162"/>
        <v>0</v>
      </c>
      <c r="AJ920">
        <f t="shared" si="163"/>
        <v>1</v>
      </c>
      <c r="AK920">
        <f t="shared" si="156"/>
        <v>1</v>
      </c>
      <c r="AL920">
        <f t="shared" si="164"/>
        <v>1</v>
      </c>
    </row>
    <row r="921" spans="1:38">
      <c r="A921" t="s">
        <v>2890</v>
      </c>
      <c r="B921" t="s">
        <v>2891</v>
      </c>
      <c r="C921" s="1">
        <f t="shared" si="157"/>
        <v>45474</v>
      </c>
      <c r="D921" t="s">
        <v>2892</v>
      </c>
      <c r="E921">
        <v>165.9</v>
      </c>
      <c r="F921">
        <v>6.9</v>
      </c>
      <c r="G921" t="s">
        <v>30</v>
      </c>
      <c r="H921" t="s">
        <v>31</v>
      </c>
      <c r="I921" t="s">
        <v>32</v>
      </c>
      <c r="J921">
        <v>240</v>
      </c>
      <c r="K921" t="s">
        <v>49</v>
      </c>
      <c r="L921" t="s">
        <v>34</v>
      </c>
      <c r="M921" t="s">
        <v>35</v>
      </c>
      <c r="N921" t="s">
        <v>299</v>
      </c>
      <c r="O921" t="s">
        <v>51</v>
      </c>
      <c r="P921" t="s">
        <v>39</v>
      </c>
      <c r="Q921" t="s">
        <v>38</v>
      </c>
      <c r="R921">
        <v>0</v>
      </c>
      <c r="S921" t="s">
        <v>39</v>
      </c>
      <c r="T921">
        <v>10</v>
      </c>
      <c r="U921">
        <v>3.8</v>
      </c>
      <c r="V921">
        <v>25.4</v>
      </c>
      <c r="W921" t="s">
        <v>39</v>
      </c>
      <c r="X921" t="s">
        <v>63</v>
      </c>
      <c r="Y921" t="s">
        <v>38</v>
      </c>
      <c r="Z921" t="s">
        <v>53</v>
      </c>
      <c r="AA921" t="s">
        <v>109</v>
      </c>
      <c r="AB921" t="s">
        <v>83</v>
      </c>
      <c r="AC921">
        <f t="shared" si="154"/>
        <v>0</v>
      </c>
      <c r="AD921" s="12">
        <f t="shared" si="158"/>
        <v>1</v>
      </c>
      <c r="AE921" s="12">
        <f t="shared" si="159"/>
        <v>0</v>
      </c>
      <c r="AF921">
        <f t="shared" si="155"/>
        <v>1</v>
      </c>
      <c r="AG921">
        <f t="shared" si="160"/>
        <v>0</v>
      </c>
      <c r="AH921">
        <f t="shared" si="161"/>
        <v>0</v>
      </c>
      <c r="AI921">
        <f t="shared" si="162"/>
        <v>0</v>
      </c>
      <c r="AJ921">
        <f t="shared" si="163"/>
        <v>1</v>
      </c>
      <c r="AK921">
        <f t="shared" si="156"/>
        <v>1</v>
      </c>
      <c r="AL921">
        <f t="shared" si="164"/>
        <v>1</v>
      </c>
    </row>
    <row r="922" spans="1:38">
      <c r="A922" t="s">
        <v>2893</v>
      </c>
      <c r="B922" t="s">
        <v>2894</v>
      </c>
      <c r="C922" s="1">
        <f t="shared" si="157"/>
        <v>45413</v>
      </c>
      <c r="D922" t="s">
        <v>2895</v>
      </c>
      <c r="E922">
        <v>518.4</v>
      </c>
      <c r="F922">
        <v>21.6</v>
      </c>
      <c r="G922" t="s">
        <v>68</v>
      </c>
      <c r="H922" t="s">
        <v>456</v>
      </c>
      <c r="I922" t="s">
        <v>32</v>
      </c>
      <c r="J922">
        <v>240</v>
      </c>
      <c r="K922" t="s">
        <v>33</v>
      </c>
      <c r="L922" t="s">
        <v>96</v>
      </c>
      <c r="M922" t="s">
        <v>35</v>
      </c>
      <c r="N922" t="s">
        <v>168</v>
      </c>
      <c r="O922" t="s">
        <v>37</v>
      </c>
      <c r="P922" t="s">
        <v>39</v>
      </c>
      <c r="Q922" t="s">
        <v>38</v>
      </c>
      <c r="R922">
        <v>0</v>
      </c>
      <c r="S922" t="s">
        <v>38</v>
      </c>
      <c r="T922">
        <v>6</v>
      </c>
      <c r="U922">
        <v>4.5</v>
      </c>
      <c r="V922">
        <v>37.299999999999997</v>
      </c>
      <c r="W922" t="s">
        <v>38</v>
      </c>
      <c r="X922" t="s">
        <v>52</v>
      </c>
      <c r="Y922" t="s">
        <v>38</v>
      </c>
      <c r="Z922" t="s">
        <v>53</v>
      </c>
      <c r="AA922" t="s">
        <v>42</v>
      </c>
      <c r="AB922" t="s">
        <v>43</v>
      </c>
      <c r="AC922">
        <f t="shared" si="154"/>
        <v>1</v>
      </c>
      <c r="AD922" s="12">
        <f t="shared" si="158"/>
        <v>0</v>
      </c>
      <c r="AE922" s="12">
        <f t="shared" si="159"/>
        <v>0</v>
      </c>
      <c r="AF922">
        <f t="shared" si="155"/>
        <v>0</v>
      </c>
      <c r="AG922">
        <f t="shared" si="160"/>
        <v>0</v>
      </c>
      <c r="AH922">
        <f t="shared" si="161"/>
        <v>0</v>
      </c>
      <c r="AI922">
        <f t="shared" si="162"/>
        <v>0</v>
      </c>
      <c r="AJ922">
        <f t="shared" si="163"/>
        <v>1</v>
      </c>
      <c r="AK922">
        <f t="shared" si="156"/>
        <v>0</v>
      </c>
      <c r="AL922">
        <f t="shared" si="164"/>
        <v>1</v>
      </c>
    </row>
    <row r="923" spans="1:38">
      <c r="A923" t="s">
        <v>2896</v>
      </c>
      <c r="B923" t="s">
        <v>2897</v>
      </c>
      <c r="C923" s="1">
        <f t="shared" si="157"/>
        <v>45627</v>
      </c>
      <c r="D923" t="s">
        <v>2898</v>
      </c>
      <c r="E923">
        <v>87.7</v>
      </c>
      <c r="F923">
        <v>3.7</v>
      </c>
      <c r="G923" t="s">
        <v>87</v>
      </c>
      <c r="H923" t="s">
        <v>309</v>
      </c>
      <c r="I923" t="s">
        <v>48</v>
      </c>
      <c r="J923">
        <v>120</v>
      </c>
      <c r="K923" t="s">
        <v>49</v>
      </c>
      <c r="L923" t="s">
        <v>34</v>
      </c>
      <c r="M923" t="s">
        <v>71</v>
      </c>
      <c r="N923" t="s">
        <v>188</v>
      </c>
      <c r="O923" t="s">
        <v>37</v>
      </c>
      <c r="P923" t="s">
        <v>38</v>
      </c>
      <c r="Q923" t="s">
        <v>39</v>
      </c>
      <c r="R923">
        <v>3</v>
      </c>
      <c r="S923" t="s">
        <v>38</v>
      </c>
      <c r="T923">
        <v>9</v>
      </c>
      <c r="U923">
        <v>2.9</v>
      </c>
      <c r="V923">
        <v>9</v>
      </c>
      <c r="W923" t="s">
        <v>39</v>
      </c>
      <c r="X923" t="s">
        <v>63</v>
      </c>
      <c r="Y923" t="s">
        <v>39</v>
      </c>
      <c r="Z923" t="s">
        <v>179</v>
      </c>
      <c r="AA923" t="s">
        <v>109</v>
      </c>
      <c r="AB923" t="s">
        <v>55</v>
      </c>
      <c r="AC923">
        <f t="shared" si="154"/>
        <v>0</v>
      </c>
      <c r="AD923" s="12">
        <f t="shared" si="158"/>
        <v>1</v>
      </c>
      <c r="AE923" s="12">
        <f t="shared" si="159"/>
        <v>0</v>
      </c>
      <c r="AF923">
        <f t="shared" si="155"/>
        <v>0</v>
      </c>
      <c r="AG923">
        <f t="shared" si="160"/>
        <v>0</v>
      </c>
      <c r="AH923">
        <f t="shared" si="161"/>
        <v>1</v>
      </c>
      <c r="AI923">
        <f t="shared" si="162"/>
        <v>0</v>
      </c>
      <c r="AJ923">
        <f t="shared" si="163"/>
        <v>0</v>
      </c>
      <c r="AK923">
        <f t="shared" si="156"/>
        <v>0</v>
      </c>
      <c r="AL923">
        <f t="shared" si="164"/>
        <v>0</v>
      </c>
    </row>
    <row r="924" spans="1:38">
      <c r="A924" t="s">
        <v>2899</v>
      </c>
      <c r="B924" t="s">
        <v>2900</v>
      </c>
      <c r="C924" s="1">
        <f t="shared" si="157"/>
        <v>45627</v>
      </c>
      <c r="D924" t="s">
        <v>2901</v>
      </c>
      <c r="E924">
        <v>307.60000000000002</v>
      </c>
      <c r="F924">
        <v>12.8</v>
      </c>
      <c r="G924" t="s">
        <v>101</v>
      </c>
      <c r="H924" t="s">
        <v>368</v>
      </c>
      <c r="I924" t="s">
        <v>32</v>
      </c>
      <c r="J924">
        <v>240</v>
      </c>
      <c r="K924" t="s">
        <v>33</v>
      </c>
      <c r="L924" t="s">
        <v>70</v>
      </c>
      <c r="M924" t="s">
        <v>35</v>
      </c>
      <c r="N924" t="s">
        <v>277</v>
      </c>
      <c r="O924" t="s">
        <v>51</v>
      </c>
      <c r="P924" t="s">
        <v>38</v>
      </c>
      <c r="Q924" t="s">
        <v>38</v>
      </c>
      <c r="R924">
        <v>1</v>
      </c>
      <c r="S924" t="s">
        <v>38</v>
      </c>
      <c r="T924">
        <v>3</v>
      </c>
      <c r="U924">
        <v>1.7</v>
      </c>
      <c r="V924">
        <v>8.4</v>
      </c>
      <c r="W924" t="s">
        <v>38</v>
      </c>
      <c r="X924" t="s">
        <v>63</v>
      </c>
      <c r="Y924" t="s">
        <v>39</v>
      </c>
      <c r="Z924" t="s">
        <v>41</v>
      </c>
      <c r="AA924" t="s">
        <v>42</v>
      </c>
      <c r="AB924" t="s">
        <v>55</v>
      </c>
      <c r="AC924">
        <f t="shared" si="154"/>
        <v>0</v>
      </c>
      <c r="AD924" s="12">
        <f t="shared" si="158"/>
        <v>1</v>
      </c>
      <c r="AE924" s="12">
        <f t="shared" si="159"/>
        <v>0</v>
      </c>
      <c r="AF924">
        <f t="shared" si="155"/>
        <v>1</v>
      </c>
      <c r="AG924">
        <f t="shared" si="160"/>
        <v>0</v>
      </c>
      <c r="AH924">
        <f t="shared" si="161"/>
        <v>0</v>
      </c>
      <c r="AI924">
        <f t="shared" si="162"/>
        <v>0</v>
      </c>
      <c r="AJ924">
        <f t="shared" si="163"/>
        <v>1</v>
      </c>
      <c r="AK924">
        <f t="shared" si="156"/>
        <v>0</v>
      </c>
      <c r="AL924">
        <f t="shared" si="164"/>
        <v>0</v>
      </c>
    </row>
    <row r="925" spans="1:38">
      <c r="A925" t="s">
        <v>2902</v>
      </c>
      <c r="B925" t="s">
        <v>2903</v>
      </c>
      <c r="C925" s="1">
        <f t="shared" si="157"/>
        <v>45444</v>
      </c>
      <c r="D925" t="s">
        <v>2904</v>
      </c>
      <c r="E925">
        <v>372.7</v>
      </c>
      <c r="F925">
        <v>15.5</v>
      </c>
      <c r="G925" t="s">
        <v>77</v>
      </c>
      <c r="H925" t="s">
        <v>244</v>
      </c>
      <c r="I925" t="s">
        <v>79</v>
      </c>
      <c r="J925">
        <v>360</v>
      </c>
      <c r="K925" t="s">
        <v>33</v>
      </c>
      <c r="L925" t="s">
        <v>70</v>
      </c>
      <c r="M925" t="s">
        <v>35</v>
      </c>
      <c r="N925" t="s">
        <v>50</v>
      </c>
      <c r="O925" t="s">
        <v>7232</v>
      </c>
      <c r="P925" t="s">
        <v>39</v>
      </c>
      <c r="Q925" t="s">
        <v>38</v>
      </c>
      <c r="R925">
        <v>0</v>
      </c>
      <c r="S925" t="s">
        <v>38</v>
      </c>
      <c r="T925">
        <v>5</v>
      </c>
      <c r="U925">
        <v>4.5</v>
      </c>
      <c r="V925">
        <v>0.9</v>
      </c>
      <c r="W925" t="s">
        <v>38</v>
      </c>
      <c r="X925" t="s">
        <v>123</v>
      </c>
      <c r="Y925" t="s">
        <v>38</v>
      </c>
      <c r="Z925" t="s">
        <v>64</v>
      </c>
      <c r="AA925" t="s">
        <v>109</v>
      </c>
      <c r="AB925" t="s">
        <v>83</v>
      </c>
      <c r="AC925">
        <f t="shared" si="154"/>
        <v>0</v>
      </c>
      <c r="AD925" s="12">
        <f t="shared" si="158"/>
        <v>0</v>
      </c>
      <c r="AE925" s="12">
        <f t="shared" si="159"/>
        <v>1</v>
      </c>
      <c r="AF925">
        <f t="shared" si="155"/>
        <v>0</v>
      </c>
      <c r="AG925">
        <f t="shared" si="160"/>
        <v>1</v>
      </c>
      <c r="AH925">
        <f t="shared" si="161"/>
        <v>0</v>
      </c>
      <c r="AI925">
        <f t="shared" si="162"/>
        <v>0</v>
      </c>
      <c r="AJ925">
        <f t="shared" si="163"/>
        <v>0</v>
      </c>
      <c r="AK925">
        <f t="shared" si="156"/>
        <v>0</v>
      </c>
      <c r="AL925">
        <f t="shared" si="164"/>
        <v>1</v>
      </c>
    </row>
    <row r="926" spans="1:38">
      <c r="A926" t="s">
        <v>2905</v>
      </c>
      <c r="B926" t="s">
        <v>2906</v>
      </c>
      <c r="C926" s="1">
        <f t="shared" si="157"/>
        <v>45323</v>
      </c>
      <c r="D926" t="s">
        <v>2907</v>
      </c>
      <c r="E926">
        <v>302</v>
      </c>
      <c r="F926">
        <v>12.6</v>
      </c>
      <c r="G926" t="s">
        <v>77</v>
      </c>
      <c r="H926" t="s">
        <v>244</v>
      </c>
      <c r="I926" t="s">
        <v>79</v>
      </c>
      <c r="J926">
        <v>360</v>
      </c>
      <c r="K926" t="s">
        <v>49</v>
      </c>
      <c r="L926" t="s">
        <v>96</v>
      </c>
      <c r="M926" t="s">
        <v>35</v>
      </c>
      <c r="N926" t="s">
        <v>155</v>
      </c>
      <c r="O926" t="s">
        <v>51</v>
      </c>
      <c r="P926" t="s">
        <v>38</v>
      </c>
      <c r="Q926" t="s">
        <v>38</v>
      </c>
      <c r="R926">
        <v>1</v>
      </c>
      <c r="S926" t="s">
        <v>38</v>
      </c>
      <c r="T926">
        <v>9</v>
      </c>
      <c r="U926">
        <v>2</v>
      </c>
      <c r="V926">
        <v>6.1</v>
      </c>
      <c r="W926" t="s">
        <v>39</v>
      </c>
      <c r="X926" t="s">
        <v>63</v>
      </c>
      <c r="Y926" t="s">
        <v>39</v>
      </c>
      <c r="Z926" t="s">
        <v>115</v>
      </c>
      <c r="AA926" t="s">
        <v>82</v>
      </c>
      <c r="AB926" t="s">
        <v>83</v>
      </c>
      <c r="AC926">
        <f t="shared" si="154"/>
        <v>0</v>
      </c>
      <c r="AD926" s="12">
        <f t="shared" si="158"/>
        <v>1</v>
      </c>
      <c r="AE926" s="12">
        <f t="shared" si="159"/>
        <v>0</v>
      </c>
      <c r="AF926">
        <f t="shared" si="155"/>
        <v>1</v>
      </c>
      <c r="AG926">
        <f t="shared" si="160"/>
        <v>0</v>
      </c>
      <c r="AH926">
        <f t="shared" si="161"/>
        <v>0</v>
      </c>
      <c r="AI926">
        <f t="shared" si="162"/>
        <v>0</v>
      </c>
      <c r="AJ926">
        <f t="shared" si="163"/>
        <v>0</v>
      </c>
      <c r="AK926">
        <f t="shared" si="156"/>
        <v>0</v>
      </c>
      <c r="AL926">
        <f t="shared" si="164"/>
        <v>0</v>
      </c>
    </row>
    <row r="927" spans="1:38">
      <c r="A927" t="s">
        <v>2908</v>
      </c>
      <c r="B927" t="s">
        <v>2909</v>
      </c>
      <c r="C927" s="1">
        <f t="shared" si="157"/>
        <v>45566</v>
      </c>
      <c r="D927" t="s">
        <v>2910</v>
      </c>
      <c r="E927">
        <v>211.1</v>
      </c>
      <c r="F927">
        <v>8.8000000000000007</v>
      </c>
      <c r="G927" t="s">
        <v>93</v>
      </c>
      <c r="H927" t="s">
        <v>449</v>
      </c>
      <c r="I927" t="s">
        <v>32</v>
      </c>
      <c r="J927">
        <v>240</v>
      </c>
      <c r="K927" t="s">
        <v>49</v>
      </c>
      <c r="L927" t="s">
        <v>96</v>
      </c>
      <c r="M927" t="s">
        <v>35</v>
      </c>
      <c r="N927" t="s">
        <v>97</v>
      </c>
      <c r="O927" t="s">
        <v>37</v>
      </c>
      <c r="P927" t="s">
        <v>38</v>
      </c>
      <c r="Q927" t="s">
        <v>38</v>
      </c>
      <c r="R927">
        <v>1</v>
      </c>
      <c r="S927" t="s">
        <v>38</v>
      </c>
      <c r="T927">
        <v>7</v>
      </c>
      <c r="U927">
        <v>4.2</v>
      </c>
      <c r="V927">
        <v>20.3</v>
      </c>
      <c r="W927" t="s">
        <v>39</v>
      </c>
      <c r="X927" t="s">
        <v>63</v>
      </c>
      <c r="Y927" t="s">
        <v>39</v>
      </c>
      <c r="Z927" t="s">
        <v>64</v>
      </c>
      <c r="AA927" t="s">
        <v>42</v>
      </c>
      <c r="AB927" t="s">
        <v>83</v>
      </c>
      <c r="AC927">
        <f t="shared" si="154"/>
        <v>0</v>
      </c>
      <c r="AD927" s="12">
        <f t="shared" si="158"/>
        <v>1</v>
      </c>
      <c r="AE927" s="12">
        <f t="shared" si="159"/>
        <v>0</v>
      </c>
      <c r="AF927">
        <f t="shared" si="155"/>
        <v>0</v>
      </c>
      <c r="AG927">
        <f t="shared" si="160"/>
        <v>0</v>
      </c>
      <c r="AH927">
        <f t="shared" si="161"/>
        <v>0</v>
      </c>
      <c r="AI927">
        <f t="shared" si="162"/>
        <v>0</v>
      </c>
      <c r="AJ927">
        <f t="shared" si="163"/>
        <v>1</v>
      </c>
      <c r="AK927">
        <f t="shared" si="156"/>
        <v>0</v>
      </c>
      <c r="AL927">
        <f t="shared" si="164"/>
        <v>0</v>
      </c>
    </row>
    <row r="928" spans="1:38">
      <c r="A928" t="s">
        <v>2911</v>
      </c>
      <c r="B928" t="s">
        <v>2912</v>
      </c>
      <c r="C928" s="1">
        <f t="shared" si="157"/>
        <v>45352</v>
      </c>
      <c r="D928" t="s">
        <v>2913</v>
      </c>
      <c r="E928">
        <v>88.9</v>
      </c>
      <c r="F928">
        <v>3.7</v>
      </c>
      <c r="G928" t="s">
        <v>87</v>
      </c>
      <c r="H928" t="s">
        <v>88</v>
      </c>
      <c r="I928" t="s">
        <v>48</v>
      </c>
      <c r="J928">
        <v>120</v>
      </c>
      <c r="K928" t="s">
        <v>49</v>
      </c>
      <c r="L928" t="s">
        <v>113</v>
      </c>
      <c r="M928" t="s">
        <v>71</v>
      </c>
      <c r="N928" t="s">
        <v>114</v>
      </c>
      <c r="O928" t="s">
        <v>7232</v>
      </c>
      <c r="P928" t="s">
        <v>38</v>
      </c>
      <c r="Q928" t="s">
        <v>39</v>
      </c>
      <c r="R928">
        <v>4</v>
      </c>
      <c r="S928" t="s">
        <v>38</v>
      </c>
      <c r="T928">
        <v>7</v>
      </c>
      <c r="U928">
        <v>2.8</v>
      </c>
      <c r="V928">
        <v>0</v>
      </c>
      <c r="W928" t="s">
        <v>38</v>
      </c>
      <c r="X928" t="s">
        <v>123</v>
      </c>
      <c r="Y928" t="s">
        <v>39</v>
      </c>
      <c r="Z928" t="s">
        <v>108</v>
      </c>
      <c r="AA928" t="s">
        <v>103</v>
      </c>
      <c r="AB928" t="s">
        <v>43</v>
      </c>
      <c r="AC928">
        <f t="shared" si="154"/>
        <v>0</v>
      </c>
      <c r="AD928" s="12">
        <f t="shared" si="158"/>
        <v>0</v>
      </c>
      <c r="AE928" s="12">
        <f t="shared" si="159"/>
        <v>1</v>
      </c>
      <c r="AF928">
        <f t="shared" si="155"/>
        <v>0</v>
      </c>
      <c r="AG928">
        <f t="shared" si="160"/>
        <v>1</v>
      </c>
      <c r="AH928">
        <f t="shared" si="161"/>
        <v>1</v>
      </c>
      <c r="AI928">
        <f t="shared" si="162"/>
        <v>0</v>
      </c>
      <c r="AJ928">
        <f t="shared" si="163"/>
        <v>0</v>
      </c>
      <c r="AK928">
        <f t="shared" si="156"/>
        <v>0</v>
      </c>
      <c r="AL928">
        <f t="shared" si="164"/>
        <v>0</v>
      </c>
    </row>
    <row r="929" spans="1:38">
      <c r="A929" t="s">
        <v>2914</v>
      </c>
      <c r="B929" t="s">
        <v>2915</v>
      </c>
      <c r="C929" s="1">
        <f t="shared" si="157"/>
        <v>45597</v>
      </c>
      <c r="D929" t="s">
        <v>2916</v>
      </c>
      <c r="E929">
        <v>155.1</v>
      </c>
      <c r="F929">
        <v>6.5</v>
      </c>
      <c r="G929" t="s">
        <v>30</v>
      </c>
      <c r="H929" t="s">
        <v>47</v>
      </c>
      <c r="I929" t="s">
        <v>32</v>
      </c>
      <c r="J929">
        <v>240</v>
      </c>
      <c r="K929" t="s">
        <v>49</v>
      </c>
      <c r="L929" t="s">
        <v>96</v>
      </c>
      <c r="M929" t="s">
        <v>35</v>
      </c>
      <c r="N929" t="s">
        <v>50</v>
      </c>
      <c r="O929" t="s">
        <v>51</v>
      </c>
      <c r="P929" t="s">
        <v>38</v>
      </c>
      <c r="Q929" t="s">
        <v>38</v>
      </c>
      <c r="R929">
        <v>1</v>
      </c>
      <c r="S929" t="s">
        <v>38</v>
      </c>
      <c r="T929">
        <v>9</v>
      </c>
      <c r="U929">
        <v>2</v>
      </c>
      <c r="V929">
        <v>5.3</v>
      </c>
      <c r="W929" t="s">
        <v>39</v>
      </c>
      <c r="X929" t="s">
        <v>63</v>
      </c>
      <c r="Y929" t="s">
        <v>38</v>
      </c>
      <c r="Z929" t="s">
        <v>108</v>
      </c>
      <c r="AA929" t="s">
        <v>82</v>
      </c>
      <c r="AB929" t="s">
        <v>83</v>
      </c>
      <c r="AC929">
        <f t="shared" si="154"/>
        <v>0</v>
      </c>
      <c r="AD929" s="12">
        <f t="shared" si="158"/>
        <v>1</v>
      </c>
      <c r="AE929" s="12">
        <f t="shared" si="159"/>
        <v>0</v>
      </c>
      <c r="AF929">
        <f t="shared" si="155"/>
        <v>1</v>
      </c>
      <c r="AG929">
        <f t="shared" si="160"/>
        <v>0</v>
      </c>
      <c r="AH929">
        <f t="shared" si="161"/>
        <v>0</v>
      </c>
      <c r="AI929">
        <f t="shared" si="162"/>
        <v>0</v>
      </c>
      <c r="AJ929">
        <f t="shared" si="163"/>
        <v>1</v>
      </c>
      <c r="AK929">
        <f t="shared" si="156"/>
        <v>1</v>
      </c>
      <c r="AL929">
        <f t="shared" si="164"/>
        <v>1</v>
      </c>
    </row>
    <row r="930" spans="1:38">
      <c r="A930" t="s">
        <v>2917</v>
      </c>
      <c r="B930" t="s">
        <v>2918</v>
      </c>
      <c r="C930" s="1">
        <f t="shared" si="157"/>
        <v>45566</v>
      </c>
      <c r="D930" t="s">
        <v>2919</v>
      </c>
      <c r="E930">
        <v>153.5</v>
      </c>
      <c r="F930">
        <v>6.4</v>
      </c>
      <c r="G930" t="s">
        <v>30</v>
      </c>
      <c r="H930" t="s">
        <v>47</v>
      </c>
      <c r="I930" t="s">
        <v>32</v>
      </c>
      <c r="J930">
        <v>240</v>
      </c>
      <c r="K930" t="s">
        <v>49</v>
      </c>
      <c r="L930" t="s">
        <v>70</v>
      </c>
      <c r="M930" t="s">
        <v>71</v>
      </c>
      <c r="N930" t="s">
        <v>188</v>
      </c>
      <c r="O930" t="s">
        <v>7232</v>
      </c>
      <c r="P930" t="s">
        <v>38</v>
      </c>
      <c r="Q930" t="s">
        <v>39</v>
      </c>
      <c r="R930">
        <v>3</v>
      </c>
      <c r="S930" t="s">
        <v>38</v>
      </c>
      <c r="T930">
        <v>7</v>
      </c>
      <c r="U930">
        <v>3</v>
      </c>
      <c r="V930">
        <v>0</v>
      </c>
      <c r="W930" t="s">
        <v>39</v>
      </c>
      <c r="X930" t="s">
        <v>123</v>
      </c>
      <c r="Y930" t="s">
        <v>38</v>
      </c>
      <c r="Z930" t="s">
        <v>81</v>
      </c>
      <c r="AA930" t="s">
        <v>109</v>
      </c>
      <c r="AB930" t="s">
        <v>43</v>
      </c>
      <c r="AC930">
        <f t="shared" si="154"/>
        <v>0</v>
      </c>
      <c r="AD930" s="12">
        <f t="shared" si="158"/>
        <v>0</v>
      </c>
      <c r="AE930" s="12">
        <f t="shared" si="159"/>
        <v>1</v>
      </c>
      <c r="AF930">
        <f t="shared" si="155"/>
        <v>0</v>
      </c>
      <c r="AG930">
        <f t="shared" si="160"/>
        <v>1</v>
      </c>
      <c r="AH930">
        <f t="shared" si="161"/>
        <v>0</v>
      </c>
      <c r="AI930">
        <f t="shared" si="162"/>
        <v>0</v>
      </c>
      <c r="AJ930">
        <f t="shared" si="163"/>
        <v>1</v>
      </c>
      <c r="AK930">
        <f t="shared" si="156"/>
        <v>1</v>
      </c>
      <c r="AL930">
        <f t="shared" si="164"/>
        <v>1</v>
      </c>
    </row>
    <row r="931" spans="1:38">
      <c r="A931" t="s">
        <v>2920</v>
      </c>
      <c r="B931" t="s">
        <v>2921</v>
      </c>
      <c r="C931" s="1">
        <f t="shared" si="157"/>
        <v>45383</v>
      </c>
      <c r="D931" t="s">
        <v>2922</v>
      </c>
      <c r="E931">
        <v>80.8</v>
      </c>
      <c r="F931">
        <v>3.4</v>
      </c>
      <c r="G931" t="s">
        <v>101</v>
      </c>
      <c r="H931" t="s">
        <v>442</v>
      </c>
      <c r="I931" t="s">
        <v>48</v>
      </c>
      <c r="J931">
        <v>120</v>
      </c>
      <c r="K931" t="s">
        <v>49</v>
      </c>
      <c r="L931" t="s">
        <v>34</v>
      </c>
      <c r="M931" t="s">
        <v>35</v>
      </c>
      <c r="N931" t="s">
        <v>168</v>
      </c>
      <c r="O931" t="s">
        <v>7232</v>
      </c>
      <c r="P931" t="s">
        <v>38</v>
      </c>
      <c r="Q931" t="s">
        <v>38</v>
      </c>
      <c r="R931">
        <v>1</v>
      </c>
      <c r="S931" t="s">
        <v>39</v>
      </c>
      <c r="T931">
        <v>9</v>
      </c>
      <c r="U931">
        <v>0.1</v>
      </c>
      <c r="V931">
        <v>0</v>
      </c>
      <c r="W931" t="s">
        <v>39</v>
      </c>
      <c r="X931" t="s">
        <v>63</v>
      </c>
      <c r="Y931" t="s">
        <v>38</v>
      </c>
      <c r="Z931" t="s">
        <v>81</v>
      </c>
      <c r="AA931" t="s">
        <v>109</v>
      </c>
      <c r="AB931" t="s">
        <v>83</v>
      </c>
      <c r="AC931">
        <f t="shared" si="154"/>
        <v>0</v>
      </c>
      <c r="AD931" s="12">
        <f t="shared" si="158"/>
        <v>1</v>
      </c>
      <c r="AE931" s="12">
        <f t="shared" si="159"/>
        <v>0</v>
      </c>
      <c r="AF931">
        <f t="shared" si="155"/>
        <v>0</v>
      </c>
      <c r="AG931">
        <f t="shared" si="160"/>
        <v>1</v>
      </c>
      <c r="AH931">
        <f t="shared" si="161"/>
        <v>1</v>
      </c>
      <c r="AI931">
        <f t="shared" si="162"/>
        <v>0</v>
      </c>
      <c r="AJ931">
        <f t="shared" si="163"/>
        <v>0</v>
      </c>
      <c r="AK931">
        <f t="shared" si="156"/>
        <v>0</v>
      </c>
      <c r="AL931">
        <f t="shared" si="164"/>
        <v>1</v>
      </c>
    </row>
    <row r="932" spans="1:38">
      <c r="A932" t="s">
        <v>2923</v>
      </c>
      <c r="B932" t="s">
        <v>2924</v>
      </c>
      <c r="C932" s="1">
        <f t="shared" si="157"/>
        <v>45597</v>
      </c>
      <c r="D932" t="s">
        <v>2925</v>
      </c>
      <c r="E932">
        <v>212.3</v>
      </c>
      <c r="F932">
        <v>8.8000000000000007</v>
      </c>
      <c r="G932" t="s">
        <v>30</v>
      </c>
      <c r="H932" t="s">
        <v>172</v>
      </c>
      <c r="I932" t="s">
        <v>32</v>
      </c>
      <c r="J932">
        <v>240</v>
      </c>
      <c r="K932" t="s">
        <v>49</v>
      </c>
      <c r="L932" t="s">
        <v>70</v>
      </c>
      <c r="M932" t="s">
        <v>35</v>
      </c>
      <c r="N932" t="s">
        <v>107</v>
      </c>
      <c r="O932" t="s">
        <v>37</v>
      </c>
      <c r="P932" t="s">
        <v>39</v>
      </c>
      <c r="Q932" t="s">
        <v>38</v>
      </c>
      <c r="R932">
        <v>0</v>
      </c>
      <c r="S932" t="s">
        <v>38</v>
      </c>
      <c r="T932">
        <v>7</v>
      </c>
      <c r="U932">
        <v>1.6</v>
      </c>
      <c r="V932">
        <v>48.9</v>
      </c>
      <c r="W932" t="s">
        <v>39</v>
      </c>
      <c r="X932" t="s">
        <v>52</v>
      </c>
      <c r="Y932" t="s">
        <v>39</v>
      </c>
      <c r="Z932" t="s">
        <v>64</v>
      </c>
      <c r="AA932" t="s">
        <v>103</v>
      </c>
      <c r="AB932" t="s">
        <v>55</v>
      </c>
      <c r="AC932">
        <f t="shared" si="154"/>
        <v>1</v>
      </c>
      <c r="AD932" s="12">
        <f t="shared" si="158"/>
        <v>0</v>
      </c>
      <c r="AE932" s="12">
        <f t="shared" si="159"/>
        <v>0</v>
      </c>
      <c r="AF932">
        <f t="shared" si="155"/>
        <v>0</v>
      </c>
      <c r="AG932">
        <f t="shared" si="160"/>
        <v>0</v>
      </c>
      <c r="AH932">
        <f t="shared" si="161"/>
        <v>0</v>
      </c>
      <c r="AI932">
        <f t="shared" si="162"/>
        <v>0</v>
      </c>
      <c r="AJ932">
        <f t="shared" si="163"/>
        <v>1</v>
      </c>
      <c r="AK932">
        <f t="shared" si="156"/>
        <v>1</v>
      </c>
      <c r="AL932">
        <f t="shared" si="164"/>
        <v>0</v>
      </c>
    </row>
    <row r="933" spans="1:38">
      <c r="A933" t="s">
        <v>2926</v>
      </c>
      <c r="B933" t="s">
        <v>2927</v>
      </c>
      <c r="C933" s="1">
        <f t="shared" si="157"/>
        <v>45383</v>
      </c>
      <c r="D933" t="s">
        <v>2928</v>
      </c>
      <c r="E933">
        <v>290.60000000000002</v>
      </c>
      <c r="F933">
        <v>12.1</v>
      </c>
      <c r="G933" t="s">
        <v>77</v>
      </c>
      <c r="H933" t="s">
        <v>78</v>
      </c>
      <c r="I933" t="s">
        <v>79</v>
      </c>
      <c r="J933">
        <v>360</v>
      </c>
      <c r="K933" t="s">
        <v>49</v>
      </c>
      <c r="L933" t="s">
        <v>34</v>
      </c>
      <c r="M933" t="s">
        <v>35</v>
      </c>
      <c r="N933" t="s">
        <v>89</v>
      </c>
      <c r="O933" t="s">
        <v>7232</v>
      </c>
      <c r="P933" t="s">
        <v>39</v>
      </c>
      <c r="Q933" t="s">
        <v>38</v>
      </c>
      <c r="R933">
        <v>0</v>
      </c>
      <c r="S933" t="s">
        <v>38</v>
      </c>
      <c r="T933">
        <v>9</v>
      </c>
      <c r="U933">
        <v>0.9</v>
      </c>
      <c r="V933">
        <v>11.1</v>
      </c>
      <c r="W933" t="s">
        <v>38</v>
      </c>
      <c r="X933" t="s">
        <v>123</v>
      </c>
      <c r="Y933" t="s">
        <v>39</v>
      </c>
      <c r="Z933" t="s">
        <v>115</v>
      </c>
      <c r="AA933" t="s">
        <v>109</v>
      </c>
      <c r="AB933" t="s">
        <v>43</v>
      </c>
      <c r="AC933">
        <f t="shared" si="154"/>
        <v>0</v>
      </c>
      <c r="AD933" s="12">
        <f t="shared" si="158"/>
        <v>0</v>
      </c>
      <c r="AE933" s="12">
        <f t="shared" si="159"/>
        <v>1</v>
      </c>
      <c r="AF933">
        <f t="shared" si="155"/>
        <v>0</v>
      </c>
      <c r="AG933">
        <f t="shared" si="160"/>
        <v>1</v>
      </c>
      <c r="AH933">
        <f t="shared" si="161"/>
        <v>0</v>
      </c>
      <c r="AI933">
        <f t="shared" si="162"/>
        <v>0</v>
      </c>
      <c r="AJ933">
        <f t="shared" si="163"/>
        <v>0</v>
      </c>
      <c r="AK933">
        <f t="shared" si="156"/>
        <v>0</v>
      </c>
      <c r="AL933">
        <f t="shared" si="164"/>
        <v>0</v>
      </c>
    </row>
    <row r="934" spans="1:38">
      <c r="A934" t="s">
        <v>2929</v>
      </c>
      <c r="B934" t="s">
        <v>2930</v>
      </c>
      <c r="C934" s="1">
        <f t="shared" si="157"/>
        <v>45292</v>
      </c>
      <c r="D934" t="s">
        <v>2931</v>
      </c>
      <c r="E934">
        <v>81.2</v>
      </c>
      <c r="F934">
        <v>3.4</v>
      </c>
      <c r="G934" t="s">
        <v>59</v>
      </c>
      <c r="H934" t="s">
        <v>281</v>
      </c>
      <c r="I934" t="s">
        <v>48</v>
      </c>
      <c r="J934">
        <v>120</v>
      </c>
      <c r="K934" t="s">
        <v>49</v>
      </c>
      <c r="L934" t="s">
        <v>34</v>
      </c>
      <c r="M934" t="s">
        <v>35</v>
      </c>
      <c r="N934" t="s">
        <v>144</v>
      </c>
      <c r="O934" t="s">
        <v>37</v>
      </c>
      <c r="P934" t="s">
        <v>39</v>
      </c>
      <c r="Q934" t="s">
        <v>38</v>
      </c>
      <c r="R934">
        <v>0</v>
      </c>
      <c r="S934" t="s">
        <v>38</v>
      </c>
      <c r="T934">
        <v>10</v>
      </c>
      <c r="U934">
        <v>3.6</v>
      </c>
      <c r="V934">
        <v>35</v>
      </c>
      <c r="W934" t="s">
        <v>38</v>
      </c>
      <c r="X934" t="s">
        <v>52</v>
      </c>
      <c r="Y934" t="s">
        <v>38</v>
      </c>
      <c r="Z934" t="s">
        <v>108</v>
      </c>
      <c r="AA934" t="s">
        <v>42</v>
      </c>
      <c r="AB934" t="s">
        <v>83</v>
      </c>
      <c r="AC934">
        <f t="shared" si="154"/>
        <v>1</v>
      </c>
      <c r="AD934" s="12">
        <f t="shared" si="158"/>
        <v>0</v>
      </c>
      <c r="AE934" s="12">
        <f t="shared" si="159"/>
        <v>0</v>
      </c>
      <c r="AF934">
        <f t="shared" si="155"/>
        <v>0</v>
      </c>
      <c r="AG934">
        <f t="shared" si="160"/>
        <v>0</v>
      </c>
      <c r="AH934">
        <f t="shared" si="161"/>
        <v>1</v>
      </c>
      <c r="AI934">
        <f t="shared" si="162"/>
        <v>0</v>
      </c>
      <c r="AJ934">
        <f t="shared" si="163"/>
        <v>0</v>
      </c>
      <c r="AK934">
        <f t="shared" si="156"/>
        <v>0</v>
      </c>
      <c r="AL934">
        <f t="shared" si="164"/>
        <v>1</v>
      </c>
    </row>
    <row r="935" spans="1:38">
      <c r="A935" t="s">
        <v>2932</v>
      </c>
      <c r="B935" t="s">
        <v>2933</v>
      </c>
      <c r="C935" s="1">
        <f t="shared" si="157"/>
        <v>45352</v>
      </c>
      <c r="D935" t="s">
        <v>2934</v>
      </c>
      <c r="E935">
        <v>257.7</v>
      </c>
      <c r="F935">
        <v>10.7</v>
      </c>
      <c r="G935" t="s">
        <v>101</v>
      </c>
      <c r="H935" t="s">
        <v>102</v>
      </c>
      <c r="I935" t="s">
        <v>32</v>
      </c>
      <c r="J935">
        <v>240</v>
      </c>
      <c r="K935" t="s">
        <v>33</v>
      </c>
      <c r="L935" t="s">
        <v>70</v>
      </c>
      <c r="M935" t="s">
        <v>71</v>
      </c>
      <c r="N935" t="s">
        <v>36</v>
      </c>
      <c r="O935" t="s">
        <v>7232</v>
      </c>
      <c r="P935" t="s">
        <v>38</v>
      </c>
      <c r="Q935" t="s">
        <v>39</v>
      </c>
      <c r="R935">
        <v>3</v>
      </c>
      <c r="S935" t="s">
        <v>38</v>
      </c>
      <c r="T935">
        <v>4</v>
      </c>
      <c r="U935">
        <v>0.1</v>
      </c>
      <c r="V935">
        <v>50.1</v>
      </c>
      <c r="W935" t="s">
        <v>39</v>
      </c>
      <c r="X935" t="s">
        <v>63</v>
      </c>
      <c r="Y935" t="s">
        <v>39</v>
      </c>
      <c r="Z935" t="s">
        <v>115</v>
      </c>
      <c r="AA935" t="s">
        <v>103</v>
      </c>
      <c r="AB935" t="s">
        <v>55</v>
      </c>
      <c r="AC935">
        <f t="shared" si="154"/>
        <v>0</v>
      </c>
      <c r="AD935" s="12">
        <f t="shared" si="158"/>
        <v>1</v>
      </c>
      <c r="AE935" s="12">
        <f t="shared" si="159"/>
        <v>0</v>
      </c>
      <c r="AF935">
        <f t="shared" si="155"/>
        <v>0</v>
      </c>
      <c r="AG935">
        <f t="shared" si="160"/>
        <v>1</v>
      </c>
      <c r="AH935">
        <f t="shared" si="161"/>
        <v>0</v>
      </c>
      <c r="AI935">
        <f t="shared" si="162"/>
        <v>0</v>
      </c>
      <c r="AJ935">
        <f t="shared" si="163"/>
        <v>1</v>
      </c>
      <c r="AK935">
        <f t="shared" si="156"/>
        <v>0</v>
      </c>
      <c r="AL935">
        <f t="shared" si="164"/>
        <v>0</v>
      </c>
    </row>
    <row r="936" spans="1:38">
      <c r="A936" t="s">
        <v>2935</v>
      </c>
      <c r="B936" t="s">
        <v>2936</v>
      </c>
      <c r="C936" s="1">
        <f t="shared" si="157"/>
        <v>45505</v>
      </c>
      <c r="D936" t="s">
        <v>2937</v>
      </c>
      <c r="E936">
        <v>110.4</v>
      </c>
      <c r="F936">
        <v>4.5999999999999996</v>
      </c>
      <c r="G936" t="s">
        <v>87</v>
      </c>
      <c r="H936" t="s">
        <v>88</v>
      </c>
      <c r="I936" t="s">
        <v>48</v>
      </c>
      <c r="J936">
        <v>120</v>
      </c>
      <c r="K936" t="s">
        <v>49</v>
      </c>
      <c r="L936" t="s">
        <v>70</v>
      </c>
      <c r="M936" t="s">
        <v>35</v>
      </c>
      <c r="N936" t="s">
        <v>192</v>
      </c>
      <c r="O936" t="s">
        <v>7232</v>
      </c>
      <c r="P936" t="s">
        <v>38</v>
      </c>
      <c r="Q936" t="s">
        <v>38</v>
      </c>
      <c r="R936">
        <v>1</v>
      </c>
      <c r="S936" t="s">
        <v>38</v>
      </c>
      <c r="T936">
        <v>9</v>
      </c>
      <c r="U936">
        <v>2.6</v>
      </c>
      <c r="V936">
        <v>22.2</v>
      </c>
      <c r="W936" t="s">
        <v>39</v>
      </c>
      <c r="X936" t="s">
        <v>63</v>
      </c>
      <c r="Y936" t="s">
        <v>39</v>
      </c>
      <c r="Z936" t="s">
        <v>115</v>
      </c>
      <c r="AA936" t="s">
        <v>42</v>
      </c>
      <c r="AB936" t="s">
        <v>83</v>
      </c>
      <c r="AC936">
        <f t="shared" si="154"/>
        <v>0</v>
      </c>
      <c r="AD936" s="12">
        <f t="shared" si="158"/>
        <v>1</v>
      </c>
      <c r="AE936" s="12">
        <f t="shared" si="159"/>
        <v>0</v>
      </c>
      <c r="AF936">
        <f t="shared" si="155"/>
        <v>0</v>
      </c>
      <c r="AG936">
        <f t="shared" si="160"/>
        <v>1</v>
      </c>
      <c r="AH936">
        <f t="shared" si="161"/>
        <v>1</v>
      </c>
      <c r="AI936">
        <f t="shared" si="162"/>
        <v>0</v>
      </c>
      <c r="AJ936">
        <f t="shared" si="163"/>
        <v>0</v>
      </c>
      <c r="AK936">
        <f t="shared" si="156"/>
        <v>0</v>
      </c>
      <c r="AL936">
        <f t="shared" si="164"/>
        <v>0</v>
      </c>
    </row>
    <row r="937" spans="1:38">
      <c r="A937" t="s">
        <v>2938</v>
      </c>
      <c r="B937" t="s">
        <v>2939</v>
      </c>
      <c r="C937" s="1">
        <f t="shared" si="157"/>
        <v>45627</v>
      </c>
      <c r="D937" t="s">
        <v>2940</v>
      </c>
      <c r="E937">
        <v>294.39999999999998</v>
      </c>
      <c r="F937">
        <v>12.3</v>
      </c>
      <c r="G937" t="s">
        <v>142</v>
      </c>
      <c r="H937" t="s">
        <v>260</v>
      </c>
      <c r="I937" t="s">
        <v>79</v>
      </c>
      <c r="J937">
        <v>360</v>
      </c>
      <c r="K937" t="s">
        <v>49</v>
      </c>
      <c r="L937" t="s">
        <v>96</v>
      </c>
      <c r="M937" t="s">
        <v>71</v>
      </c>
      <c r="N937" t="s">
        <v>97</v>
      </c>
      <c r="O937" t="s">
        <v>51</v>
      </c>
      <c r="P937" t="s">
        <v>38</v>
      </c>
      <c r="Q937" t="s">
        <v>39</v>
      </c>
      <c r="R937">
        <v>1</v>
      </c>
      <c r="S937" t="s">
        <v>38</v>
      </c>
      <c r="T937">
        <v>5</v>
      </c>
      <c r="U937">
        <v>2.4</v>
      </c>
      <c r="V937">
        <v>40</v>
      </c>
      <c r="W937" t="s">
        <v>39</v>
      </c>
      <c r="X937" t="s">
        <v>40</v>
      </c>
      <c r="Y937" t="s">
        <v>39</v>
      </c>
      <c r="Z937" t="s">
        <v>179</v>
      </c>
      <c r="AA937" t="s">
        <v>103</v>
      </c>
      <c r="AB937" t="s">
        <v>43</v>
      </c>
      <c r="AC937">
        <f t="shared" si="154"/>
        <v>0</v>
      </c>
      <c r="AD937" s="12">
        <f t="shared" si="158"/>
        <v>0</v>
      </c>
      <c r="AE937" s="12">
        <f t="shared" si="159"/>
        <v>0</v>
      </c>
      <c r="AF937">
        <f t="shared" si="155"/>
        <v>1</v>
      </c>
      <c r="AG937">
        <f t="shared" si="160"/>
        <v>0</v>
      </c>
      <c r="AH937">
        <f t="shared" si="161"/>
        <v>0</v>
      </c>
      <c r="AI937">
        <f t="shared" si="162"/>
        <v>0</v>
      </c>
      <c r="AJ937">
        <f t="shared" si="163"/>
        <v>0</v>
      </c>
      <c r="AK937">
        <f t="shared" si="156"/>
        <v>0</v>
      </c>
      <c r="AL937">
        <f t="shared" si="164"/>
        <v>0</v>
      </c>
    </row>
    <row r="938" spans="1:38">
      <c r="A938" t="s">
        <v>2941</v>
      </c>
      <c r="B938" t="s">
        <v>2942</v>
      </c>
      <c r="C938" s="1">
        <f t="shared" si="157"/>
        <v>45536</v>
      </c>
      <c r="D938" t="s">
        <v>2943</v>
      </c>
      <c r="E938">
        <v>299.60000000000002</v>
      </c>
      <c r="F938">
        <v>12.5</v>
      </c>
      <c r="G938" t="s">
        <v>101</v>
      </c>
      <c r="H938" t="s">
        <v>102</v>
      </c>
      <c r="I938" t="s">
        <v>79</v>
      </c>
      <c r="J938">
        <v>360</v>
      </c>
      <c r="K938" t="s">
        <v>49</v>
      </c>
      <c r="L938" t="s">
        <v>34</v>
      </c>
      <c r="M938" t="s">
        <v>71</v>
      </c>
      <c r="N938" t="s">
        <v>134</v>
      </c>
      <c r="O938" t="s">
        <v>37</v>
      </c>
      <c r="P938" t="s">
        <v>38</v>
      </c>
      <c r="Q938" t="s">
        <v>39</v>
      </c>
      <c r="R938">
        <v>3</v>
      </c>
      <c r="S938" t="s">
        <v>39</v>
      </c>
      <c r="T938">
        <v>7</v>
      </c>
      <c r="U938">
        <v>1.2</v>
      </c>
      <c r="V938">
        <v>33.799999999999997</v>
      </c>
      <c r="W938" t="s">
        <v>38</v>
      </c>
      <c r="X938" t="s">
        <v>123</v>
      </c>
      <c r="Y938" t="s">
        <v>39</v>
      </c>
      <c r="Z938" t="s">
        <v>41</v>
      </c>
      <c r="AA938" t="s">
        <v>109</v>
      </c>
      <c r="AB938" t="s">
        <v>55</v>
      </c>
      <c r="AC938">
        <f t="shared" si="154"/>
        <v>0</v>
      </c>
      <c r="AD938" s="12">
        <f t="shared" si="158"/>
        <v>0</v>
      </c>
      <c r="AE938" s="12">
        <f t="shared" si="159"/>
        <v>1</v>
      </c>
      <c r="AF938">
        <f t="shared" si="155"/>
        <v>0</v>
      </c>
      <c r="AG938">
        <f t="shared" si="160"/>
        <v>0</v>
      </c>
      <c r="AH938">
        <f t="shared" si="161"/>
        <v>0</v>
      </c>
      <c r="AI938">
        <f t="shared" si="162"/>
        <v>0</v>
      </c>
      <c r="AJ938">
        <f t="shared" si="163"/>
        <v>0</v>
      </c>
      <c r="AK938">
        <f t="shared" si="156"/>
        <v>0</v>
      </c>
      <c r="AL938">
        <f t="shared" si="164"/>
        <v>0</v>
      </c>
    </row>
    <row r="939" spans="1:38">
      <c r="A939" t="s">
        <v>2944</v>
      </c>
      <c r="B939" t="s">
        <v>2945</v>
      </c>
      <c r="C939" s="1">
        <f t="shared" si="157"/>
        <v>45383</v>
      </c>
      <c r="D939" t="s">
        <v>2946</v>
      </c>
      <c r="E939">
        <v>150.69999999999999</v>
      </c>
      <c r="F939">
        <v>6.3</v>
      </c>
      <c r="G939" t="s">
        <v>142</v>
      </c>
      <c r="H939" t="s">
        <v>260</v>
      </c>
      <c r="I939" t="s">
        <v>32</v>
      </c>
      <c r="J939">
        <v>240</v>
      </c>
      <c r="K939" t="s">
        <v>49</v>
      </c>
      <c r="L939" t="s">
        <v>70</v>
      </c>
      <c r="M939" t="s">
        <v>35</v>
      </c>
      <c r="N939" t="s">
        <v>506</v>
      </c>
      <c r="O939" t="s">
        <v>37</v>
      </c>
      <c r="P939" t="s">
        <v>38</v>
      </c>
      <c r="Q939" t="s">
        <v>38</v>
      </c>
      <c r="R939">
        <v>1</v>
      </c>
      <c r="S939" t="s">
        <v>38</v>
      </c>
      <c r="T939">
        <v>5</v>
      </c>
      <c r="U939">
        <v>1.4</v>
      </c>
      <c r="V939">
        <v>23.3</v>
      </c>
      <c r="W939" t="s">
        <v>39</v>
      </c>
      <c r="X939" t="s">
        <v>52</v>
      </c>
      <c r="Y939" t="s">
        <v>38</v>
      </c>
      <c r="Z939" t="s">
        <v>73</v>
      </c>
      <c r="AA939" t="s">
        <v>109</v>
      </c>
      <c r="AB939" t="s">
        <v>83</v>
      </c>
      <c r="AC939">
        <f t="shared" si="154"/>
        <v>1</v>
      </c>
      <c r="AD939" s="12">
        <f t="shared" si="158"/>
        <v>0</v>
      </c>
      <c r="AE939" s="12">
        <f t="shared" si="159"/>
        <v>0</v>
      </c>
      <c r="AF939">
        <f t="shared" si="155"/>
        <v>0</v>
      </c>
      <c r="AG939">
        <f t="shared" si="160"/>
        <v>0</v>
      </c>
      <c r="AH939">
        <f t="shared" si="161"/>
        <v>0</v>
      </c>
      <c r="AI939">
        <f t="shared" si="162"/>
        <v>0</v>
      </c>
      <c r="AJ939">
        <f t="shared" si="163"/>
        <v>1</v>
      </c>
      <c r="AK939">
        <f t="shared" si="156"/>
        <v>0</v>
      </c>
      <c r="AL939">
        <f t="shared" si="164"/>
        <v>1</v>
      </c>
    </row>
    <row r="940" spans="1:38">
      <c r="A940" t="s">
        <v>2947</v>
      </c>
      <c r="B940" t="s">
        <v>2948</v>
      </c>
      <c r="C940" s="1">
        <f t="shared" si="157"/>
        <v>45536</v>
      </c>
      <c r="D940" t="s">
        <v>2949</v>
      </c>
      <c r="E940">
        <v>96.4</v>
      </c>
      <c r="F940">
        <v>4</v>
      </c>
      <c r="G940" t="s">
        <v>101</v>
      </c>
      <c r="H940" t="s">
        <v>102</v>
      </c>
      <c r="I940" t="s">
        <v>48</v>
      </c>
      <c r="J940">
        <v>120</v>
      </c>
      <c r="K940" t="s">
        <v>49</v>
      </c>
      <c r="L940" t="s">
        <v>70</v>
      </c>
      <c r="M940" t="s">
        <v>35</v>
      </c>
      <c r="N940" t="s">
        <v>89</v>
      </c>
      <c r="O940" t="s">
        <v>7232</v>
      </c>
      <c r="P940" t="s">
        <v>38</v>
      </c>
      <c r="Q940" t="s">
        <v>38</v>
      </c>
      <c r="R940">
        <v>1</v>
      </c>
      <c r="S940" t="s">
        <v>38</v>
      </c>
      <c r="T940">
        <v>7</v>
      </c>
      <c r="U940">
        <v>1.6</v>
      </c>
      <c r="V940">
        <v>9.9</v>
      </c>
      <c r="W940" t="s">
        <v>39</v>
      </c>
      <c r="X940" t="s">
        <v>123</v>
      </c>
      <c r="Y940" t="s">
        <v>39</v>
      </c>
      <c r="Z940" t="s">
        <v>64</v>
      </c>
      <c r="AA940" t="s">
        <v>82</v>
      </c>
      <c r="AB940" t="s">
        <v>83</v>
      </c>
      <c r="AC940">
        <f t="shared" si="154"/>
        <v>0</v>
      </c>
      <c r="AD940" s="12">
        <f t="shared" si="158"/>
        <v>0</v>
      </c>
      <c r="AE940" s="12">
        <f t="shared" si="159"/>
        <v>1</v>
      </c>
      <c r="AF940">
        <f t="shared" si="155"/>
        <v>0</v>
      </c>
      <c r="AG940">
        <f t="shared" si="160"/>
        <v>1</v>
      </c>
      <c r="AH940">
        <f t="shared" si="161"/>
        <v>1</v>
      </c>
      <c r="AI940">
        <f t="shared" si="162"/>
        <v>0</v>
      </c>
      <c r="AJ940">
        <f t="shared" si="163"/>
        <v>0</v>
      </c>
      <c r="AK940">
        <f t="shared" si="156"/>
        <v>0</v>
      </c>
      <c r="AL940">
        <f t="shared" si="164"/>
        <v>0</v>
      </c>
    </row>
    <row r="941" spans="1:38">
      <c r="A941" t="s">
        <v>2950</v>
      </c>
      <c r="B941" t="s">
        <v>2951</v>
      </c>
      <c r="C941" s="1">
        <f t="shared" si="157"/>
        <v>45505</v>
      </c>
      <c r="D941" t="s">
        <v>2952</v>
      </c>
      <c r="E941">
        <v>165.4</v>
      </c>
      <c r="F941">
        <v>6.9</v>
      </c>
      <c r="G941" t="s">
        <v>87</v>
      </c>
      <c r="H941" t="s">
        <v>183</v>
      </c>
      <c r="I941" t="s">
        <v>32</v>
      </c>
      <c r="J941">
        <v>240</v>
      </c>
      <c r="K941" t="s">
        <v>49</v>
      </c>
      <c r="L941" t="s">
        <v>34</v>
      </c>
      <c r="M941" t="s">
        <v>35</v>
      </c>
      <c r="N941" t="s">
        <v>164</v>
      </c>
      <c r="O941" t="s">
        <v>7232</v>
      </c>
      <c r="P941" t="s">
        <v>38</v>
      </c>
      <c r="Q941" t="s">
        <v>38</v>
      </c>
      <c r="R941">
        <v>1</v>
      </c>
      <c r="S941" t="s">
        <v>38</v>
      </c>
      <c r="T941">
        <v>7</v>
      </c>
      <c r="U941">
        <v>1</v>
      </c>
      <c r="V941">
        <v>4.9000000000000004</v>
      </c>
      <c r="W941" t="s">
        <v>39</v>
      </c>
      <c r="X941" t="s">
        <v>52</v>
      </c>
      <c r="Y941" t="s">
        <v>38</v>
      </c>
      <c r="Z941" t="s">
        <v>179</v>
      </c>
      <c r="AA941" t="s">
        <v>82</v>
      </c>
      <c r="AB941" t="s">
        <v>83</v>
      </c>
      <c r="AC941">
        <f t="shared" si="154"/>
        <v>1</v>
      </c>
      <c r="AD941" s="12">
        <f t="shared" si="158"/>
        <v>0</v>
      </c>
      <c r="AE941" s="12">
        <f t="shared" si="159"/>
        <v>0</v>
      </c>
      <c r="AF941">
        <f t="shared" si="155"/>
        <v>0</v>
      </c>
      <c r="AG941">
        <f t="shared" si="160"/>
        <v>1</v>
      </c>
      <c r="AH941">
        <f t="shared" si="161"/>
        <v>0</v>
      </c>
      <c r="AI941">
        <f t="shared" si="162"/>
        <v>0</v>
      </c>
      <c r="AJ941">
        <f t="shared" si="163"/>
        <v>1</v>
      </c>
      <c r="AK941">
        <f t="shared" si="156"/>
        <v>0</v>
      </c>
      <c r="AL941">
        <f t="shared" si="164"/>
        <v>1</v>
      </c>
    </row>
    <row r="942" spans="1:38">
      <c r="A942" t="s">
        <v>2953</v>
      </c>
      <c r="B942" t="s">
        <v>2954</v>
      </c>
      <c r="C942" s="1">
        <f t="shared" si="157"/>
        <v>45352</v>
      </c>
      <c r="D942" t="s">
        <v>2955</v>
      </c>
      <c r="E942">
        <v>326.89999999999998</v>
      </c>
      <c r="F942">
        <v>13.6</v>
      </c>
      <c r="G942" t="s">
        <v>30</v>
      </c>
      <c r="H942" t="s">
        <v>172</v>
      </c>
      <c r="I942" t="s">
        <v>32</v>
      </c>
      <c r="J942">
        <v>240</v>
      </c>
      <c r="K942" t="s">
        <v>33</v>
      </c>
      <c r="L942" t="s">
        <v>96</v>
      </c>
      <c r="M942" t="s">
        <v>35</v>
      </c>
      <c r="N942" t="s">
        <v>202</v>
      </c>
      <c r="O942" t="s">
        <v>51</v>
      </c>
      <c r="P942" t="s">
        <v>39</v>
      </c>
      <c r="Q942" t="s">
        <v>38</v>
      </c>
      <c r="R942">
        <v>0</v>
      </c>
      <c r="S942" t="s">
        <v>38</v>
      </c>
      <c r="T942">
        <v>8</v>
      </c>
      <c r="U942">
        <v>5.3</v>
      </c>
      <c r="V942">
        <v>0</v>
      </c>
      <c r="W942" t="s">
        <v>39</v>
      </c>
      <c r="X942" t="s">
        <v>52</v>
      </c>
      <c r="Y942" t="s">
        <v>38</v>
      </c>
      <c r="Z942" t="s">
        <v>53</v>
      </c>
      <c r="AA942" t="s">
        <v>82</v>
      </c>
      <c r="AB942" t="s">
        <v>43</v>
      </c>
      <c r="AC942">
        <f t="shared" si="154"/>
        <v>1</v>
      </c>
      <c r="AD942" s="12">
        <f t="shared" si="158"/>
        <v>0</v>
      </c>
      <c r="AE942" s="12">
        <f t="shared" si="159"/>
        <v>0</v>
      </c>
      <c r="AF942">
        <f t="shared" si="155"/>
        <v>1</v>
      </c>
      <c r="AG942">
        <f t="shared" si="160"/>
        <v>0</v>
      </c>
      <c r="AH942">
        <f t="shared" si="161"/>
        <v>0</v>
      </c>
      <c r="AI942">
        <f t="shared" si="162"/>
        <v>0</v>
      </c>
      <c r="AJ942">
        <f t="shared" si="163"/>
        <v>1</v>
      </c>
      <c r="AK942">
        <f t="shared" si="156"/>
        <v>1</v>
      </c>
      <c r="AL942">
        <f t="shared" si="164"/>
        <v>1</v>
      </c>
    </row>
    <row r="943" spans="1:38">
      <c r="A943" t="s">
        <v>2956</v>
      </c>
      <c r="B943" t="s">
        <v>2957</v>
      </c>
      <c r="C943" s="1">
        <f t="shared" si="157"/>
        <v>45627</v>
      </c>
      <c r="D943" t="s">
        <v>2958</v>
      </c>
      <c r="E943">
        <v>212.6</v>
      </c>
      <c r="F943">
        <v>8.9</v>
      </c>
      <c r="G943" t="s">
        <v>68</v>
      </c>
      <c r="H943" t="s">
        <v>456</v>
      </c>
      <c r="I943" t="s">
        <v>32</v>
      </c>
      <c r="J943">
        <v>240</v>
      </c>
      <c r="K943" t="s">
        <v>49</v>
      </c>
      <c r="L943" t="s">
        <v>96</v>
      </c>
      <c r="M943" t="s">
        <v>35</v>
      </c>
      <c r="N943" t="s">
        <v>220</v>
      </c>
      <c r="O943" t="s">
        <v>37</v>
      </c>
      <c r="P943" t="s">
        <v>38</v>
      </c>
      <c r="Q943" t="s">
        <v>38</v>
      </c>
      <c r="R943">
        <v>1</v>
      </c>
      <c r="S943" t="s">
        <v>38</v>
      </c>
      <c r="T943">
        <v>8</v>
      </c>
      <c r="U943">
        <v>3.2</v>
      </c>
      <c r="V943">
        <v>14.9</v>
      </c>
      <c r="W943" t="s">
        <v>39</v>
      </c>
      <c r="X943" t="s">
        <v>52</v>
      </c>
      <c r="Y943" t="s">
        <v>38</v>
      </c>
      <c r="Z943" t="s">
        <v>115</v>
      </c>
      <c r="AA943" t="s">
        <v>82</v>
      </c>
      <c r="AB943" t="s">
        <v>55</v>
      </c>
      <c r="AC943">
        <f t="shared" si="154"/>
        <v>1</v>
      </c>
      <c r="AD943" s="12">
        <f t="shared" si="158"/>
        <v>0</v>
      </c>
      <c r="AE943" s="12">
        <f t="shared" si="159"/>
        <v>0</v>
      </c>
      <c r="AF943">
        <f t="shared" si="155"/>
        <v>0</v>
      </c>
      <c r="AG943">
        <f t="shared" si="160"/>
        <v>0</v>
      </c>
      <c r="AH943">
        <f t="shared" si="161"/>
        <v>0</v>
      </c>
      <c r="AI943">
        <f t="shared" si="162"/>
        <v>0</v>
      </c>
      <c r="AJ943">
        <f t="shared" si="163"/>
        <v>1</v>
      </c>
      <c r="AK943">
        <f t="shared" si="156"/>
        <v>0</v>
      </c>
      <c r="AL943">
        <f t="shared" si="164"/>
        <v>1</v>
      </c>
    </row>
    <row r="944" spans="1:38">
      <c r="A944" t="s">
        <v>2959</v>
      </c>
      <c r="B944" t="s">
        <v>2960</v>
      </c>
      <c r="C944" s="1">
        <f t="shared" si="157"/>
        <v>45413</v>
      </c>
      <c r="D944" t="s">
        <v>2961</v>
      </c>
      <c r="E944">
        <v>44</v>
      </c>
      <c r="F944">
        <v>1.8</v>
      </c>
      <c r="G944" t="s">
        <v>30</v>
      </c>
      <c r="H944" t="s">
        <v>47</v>
      </c>
      <c r="I944" t="s">
        <v>95</v>
      </c>
      <c r="J944">
        <v>48</v>
      </c>
      <c r="K944" t="s">
        <v>49</v>
      </c>
      <c r="L944" t="s">
        <v>70</v>
      </c>
      <c r="M944" t="s">
        <v>35</v>
      </c>
      <c r="N944" t="s">
        <v>144</v>
      </c>
      <c r="O944" t="s">
        <v>7232</v>
      </c>
      <c r="P944" t="s">
        <v>38</v>
      </c>
      <c r="Q944" t="s">
        <v>38</v>
      </c>
      <c r="R944">
        <v>1</v>
      </c>
      <c r="S944" t="s">
        <v>38</v>
      </c>
      <c r="T944">
        <v>10</v>
      </c>
      <c r="U944">
        <v>2.9</v>
      </c>
      <c r="V944">
        <v>26.1</v>
      </c>
      <c r="W944" t="s">
        <v>39</v>
      </c>
      <c r="X944" t="s">
        <v>52</v>
      </c>
      <c r="Y944" t="s">
        <v>38</v>
      </c>
      <c r="Z944" t="s">
        <v>41</v>
      </c>
      <c r="AA944" t="s">
        <v>54</v>
      </c>
      <c r="AB944" t="s">
        <v>55</v>
      </c>
      <c r="AC944">
        <f t="shared" si="154"/>
        <v>1</v>
      </c>
      <c r="AD944" s="12">
        <f t="shared" si="158"/>
        <v>0</v>
      </c>
      <c r="AE944" s="12">
        <f t="shared" si="159"/>
        <v>0</v>
      </c>
      <c r="AF944">
        <f t="shared" si="155"/>
        <v>0</v>
      </c>
      <c r="AG944">
        <f t="shared" si="160"/>
        <v>1</v>
      </c>
      <c r="AH944">
        <f t="shared" si="161"/>
        <v>0</v>
      </c>
      <c r="AI944">
        <f t="shared" si="162"/>
        <v>1</v>
      </c>
      <c r="AJ944">
        <f t="shared" si="163"/>
        <v>0</v>
      </c>
      <c r="AK944">
        <f t="shared" si="156"/>
        <v>1</v>
      </c>
      <c r="AL944">
        <f t="shared" si="164"/>
        <v>1</v>
      </c>
    </row>
    <row r="945" spans="1:38">
      <c r="A945" t="s">
        <v>2962</v>
      </c>
      <c r="B945" t="s">
        <v>2963</v>
      </c>
      <c r="C945" s="1">
        <f t="shared" si="157"/>
        <v>45292</v>
      </c>
      <c r="D945" t="s">
        <v>2964</v>
      </c>
      <c r="E945">
        <v>147.4</v>
      </c>
      <c r="F945">
        <v>6.1</v>
      </c>
      <c r="G945" t="s">
        <v>142</v>
      </c>
      <c r="H945" t="s">
        <v>729</v>
      </c>
      <c r="I945" t="s">
        <v>32</v>
      </c>
      <c r="J945">
        <v>240</v>
      </c>
      <c r="K945" t="s">
        <v>49</v>
      </c>
      <c r="L945" t="s">
        <v>34</v>
      </c>
      <c r="M945" t="s">
        <v>35</v>
      </c>
      <c r="N945" t="s">
        <v>414</v>
      </c>
      <c r="O945" t="s">
        <v>7232</v>
      </c>
      <c r="P945" t="s">
        <v>38</v>
      </c>
      <c r="Q945" t="s">
        <v>38</v>
      </c>
      <c r="R945">
        <v>1</v>
      </c>
      <c r="S945" t="s">
        <v>38</v>
      </c>
      <c r="T945">
        <v>10</v>
      </c>
      <c r="U945">
        <v>4.0999999999999996</v>
      </c>
      <c r="V945">
        <v>14.6</v>
      </c>
      <c r="W945" t="s">
        <v>39</v>
      </c>
      <c r="X945" t="s">
        <v>40</v>
      </c>
      <c r="Y945" t="s">
        <v>39</v>
      </c>
      <c r="Z945" t="s">
        <v>81</v>
      </c>
      <c r="AA945" t="s">
        <v>54</v>
      </c>
      <c r="AB945" t="s">
        <v>55</v>
      </c>
      <c r="AC945">
        <f t="shared" si="154"/>
        <v>0</v>
      </c>
      <c r="AD945" s="12">
        <f t="shared" si="158"/>
        <v>0</v>
      </c>
      <c r="AE945" s="12">
        <f t="shared" si="159"/>
        <v>0</v>
      </c>
      <c r="AF945">
        <f t="shared" si="155"/>
        <v>0</v>
      </c>
      <c r="AG945">
        <f t="shared" si="160"/>
        <v>1</v>
      </c>
      <c r="AH945">
        <f t="shared" si="161"/>
        <v>0</v>
      </c>
      <c r="AI945">
        <f t="shared" si="162"/>
        <v>0</v>
      </c>
      <c r="AJ945">
        <f t="shared" si="163"/>
        <v>1</v>
      </c>
      <c r="AK945">
        <f t="shared" si="156"/>
        <v>0</v>
      </c>
      <c r="AL945">
        <f t="shared" si="164"/>
        <v>0</v>
      </c>
    </row>
    <row r="946" spans="1:38">
      <c r="A946" t="s">
        <v>2965</v>
      </c>
      <c r="B946" t="s">
        <v>2966</v>
      </c>
      <c r="C946" s="1">
        <f t="shared" si="157"/>
        <v>45505</v>
      </c>
      <c r="D946" t="s">
        <v>2967</v>
      </c>
      <c r="E946">
        <v>100.8</v>
      </c>
      <c r="F946">
        <v>4.2</v>
      </c>
      <c r="G946" t="s">
        <v>101</v>
      </c>
      <c r="H946" t="s">
        <v>102</v>
      </c>
      <c r="I946" t="s">
        <v>48</v>
      </c>
      <c r="J946">
        <v>120</v>
      </c>
      <c r="K946" t="s">
        <v>49</v>
      </c>
      <c r="L946" t="s">
        <v>34</v>
      </c>
      <c r="M946" t="s">
        <v>35</v>
      </c>
      <c r="N946" t="s">
        <v>89</v>
      </c>
      <c r="O946" t="s">
        <v>37</v>
      </c>
      <c r="P946" t="s">
        <v>38</v>
      </c>
      <c r="Q946" t="s">
        <v>38</v>
      </c>
      <c r="R946">
        <v>1</v>
      </c>
      <c r="S946" t="s">
        <v>38</v>
      </c>
      <c r="T946">
        <v>7</v>
      </c>
      <c r="U946">
        <v>2.6</v>
      </c>
      <c r="V946">
        <v>10.7</v>
      </c>
      <c r="W946" t="s">
        <v>38</v>
      </c>
      <c r="X946" t="s">
        <v>40</v>
      </c>
      <c r="Y946" t="s">
        <v>39</v>
      </c>
      <c r="Z946" t="s">
        <v>115</v>
      </c>
      <c r="AA946" t="s">
        <v>103</v>
      </c>
      <c r="AB946" t="s">
        <v>55</v>
      </c>
      <c r="AC946">
        <f t="shared" si="154"/>
        <v>0</v>
      </c>
      <c r="AD946" s="12">
        <f t="shared" si="158"/>
        <v>0</v>
      </c>
      <c r="AE946" s="12">
        <f t="shared" si="159"/>
        <v>0</v>
      </c>
      <c r="AF946">
        <f t="shared" si="155"/>
        <v>0</v>
      </c>
      <c r="AG946">
        <f t="shared" si="160"/>
        <v>0</v>
      </c>
      <c r="AH946">
        <f t="shared" si="161"/>
        <v>1</v>
      </c>
      <c r="AI946">
        <f t="shared" si="162"/>
        <v>0</v>
      </c>
      <c r="AJ946">
        <f t="shared" si="163"/>
        <v>0</v>
      </c>
      <c r="AK946">
        <f t="shared" si="156"/>
        <v>0</v>
      </c>
      <c r="AL946">
        <f t="shared" si="164"/>
        <v>0</v>
      </c>
    </row>
    <row r="947" spans="1:38">
      <c r="A947" t="s">
        <v>2968</v>
      </c>
      <c r="B947" t="s">
        <v>2969</v>
      </c>
      <c r="C947" s="1">
        <f t="shared" si="157"/>
        <v>45292</v>
      </c>
      <c r="D947" t="s">
        <v>2970</v>
      </c>
      <c r="E947">
        <v>108.9</v>
      </c>
      <c r="F947">
        <v>4.5</v>
      </c>
      <c r="G947" t="s">
        <v>30</v>
      </c>
      <c r="H947" t="s">
        <v>172</v>
      </c>
      <c r="I947" t="s">
        <v>48</v>
      </c>
      <c r="J947">
        <v>120</v>
      </c>
      <c r="K947" t="s">
        <v>49</v>
      </c>
      <c r="L947" t="s">
        <v>70</v>
      </c>
      <c r="M947" t="s">
        <v>35</v>
      </c>
      <c r="N947" t="s">
        <v>155</v>
      </c>
      <c r="O947" t="s">
        <v>51</v>
      </c>
      <c r="P947" t="s">
        <v>38</v>
      </c>
      <c r="Q947" t="s">
        <v>38</v>
      </c>
      <c r="R947">
        <v>1</v>
      </c>
      <c r="S947" t="s">
        <v>38</v>
      </c>
      <c r="T947">
        <v>10</v>
      </c>
      <c r="U947">
        <v>0.9</v>
      </c>
      <c r="V947">
        <v>19.5</v>
      </c>
      <c r="W947" t="s">
        <v>39</v>
      </c>
      <c r="X947" t="s">
        <v>40</v>
      </c>
      <c r="Y947" t="s">
        <v>38</v>
      </c>
      <c r="Z947" t="s">
        <v>108</v>
      </c>
      <c r="AA947" t="s">
        <v>103</v>
      </c>
      <c r="AB947" t="s">
        <v>83</v>
      </c>
      <c r="AC947">
        <f t="shared" si="154"/>
        <v>0</v>
      </c>
      <c r="AD947" s="12">
        <f t="shared" si="158"/>
        <v>0</v>
      </c>
      <c r="AE947" s="12">
        <f t="shared" si="159"/>
        <v>0</v>
      </c>
      <c r="AF947">
        <f t="shared" si="155"/>
        <v>1</v>
      </c>
      <c r="AG947">
        <f t="shared" si="160"/>
        <v>0</v>
      </c>
      <c r="AH947">
        <f t="shared" si="161"/>
        <v>1</v>
      </c>
      <c r="AI947">
        <f t="shared" si="162"/>
        <v>0</v>
      </c>
      <c r="AJ947">
        <f t="shared" si="163"/>
        <v>0</v>
      </c>
      <c r="AK947">
        <f t="shared" si="156"/>
        <v>1</v>
      </c>
      <c r="AL947">
        <f t="shared" si="164"/>
        <v>1</v>
      </c>
    </row>
    <row r="948" spans="1:38">
      <c r="A948" t="s">
        <v>2971</v>
      </c>
      <c r="B948" t="s">
        <v>2972</v>
      </c>
      <c r="C948" s="1">
        <f t="shared" si="157"/>
        <v>45352</v>
      </c>
      <c r="D948" t="s">
        <v>2973</v>
      </c>
      <c r="E948">
        <v>80.5</v>
      </c>
      <c r="F948">
        <v>3.4</v>
      </c>
      <c r="G948" t="s">
        <v>68</v>
      </c>
      <c r="H948" t="s">
        <v>69</v>
      </c>
      <c r="I948" t="s">
        <v>48</v>
      </c>
      <c r="J948">
        <v>120</v>
      </c>
      <c r="K948" t="s">
        <v>49</v>
      </c>
      <c r="L948" t="s">
        <v>113</v>
      </c>
      <c r="M948" t="s">
        <v>35</v>
      </c>
      <c r="N948" t="s">
        <v>414</v>
      </c>
      <c r="O948" t="s">
        <v>51</v>
      </c>
      <c r="P948" t="s">
        <v>39</v>
      </c>
      <c r="Q948" t="s">
        <v>38</v>
      </c>
      <c r="R948">
        <v>0</v>
      </c>
      <c r="S948" t="s">
        <v>38</v>
      </c>
      <c r="T948">
        <v>10</v>
      </c>
      <c r="U948">
        <v>0.4</v>
      </c>
      <c r="V948">
        <v>0</v>
      </c>
      <c r="W948" t="s">
        <v>39</v>
      </c>
      <c r="X948" t="s">
        <v>63</v>
      </c>
      <c r="Y948" t="s">
        <v>38</v>
      </c>
      <c r="Z948" t="s">
        <v>81</v>
      </c>
      <c r="AA948" t="s">
        <v>103</v>
      </c>
      <c r="AB948" t="s">
        <v>83</v>
      </c>
      <c r="AC948">
        <f t="shared" si="154"/>
        <v>0</v>
      </c>
      <c r="AD948" s="12">
        <f t="shared" si="158"/>
        <v>1</v>
      </c>
      <c r="AE948" s="12">
        <f t="shared" si="159"/>
        <v>0</v>
      </c>
      <c r="AF948">
        <f t="shared" si="155"/>
        <v>1</v>
      </c>
      <c r="AG948">
        <f t="shared" si="160"/>
        <v>0</v>
      </c>
      <c r="AH948">
        <f t="shared" si="161"/>
        <v>1</v>
      </c>
      <c r="AI948">
        <f t="shared" si="162"/>
        <v>0</v>
      </c>
      <c r="AJ948">
        <f t="shared" si="163"/>
        <v>0</v>
      </c>
      <c r="AK948">
        <f t="shared" si="156"/>
        <v>0</v>
      </c>
      <c r="AL948">
        <f t="shared" si="164"/>
        <v>1</v>
      </c>
    </row>
    <row r="949" spans="1:38">
      <c r="A949" t="s">
        <v>2974</v>
      </c>
      <c r="B949" t="s">
        <v>2975</v>
      </c>
      <c r="C949" s="1">
        <f t="shared" si="157"/>
        <v>45444</v>
      </c>
      <c r="D949" t="s">
        <v>2976</v>
      </c>
      <c r="E949">
        <v>44.3</v>
      </c>
      <c r="F949">
        <v>1.8</v>
      </c>
      <c r="G949" t="s">
        <v>87</v>
      </c>
      <c r="H949" t="s">
        <v>309</v>
      </c>
      <c r="I949" t="s">
        <v>95</v>
      </c>
      <c r="J949">
        <v>48</v>
      </c>
      <c r="K949" t="s">
        <v>49</v>
      </c>
      <c r="L949" t="s">
        <v>70</v>
      </c>
      <c r="M949" t="s">
        <v>35</v>
      </c>
      <c r="N949" t="s">
        <v>119</v>
      </c>
      <c r="O949" t="s">
        <v>7232</v>
      </c>
      <c r="P949" t="s">
        <v>38</v>
      </c>
      <c r="Q949" t="s">
        <v>38</v>
      </c>
      <c r="R949">
        <v>1</v>
      </c>
      <c r="S949" t="s">
        <v>38</v>
      </c>
      <c r="T949">
        <v>10</v>
      </c>
      <c r="U949">
        <v>3.3</v>
      </c>
      <c r="V949">
        <v>2.4</v>
      </c>
      <c r="W949" t="s">
        <v>38</v>
      </c>
      <c r="X949" t="s">
        <v>63</v>
      </c>
      <c r="Y949" t="s">
        <v>38</v>
      </c>
      <c r="Z949" t="s">
        <v>53</v>
      </c>
      <c r="AA949" t="s">
        <v>42</v>
      </c>
      <c r="AB949" t="s">
        <v>43</v>
      </c>
      <c r="AC949">
        <f t="shared" si="154"/>
        <v>0</v>
      </c>
      <c r="AD949" s="12">
        <f t="shared" si="158"/>
        <v>1</v>
      </c>
      <c r="AE949" s="12">
        <f t="shared" si="159"/>
        <v>0</v>
      </c>
      <c r="AF949">
        <f t="shared" si="155"/>
        <v>0</v>
      </c>
      <c r="AG949">
        <f t="shared" si="160"/>
        <v>1</v>
      </c>
      <c r="AH949">
        <f t="shared" si="161"/>
        <v>0</v>
      </c>
      <c r="AI949">
        <f t="shared" si="162"/>
        <v>1</v>
      </c>
      <c r="AJ949">
        <f t="shared" si="163"/>
        <v>0</v>
      </c>
      <c r="AK949">
        <f t="shared" si="156"/>
        <v>0</v>
      </c>
      <c r="AL949">
        <f t="shared" si="164"/>
        <v>1</v>
      </c>
    </row>
    <row r="950" spans="1:38">
      <c r="A950" t="s">
        <v>2977</v>
      </c>
      <c r="B950" t="s">
        <v>2978</v>
      </c>
      <c r="C950" s="1">
        <f t="shared" si="157"/>
        <v>45505</v>
      </c>
      <c r="D950" t="s">
        <v>2979</v>
      </c>
      <c r="E950">
        <v>314.8</v>
      </c>
      <c r="F950">
        <v>13.1</v>
      </c>
      <c r="G950" t="s">
        <v>142</v>
      </c>
      <c r="H950" t="s">
        <v>319</v>
      </c>
      <c r="I950" t="s">
        <v>79</v>
      </c>
      <c r="J950">
        <v>360</v>
      </c>
      <c r="K950" t="s">
        <v>49</v>
      </c>
      <c r="L950" t="s">
        <v>34</v>
      </c>
      <c r="M950" t="s">
        <v>35</v>
      </c>
      <c r="N950" t="s">
        <v>192</v>
      </c>
      <c r="O950" t="s">
        <v>7232</v>
      </c>
      <c r="P950" t="s">
        <v>38</v>
      </c>
      <c r="Q950" t="s">
        <v>38</v>
      </c>
      <c r="R950">
        <v>1</v>
      </c>
      <c r="S950" t="s">
        <v>38</v>
      </c>
      <c r="T950">
        <v>8</v>
      </c>
      <c r="U950">
        <v>2.5</v>
      </c>
      <c r="V950">
        <v>28.7</v>
      </c>
      <c r="W950" t="s">
        <v>39</v>
      </c>
      <c r="X950" t="s">
        <v>63</v>
      </c>
      <c r="Y950" t="s">
        <v>39</v>
      </c>
      <c r="Z950" t="s">
        <v>73</v>
      </c>
      <c r="AA950" t="s">
        <v>42</v>
      </c>
      <c r="AB950" t="s">
        <v>83</v>
      </c>
      <c r="AC950">
        <f t="shared" si="154"/>
        <v>0</v>
      </c>
      <c r="AD950" s="12">
        <f t="shared" si="158"/>
        <v>1</v>
      </c>
      <c r="AE950" s="12">
        <f t="shared" si="159"/>
        <v>0</v>
      </c>
      <c r="AF950">
        <f t="shared" si="155"/>
        <v>0</v>
      </c>
      <c r="AG950">
        <f t="shared" si="160"/>
        <v>1</v>
      </c>
      <c r="AH950">
        <f t="shared" si="161"/>
        <v>0</v>
      </c>
      <c r="AI950">
        <f t="shared" si="162"/>
        <v>0</v>
      </c>
      <c r="AJ950">
        <f t="shared" si="163"/>
        <v>0</v>
      </c>
      <c r="AK950">
        <f t="shared" si="156"/>
        <v>0</v>
      </c>
      <c r="AL950">
        <f t="shared" si="164"/>
        <v>0</v>
      </c>
    </row>
    <row r="951" spans="1:38">
      <c r="A951" t="s">
        <v>2980</v>
      </c>
      <c r="B951" t="s">
        <v>2981</v>
      </c>
      <c r="C951" s="1">
        <f t="shared" si="157"/>
        <v>45597</v>
      </c>
      <c r="D951" t="s">
        <v>2982</v>
      </c>
      <c r="E951">
        <v>176.9</v>
      </c>
      <c r="F951">
        <v>7.4</v>
      </c>
      <c r="G951" t="s">
        <v>30</v>
      </c>
      <c r="H951" t="s">
        <v>47</v>
      </c>
      <c r="I951" t="s">
        <v>32</v>
      </c>
      <c r="J951">
        <v>240</v>
      </c>
      <c r="K951" t="s">
        <v>49</v>
      </c>
      <c r="L951" t="s">
        <v>70</v>
      </c>
      <c r="M951" t="s">
        <v>35</v>
      </c>
      <c r="N951" t="s">
        <v>414</v>
      </c>
      <c r="O951" t="s">
        <v>51</v>
      </c>
      <c r="P951" t="s">
        <v>39</v>
      </c>
      <c r="Q951" t="s">
        <v>38</v>
      </c>
      <c r="R951">
        <v>0</v>
      </c>
      <c r="S951" t="s">
        <v>39</v>
      </c>
      <c r="T951">
        <v>10</v>
      </c>
      <c r="U951">
        <v>0.8</v>
      </c>
      <c r="V951">
        <v>17.899999999999999</v>
      </c>
      <c r="W951" t="s">
        <v>39</v>
      </c>
      <c r="X951" t="s">
        <v>40</v>
      </c>
      <c r="Y951" t="s">
        <v>39</v>
      </c>
      <c r="Z951" t="s">
        <v>81</v>
      </c>
      <c r="AA951" t="s">
        <v>54</v>
      </c>
      <c r="AB951" t="s">
        <v>83</v>
      </c>
      <c r="AC951">
        <f t="shared" si="154"/>
        <v>0</v>
      </c>
      <c r="AD951" s="12">
        <f t="shared" si="158"/>
        <v>0</v>
      </c>
      <c r="AE951" s="12">
        <f t="shared" si="159"/>
        <v>0</v>
      </c>
      <c r="AF951">
        <f t="shared" si="155"/>
        <v>1</v>
      </c>
      <c r="AG951">
        <f t="shared" si="160"/>
        <v>0</v>
      </c>
      <c r="AH951">
        <f t="shared" si="161"/>
        <v>0</v>
      </c>
      <c r="AI951">
        <f t="shared" si="162"/>
        <v>0</v>
      </c>
      <c r="AJ951">
        <f t="shared" si="163"/>
        <v>1</v>
      </c>
      <c r="AK951">
        <f t="shared" si="156"/>
        <v>1</v>
      </c>
      <c r="AL951">
        <f t="shared" si="164"/>
        <v>0</v>
      </c>
    </row>
    <row r="952" spans="1:38">
      <c r="A952" t="s">
        <v>2983</v>
      </c>
      <c r="B952" t="s">
        <v>2984</v>
      </c>
      <c r="C952" s="1">
        <f t="shared" si="157"/>
        <v>45474</v>
      </c>
      <c r="D952" t="s">
        <v>2985</v>
      </c>
      <c r="E952">
        <v>89.1</v>
      </c>
      <c r="F952">
        <v>3.7</v>
      </c>
      <c r="G952" t="s">
        <v>59</v>
      </c>
      <c r="H952" t="s">
        <v>132</v>
      </c>
      <c r="I952" t="s">
        <v>48</v>
      </c>
      <c r="J952">
        <v>120</v>
      </c>
      <c r="K952" t="s">
        <v>49</v>
      </c>
      <c r="L952" t="s">
        <v>70</v>
      </c>
      <c r="M952" t="s">
        <v>71</v>
      </c>
      <c r="N952" t="s">
        <v>202</v>
      </c>
      <c r="O952" t="s">
        <v>7232</v>
      </c>
      <c r="P952" t="s">
        <v>38</v>
      </c>
      <c r="Q952" t="s">
        <v>39</v>
      </c>
      <c r="R952">
        <v>2</v>
      </c>
      <c r="S952" t="s">
        <v>38</v>
      </c>
      <c r="T952">
        <v>6</v>
      </c>
      <c r="U952">
        <v>4.0999999999999996</v>
      </c>
      <c r="V952">
        <v>33.4</v>
      </c>
      <c r="W952" t="s">
        <v>38</v>
      </c>
      <c r="X952" t="s">
        <v>52</v>
      </c>
      <c r="Y952" t="s">
        <v>39</v>
      </c>
      <c r="Z952" t="s">
        <v>115</v>
      </c>
      <c r="AA952" t="s">
        <v>109</v>
      </c>
      <c r="AB952" t="s">
        <v>83</v>
      </c>
      <c r="AC952">
        <f t="shared" si="154"/>
        <v>1</v>
      </c>
      <c r="AD952" s="12">
        <f t="shared" si="158"/>
        <v>0</v>
      </c>
      <c r="AE952" s="12">
        <f t="shared" si="159"/>
        <v>0</v>
      </c>
      <c r="AF952">
        <f t="shared" si="155"/>
        <v>0</v>
      </c>
      <c r="AG952">
        <f t="shared" si="160"/>
        <v>1</v>
      </c>
      <c r="AH952">
        <f t="shared" si="161"/>
        <v>1</v>
      </c>
      <c r="AI952">
        <f t="shared" si="162"/>
        <v>0</v>
      </c>
      <c r="AJ952">
        <f t="shared" si="163"/>
        <v>0</v>
      </c>
      <c r="AK952">
        <f t="shared" si="156"/>
        <v>0</v>
      </c>
      <c r="AL952">
        <f t="shared" si="164"/>
        <v>0</v>
      </c>
    </row>
    <row r="953" spans="1:38">
      <c r="A953" t="s">
        <v>2986</v>
      </c>
      <c r="B953" t="s">
        <v>2987</v>
      </c>
      <c r="C953" s="1">
        <f t="shared" si="157"/>
        <v>45505</v>
      </c>
      <c r="D953" t="s">
        <v>2988</v>
      </c>
      <c r="E953">
        <v>94.9</v>
      </c>
      <c r="F953">
        <v>4</v>
      </c>
      <c r="G953" t="s">
        <v>68</v>
      </c>
      <c r="H953" t="s">
        <v>69</v>
      </c>
      <c r="I953" t="s">
        <v>48</v>
      </c>
      <c r="J953">
        <v>120</v>
      </c>
      <c r="K953" t="s">
        <v>49</v>
      </c>
      <c r="L953" t="s">
        <v>70</v>
      </c>
      <c r="M953" t="s">
        <v>35</v>
      </c>
      <c r="N953" t="s">
        <v>72</v>
      </c>
      <c r="O953" t="s">
        <v>7232</v>
      </c>
      <c r="P953" t="s">
        <v>38</v>
      </c>
      <c r="Q953" t="s">
        <v>38</v>
      </c>
      <c r="R953">
        <v>1</v>
      </c>
      <c r="S953" t="s">
        <v>38</v>
      </c>
      <c r="T953">
        <v>8</v>
      </c>
      <c r="U953">
        <v>2.8</v>
      </c>
      <c r="V953">
        <v>19.3</v>
      </c>
      <c r="W953" t="s">
        <v>39</v>
      </c>
      <c r="X953" t="s">
        <v>52</v>
      </c>
      <c r="Y953" t="s">
        <v>38</v>
      </c>
      <c r="Z953" t="s">
        <v>179</v>
      </c>
      <c r="AA953" t="s">
        <v>103</v>
      </c>
      <c r="AB953" t="s">
        <v>55</v>
      </c>
      <c r="AC953">
        <f t="shared" si="154"/>
        <v>1</v>
      </c>
      <c r="AD953" s="12">
        <f t="shared" si="158"/>
        <v>0</v>
      </c>
      <c r="AE953" s="12">
        <f t="shared" si="159"/>
        <v>0</v>
      </c>
      <c r="AF953">
        <f t="shared" si="155"/>
        <v>0</v>
      </c>
      <c r="AG953">
        <f t="shared" si="160"/>
        <v>1</v>
      </c>
      <c r="AH953">
        <f t="shared" si="161"/>
        <v>1</v>
      </c>
      <c r="AI953">
        <f t="shared" si="162"/>
        <v>0</v>
      </c>
      <c r="AJ953">
        <f t="shared" si="163"/>
        <v>0</v>
      </c>
      <c r="AK953">
        <f t="shared" si="156"/>
        <v>0</v>
      </c>
      <c r="AL953">
        <f t="shared" si="164"/>
        <v>1</v>
      </c>
    </row>
    <row r="954" spans="1:38">
      <c r="A954" t="s">
        <v>2989</v>
      </c>
      <c r="B954" t="s">
        <v>2990</v>
      </c>
      <c r="C954" s="1">
        <f t="shared" si="157"/>
        <v>45413</v>
      </c>
      <c r="D954" t="s">
        <v>2991</v>
      </c>
      <c r="E954">
        <v>218.8</v>
      </c>
      <c r="F954">
        <v>9.1</v>
      </c>
      <c r="G954" t="s">
        <v>142</v>
      </c>
      <c r="H954" t="s">
        <v>143</v>
      </c>
      <c r="I954" t="s">
        <v>32</v>
      </c>
      <c r="J954">
        <v>240</v>
      </c>
      <c r="K954" t="s">
        <v>49</v>
      </c>
      <c r="L954" t="s">
        <v>70</v>
      </c>
      <c r="M954" t="s">
        <v>35</v>
      </c>
      <c r="N954" t="s">
        <v>61</v>
      </c>
      <c r="O954" t="s">
        <v>7232</v>
      </c>
      <c r="P954" t="s">
        <v>39</v>
      </c>
      <c r="Q954" t="s">
        <v>38</v>
      </c>
      <c r="R954">
        <v>0</v>
      </c>
      <c r="S954" t="s">
        <v>38</v>
      </c>
      <c r="T954">
        <v>9</v>
      </c>
      <c r="U954">
        <v>2.2000000000000002</v>
      </c>
      <c r="V954">
        <v>7.6</v>
      </c>
      <c r="W954" t="s">
        <v>38</v>
      </c>
      <c r="X954" t="s">
        <v>63</v>
      </c>
      <c r="Y954" t="s">
        <v>39</v>
      </c>
      <c r="Z954" t="s">
        <v>179</v>
      </c>
      <c r="AA954" t="s">
        <v>82</v>
      </c>
      <c r="AB954" t="s">
        <v>43</v>
      </c>
      <c r="AC954">
        <f t="shared" si="154"/>
        <v>0</v>
      </c>
      <c r="AD954" s="12">
        <f t="shared" si="158"/>
        <v>1</v>
      </c>
      <c r="AE954" s="12">
        <f t="shared" si="159"/>
        <v>0</v>
      </c>
      <c r="AF954">
        <f t="shared" si="155"/>
        <v>0</v>
      </c>
      <c r="AG954">
        <f t="shared" si="160"/>
        <v>1</v>
      </c>
      <c r="AH954">
        <f t="shared" si="161"/>
        <v>0</v>
      </c>
      <c r="AI954">
        <f t="shared" si="162"/>
        <v>0</v>
      </c>
      <c r="AJ954">
        <f t="shared" si="163"/>
        <v>1</v>
      </c>
      <c r="AK954">
        <f t="shared" si="156"/>
        <v>0</v>
      </c>
      <c r="AL954">
        <f t="shared" si="164"/>
        <v>0</v>
      </c>
    </row>
    <row r="955" spans="1:38">
      <c r="A955" t="s">
        <v>2992</v>
      </c>
      <c r="B955" t="s">
        <v>2993</v>
      </c>
      <c r="C955" s="1">
        <f t="shared" si="157"/>
        <v>45474</v>
      </c>
      <c r="D955" t="s">
        <v>2994</v>
      </c>
      <c r="E955">
        <v>85.1</v>
      </c>
      <c r="F955">
        <v>3.5</v>
      </c>
      <c r="G955" t="s">
        <v>87</v>
      </c>
      <c r="H955" t="s">
        <v>151</v>
      </c>
      <c r="I955" t="s">
        <v>48</v>
      </c>
      <c r="J955">
        <v>120</v>
      </c>
      <c r="K955" t="s">
        <v>49</v>
      </c>
      <c r="L955" t="s">
        <v>70</v>
      </c>
      <c r="M955" t="s">
        <v>35</v>
      </c>
      <c r="N955" t="s">
        <v>80</v>
      </c>
      <c r="O955" t="s">
        <v>7232</v>
      </c>
      <c r="P955" t="s">
        <v>38</v>
      </c>
      <c r="Q955" t="s">
        <v>38</v>
      </c>
      <c r="R955">
        <v>1</v>
      </c>
      <c r="S955" t="s">
        <v>38</v>
      </c>
      <c r="T955">
        <v>8</v>
      </c>
      <c r="U955">
        <v>3.4</v>
      </c>
      <c r="V955">
        <v>0</v>
      </c>
      <c r="W955" t="s">
        <v>38</v>
      </c>
      <c r="X955" t="s">
        <v>123</v>
      </c>
      <c r="Y955" t="s">
        <v>39</v>
      </c>
      <c r="Z955" t="s">
        <v>64</v>
      </c>
      <c r="AA955" t="s">
        <v>109</v>
      </c>
      <c r="AB955" t="s">
        <v>83</v>
      </c>
      <c r="AC955">
        <f t="shared" si="154"/>
        <v>0</v>
      </c>
      <c r="AD955" s="12">
        <f t="shared" si="158"/>
        <v>0</v>
      </c>
      <c r="AE955" s="12">
        <f t="shared" si="159"/>
        <v>1</v>
      </c>
      <c r="AF955">
        <f t="shared" si="155"/>
        <v>0</v>
      </c>
      <c r="AG955">
        <f t="shared" si="160"/>
        <v>1</v>
      </c>
      <c r="AH955">
        <f t="shared" si="161"/>
        <v>1</v>
      </c>
      <c r="AI955">
        <f t="shared" si="162"/>
        <v>0</v>
      </c>
      <c r="AJ955">
        <f t="shared" si="163"/>
        <v>0</v>
      </c>
      <c r="AK955">
        <f t="shared" si="156"/>
        <v>0</v>
      </c>
      <c r="AL955">
        <f t="shared" si="164"/>
        <v>0</v>
      </c>
    </row>
    <row r="956" spans="1:38">
      <c r="A956" t="s">
        <v>2995</v>
      </c>
      <c r="B956" t="s">
        <v>2996</v>
      </c>
      <c r="C956" s="1">
        <f t="shared" si="157"/>
        <v>45444</v>
      </c>
      <c r="D956" t="s">
        <v>2997</v>
      </c>
      <c r="E956">
        <v>165.6</v>
      </c>
      <c r="F956">
        <v>6.9</v>
      </c>
      <c r="G956" t="s">
        <v>68</v>
      </c>
      <c r="H956" t="s">
        <v>212</v>
      </c>
      <c r="I956" t="s">
        <v>48</v>
      </c>
      <c r="J956">
        <v>120</v>
      </c>
      <c r="K956" t="s">
        <v>33</v>
      </c>
      <c r="L956" t="s">
        <v>70</v>
      </c>
      <c r="M956" t="s">
        <v>35</v>
      </c>
      <c r="N956" t="s">
        <v>97</v>
      </c>
      <c r="O956" t="s">
        <v>37</v>
      </c>
      <c r="P956" t="s">
        <v>38</v>
      </c>
      <c r="Q956" t="s">
        <v>38</v>
      </c>
      <c r="R956">
        <v>1</v>
      </c>
      <c r="S956" t="s">
        <v>39</v>
      </c>
      <c r="T956">
        <v>4</v>
      </c>
      <c r="U956">
        <v>0.1</v>
      </c>
      <c r="V956">
        <v>4.9000000000000004</v>
      </c>
      <c r="W956" t="s">
        <v>38</v>
      </c>
      <c r="X956" t="s">
        <v>52</v>
      </c>
      <c r="Y956" t="s">
        <v>38</v>
      </c>
      <c r="Z956" t="s">
        <v>108</v>
      </c>
      <c r="AA956" t="s">
        <v>103</v>
      </c>
      <c r="AB956" t="s">
        <v>55</v>
      </c>
      <c r="AC956">
        <f t="shared" si="154"/>
        <v>1</v>
      </c>
      <c r="AD956" s="12">
        <f t="shared" si="158"/>
        <v>0</v>
      </c>
      <c r="AE956" s="12">
        <f t="shared" si="159"/>
        <v>0</v>
      </c>
      <c r="AF956">
        <f t="shared" si="155"/>
        <v>0</v>
      </c>
      <c r="AG956">
        <f t="shared" si="160"/>
        <v>0</v>
      </c>
      <c r="AH956">
        <f t="shared" si="161"/>
        <v>1</v>
      </c>
      <c r="AI956">
        <f t="shared" si="162"/>
        <v>0</v>
      </c>
      <c r="AJ956">
        <f t="shared" si="163"/>
        <v>0</v>
      </c>
      <c r="AK956">
        <f t="shared" si="156"/>
        <v>0</v>
      </c>
      <c r="AL956">
        <f t="shared" si="164"/>
        <v>1</v>
      </c>
    </row>
    <row r="957" spans="1:38">
      <c r="A957" t="s">
        <v>2998</v>
      </c>
      <c r="B957" t="s">
        <v>2999</v>
      </c>
      <c r="C957" s="1">
        <f t="shared" si="157"/>
        <v>45292</v>
      </c>
      <c r="D957" t="s">
        <v>3000</v>
      </c>
      <c r="E957">
        <v>572.4</v>
      </c>
      <c r="F957">
        <v>23.8</v>
      </c>
      <c r="G957" t="s">
        <v>101</v>
      </c>
      <c r="H957" t="s">
        <v>368</v>
      </c>
      <c r="I957" t="s">
        <v>32</v>
      </c>
      <c r="J957">
        <v>240</v>
      </c>
      <c r="K957" t="s">
        <v>33</v>
      </c>
      <c r="L957" t="s">
        <v>34</v>
      </c>
      <c r="M957" t="s">
        <v>35</v>
      </c>
      <c r="N957" t="s">
        <v>138</v>
      </c>
      <c r="O957" t="s">
        <v>51</v>
      </c>
      <c r="P957" t="s">
        <v>38</v>
      </c>
      <c r="Q957" t="s">
        <v>38</v>
      </c>
      <c r="R957">
        <v>1</v>
      </c>
      <c r="S957" t="s">
        <v>38</v>
      </c>
      <c r="T957">
        <v>2</v>
      </c>
      <c r="U957">
        <v>3.7</v>
      </c>
      <c r="V957">
        <v>0</v>
      </c>
      <c r="W957" t="s">
        <v>38</v>
      </c>
      <c r="X957" t="s">
        <v>123</v>
      </c>
      <c r="Y957" t="s">
        <v>38</v>
      </c>
      <c r="Z957" t="s">
        <v>73</v>
      </c>
      <c r="AA957" t="s">
        <v>109</v>
      </c>
      <c r="AB957" t="s">
        <v>43</v>
      </c>
      <c r="AC957">
        <f t="shared" si="154"/>
        <v>0</v>
      </c>
      <c r="AD957" s="12">
        <f t="shared" si="158"/>
        <v>0</v>
      </c>
      <c r="AE957" s="12">
        <f t="shared" si="159"/>
        <v>1</v>
      </c>
      <c r="AF957">
        <f t="shared" si="155"/>
        <v>1</v>
      </c>
      <c r="AG957">
        <f t="shared" si="160"/>
        <v>0</v>
      </c>
      <c r="AH957">
        <f t="shared" si="161"/>
        <v>0</v>
      </c>
      <c r="AI957">
        <f t="shared" si="162"/>
        <v>0</v>
      </c>
      <c r="AJ957">
        <f t="shared" si="163"/>
        <v>1</v>
      </c>
      <c r="AK957">
        <f t="shared" si="156"/>
        <v>0</v>
      </c>
      <c r="AL957">
        <f t="shared" si="164"/>
        <v>1</v>
      </c>
    </row>
    <row r="958" spans="1:38">
      <c r="A958" t="s">
        <v>3001</v>
      </c>
      <c r="B958" t="s">
        <v>3002</v>
      </c>
      <c r="C958" s="1">
        <f t="shared" si="157"/>
        <v>45597</v>
      </c>
      <c r="D958" t="s">
        <v>3003</v>
      </c>
      <c r="E958">
        <v>191.8</v>
      </c>
      <c r="F958">
        <v>8</v>
      </c>
      <c r="G958" t="s">
        <v>142</v>
      </c>
      <c r="H958" t="s">
        <v>319</v>
      </c>
      <c r="I958" t="s">
        <v>32</v>
      </c>
      <c r="J958">
        <v>240</v>
      </c>
      <c r="K958" t="s">
        <v>49</v>
      </c>
      <c r="L958" t="s">
        <v>133</v>
      </c>
      <c r="M958" t="s">
        <v>71</v>
      </c>
      <c r="N958" t="s">
        <v>138</v>
      </c>
      <c r="O958" t="s">
        <v>51</v>
      </c>
      <c r="P958" t="s">
        <v>38</v>
      </c>
      <c r="Q958" t="s">
        <v>39</v>
      </c>
      <c r="R958">
        <v>4</v>
      </c>
      <c r="S958" t="s">
        <v>39</v>
      </c>
      <c r="T958">
        <v>10</v>
      </c>
      <c r="U958">
        <v>2.8</v>
      </c>
      <c r="V958">
        <v>15.2</v>
      </c>
      <c r="W958" t="s">
        <v>38</v>
      </c>
      <c r="X958" t="s">
        <v>123</v>
      </c>
      <c r="Y958" t="s">
        <v>39</v>
      </c>
      <c r="Z958" t="s">
        <v>81</v>
      </c>
      <c r="AA958" t="s">
        <v>103</v>
      </c>
      <c r="AB958" t="s">
        <v>43</v>
      </c>
      <c r="AC958">
        <f t="shared" si="154"/>
        <v>0</v>
      </c>
      <c r="AD958" s="12">
        <f t="shared" si="158"/>
        <v>0</v>
      </c>
      <c r="AE958" s="12">
        <f t="shared" si="159"/>
        <v>1</v>
      </c>
      <c r="AF958">
        <f t="shared" si="155"/>
        <v>1</v>
      </c>
      <c r="AG958">
        <f t="shared" si="160"/>
        <v>0</v>
      </c>
      <c r="AH958">
        <f t="shared" si="161"/>
        <v>0</v>
      </c>
      <c r="AI958">
        <f t="shared" si="162"/>
        <v>0</v>
      </c>
      <c r="AJ958">
        <f t="shared" si="163"/>
        <v>1</v>
      </c>
      <c r="AK958">
        <f t="shared" si="156"/>
        <v>0</v>
      </c>
      <c r="AL958">
        <f t="shared" si="164"/>
        <v>0</v>
      </c>
    </row>
    <row r="959" spans="1:38">
      <c r="A959" t="s">
        <v>3004</v>
      </c>
      <c r="B959" t="s">
        <v>3005</v>
      </c>
      <c r="C959" s="1">
        <f t="shared" si="157"/>
        <v>45566</v>
      </c>
      <c r="D959" t="s">
        <v>3006</v>
      </c>
      <c r="E959">
        <v>177.1</v>
      </c>
      <c r="F959">
        <v>7.4</v>
      </c>
      <c r="G959" t="s">
        <v>93</v>
      </c>
      <c r="H959" t="s">
        <v>291</v>
      </c>
      <c r="I959" t="s">
        <v>32</v>
      </c>
      <c r="J959">
        <v>240</v>
      </c>
      <c r="K959" t="s">
        <v>49</v>
      </c>
      <c r="L959" t="s">
        <v>96</v>
      </c>
      <c r="M959" t="s">
        <v>71</v>
      </c>
      <c r="N959" t="s">
        <v>80</v>
      </c>
      <c r="O959" t="s">
        <v>37</v>
      </c>
      <c r="P959" t="s">
        <v>38</v>
      </c>
      <c r="Q959" t="s">
        <v>39</v>
      </c>
      <c r="R959">
        <v>4</v>
      </c>
      <c r="S959" t="s">
        <v>38</v>
      </c>
      <c r="T959">
        <v>8</v>
      </c>
      <c r="U959">
        <v>0.1</v>
      </c>
      <c r="V959">
        <v>0</v>
      </c>
      <c r="W959" t="s">
        <v>38</v>
      </c>
      <c r="X959" t="s">
        <v>123</v>
      </c>
      <c r="Y959" t="s">
        <v>39</v>
      </c>
      <c r="Z959" t="s">
        <v>115</v>
      </c>
      <c r="AA959" t="s">
        <v>109</v>
      </c>
      <c r="AB959" t="s">
        <v>43</v>
      </c>
      <c r="AC959">
        <f t="shared" si="154"/>
        <v>0</v>
      </c>
      <c r="AD959" s="12">
        <f t="shared" si="158"/>
        <v>0</v>
      </c>
      <c r="AE959" s="12">
        <f t="shared" si="159"/>
        <v>1</v>
      </c>
      <c r="AF959">
        <f t="shared" si="155"/>
        <v>0</v>
      </c>
      <c r="AG959">
        <f t="shared" si="160"/>
        <v>0</v>
      </c>
      <c r="AH959">
        <f t="shared" si="161"/>
        <v>0</v>
      </c>
      <c r="AI959">
        <f t="shared" si="162"/>
        <v>0</v>
      </c>
      <c r="AJ959">
        <f t="shared" si="163"/>
        <v>1</v>
      </c>
      <c r="AK959">
        <f t="shared" si="156"/>
        <v>0</v>
      </c>
      <c r="AL959">
        <f t="shared" si="164"/>
        <v>0</v>
      </c>
    </row>
    <row r="960" spans="1:38">
      <c r="A960" t="s">
        <v>3007</v>
      </c>
      <c r="B960" t="s">
        <v>3008</v>
      </c>
      <c r="C960" s="1">
        <f t="shared" si="157"/>
        <v>45444</v>
      </c>
      <c r="D960" t="s">
        <v>3009</v>
      </c>
      <c r="E960">
        <v>268.8</v>
      </c>
      <c r="F960">
        <v>11.2</v>
      </c>
      <c r="G960" t="s">
        <v>59</v>
      </c>
      <c r="H960" t="s">
        <v>60</v>
      </c>
      <c r="I960" t="s">
        <v>79</v>
      </c>
      <c r="J960">
        <v>360</v>
      </c>
      <c r="K960" t="s">
        <v>49</v>
      </c>
      <c r="L960" t="s">
        <v>34</v>
      </c>
      <c r="M960" t="s">
        <v>71</v>
      </c>
      <c r="N960" t="s">
        <v>168</v>
      </c>
      <c r="O960" t="s">
        <v>7232</v>
      </c>
      <c r="P960" t="s">
        <v>38</v>
      </c>
      <c r="Q960" t="s">
        <v>39</v>
      </c>
      <c r="R960">
        <v>2</v>
      </c>
      <c r="S960" t="s">
        <v>38</v>
      </c>
      <c r="T960">
        <v>9</v>
      </c>
      <c r="U960">
        <v>2.2000000000000002</v>
      </c>
      <c r="V960">
        <v>25.2</v>
      </c>
      <c r="W960" t="s">
        <v>38</v>
      </c>
      <c r="X960" t="s">
        <v>63</v>
      </c>
      <c r="Y960" t="s">
        <v>39</v>
      </c>
      <c r="Z960" t="s">
        <v>81</v>
      </c>
      <c r="AA960" t="s">
        <v>109</v>
      </c>
      <c r="AB960" t="s">
        <v>55</v>
      </c>
      <c r="AC960">
        <f t="shared" si="154"/>
        <v>0</v>
      </c>
      <c r="AD960" s="12">
        <f t="shared" si="158"/>
        <v>1</v>
      </c>
      <c r="AE960" s="12">
        <f t="shared" si="159"/>
        <v>0</v>
      </c>
      <c r="AF960">
        <f t="shared" si="155"/>
        <v>0</v>
      </c>
      <c r="AG960">
        <f t="shared" si="160"/>
        <v>1</v>
      </c>
      <c r="AH960">
        <f t="shared" si="161"/>
        <v>0</v>
      </c>
      <c r="AI960">
        <f t="shared" si="162"/>
        <v>0</v>
      </c>
      <c r="AJ960">
        <f t="shared" si="163"/>
        <v>0</v>
      </c>
      <c r="AK960">
        <f t="shared" si="156"/>
        <v>0</v>
      </c>
      <c r="AL960">
        <f t="shared" si="164"/>
        <v>0</v>
      </c>
    </row>
    <row r="961" spans="1:38">
      <c r="A961" t="s">
        <v>3010</v>
      </c>
      <c r="B961" t="s">
        <v>3011</v>
      </c>
      <c r="C961" s="1">
        <f t="shared" si="157"/>
        <v>45505</v>
      </c>
      <c r="D961" t="s">
        <v>3012</v>
      </c>
      <c r="E961">
        <v>668.1</v>
      </c>
      <c r="F961">
        <v>27.8</v>
      </c>
      <c r="G961" t="s">
        <v>101</v>
      </c>
      <c r="H961" t="s">
        <v>368</v>
      </c>
      <c r="I961" t="s">
        <v>32</v>
      </c>
      <c r="J961">
        <v>240</v>
      </c>
      <c r="K961" t="s">
        <v>33</v>
      </c>
      <c r="L961" t="s">
        <v>34</v>
      </c>
      <c r="M961" t="s">
        <v>35</v>
      </c>
      <c r="N961" t="s">
        <v>414</v>
      </c>
      <c r="O961" t="s">
        <v>51</v>
      </c>
      <c r="P961" t="s">
        <v>38</v>
      </c>
      <c r="Q961" t="s">
        <v>38</v>
      </c>
      <c r="R961">
        <v>1</v>
      </c>
      <c r="S961" t="s">
        <v>39</v>
      </c>
      <c r="T961">
        <v>5</v>
      </c>
      <c r="U961">
        <v>1.6</v>
      </c>
      <c r="V961">
        <v>41.3</v>
      </c>
      <c r="W961" t="s">
        <v>39</v>
      </c>
      <c r="X961" t="s">
        <v>123</v>
      </c>
      <c r="Y961" t="s">
        <v>39</v>
      </c>
      <c r="Z961" t="s">
        <v>81</v>
      </c>
      <c r="AA961" t="s">
        <v>103</v>
      </c>
      <c r="AB961" t="s">
        <v>55</v>
      </c>
      <c r="AC961">
        <f t="shared" si="154"/>
        <v>0</v>
      </c>
      <c r="AD961" s="12">
        <f t="shared" si="158"/>
        <v>0</v>
      </c>
      <c r="AE961" s="12">
        <f t="shared" si="159"/>
        <v>1</v>
      </c>
      <c r="AF961">
        <f t="shared" si="155"/>
        <v>1</v>
      </c>
      <c r="AG961">
        <f t="shared" si="160"/>
        <v>0</v>
      </c>
      <c r="AH961">
        <f t="shared" si="161"/>
        <v>0</v>
      </c>
      <c r="AI961">
        <f t="shared" si="162"/>
        <v>0</v>
      </c>
      <c r="AJ961">
        <f t="shared" si="163"/>
        <v>1</v>
      </c>
      <c r="AK961">
        <f t="shared" si="156"/>
        <v>0</v>
      </c>
      <c r="AL961">
        <f t="shared" si="164"/>
        <v>0</v>
      </c>
    </row>
    <row r="962" spans="1:38">
      <c r="A962" t="s">
        <v>3013</v>
      </c>
      <c r="B962" t="s">
        <v>3014</v>
      </c>
      <c r="C962" s="1">
        <f t="shared" si="157"/>
        <v>45292</v>
      </c>
      <c r="D962" t="s">
        <v>3015</v>
      </c>
      <c r="E962">
        <v>99.9</v>
      </c>
      <c r="F962">
        <v>4.2</v>
      </c>
      <c r="G962" t="s">
        <v>59</v>
      </c>
      <c r="H962" t="s">
        <v>466</v>
      </c>
      <c r="I962" t="s">
        <v>48</v>
      </c>
      <c r="J962">
        <v>120</v>
      </c>
      <c r="K962" t="s">
        <v>49</v>
      </c>
      <c r="L962" t="s">
        <v>113</v>
      </c>
      <c r="M962" t="s">
        <v>35</v>
      </c>
      <c r="N962" t="s">
        <v>192</v>
      </c>
      <c r="O962" t="s">
        <v>51</v>
      </c>
      <c r="P962" t="s">
        <v>39</v>
      </c>
      <c r="Q962" t="s">
        <v>38</v>
      </c>
      <c r="R962">
        <v>0</v>
      </c>
      <c r="S962" t="s">
        <v>38</v>
      </c>
      <c r="T962">
        <v>8</v>
      </c>
      <c r="U962">
        <v>0.6</v>
      </c>
      <c r="V962">
        <v>17.399999999999999</v>
      </c>
      <c r="W962" t="s">
        <v>39</v>
      </c>
      <c r="X962" t="s">
        <v>52</v>
      </c>
      <c r="Y962" t="s">
        <v>39</v>
      </c>
      <c r="Z962" t="s">
        <v>73</v>
      </c>
      <c r="AA962" t="s">
        <v>42</v>
      </c>
      <c r="AB962" t="s">
        <v>55</v>
      </c>
      <c r="AC962">
        <f t="shared" ref="AC962:AC1025" si="165">IF(X962="Poor", 1, 0)</f>
        <v>1</v>
      </c>
      <c r="AD962" s="12">
        <f t="shared" si="158"/>
        <v>0</v>
      </c>
      <c r="AE962" s="12">
        <f t="shared" si="159"/>
        <v>0</v>
      </c>
      <c r="AF962">
        <f t="shared" ref="AF962:AF1025" si="166">IF(O962="Junior", 1, 0)</f>
        <v>1</v>
      </c>
      <c r="AG962">
        <f t="shared" si="160"/>
        <v>0</v>
      </c>
      <c r="AH962">
        <f t="shared" si="161"/>
        <v>1</v>
      </c>
      <c r="AI962">
        <f t="shared" si="162"/>
        <v>0</v>
      </c>
      <c r="AJ962">
        <f t="shared" si="163"/>
        <v>0</v>
      </c>
      <c r="AK962">
        <f t="shared" ref="AK962:AK1025" si="167">IF(G962="Access Requests", 1, 0)</f>
        <v>0</v>
      </c>
      <c r="AL962">
        <f t="shared" si="164"/>
        <v>0</v>
      </c>
    </row>
    <row r="963" spans="1:38">
      <c r="A963" t="s">
        <v>3016</v>
      </c>
      <c r="B963" t="s">
        <v>3017</v>
      </c>
      <c r="C963" s="1">
        <f t="shared" ref="C963:C1026" si="168">DATE(YEAR(B963),MONTH(B963),1)</f>
        <v>45505</v>
      </c>
      <c r="D963" t="s">
        <v>3018</v>
      </c>
      <c r="E963">
        <v>310.5</v>
      </c>
      <c r="F963">
        <v>12.9</v>
      </c>
      <c r="G963" t="s">
        <v>77</v>
      </c>
      <c r="H963" t="s">
        <v>244</v>
      </c>
      <c r="I963" t="s">
        <v>79</v>
      </c>
      <c r="J963">
        <v>360</v>
      </c>
      <c r="K963" t="s">
        <v>49</v>
      </c>
      <c r="L963" t="s">
        <v>70</v>
      </c>
      <c r="M963" t="s">
        <v>35</v>
      </c>
      <c r="N963" t="s">
        <v>414</v>
      </c>
      <c r="O963" t="s">
        <v>51</v>
      </c>
      <c r="P963" t="s">
        <v>39</v>
      </c>
      <c r="Q963" t="s">
        <v>38</v>
      </c>
      <c r="R963">
        <v>0</v>
      </c>
      <c r="S963" t="s">
        <v>38</v>
      </c>
      <c r="T963">
        <v>7</v>
      </c>
      <c r="U963">
        <v>2.7</v>
      </c>
      <c r="V963">
        <v>2.1</v>
      </c>
      <c r="W963" t="s">
        <v>39</v>
      </c>
      <c r="X963" t="s">
        <v>63</v>
      </c>
      <c r="Y963" t="s">
        <v>39</v>
      </c>
      <c r="Z963" t="s">
        <v>115</v>
      </c>
      <c r="AA963" t="s">
        <v>103</v>
      </c>
      <c r="AB963" t="s">
        <v>83</v>
      </c>
      <c r="AC963">
        <f t="shared" si="165"/>
        <v>0</v>
      </c>
      <c r="AD963" s="12">
        <f t="shared" ref="AD963:AD1026" si="169">IF(X963="Fair", 1, 0)</f>
        <v>1</v>
      </c>
      <c r="AE963" s="12">
        <f t="shared" ref="AE963:AE1026" si="170">IF(X963="Good", 1, 0)</f>
        <v>0</v>
      </c>
      <c r="AF963">
        <f t="shared" si="166"/>
        <v>1</v>
      </c>
      <c r="AG963">
        <f t="shared" ref="AG963:AG1026" si="171">IF(O963="Mid", 1, 0)</f>
        <v>0</v>
      </c>
      <c r="AH963">
        <f t="shared" ref="AH963:AH1026" si="172">IF(I963="High", 1, 0)</f>
        <v>0</v>
      </c>
      <c r="AI963">
        <f t="shared" ref="AI963:AI1026" si="173">IF(I963="Critical", 1, 0)</f>
        <v>0</v>
      </c>
      <c r="AJ963">
        <f t="shared" ref="AJ963:AJ1026" si="174">IF(I963="Medium", 1, 0)</f>
        <v>0</v>
      </c>
      <c r="AK963">
        <f t="shared" si="167"/>
        <v>0</v>
      </c>
      <c r="AL963">
        <f t="shared" ref="AL963:AL1026" si="175">IF(Y963="No", 1, 0)</f>
        <v>0</v>
      </c>
    </row>
    <row r="964" spans="1:38">
      <c r="A964" t="s">
        <v>3019</v>
      </c>
      <c r="B964" t="s">
        <v>3020</v>
      </c>
      <c r="C964" s="1">
        <f t="shared" si="168"/>
        <v>45536</v>
      </c>
      <c r="D964" t="s">
        <v>3021</v>
      </c>
      <c r="E964">
        <v>186.7</v>
      </c>
      <c r="F964">
        <v>7.8</v>
      </c>
      <c r="G964" t="s">
        <v>30</v>
      </c>
      <c r="H964" t="s">
        <v>31</v>
      </c>
      <c r="I964" t="s">
        <v>32</v>
      </c>
      <c r="J964">
        <v>240</v>
      </c>
      <c r="K964" t="s">
        <v>49</v>
      </c>
      <c r="L964" t="s">
        <v>70</v>
      </c>
      <c r="M964" t="s">
        <v>35</v>
      </c>
      <c r="N964" t="s">
        <v>72</v>
      </c>
      <c r="O964" t="s">
        <v>51</v>
      </c>
      <c r="P964" t="s">
        <v>39</v>
      </c>
      <c r="Q964" t="s">
        <v>38</v>
      </c>
      <c r="R964">
        <v>0</v>
      </c>
      <c r="S964" t="s">
        <v>38</v>
      </c>
      <c r="T964">
        <v>10</v>
      </c>
      <c r="U964">
        <v>3.3</v>
      </c>
      <c r="V964">
        <v>9</v>
      </c>
      <c r="W964" t="s">
        <v>39</v>
      </c>
      <c r="X964" t="s">
        <v>123</v>
      </c>
      <c r="Y964" t="s">
        <v>39</v>
      </c>
      <c r="Z964" t="s">
        <v>64</v>
      </c>
      <c r="AA964" t="s">
        <v>54</v>
      </c>
      <c r="AB964" t="s">
        <v>43</v>
      </c>
      <c r="AC964">
        <f t="shared" si="165"/>
        <v>0</v>
      </c>
      <c r="AD964" s="12">
        <f t="shared" si="169"/>
        <v>0</v>
      </c>
      <c r="AE964" s="12">
        <f t="shared" si="170"/>
        <v>1</v>
      </c>
      <c r="AF964">
        <f t="shared" si="166"/>
        <v>1</v>
      </c>
      <c r="AG964">
        <f t="shared" si="171"/>
        <v>0</v>
      </c>
      <c r="AH964">
        <f t="shared" si="172"/>
        <v>0</v>
      </c>
      <c r="AI964">
        <f t="shared" si="173"/>
        <v>0</v>
      </c>
      <c r="AJ964">
        <f t="shared" si="174"/>
        <v>1</v>
      </c>
      <c r="AK964">
        <f t="shared" si="167"/>
        <v>1</v>
      </c>
      <c r="AL964">
        <f t="shared" si="175"/>
        <v>0</v>
      </c>
    </row>
    <row r="965" spans="1:38">
      <c r="A965" t="s">
        <v>3022</v>
      </c>
      <c r="B965" t="s">
        <v>3023</v>
      </c>
      <c r="C965" s="1">
        <f t="shared" si="168"/>
        <v>45566</v>
      </c>
      <c r="D965" t="s">
        <v>3024</v>
      </c>
      <c r="E965">
        <v>369.1</v>
      </c>
      <c r="F965">
        <v>15.4</v>
      </c>
      <c r="G965" t="s">
        <v>142</v>
      </c>
      <c r="H965" t="s">
        <v>319</v>
      </c>
      <c r="I965" t="s">
        <v>32</v>
      </c>
      <c r="J965">
        <v>240</v>
      </c>
      <c r="K965" t="s">
        <v>33</v>
      </c>
      <c r="L965" t="s">
        <v>34</v>
      </c>
      <c r="M965" t="s">
        <v>35</v>
      </c>
      <c r="N965" t="s">
        <v>220</v>
      </c>
      <c r="O965" t="s">
        <v>7232</v>
      </c>
      <c r="P965" t="s">
        <v>38</v>
      </c>
      <c r="Q965" t="s">
        <v>38</v>
      </c>
      <c r="R965">
        <v>1</v>
      </c>
      <c r="S965" t="s">
        <v>38</v>
      </c>
      <c r="T965">
        <v>6</v>
      </c>
      <c r="U965">
        <v>2.2000000000000002</v>
      </c>
      <c r="V965">
        <v>12.9</v>
      </c>
      <c r="W965" t="s">
        <v>39</v>
      </c>
      <c r="X965" t="s">
        <v>123</v>
      </c>
      <c r="Y965" t="s">
        <v>39</v>
      </c>
      <c r="Z965" t="s">
        <v>64</v>
      </c>
      <c r="AA965" t="s">
        <v>54</v>
      </c>
      <c r="AB965" t="s">
        <v>55</v>
      </c>
      <c r="AC965">
        <f t="shared" si="165"/>
        <v>0</v>
      </c>
      <c r="AD965" s="12">
        <f t="shared" si="169"/>
        <v>0</v>
      </c>
      <c r="AE965" s="12">
        <f t="shared" si="170"/>
        <v>1</v>
      </c>
      <c r="AF965">
        <f t="shared" si="166"/>
        <v>0</v>
      </c>
      <c r="AG965">
        <f t="shared" si="171"/>
        <v>1</v>
      </c>
      <c r="AH965">
        <f t="shared" si="172"/>
        <v>0</v>
      </c>
      <c r="AI965">
        <f t="shared" si="173"/>
        <v>0</v>
      </c>
      <c r="AJ965">
        <f t="shared" si="174"/>
        <v>1</v>
      </c>
      <c r="AK965">
        <f t="shared" si="167"/>
        <v>0</v>
      </c>
      <c r="AL965">
        <f t="shared" si="175"/>
        <v>0</v>
      </c>
    </row>
    <row r="966" spans="1:38">
      <c r="A966" t="s">
        <v>3025</v>
      </c>
      <c r="B966" t="s">
        <v>3026</v>
      </c>
      <c r="C966" s="1">
        <f t="shared" si="168"/>
        <v>45597</v>
      </c>
      <c r="D966" t="s">
        <v>3027</v>
      </c>
      <c r="E966">
        <v>222.8</v>
      </c>
      <c r="F966">
        <v>9.3000000000000007</v>
      </c>
      <c r="G966" t="s">
        <v>77</v>
      </c>
      <c r="H966" t="s">
        <v>267</v>
      </c>
      <c r="I966" t="s">
        <v>79</v>
      </c>
      <c r="J966">
        <v>360</v>
      </c>
      <c r="K966" t="s">
        <v>49</v>
      </c>
      <c r="L966" t="s">
        <v>34</v>
      </c>
      <c r="M966" t="s">
        <v>35</v>
      </c>
      <c r="N966" t="s">
        <v>61</v>
      </c>
      <c r="O966" t="s">
        <v>7232</v>
      </c>
      <c r="P966" t="s">
        <v>39</v>
      </c>
      <c r="Q966" t="s">
        <v>38</v>
      </c>
      <c r="R966">
        <v>0</v>
      </c>
      <c r="S966" t="s">
        <v>38</v>
      </c>
      <c r="T966">
        <v>10</v>
      </c>
      <c r="U966">
        <v>3.3</v>
      </c>
      <c r="V966">
        <v>29.8</v>
      </c>
      <c r="W966" t="s">
        <v>38</v>
      </c>
      <c r="X966" t="s">
        <v>63</v>
      </c>
      <c r="Y966" t="s">
        <v>39</v>
      </c>
      <c r="Z966" t="s">
        <v>81</v>
      </c>
      <c r="AA966" t="s">
        <v>42</v>
      </c>
      <c r="AB966" t="s">
        <v>83</v>
      </c>
      <c r="AC966">
        <f t="shared" si="165"/>
        <v>0</v>
      </c>
      <c r="AD966" s="12">
        <f t="shared" si="169"/>
        <v>1</v>
      </c>
      <c r="AE966" s="12">
        <f t="shared" si="170"/>
        <v>0</v>
      </c>
      <c r="AF966">
        <f t="shared" si="166"/>
        <v>0</v>
      </c>
      <c r="AG966">
        <f t="shared" si="171"/>
        <v>1</v>
      </c>
      <c r="AH966">
        <f t="shared" si="172"/>
        <v>0</v>
      </c>
      <c r="AI966">
        <f t="shared" si="173"/>
        <v>0</v>
      </c>
      <c r="AJ966">
        <f t="shared" si="174"/>
        <v>0</v>
      </c>
      <c r="AK966">
        <f t="shared" si="167"/>
        <v>0</v>
      </c>
      <c r="AL966">
        <f t="shared" si="175"/>
        <v>0</v>
      </c>
    </row>
    <row r="967" spans="1:38">
      <c r="A967" t="s">
        <v>3028</v>
      </c>
      <c r="B967" t="s">
        <v>3029</v>
      </c>
      <c r="C967" s="1">
        <f t="shared" si="168"/>
        <v>45323</v>
      </c>
      <c r="D967" t="s">
        <v>3030</v>
      </c>
      <c r="E967">
        <v>74.5</v>
      </c>
      <c r="F967">
        <v>3.1</v>
      </c>
      <c r="G967" t="s">
        <v>87</v>
      </c>
      <c r="H967" t="s">
        <v>88</v>
      </c>
      <c r="I967" t="s">
        <v>48</v>
      </c>
      <c r="J967">
        <v>120</v>
      </c>
      <c r="K967" t="s">
        <v>49</v>
      </c>
      <c r="L967" t="s">
        <v>34</v>
      </c>
      <c r="M967" t="s">
        <v>35</v>
      </c>
      <c r="N967" t="s">
        <v>80</v>
      </c>
      <c r="O967" t="s">
        <v>51</v>
      </c>
      <c r="P967" t="s">
        <v>38</v>
      </c>
      <c r="Q967" t="s">
        <v>38</v>
      </c>
      <c r="R967">
        <v>1</v>
      </c>
      <c r="S967" t="s">
        <v>38</v>
      </c>
      <c r="T967">
        <v>7</v>
      </c>
      <c r="U967">
        <v>1.7</v>
      </c>
      <c r="V967">
        <v>12.9</v>
      </c>
      <c r="W967" t="s">
        <v>39</v>
      </c>
      <c r="X967" t="s">
        <v>52</v>
      </c>
      <c r="Y967" t="s">
        <v>38</v>
      </c>
      <c r="Z967" t="s">
        <v>115</v>
      </c>
      <c r="AA967" t="s">
        <v>42</v>
      </c>
      <c r="AB967" t="s">
        <v>83</v>
      </c>
      <c r="AC967">
        <f t="shared" si="165"/>
        <v>1</v>
      </c>
      <c r="AD967" s="12">
        <f t="shared" si="169"/>
        <v>0</v>
      </c>
      <c r="AE967" s="12">
        <f t="shared" si="170"/>
        <v>0</v>
      </c>
      <c r="AF967">
        <f t="shared" si="166"/>
        <v>1</v>
      </c>
      <c r="AG967">
        <f t="shared" si="171"/>
        <v>0</v>
      </c>
      <c r="AH967">
        <f t="shared" si="172"/>
        <v>1</v>
      </c>
      <c r="AI967">
        <f t="shared" si="173"/>
        <v>0</v>
      </c>
      <c r="AJ967">
        <f t="shared" si="174"/>
        <v>0</v>
      </c>
      <c r="AK967">
        <f t="shared" si="167"/>
        <v>0</v>
      </c>
      <c r="AL967">
        <f t="shared" si="175"/>
        <v>1</v>
      </c>
    </row>
    <row r="968" spans="1:38">
      <c r="A968" t="s">
        <v>3031</v>
      </c>
      <c r="B968" t="s">
        <v>3032</v>
      </c>
      <c r="C968" s="1">
        <f t="shared" si="168"/>
        <v>45352</v>
      </c>
      <c r="D968" t="s">
        <v>3033</v>
      </c>
      <c r="E968">
        <v>192.1</v>
      </c>
      <c r="F968">
        <v>8</v>
      </c>
      <c r="G968" t="s">
        <v>142</v>
      </c>
      <c r="H968" t="s">
        <v>143</v>
      </c>
      <c r="I968" t="s">
        <v>32</v>
      </c>
      <c r="J968">
        <v>240</v>
      </c>
      <c r="K968" t="s">
        <v>49</v>
      </c>
      <c r="L968" t="s">
        <v>34</v>
      </c>
      <c r="M968" t="s">
        <v>35</v>
      </c>
      <c r="N968" t="s">
        <v>164</v>
      </c>
      <c r="O968" t="s">
        <v>51</v>
      </c>
      <c r="P968" t="s">
        <v>38</v>
      </c>
      <c r="Q968" t="s">
        <v>38</v>
      </c>
      <c r="R968">
        <v>1</v>
      </c>
      <c r="S968" t="s">
        <v>38</v>
      </c>
      <c r="T968">
        <v>6</v>
      </c>
      <c r="U968">
        <v>3.5</v>
      </c>
      <c r="V968">
        <v>8.6</v>
      </c>
      <c r="W968" t="s">
        <v>39</v>
      </c>
      <c r="X968" t="s">
        <v>123</v>
      </c>
      <c r="Y968" t="s">
        <v>39</v>
      </c>
      <c r="Z968" t="s">
        <v>179</v>
      </c>
      <c r="AA968" t="s">
        <v>54</v>
      </c>
      <c r="AB968" t="s">
        <v>55</v>
      </c>
      <c r="AC968">
        <f t="shared" si="165"/>
        <v>0</v>
      </c>
      <c r="AD968" s="12">
        <f t="shared" si="169"/>
        <v>0</v>
      </c>
      <c r="AE968" s="12">
        <f t="shared" si="170"/>
        <v>1</v>
      </c>
      <c r="AF968">
        <f t="shared" si="166"/>
        <v>1</v>
      </c>
      <c r="AG968">
        <f t="shared" si="171"/>
        <v>0</v>
      </c>
      <c r="AH968">
        <f t="shared" si="172"/>
        <v>0</v>
      </c>
      <c r="AI968">
        <f t="shared" si="173"/>
        <v>0</v>
      </c>
      <c r="AJ968">
        <f t="shared" si="174"/>
        <v>1</v>
      </c>
      <c r="AK968">
        <f t="shared" si="167"/>
        <v>0</v>
      </c>
      <c r="AL968">
        <f t="shared" si="175"/>
        <v>0</v>
      </c>
    </row>
    <row r="969" spans="1:38">
      <c r="A969" t="s">
        <v>3034</v>
      </c>
      <c r="B969" t="s">
        <v>3035</v>
      </c>
      <c r="C969" s="1">
        <f t="shared" si="168"/>
        <v>45474</v>
      </c>
      <c r="D969" t="s">
        <v>3036</v>
      </c>
      <c r="E969">
        <v>248.4</v>
      </c>
      <c r="F969">
        <v>10.4</v>
      </c>
      <c r="G969" t="s">
        <v>30</v>
      </c>
      <c r="H969" t="s">
        <v>47</v>
      </c>
      <c r="I969" t="s">
        <v>32</v>
      </c>
      <c r="J969">
        <v>240</v>
      </c>
      <c r="K969" t="s">
        <v>33</v>
      </c>
      <c r="L969" t="s">
        <v>113</v>
      </c>
      <c r="M969" t="s">
        <v>35</v>
      </c>
      <c r="N969" t="s">
        <v>144</v>
      </c>
      <c r="O969" t="s">
        <v>7232</v>
      </c>
      <c r="P969" t="s">
        <v>39</v>
      </c>
      <c r="Q969" t="s">
        <v>38</v>
      </c>
      <c r="R969">
        <v>0</v>
      </c>
      <c r="S969" t="s">
        <v>38</v>
      </c>
      <c r="T969">
        <v>8</v>
      </c>
      <c r="U969">
        <v>0.1</v>
      </c>
      <c r="V969">
        <v>18.2</v>
      </c>
      <c r="W969" t="s">
        <v>39</v>
      </c>
      <c r="X969" t="s">
        <v>40</v>
      </c>
      <c r="Y969" t="s">
        <v>39</v>
      </c>
      <c r="Z969" t="s">
        <v>115</v>
      </c>
      <c r="AA969" t="s">
        <v>42</v>
      </c>
      <c r="AB969" t="s">
        <v>55</v>
      </c>
      <c r="AC969">
        <f t="shared" si="165"/>
        <v>0</v>
      </c>
      <c r="AD969" s="12">
        <f t="shared" si="169"/>
        <v>0</v>
      </c>
      <c r="AE969" s="12">
        <f t="shared" si="170"/>
        <v>0</v>
      </c>
      <c r="AF969">
        <f t="shared" si="166"/>
        <v>0</v>
      </c>
      <c r="AG969">
        <f t="shared" si="171"/>
        <v>1</v>
      </c>
      <c r="AH969">
        <f t="shared" si="172"/>
        <v>0</v>
      </c>
      <c r="AI969">
        <f t="shared" si="173"/>
        <v>0</v>
      </c>
      <c r="AJ969">
        <f t="shared" si="174"/>
        <v>1</v>
      </c>
      <c r="AK969">
        <f t="shared" si="167"/>
        <v>1</v>
      </c>
      <c r="AL969">
        <f t="shared" si="175"/>
        <v>0</v>
      </c>
    </row>
    <row r="970" spans="1:38">
      <c r="A970" t="s">
        <v>3037</v>
      </c>
      <c r="B970" t="s">
        <v>3038</v>
      </c>
      <c r="C970" s="1">
        <f t="shared" si="168"/>
        <v>45474</v>
      </c>
      <c r="D970" t="s">
        <v>3039</v>
      </c>
      <c r="E970">
        <v>647.5</v>
      </c>
      <c r="F970">
        <v>27</v>
      </c>
      <c r="G970" t="s">
        <v>142</v>
      </c>
      <c r="H970" t="s">
        <v>143</v>
      </c>
      <c r="I970" t="s">
        <v>32</v>
      </c>
      <c r="J970">
        <v>240</v>
      </c>
      <c r="K970" t="s">
        <v>33</v>
      </c>
      <c r="L970" t="s">
        <v>96</v>
      </c>
      <c r="M970" t="s">
        <v>71</v>
      </c>
      <c r="N970" t="s">
        <v>72</v>
      </c>
      <c r="O970" t="s">
        <v>7232</v>
      </c>
      <c r="P970" t="s">
        <v>38</v>
      </c>
      <c r="Q970" t="s">
        <v>39</v>
      </c>
      <c r="R970">
        <v>1</v>
      </c>
      <c r="S970" t="s">
        <v>38</v>
      </c>
      <c r="T970">
        <v>6</v>
      </c>
      <c r="U970">
        <v>4.5</v>
      </c>
      <c r="V970">
        <v>2</v>
      </c>
      <c r="W970" t="s">
        <v>39</v>
      </c>
      <c r="X970" t="s">
        <v>52</v>
      </c>
      <c r="Y970" t="s">
        <v>38</v>
      </c>
      <c r="Z970" t="s">
        <v>41</v>
      </c>
      <c r="AA970" t="s">
        <v>42</v>
      </c>
      <c r="AB970" t="s">
        <v>83</v>
      </c>
      <c r="AC970">
        <f t="shared" si="165"/>
        <v>1</v>
      </c>
      <c r="AD970" s="12">
        <f t="shared" si="169"/>
        <v>0</v>
      </c>
      <c r="AE970" s="12">
        <f t="shared" si="170"/>
        <v>0</v>
      </c>
      <c r="AF970">
        <f t="shared" si="166"/>
        <v>0</v>
      </c>
      <c r="AG970">
        <f t="shared" si="171"/>
        <v>1</v>
      </c>
      <c r="AH970">
        <f t="shared" si="172"/>
        <v>0</v>
      </c>
      <c r="AI970">
        <f t="shared" si="173"/>
        <v>0</v>
      </c>
      <c r="AJ970">
        <f t="shared" si="174"/>
        <v>1</v>
      </c>
      <c r="AK970">
        <f t="shared" si="167"/>
        <v>0</v>
      </c>
      <c r="AL970">
        <f t="shared" si="175"/>
        <v>1</v>
      </c>
    </row>
    <row r="971" spans="1:38">
      <c r="A971" t="s">
        <v>3040</v>
      </c>
      <c r="B971" t="s">
        <v>3041</v>
      </c>
      <c r="C971" s="1">
        <f t="shared" si="168"/>
        <v>45383</v>
      </c>
      <c r="D971" t="s">
        <v>3042</v>
      </c>
      <c r="E971">
        <v>155.69999999999999</v>
      </c>
      <c r="F971">
        <v>6.5</v>
      </c>
      <c r="G971" t="s">
        <v>142</v>
      </c>
      <c r="H971" t="s">
        <v>260</v>
      </c>
      <c r="I971" t="s">
        <v>32</v>
      </c>
      <c r="J971">
        <v>240</v>
      </c>
      <c r="K971" t="s">
        <v>49</v>
      </c>
      <c r="L971" t="s">
        <v>70</v>
      </c>
      <c r="M971" t="s">
        <v>35</v>
      </c>
      <c r="N971" t="s">
        <v>107</v>
      </c>
      <c r="O971" t="s">
        <v>7232</v>
      </c>
      <c r="P971" t="s">
        <v>39</v>
      </c>
      <c r="Q971" t="s">
        <v>38</v>
      </c>
      <c r="R971">
        <v>0</v>
      </c>
      <c r="S971" t="s">
        <v>39</v>
      </c>
      <c r="T971">
        <v>9</v>
      </c>
      <c r="U971">
        <v>1.2</v>
      </c>
      <c r="V971">
        <v>38.200000000000003</v>
      </c>
      <c r="W971" t="s">
        <v>38</v>
      </c>
      <c r="X971" t="s">
        <v>63</v>
      </c>
      <c r="Y971" t="s">
        <v>39</v>
      </c>
      <c r="Z971" t="s">
        <v>115</v>
      </c>
      <c r="AA971" t="s">
        <v>54</v>
      </c>
      <c r="AB971" t="s">
        <v>83</v>
      </c>
      <c r="AC971">
        <f t="shared" si="165"/>
        <v>0</v>
      </c>
      <c r="AD971" s="12">
        <f t="shared" si="169"/>
        <v>1</v>
      </c>
      <c r="AE971" s="12">
        <f t="shared" si="170"/>
        <v>0</v>
      </c>
      <c r="AF971">
        <f t="shared" si="166"/>
        <v>0</v>
      </c>
      <c r="AG971">
        <f t="shared" si="171"/>
        <v>1</v>
      </c>
      <c r="AH971">
        <f t="shared" si="172"/>
        <v>0</v>
      </c>
      <c r="AI971">
        <f t="shared" si="173"/>
        <v>0</v>
      </c>
      <c r="AJ971">
        <f t="shared" si="174"/>
        <v>1</v>
      </c>
      <c r="AK971">
        <f t="shared" si="167"/>
        <v>0</v>
      </c>
      <c r="AL971">
        <f t="shared" si="175"/>
        <v>0</v>
      </c>
    </row>
    <row r="972" spans="1:38">
      <c r="A972" t="s">
        <v>3043</v>
      </c>
      <c r="B972" t="s">
        <v>3044</v>
      </c>
      <c r="C972" s="1">
        <f t="shared" si="168"/>
        <v>45444</v>
      </c>
      <c r="D972" t="s">
        <v>3045</v>
      </c>
      <c r="E972">
        <v>192.8</v>
      </c>
      <c r="F972">
        <v>8</v>
      </c>
      <c r="G972" t="s">
        <v>59</v>
      </c>
      <c r="H972" t="s">
        <v>132</v>
      </c>
      <c r="I972" t="s">
        <v>32</v>
      </c>
      <c r="J972">
        <v>240</v>
      </c>
      <c r="K972" t="s">
        <v>49</v>
      </c>
      <c r="L972" t="s">
        <v>70</v>
      </c>
      <c r="M972" t="s">
        <v>71</v>
      </c>
      <c r="N972" t="s">
        <v>277</v>
      </c>
      <c r="O972" t="s">
        <v>7232</v>
      </c>
      <c r="P972" t="s">
        <v>38</v>
      </c>
      <c r="Q972" t="s">
        <v>39</v>
      </c>
      <c r="R972">
        <v>3</v>
      </c>
      <c r="S972" t="s">
        <v>38</v>
      </c>
      <c r="T972">
        <v>8</v>
      </c>
      <c r="U972">
        <v>0.1</v>
      </c>
      <c r="V972">
        <v>25.5</v>
      </c>
      <c r="W972" t="s">
        <v>38</v>
      </c>
      <c r="X972" t="s">
        <v>52</v>
      </c>
      <c r="Y972" t="s">
        <v>39</v>
      </c>
      <c r="Z972" t="s">
        <v>53</v>
      </c>
      <c r="AA972" t="s">
        <v>54</v>
      </c>
      <c r="AB972" t="s">
        <v>55</v>
      </c>
      <c r="AC972">
        <f t="shared" si="165"/>
        <v>1</v>
      </c>
      <c r="AD972" s="12">
        <f t="shared" si="169"/>
        <v>0</v>
      </c>
      <c r="AE972" s="12">
        <f t="shared" si="170"/>
        <v>0</v>
      </c>
      <c r="AF972">
        <f t="shared" si="166"/>
        <v>0</v>
      </c>
      <c r="AG972">
        <f t="shared" si="171"/>
        <v>1</v>
      </c>
      <c r="AH972">
        <f t="shared" si="172"/>
        <v>0</v>
      </c>
      <c r="AI972">
        <f t="shared" si="173"/>
        <v>0</v>
      </c>
      <c r="AJ972">
        <f t="shared" si="174"/>
        <v>1</v>
      </c>
      <c r="AK972">
        <f t="shared" si="167"/>
        <v>0</v>
      </c>
      <c r="AL972">
        <f t="shared" si="175"/>
        <v>0</v>
      </c>
    </row>
    <row r="973" spans="1:38">
      <c r="A973" t="s">
        <v>3046</v>
      </c>
      <c r="B973" t="s">
        <v>3047</v>
      </c>
      <c r="C973" s="1">
        <f t="shared" si="168"/>
        <v>45292</v>
      </c>
      <c r="D973" t="s">
        <v>3048</v>
      </c>
      <c r="E973">
        <v>178.4</v>
      </c>
      <c r="F973">
        <v>7.4</v>
      </c>
      <c r="G973" t="s">
        <v>30</v>
      </c>
      <c r="H973" t="s">
        <v>31</v>
      </c>
      <c r="I973" t="s">
        <v>32</v>
      </c>
      <c r="J973">
        <v>240</v>
      </c>
      <c r="K973" t="s">
        <v>49</v>
      </c>
      <c r="L973" t="s">
        <v>96</v>
      </c>
      <c r="M973" t="s">
        <v>35</v>
      </c>
      <c r="N973" t="s">
        <v>164</v>
      </c>
      <c r="O973" t="s">
        <v>51</v>
      </c>
      <c r="P973" t="s">
        <v>38</v>
      </c>
      <c r="Q973" t="s">
        <v>38</v>
      </c>
      <c r="R973">
        <v>1</v>
      </c>
      <c r="S973" t="s">
        <v>38</v>
      </c>
      <c r="T973">
        <v>6</v>
      </c>
      <c r="U973">
        <v>1.5</v>
      </c>
      <c r="V973">
        <v>21</v>
      </c>
      <c r="W973" t="s">
        <v>38</v>
      </c>
      <c r="X973" t="s">
        <v>63</v>
      </c>
      <c r="Y973" t="s">
        <v>38</v>
      </c>
      <c r="Z973" t="s">
        <v>179</v>
      </c>
      <c r="AA973" t="s">
        <v>54</v>
      </c>
      <c r="AB973" t="s">
        <v>55</v>
      </c>
      <c r="AC973">
        <f t="shared" si="165"/>
        <v>0</v>
      </c>
      <c r="AD973" s="12">
        <f t="shared" si="169"/>
        <v>1</v>
      </c>
      <c r="AE973" s="12">
        <f t="shared" si="170"/>
        <v>0</v>
      </c>
      <c r="AF973">
        <f t="shared" si="166"/>
        <v>1</v>
      </c>
      <c r="AG973">
        <f t="shared" si="171"/>
        <v>0</v>
      </c>
      <c r="AH973">
        <f t="shared" si="172"/>
        <v>0</v>
      </c>
      <c r="AI973">
        <f t="shared" si="173"/>
        <v>0</v>
      </c>
      <c r="AJ973">
        <f t="shared" si="174"/>
        <v>1</v>
      </c>
      <c r="AK973">
        <f t="shared" si="167"/>
        <v>1</v>
      </c>
      <c r="AL973">
        <f t="shared" si="175"/>
        <v>1</v>
      </c>
    </row>
    <row r="974" spans="1:38">
      <c r="A974" t="s">
        <v>3049</v>
      </c>
      <c r="B974" t="s">
        <v>3050</v>
      </c>
      <c r="C974" s="1">
        <f t="shared" si="168"/>
        <v>45474</v>
      </c>
      <c r="D974" t="s">
        <v>3051</v>
      </c>
      <c r="E974">
        <v>194.4</v>
      </c>
      <c r="F974">
        <v>8.1</v>
      </c>
      <c r="G974" t="s">
        <v>142</v>
      </c>
      <c r="H974" t="s">
        <v>240</v>
      </c>
      <c r="I974" t="s">
        <v>32</v>
      </c>
      <c r="J974">
        <v>240</v>
      </c>
      <c r="K974" t="s">
        <v>49</v>
      </c>
      <c r="L974" t="s">
        <v>70</v>
      </c>
      <c r="M974" t="s">
        <v>35</v>
      </c>
      <c r="N974" t="s">
        <v>138</v>
      </c>
      <c r="O974" t="s">
        <v>7232</v>
      </c>
      <c r="P974" t="s">
        <v>38</v>
      </c>
      <c r="Q974" t="s">
        <v>38</v>
      </c>
      <c r="R974">
        <v>1</v>
      </c>
      <c r="S974" t="s">
        <v>38</v>
      </c>
      <c r="T974">
        <v>7</v>
      </c>
      <c r="U974">
        <v>4.5</v>
      </c>
      <c r="V974">
        <v>0</v>
      </c>
      <c r="W974" t="s">
        <v>39</v>
      </c>
      <c r="X974" t="s">
        <v>63</v>
      </c>
      <c r="Y974" t="s">
        <v>39</v>
      </c>
      <c r="Z974" t="s">
        <v>115</v>
      </c>
      <c r="AA974" t="s">
        <v>103</v>
      </c>
      <c r="AB974" t="s">
        <v>55</v>
      </c>
      <c r="AC974">
        <f t="shared" si="165"/>
        <v>0</v>
      </c>
      <c r="AD974" s="12">
        <f t="shared" si="169"/>
        <v>1</v>
      </c>
      <c r="AE974" s="12">
        <f t="shared" si="170"/>
        <v>0</v>
      </c>
      <c r="AF974">
        <f t="shared" si="166"/>
        <v>0</v>
      </c>
      <c r="AG974">
        <f t="shared" si="171"/>
        <v>1</v>
      </c>
      <c r="AH974">
        <f t="shared" si="172"/>
        <v>0</v>
      </c>
      <c r="AI974">
        <f t="shared" si="173"/>
        <v>0</v>
      </c>
      <c r="AJ974">
        <f t="shared" si="174"/>
        <v>1</v>
      </c>
      <c r="AK974">
        <f t="shared" si="167"/>
        <v>0</v>
      </c>
      <c r="AL974">
        <f t="shared" si="175"/>
        <v>0</v>
      </c>
    </row>
    <row r="975" spans="1:38">
      <c r="A975" t="s">
        <v>3052</v>
      </c>
      <c r="B975" t="s">
        <v>3053</v>
      </c>
      <c r="C975" s="1">
        <f t="shared" si="168"/>
        <v>45627</v>
      </c>
      <c r="D975" t="s">
        <v>3054</v>
      </c>
      <c r="E975">
        <v>304.2</v>
      </c>
      <c r="F975">
        <v>12.7</v>
      </c>
      <c r="G975" t="s">
        <v>77</v>
      </c>
      <c r="H975" t="s">
        <v>78</v>
      </c>
      <c r="I975" t="s">
        <v>79</v>
      </c>
      <c r="J975">
        <v>360</v>
      </c>
      <c r="K975" t="s">
        <v>49</v>
      </c>
      <c r="L975" t="s">
        <v>96</v>
      </c>
      <c r="M975" t="s">
        <v>35</v>
      </c>
      <c r="N975" t="s">
        <v>97</v>
      </c>
      <c r="O975" t="s">
        <v>51</v>
      </c>
      <c r="P975" t="s">
        <v>39</v>
      </c>
      <c r="Q975" t="s">
        <v>38</v>
      </c>
      <c r="R975">
        <v>0</v>
      </c>
      <c r="S975" t="s">
        <v>38</v>
      </c>
      <c r="T975">
        <v>9</v>
      </c>
      <c r="U975">
        <v>1.1000000000000001</v>
      </c>
      <c r="V975">
        <v>36.6</v>
      </c>
      <c r="W975" t="s">
        <v>39</v>
      </c>
      <c r="X975" t="s">
        <v>63</v>
      </c>
      <c r="Y975" t="s">
        <v>38</v>
      </c>
      <c r="Z975" t="s">
        <v>115</v>
      </c>
      <c r="AA975" t="s">
        <v>54</v>
      </c>
      <c r="AB975" t="s">
        <v>83</v>
      </c>
      <c r="AC975">
        <f t="shared" si="165"/>
        <v>0</v>
      </c>
      <c r="AD975" s="12">
        <f t="shared" si="169"/>
        <v>1</v>
      </c>
      <c r="AE975" s="12">
        <f t="shared" si="170"/>
        <v>0</v>
      </c>
      <c r="AF975">
        <f t="shared" si="166"/>
        <v>1</v>
      </c>
      <c r="AG975">
        <f t="shared" si="171"/>
        <v>0</v>
      </c>
      <c r="AH975">
        <f t="shared" si="172"/>
        <v>0</v>
      </c>
      <c r="AI975">
        <f t="shared" si="173"/>
        <v>0</v>
      </c>
      <c r="AJ975">
        <f t="shared" si="174"/>
        <v>0</v>
      </c>
      <c r="AK975">
        <f t="shared" si="167"/>
        <v>0</v>
      </c>
      <c r="AL975">
        <f t="shared" si="175"/>
        <v>1</v>
      </c>
    </row>
    <row r="976" spans="1:38">
      <c r="A976" t="s">
        <v>3055</v>
      </c>
      <c r="B976" t="s">
        <v>3056</v>
      </c>
      <c r="C976" s="1">
        <f t="shared" si="168"/>
        <v>45323</v>
      </c>
      <c r="D976" t="s">
        <v>3057</v>
      </c>
      <c r="E976">
        <v>180.3</v>
      </c>
      <c r="F976">
        <v>7.5</v>
      </c>
      <c r="G976" t="s">
        <v>77</v>
      </c>
      <c r="H976" t="s">
        <v>244</v>
      </c>
      <c r="I976" t="s">
        <v>32</v>
      </c>
      <c r="J976">
        <v>240</v>
      </c>
      <c r="K976" t="s">
        <v>49</v>
      </c>
      <c r="L976" t="s">
        <v>133</v>
      </c>
      <c r="M976" t="s">
        <v>35</v>
      </c>
      <c r="N976" t="s">
        <v>277</v>
      </c>
      <c r="O976" t="s">
        <v>7232</v>
      </c>
      <c r="P976" t="s">
        <v>39</v>
      </c>
      <c r="Q976" t="s">
        <v>38</v>
      </c>
      <c r="R976">
        <v>0</v>
      </c>
      <c r="S976" t="s">
        <v>38</v>
      </c>
      <c r="T976">
        <v>9</v>
      </c>
      <c r="U976">
        <v>3.4</v>
      </c>
      <c r="V976">
        <v>0</v>
      </c>
      <c r="W976" t="s">
        <v>39</v>
      </c>
      <c r="X976" t="s">
        <v>52</v>
      </c>
      <c r="Y976" t="s">
        <v>39</v>
      </c>
      <c r="Z976" t="s">
        <v>115</v>
      </c>
      <c r="AA976" t="s">
        <v>54</v>
      </c>
      <c r="AB976" t="s">
        <v>43</v>
      </c>
      <c r="AC976">
        <f t="shared" si="165"/>
        <v>1</v>
      </c>
      <c r="AD976" s="12">
        <f t="shared" si="169"/>
        <v>0</v>
      </c>
      <c r="AE976" s="12">
        <f t="shared" si="170"/>
        <v>0</v>
      </c>
      <c r="AF976">
        <f t="shared" si="166"/>
        <v>0</v>
      </c>
      <c r="AG976">
        <f t="shared" si="171"/>
        <v>1</v>
      </c>
      <c r="AH976">
        <f t="shared" si="172"/>
        <v>0</v>
      </c>
      <c r="AI976">
        <f t="shared" si="173"/>
        <v>0</v>
      </c>
      <c r="AJ976">
        <f t="shared" si="174"/>
        <v>1</v>
      </c>
      <c r="AK976">
        <f t="shared" si="167"/>
        <v>0</v>
      </c>
      <c r="AL976">
        <f t="shared" si="175"/>
        <v>0</v>
      </c>
    </row>
    <row r="977" spans="1:38">
      <c r="A977" t="s">
        <v>3058</v>
      </c>
      <c r="B977" t="s">
        <v>3059</v>
      </c>
      <c r="C977" s="1">
        <f t="shared" si="168"/>
        <v>45292</v>
      </c>
      <c r="D977" t="s">
        <v>3060</v>
      </c>
      <c r="E977">
        <v>127.4</v>
      </c>
      <c r="F977">
        <v>5.3</v>
      </c>
      <c r="G977" t="s">
        <v>87</v>
      </c>
      <c r="H977" t="s">
        <v>183</v>
      </c>
      <c r="I977" t="s">
        <v>95</v>
      </c>
      <c r="J977">
        <v>48</v>
      </c>
      <c r="K977" t="s">
        <v>33</v>
      </c>
      <c r="L977" t="s">
        <v>96</v>
      </c>
      <c r="M977" t="s">
        <v>71</v>
      </c>
      <c r="N977" t="s">
        <v>506</v>
      </c>
      <c r="O977" t="s">
        <v>37</v>
      </c>
      <c r="P977" t="s">
        <v>38</v>
      </c>
      <c r="Q977" t="s">
        <v>39</v>
      </c>
      <c r="R977">
        <v>2</v>
      </c>
      <c r="S977" t="s">
        <v>38</v>
      </c>
      <c r="T977">
        <v>6</v>
      </c>
      <c r="U977">
        <v>6.2</v>
      </c>
      <c r="V977">
        <v>31.2</v>
      </c>
      <c r="W977" t="s">
        <v>39</v>
      </c>
      <c r="X977" t="s">
        <v>63</v>
      </c>
      <c r="Y977" t="s">
        <v>38</v>
      </c>
      <c r="Z977" t="s">
        <v>81</v>
      </c>
      <c r="AA977" t="s">
        <v>82</v>
      </c>
      <c r="AB977" t="s">
        <v>43</v>
      </c>
      <c r="AC977">
        <f t="shared" si="165"/>
        <v>0</v>
      </c>
      <c r="AD977" s="12">
        <f t="shared" si="169"/>
        <v>1</v>
      </c>
      <c r="AE977" s="12">
        <f t="shared" si="170"/>
        <v>0</v>
      </c>
      <c r="AF977">
        <f t="shared" si="166"/>
        <v>0</v>
      </c>
      <c r="AG977">
        <f t="shared" si="171"/>
        <v>0</v>
      </c>
      <c r="AH977">
        <f t="shared" si="172"/>
        <v>0</v>
      </c>
      <c r="AI977">
        <f t="shared" si="173"/>
        <v>1</v>
      </c>
      <c r="AJ977">
        <f t="shared" si="174"/>
        <v>0</v>
      </c>
      <c r="AK977">
        <f t="shared" si="167"/>
        <v>0</v>
      </c>
      <c r="AL977">
        <f t="shared" si="175"/>
        <v>1</v>
      </c>
    </row>
    <row r="978" spans="1:38">
      <c r="A978" t="s">
        <v>3061</v>
      </c>
      <c r="B978" t="s">
        <v>3062</v>
      </c>
      <c r="C978" s="1">
        <f t="shared" si="168"/>
        <v>45474</v>
      </c>
      <c r="D978" t="s">
        <v>3063</v>
      </c>
      <c r="E978">
        <v>140.80000000000001</v>
      </c>
      <c r="F978">
        <v>5.9</v>
      </c>
      <c r="G978" t="s">
        <v>101</v>
      </c>
      <c r="H978" t="s">
        <v>368</v>
      </c>
      <c r="I978" t="s">
        <v>48</v>
      </c>
      <c r="J978">
        <v>120</v>
      </c>
      <c r="K978" t="s">
        <v>33</v>
      </c>
      <c r="L978" t="s">
        <v>113</v>
      </c>
      <c r="M978" t="s">
        <v>35</v>
      </c>
      <c r="N978" t="s">
        <v>202</v>
      </c>
      <c r="O978" t="s">
        <v>7232</v>
      </c>
      <c r="P978" t="s">
        <v>38</v>
      </c>
      <c r="Q978" t="s">
        <v>38</v>
      </c>
      <c r="R978">
        <v>1</v>
      </c>
      <c r="S978" t="s">
        <v>38</v>
      </c>
      <c r="T978">
        <v>7</v>
      </c>
      <c r="U978">
        <v>3.1</v>
      </c>
      <c r="V978">
        <v>30.3</v>
      </c>
      <c r="W978" t="s">
        <v>39</v>
      </c>
      <c r="X978" t="s">
        <v>63</v>
      </c>
      <c r="Y978" t="s">
        <v>39</v>
      </c>
      <c r="Z978" t="s">
        <v>73</v>
      </c>
      <c r="AA978" t="s">
        <v>103</v>
      </c>
      <c r="AB978" t="s">
        <v>55</v>
      </c>
      <c r="AC978">
        <f t="shared" si="165"/>
        <v>0</v>
      </c>
      <c r="AD978" s="12">
        <f t="shared" si="169"/>
        <v>1</v>
      </c>
      <c r="AE978" s="12">
        <f t="shared" si="170"/>
        <v>0</v>
      </c>
      <c r="AF978">
        <f t="shared" si="166"/>
        <v>0</v>
      </c>
      <c r="AG978">
        <f t="shared" si="171"/>
        <v>1</v>
      </c>
      <c r="AH978">
        <f t="shared" si="172"/>
        <v>1</v>
      </c>
      <c r="AI978">
        <f t="shared" si="173"/>
        <v>0</v>
      </c>
      <c r="AJ978">
        <f t="shared" si="174"/>
        <v>0</v>
      </c>
      <c r="AK978">
        <f t="shared" si="167"/>
        <v>0</v>
      </c>
      <c r="AL978">
        <f t="shared" si="175"/>
        <v>0</v>
      </c>
    </row>
    <row r="979" spans="1:38">
      <c r="A979" t="s">
        <v>3064</v>
      </c>
      <c r="B979" t="s">
        <v>3065</v>
      </c>
      <c r="C979" s="1">
        <f t="shared" si="168"/>
        <v>45627</v>
      </c>
      <c r="D979" t="s">
        <v>3066</v>
      </c>
      <c r="E979">
        <v>98.5</v>
      </c>
      <c r="F979">
        <v>4.0999999999999996</v>
      </c>
      <c r="G979" t="s">
        <v>59</v>
      </c>
      <c r="H979" t="s">
        <v>60</v>
      </c>
      <c r="I979" t="s">
        <v>48</v>
      </c>
      <c r="J979">
        <v>120</v>
      </c>
      <c r="K979" t="s">
        <v>49</v>
      </c>
      <c r="L979" t="s">
        <v>70</v>
      </c>
      <c r="M979" t="s">
        <v>71</v>
      </c>
      <c r="N979" t="s">
        <v>36</v>
      </c>
      <c r="O979" t="s">
        <v>51</v>
      </c>
      <c r="P979" t="s">
        <v>38</v>
      </c>
      <c r="Q979" t="s">
        <v>39</v>
      </c>
      <c r="R979">
        <v>2</v>
      </c>
      <c r="S979" t="s">
        <v>38</v>
      </c>
      <c r="T979">
        <v>9</v>
      </c>
      <c r="U979">
        <v>1.6</v>
      </c>
      <c r="V979">
        <v>39.799999999999997</v>
      </c>
      <c r="W979" t="s">
        <v>38</v>
      </c>
      <c r="X979" t="s">
        <v>123</v>
      </c>
      <c r="Y979" t="s">
        <v>39</v>
      </c>
      <c r="Z979" t="s">
        <v>64</v>
      </c>
      <c r="AA979" t="s">
        <v>42</v>
      </c>
      <c r="AB979" t="s">
        <v>55</v>
      </c>
      <c r="AC979">
        <f t="shared" si="165"/>
        <v>0</v>
      </c>
      <c r="AD979" s="12">
        <f t="shared" si="169"/>
        <v>0</v>
      </c>
      <c r="AE979" s="12">
        <f t="shared" si="170"/>
        <v>1</v>
      </c>
      <c r="AF979">
        <f t="shared" si="166"/>
        <v>1</v>
      </c>
      <c r="AG979">
        <f t="shared" si="171"/>
        <v>0</v>
      </c>
      <c r="AH979">
        <f t="shared" si="172"/>
        <v>1</v>
      </c>
      <c r="AI979">
        <f t="shared" si="173"/>
        <v>0</v>
      </c>
      <c r="AJ979">
        <f t="shared" si="174"/>
        <v>0</v>
      </c>
      <c r="AK979">
        <f t="shared" si="167"/>
        <v>0</v>
      </c>
      <c r="AL979">
        <f t="shared" si="175"/>
        <v>0</v>
      </c>
    </row>
    <row r="980" spans="1:38">
      <c r="A980" t="s">
        <v>3067</v>
      </c>
      <c r="B980" t="s">
        <v>3068</v>
      </c>
      <c r="C980" s="1">
        <f t="shared" si="168"/>
        <v>45536</v>
      </c>
      <c r="D980" t="s">
        <v>3069</v>
      </c>
      <c r="E980">
        <v>181.6</v>
      </c>
      <c r="F980">
        <v>7.6</v>
      </c>
      <c r="G980" t="s">
        <v>87</v>
      </c>
      <c r="H980" t="s">
        <v>309</v>
      </c>
      <c r="I980" t="s">
        <v>32</v>
      </c>
      <c r="J980">
        <v>240</v>
      </c>
      <c r="K980" t="s">
        <v>49</v>
      </c>
      <c r="L980" t="s">
        <v>96</v>
      </c>
      <c r="M980" t="s">
        <v>35</v>
      </c>
      <c r="N980" t="s">
        <v>61</v>
      </c>
      <c r="O980" t="s">
        <v>37</v>
      </c>
      <c r="P980" t="s">
        <v>38</v>
      </c>
      <c r="Q980" t="s">
        <v>38</v>
      </c>
      <c r="R980">
        <v>1</v>
      </c>
      <c r="S980" t="s">
        <v>39</v>
      </c>
      <c r="T980">
        <v>6</v>
      </c>
      <c r="U980">
        <v>1.1000000000000001</v>
      </c>
      <c r="V980">
        <v>31.2</v>
      </c>
      <c r="W980" t="s">
        <v>39</v>
      </c>
      <c r="X980" t="s">
        <v>63</v>
      </c>
      <c r="Y980" t="s">
        <v>39</v>
      </c>
      <c r="Z980" t="s">
        <v>179</v>
      </c>
      <c r="AA980" t="s">
        <v>42</v>
      </c>
      <c r="AB980" t="s">
        <v>83</v>
      </c>
      <c r="AC980">
        <f t="shared" si="165"/>
        <v>0</v>
      </c>
      <c r="AD980" s="12">
        <f t="shared" si="169"/>
        <v>1</v>
      </c>
      <c r="AE980" s="12">
        <f t="shared" si="170"/>
        <v>0</v>
      </c>
      <c r="AF980">
        <f t="shared" si="166"/>
        <v>0</v>
      </c>
      <c r="AG980">
        <f t="shared" si="171"/>
        <v>0</v>
      </c>
      <c r="AH980">
        <f t="shared" si="172"/>
        <v>0</v>
      </c>
      <c r="AI980">
        <f t="shared" si="173"/>
        <v>0</v>
      </c>
      <c r="AJ980">
        <f t="shared" si="174"/>
        <v>1</v>
      </c>
      <c r="AK980">
        <f t="shared" si="167"/>
        <v>0</v>
      </c>
      <c r="AL980">
        <f t="shared" si="175"/>
        <v>0</v>
      </c>
    </row>
    <row r="981" spans="1:38">
      <c r="A981" t="s">
        <v>3070</v>
      </c>
      <c r="B981" t="s">
        <v>3071</v>
      </c>
      <c r="C981" s="1">
        <f t="shared" si="168"/>
        <v>45566</v>
      </c>
      <c r="D981" t="s">
        <v>3072</v>
      </c>
      <c r="E981">
        <v>354.3</v>
      </c>
      <c r="F981">
        <v>14.8</v>
      </c>
      <c r="G981" t="s">
        <v>30</v>
      </c>
      <c r="H981" t="s">
        <v>47</v>
      </c>
      <c r="I981" t="s">
        <v>32</v>
      </c>
      <c r="J981">
        <v>240</v>
      </c>
      <c r="K981" t="s">
        <v>33</v>
      </c>
      <c r="L981" t="s">
        <v>70</v>
      </c>
      <c r="M981" t="s">
        <v>35</v>
      </c>
      <c r="N981" t="s">
        <v>89</v>
      </c>
      <c r="O981" t="s">
        <v>7232</v>
      </c>
      <c r="P981" t="s">
        <v>38</v>
      </c>
      <c r="Q981" t="s">
        <v>38</v>
      </c>
      <c r="R981">
        <v>1</v>
      </c>
      <c r="S981" t="s">
        <v>38</v>
      </c>
      <c r="T981">
        <v>2</v>
      </c>
      <c r="U981">
        <v>2.2999999999999998</v>
      </c>
      <c r="V981">
        <v>37.299999999999997</v>
      </c>
      <c r="W981" t="s">
        <v>39</v>
      </c>
      <c r="X981" t="s">
        <v>123</v>
      </c>
      <c r="Y981" t="s">
        <v>39</v>
      </c>
      <c r="Z981" t="s">
        <v>179</v>
      </c>
      <c r="AA981" t="s">
        <v>54</v>
      </c>
      <c r="AB981" t="s">
        <v>55</v>
      </c>
      <c r="AC981">
        <f t="shared" si="165"/>
        <v>0</v>
      </c>
      <c r="AD981" s="12">
        <f t="shared" si="169"/>
        <v>0</v>
      </c>
      <c r="AE981" s="12">
        <f t="shared" si="170"/>
        <v>1</v>
      </c>
      <c r="AF981">
        <f t="shared" si="166"/>
        <v>0</v>
      </c>
      <c r="AG981">
        <f t="shared" si="171"/>
        <v>1</v>
      </c>
      <c r="AH981">
        <f t="shared" si="172"/>
        <v>0</v>
      </c>
      <c r="AI981">
        <f t="shared" si="173"/>
        <v>0</v>
      </c>
      <c r="AJ981">
        <f t="shared" si="174"/>
        <v>1</v>
      </c>
      <c r="AK981">
        <f t="shared" si="167"/>
        <v>1</v>
      </c>
      <c r="AL981">
        <f t="shared" si="175"/>
        <v>0</v>
      </c>
    </row>
    <row r="982" spans="1:38">
      <c r="A982" t="s">
        <v>3073</v>
      </c>
      <c r="B982" t="s">
        <v>3074</v>
      </c>
      <c r="C982" s="1">
        <f t="shared" si="168"/>
        <v>45597</v>
      </c>
      <c r="D982" t="s">
        <v>3075</v>
      </c>
      <c r="E982">
        <v>103.4</v>
      </c>
      <c r="F982">
        <v>4.3</v>
      </c>
      <c r="G982" t="s">
        <v>87</v>
      </c>
      <c r="H982" t="s">
        <v>309</v>
      </c>
      <c r="I982" t="s">
        <v>48</v>
      </c>
      <c r="J982">
        <v>120</v>
      </c>
      <c r="K982" t="s">
        <v>49</v>
      </c>
      <c r="L982" t="s">
        <v>34</v>
      </c>
      <c r="M982" t="s">
        <v>71</v>
      </c>
      <c r="N982" t="s">
        <v>61</v>
      </c>
      <c r="O982" t="s">
        <v>7232</v>
      </c>
      <c r="P982" t="s">
        <v>38</v>
      </c>
      <c r="Q982" t="s">
        <v>39</v>
      </c>
      <c r="R982">
        <v>1</v>
      </c>
      <c r="S982" t="s">
        <v>38</v>
      </c>
      <c r="T982">
        <v>8</v>
      </c>
      <c r="U982">
        <v>0.1</v>
      </c>
      <c r="V982">
        <v>11.7</v>
      </c>
      <c r="W982" t="s">
        <v>39</v>
      </c>
      <c r="X982" t="s">
        <v>52</v>
      </c>
      <c r="Y982" t="s">
        <v>39</v>
      </c>
      <c r="Z982" t="s">
        <v>64</v>
      </c>
      <c r="AA982" t="s">
        <v>42</v>
      </c>
      <c r="AB982" t="s">
        <v>55</v>
      </c>
      <c r="AC982">
        <f t="shared" si="165"/>
        <v>1</v>
      </c>
      <c r="AD982" s="12">
        <f t="shared" si="169"/>
        <v>0</v>
      </c>
      <c r="AE982" s="12">
        <f t="shared" si="170"/>
        <v>0</v>
      </c>
      <c r="AF982">
        <f t="shared" si="166"/>
        <v>0</v>
      </c>
      <c r="AG982">
        <f t="shared" si="171"/>
        <v>1</v>
      </c>
      <c r="AH982">
        <f t="shared" si="172"/>
        <v>1</v>
      </c>
      <c r="AI982">
        <f t="shared" si="173"/>
        <v>0</v>
      </c>
      <c r="AJ982">
        <f t="shared" si="174"/>
        <v>0</v>
      </c>
      <c r="AK982">
        <f t="shared" si="167"/>
        <v>0</v>
      </c>
      <c r="AL982">
        <f t="shared" si="175"/>
        <v>0</v>
      </c>
    </row>
    <row r="983" spans="1:38">
      <c r="A983" t="s">
        <v>3076</v>
      </c>
      <c r="B983" t="s">
        <v>3077</v>
      </c>
      <c r="C983" s="1">
        <f t="shared" si="168"/>
        <v>45413</v>
      </c>
      <c r="D983" t="s">
        <v>3078</v>
      </c>
      <c r="E983">
        <v>94.3</v>
      </c>
      <c r="F983">
        <v>3.9</v>
      </c>
      <c r="G983" t="s">
        <v>142</v>
      </c>
      <c r="H983" t="s">
        <v>143</v>
      </c>
      <c r="I983" t="s">
        <v>48</v>
      </c>
      <c r="J983">
        <v>120</v>
      </c>
      <c r="K983" t="s">
        <v>49</v>
      </c>
      <c r="L983" t="s">
        <v>70</v>
      </c>
      <c r="M983" t="s">
        <v>35</v>
      </c>
      <c r="N983" t="s">
        <v>164</v>
      </c>
      <c r="O983" t="s">
        <v>7232</v>
      </c>
      <c r="P983" t="s">
        <v>39</v>
      </c>
      <c r="Q983" t="s">
        <v>38</v>
      </c>
      <c r="R983">
        <v>0</v>
      </c>
      <c r="S983" t="s">
        <v>39</v>
      </c>
      <c r="T983">
        <v>9</v>
      </c>
      <c r="U983">
        <v>1.2</v>
      </c>
      <c r="V983">
        <v>22.1</v>
      </c>
      <c r="W983" t="s">
        <v>39</v>
      </c>
      <c r="X983" t="s">
        <v>123</v>
      </c>
      <c r="Y983" t="s">
        <v>39</v>
      </c>
      <c r="Z983" t="s">
        <v>73</v>
      </c>
      <c r="AA983" t="s">
        <v>109</v>
      </c>
      <c r="AB983" t="s">
        <v>83</v>
      </c>
      <c r="AC983">
        <f t="shared" si="165"/>
        <v>0</v>
      </c>
      <c r="AD983" s="12">
        <f t="shared" si="169"/>
        <v>0</v>
      </c>
      <c r="AE983" s="12">
        <f t="shared" si="170"/>
        <v>1</v>
      </c>
      <c r="AF983">
        <f t="shared" si="166"/>
        <v>0</v>
      </c>
      <c r="AG983">
        <f t="shared" si="171"/>
        <v>1</v>
      </c>
      <c r="AH983">
        <f t="shared" si="172"/>
        <v>1</v>
      </c>
      <c r="AI983">
        <f t="shared" si="173"/>
        <v>0</v>
      </c>
      <c r="AJ983">
        <f t="shared" si="174"/>
        <v>0</v>
      </c>
      <c r="AK983">
        <f t="shared" si="167"/>
        <v>0</v>
      </c>
      <c r="AL983">
        <f t="shared" si="175"/>
        <v>0</v>
      </c>
    </row>
    <row r="984" spans="1:38">
      <c r="A984" t="s">
        <v>3079</v>
      </c>
      <c r="B984" t="s">
        <v>3080</v>
      </c>
      <c r="C984" s="1">
        <f t="shared" si="168"/>
        <v>45627</v>
      </c>
      <c r="D984" t="s">
        <v>3081</v>
      </c>
      <c r="E984">
        <v>246.3</v>
      </c>
      <c r="F984">
        <v>10.3</v>
      </c>
      <c r="G984" t="s">
        <v>142</v>
      </c>
      <c r="H984" t="s">
        <v>143</v>
      </c>
      <c r="I984" t="s">
        <v>32</v>
      </c>
      <c r="J984">
        <v>240</v>
      </c>
      <c r="K984" t="s">
        <v>33</v>
      </c>
      <c r="L984" t="s">
        <v>133</v>
      </c>
      <c r="M984" t="s">
        <v>35</v>
      </c>
      <c r="N984" t="s">
        <v>414</v>
      </c>
      <c r="O984" t="s">
        <v>37</v>
      </c>
      <c r="P984" t="s">
        <v>39</v>
      </c>
      <c r="Q984" t="s">
        <v>38</v>
      </c>
      <c r="R984">
        <v>0</v>
      </c>
      <c r="S984" t="s">
        <v>38</v>
      </c>
      <c r="T984">
        <v>8</v>
      </c>
      <c r="U984">
        <v>4.3</v>
      </c>
      <c r="V984">
        <v>24.8</v>
      </c>
      <c r="W984" t="s">
        <v>38</v>
      </c>
      <c r="X984" t="s">
        <v>52</v>
      </c>
      <c r="Y984" t="s">
        <v>39</v>
      </c>
      <c r="Z984" t="s">
        <v>115</v>
      </c>
      <c r="AA984" t="s">
        <v>82</v>
      </c>
      <c r="AB984" t="s">
        <v>83</v>
      </c>
      <c r="AC984">
        <f t="shared" si="165"/>
        <v>1</v>
      </c>
      <c r="AD984" s="12">
        <f t="shared" si="169"/>
        <v>0</v>
      </c>
      <c r="AE984" s="12">
        <f t="shared" si="170"/>
        <v>0</v>
      </c>
      <c r="AF984">
        <f t="shared" si="166"/>
        <v>0</v>
      </c>
      <c r="AG984">
        <f t="shared" si="171"/>
        <v>0</v>
      </c>
      <c r="AH984">
        <f t="shared" si="172"/>
        <v>0</v>
      </c>
      <c r="AI984">
        <f t="shared" si="173"/>
        <v>0</v>
      </c>
      <c r="AJ984">
        <f t="shared" si="174"/>
        <v>1</v>
      </c>
      <c r="AK984">
        <f t="shared" si="167"/>
        <v>0</v>
      </c>
      <c r="AL984">
        <f t="shared" si="175"/>
        <v>0</v>
      </c>
    </row>
    <row r="985" spans="1:38">
      <c r="A985" t="s">
        <v>3082</v>
      </c>
      <c r="B985" t="s">
        <v>3083</v>
      </c>
      <c r="C985" s="1">
        <f t="shared" si="168"/>
        <v>45597</v>
      </c>
      <c r="D985" t="s">
        <v>3084</v>
      </c>
      <c r="E985">
        <v>358.8</v>
      </c>
      <c r="F985">
        <v>15</v>
      </c>
      <c r="G985" t="s">
        <v>142</v>
      </c>
      <c r="H985" t="s">
        <v>319</v>
      </c>
      <c r="I985" t="s">
        <v>32</v>
      </c>
      <c r="J985">
        <v>240</v>
      </c>
      <c r="K985" t="s">
        <v>33</v>
      </c>
      <c r="L985" t="s">
        <v>70</v>
      </c>
      <c r="M985" t="s">
        <v>71</v>
      </c>
      <c r="N985" t="s">
        <v>128</v>
      </c>
      <c r="O985" t="s">
        <v>51</v>
      </c>
      <c r="P985" t="s">
        <v>38</v>
      </c>
      <c r="Q985" t="s">
        <v>39</v>
      </c>
      <c r="R985">
        <v>1</v>
      </c>
      <c r="S985" t="s">
        <v>38</v>
      </c>
      <c r="T985">
        <v>7</v>
      </c>
      <c r="U985">
        <v>3.4</v>
      </c>
      <c r="V985">
        <v>19.100000000000001</v>
      </c>
      <c r="W985" t="s">
        <v>39</v>
      </c>
      <c r="X985" t="s">
        <v>52</v>
      </c>
      <c r="Y985" t="s">
        <v>39</v>
      </c>
      <c r="Z985" t="s">
        <v>81</v>
      </c>
      <c r="AA985" t="s">
        <v>82</v>
      </c>
      <c r="AB985" t="s">
        <v>55</v>
      </c>
      <c r="AC985">
        <f t="shared" si="165"/>
        <v>1</v>
      </c>
      <c r="AD985" s="12">
        <f t="shared" si="169"/>
        <v>0</v>
      </c>
      <c r="AE985" s="12">
        <f t="shared" si="170"/>
        <v>0</v>
      </c>
      <c r="AF985">
        <f t="shared" si="166"/>
        <v>1</v>
      </c>
      <c r="AG985">
        <f t="shared" si="171"/>
        <v>0</v>
      </c>
      <c r="AH985">
        <f t="shared" si="172"/>
        <v>0</v>
      </c>
      <c r="AI985">
        <f t="shared" si="173"/>
        <v>0</v>
      </c>
      <c r="AJ985">
        <f t="shared" si="174"/>
        <v>1</v>
      </c>
      <c r="AK985">
        <f t="shared" si="167"/>
        <v>0</v>
      </c>
      <c r="AL985">
        <f t="shared" si="175"/>
        <v>0</v>
      </c>
    </row>
    <row r="986" spans="1:38">
      <c r="A986" t="s">
        <v>3085</v>
      </c>
      <c r="B986" t="s">
        <v>3086</v>
      </c>
      <c r="C986" s="1">
        <f t="shared" si="168"/>
        <v>45292</v>
      </c>
      <c r="D986" t="s">
        <v>3087</v>
      </c>
      <c r="E986">
        <v>297.2</v>
      </c>
      <c r="F986">
        <v>12.4</v>
      </c>
      <c r="G986" t="s">
        <v>87</v>
      </c>
      <c r="H986" t="s">
        <v>88</v>
      </c>
      <c r="I986" t="s">
        <v>32</v>
      </c>
      <c r="J986">
        <v>240</v>
      </c>
      <c r="K986" t="s">
        <v>33</v>
      </c>
      <c r="L986" t="s">
        <v>70</v>
      </c>
      <c r="M986" t="s">
        <v>71</v>
      </c>
      <c r="N986" t="s">
        <v>134</v>
      </c>
      <c r="O986" t="s">
        <v>51</v>
      </c>
      <c r="P986" t="s">
        <v>38</v>
      </c>
      <c r="Q986" t="s">
        <v>39</v>
      </c>
      <c r="R986">
        <v>2</v>
      </c>
      <c r="S986" t="s">
        <v>39</v>
      </c>
      <c r="T986">
        <v>5</v>
      </c>
      <c r="U986">
        <v>3.9</v>
      </c>
      <c r="V986">
        <v>29.6</v>
      </c>
      <c r="W986" t="s">
        <v>39</v>
      </c>
      <c r="X986" t="s">
        <v>40</v>
      </c>
      <c r="Y986" t="s">
        <v>38</v>
      </c>
      <c r="Z986" t="s">
        <v>73</v>
      </c>
      <c r="AA986" t="s">
        <v>54</v>
      </c>
      <c r="AB986" t="s">
        <v>83</v>
      </c>
      <c r="AC986">
        <f t="shared" si="165"/>
        <v>0</v>
      </c>
      <c r="AD986" s="12">
        <f t="shared" si="169"/>
        <v>0</v>
      </c>
      <c r="AE986" s="12">
        <f t="shared" si="170"/>
        <v>0</v>
      </c>
      <c r="AF986">
        <f t="shared" si="166"/>
        <v>1</v>
      </c>
      <c r="AG986">
        <f t="shared" si="171"/>
        <v>0</v>
      </c>
      <c r="AH986">
        <f t="shared" si="172"/>
        <v>0</v>
      </c>
      <c r="AI986">
        <f t="shared" si="173"/>
        <v>0</v>
      </c>
      <c r="AJ986">
        <f t="shared" si="174"/>
        <v>1</v>
      </c>
      <c r="AK986">
        <f t="shared" si="167"/>
        <v>0</v>
      </c>
      <c r="AL986">
        <f t="shared" si="175"/>
        <v>1</v>
      </c>
    </row>
    <row r="987" spans="1:38">
      <c r="A987" t="s">
        <v>3088</v>
      </c>
      <c r="B987" t="s">
        <v>3089</v>
      </c>
      <c r="C987" s="1">
        <f t="shared" si="168"/>
        <v>45566</v>
      </c>
      <c r="D987" t="s">
        <v>3090</v>
      </c>
      <c r="E987">
        <v>74.7</v>
      </c>
      <c r="F987">
        <v>3.1</v>
      </c>
      <c r="G987" t="s">
        <v>87</v>
      </c>
      <c r="H987" t="s">
        <v>151</v>
      </c>
      <c r="I987" t="s">
        <v>48</v>
      </c>
      <c r="J987">
        <v>120</v>
      </c>
      <c r="K987" t="s">
        <v>49</v>
      </c>
      <c r="L987" t="s">
        <v>96</v>
      </c>
      <c r="M987" t="s">
        <v>35</v>
      </c>
      <c r="N987" t="s">
        <v>220</v>
      </c>
      <c r="O987" t="s">
        <v>51</v>
      </c>
      <c r="P987" t="s">
        <v>39</v>
      </c>
      <c r="Q987" t="s">
        <v>38</v>
      </c>
      <c r="R987">
        <v>0</v>
      </c>
      <c r="S987" t="s">
        <v>38</v>
      </c>
      <c r="T987">
        <v>10</v>
      </c>
      <c r="U987">
        <v>3.7</v>
      </c>
      <c r="V987">
        <v>13.7</v>
      </c>
      <c r="W987" t="s">
        <v>39</v>
      </c>
      <c r="X987" t="s">
        <v>123</v>
      </c>
      <c r="Y987" t="s">
        <v>39</v>
      </c>
      <c r="Z987" t="s">
        <v>81</v>
      </c>
      <c r="AA987" t="s">
        <v>42</v>
      </c>
      <c r="AB987" t="s">
        <v>55</v>
      </c>
      <c r="AC987">
        <f t="shared" si="165"/>
        <v>0</v>
      </c>
      <c r="AD987" s="12">
        <f t="shared" si="169"/>
        <v>0</v>
      </c>
      <c r="AE987" s="12">
        <f t="shared" si="170"/>
        <v>1</v>
      </c>
      <c r="AF987">
        <f t="shared" si="166"/>
        <v>1</v>
      </c>
      <c r="AG987">
        <f t="shared" si="171"/>
        <v>0</v>
      </c>
      <c r="AH987">
        <f t="shared" si="172"/>
        <v>1</v>
      </c>
      <c r="AI987">
        <f t="shared" si="173"/>
        <v>0</v>
      </c>
      <c r="AJ987">
        <f t="shared" si="174"/>
        <v>0</v>
      </c>
      <c r="AK987">
        <f t="shared" si="167"/>
        <v>0</v>
      </c>
      <c r="AL987">
        <f t="shared" si="175"/>
        <v>0</v>
      </c>
    </row>
    <row r="988" spans="1:38">
      <c r="A988" t="s">
        <v>3091</v>
      </c>
      <c r="B988" t="s">
        <v>3092</v>
      </c>
      <c r="C988" s="1">
        <f t="shared" si="168"/>
        <v>45352</v>
      </c>
      <c r="D988" t="s">
        <v>3093</v>
      </c>
      <c r="E988">
        <v>719.3</v>
      </c>
      <c r="F988">
        <v>30</v>
      </c>
      <c r="G988" t="s">
        <v>93</v>
      </c>
      <c r="H988" t="s">
        <v>449</v>
      </c>
      <c r="I988" t="s">
        <v>32</v>
      </c>
      <c r="J988">
        <v>240</v>
      </c>
      <c r="K988" t="s">
        <v>33</v>
      </c>
      <c r="L988" t="s">
        <v>96</v>
      </c>
      <c r="M988" t="s">
        <v>35</v>
      </c>
      <c r="N988" t="s">
        <v>299</v>
      </c>
      <c r="O988" t="s">
        <v>37</v>
      </c>
      <c r="P988" t="s">
        <v>38</v>
      </c>
      <c r="Q988" t="s">
        <v>38</v>
      </c>
      <c r="R988">
        <v>1</v>
      </c>
      <c r="S988" t="s">
        <v>38</v>
      </c>
      <c r="T988">
        <v>6</v>
      </c>
      <c r="U988">
        <v>3.3</v>
      </c>
      <c r="V988">
        <v>25.5</v>
      </c>
      <c r="W988" t="s">
        <v>39</v>
      </c>
      <c r="X988" t="s">
        <v>63</v>
      </c>
      <c r="Y988" t="s">
        <v>39</v>
      </c>
      <c r="Z988" t="s">
        <v>115</v>
      </c>
      <c r="AA988" t="s">
        <v>109</v>
      </c>
      <c r="AB988" t="s">
        <v>55</v>
      </c>
      <c r="AC988">
        <f t="shared" si="165"/>
        <v>0</v>
      </c>
      <c r="AD988" s="12">
        <f t="shared" si="169"/>
        <v>1</v>
      </c>
      <c r="AE988" s="12">
        <f t="shared" si="170"/>
        <v>0</v>
      </c>
      <c r="AF988">
        <f t="shared" si="166"/>
        <v>0</v>
      </c>
      <c r="AG988">
        <f t="shared" si="171"/>
        <v>0</v>
      </c>
      <c r="AH988">
        <f t="shared" si="172"/>
        <v>0</v>
      </c>
      <c r="AI988">
        <f t="shared" si="173"/>
        <v>0</v>
      </c>
      <c r="AJ988">
        <f t="shared" si="174"/>
        <v>1</v>
      </c>
      <c r="AK988">
        <f t="shared" si="167"/>
        <v>0</v>
      </c>
      <c r="AL988">
        <f t="shared" si="175"/>
        <v>0</v>
      </c>
    </row>
    <row r="989" spans="1:38">
      <c r="A989" t="s">
        <v>3094</v>
      </c>
      <c r="B989" t="s">
        <v>3095</v>
      </c>
      <c r="C989" s="1">
        <f t="shared" si="168"/>
        <v>45597</v>
      </c>
      <c r="D989" t="s">
        <v>3096</v>
      </c>
      <c r="E989">
        <v>255</v>
      </c>
      <c r="F989">
        <v>10.6</v>
      </c>
      <c r="G989" t="s">
        <v>101</v>
      </c>
      <c r="H989" t="s">
        <v>295</v>
      </c>
      <c r="I989" t="s">
        <v>79</v>
      </c>
      <c r="J989">
        <v>360</v>
      </c>
      <c r="K989" t="s">
        <v>49</v>
      </c>
      <c r="L989" t="s">
        <v>70</v>
      </c>
      <c r="M989" t="s">
        <v>35</v>
      </c>
      <c r="N989" t="s">
        <v>72</v>
      </c>
      <c r="O989" t="s">
        <v>37</v>
      </c>
      <c r="P989" t="s">
        <v>38</v>
      </c>
      <c r="Q989" t="s">
        <v>38</v>
      </c>
      <c r="R989">
        <v>1</v>
      </c>
      <c r="S989" t="s">
        <v>39</v>
      </c>
      <c r="T989">
        <v>8</v>
      </c>
      <c r="U989">
        <v>0.2</v>
      </c>
      <c r="V989">
        <v>20.7</v>
      </c>
      <c r="W989" t="s">
        <v>39</v>
      </c>
      <c r="X989" t="s">
        <v>123</v>
      </c>
      <c r="Y989" t="s">
        <v>39</v>
      </c>
      <c r="Z989" t="s">
        <v>81</v>
      </c>
      <c r="AA989" t="s">
        <v>54</v>
      </c>
      <c r="AB989" t="s">
        <v>83</v>
      </c>
      <c r="AC989">
        <f t="shared" si="165"/>
        <v>0</v>
      </c>
      <c r="AD989" s="12">
        <f t="shared" si="169"/>
        <v>0</v>
      </c>
      <c r="AE989" s="12">
        <f t="shared" si="170"/>
        <v>1</v>
      </c>
      <c r="AF989">
        <f t="shared" si="166"/>
        <v>0</v>
      </c>
      <c r="AG989">
        <f t="shared" si="171"/>
        <v>0</v>
      </c>
      <c r="AH989">
        <f t="shared" si="172"/>
        <v>0</v>
      </c>
      <c r="AI989">
        <f t="shared" si="173"/>
        <v>0</v>
      </c>
      <c r="AJ989">
        <f t="shared" si="174"/>
        <v>0</v>
      </c>
      <c r="AK989">
        <f t="shared" si="167"/>
        <v>0</v>
      </c>
      <c r="AL989">
        <f t="shared" si="175"/>
        <v>0</v>
      </c>
    </row>
    <row r="990" spans="1:38">
      <c r="A990" t="s">
        <v>3097</v>
      </c>
      <c r="B990" t="s">
        <v>3098</v>
      </c>
      <c r="C990" s="1">
        <f t="shared" si="168"/>
        <v>45566</v>
      </c>
      <c r="D990" t="s">
        <v>3099</v>
      </c>
      <c r="E990">
        <v>250.9</v>
      </c>
      <c r="F990">
        <v>10.5</v>
      </c>
      <c r="G990" t="s">
        <v>30</v>
      </c>
      <c r="H990" t="s">
        <v>172</v>
      </c>
      <c r="I990" t="s">
        <v>32</v>
      </c>
      <c r="J990">
        <v>240</v>
      </c>
      <c r="K990" t="s">
        <v>33</v>
      </c>
      <c r="L990" t="s">
        <v>70</v>
      </c>
      <c r="M990" t="s">
        <v>71</v>
      </c>
      <c r="N990" t="s">
        <v>168</v>
      </c>
      <c r="O990" t="s">
        <v>37</v>
      </c>
      <c r="P990" t="s">
        <v>38</v>
      </c>
      <c r="Q990" t="s">
        <v>39</v>
      </c>
      <c r="R990">
        <v>3</v>
      </c>
      <c r="S990" t="s">
        <v>38</v>
      </c>
      <c r="T990">
        <v>6</v>
      </c>
      <c r="U990">
        <v>1.7</v>
      </c>
      <c r="V990">
        <v>18.8</v>
      </c>
      <c r="W990" t="s">
        <v>39</v>
      </c>
      <c r="X990" t="s">
        <v>63</v>
      </c>
      <c r="Y990" t="s">
        <v>38</v>
      </c>
      <c r="Z990" t="s">
        <v>41</v>
      </c>
      <c r="AA990" t="s">
        <v>109</v>
      </c>
      <c r="AB990" t="s">
        <v>43</v>
      </c>
      <c r="AC990">
        <f t="shared" si="165"/>
        <v>0</v>
      </c>
      <c r="AD990" s="12">
        <f t="shared" si="169"/>
        <v>1</v>
      </c>
      <c r="AE990" s="12">
        <f t="shared" si="170"/>
        <v>0</v>
      </c>
      <c r="AF990">
        <f t="shared" si="166"/>
        <v>0</v>
      </c>
      <c r="AG990">
        <f t="shared" si="171"/>
        <v>0</v>
      </c>
      <c r="AH990">
        <f t="shared" si="172"/>
        <v>0</v>
      </c>
      <c r="AI990">
        <f t="shared" si="173"/>
        <v>0</v>
      </c>
      <c r="AJ990">
        <f t="shared" si="174"/>
        <v>1</v>
      </c>
      <c r="AK990">
        <f t="shared" si="167"/>
        <v>1</v>
      </c>
      <c r="AL990">
        <f t="shared" si="175"/>
        <v>1</v>
      </c>
    </row>
    <row r="991" spans="1:38">
      <c r="A991" t="s">
        <v>3100</v>
      </c>
      <c r="B991" t="s">
        <v>3101</v>
      </c>
      <c r="C991" s="1">
        <f t="shared" si="168"/>
        <v>45566</v>
      </c>
      <c r="D991" t="s">
        <v>3102</v>
      </c>
      <c r="E991">
        <v>221.9</v>
      </c>
      <c r="F991">
        <v>9.1999999999999993</v>
      </c>
      <c r="G991" t="s">
        <v>87</v>
      </c>
      <c r="H991" t="s">
        <v>88</v>
      </c>
      <c r="I991" t="s">
        <v>32</v>
      </c>
      <c r="J991">
        <v>240</v>
      </c>
      <c r="K991" t="s">
        <v>49</v>
      </c>
      <c r="L991" t="s">
        <v>113</v>
      </c>
      <c r="M991" t="s">
        <v>71</v>
      </c>
      <c r="N991" t="s">
        <v>299</v>
      </c>
      <c r="O991" t="s">
        <v>37</v>
      </c>
      <c r="P991" t="s">
        <v>38</v>
      </c>
      <c r="Q991" t="s">
        <v>39</v>
      </c>
      <c r="R991">
        <v>4</v>
      </c>
      <c r="S991" t="s">
        <v>38</v>
      </c>
      <c r="T991">
        <v>9</v>
      </c>
      <c r="U991">
        <v>2.1</v>
      </c>
      <c r="V991">
        <v>15.8</v>
      </c>
      <c r="W991" t="s">
        <v>39</v>
      </c>
      <c r="X991" t="s">
        <v>52</v>
      </c>
      <c r="Y991" t="s">
        <v>38</v>
      </c>
      <c r="Z991" t="s">
        <v>64</v>
      </c>
      <c r="AA991" t="s">
        <v>103</v>
      </c>
      <c r="AB991" t="s">
        <v>83</v>
      </c>
      <c r="AC991">
        <f t="shared" si="165"/>
        <v>1</v>
      </c>
      <c r="AD991" s="12">
        <f t="shared" si="169"/>
        <v>0</v>
      </c>
      <c r="AE991" s="12">
        <f t="shared" si="170"/>
        <v>0</v>
      </c>
      <c r="AF991">
        <f t="shared" si="166"/>
        <v>0</v>
      </c>
      <c r="AG991">
        <f t="shared" si="171"/>
        <v>0</v>
      </c>
      <c r="AH991">
        <f t="shared" si="172"/>
        <v>0</v>
      </c>
      <c r="AI991">
        <f t="shared" si="173"/>
        <v>0</v>
      </c>
      <c r="AJ991">
        <f t="shared" si="174"/>
        <v>1</v>
      </c>
      <c r="AK991">
        <f t="shared" si="167"/>
        <v>0</v>
      </c>
      <c r="AL991">
        <f t="shared" si="175"/>
        <v>1</v>
      </c>
    </row>
    <row r="992" spans="1:38">
      <c r="A992" t="s">
        <v>3103</v>
      </c>
      <c r="B992" t="s">
        <v>3104</v>
      </c>
      <c r="C992" s="1">
        <f t="shared" si="168"/>
        <v>45383</v>
      </c>
      <c r="D992" t="s">
        <v>3105</v>
      </c>
      <c r="E992">
        <v>155.6</v>
      </c>
      <c r="F992">
        <v>6.5</v>
      </c>
      <c r="G992" t="s">
        <v>77</v>
      </c>
      <c r="H992" t="s">
        <v>187</v>
      </c>
      <c r="I992" t="s">
        <v>48</v>
      </c>
      <c r="J992">
        <v>120</v>
      </c>
      <c r="K992" t="s">
        <v>33</v>
      </c>
      <c r="L992" t="s">
        <v>34</v>
      </c>
      <c r="M992" t="s">
        <v>35</v>
      </c>
      <c r="N992" t="s">
        <v>168</v>
      </c>
      <c r="O992" t="s">
        <v>51</v>
      </c>
      <c r="P992" t="s">
        <v>39</v>
      </c>
      <c r="Q992" t="s">
        <v>38</v>
      </c>
      <c r="R992">
        <v>0</v>
      </c>
      <c r="S992" t="s">
        <v>38</v>
      </c>
      <c r="T992">
        <v>5</v>
      </c>
      <c r="U992">
        <v>0.5</v>
      </c>
      <c r="V992">
        <v>13.1</v>
      </c>
      <c r="W992" t="s">
        <v>39</v>
      </c>
      <c r="X992" t="s">
        <v>63</v>
      </c>
      <c r="Y992" t="s">
        <v>39</v>
      </c>
      <c r="Z992" t="s">
        <v>73</v>
      </c>
      <c r="AA992" t="s">
        <v>82</v>
      </c>
      <c r="AB992" t="s">
        <v>55</v>
      </c>
      <c r="AC992">
        <f t="shared" si="165"/>
        <v>0</v>
      </c>
      <c r="AD992" s="12">
        <f t="shared" si="169"/>
        <v>1</v>
      </c>
      <c r="AE992" s="12">
        <f t="shared" si="170"/>
        <v>0</v>
      </c>
      <c r="AF992">
        <f t="shared" si="166"/>
        <v>1</v>
      </c>
      <c r="AG992">
        <f t="shared" si="171"/>
        <v>0</v>
      </c>
      <c r="AH992">
        <f t="shared" si="172"/>
        <v>1</v>
      </c>
      <c r="AI992">
        <f t="shared" si="173"/>
        <v>0</v>
      </c>
      <c r="AJ992">
        <f t="shared" si="174"/>
        <v>0</v>
      </c>
      <c r="AK992">
        <f t="shared" si="167"/>
        <v>0</v>
      </c>
      <c r="AL992">
        <f t="shared" si="175"/>
        <v>0</v>
      </c>
    </row>
    <row r="993" spans="1:38">
      <c r="A993" t="s">
        <v>3106</v>
      </c>
      <c r="B993" t="s">
        <v>3107</v>
      </c>
      <c r="C993" s="1">
        <f t="shared" si="168"/>
        <v>45413</v>
      </c>
      <c r="D993" t="s">
        <v>3108</v>
      </c>
      <c r="E993">
        <v>185.4</v>
      </c>
      <c r="F993">
        <v>7.7</v>
      </c>
      <c r="G993" t="s">
        <v>77</v>
      </c>
      <c r="H993" t="s">
        <v>244</v>
      </c>
      <c r="I993" t="s">
        <v>32</v>
      </c>
      <c r="J993">
        <v>240</v>
      </c>
      <c r="K993" t="s">
        <v>49</v>
      </c>
      <c r="L993" t="s">
        <v>34</v>
      </c>
      <c r="M993" t="s">
        <v>35</v>
      </c>
      <c r="N993" t="s">
        <v>36</v>
      </c>
      <c r="O993" t="s">
        <v>51</v>
      </c>
      <c r="P993" t="s">
        <v>39</v>
      </c>
      <c r="Q993" t="s">
        <v>38</v>
      </c>
      <c r="R993">
        <v>0</v>
      </c>
      <c r="S993" t="s">
        <v>38</v>
      </c>
      <c r="T993">
        <v>9</v>
      </c>
      <c r="U993">
        <v>0.4</v>
      </c>
      <c r="V993">
        <v>4.2</v>
      </c>
      <c r="W993" t="s">
        <v>39</v>
      </c>
      <c r="X993" t="s">
        <v>40</v>
      </c>
      <c r="Y993" t="s">
        <v>38</v>
      </c>
      <c r="Z993" t="s">
        <v>53</v>
      </c>
      <c r="AA993" t="s">
        <v>82</v>
      </c>
      <c r="AB993" t="s">
        <v>83</v>
      </c>
      <c r="AC993">
        <f t="shared" si="165"/>
        <v>0</v>
      </c>
      <c r="AD993" s="12">
        <f t="shared" si="169"/>
        <v>0</v>
      </c>
      <c r="AE993" s="12">
        <f t="shared" si="170"/>
        <v>0</v>
      </c>
      <c r="AF993">
        <f t="shared" si="166"/>
        <v>1</v>
      </c>
      <c r="AG993">
        <f t="shared" si="171"/>
        <v>0</v>
      </c>
      <c r="AH993">
        <f t="shared" si="172"/>
        <v>0</v>
      </c>
      <c r="AI993">
        <f t="shared" si="173"/>
        <v>0</v>
      </c>
      <c r="AJ993">
        <f t="shared" si="174"/>
        <v>1</v>
      </c>
      <c r="AK993">
        <f t="shared" si="167"/>
        <v>0</v>
      </c>
      <c r="AL993">
        <f t="shared" si="175"/>
        <v>1</v>
      </c>
    </row>
    <row r="994" spans="1:38">
      <c r="A994" t="s">
        <v>3109</v>
      </c>
      <c r="B994" t="s">
        <v>3110</v>
      </c>
      <c r="C994" s="1">
        <f t="shared" si="168"/>
        <v>45505</v>
      </c>
      <c r="D994" t="s">
        <v>3111</v>
      </c>
      <c r="E994">
        <v>246.6</v>
      </c>
      <c r="F994">
        <v>10.3</v>
      </c>
      <c r="G994" t="s">
        <v>77</v>
      </c>
      <c r="H994" t="s">
        <v>244</v>
      </c>
      <c r="I994" t="s">
        <v>79</v>
      </c>
      <c r="J994">
        <v>360</v>
      </c>
      <c r="K994" t="s">
        <v>49</v>
      </c>
      <c r="L994" t="s">
        <v>96</v>
      </c>
      <c r="M994" t="s">
        <v>35</v>
      </c>
      <c r="N994" t="s">
        <v>61</v>
      </c>
      <c r="O994" t="s">
        <v>51</v>
      </c>
      <c r="P994" t="s">
        <v>39</v>
      </c>
      <c r="Q994" t="s">
        <v>38</v>
      </c>
      <c r="R994">
        <v>0</v>
      </c>
      <c r="S994" t="s">
        <v>39</v>
      </c>
      <c r="T994">
        <v>10</v>
      </c>
      <c r="U994">
        <v>0.1</v>
      </c>
      <c r="V994">
        <v>27.3</v>
      </c>
      <c r="W994" t="s">
        <v>39</v>
      </c>
      <c r="X994" t="s">
        <v>63</v>
      </c>
      <c r="Y994" t="s">
        <v>39</v>
      </c>
      <c r="Z994" t="s">
        <v>108</v>
      </c>
      <c r="AA994" t="s">
        <v>109</v>
      </c>
      <c r="AB994" t="s">
        <v>83</v>
      </c>
      <c r="AC994">
        <f t="shared" si="165"/>
        <v>0</v>
      </c>
      <c r="AD994" s="12">
        <f t="shared" si="169"/>
        <v>1</v>
      </c>
      <c r="AE994" s="12">
        <f t="shared" si="170"/>
        <v>0</v>
      </c>
      <c r="AF994">
        <f t="shared" si="166"/>
        <v>1</v>
      </c>
      <c r="AG994">
        <f t="shared" si="171"/>
        <v>0</v>
      </c>
      <c r="AH994">
        <f t="shared" si="172"/>
        <v>0</v>
      </c>
      <c r="AI994">
        <f t="shared" si="173"/>
        <v>0</v>
      </c>
      <c r="AJ994">
        <f t="shared" si="174"/>
        <v>0</v>
      </c>
      <c r="AK994">
        <f t="shared" si="167"/>
        <v>0</v>
      </c>
      <c r="AL994">
        <f t="shared" si="175"/>
        <v>0</v>
      </c>
    </row>
    <row r="995" spans="1:38">
      <c r="A995" t="s">
        <v>3112</v>
      </c>
      <c r="B995" t="s">
        <v>3113</v>
      </c>
      <c r="C995" s="1">
        <f t="shared" si="168"/>
        <v>45352</v>
      </c>
      <c r="D995" t="s">
        <v>3114</v>
      </c>
      <c r="E995">
        <v>546.29999999999995</v>
      </c>
      <c r="F995">
        <v>22.8</v>
      </c>
      <c r="G995" t="s">
        <v>101</v>
      </c>
      <c r="H995" t="s">
        <v>442</v>
      </c>
      <c r="I995" t="s">
        <v>32</v>
      </c>
      <c r="J995">
        <v>240</v>
      </c>
      <c r="K995" t="s">
        <v>33</v>
      </c>
      <c r="L995" t="s">
        <v>34</v>
      </c>
      <c r="M995" t="s">
        <v>71</v>
      </c>
      <c r="N995" t="s">
        <v>168</v>
      </c>
      <c r="O995" t="s">
        <v>7232</v>
      </c>
      <c r="P995" t="s">
        <v>38</v>
      </c>
      <c r="Q995" t="s">
        <v>39</v>
      </c>
      <c r="R995">
        <v>3</v>
      </c>
      <c r="S995" t="s">
        <v>38</v>
      </c>
      <c r="T995">
        <v>6</v>
      </c>
      <c r="U995">
        <v>2.1</v>
      </c>
      <c r="V995">
        <v>21.3</v>
      </c>
      <c r="W995" t="s">
        <v>39</v>
      </c>
      <c r="X995" t="s">
        <v>63</v>
      </c>
      <c r="Y995" t="s">
        <v>39</v>
      </c>
      <c r="Z995" t="s">
        <v>64</v>
      </c>
      <c r="AA995" t="s">
        <v>82</v>
      </c>
      <c r="AB995" t="s">
        <v>83</v>
      </c>
      <c r="AC995">
        <f t="shared" si="165"/>
        <v>0</v>
      </c>
      <c r="AD995" s="12">
        <f t="shared" si="169"/>
        <v>1</v>
      </c>
      <c r="AE995" s="12">
        <f t="shared" si="170"/>
        <v>0</v>
      </c>
      <c r="AF995">
        <f t="shared" si="166"/>
        <v>0</v>
      </c>
      <c r="AG995">
        <f t="shared" si="171"/>
        <v>1</v>
      </c>
      <c r="AH995">
        <f t="shared" si="172"/>
        <v>0</v>
      </c>
      <c r="AI995">
        <f t="shared" si="173"/>
        <v>0</v>
      </c>
      <c r="AJ995">
        <f t="shared" si="174"/>
        <v>1</v>
      </c>
      <c r="AK995">
        <f t="shared" si="167"/>
        <v>0</v>
      </c>
      <c r="AL995">
        <f t="shared" si="175"/>
        <v>0</v>
      </c>
    </row>
    <row r="996" spans="1:38">
      <c r="A996" t="s">
        <v>3115</v>
      </c>
      <c r="B996" t="s">
        <v>3116</v>
      </c>
      <c r="C996" s="1">
        <f t="shared" si="168"/>
        <v>45627</v>
      </c>
      <c r="D996" t="s">
        <v>3117</v>
      </c>
      <c r="E996">
        <v>102.4</v>
      </c>
      <c r="F996">
        <v>4.3</v>
      </c>
      <c r="G996" t="s">
        <v>59</v>
      </c>
      <c r="H996" t="s">
        <v>132</v>
      </c>
      <c r="I996" t="s">
        <v>48</v>
      </c>
      <c r="J996">
        <v>120</v>
      </c>
      <c r="K996" t="s">
        <v>49</v>
      </c>
      <c r="L996" t="s">
        <v>70</v>
      </c>
      <c r="M996" t="s">
        <v>71</v>
      </c>
      <c r="N996" t="s">
        <v>119</v>
      </c>
      <c r="O996" t="s">
        <v>7232</v>
      </c>
      <c r="P996" t="s">
        <v>38</v>
      </c>
      <c r="Q996" t="s">
        <v>39</v>
      </c>
      <c r="R996">
        <v>3</v>
      </c>
      <c r="S996" t="s">
        <v>38</v>
      </c>
      <c r="T996">
        <v>9</v>
      </c>
      <c r="U996">
        <v>2.9</v>
      </c>
      <c r="V996">
        <v>12.8</v>
      </c>
      <c r="W996" t="s">
        <v>39</v>
      </c>
      <c r="X996" t="s">
        <v>63</v>
      </c>
      <c r="Y996" t="s">
        <v>39</v>
      </c>
      <c r="Z996" t="s">
        <v>64</v>
      </c>
      <c r="AA996" t="s">
        <v>42</v>
      </c>
      <c r="AB996" t="s">
        <v>55</v>
      </c>
      <c r="AC996">
        <f t="shared" si="165"/>
        <v>0</v>
      </c>
      <c r="AD996" s="12">
        <f t="shared" si="169"/>
        <v>1</v>
      </c>
      <c r="AE996" s="12">
        <f t="shared" si="170"/>
        <v>0</v>
      </c>
      <c r="AF996">
        <f t="shared" si="166"/>
        <v>0</v>
      </c>
      <c r="AG996">
        <f t="shared" si="171"/>
        <v>1</v>
      </c>
      <c r="AH996">
        <f t="shared" si="172"/>
        <v>1</v>
      </c>
      <c r="AI996">
        <f t="shared" si="173"/>
        <v>0</v>
      </c>
      <c r="AJ996">
        <f t="shared" si="174"/>
        <v>0</v>
      </c>
      <c r="AK996">
        <f t="shared" si="167"/>
        <v>0</v>
      </c>
      <c r="AL996">
        <f t="shared" si="175"/>
        <v>0</v>
      </c>
    </row>
    <row r="997" spans="1:38">
      <c r="A997" t="s">
        <v>3118</v>
      </c>
      <c r="B997" t="s">
        <v>3119</v>
      </c>
      <c r="C997" s="1">
        <f t="shared" si="168"/>
        <v>45627</v>
      </c>
      <c r="D997" t="s">
        <v>3120</v>
      </c>
      <c r="E997">
        <v>316</v>
      </c>
      <c r="F997">
        <v>13.2</v>
      </c>
      <c r="G997" t="s">
        <v>87</v>
      </c>
      <c r="H997" t="s">
        <v>183</v>
      </c>
      <c r="I997" t="s">
        <v>32</v>
      </c>
      <c r="J997">
        <v>240</v>
      </c>
      <c r="K997" t="s">
        <v>33</v>
      </c>
      <c r="L997" t="s">
        <v>34</v>
      </c>
      <c r="M997" t="s">
        <v>35</v>
      </c>
      <c r="N997" t="s">
        <v>114</v>
      </c>
      <c r="O997" t="s">
        <v>7232</v>
      </c>
      <c r="P997" t="s">
        <v>38</v>
      </c>
      <c r="Q997" t="s">
        <v>38</v>
      </c>
      <c r="R997">
        <v>1</v>
      </c>
      <c r="S997" t="s">
        <v>38</v>
      </c>
      <c r="T997">
        <v>6</v>
      </c>
      <c r="U997">
        <v>0.4</v>
      </c>
      <c r="V997">
        <v>28.8</v>
      </c>
      <c r="W997" t="s">
        <v>39</v>
      </c>
      <c r="X997" t="s">
        <v>63</v>
      </c>
      <c r="Y997" t="s">
        <v>38</v>
      </c>
      <c r="Z997" t="s">
        <v>64</v>
      </c>
      <c r="AA997" t="s">
        <v>109</v>
      </c>
      <c r="AB997" t="s">
        <v>55</v>
      </c>
      <c r="AC997">
        <f t="shared" si="165"/>
        <v>0</v>
      </c>
      <c r="AD997" s="12">
        <f t="shared" si="169"/>
        <v>1</v>
      </c>
      <c r="AE997" s="12">
        <f t="shared" si="170"/>
        <v>0</v>
      </c>
      <c r="AF997">
        <f t="shared" si="166"/>
        <v>0</v>
      </c>
      <c r="AG997">
        <f t="shared" si="171"/>
        <v>1</v>
      </c>
      <c r="AH997">
        <f t="shared" si="172"/>
        <v>0</v>
      </c>
      <c r="AI997">
        <f t="shared" si="173"/>
        <v>0</v>
      </c>
      <c r="AJ997">
        <f t="shared" si="174"/>
        <v>1</v>
      </c>
      <c r="AK997">
        <f t="shared" si="167"/>
        <v>0</v>
      </c>
      <c r="AL997">
        <f t="shared" si="175"/>
        <v>1</v>
      </c>
    </row>
    <row r="998" spans="1:38">
      <c r="A998" t="s">
        <v>3121</v>
      </c>
      <c r="B998" t="s">
        <v>3122</v>
      </c>
      <c r="C998" s="1">
        <f t="shared" si="168"/>
        <v>45444</v>
      </c>
      <c r="D998" t="s">
        <v>3123</v>
      </c>
      <c r="E998">
        <v>146.30000000000001</v>
      </c>
      <c r="F998">
        <v>6.1</v>
      </c>
      <c r="G998" t="s">
        <v>30</v>
      </c>
      <c r="H998" t="s">
        <v>172</v>
      </c>
      <c r="I998" t="s">
        <v>32</v>
      </c>
      <c r="J998">
        <v>240</v>
      </c>
      <c r="K998" t="s">
        <v>49</v>
      </c>
      <c r="L998" t="s">
        <v>96</v>
      </c>
      <c r="M998" t="s">
        <v>35</v>
      </c>
      <c r="N998" t="s">
        <v>506</v>
      </c>
      <c r="O998" t="s">
        <v>7232</v>
      </c>
      <c r="P998" t="s">
        <v>38</v>
      </c>
      <c r="Q998" t="s">
        <v>38</v>
      </c>
      <c r="R998">
        <v>1</v>
      </c>
      <c r="S998" t="s">
        <v>38</v>
      </c>
      <c r="T998">
        <v>7</v>
      </c>
      <c r="U998">
        <v>3.8</v>
      </c>
      <c r="V998">
        <v>9.4</v>
      </c>
      <c r="W998" t="s">
        <v>39</v>
      </c>
      <c r="X998" t="s">
        <v>52</v>
      </c>
      <c r="Y998" t="s">
        <v>38</v>
      </c>
      <c r="Z998" t="s">
        <v>179</v>
      </c>
      <c r="AA998" t="s">
        <v>54</v>
      </c>
      <c r="AB998" t="s">
        <v>83</v>
      </c>
      <c r="AC998">
        <f t="shared" si="165"/>
        <v>1</v>
      </c>
      <c r="AD998" s="12">
        <f t="shared" si="169"/>
        <v>0</v>
      </c>
      <c r="AE998" s="12">
        <f t="shared" si="170"/>
        <v>0</v>
      </c>
      <c r="AF998">
        <f t="shared" si="166"/>
        <v>0</v>
      </c>
      <c r="AG998">
        <f t="shared" si="171"/>
        <v>1</v>
      </c>
      <c r="AH998">
        <f t="shared" si="172"/>
        <v>0</v>
      </c>
      <c r="AI998">
        <f t="shared" si="173"/>
        <v>0</v>
      </c>
      <c r="AJ998">
        <f t="shared" si="174"/>
        <v>1</v>
      </c>
      <c r="AK998">
        <f t="shared" si="167"/>
        <v>1</v>
      </c>
      <c r="AL998">
        <f t="shared" si="175"/>
        <v>1</v>
      </c>
    </row>
    <row r="999" spans="1:38">
      <c r="A999" t="s">
        <v>3124</v>
      </c>
      <c r="B999" t="s">
        <v>3125</v>
      </c>
      <c r="C999" s="1">
        <f t="shared" si="168"/>
        <v>45597</v>
      </c>
      <c r="D999" t="s">
        <v>3126</v>
      </c>
      <c r="E999">
        <v>204.6</v>
      </c>
      <c r="F999">
        <v>8.5</v>
      </c>
      <c r="G999" t="s">
        <v>142</v>
      </c>
      <c r="H999" t="s">
        <v>260</v>
      </c>
      <c r="I999" t="s">
        <v>32</v>
      </c>
      <c r="J999">
        <v>240</v>
      </c>
      <c r="K999" t="s">
        <v>49</v>
      </c>
      <c r="L999" t="s">
        <v>96</v>
      </c>
      <c r="M999" t="s">
        <v>35</v>
      </c>
      <c r="N999" t="s">
        <v>119</v>
      </c>
      <c r="O999" t="s">
        <v>7232</v>
      </c>
      <c r="P999" t="s">
        <v>39</v>
      </c>
      <c r="Q999" t="s">
        <v>38</v>
      </c>
      <c r="R999">
        <v>0</v>
      </c>
      <c r="S999" t="s">
        <v>38</v>
      </c>
      <c r="T999">
        <v>10</v>
      </c>
      <c r="U999">
        <v>3.7</v>
      </c>
      <c r="V999">
        <v>36.799999999999997</v>
      </c>
      <c r="W999" t="s">
        <v>38</v>
      </c>
      <c r="X999" t="s">
        <v>52</v>
      </c>
      <c r="Y999" t="s">
        <v>39</v>
      </c>
      <c r="Z999" t="s">
        <v>73</v>
      </c>
      <c r="AA999" t="s">
        <v>109</v>
      </c>
      <c r="AB999" t="s">
        <v>55</v>
      </c>
      <c r="AC999">
        <f t="shared" si="165"/>
        <v>1</v>
      </c>
      <c r="AD999" s="12">
        <f t="shared" si="169"/>
        <v>0</v>
      </c>
      <c r="AE999" s="12">
        <f t="shared" si="170"/>
        <v>0</v>
      </c>
      <c r="AF999">
        <f t="shared" si="166"/>
        <v>0</v>
      </c>
      <c r="AG999">
        <f t="shared" si="171"/>
        <v>1</v>
      </c>
      <c r="AH999">
        <f t="shared" si="172"/>
        <v>0</v>
      </c>
      <c r="AI999">
        <f t="shared" si="173"/>
        <v>0</v>
      </c>
      <c r="AJ999">
        <f t="shared" si="174"/>
        <v>1</v>
      </c>
      <c r="AK999">
        <f t="shared" si="167"/>
        <v>0</v>
      </c>
      <c r="AL999">
        <f t="shared" si="175"/>
        <v>0</v>
      </c>
    </row>
    <row r="1000" spans="1:38">
      <c r="A1000" t="s">
        <v>3127</v>
      </c>
      <c r="B1000" t="s">
        <v>3128</v>
      </c>
      <c r="C1000" s="1">
        <f t="shared" si="168"/>
        <v>45323</v>
      </c>
      <c r="D1000" t="s">
        <v>3129</v>
      </c>
      <c r="E1000">
        <v>584.5</v>
      </c>
      <c r="F1000">
        <v>24.4</v>
      </c>
      <c r="G1000" t="s">
        <v>59</v>
      </c>
      <c r="H1000" t="s">
        <v>466</v>
      </c>
      <c r="I1000" t="s">
        <v>32</v>
      </c>
      <c r="J1000">
        <v>240</v>
      </c>
      <c r="K1000" t="s">
        <v>33</v>
      </c>
      <c r="L1000" t="s">
        <v>70</v>
      </c>
      <c r="M1000" t="s">
        <v>71</v>
      </c>
      <c r="N1000" t="s">
        <v>155</v>
      </c>
      <c r="O1000" t="s">
        <v>37</v>
      </c>
      <c r="P1000" t="s">
        <v>38</v>
      </c>
      <c r="Q1000" t="s">
        <v>39</v>
      </c>
      <c r="R1000">
        <v>1</v>
      </c>
      <c r="S1000" t="s">
        <v>38</v>
      </c>
      <c r="T1000">
        <v>8</v>
      </c>
      <c r="U1000">
        <v>1.8</v>
      </c>
      <c r="V1000">
        <v>9.6999999999999993</v>
      </c>
      <c r="W1000" t="s">
        <v>39</v>
      </c>
      <c r="X1000" t="s">
        <v>63</v>
      </c>
      <c r="Y1000" t="s">
        <v>38</v>
      </c>
      <c r="Z1000" t="s">
        <v>108</v>
      </c>
      <c r="AA1000" t="s">
        <v>42</v>
      </c>
      <c r="AB1000" t="s">
        <v>83</v>
      </c>
      <c r="AC1000">
        <f t="shared" si="165"/>
        <v>0</v>
      </c>
      <c r="AD1000" s="12">
        <f t="shared" si="169"/>
        <v>1</v>
      </c>
      <c r="AE1000" s="12">
        <f t="shared" si="170"/>
        <v>0</v>
      </c>
      <c r="AF1000">
        <f t="shared" si="166"/>
        <v>0</v>
      </c>
      <c r="AG1000">
        <f t="shared" si="171"/>
        <v>0</v>
      </c>
      <c r="AH1000">
        <f t="shared" si="172"/>
        <v>0</v>
      </c>
      <c r="AI1000">
        <f t="shared" si="173"/>
        <v>0</v>
      </c>
      <c r="AJ1000">
        <f t="shared" si="174"/>
        <v>1</v>
      </c>
      <c r="AK1000">
        <f t="shared" si="167"/>
        <v>0</v>
      </c>
      <c r="AL1000">
        <f t="shared" si="175"/>
        <v>1</v>
      </c>
    </row>
    <row r="1001" spans="1:38">
      <c r="A1001" t="s">
        <v>3130</v>
      </c>
      <c r="B1001" t="s">
        <v>3131</v>
      </c>
      <c r="C1001" s="1">
        <f t="shared" si="168"/>
        <v>45413</v>
      </c>
      <c r="D1001" t="s">
        <v>3132</v>
      </c>
      <c r="E1001">
        <v>209.3</v>
      </c>
      <c r="F1001">
        <v>8.6999999999999993</v>
      </c>
      <c r="G1001" t="s">
        <v>87</v>
      </c>
      <c r="H1001" t="s">
        <v>309</v>
      </c>
      <c r="I1001" t="s">
        <v>32</v>
      </c>
      <c r="J1001">
        <v>240</v>
      </c>
      <c r="K1001" t="s">
        <v>49</v>
      </c>
      <c r="L1001" t="s">
        <v>113</v>
      </c>
      <c r="M1001" t="s">
        <v>35</v>
      </c>
      <c r="N1001" t="s">
        <v>192</v>
      </c>
      <c r="O1001" t="s">
        <v>7232</v>
      </c>
      <c r="P1001" t="s">
        <v>39</v>
      </c>
      <c r="Q1001" t="s">
        <v>38</v>
      </c>
      <c r="R1001">
        <v>0</v>
      </c>
      <c r="S1001" t="s">
        <v>38</v>
      </c>
      <c r="T1001">
        <v>10</v>
      </c>
      <c r="U1001">
        <v>0.1</v>
      </c>
      <c r="V1001">
        <v>17</v>
      </c>
      <c r="W1001" t="s">
        <v>39</v>
      </c>
      <c r="X1001" t="s">
        <v>63</v>
      </c>
      <c r="Y1001" t="s">
        <v>39</v>
      </c>
      <c r="Z1001" t="s">
        <v>41</v>
      </c>
      <c r="AA1001" t="s">
        <v>109</v>
      </c>
      <c r="AB1001" t="s">
        <v>55</v>
      </c>
      <c r="AC1001">
        <f t="shared" si="165"/>
        <v>0</v>
      </c>
      <c r="AD1001" s="12">
        <f t="shared" si="169"/>
        <v>1</v>
      </c>
      <c r="AE1001" s="12">
        <f t="shared" si="170"/>
        <v>0</v>
      </c>
      <c r="AF1001">
        <f t="shared" si="166"/>
        <v>0</v>
      </c>
      <c r="AG1001">
        <f t="shared" si="171"/>
        <v>1</v>
      </c>
      <c r="AH1001">
        <f t="shared" si="172"/>
        <v>0</v>
      </c>
      <c r="AI1001">
        <f t="shared" si="173"/>
        <v>0</v>
      </c>
      <c r="AJ1001">
        <f t="shared" si="174"/>
        <v>1</v>
      </c>
      <c r="AK1001">
        <f t="shared" si="167"/>
        <v>0</v>
      </c>
      <c r="AL1001">
        <f t="shared" si="175"/>
        <v>0</v>
      </c>
    </row>
    <row r="1002" spans="1:38">
      <c r="A1002" t="s">
        <v>3133</v>
      </c>
      <c r="B1002" t="s">
        <v>3134</v>
      </c>
      <c r="C1002" s="1">
        <f t="shared" si="168"/>
        <v>45383</v>
      </c>
      <c r="D1002" t="s">
        <v>3135</v>
      </c>
      <c r="E1002">
        <v>231.4</v>
      </c>
      <c r="F1002">
        <v>9.6</v>
      </c>
      <c r="G1002" t="s">
        <v>93</v>
      </c>
      <c r="H1002" t="s">
        <v>94</v>
      </c>
      <c r="I1002" t="s">
        <v>79</v>
      </c>
      <c r="J1002">
        <v>360</v>
      </c>
      <c r="K1002" t="s">
        <v>49</v>
      </c>
      <c r="L1002" t="s">
        <v>34</v>
      </c>
      <c r="M1002" t="s">
        <v>35</v>
      </c>
      <c r="N1002" t="s">
        <v>128</v>
      </c>
      <c r="O1002" t="s">
        <v>7232</v>
      </c>
      <c r="P1002" t="s">
        <v>38</v>
      </c>
      <c r="Q1002" t="s">
        <v>38</v>
      </c>
      <c r="R1002">
        <v>1</v>
      </c>
      <c r="S1002" t="s">
        <v>38</v>
      </c>
      <c r="T1002">
        <v>9</v>
      </c>
      <c r="U1002">
        <v>0.1</v>
      </c>
      <c r="V1002">
        <v>23</v>
      </c>
      <c r="W1002" t="s">
        <v>39</v>
      </c>
      <c r="X1002" t="s">
        <v>40</v>
      </c>
      <c r="Y1002" t="s">
        <v>39</v>
      </c>
      <c r="Z1002" t="s">
        <v>64</v>
      </c>
      <c r="AA1002" t="s">
        <v>42</v>
      </c>
      <c r="AB1002" t="s">
        <v>83</v>
      </c>
      <c r="AC1002">
        <f t="shared" si="165"/>
        <v>0</v>
      </c>
      <c r="AD1002" s="12">
        <f t="shared" si="169"/>
        <v>0</v>
      </c>
      <c r="AE1002" s="12">
        <f t="shared" si="170"/>
        <v>0</v>
      </c>
      <c r="AF1002">
        <f t="shared" si="166"/>
        <v>0</v>
      </c>
      <c r="AG1002">
        <f t="shared" si="171"/>
        <v>1</v>
      </c>
      <c r="AH1002">
        <f t="shared" si="172"/>
        <v>0</v>
      </c>
      <c r="AI1002">
        <f t="shared" si="173"/>
        <v>0</v>
      </c>
      <c r="AJ1002">
        <f t="shared" si="174"/>
        <v>0</v>
      </c>
      <c r="AK1002">
        <f t="shared" si="167"/>
        <v>0</v>
      </c>
      <c r="AL1002">
        <f t="shared" si="175"/>
        <v>0</v>
      </c>
    </row>
    <row r="1003" spans="1:38">
      <c r="A1003" t="s">
        <v>3136</v>
      </c>
      <c r="B1003" t="s">
        <v>3137</v>
      </c>
      <c r="C1003" s="1">
        <f t="shared" si="168"/>
        <v>45323</v>
      </c>
      <c r="D1003" t="s">
        <v>3138</v>
      </c>
      <c r="E1003">
        <v>197.8</v>
      </c>
      <c r="F1003">
        <v>8.1999999999999993</v>
      </c>
      <c r="G1003" t="s">
        <v>101</v>
      </c>
      <c r="H1003" t="s">
        <v>442</v>
      </c>
      <c r="I1003" t="s">
        <v>48</v>
      </c>
      <c r="J1003">
        <v>120</v>
      </c>
      <c r="K1003" t="s">
        <v>33</v>
      </c>
      <c r="L1003" t="s">
        <v>96</v>
      </c>
      <c r="M1003" t="s">
        <v>35</v>
      </c>
      <c r="N1003" t="s">
        <v>168</v>
      </c>
      <c r="O1003" t="s">
        <v>37</v>
      </c>
      <c r="P1003" t="s">
        <v>38</v>
      </c>
      <c r="Q1003" t="s">
        <v>38</v>
      </c>
      <c r="R1003">
        <v>1</v>
      </c>
      <c r="S1003" t="s">
        <v>39</v>
      </c>
      <c r="T1003">
        <v>7</v>
      </c>
      <c r="U1003">
        <v>1.9</v>
      </c>
      <c r="V1003">
        <v>15.2</v>
      </c>
      <c r="W1003" t="s">
        <v>39</v>
      </c>
      <c r="X1003" t="s">
        <v>63</v>
      </c>
      <c r="Y1003" t="s">
        <v>38</v>
      </c>
      <c r="Z1003" t="s">
        <v>53</v>
      </c>
      <c r="AA1003" t="s">
        <v>42</v>
      </c>
      <c r="AB1003" t="s">
        <v>43</v>
      </c>
      <c r="AC1003">
        <f t="shared" si="165"/>
        <v>0</v>
      </c>
      <c r="AD1003" s="12">
        <f t="shared" si="169"/>
        <v>1</v>
      </c>
      <c r="AE1003" s="12">
        <f t="shared" si="170"/>
        <v>0</v>
      </c>
      <c r="AF1003">
        <f t="shared" si="166"/>
        <v>0</v>
      </c>
      <c r="AG1003">
        <f t="shared" si="171"/>
        <v>0</v>
      </c>
      <c r="AH1003">
        <f t="shared" si="172"/>
        <v>1</v>
      </c>
      <c r="AI1003">
        <f t="shared" si="173"/>
        <v>0</v>
      </c>
      <c r="AJ1003">
        <f t="shared" si="174"/>
        <v>0</v>
      </c>
      <c r="AK1003">
        <f t="shared" si="167"/>
        <v>0</v>
      </c>
      <c r="AL1003">
        <f t="shared" si="175"/>
        <v>1</v>
      </c>
    </row>
    <row r="1004" spans="1:38">
      <c r="A1004" t="s">
        <v>3139</v>
      </c>
      <c r="B1004" t="s">
        <v>3140</v>
      </c>
      <c r="C1004" s="1">
        <f t="shared" si="168"/>
        <v>45413</v>
      </c>
      <c r="D1004" t="s">
        <v>3141</v>
      </c>
      <c r="E1004">
        <v>63.7</v>
      </c>
      <c r="F1004">
        <v>2.7</v>
      </c>
      <c r="G1004" t="s">
        <v>87</v>
      </c>
      <c r="H1004" t="s">
        <v>151</v>
      </c>
      <c r="I1004" t="s">
        <v>95</v>
      </c>
      <c r="J1004">
        <v>48</v>
      </c>
      <c r="K1004" t="s">
        <v>33</v>
      </c>
      <c r="L1004" t="s">
        <v>70</v>
      </c>
      <c r="M1004" t="s">
        <v>35</v>
      </c>
      <c r="N1004" t="s">
        <v>202</v>
      </c>
      <c r="O1004" t="s">
        <v>51</v>
      </c>
      <c r="P1004" t="s">
        <v>38</v>
      </c>
      <c r="Q1004" t="s">
        <v>38</v>
      </c>
      <c r="R1004">
        <v>1</v>
      </c>
      <c r="S1004" t="s">
        <v>39</v>
      </c>
      <c r="T1004">
        <v>1</v>
      </c>
      <c r="U1004">
        <v>5.8</v>
      </c>
      <c r="V1004">
        <v>21.9</v>
      </c>
      <c r="W1004" t="s">
        <v>38</v>
      </c>
      <c r="X1004" t="s">
        <v>123</v>
      </c>
      <c r="Y1004" t="s">
        <v>39</v>
      </c>
      <c r="Z1004" t="s">
        <v>108</v>
      </c>
      <c r="AA1004" t="s">
        <v>42</v>
      </c>
      <c r="AB1004" t="s">
        <v>83</v>
      </c>
      <c r="AC1004">
        <f t="shared" si="165"/>
        <v>0</v>
      </c>
      <c r="AD1004" s="12">
        <f t="shared" si="169"/>
        <v>0</v>
      </c>
      <c r="AE1004" s="12">
        <f t="shared" si="170"/>
        <v>1</v>
      </c>
      <c r="AF1004">
        <f t="shared" si="166"/>
        <v>1</v>
      </c>
      <c r="AG1004">
        <f t="shared" si="171"/>
        <v>0</v>
      </c>
      <c r="AH1004">
        <f t="shared" si="172"/>
        <v>0</v>
      </c>
      <c r="AI1004">
        <f t="shared" si="173"/>
        <v>1</v>
      </c>
      <c r="AJ1004">
        <f t="shared" si="174"/>
        <v>0</v>
      </c>
      <c r="AK1004">
        <f t="shared" si="167"/>
        <v>0</v>
      </c>
      <c r="AL1004">
        <f t="shared" si="175"/>
        <v>0</v>
      </c>
    </row>
    <row r="1005" spans="1:38">
      <c r="A1005" t="s">
        <v>3142</v>
      </c>
      <c r="B1005" t="s">
        <v>3143</v>
      </c>
      <c r="C1005" s="1">
        <f t="shared" si="168"/>
        <v>45474</v>
      </c>
      <c r="D1005" t="s">
        <v>3144</v>
      </c>
      <c r="E1005">
        <v>202.4</v>
      </c>
      <c r="F1005">
        <v>8.4</v>
      </c>
      <c r="G1005" t="s">
        <v>142</v>
      </c>
      <c r="H1005" t="s">
        <v>260</v>
      </c>
      <c r="I1005" t="s">
        <v>32</v>
      </c>
      <c r="J1005">
        <v>240</v>
      </c>
      <c r="K1005" t="s">
        <v>49</v>
      </c>
      <c r="L1005" t="s">
        <v>96</v>
      </c>
      <c r="M1005" t="s">
        <v>35</v>
      </c>
      <c r="N1005" t="s">
        <v>128</v>
      </c>
      <c r="O1005" t="s">
        <v>51</v>
      </c>
      <c r="P1005" t="s">
        <v>39</v>
      </c>
      <c r="Q1005" t="s">
        <v>38</v>
      </c>
      <c r="R1005">
        <v>0</v>
      </c>
      <c r="S1005" t="s">
        <v>38</v>
      </c>
      <c r="T1005">
        <v>7</v>
      </c>
      <c r="U1005">
        <v>4.3</v>
      </c>
      <c r="V1005">
        <v>11.5</v>
      </c>
      <c r="W1005" t="s">
        <v>38</v>
      </c>
      <c r="X1005" t="s">
        <v>123</v>
      </c>
      <c r="Y1005" t="s">
        <v>38</v>
      </c>
      <c r="Z1005" t="s">
        <v>64</v>
      </c>
      <c r="AA1005" t="s">
        <v>109</v>
      </c>
      <c r="AB1005" t="s">
        <v>83</v>
      </c>
      <c r="AC1005">
        <f t="shared" si="165"/>
        <v>0</v>
      </c>
      <c r="AD1005" s="12">
        <f t="shared" si="169"/>
        <v>0</v>
      </c>
      <c r="AE1005" s="12">
        <f t="shared" si="170"/>
        <v>1</v>
      </c>
      <c r="AF1005">
        <f t="shared" si="166"/>
        <v>1</v>
      </c>
      <c r="AG1005">
        <f t="shared" si="171"/>
        <v>0</v>
      </c>
      <c r="AH1005">
        <f t="shared" si="172"/>
        <v>0</v>
      </c>
      <c r="AI1005">
        <f t="shared" si="173"/>
        <v>0</v>
      </c>
      <c r="AJ1005">
        <f t="shared" si="174"/>
        <v>1</v>
      </c>
      <c r="AK1005">
        <f t="shared" si="167"/>
        <v>0</v>
      </c>
      <c r="AL1005">
        <f t="shared" si="175"/>
        <v>1</v>
      </c>
    </row>
    <row r="1006" spans="1:38">
      <c r="A1006" t="s">
        <v>3145</v>
      </c>
      <c r="B1006" t="s">
        <v>3146</v>
      </c>
      <c r="C1006" s="1">
        <f t="shared" si="168"/>
        <v>45627</v>
      </c>
      <c r="D1006" t="s">
        <v>3147</v>
      </c>
      <c r="E1006">
        <v>229.8</v>
      </c>
      <c r="F1006">
        <v>9.6</v>
      </c>
      <c r="G1006" t="s">
        <v>77</v>
      </c>
      <c r="H1006" t="s">
        <v>267</v>
      </c>
      <c r="I1006" t="s">
        <v>79</v>
      </c>
      <c r="J1006">
        <v>360</v>
      </c>
      <c r="K1006" t="s">
        <v>49</v>
      </c>
      <c r="L1006" t="s">
        <v>96</v>
      </c>
      <c r="M1006" t="s">
        <v>35</v>
      </c>
      <c r="N1006" t="s">
        <v>144</v>
      </c>
      <c r="O1006" t="s">
        <v>51</v>
      </c>
      <c r="P1006" t="s">
        <v>38</v>
      </c>
      <c r="Q1006" t="s">
        <v>38</v>
      </c>
      <c r="R1006">
        <v>1</v>
      </c>
      <c r="S1006" t="s">
        <v>38</v>
      </c>
      <c r="T1006">
        <v>7</v>
      </c>
      <c r="U1006">
        <v>4.7</v>
      </c>
      <c r="V1006">
        <v>28</v>
      </c>
      <c r="W1006" t="s">
        <v>39</v>
      </c>
      <c r="X1006" t="s">
        <v>123</v>
      </c>
      <c r="Y1006" t="s">
        <v>39</v>
      </c>
      <c r="Z1006" t="s">
        <v>179</v>
      </c>
      <c r="AA1006" t="s">
        <v>109</v>
      </c>
      <c r="AB1006" t="s">
        <v>55</v>
      </c>
      <c r="AC1006">
        <f t="shared" si="165"/>
        <v>0</v>
      </c>
      <c r="AD1006" s="12">
        <f t="shared" si="169"/>
        <v>0</v>
      </c>
      <c r="AE1006" s="12">
        <f t="shared" si="170"/>
        <v>1</v>
      </c>
      <c r="AF1006">
        <f t="shared" si="166"/>
        <v>1</v>
      </c>
      <c r="AG1006">
        <f t="shared" si="171"/>
        <v>0</v>
      </c>
      <c r="AH1006">
        <f t="shared" si="172"/>
        <v>0</v>
      </c>
      <c r="AI1006">
        <f t="shared" si="173"/>
        <v>0</v>
      </c>
      <c r="AJ1006">
        <f t="shared" si="174"/>
        <v>0</v>
      </c>
      <c r="AK1006">
        <f t="shared" si="167"/>
        <v>0</v>
      </c>
      <c r="AL1006">
        <f t="shared" si="175"/>
        <v>0</v>
      </c>
    </row>
    <row r="1007" spans="1:38">
      <c r="A1007" t="s">
        <v>3148</v>
      </c>
      <c r="B1007" t="s">
        <v>3149</v>
      </c>
      <c r="C1007" s="1">
        <f t="shared" si="168"/>
        <v>45505</v>
      </c>
      <c r="D1007" t="s">
        <v>3150</v>
      </c>
      <c r="E1007">
        <v>354.7</v>
      </c>
      <c r="F1007">
        <v>14.8</v>
      </c>
      <c r="G1007" t="s">
        <v>68</v>
      </c>
      <c r="H1007" t="s">
        <v>69</v>
      </c>
      <c r="I1007" t="s">
        <v>48</v>
      </c>
      <c r="J1007">
        <v>120</v>
      </c>
      <c r="K1007" t="s">
        <v>33</v>
      </c>
      <c r="L1007" t="s">
        <v>70</v>
      </c>
      <c r="M1007" t="s">
        <v>35</v>
      </c>
      <c r="N1007" t="s">
        <v>220</v>
      </c>
      <c r="O1007" t="s">
        <v>7232</v>
      </c>
      <c r="P1007" t="s">
        <v>38</v>
      </c>
      <c r="Q1007" t="s">
        <v>38</v>
      </c>
      <c r="R1007">
        <v>1</v>
      </c>
      <c r="S1007" t="s">
        <v>38</v>
      </c>
      <c r="T1007">
        <v>5</v>
      </c>
      <c r="U1007">
        <v>1</v>
      </c>
      <c r="V1007">
        <v>42.8</v>
      </c>
      <c r="W1007" t="s">
        <v>38</v>
      </c>
      <c r="X1007" t="s">
        <v>63</v>
      </c>
      <c r="Y1007" t="s">
        <v>38</v>
      </c>
      <c r="Z1007" t="s">
        <v>115</v>
      </c>
      <c r="AA1007" t="s">
        <v>109</v>
      </c>
      <c r="AB1007" t="s">
        <v>83</v>
      </c>
      <c r="AC1007">
        <f t="shared" si="165"/>
        <v>0</v>
      </c>
      <c r="AD1007" s="12">
        <f t="shared" si="169"/>
        <v>1</v>
      </c>
      <c r="AE1007" s="12">
        <f t="shared" si="170"/>
        <v>0</v>
      </c>
      <c r="AF1007">
        <f t="shared" si="166"/>
        <v>0</v>
      </c>
      <c r="AG1007">
        <f t="shared" si="171"/>
        <v>1</v>
      </c>
      <c r="AH1007">
        <f t="shared" si="172"/>
        <v>1</v>
      </c>
      <c r="AI1007">
        <f t="shared" si="173"/>
        <v>0</v>
      </c>
      <c r="AJ1007">
        <f t="shared" si="174"/>
        <v>0</v>
      </c>
      <c r="AK1007">
        <f t="shared" si="167"/>
        <v>0</v>
      </c>
      <c r="AL1007">
        <f t="shared" si="175"/>
        <v>1</v>
      </c>
    </row>
    <row r="1008" spans="1:38">
      <c r="A1008" t="s">
        <v>3151</v>
      </c>
      <c r="B1008" t="s">
        <v>3152</v>
      </c>
      <c r="C1008" s="1">
        <f t="shared" si="168"/>
        <v>45536</v>
      </c>
      <c r="D1008" t="s">
        <v>3153</v>
      </c>
      <c r="E1008">
        <v>301.39999999999998</v>
      </c>
      <c r="F1008">
        <v>12.6</v>
      </c>
      <c r="G1008" t="s">
        <v>77</v>
      </c>
      <c r="H1008" t="s">
        <v>187</v>
      </c>
      <c r="I1008" t="s">
        <v>79</v>
      </c>
      <c r="J1008">
        <v>360</v>
      </c>
      <c r="K1008" t="s">
        <v>49</v>
      </c>
      <c r="L1008" t="s">
        <v>34</v>
      </c>
      <c r="M1008" t="s">
        <v>35</v>
      </c>
      <c r="N1008" t="s">
        <v>134</v>
      </c>
      <c r="O1008" t="s">
        <v>37</v>
      </c>
      <c r="P1008" t="s">
        <v>39</v>
      </c>
      <c r="Q1008" t="s">
        <v>38</v>
      </c>
      <c r="R1008">
        <v>0</v>
      </c>
      <c r="S1008" t="s">
        <v>38</v>
      </c>
      <c r="T1008">
        <v>8</v>
      </c>
      <c r="U1008">
        <v>1.7</v>
      </c>
      <c r="V1008">
        <v>0</v>
      </c>
      <c r="W1008" t="s">
        <v>39</v>
      </c>
      <c r="X1008" t="s">
        <v>63</v>
      </c>
      <c r="Y1008" t="s">
        <v>39</v>
      </c>
      <c r="Z1008" t="s">
        <v>73</v>
      </c>
      <c r="AA1008" t="s">
        <v>42</v>
      </c>
      <c r="AB1008" t="s">
        <v>83</v>
      </c>
      <c r="AC1008">
        <f t="shared" si="165"/>
        <v>0</v>
      </c>
      <c r="AD1008" s="12">
        <f t="shared" si="169"/>
        <v>1</v>
      </c>
      <c r="AE1008" s="12">
        <f t="shared" si="170"/>
        <v>0</v>
      </c>
      <c r="AF1008">
        <f t="shared" si="166"/>
        <v>0</v>
      </c>
      <c r="AG1008">
        <f t="shared" si="171"/>
        <v>0</v>
      </c>
      <c r="AH1008">
        <f t="shared" si="172"/>
        <v>0</v>
      </c>
      <c r="AI1008">
        <f t="shared" si="173"/>
        <v>0</v>
      </c>
      <c r="AJ1008">
        <f t="shared" si="174"/>
        <v>0</v>
      </c>
      <c r="AK1008">
        <f t="shared" si="167"/>
        <v>0</v>
      </c>
      <c r="AL1008">
        <f t="shared" si="175"/>
        <v>0</v>
      </c>
    </row>
    <row r="1009" spans="1:38">
      <c r="A1009" t="s">
        <v>3154</v>
      </c>
      <c r="B1009" t="s">
        <v>3155</v>
      </c>
      <c r="C1009" s="1">
        <f t="shared" si="168"/>
        <v>45413</v>
      </c>
      <c r="D1009" t="s">
        <v>3156</v>
      </c>
      <c r="E1009">
        <v>179.2</v>
      </c>
      <c r="F1009">
        <v>7.5</v>
      </c>
      <c r="G1009" t="s">
        <v>142</v>
      </c>
      <c r="H1009" t="s">
        <v>729</v>
      </c>
      <c r="I1009" t="s">
        <v>32</v>
      </c>
      <c r="J1009">
        <v>240</v>
      </c>
      <c r="K1009" t="s">
        <v>49</v>
      </c>
      <c r="L1009" t="s">
        <v>34</v>
      </c>
      <c r="M1009" t="s">
        <v>35</v>
      </c>
      <c r="N1009" t="s">
        <v>299</v>
      </c>
      <c r="O1009" t="s">
        <v>7232</v>
      </c>
      <c r="P1009" t="s">
        <v>39</v>
      </c>
      <c r="Q1009" t="s">
        <v>38</v>
      </c>
      <c r="R1009">
        <v>0</v>
      </c>
      <c r="S1009" t="s">
        <v>38</v>
      </c>
      <c r="T1009">
        <v>8</v>
      </c>
      <c r="U1009">
        <v>2.5</v>
      </c>
      <c r="V1009">
        <v>2.2999999999999998</v>
      </c>
      <c r="W1009" t="s">
        <v>39</v>
      </c>
      <c r="X1009" t="s">
        <v>123</v>
      </c>
      <c r="Y1009" t="s">
        <v>39</v>
      </c>
      <c r="Z1009" t="s">
        <v>81</v>
      </c>
      <c r="AA1009" t="s">
        <v>103</v>
      </c>
      <c r="AB1009" t="s">
        <v>43</v>
      </c>
      <c r="AC1009">
        <f t="shared" si="165"/>
        <v>0</v>
      </c>
      <c r="AD1009" s="12">
        <f t="shared" si="169"/>
        <v>0</v>
      </c>
      <c r="AE1009" s="12">
        <f t="shared" si="170"/>
        <v>1</v>
      </c>
      <c r="AF1009">
        <f t="shared" si="166"/>
        <v>0</v>
      </c>
      <c r="AG1009">
        <f t="shared" si="171"/>
        <v>1</v>
      </c>
      <c r="AH1009">
        <f t="shared" si="172"/>
        <v>0</v>
      </c>
      <c r="AI1009">
        <f t="shared" si="173"/>
        <v>0</v>
      </c>
      <c r="AJ1009">
        <f t="shared" si="174"/>
        <v>1</v>
      </c>
      <c r="AK1009">
        <f t="shared" si="167"/>
        <v>0</v>
      </c>
      <c r="AL1009">
        <f t="shared" si="175"/>
        <v>0</v>
      </c>
    </row>
    <row r="1010" spans="1:38">
      <c r="A1010" t="s">
        <v>3157</v>
      </c>
      <c r="B1010" t="s">
        <v>3158</v>
      </c>
      <c r="C1010" s="1">
        <f t="shared" si="168"/>
        <v>45352</v>
      </c>
      <c r="D1010" t="s">
        <v>3159</v>
      </c>
      <c r="E1010">
        <v>95.4</v>
      </c>
      <c r="F1010">
        <v>4</v>
      </c>
      <c r="G1010" t="s">
        <v>93</v>
      </c>
      <c r="H1010" t="s">
        <v>94</v>
      </c>
      <c r="I1010" t="s">
        <v>48</v>
      </c>
      <c r="J1010">
        <v>120</v>
      </c>
      <c r="K1010" t="s">
        <v>49</v>
      </c>
      <c r="L1010" t="s">
        <v>70</v>
      </c>
      <c r="M1010" t="s">
        <v>71</v>
      </c>
      <c r="N1010" t="s">
        <v>50</v>
      </c>
      <c r="O1010" t="s">
        <v>7232</v>
      </c>
      <c r="P1010" t="s">
        <v>38</v>
      </c>
      <c r="Q1010" t="s">
        <v>39</v>
      </c>
      <c r="R1010">
        <v>3</v>
      </c>
      <c r="S1010" t="s">
        <v>39</v>
      </c>
      <c r="T1010">
        <v>7</v>
      </c>
      <c r="U1010">
        <v>5</v>
      </c>
      <c r="V1010">
        <v>18</v>
      </c>
      <c r="W1010" t="s">
        <v>39</v>
      </c>
      <c r="X1010" t="s">
        <v>63</v>
      </c>
      <c r="Y1010" t="s">
        <v>38</v>
      </c>
      <c r="Z1010" t="s">
        <v>64</v>
      </c>
      <c r="AA1010" t="s">
        <v>82</v>
      </c>
      <c r="AB1010" t="s">
        <v>55</v>
      </c>
      <c r="AC1010">
        <f t="shared" si="165"/>
        <v>0</v>
      </c>
      <c r="AD1010" s="12">
        <f t="shared" si="169"/>
        <v>1</v>
      </c>
      <c r="AE1010" s="12">
        <f t="shared" si="170"/>
        <v>0</v>
      </c>
      <c r="AF1010">
        <f t="shared" si="166"/>
        <v>0</v>
      </c>
      <c r="AG1010">
        <f t="shared" si="171"/>
        <v>1</v>
      </c>
      <c r="AH1010">
        <f t="shared" si="172"/>
        <v>1</v>
      </c>
      <c r="AI1010">
        <f t="shared" si="173"/>
        <v>0</v>
      </c>
      <c r="AJ1010">
        <f t="shared" si="174"/>
        <v>0</v>
      </c>
      <c r="AK1010">
        <f t="shared" si="167"/>
        <v>0</v>
      </c>
      <c r="AL1010">
        <f t="shared" si="175"/>
        <v>1</v>
      </c>
    </row>
    <row r="1011" spans="1:38">
      <c r="A1011" t="s">
        <v>3160</v>
      </c>
      <c r="B1011" t="s">
        <v>3161</v>
      </c>
      <c r="C1011" s="1">
        <f t="shared" si="168"/>
        <v>45383</v>
      </c>
      <c r="D1011" t="s">
        <v>3162</v>
      </c>
      <c r="E1011">
        <v>179.1</v>
      </c>
      <c r="F1011">
        <v>7.5</v>
      </c>
      <c r="G1011" t="s">
        <v>77</v>
      </c>
      <c r="H1011" t="s">
        <v>78</v>
      </c>
      <c r="I1011" t="s">
        <v>32</v>
      </c>
      <c r="J1011">
        <v>240</v>
      </c>
      <c r="K1011" t="s">
        <v>49</v>
      </c>
      <c r="L1011" t="s">
        <v>70</v>
      </c>
      <c r="M1011" t="s">
        <v>35</v>
      </c>
      <c r="N1011" t="s">
        <v>277</v>
      </c>
      <c r="O1011" t="s">
        <v>7232</v>
      </c>
      <c r="P1011" t="s">
        <v>39</v>
      </c>
      <c r="Q1011" t="s">
        <v>38</v>
      </c>
      <c r="R1011">
        <v>0</v>
      </c>
      <c r="S1011" t="s">
        <v>38</v>
      </c>
      <c r="T1011">
        <v>10</v>
      </c>
      <c r="U1011">
        <v>5.4</v>
      </c>
      <c r="V1011">
        <v>14.8</v>
      </c>
      <c r="W1011" t="s">
        <v>38</v>
      </c>
      <c r="X1011" t="s">
        <v>52</v>
      </c>
      <c r="Y1011" t="s">
        <v>39</v>
      </c>
      <c r="Z1011" t="s">
        <v>108</v>
      </c>
      <c r="AA1011" t="s">
        <v>82</v>
      </c>
      <c r="AB1011" t="s">
        <v>83</v>
      </c>
      <c r="AC1011">
        <f t="shared" si="165"/>
        <v>1</v>
      </c>
      <c r="AD1011" s="12">
        <f t="shared" si="169"/>
        <v>0</v>
      </c>
      <c r="AE1011" s="12">
        <f t="shared" si="170"/>
        <v>0</v>
      </c>
      <c r="AF1011">
        <f t="shared" si="166"/>
        <v>0</v>
      </c>
      <c r="AG1011">
        <f t="shared" si="171"/>
        <v>1</v>
      </c>
      <c r="AH1011">
        <f t="shared" si="172"/>
        <v>0</v>
      </c>
      <c r="AI1011">
        <f t="shared" si="173"/>
        <v>0</v>
      </c>
      <c r="AJ1011">
        <f t="shared" si="174"/>
        <v>1</v>
      </c>
      <c r="AK1011">
        <f t="shared" si="167"/>
        <v>0</v>
      </c>
      <c r="AL1011">
        <f t="shared" si="175"/>
        <v>0</v>
      </c>
    </row>
    <row r="1012" spans="1:38">
      <c r="A1012" t="s">
        <v>3163</v>
      </c>
      <c r="B1012" t="s">
        <v>3164</v>
      </c>
      <c r="C1012" s="1">
        <f t="shared" si="168"/>
        <v>45444</v>
      </c>
      <c r="D1012" t="s">
        <v>3165</v>
      </c>
      <c r="E1012">
        <v>177.7</v>
      </c>
      <c r="F1012">
        <v>7.4</v>
      </c>
      <c r="G1012" t="s">
        <v>68</v>
      </c>
      <c r="H1012" t="s">
        <v>219</v>
      </c>
      <c r="I1012" t="s">
        <v>32</v>
      </c>
      <c r="J1012">
        <v>240</v>
      </c>
      <c r="K1012" t="s">
        <v>49</v>
      </c>
      <c r="L1012" t="s">
        <v>70</v>
      </c>
      <c r="M1012" t="s">
        <v>71</v>
      </c>
      <c r="N1012" t="s">
        <v>128</v>
      </c>
      <c r="O1012" t="s">
        <v>7232</v>
      </c>
      <c r="P1012" t="s">
        <v>38</v>
      </c>
      <c r="Q1012" t="s">
        <v>39</v>
      </c>
      <c r="R1012">
        <v>3</v>
      </c>
      <c r="S1012" t="s">
        <v>38</v>
      </c>
      <c r="T1012">
        <v>8</v>
      </c>
      <c r="U1012">
        <v>0.3</v>
      </c>
      <c r="V1012">
        <v>0</v>
      </c>
      <c r="W1012" t="s">
        <v>38</v>
      </c>
      <c r="X1012" t="s">
        <v>63</v>
      </c>
      <c r="Y1012" t="s">
        <v>39</v>
      </c>
      <c r="Z1012" t="s">
        <v>81</v>
      </c>
      <c r="AA1012" t="s">
        <v>103</v>
      </c>
      <c r="AB1012" t="s">
        <v>43</v>
      </c>
      <c r="AC1012">
        <f t="shared" si="165"/>
        <v>0</v>
      </c>
      <c r="AD1012" s="12">
        <f t="shared" si="169"/>
        <v>1</v>
      </c>
      <c r="AE1012" s="12">
        <f t="shared" si="170"/>
        <v>0</v>
      </c>
      <c r="AF1012">
        <f t="shared" si="166"/>
        <v>0</v>
      </c>
      <c r="AG1012">
        <f t="shared" si="171"/>
        <v>1</v>
      </c>
      <c r="AH1012">
        <f t="shared" si="172"/>
        <v>0</v>
      </c>
      <c r="AI1012">
        <f t="shared" si="173"/>
        <v>0</v>
      </c>
      <c r="AJ1012">
        <f t="shared" si="174"/>
        <v>1</v>
      </c>
      <c r="AK1012">
        <f t="shared" si="167"/>
        <v>0</v>
      </c>
      <c r="AL1012">
        <f t="shared" si="175"/>
        <v>0</v>
      </c>
    </row>
    <row r="1013" spans="1:38">
      <c r="A1013" t="s">
        <v>3166</v>
      </c>
      <c r="B1013" t="s">
        <v>3167</v>
      </c>
      <c r="C1013" s="1">
        <f t="shared" si="168"/>
        <v>45597</v>
      </c>
      <c r="D1013" t="s">
        <v>3168</v>
      </c>
      <c r="E1013">
        <v>84.9</v>
      </c>
      <c r="F1013">
        <v>3.5</v>
      </c>
      <c r="G1013" t="s">
        <v>59</v>
      </c>
      <c r="H1013" t="s">
        <v>60</v>
      </c>
      <c r="I1013" t="s">
        <v>48</v>
      </c>
      <c r="J1013">
        <v>120</v>
      </c>
      <c r="K1013" t="s">
        <v>49</v>
      </c>
      <c r="L1013" t="s">
        <v>96</v>
      </c>
      <c r="M1013" t="s">
        <v>71</v>
      </c>
      <c r="N1013" t="s">
        <v>80</v>
      </c>
      <c r="O1013" t="s">
        <v>51</v>
      </c>
      <c r="P1013" t="s">
        <v>38</v>
      </c>
      <c r="Q1013" t="s">
        <v>39</v>
      </c>
      <c r="R1013">
        <v>2</v>
      </c>
      <c r="S1013" t="s">
        <v>38</v>
      </c>
      <c r="T1013">
        <v>7</v>
      </c>
      <c r="U1013">
        <v>1.3</v>
      </c>
      <c r="V1013">
        <v>1.7</v>
      </c>
      <c r="W1013" t="s">
        <v>38</v>
      </c>
      <c r="X1013" t="s">
        <v>63</v>
      </c>
      <c r="Y1013" t="s">
        <v>38</v>
      </c>
      <c r="Z1013" t="s">
        <v>64</v>
      </c>
      <c r="AA1013" t="s">
        <v>82</v>
      </c>
      <c r="AB1013" t="s">
        <v>83</v>
      </c>
      <c r="AC1013">
        <f t="shared" si="165"/>
        <v>0</v>
      </c>
      <c r="AD1013" s="12">
        <f t="shared" si="169"/>
        <v>1</v>
      </c>
      <c r="AE1013" s="12">
        <f t="shared" si="170"/>
        <v>0</v>
      </c>
      <c r="AF1013">
        <f t="shared" si="166"/>
        <v>1</v>
      </c>
      <c r="AG1013">
        <f t="shared" si="171"/>
        <v>0</v>
      </c>
      <c r="AH1013">
        <f t="shared" si="172"/>
        <v>1</v>
      </c>
      <c r="AI1013">
        <f t="shared" si="173"/>
        <v>0</v>
      </c>
      <c r="AJ1013">
        <f t="shared" si="174"/>
        <v>0</v>
      </c>
      <c r="AK1013">
        <f t="shared" si="167"/>
        <v>0</v>
      </c>
      <c r="AL1013">
        <f t="shared" si="175"/>
        <v>1</v>
      </c>
    </row>
    <row r="1014" spans="1:38">
      <c r="A1014" t="s">
        <v>3169</v>
      </c>
      <c r="B1014" t="s">
        <v>3170</v>
      </c>
      <c r="C1014" s="1">
        <f t="shared" si="168"/>
        <v>45597</v>
      </c>
      <c r="D1014" t="s">
        <v>3171</v>
      </c>
      <c r="E1014">
        <v>120.8</v>
      </c>
      <c r="F1014">
        <v>5</v>
      </c>
      <c r="G1014" t="s">
        <v>59</v>
      </c>
      <c r="H1014" t="s">
        <v>466</v>
      </c>
      <c r="I1014" t="s">
        <v>48</v>
      </c>
      <c r="J1014">
        <v>120</v>
      </c>
      <c r="K1014" t="s">
        <v>33</v>
      </c>
      <c r="L1014" t="s">
        <v>96</v>
      </c>
      <c r="M1014" t="s">
        <v>71</v>
      </c>
      <c r="N1014" t="s">
        <v>168</v>
      </c>
      <c r="O1014" t="s">
        <v>51</v>
      </c>
      <c r="P1014" t="s">
        <v>38</v>
      </c>
      <c r="Q1014" t="s">
        <v>39</v>
      </c>
      <c r="R1014">
        <v>1</v>
      </c>
      <c r="S1014" t="s">
        <v>39</v>
      </c>
      <c r="T1014">
        <v>2</v>
      </c>
      <c r="U1014">
        <v>3.7</v>
      </c>
      <c r="V1014">
        <v>2.8</v>
      </c>
      <c r="W1014" t="s">
        <v>38</v>
      </c>
      <c r="X1014" t="s">
        <v>123</v>
      </c>
      <c r="Y1014" t="s">
        <v>39</v>
      </c>
      <c r="Z1014" t="s">
        <v>53</v>
      </c>
      <c r="AA1014" t="s">
        <v>82</v>
      </c>
      <c r="AB1014" t="s">
        <v>43</v>
      </c>
      <c r="AC1014">
        <f t="shared" si="165"/>
        <v>0</v>
      </c>
      <c r="AD1014" s="12">
        <f t="shared" si="169"/>
        <v>0</v>
      </c>
      <c r="AE1014" s="12">
        <f t="shared" si="170"/>
        <v>1</v>
      </c>
      <c r="AF1014">
        <f t="shared" si="166"/>
        <v>1</v>
      </c>
      <c r="AG1014">
        <f t="shared" si="171"/>
        <v>0</v>
      </c>
      <c r="AH1014">
        <f t="shared" si="172"/>
        <v>1</v>
      </c>
      <c r="AI1014">
        <f t="shared" si="173"/>
        <v>0</v>
      </c>
      <c r="AJ1014">
        <f t="shared" si="174"/>
        <v>0</v>
      </c>
      <c r="AK1014">
        <f t="shared" si="167"/>
        <v>0</v>
      </c>
      <c r="AL1014">
        <f t="shared" si="175"/>
        <v>0</v>
      </c>
    </row>
    <row r="1015" spans="1:38">
      <c r="A1015" t="s">
        <v>3172</v>
      </c>
      <c r="B1015" t="s">
        <v>3173</v>
      </c>
      <c r="C1015" s="1">
        <f t="shared" si="168"/>
        <v>45536</v>
      </c>
      <c r="D1015" t="s">
        <v>3174</v>
      </c>
      <c r="E1015">
        <v>359.7</v>
      </c>
      <c r="F1015">
        <v>15</v>
      </c>
      <c r="G1015" t="s">
        <v>77</v>
      </c>
      <c r="H1015" t="s">
        <v>267</v>
      </c>
      <c r="I1015" t="s">
        <v>32</v>
      </c>
      <c r="J1015">
        <v>240</v>
      </c>
      <c r="K1015" t="s">
        <v>33</v>
      </c>
      <c r="L1015" t="s">
        <v>70</v>
      </c>
      <c r="M1015" t="s">
        <v>35</v>
      </c>
      <c r="N1015" t="s">
        <v>144</v>
      </c>
      <c r="O1015" t="s">
        <v>37</v>
      </c>
      <c r="P1015" t="s">
        <v>39</v>
      </c>
      <c r="Q1015" t="s">
        <v>38</v>
      </c>
      <c r="R1015">
        <v>0</v>
      </c>
      <c r="S1015" t="s">
        <v>38</v>
      </c>
      <c r="T1015">
        <v>7</v>
      </c>
      <c r="U1015">
        <v>6.4</v>
      </c>
      <c r="V1015">
        <v>29.7</v>
      </c>
      <c r="W1015" t="s">
        <v>39</v>
      </c>
      <c r="X1015" t="s">
        <v>63</v>
      </c>
      <c r="Y1015" t="s">
        <v>38</v>
      </c>
      <c r="Z1015" t="s">
        <v>64</v>
      </c>
      <c r="AA1015" t="s">
        <v>82</v>
      </c>
      <c r="AB1015" t="s">
        <v>83</v>
      </c>
      <c r="AC1015">
        <f t="shared" si="165"/>
        <v>0</v>
      </c>
      <c r="AD1015" s="12">
        <f t="shared" si="169"/>
        <v>1</v>
      </c>
      <c r="AE1015" s="12">
        <f t="shared" si="170"/>
        <v>0</v>
      </c>
      <c r="AF1015">
        <f t="shared" si="166"/>
        <v>0</v>
      </c>
      <c r="AG1015">
        <f t="shared" si="171"/>
        <v>0</v>
      </c>
      <c r="AH1015">
        <f t="shared" si="172"/>
        <v>0</v>
      </c>
      <c r="AI1015">
        <f t="shared" si="173"/>
        <v>0</v>
      </c>
      <c r="AJ1015">
        <f t="shared" si="174"/>
        <v>1</v>
      </c>
      <c r="AK1015">
        <f t="shared" si="167"/>
        <v>0</v>
      </c>
      <c r="AL1015">
        <f t="shared" si="175"/>
        <v>1</v>
      </c>
    </row>
    <row r="1016" spans="1:38">
      <c r="A1016" t="s">
        <v>3175</v>
      </c>
      <c r="B1016" t="s">
        <v>3176</v>
      </c>
      <c r="C1016" s="1">
        <f t="shared" si="168"/>
        <v>45444</v>
      </c>
      <c r="D1016" t="s">
        <v>3177</v>
      </c>
      <c r="E1016">
        <v>359.5</v>
      </c>
      <c r="F1016">
        <v>15</v>
      </c>
      <c r="G1016" t="s">
        <v>87</v>
      </c>
      <c r="H1016" t="s">
        <v>309</v>
      </c>
      <c r="I1016" t="s">
        <v>48</v>
      </c>
      <c r="J1016">
        <v>120</v>
      </c>
      <c r="K1016" t="s">
        <v>33</v>
      </c>
      <c r="L1016" t="s">
        <v>70</v>
      </c>
      <c r="M1016" t="s">
        <v>71</v>
      </c>
      <c r="N1016" t="s">
        <v>277</v>
      </c>
      <c r="O1016" t="s">
        <v>51</v>
      </c>
      <c r="P1016" t="s">
        <v>38</v>
      </c>
      <c r="Q1016" t="s">
        <v>39</v>
      </c>
      <c r="R1016">
        <v>4</v>
      </c>
      <c r="S1016" t="s">
        <v>38</v>
      </c>
      <c r="T1016">
        <v>6</v>
      </c>
      <c r="U1016">
        <v>3</v>
      </c>
      <c r="V1016">
        <v>21.2</v>
      </c>
      <c r="W1016" t="s">
        <v>39</v>
      </c>
      <c r="X1016" t="s">
        <v>40</v>
      </c>
      <c r="Y1016" t="s">
        <v>38</v>
      </c>
      <c r="Z1016" t="s">
        <v>179</v>
      </c>
      <c r="AA1016" t="s">
        <v>54</v>
      </c>
      <c r="AB1016" t="s">
        <v>83</v>
      </c>
      <c r="AC1016">
        <f t="shared" si="165"/>
        <v>0</v>
      </c>
      <c r="AD1016" s="12">
        <f t="shared" si="169"/>
        <v>0</v>
      </c>
      <c r="AE1016" s="12">
        <f t="shared" si="170"/>
        <v>0</v>
      </c>
      <c r="AF1016">
        <f t="shared" si="166"/>
        <v>1</v>
      </c>
      <c r="AG1016">
        <f t="shared" si="171"/>
        <v>0</v>
      </c>
      <c r="AH1016">
        <f t="shared" si="172"/>
        <v>1</v>
      </c>
      <c r="AI1016">
        <f t="shared" si="173"/>
        <v>0</v>
      </c>
      <c r="AJ1016">
        <f t="shared" si="174"/>
        <v>0</v>
      </c>
      <c r="AK1016">
        <f t="shared" si="167"/>
        <v>0</v>
      </c>
      <c r="AL1016">
        <f t="shared" si="175"/>
        <v>1</v>
      </c>
    </row>
    <row r="1017" spans="1:38">
      <c r="A1017" t="s">
        <v>3178</v>
      </c>
      <c r="B1017" t="s">
        <v>3179</v>
      </c>
      <c r="C1017" s="1">
        <f t="shared" si="168"/>
        <v>45536</v>
      </c>
      <c r="D1017" t="s">
        <v>3180</v>
      </c>
      <c r="E1017">
        <v>284.39999999999998</v>
      </c>
      <c r="F1017">
        <v>11.9</v>
      </c>
      <c r="G1017" t="s">
        <v>101</v>
      </c>
      <c r="H1017" t="s">
        <v>442</v>
      </c>
      <c r="I1017" t="s">
        <v>79</v>
      </c>
      <c r="J1017">
        <v>360</v>
      </c>
      <c r="K1017" t="s">
        <v>49</v>
      </c>
      <c r="L1017" t="s">
        <v>70</v>
      </c>
      <c r="M1017" t="s">
        <v>35</v>
      </c>
      <c r="N1017" t="s">
        <v>138</v>
      </c>
      <c r="O1017" t="s">
        <v>7232</v>
      </c>
      <c r="P1017" t="s">
        <v>38</v>
      </c>
      <c r="Q1017" t="s">
        <v>38</v>
      </c>
      <c r="R1017">
        <v>1</v>
      </c>
      <c r="S1017" t="s">
        <v>39</v>
      </c>
      <c r="T1017">
        <v>8</v>
      </c>
      <c r="U1017">
        <v>0.1</v>
      </c>
      <c r="V1017">
        <v>38.700000000000003</v>
      </c>
      <c r="W1017" t="s">
        <v>39</v>
      </c>
      <c r="X1017" t="s">
        <v>52</v>
      </c>
      <c r="Y1017" t="s">
        <v>39</v>
      </c>
      <c r="Z1017" t="s">
        <v>64</v>
      </c>
      <c r="AA1017" t="s">
        <v>109</v>
      </c>
      <c r="AB1017" t="s">
        <v>83</v>
      </c>
      <c r="AC1017">
        <f t="shared" si="165"/>
        <v>1</v>
      </c>
      <c r="AD1017" s="12">
        <f t="shared" si="169"/>
        <v>0</v>
      </c>
      <c r="AE1017" s="12">
        <f t="shared" si="170"/>
        <v>0</v>
      </c>
      <c r="AF1017">
        <f t="shared" si="166"/>
        <v>0</v>
      </c>
      <c r="AG1017">
        <f t="shared" si="171"/>
        <v>1</v>
      </c>
      <c r="AH1017">
        <f t="shared" si="172"/>
        <v>0</v>
      </c>
      <c r="AI1017">
        <f t="shared" si="173"/>
        <v>0</v>
      </c>
      <c r="AJ1017">
        <f t="shared" si="174"/>
        <v>0</v>
      </c>
      <c r="AK1017">
        <f t="shared" si="167"/>
        <v>0</v>
      </c>
      <c r="AL1017">
        <f t="shared" si="175"/>
        <v>0</v>
      </c>
    </row>
    <row r="1018" spans="1:38">
      <c r="A1018" t="s">
        <v>3181</v>
      </c>
      <c r="B1018" t="s">
        <v>3182</v>
      </c>
      <c r="C1018" s="1">
        <f t="shared" si="168"/>
        <v>45444</v>
      </c>
      <c r="D1018" t="s">
        <v>3183</v>
      </c>
      <c r="E1018">
        <v>86</v>
      </c>
      <c r="F1018">
        <v>3.6</v>
      </c>
      <c r="G1018" t="s">
        <v>59</v>
      </c>
      <c r="H1018" t="s">
        <v>227</v>
      </c>
      <c r="I1018" t="s">
        <v>48</v>
      </c>
      <c r="J1018">
        <v>120</v>
      </c>
      <c r="K1018" t="s">
        <v>49</v>
      </c>
      <c r="L1018" t="s">
        <v>70</v>
      </c>
      <c r="M1018" t="s">
        <v>35</v>
      </c>
      <c r="N1018" t="s">
        <v>144</v>
      </c>
      <c r="O1018" t="s">
        <v>51</v>
      </c>
      <c r="P1018" t="s">
        <v>38</v>
      </c>
      <c r="Q1018" t="s">
        <v>38</v>
      </c>
      <c r="R1018">
        <v>1</v>
      </c>
      <c r="S1018" t="s">
        <v>38</v>
      </c>
      <c r="T1018">
        <v>9</v>
      </c>
      <c r="U1018">
        <v>6.2</v>
      </c>
      <c r="V1018">
        <v>18.5</v>
      </c>
      <c r="W1018" t="s">
        <v>39</v>
      </c>
      <c r="X1018" t="s">
        <v>123</v>
      </c>
      <c r="Y1018" t="s">
        <v>38</v>
      </c>
      <c r="Z1018" t="s">
        <v>73</v>
      </c>
      <c r="AA1018" t="s">
        <v>54</v>
      </c>
      <c r="AB1018" t="s">
        <v>43</v>
      </c>
      <c r="AC1018">
        <f t="shared" si="165"/>
        <v>0</v>
      </c>
      <c r="AD1018" s="12">
        <f t="shared" si="169"/>
        <v>0</v>
      </c>
      <c r="AE1018" s="12">
        <f t="shared" si="170"/>
        <v>1</v>
      </c>
      <c r="AF1018">
        <f t="shared" si="166"/>
        <v>1</v>
      </c>
      <c r="AG1018">
        <f t="shared" si="171"/>
        <v>0</v>
      </c>
      <c r="AH1018">
        <f t="shared" si="172"/>
        <v>1</v>
      </c>
      <c r="AI1018">
        <f t="shared" si="173"/>
        <v>0</v>
      </c>
      <c r="AJ1018">
        <f t="shared" si="174"/>
        <v>0</v>
      </c>
      <c r="AK1018">
        <f t="shared" si="167"/>
        <v>0</v>
      </c>
      <c r="AL1018">
        <f t="shared" si="175"/>
        <v>1</v>
      </c>
    </row>
    <row r="1019" spans="1:38">
      <c r="A1019" t="s">
        <v>3184</v>
      </c>
      <c r="B1019" t="s">
        <v>3185</v>
      </c>
      <c r="C1019" s="1">
        <f t="shared" si="168"/>
        <v>45444</v>
      </c>
      <c r="D1019" t="s">
        <v>3186</v>
      </c>
      <c r="E1019">
        <v>523.9</v>
      </c>
      <c r="F1019">
        <v>21.8</v>
      </c>
      <c r="G1019" t="s">
        <v>77</v>
      </c>
      <c r="H1019" t="s">
        <v>244</v>
      </c>
      <c r="I1019" t="s">
        <v>79</v>
      </c>
      <c r="J1019">
        <v>360</v>
      </c>
      <c r="K1019" t="s">
        <v>33</v>
      </c>
      <c r="L1019" t="s">
        <v>34</v>
      </c>
      <c r="M1019" t="s">
        <v>35</v>
      </c>
      <c r="N1019" t="s">
        <v>188</v>
      </c>
      <c r="O1019" t="s">
        <v>7232</v>
      </c>
      <c r="P1019" t="s">
        <v>39</v>
      </c>
      <c r="Q1019" t="s">
        <v>38</v>
      </c>
      <c r="R1019">
        <v>0</v>
      </c>
      <c r="S1019" t="s">
        <v>38</v>
      </c>
      <c r="T1019">
        <v>9</v>
      </c>
      <c r="U1019">
        <v>0.1</v>
      </c>
      <c r="V1019">
        <v>3.5</v>
      </c>
      <c r="W1019" t="s">
        <v>38</v>
      </c>
      <c r="X1019" t="s">
        <v>63</v>
      </c>
      <c r="Y1019" t="s">
        <v>39</v>
      </c>
      <c r="Z1019" t="s">
        <v>81</v>
      </c>
      <c r="AA1019" t="s">
        <v>42</v>
      </c>
      <c r="AB1019" t="s">
        <v>83</v>
      </c>
      <c r="AC1019">
        <f t="shared" si="165"/>
        <v>0</v>
      </c>
      <c r="AD1019" s="12">
        <f t="shared" si="169"/>
        <v>1</v>
      </c>
      <c r="AE1019" s="12">
        <f t="shared" si="170"/>
        <v>0</v>
      </c>
      <c r="AF1019">
        <f t="shared" si="166"/>
        <v>0</v>
      </c>
      <c r="AG1019">
        <f t="shared" si="171"/>
        <v>1</v>
      </c>
      <c r="AH1019">
        <f t="shared" si="172"/>
        <v>0</v>
      </c>
      <c r="AI1019">
        <f t="shared" si="173"/>
        <v>0</v>
      </c>
      <c r="AJ1019">
        <f t="shared" si="174"/>
        <v>0</v>
      </c>
      <c r="AK1019">
        <f t="shared" si="167"/>
        <v>0</v>
      </c>
      <c r="AL1019">
        <f t="shared" si="175"/>
        <v>0</v>
      </c>
    </row>
    <row r="1020" spans="1:38">
      <c r="A1020" t="s">
        <v>3187</v>
      </c>
      <c r="B1020" t="s">
        <v>3188</v>
      </c>
      <c r="C1020" s="1">
        <f t="shared" si="168"/>
        <v>45536</v>
      </c>
      <c r="D1020" t="s">
        <v>3189</v>
      </c>
      <c r="E1020">
        <v>106.3</v>
      </c>
      <c r="F1020">
        <v>4.4000000000000004</v>
      </c>
      <c r="G1020" t="s">
        <v>101</v>
      </c>
      <c r="H1020" t="s">
        <v>295</v>
      </c>
      <c r="I1020" t="s">
        <v>48</v>
      </c>
      <c r="J1020">
        <v>120</v>
      </c>
      <c r="K1020" t="s">
        <v>49</v>
      </c>
      <c r="L1020" t="s">
        <v>34</v>
      </c>
      <c r="M1020" t="s">
        <v>35</v>
      </c>
      <c r="N1020" t="s">
        <v>72</v>
      </c>
      <c r="O1020" t="s">
        <v>37</v>
      </c>
      <c r="P1020" t="s">
        <v>38</v>
      </c>
      <c r="Q1020" t="s">
        <v>38</v>
      </c>
      <c r="R1020">
        <v>1</v>
      </c>
      <c r="S1020" t="s">
        <v>38</v>
      </c>
      <c r="T1020">
        <v>6</v>
      </c>
      <c r="U1020">
        <v>2.1</v>
      </c>
      <c r="V1020">
        <v>26.9</v>
      </c>
      <c r="W1020" t="s">
        <v>39</v>
      </c>
      <c r="X1020" t="s">
        <v>123</v>
      </c>
      <c r="Y1020" t="s">
        <v>38</v>
      </c>
      <c r="Z1020" t="s">
        <v>81</v>
      </c>
      <c r="AA1020" t="s">
        <v>103</v>
      </c>
      <c r="AB1020" t="s">
        <v>55</v>
      </c>
      <c r="AC1020">
        <f t="shared" si="165"/>
        <v>0</v>
      </c>
      <c r="AD1020" s="12">
        <f t="shared" si="169"/>
        <v>0</v>
      </c>
      <c r="AE1020" s="12">
        <f t="shared" si="170"/>
        <v>1</v>
      </c>
      <c r="AF1020">
        <f t="shared" si="166"/>
        <v>0</v>
      </c>
      <c r="AG1020">
        <f t="shared" si="171"/>
        <v>0</v>
      </c>
      <c r="AH1020">
        <f t="shared" si="172"/>
        <v>1</v>
      </c>
      <c r="AI1020">
        <f t="shared" si="173"/>
        <v>0</v>
      </c>
      <c r="AJ1020">
        <f t="shared" si="174"/>
        <v>0</v>
      </c>
      <c r="AK1020">
        <f t="shared" si="167"/>
        <v>0</v>
      </c>
      <c r="AL1020">
        <f t="shared" si="175"/>
        <v>1</v>
      </c>
    </row>
    <row r="1021" spans="1:38">
      <c r="A1021" t="s">
        <v>3190</v>
      </c>
      <c r="B1021" t="s">
        <v>3191</v>
      </c>
      <c r="C1021" s="1">
        <f t="shared" si="168"/>
        <v>45444</v>
      </c>
      <c r="D1021" t="s">
        <v>3192</v>
      </c>
      <c r="E1021">
        <v>467</v>
      </c>
      <c r="F1021">
        <v>19.5</v>
      </c>
      <c r="G1021" t="s">
        <v>30</v>
      </c>
      <c r="H1021" t="s">
        <v>159</v>
      </c>
      <c r="I1021" t="s">
        <v>32</v>
      </c>
      <c r="J1021">
        <v>240</v>
      </c>
      <c r="K1021" t="s">
        <v>33</v>
      </c>
      <c r="L1021" t="s">
        <v>70</v>
      </c>
      <c r="M1021" t="s">
        <v>35</v>
      </c>
      <c r="N1021" t="s">
        <v>277</v>
      </c>
      <c r="O1021" t="s">
        <v>7232</v>
      </c>
      <c r="P1021" t="s">
        <v>38</v>
      </c>
      <c r="Q1021" t="s">
        <v>38</v>
      </c>
      <c r="R1021">
        <v>1</v>
      </c>
      <c r="S1021" t="s">
        <v>38</v>
      </c>
      <c r="T1021">
        <v>4</v>
      </c>
      <c r="U1021">
        <v>1.3</v>
      </c>
      <c r="V1021">
        <v>5.5</v>
      </c>
      <c r="W1021" t="s">
        <v>39</v>
      </c>
      <c r="X1021" t="s">
        <v>123</v>
      </c>
      <c r="Y1021" t="s">
        <v>39</v>
      </c>
      <c r="Z1021" t="s">
        <v>108</v>
      </c>
      <c r="AA1021" t="s">
        <v>82</v>
      </c>
      <c r="AB1021" t="s">
        <v>55</v>
      </c>
      <c r="AC1021">
        <f t="shared" si="165"/>
        <v>0</v>
      </c>
      <c r="AD1021" s="12">
        <f t="shared" si="169"/>
        <v>0</v>
      </c>
      <c r="AE1021" s="12">
        <f t="shared" si="170"/>
        <v>1</v>
      </c>
      <c r="AF1021">
        <f t="shared" si="166"/>
        <v>0</v>
      </c>
      <c r="AG1021">
        <f t="shared" si="171"/>
        <v>1</v>
      </c>
      <c r="AH1021">
        <f t="shared" si="172"/>
        <v>0</v>
      </c>
      <c r="AI1021">
        <f t="shared" si="173"/>
        <v>0</v>
      </c>
      <c r="AJ1021">
        <f t="shared" si="174"/>
        <v>1</v>
      </c>
      <c r="AK1021">
        <f t="shared" si="167"/>
        <v>1</v>
      </c>
      <c r="AL1021">
        <f t="shared" si="175"/>
        <v>0</v>
      </c>
    </row>
    <row r="1022" spans="1:38">
      <c r="A1022" t="s">
        <v>3193</v>
      </c>
      <c r="B1022" t="s">
        <v>3194</v>
      </c>
      <c r="C1022" s="1">
        <f t="shared" si="168"/>
        <v>45597</v>
      </c>
      <c r="D1022" t="s">
        <v>3195</v>
      </c>
      <c r="E1022">
        <v>219.7</v>
      </c>
      <c r="F1022">
        <v>9.1999999999999993</v>
      </c>
      <c r="G1022" t="s">
        <v>30</v>
      </c>
      <c r="H1022" t="s">
        <v>47</v>
      </c>
      <c r="I1022" t="s">
        <v>32</v>
      </c>
      <c r="J1022">
        <v>240</v>
      </c>
      <c r="K1022" t="s">
        <v>49</v>
      </c>
      <c r="L1022" t="s">
        <v>96</v>
      </c>
      <c r="M1022" t="s">
        <v>35</v>
      </c>
      <c r="N1022" t="s">
        <v>72</v>
      </c>
      <c r="O1022" t="s">
        <v>51</v>
      </c>
      <c r="P1022" t="s">
        <v>39</v>
      </c>
      <c r="Q1022" t="s">
        <v>38</v>
      </c>
      <c r="R1022">
        <v>0</v>
      </c>
      <c r="S1022" t="s">
        <v>38</v>
      </c>
      <c r="T1022">
        <v>6</v>
      </c>
      <c r="U1022">
        <v>5.7</v>
      </c>
      <c r="V1022">
        <v>21.7</v>
      </c>
      <c r="W1022" t="s">
        <v>39</v>
      </c>
      <c r="X1022" t="s">
        <v>40</v>
      </c>
      <c r="Y1022" t="s">
        <v>38</v>
      </c>
      <c r="Z1022" t="s">
        <v>64</v>
      </c>
      <c r="AA1022" t="s">
        <v>42</v>
      </c>
      <c r="AB1022" t="s">
        <v>43</v>
      </c>
      <c r="AC1022">
        <f t="shared" si="165"/>
        <v>0</v>
      </c>
      <c r="AD1022" s="12">
        <f t="shared" si="169"/>
        <v>0</v>
      </c>
      <c r="AE1022" s="12">
        <f t="shared" si="170"/>
        <v>0</v>
      </c>
      <c r="AF1022">
        <f t="shared" si="166"/>
        <v>1</v>
      </c>
      <c r="AG1022">
        <f t="shared" si="171"/>
        <v>0</v>
      </c>
      <c r="AH1022">
        <f t="shared" si="172"/>
        <v>0</v>
      </c>
      <c r="AI1022">
        <f t="shared" si="173"/>
        <v>0</v>
      </c>
      <c r="AJ1022">
        <f t="shared" si="174"/>
        <v>1</v>
      </c>
      <c r="AK1022">
        <f t="shared" si="167"/>
        <v>1</v>
      </c>
      <c r="AL1022">
        <f t="shared" si="175"/>
        <v>1</v>
      </c>
    </row>
    <row r="1023" spans="1:38">
      <c r="A1023" t="s">
        <v>3196</v>
      </c>
      <c r="B1023" t="s">
        <v>3197</v>
      </c>
      <c r="C1023" s="1">
        <f t="shared" si="168"/>
        <v>45444</v>
      </c>
      <c r="D1023" t="s">
        <v>3198</v>
      </c>
      <c r="E1023">
        <v>276.89999999999998</v>
      </c>
      <c r="F1023">
        <v>11.5</v>
      </c>
      <c r="G1023" t="s">
        <v>93</v>
      </c>
      <c r="H1023" t="s">
        <v>449</v>
      </c>
      <c r="I1023" t="s">
        <v>79</v>
      </c>
      <c r="J1023">
        <v>360</v>
      </c>
      <c r="K1023" t="s">
        <v>49</v>
      </c>
      <c r="L1023" t="s">
        <v>96</v>
      </c>
      <c r="M1023" t="s">
        <v>35</v>
      </c>
      <c r="N1023" t="s">
        <v>107</v>
      </c>
      <c r="O1023" t="s">
        <v>51</v>
      </c>
      <c r="P1023" t="s">
        <v>38</v>
      </c>
      <c r="Q1023" t="s">
        <v>38</v>
      </c>
      <c r="R1023">
        <v>1</v>
      </c>
      <c r="S1023" t="s">
        <v>38</v>
      </c>
      <c r="T1023">
        <v>9</v>
      </c>
      <c r="U1023">
        <v>2.2999999999999998</v>
      </c>
      <c r="V1023">
        <v>30.2</v>
      </c>
      <c r="W1023" t="s">
        <v>39</v>
      </c>
      <c r="X1023" t="s">
        <v>63</v>
      </c>
      <c r="Y1023" t="s">
        <v>39</v>
      </c>
      <c r="Z1023" t="s">
        <v>41</v>
      </c>
      <c r="AA1023" t="s">
        <v>103</v>
      </c>
      <c r="AB1023" t="s">
        <v>43</v>
      </c>
      <c r="AC1023">
        <f t="shared" si="165"/>
        <v>0</v>
      </c>
      <c r="AD1023" s="12">
        <f t="shared" si="169"/>
        <v>1</v>
      </c>
      <c r="AE1023" s="12">
        <f t="shared" si="170"/>
        <v>0</v>
      </c>
      <c r="AF1023">
        <f t="shared" si="166"/>
        <v>1</v>
      </c>
      <c r="AG1023">
        <f t="shared" si="171"/>
        <v>0</v>
      </c>
      <c r="AH1023">
        <f t="shared" si="172"/>
        <v>0</v>
      </c>
      <c r="AI1023">
        <f t="shared" si="173"/>
        <v>0</v>
      </c>
      <c r="AJ1023">
        <f t="shared" si="174"/>
        <v>0</v>
      </c>
      <c r="AK1023">
        <f t="shared" si="167"/>
        <v>0</v>
      </c>
      <c r="AL1023">
        <f t="shared" si="175"/>
        <v>0</v>
      </c>
    </row>
    <row r="1024" spans="1:38">
      <c r="A1024" t="s">
        <v>3199</v>
      </c>
      <c r="B1024" t="s">
        <v>3200</v>
      </c>
      <c r="C1024" s="1">
        <f t="shared" si="168"/>
        <v>45292</v>
      </c>
      <c r="D1024" t="s">
        <v>3201</v>
      </c>
      <c r="E1024">
        <v>252.2</v>
      </c>
      <c r="F1024">
        <v>10.5</v>
      </c>
      <c r="G1024" t="s">
        <v>142</v>
      </c>
      <c r="H1024" t="s">
        <v>729</v>
      </c>
      <c r="I1024" t="s">
        <v>32</v>
      </c>
      <c r="J1024">
        <v>240</v>
      </c>
      <c r="K1024" t="s">
        <v>33</v>
      </c>
      <c r="L1024" t="s">
        <v>96</v>
      </c>
      <c r="M1024" t="s">
        <v>35</v>
      </c>
      <c r="N1024" t="s">
        <v>50</v>
      </c>
      <c r="O1024" t="s">
        <v>7232</v>
      </c>
      <c r="P1024" t="s">
        <v>38</v>
      </c>
      <c r="Q1024" t="s">
        <v>38</v>
      </c>
      <c r="R1024">
        <v>1</v>
      </c>
      <c r="S1024" t="s">
        <v>39</v>
      </c>
      <c r="T1024">
        <v>5</v>
      </c>
      <c r="U1024">
        <v>1.7</v>
      </c>
      <c r="V1024">
        <v>42.2</v>
      </c>
      <c r="W1024" t="s">
        <v>38</v>
      </c>
      <c r="X1024" t="s">
        <v>52</v>
      </c>
      <c r="Y1024" t="s">
        <v>38</v>
      </c>
      <c r="Z1024" t="s">
        <v>115</v>
      </c>
      <c r="AA1024" t="s">
        <v>54</v>
      </c>
      <c r="AB1024" t="s">
        <v>83</v>
      </c>
      <c r="AC1024">
        <f t="shared" si="165"/>
        <v>1</v>
      </c>
      <c r="AD1024" s="12">
        <f t="shared" si="169"/>
        <v>0</v>
      </c>
      <c r="AE1024" s="12">
        <f t="shared" si="170"/>
        <v>0</v>
      </c>
      <c r="AF1024">
        <f t="shared" si="166"/>
        <v>0</v>
      </c>
      <c r="AG1024">
        <f t="shared" si="171"/>
        <v>1</v>
      </c>
      <c r="AH1024">
        <f t="shared" si="172"/>
        <v>0</v>
      </c>
      <c r="AI1024">
        <f t="shared" si="173"/>
        <v>0</v>
      </c>
      <c r="AJ1024">
        <f t="shared" si="174"/>
        <v>1</v>
      </c>
      <c r="AK1024">
        <f t="shared" si="167"/>
        <v>0</v>
      </c>
      <c r="AL1024">
        <f t="shared" si="175"/>
        <v>1</v>
      </c>
    </row>
    <row r="1025" spans="1:38">
      <c r="A1025" t="s">
        <v>3202</v>
      </c>
      <c r="B1025" t="s">
        <v>3203</v>
      </c>
      <c r="C1025" s="1">
        <f t="shared" si="168"/>
        <v>45323</v>
      </c>
      <c r="D1025" t="s">
        <v>3204</v>
      </c>
      <c r="E1025">
        <v>216.3</v>
      </c>
      <c r="F1025">
        <v>9</v>
      </c>
      <c r="G1025" t="s">
        <v>101</v>
      </c>
      <c r="H1025" t="s">
        <v>295</v>
      </c>
      <c r="I1025" t="s">
        <v>32</v>
      </c>
      <c r="J1025">
        <v>240</v>
      </c>
      <c r="K1025" t="s">
        <v>49</v>
      </c>
      <c r="L1025" t="s">
        <v>96</v>
      </c>
      <c r="M1025" t="s">
        <v>35</v>
      </c>
      <c r="N1025" t="s">
        <v>220</v>
      </c>
      <c r="O1025" t="s">
        <v>37</v>
      </c>
      <c r="P1025" t="s">
        <v>39</v>
      </c>
      <c r="Q1025" t="s">
        <v>38</v>
      </c>
      <c r="R1025">
        <v>0</v>
      </c>
      <c r="S1025" t="s">
        <v>38</v>
      </c>
      <c r="T1025">
        <v>10</v>
      </c>
      <c r="U1025">
        <v>0.1</v>
      </c>
      <c r="V1025">
        <v>2</v>
      </c>
      <c r="W1025" t="s">
        <v>39</v>
      </c>
      <c r="X1025" t="s">
        <v>123</v>
      </c>
      <c r="Y1025" t="s">
        <v>38</v>
      </c>
      <c r="Z1025" t="s">
        <v>81</v>
      </c>
      <c r="AA1025" t="s">
        <v>42</v>
      </c>
      <c r="AB1025" t="s">
        <v>55</v>
      </c>
      <c r="AC1025">
        <f t="shared" si="165"/>
        <v>0</v>
      </c>
      <c r="AD1025" s="12">
        <f t="shared" si="169"/>
        <v>0</v>
      </c>
      <c r="AE1025" s="12">
        <f t="shared" si="170"/>
        <v>1</v>
      </c>
      <c r="AF1025">
        <f t="shared" si="166"/>
        <v>0</v>
      </c>
      <c r="AG1025">
        <f t="shared" si="171"/>
        <v>0</v>
      </c>
      <c r="AH1025">
        <f t="shared" si="172"/>
        <v>0</v>
      </c>
      <c r="AI1025">
        <f t="shared" si="173"/>
        <v>0</v>
      </c>
      <c r="AJ1025">
        <f t="shared" si="174"/>
        <v>1</v>
      </c>
      <c r="AK1025">
        <f t="shared" si="167"/>
        <v>0</v>
      </c>
      <c r="AL1025">
        <f t="shared" si="175"/>
        <v>1</v>
      </c>
    </row>
    <row r="1026" spans="1:38">
      <c r="A1026" t="s">
        <v>3205</v>
      </c>
      <c r="B1026" t="s">
        <v>3206</v>
      </c>
      <c r="C1026" s="1">
        <f t="shared" si="168"/>
        <v>45323</v>
      </c>
      <c r="D1026" t="s">
        <v>3207</v>
      </c>
      <c r="E1026">
        <v>203</v>
      </c>
      <c r="F1026">
        <v>8.5</v>
      </c>
      <c r="G1026" t="s">
        <v>87</v>
      </c>
      <c r="H1026" t="s">
        <v>151</v>
      </c>
      <c r="I1026" t="s">
        <v>48</v>
      </c>
      <c r="J1026">
        <v>120</v>
      </c>
      <c r="K1026" t="s">
        <v>33</v>
      </c>
      <c r="L1026" t="s">
        <v>34</v>
      </c>
      <c r="M1026" t="s">
        <v>71</v>
      </c>
      <c r="N1026" t="s">
        <v>119</v>
      </c>
      <c r="O1026" t="s">
        <v>7232</v>
      </c>
      <c r="P1026" t="s">
        <v>38</v>
      </c>
      <c r="Q1026" t="s">
        <v>39</v>
      </c>
      <c r="R1026">
        <v>1</v>
      </c>
      <c r="S1026" t="s">
        <v>38</v>
      </c>
      <c r="T1026">
        <v>7</v>
      </c>
      <c r="U1026">
        <v>1.2</v>
      </c>
      <c r="V1026">
        <v>4.0999999999999996</v>
      </c>
      <c r="W1026" t="s">
        <v>39</v>
      </c>
      <c r="X1026" t="s">
        <v>123</v>
      </c>
      <c r="Y1026" t="s">
        <v>39</v>
      </c>
      <c r="Z1026" t="s">
        <v>179</v>
      </c>
      <c r="AA1026" t="s">
        <v>103</v>
      </c>
      <c r="AB1026" t="s">
        <v>83</v>
      </c>
      <c r="AC1026">
        <f t="shared" ref="AC1026:AC1089" si="176">IF(X1026="Poor", 1, 0)</f>
        <v>0</v>
      </c>
      <c r="AD1026" s="12">
        <f t="shared" si="169"/>
        <v>0</v>
      </c>
      <c r="AE1026" s="12">
        <f t="shared" si="170"/>
        <v>1</v>
      </c>
      <c r="AF1026">
        <f t="shared" ref="AF1026:AF1089" si="177">IF(O1026="Junior", 1, 0)</f>
        <v>0</v>
      </c>
      <c r="AG1026">
        <f t="shared" si="171"/>
        <v>1</v>
      </c>
      <c r="AH1026">
        <f t="shared" si="172"/>
        <v>1</v>
      </c>
      <c r="AI1026">
        <f t="shared" si="173"/>
        <v>0</v>
      </c>
      <c r="AJ1026">
        <f t="shared" si="174"/>
        <v>0</v>
      </c>
      <c r="AK1026">
        <f t="shared" ref="AK1026:AK1089" si="178">IF(G1026="Access Requests", 1, 0)</f>
        <v>0</v>
      </c>
      <c r="AL1026">
        <f t="shared" si="175"/>
        <v>0</v>
      </c>
    </row>
    <row r="1027" spans="1:38">
      <c r="A1027" t="s">
        <v>3208</v>
      </c>
      <c r="B1027" t="s">
        <v>3209</v>
      </c>
      <c r="C1027" s="1">
        <f t="shared" ref="C1027:C1090" si="179">DATE(YEAR(B1027),MONTH(B1027),1)</f>
        <v>45474</v>
      </c>
      <c r="D1027" t="s">
        <v>3210</v>
      </c>
      <c r="E1027">
        <v>220.1</v>
      </c>
      <c r="F1027">
        <v>9.1999999999999993</v>
      </c>
      <c r="G1027" t="s">
        <v>101</v>
      </c>
      <c r="H1027" t="s">
        <v>442</v>
      </c>
      <c r="I1027" t="s">
        <v>79</v>
      </c>
      <c r="J1027">
        <v>360</v>
      </c>
      <c r="K1027" t="s">
        <v>49</v>
      </c>
      <c r="L1027" t="s">
        <v>96</v>
      </c>
      <c r="M1027" t="s">
        <v>35</v>
      </c>
      <c r="N1027" t="s">
        <v>155</v>
      </c>
      <c r="O1027" t="s">
        <v>7232</v>
      </c>
      <c r="P1027" t="s">
        <v>38</v>
      </c>
      <c r="Q1027" t="s">
        <v>38</v>
      </c>
      <c r="R1027">
        <v>1</v>
      </c>
      <c r="S1027" t="s">
        <v>38</v>
      </c>
      <c r="T1027">
        <v>8</v>
      </c>
      <c r="U1027">
        <v>2.6</v>
      </c>
      <c r="V1027">
        <v>35.700000000000003</v>
      </c>
      <c r="W1027" t="s">
        <v>39</v>
      </c>
      <c r="X1027" t="s">
        <v>123</v>
      </c>
      <c r="Y1027" t="s">
        <v>39</v>
      </c>
      <c r="Z1027" t="s">
        <v>81</v>
      </c>
      <c r="AA1027" t="s">
        <v>54</v>
      </c>
      <c r="AB1027" t="s">
        <v>55</v>
      </c>
      <c r="AC1027">
        <f t="shared" si="176"/>
        <v>0</v>
      </c>
      <c r="AD1027" s="12">
        <f t="shared" ref="AD1027:AD1090" si="180">IF(X1027="Fair", 1, 0)</f>
        <v>0</v>
      </c>
      <c r="AE1027" s="12">
        <f t="shared" ref="AE1027:AE1090" si="181">IF(X1027="Good", 1, 0)</f>
        <v>1</v>
      </c>
      <c r="AF1027">
        <f t="shared" si="177"/>
        <v>0</v>
      </c>
      <c r="AG1027">
        <f t="shared" ref="AG1027:AG1090" si="182">IF(O1027="Mid", 1, 0)</f>
        <v>1</v>
      </c>
      <c r="AH1027">
        <f t="shared" ref="AH1027:AH1090" si="183">IF(I1027="High", 1, 0)</f>
        <v>0</v>
      </c>
      <c r="AI1027">
        <f t="shared" ref="AI1027:AI1090" si="184">IF(I1027="Critical", 1, 0)</f>
        <v>0</v>
      </c>
      <c r="AJ1027">
        <f t="shared" ref="AJ1027:AJ1090" si="185">IF(I1027="Medium", 1, 0)</f>
        <v>0</v>
      </c>
      <c r="AK1027">
        <f t="shared" si="178"/>
        <v>0</v>
      </c>
      <c r="AL1027">
        <f t="shared" ref="AL1027:AL1090" si="186">IF(Y1027="No", 1, 0)</f>
        <v>0</v>
      </c>
    </row>
    <row r="1028" spans="1:38">
      <c r="A1028" t="s">
        <v>3211</v>
      </c>
      <c r="B1028" t="s">
        <v>3212</v>
      </c>
      <c r="C1028" s="1">
        <f t="shared" si="179"/>
        <v>45413</v>
      </c>
      <c r="D1028" t="s">
        <v>3213</v>
      </c>
      <c r="E1028">
        <v>101.2</v>
      </c>
      <c r="F1028">
        <v>4.2</v>
      </c>
      <c r="G1028" t="s">
        <v>87</v>
      </c>
      <c r="H1028" t="s">
        <v>151</v>
      </c>
      <c r="I1028" t="s">
        <v>48</v>
      </c>
      <c r="J1028">
        <v>120</v>
      </c>
      <c r="K1028" t="s">
        <v>49</v>
      </c>
      <c r="L1028" t="s">
        <v>113</v>
      </c>
      <c r="M1028" t="s">
        <v>71</v>
      </c>
      <c r="N1028" t="s">
        <v>61</v>
      </c>
      <c r="O1028" t="s">
        <v>37</v>
      </c>
      <c r="P1028" t="s">
        <v>38</v>
      </c>
      <c r="Q1028" t="s">
        <v>39</v>
      </c>
      <c r="R1028">
        <v>1</v>
      </c>
      <c r="S1028" t="s">
        <v>38</v>
      </c>
      <c r="T1028">
        <v>10</v>
      </c>
      <c r="U1028">
        <v>3.9</v>
      </c>
      <c r="V1028">
        <v>44.2</v>
      </c>
      <c r="W1028" t="s">
        <v>39</v>
      </c>
      <c r="X1028" t="s">
        <v>52</v>
      </c>
      <c r="Y1028" t="s">
        <v>38</v>
      </c>
      <c r="Z1028" t="s">
        <v>64</v>
      </c>
      <c r="AA1028" t="s">
        <v>103</v>
      </c>
      <c r="AB1028" t="s">
        <v>83</v>
      </c>
      <c r="AC1028">
        <f t="shared" si="176"/>
        <v>1</v>
      </c>
      <c r="AD1028" s="12">
        <f t="shared" si="180"/>
        <v>0</v>
      </c>
      <c r="AE1028" s="12">
        <f t="shared" si="181"/>
        <v>0</v>
      </c>
      <c r="AF1028">
        <f t="shared" si="177"/>
        <v>0</v>
      </c>
      <c r="AG1028">
        <f t="shared" si="182"/>
        <v>0</v>
      </c>
      <c r="AH1028">
        <f t="shared" si="183"/>
        <v>1</v>
      </c>
      <c r="AI1028">
        <f t="shared" si="184"/>
        <v>0</v>
      </c>
      <c r="AJ1028">
        <f t="shared" si="185"/>
        <v>0</v>
      </c>
      <c r="AK1028">
        <f t="shared" si="178"/>
        <v>0</v>
      </c>
      <c r="AL1028">
        <f t="shared" si="186"/>
        <v>1</v>
      </c>
    </row>
    <row r="1029" spans="1:38">
      <c r="A1029" t="s">
        <v>3214</v>
      </c>
      <c r="B1029" t="s">
        <v>3215</v>
      </c>
      <c r="C1029" s="1">
        <f t="shared" si="179"/>
        <v>45505</v>
      </c>
      <c r="D1029" t="s">
        <v>3216</v>
      </c>
      <c r="E1029">
        <v>164.8</v>
      </c>
      <c r="F1029">
        <v>6.9</v>
      </c>
      <c r="G1029" t="s">
        <v>101</v>
      </c>
      <c r="H1029" t="s">
        <v>368</v>
      </c>
      <c r="I1029" t="s">
        <v>32</v>
      </c>
      <c r="J1029">
        <v>240</v>
      </c>
      <c r="K1029" t="s">
        <v>49</v>
      </c>
      <c r="L1029" t="s">
        <v>96</v>
      </c>
      <c r="M1029" t="s">
        <v>35</v>
      </c>
      <c r="N1029" t="s">
        <v>506</v>
      </c>
      <c r="O1029" t="s">
        <v>7232</v>
      </c>
      <c r="P1029" t="s">
        <v>39</v>
      </c>
      <c r="Q1029" t="s">
        <v>38</v>
      </c>
      <c r="R1029">
        <v>0</v>
      </c>
      <c r="S1029" t="s">
        <v>39</v>
      </c>
      <c r="T1029">
        <v>9</v>
      </c>
      <c r="U1029">
        <v>0.1</v>
      </c>
      <c r="V1029">
        <v>8.1999999999999993</v>
      </c>
      <c r="W1029" t="s">
        <v>39</v>
      </c>
      <c r="X1029" t="s">
        <v>63</v>
      </c>
      <c r="Y1029" t="s">
        <v>38</v>
      </c>
      <c r="Z1029" t="s">
        <v>41</v>
      </c>
      <c r="AA1029" t="s">
        <v>109</v>
      </c>
      <c r="AB1029" t="s">
        <v>83</v>
      </c>
      <c r="AC1029">
        <f t="shared" si="176"/>
        <v>0</v>
      </c>
      <c r="AD1029" s="12">
        <f t="shared" si="180"/>
        <v>1</v>
      </c>
      <c r="AE1029" s="12">
        <f t="shared" si="181"/>
        <v>0</v>
      </c>
      <c r="AF1029">
        <f t="shared" si="177"/>
        <v>0</v>
      </c>
      <c r="AG1029">
        <f t="shared" si="182"/>
        <v>1</v>
      </c>
      <c r="AH1029">
        <f t="shared" si="183"/>
        <v>0</v>
      </c>
      <c r="AI1029">
        <f t="shared" si="184"/>
        <v>0</v>
      </c>
      <c r="AJ1029">
        <f t="shared" si="185"/>
        <v>1</v>
      </c>
      <c r="AK1029">
        <f t="shared" si="178"/>
        <v>0</v>
      </c>
      <c r="AL1029">
        <f t="shared" si="186"/>
        <v>1</v>
      </c>
    </row>
    <row r="1030" spans="1:38">
      <c r="A1030" t="s">
        <v>3217</v>
      </c>
      <c r="B1030" t="s">
        <v>3218</v>
      </c>
      <c r="C1030" s="1">
        <f t="shared" si="179"/>
        <v>45323</v>
      </c>
      <c r="D1030" t="s">
        <v>3219</v>
      </c>
      <c r="E1030">
        <v>201.2</v>
      </c>
      <c r="F1030">
        <v>8.4</v>
      </c>
      <c r="G1030" t="s">
        <v>77</v>
      </c>
      <c r="H1030" t="s">
        <v>78</v>
      </c>
      <c r="I1030" t="s">
        <v>32</v>
      </c>
      <c r="J1030">
        <v>240</v>
      </c>
      <c r="K1030" t="s">
        <v>49</v>
      </c>
      <c r="L1030" t="s">
        <v>70</v>
      </c>
      <c r="M1030" t="s">
        <v>35</v>
      </c>
      <c r="N1030" t="s">
        <v>220</v>
      </c>
      <c r="O1030" t="s">
        <v>37</v>
      </c>
      <c r="P1030" t="s">
        <v>39</v>
      </c>
      <c r="Q1030" t="s">
        <v>38</v>
      </c>
      <c r="R1030">
        <v>0</v>
      </c>
      <c r="S1030" t="s">
        <v>38</v>
      </c>
      <c r="T1030">
        <v>9</v>
      </c>
      <c r="U1030">
        <v>2.1</v>
      </c>
      <c r="V1030">
        <v>0.2</v>
      </c>
      <c r="W1030" t="s">
        <v>38</v>
      </c>
      <c r="X1030" t="s">
        <v>63</v>
      </c>
      <c r="Y1030" t="s">
        <v>39</v>
      </c>
      <c r="Z1030" t="s">
        <v>108</v>
      </c>
      <c r="AA1030" t="s">
        <v>54</v>
      </c>
      <c r="AB1030" t="s">
        <v>55</v>
      </c>
      <c r="AC1030">
        <f t="shared" si="176"/>
        <v>0</v>
      </c>
      <c r="AD1030" s="12">
        <f t="shared" si="180"/>
        <v>1</v>
      </c>
      <c r="AE1030" s="12">
        <f t="shared" si="181"/>
        <v>0</v>
      </c>
      <c r="AF1030">
        <f t="shared" si="177"/>
        <v>0</v>
      </c>
      <c r="AG1030">
        <f t="shared" si="182"/>
        <v>0</v>
      </c>
      <c r="AH1030">
        <f t="shared" si="183"/>
        <v>0</v>
      </c>
      <c r="AI1030">
        <f t="shared" si="184"/>
        <v>0</v>
      </c>
      <c r="AJ1030">
        <f t="shared" si="185"/>
        <v>1</v>
      </c>
      <c r="AK1030">
        <f t="shared" si="178"/>
        <v>0</v>
      </c>
      <c r="AL1030">
        <f t="shared" si="186"/>
        <v>0</v>
      </c>
    </row>
    <row r="1031" spans="1:38">
      <c r="A1031" t="s">
        <v>3220</v>
      </c>
      <c r="B1031" t="s">
        <v>3221</v>
      </c>
      <c r="C1031" s="1">
        <f t="shared" si="179"/>
        <v>45536</v>
      </c>
      <c r="D1031" t="s">
        <v>3222</v>
      </c>
      <c r="E1031">
        <v>106.5</v>
      </c>
      <c r="F1031">
        <v>4.4000000000000004</v>
      </c>
      <c r="G1031" t="s">
        <v>59</v>
      </c>
      <c r="H1031" t="s">
        <v>60</v>
      </c>
      <c r="I1031" t="s">
        <v>48</v>
      </c>
      <c r="J1031">
        <v>120</v>
      </c>
      <c r="K1031" t="s">
        <v>49</v>
      </c>
      <c r="L1031" t="s">
        <v>70</v>
      </c>
      <c r="M1031" t="s">
        <v>71</v>
      </c>
      <c r="N1031" t="s">
        <v>72</v>
      </c>
      <c r="O1031" t="s">
        <v>37</v>
      </c>
      <c r="P1031" t="s">
        <v>38</v>
      </c>
      <c r="Q1031" t="s">
        <v>39</v>
      </c>
      <c r="R1031">
        <v>2</v>
      </c>
      <c r="S1031" t="s">
        <v>38</v>
      </c>
      <c r="T1031">
        <v>10</v>
      </c>
      <c r="U1031">
        <v>2.9</v>
      </c>
      <c r="V1031">
        <v>16.2</v>
      </c>
      <c r="W1031" t="s">
        <v>38</v>
      </c>
      <c r="X1031" t="s">
        <v>63</v>
      </c>
      <c r="Y1031" t="s">
        <v>39</v>
      </c>
      <c r="Z1031" t="s">
        <v>81</v>
      </c>
      <c r="AA1031" t="s">
        <v>109</v>
      </c>
      <c r="AB1031" t="s">
        <v>83</v>
      </c>
      <c r="AC1031">
        <f t="shared" si="176"/>
        <v>0</v>
      </c>
      <c r="AD1031" s="12">
        <f t="shared" si="180"/>
        <v>1</v>
      </c>
      <c r="AE1031" s="12">
        <f t="shared" si="181"/>
        <v>0</v>
      </c>
      <c r="AF1031">
        <f t="shared" si="177"/>
        <v>0</v>
      </c>
      <c r="AG1031">
        <f t="shared" si="182"/>
        <v>0</v>
      </c>
      <c r="AH1031">
        <f t="shared" si="183"/>
        <v>1</v>
      </c>
      <c r="AI1031">
        <f t="shared" si="184"/>
        <v>0</v>
      </c>
      <c r="AJ1031">
        <f t="shared" si="185"/>
        <v>0</v>
      </c>
      <c r="AK1031">
        <f t="shared" si="178"/>
        <v>0</v>
      </c>
      <c r="AL1031">
        <f t="shared" si="186"/>
        <v>0</v>
      </c>
    </row>
    <row r="1032" spans="1:38">
      <c r="A1032" t="s">
        <v>3223</v>
      </c>
      <c r="B1032" t="s">
        <v>3224</v>
      </c>
      <c r="C1032" s="1">
        <f t="shared" si="179"/>
        <v>45627</v>
      </c>
      <c r="D1032" t="s">
        <v>3225</v>
      </c>
      <c r="E1032">
        <v>270</v>
      </c>
      <c r="F1032">
        <v>11.3</v>
      </c>
      <c r="G1032" t="s">
        <v>30</v>
      </c>
      <c r="H1032" t="s">
        <v>47</v>
      </c>
      <c r="I1032" t="s">
        <v>32</v>
      </c>
      <c r="J1032">
        <v>240</v>
      </c>
      <c r="K1032" t="s">
        <v>33</v>
      </c>
      <c r="L1032" t="s">
        <v>96</v>
      </c>
      <c r="M1032" t="s">
        <v>35</v>
      </c>
      <c r="N1032" t="s">
        <v>277</v>
      </c>
      <c r="O1032" t="s">
        <v>51</v>
      </c>
      <c r="P1032" t="s">
        <v>39</v>
      </c>
      <c r="Q1032" t="s">
        <v>38</v>
      </c>
      <c r="R1032">
        <v>0</v>
      </c>
      <c r="S1032" t="s">
        <v>38</v>
      </c>
      <c r="T1032">
        <v>5</v>
      </c>
      <c r="U1032">
        <v>1.1000000000000001</v>
      </c>
      <c r="V1032">
        <v>4.7</v>
      </c>
      <c r="W1032" t="s">
        <v>39</v>
      </c>
      <c r="X1032" t="s">
        <v>40</v>
      </c>
      <c r="Y1032" t="s">
        <v>38</v>
      </c>
      <c r="Z1032" t="s">
        <v>41</v>
      </c>
      <c r="AA1032" t="s">
        <v>42</v>
      </c>
      <c r="AB1032" t="s">
        <v>83</v>
      </c>
      <c r="AC1032">
        <f t="shared" si="176"/>
        <v>0</v>
      </c>
      <c r="AD1032" s="12">
        <f t="shared" si="180"/>
        <v>0</v>
      </c>
      <c r="AE1032" s="12">
        <f t="shared" si="181"/>
        <v>0</v>
      </c>
      <c r="AF1032">
        <f t="shared" si="177"/>
        <v>1</v>
      </c>
      <c r="AG1032">
        <f t="shared" si="182"/>
        <v>0</v>
      </c>
      <c r="AH1032">
        <f t="shared" si="183"/>
        <v>0</v>
      </c>
      <c r="AI1032">
        <f t="shared" si="184"/>
        <v>0</v>
      </c>
      <c r="AJ1032">
        <f t="shared" si="185"/>
        <v>1</v>
      </c>
      <c r="AK1032">
        <f t="shared" si="178"/>
        <v>1</v>
      </c>
      <c r="AL1032">
        <f t="shared" si="186"/>
        <v>1</v>
      </c>
    </row>
    <row r="1033" spans="1:38">
      <c r="A1033" t="s">
        <v>3226</v>
      </c>
      <c r="B1033" t="s">
        <v>3227</v>
      </c>
      <c r="C1033" s="1">
        <f t="shared" si="179"/>
        <v>45383</v>
      </c>
      <c r="D1033" t="s">
        <v>3228</v>
      </c>
      <c r="E1033">
        <v>224</v>
      </c>
      <c r="F1033">
        <v>9.3000000000000007</v>
      </c>
      <c r="G1033" t="s">
        <v>87</v>
      </c>
      <c r="H1033" t="s">
        <v>309</v>
      </c>
      <c r="I1033" t="s">
        <v>32</v>
      </c>
      <c r="J1033">
        <v>240</v>
      </c>
      <c r="K1033" t="s">
        <v>49</v>
      </c>
      <c r="L1033" t="s">
        <v>96</v>
      </c>
      <c r="M1033" t="s">
        <v>35</v>
      </c>
      <c r="N1033" t="s">
        <v>506</v>
      </c>
      <c r="O1033" t="s">
        <v>51</v>
      </c>
      <c r="P1033" t="s">
        <v>38</v>
      </c>
      <c r="Q1033" t="s">
        <v>38</v>
      </c>
      <c r="R1033">
        <v>1</v>
      </c>
      <c r="S1033" t="s">
        <v>38</v>
      </c>
      <c r="T1033">
        <v>7</v>
      </c>
      <c r="U1033">
        <v>4.8</v>
      </c>
      <c r="V1033">
        <v>0</v>
      </c>
      <c r="W1033" t="s">
        <v>39</v>
      </c>
      <c r="X1033" t="s">
        <v>123</v>
      </c>
      <c r="Y1033" t="s">
        <v>39</v>
      </c>
      <c r="Z1033" t="s">
        <v>115</v>
      </c>
      <c r="AA1033" t="s">
        <v>54</v>
      </c>
      <c r="AB1033" t="s">
        <v>43</v>
      </c>
      <c r="AC1033">
        <f t="shared" si="176"/>
        <v>0</v>
      </c>
      <c r="AD1033" s="12">
        <f t="shared" si="180"/>
        <v>0</v>
      </c>
      <c r="AE1033" s="12">
        <f t="shared" si="181"/>
        <v>1</v>
      </c>
      <c r="AF1033">
        <f t="shared" si="177"/>
        <v>1</v>
      </c>
      <c r="AG1033">
        <f t="shared" si="182"/>
        <v>0</v>
      </c>
      <c r="AH1033">
        <f t="shared" si="183"/>
        <v>0</v>
      </c>
      <c r="AI1033">
        <f t="shared" si="184"/>
        <v>0</v>
      </c>
      <c r="AJ1033">
        <f t="shared" si="185"/>
        <v>1</v>
      </c>
      <c r="AK1033">
        <f t="shared" si="178"/>
        <v>0</v>
      </c>
      <c r="AL1033">
        <f t="shared" si="186"/>
        <v>0</v>
      </c>
    </row>
    <row r="1034" spans="1:38">
      <c r="A1034" t="s">
        <v>3229</v>
      </c>
      <c r="B1034" t="s">
        <v>3230</v>
      </c>
      <c r="C1034" s="1">
        <f t="shared" si="179"/>
        <v>45352</v>
      </c>
      <c r="D1034" t="s">
        <v>3231</v>
      </c>
      <c r="E1034">
        <v>218.2</v>
      </c>
      <c r="F1034">
        <v>9.1</v>
      </c>
      <c r="G1034" t="s">
        <v>87</v>
      </c>
      <c r="H1034" t="s">
        <v>309</v>
      </c>
      <c r="I1034" t="s">
        <v>32</v>
      </c>
      <c r="J1034">
        <v>240</v>
      </c>
      <c r="K1034" t="s">
        <v>49</v>
      </c>
      <c r="L1034" t="s">
        <v>34</v>
      </c>
      <c r="M1034" t="s">
        <v>71</v>
      </c>
      <c r="N1034" t="s">
        <v>277</v>
      </c>
      <c r="O1034" t="s">
        <v>51</v>
      </c>
      <c r="P1034" t="s">
        <v>38</v>
      </c>
      <c r="Q1034" t="s">
        <v>39</v>
      </c>
      <c r="R1034">
        <v>3</v>
      </c>
      <c r="S1034" t="s">
        <v>39</v>
      </c>
      <c r="T1034">
        <v>9</v>
      </c>
      <c r="U1034">
        <v>0.8</v>
      </c>
      <c r="V1034">
        <v>14.9</v>
      </c>
      <c r="W1034" t="s">
        <v>39</v>
      </c>
      <c r="X1034" t="s">
        <v>52</v>
      </c>
      <c r="Y1034" t="s">
        <v>39</v>
      </c>
      <c r="Z1034" t="s">
        <v>179</v>
      </c>
      <c r="AA1034" t="s">
        <v>103</v>
      </c>
      <c r="AB1034" t="s">
        <v>55</v>
      </c>
      <c r="AC1034">
        <f t="shared" si="176"/>
        <v>1</v>
      </c>
      <c r="AD1034" s="12">
        <f t="shared" si="180"/>
        <v>0</v>
      </c>
      <c r="AE1034" s="12">
        <f t="shared" si="181"/>
        <v>0</v>
      </c>
      <c r="AF1034">
        <f t="shared" si="177"/>
        <v>1</v>
      </c>
      <c r="AG1034">
        <f t="shared" si="182"/>
        <v>0</v>
      </c>
      <c r="AH1034">
        <f t="shared" si="183"/>
        <v>0</v>
      </c>
      <c r="AI1034">
        <f t="shared" si="184"/>
        <v>0</v>
      </c>
      <c r="AJ1034">
        <f t="shared" si="185"/>
        <v>1</v>
      </c>
      <c r="AK1034">
        <f t="shared" si="178"/>
        <v>0</v>
      </c>
      <c r="AL1034">
        <f t="shared" si="186"/>
        <v>0</v>
      </c>
    </row>
    <row r="1035" spans="1:38">
      <c r="A1035" t="s">
        <v>3232</v>
      </c>
      <c r="B1035" t="s">
        <v>3233</v>
      </c>
      <c r="C1035" s="1">
        <f t="shared" si="179"/>
        <v>45292</v>
      </c>
      <c r="D1035" t="s">
        <v>3234</v>
      </c>
      <c r="E1035">
        <v>92.1</v>
      </c>
      <c r="F1035">
        <v>3.8</v>
      </c>
      <c r="G1035" t="s">
        <v>59</v>
      </c>
      <c r="H1035" t="s">
        <v>127</v>
      </c>
      <c r="I1035" t="s">
        <v>48</v>
      </c>
      <c r="J1035">
        <v>120</v>
      </c>
      <c r="K1035" t="s">
        <v>49</v>
      </c>
      <c r="L1035" t="s">
        <v>113</v>
      </c>
      <c r="M1035" t="s">
        <v>35</v>
      </c>
      <c r="N1035" t="s">
        <v>188</v>
      </c>
      <c r="O1035" t="s">
        <v>7232</v>
      </c>
      <c r="P1035" t="s">
        <v>39</v>
      </c>
      <c r="Q1035" t="s">
        <v>38</v>
      </c>
      <c r="R1035">
        <v>0</v>
      </c>
      <c r="S1035" t="s">
        <v>38</v>
      </c>
      <c r="T1035">
        <v>9</v>
      </c>
      <c r="U1035">
        <v>1.6</v>
      </c>
      <c r="V1035">
        <v>12.6</v>
      </c>
      <c r="W1035" t="s">
        <v>39</v>
      </c>
      <c r="X1035" t="s">
        <v>52</v>
      </c>
      <c r="Y1035" t="s">
        <v>38</v>
      </c>
      <c r="Z1035" t="s">
        <v>73</v>
      </c>
      <c r="AA1035" t="s">
        <v>109</v>
      </c>
      <c r="AB1035" t="s">
        <v>83</v>
      </c>
      <c r="AC1035">
        <f t="shared" si="176"/>
        <v>1</v>
      </c>
      <c r="AD1035" s="12">
        <f t="shared" si="180"/>
        <v>0</v>
      </c>
      <c r="AE1035" s="12">
        <f t="shared" si="181"/>
        <v>0</v>
      </c>
      <c r="AF1035">
        <f t="shared" si="177"/>
        <v>0</v>
      </c>
      <c r="AG1035">
        <f t="shared" si="182"/>
        <v>1</v>
      </c>
      <c r="AH1035">
        <f t="shared" si="183"/>
        <v>1</v>
      </c>
      <c r="AI1035">
        <f t="shared" si="184"/>
        <v>0</v>
      </c>
      <c r="AJ1035">
        <f t="shared" si="185"/>
        <v>0</v>
      </c>
      <c r="AK1035">
        <f t="shared" si="178"/>
        <v>0</v>
      </c>
      <c r="AL1035">
        <f t="shared" si="186"/>
        <v>1</v>
      </c>
    </row>
    <row r="1036" spans="1:38">
      <c r="A1036" t="s">
        <v>3235</v>
      </c>
      <c r="B1036" t="s">
        <v>3236</v>
      </c>
      <c r="C1036" s="1">
        <f t="shared" si="179"/>
        <v>45292</v>
      </c>
      <c r="D1036" t="s">
        <v>3237</v>
      </c>
      <c r="E1036">
        <v>339.2</v>
      </c>
      <c r="F1036">
        <v>14.1</v>
      </c>
      <c r="G1036" t="s">
        <v>59</v>
      </c>
      <c r="H1036" t="s">
        <v>281</v>
      </c>
      <c r="I1036" t="s">
        <v>32</v>
      </c>
      <c r="J1036">
        <v>240</v>
      </c>
      <c r="K1036" t="s">
        <v>33</v>
      </c>
      <c r="L1036" t="s">
        <v>96</v>
      </c>
      <c r="M1036" t="s">
        <v>71</v>
      </c>
      <c r="N1036" t="s">
        <v>506</v>
      </c>
      <c r="O1036" t="s">
        <v>37</v>
      </c>
      <c r="P1036" t="s">
        <v>38</v>
      </c>
      <c r="Q1036" t="s">
        <v>39</v>
      </c>
      <c r="R1036">
        <v>1</v>
      </c>
      <c r="S1036" t="s">
        <v>39</v>
      </c>
      <c r="T1036">
        <v>6</v>
      </c>
      <c r="U1036">
        <v>1.5</v>
      </c>
      <c r="V1036">
        <v>6.2</v>
      </c>
      <c r="W1036" t="s">
        <v>38</v>
      </c>
      <c r="X1036" t="s">
        <v>63</v>
      </c>
      <c r="Y1036" t="s">
        <v>38</v>
      </c>
      <c r="Z1036" t="s">
        <v>81</v>
      </c>
      <c r="AA1036" t="s">
        <v>54</v>
      </c>
      <c r="AB1036" t="s">
        <v>83</v>
      </c>
      <c r="AC1036">
        <f t="shared" si="176"/>
        <v>0</v>
      </c>
      <c r="AD1036" s="12">
        <f t="shared" si="180"/>
        <v>1</v>
      </c>
      <c r="AE1036" s="12">
        <f t="shared" si="181"/>
        <v>0</v>
      </c>
      <c r="AF1036">
        <f t="shared" si="177"/>
        <v>0</v>
      </c>
      <c r="AG1036">
        <f t="shared" si="182"/>
        <v>0</v>
      </c>
      <c r="AH1036">
        <f t="shared" si="183"/>
        <v>0</v>
      </c>
      <c r="AI1036">
        <f t="shared" si="184"/>
        <v>0</v>
      </c>
      <c r="AJ1036">
        <f t="shared" si="185"/>
        <v>1</v>
      </c>
      <c r="AK1036">
        <f t="shared" si="178"/>
        <v>0</v>
      </c>
      <c r="AL1036">
        <f t="shared" si="186"/>
        <v>1</v>
      </c>
    </row>
    <row r="1037" spans="1:38">
      <c r="A1037" t="s">
        <v>3238</v>
      </c>
      <c r="B1037" t="s">
        <v>3239</v>
      </c>
      <c r="C1037" s="1">
        <f t="shared" si="179"/>
        <v>45597</v>
      </c>
      <c r="D1037" t="s">
        <v>3240</v>
      </c>
      <c r="E1037">
        <v>266.2</v>
      </c>
      <c r="F1037">
        <v>11.1</v>
      </c>
      <c r="G1037" t="s">
        <v>77</v>
      </c>
      <c r="H1037" t="s">
        <v>78</v>
      </c>
      <c r="I1037" t="s">
        <v>79</v>
      </c>
      <c r="J1037">
        <v>360</v>
      </c>
      <c r="K1037" t="s">
        <v>49</v>
      </c>
      <c r="L1037" t="s">
        <v>113</v>
      </c>
      <c r="M1037" t="s">
        <v>35</v>
      </c>
      <c r="N1037" t="s">
        <v>192</v>
      </c>
      <c r="O1037" t="s">
        <v>51</v>
      </c>
      <c r="P1037" t="s">
        <v>39</v>
      </c>
      <c r="Q1037" t="s">
        <v>38</v>
      </c>
      <c r="R1037">
        <v>0</v>
      </c>
      <c r="S1037" t="s">
        <v>38</v>
      </c>
      <c r="T1037">
        <v>8</v>
      </c>
      <c r="U1037">
        <v>1.5</v>
      </c>
      <c r="V1037">
        <v>15.2</v>
      </c>
      <c r="W1037" t="s">
        <v>39</v>
      </c>
      <c r="X1037" t="s">
        <v>63</v>
      </c>
      <c r="Y1037" t="s">
        <v>39</v>
      </c>
      <c r="Z1037" t="s">
        <v>64</v>
      </c>
      <c r="AA1037" t="s">
        <v>109</v>
      </c>
      <c r="AB1037" t="s">
        <v>55</v>
      </c>
      <c r="AC1037">
        <f t="shared" si="176"/>
        <v>0</v>
      </c>
      <c r="AD1037" s="12">
        <f t="shared" si="180"/>
        <v>1</v>
      </c>
      <c r="AE1037" s="12">
        <f t="shared" si="181"/>
        <v>0</v>
      </c>
      <c r="AF1037">
        <f t="shared" si="177"/>
        <v>1</v>
      </c>
      <c r="AG1037">
        <f t="shared" si="182"/>
        <v>0</v>
      </c>
      <c r="AH1037">
        <f t="shared" si="183"/>
        <v>0</v>
      </c>
      <c r="AI1037">
        <f t="shared" si="184"/>
        <v>0</v>
      </c>
      <c r="AJ1037">
        <f t="shared" si="185"/>
        <v>0</v>
      </c>
      <c r="AK1037">
        <f t="shared" si="178"/>
        <v>0</v>
      </c>
      <c r="AL1037">
        <f t="shared" si="186"/>
        <v>0</v>
      </c>
    </row>
    <row r="1038" spans="1:38">
      <c r="A1038" t="s">
        <v>3241</v>
      </c>
      <c r="B1038" t="s">
        <v>3242</v>
      </c>
      <c r="C1038" s="1">
        <f t="shared" si="179"/>
        <v>45413</v>
      </c>
      <c r="D1038" t="s">
        <v>3243</v>
      </c>
      <c r="E1038">
        <v>927.5</v>
      </c>
      <c r="F1038">
        <v>38.6</v>
      </c>
      <c r="G1038" t="s">
        <v>93</v>
      </c>
      <c r="H1038" t="s">
        <v>291</v>
      </c>
      <c r="I1038" t="s">
        <v>79</v>
      </c>
      <c r="J1038">
        <v>360</v>
      </c>
      <c r="K1038" t="s">
        <v>33</v>
      </c>
      <c r="L1038" t="s">
        <v>70</v>
      </c>
      <c r="M1038" t="s">
        <v>71</v>
      </c>
      <c r="N1038" t="s">
        <v>97</v>
      </c>
      <c r="O1038" t="s">
        <v>7232</v>
      </c>
      <c r="P1038" t="s">
        <v>38</v>
      </c>
      <c r="Q1038" t="s">
        <v>39</v>
      </c>
      <c r="R1038">
        <v>3</v>
      </c>
      <c r="S1038" t="s">
        <v>38</v>
      </c>
      <c r="T1038">
        <v>7</v>
      </c>
      <c r="U1038">
        <v>4.7</v>
      </c>
      <c r="V1038">
        <v>4.7</v>
      </c>
      <c r="W1038" t="s">
        <v>38</v>
      </c>
      <c r="X1038" t="s">
        <v>63</v>
      </c>
      <c r="Y1038" t="s">
        <v>38</v>
      </c>
      <c r="Z1038" t="s">
        <v>41</v>
      </c>
      <c r="AA1038" t="s">
        <v>103</v>
      </c>
      <c r="AB1038" t="s">
        <v>55</v>
      </c>
      <c r="AC1038">
        <f t="shared" si="176"/>
        <v>0</v>
      </c>
      <c r="AD1038" s="12">
        <f t="shared" si="180"/>
        <v>1</v>
      </c>
      <c r="AE1038" s="12">
        <f t="shared" si="181"/>
        <v>0</v>
      </c>
      <c r="AF1038">
        <f t="shared" si="177"/>
        <v>0</v>
      </c>
      <c r="AG1038">
        <f t="shared" si="182"/>
        <v>1</v>
      </c>
      <c r="AH1038">
        <f t="shared" si="183"/>
        <v>0</v>
      </c>
      <c r="AI1038">
        <f t="shared" si="184"/>
        <v>0</v>
      </c>
      <c r="AJ1038">
        <f t="shared" si="185"/>
        <v>0</v>
      </c>
      <c r="AK1038">
        <f t="shared" si="178"/>
        <v>0</v>
      </c>
      <c r="AL1038">
        <f t="shared" si="186"/>
        <v>1</v>
      </c>
    </row>
    <row r="1039" spans="1:38">
      <c r="A1039" t="s">
        <v>3244</v>
      </c>
      <c r="B1039" t="s">
        <v>3245</v>
      </c>
      <c r="C1039" s="1">
        <f t="shared" si="179"/>
        <v>45383</v>
      </c>
      <c r="D1039" t="s">
        <v>3246</v>
      </c>
      <c r="E1039">
        <v>149.69999999999999</v>
      </c>
      <c r="F1039">
        <v>6.2</v>
      </c>
      <c r="G1039" t="s">
        <v>142</v>
      </c>
      <c r="H1039" t="s">
        <v>319</v>
      </c>
      <c r="I1039" t="s">
        <v>32</v>
      </c>
      <c r="J1039">
        <v>240</v>
      </c>
      <c r="K1039" t="s">
        <v>49</v>
      </c>
      <c r="L1039" t="s">
        <v>70</v>
      </c>
      <c r="M1039" t="s">
        <v>35</v>
      </c>
      <c r="N1039" t="s">
        <v>97</v>
      </c>
      <c r="O1039" t="s">
        <v>37</v>
      </c>
      <c r="P1039" t="s">
        <v>38</v>
      </c>
      <c r="Q1039" t="s">
        <v>38</v>
      </c>
      <c r="R1039">
        <v>1</v>
      </c>
      <c r="S1039" t="s">
        <v>38</v>
      </c>
      <c r="T1039">
        <v>8</v>
      </c>
      <c r="U1039">
        <v>2.5</v>
      </c>
      <c r="V1039">
        <v>29</v>
      </c>
      <c r="W1039" t="s">
        <v>38</v>
      </c>
      <c r="X1039" t="s">
        <v>63</v>
      </c>
      <c r="Y1039" t="s">
        <v>39</v>
      </c>
      <c r="Z1039" t="s">
        <v>179</v>
      </c>
      <c r="AA1039" t="s">
        <v>82</v>
      </c>
      <c r="AB1039" t="s">
        <v>83</v>
      </c>
      <c r="AC1039">
        <f t="shared" si="176"/>
        <v>0</v>
      </c>
      <c r="AD1039" s="12">
        <f t="shared" si="180"/>
        <v>1</v>
      </c>
      <c r="AE1039" s="12">
        <f t="shared" si="181"/>
        <v>0</v>
      </c>
      <c r="AF1039">
        <f t="shared" si="177"/>
        <v>0</v>
      </c>
      <c r="AG1039">
        <f t="shared" si="182"/>
        <v>0</v>
      </c>
      <c r="AH1039">
        <f t="shared" si="183"/>
        <v>0</v>
      </c>
      <c r="AI1039">
        <f t="shared" si="184"/>
        <v>0</v>
      </c>
      <c r="AJ1039">
        <f t="shared" si="185"/>
        <v>1</v>
      </c>
      <c r="AK1039">
        <f t="shared" si="178"/>
        <v>0</v>
      </c>
      <c r="AL1039">
        <f t="shared" si="186"/>
        <v>0</v>
      </c>
    </row>
    <row r="1040" spans="1:38">
      <c r="A1040" t="s">
        <v>3247</v>
      </c>
      <c r="B1040" t="s">
        <v>3248</v>
      </c>
      <c r="C1040" s="1">
        <f t="shared" si="179"/>
        <v>45413</v>
      </c>
      <c r="D1040" t="s">
        <v>3249</v>
      </c>
      <c r="E1040">
        <v>973.2</v>
      </c>
      <c r="F1040">
        <v>40.6</v>
      </c>
      <c r="G1040" t="s">
        <v>101</v>
      </c>
      <c r="H1040" t="s">
        <v>295</v>
      </c>
      <c r="I1040" t="s">
        <v>79</v>
      </c>
      <c r="J1040">
        <v>360</v>
      </c>
      <c r="K1040" t="s">
        <v>33</v>
      </c>
      <c r="L1040" t="s">
        <v>96</v>
      </c>
      <c r="M1040" t="s">
        <v>71</v>
      </c>
      <c r="N1040" t="s">
        <v>114</v>
      </c>
      <c r="O1040" t="s">
        <v>7232</v>
      </c>
      <c r="P1040" t="s">
        <v>38</v>
      </c>
      <c r="Q1040" t="s">
        <v>39</v>
      </c>
      <c r="R1040">
        <v>2</v>
      </c>
      <c r="S1040" t="s">
        <v>38</v>
      </c>
      <c r="T1040">
        <v>6</v>
      </c>
      <c r="U1040">
        <v>4.5</v>
      </c>
      <c r="V1040">
        <v>23.2</v>
      </c>
      <c r="W1040" t="s">
        <v>39</v>
      </c>
      <c r="X1040" t="s">
        <v>123</v>
      </c>
      <c r="Y1040" t="s">
        <v>38</v>
      </c>
      <c r="Z1040" t="s">
        <v>41</v>
      </c>
      <c r="AA1040" t="s">
        <v>54</v>
      </c>
      <c r="AB1040" t="s">
        <v>83</v>
      </c>
      <c r="AC1040">
        <f t="shared" si="176"/>
        <v>0</v>
      </c>
      <c r="AD1040" s="12">
        <f t="shared" si="180"/>
        <v>0</v>
      </c>
      <c r="AE1040" s="12">
        <f t="shared" si="181"/>
        <v>1</v>
      </c>
      <c r="AF1040">
        <f t="shared" si="177"/>
        <v>0</v>
      </c>
      <c r="AG1040">
        <f t="shared" si="182"/>
        <v>1</v>
      </c>
      <c r="AH1040">
        <f t="shared" si="183"/>
        <v>0</v>
      </c>
      <c r="AI1040">
        <f t="shared" si="184"/>
        <v>0</v>
      </c>
      <c r="AJ1040">
        <f t="shared" si="185"/>
        <v>0</v>
      </c>
      <c r="AK1040">
        <f t="shared" si="178"/>
        <v>0</v>
      </c>
      <c r="AL1040">
        <f t="shared" si="186"/>
        <v>1</v>
      </c>
    </row>
    <row r="1041" spans="1:38">
      <c r="A1041" t="s">
        <v>3250</v>
      </c>
      <c r="B1041" t="s">
        <v>3251</v>
      </c>
      <c r="C1041" s="1">
        <f t="shared" si="179"/>
        <v>45383</v>
      </c>
      <c r="D1041" t="s">
        <v>3252</v>
      </c>
      <c r="E1041">
        <v>83</v>
      </c>
      <c r="F1041">
        <v>3.5</v>
      </c>
      <c r="G1041" t="s">
        <v>77</v>
      </c>
      <c r="H1041" t="s">
        <v>187</v>
      </c>
      <c r="I1041" t="s">
        <v>48</v>
      </c>
      <c r="J1041">
        <v>120</v>
      </c>
      <c r="K1041" t="s">
        <v>49</v>
      </c>
      <c r="L1041" t="s">
        <v>96</v>
      </c>
      <c r="M1041" t="s">
        <v>35</v>
      </c>
      <c r="N1041" t="s">
        <v>134</v>
      </c>
      <c r="O1041" t="s">
        <v>7232</v>
      </c>
      <c r="P1041" t="s">
        <v>38</v>
      </c>
      <c r="Q1041" t="s">
        <v>38</v>
      </c>
      <c r="R1041">
        <v>1</v>
      </c>
      <c r="S1041" t="s">
        <v>38</v>
      </c>
      <c r="T1041">
        <v>9</v>
      </c>
      <c r="U1041">
        <v>2.8</v>
      </c>
      <c r="V1041">
        <v>13.5</v>
      </c>
      <c r="W1041" t="s">
        <v>39</v>
      </c>
      <c r="X1041" t="s">
        <v>123</v>
      </c>
      <c r="Y1041" t="s">
        <v>38</v>
      </c>
      <c r="Z1041" t="s">
        <v>41</v>
      </c>
      <c r="AA1041" t="s">
        <v>42</v>
      </c>
      <c r="AB1041" t="s">
        <v>83</v>
      </c>
      <c r="AC1041">
        <f t="shared" si="176"/>
        <v>0</v>
      </c>
      <c r="AD1041" s="12">
        <f t="shared" si="180"/>
        <v>0</v>
      </c>
      <c r="AE1041" s="12">
        <f t="shared" si="181"/>
        <v>1</v>
      </c>
      <c r="AF1041">
        <f t="shared" si="177"/>
        <v>0</v>
      </c>
      <c r="AG1041">
        <f t="shared" si="182"/>
        <v>1</v>
      </c>
      <c r="AH1041">
        <f t="shared" si="183"/>
        <v>1</v>
      </c>
      <c r="AI1041">
        <f t="shared" si="184"/>
        <v>0</v>
      </c>
      <c r="AJ1041">
        <f t="shared" si="185"/>
        <v>0</v>
      </c>
      <c r="AK1041">
        <f t="shared" si="178"/>
        <v>0</v>
      </c>
      <c r="AL1041">
        <f t="shared" si="186"/>
        <v>1</v>
      </c>
    </row>
    <row r="1042" spans="1:38">
      <c r="A1042" t="s">
        <v>3253</v>
      </c>
      <c r="B1042" t="s">
        <v>3254</v>
      </c>
      <c r="C1042" s="1">
        <f t="shared" si="179"/>
        <v>45323</v>
      </c>
      <c r="D1042" t="s">
        <v>3255</v>
      </c>
      <c r="E1042">
        <v>219.5</v>
      </c>
      <c r="F1042">
        <v>9.1</v>
      </c>
      <c r="G1042" t="s">
        <v>101</v>
      </c>
      <c r="H1042" t="s">
        <v>368</v>
      </c>
      <c r="I1042" t="s">
        <v>32</v>
      </c>
      <c r="J1042">
        <v>240</v>
      </c>
      <c r="K1042" t="s">
        <v>49</v>
      </c>
      <c r="L1042" t="s">
        <v>113</v>
      </c>
      <c r="M1042" t="s">
        <v>35</v>
      </c>
      <c r="N1042" t="s">
        <v>192</v>
      </c>
      <c r="O1042" t="s">
        <v>51</v>
      </c>
      <c r="P1042" t="s">
        <v>39</v>
      </c>
      <c r="Q1042" t="s">
        <v>38</v>
      </c>
      <c r="R1042">
        <v>0</v>
      </c>
      <c r="S1042" t="s">
        <v>38</v>
      </c>
      <c r="T1042">
        <v>8</v>
      </c>
      <c r="U1042">
        <v>2.4</v>
      </c>
      <c r="V1042">
        <v>2.6</v>
      </c>
      <c r="W1042" t="s">
        <v>39</v>
      </c>
      <c r="X1042" t="s">
        <v>63</v>
      </c>
      <c r="Y1042" t="s">
        <v>39</v>
      </c>
      <c r="Z1042" t="s">
        <v>108</v>
      </c>
      <c r="AA1042" t="s">
        <v>103</v>
      </c>
      <c r="AB1042" t="s">
        <v>43</v>
      </c>
      <c r="AC1042">
        <f t="shared" si="176"/>
        <v>0</v>
      </c>
      <c r="AD1042" s="12">
        <f t="shared" si="180"/>
        <v>1</v>
      </c>
      <c r="AE1042" s="12">
        <f t="shared" si="181"/>
        <v>0</v>
      </c>
      <c r="AF1042">
        <f t="shared" si="177"/>
        <v>1</v>
      </c>
      <c r="AG1042">
        <f t="shared" si="182"/>
        <v>0</v>
      </c>
      <c r="AH1042">
        <f t="shared" si="183"/>
        <v>0</v>
      </c>
      <c r="AI1042">
        <f t="shared" si="184"/>
        <v>0</v>
      </c>
      <c r="AJ1042">
        <f t="shared" si="185"/>
        <v>1</v>
      </c>
      <c r="AK1042">
        <f t="shared" si="178"/>
        <v>0</v>
      </c>
      <c r="AL1042">
        <f t="shared" si="186"/>
        <v>0</v>
      </c>
    </row>
    <row r="1043" spans="1:38">
      <c r="A1043" t="s">
        <v>3256</v>
      </c>
      <c r="B1043" t="s">
        <v>3257</v>
      </c>
      <c r="C1043" s="1">
        <f t="shared" si="179"/>
        <v>45627</v>
      </c>
      <c r="D1043" t="s">
        <v>3258</v>
      </c>
      <c r="E1043">
        <v>296.5</v>
      </c>
      <c r="F1043">
        <v>12.4</v>
      </c>
      <c r="G1043" t="s">
        <v>77</v>
      </c>
      <c r="H1043" t="s">
        <v>187</v>
      </c>
      <c r="I1043" t="s">
        <v>79</v>
      </c>
      <c r="J1043">
        <v>360</v>
      </c>
      <c r="K1043" t="s">
        <v>49</v>
      </c>
      <c r="L1043" t="s">
        <v>96</v>
      </c>
      <c r="M1043" t="s">
        <v>35</v>
      </c>
      <c r="N1043" t="s">
        <v>155</v>
      </c>
      <c r="O1043" t="s">
        <v>37</v>
      </c>
      <c r="P1043" t="s">
        <v>38</v>
      </c>
      <c r="Q1043" t="s">
        <v>38</v>
      </c>
      <c r="R1043">
        <v>1</v>
      </c>
      <c r="S1043" t="s">
        <v>38</v>
      </c>
      <c r="T1043">
        <v>10</v>
      </c>
      <c r="U1043">
        <v>0.4</v>
      </c>
      <c r="V1043">
        <v>8.1</v>
      </c>
      <c r="W1043" t="s">
        <v>39</v>
      </c>
      <c r="X1043" t="s">
        <v>52</v>
      </c>
      <c r="Y1043" t="s">
        <v>39</v>
      </c>
      <c r="Z1043" t="s">
        <v>41</v>
      </c>
      <c r="AA1043" t="s">
        <v>109</v>
      </c>
      <c r="AB1043" t="s">
        <v>55</v>
      </c>
      <c r="AC1043">
        <f t="shared" si="176"/>
        <v>1</v>
      </c>
      <c r="AD1043" s="12">
        <f t="shared" si="180"/>
        <v>0</v>
      </c>
      <c r="AE1043" s="12">
        <f t="shared" si="181"/>
        <v>0</v>
      </c>
      <c r="AF1043">
        <f t="shared" si="177"/>
        <v>0</v>
      </c>
      <c r="AG1043">
        <f t="shared" si="182"/>
        <v>0</v>
      </c>
      <c r="AH1043">
        <f t="shared" si="183"/>
        <v>0</v>
      </c>
      <c r="AI1043">
        <f t="shared" si="184"/>
        <v>0</v>
      </c>
      <c r="AJ1043">
        <f t="shared" si="185"/>
        <v>0</v>
      </c>
      <c r="AK1043">
        <f t="shared" si="178"/>
        <v>0</v>
      </c>
      <c r="AL1043">
        <f t="shared" si="186"/>
        <v>0</v>
      </c>
    </row>
    <row r="1044" spans="1:38">
      <c r="A1044" t="s">
        <v>3259</v>
      </c>
      <c r="B1044" t="s">
        <v>3260</v>
      </c>
      <c r="C1044" s="1">
        <f t="shared" si="179"/>
        <v>45323</v>
      </c>
      <c r="D1044" t="s">
        <v>3261</v>
      </c>
      <c r="E1044">
        <v>262.7</v>
      </c>
      <c r="F1044">
        <v>10.9</v>
      </c>
      <c r="G1044" t="s">
        <v>93</v>
      </c>
      <c r="H1044" t="s">
        <v>449</v>
      </c>
      <c r="I1044" t="s">
        <v>32</v>
      </c>
      <c r="J1044">
        <v>240</v>
      </c>
      <c r="K1044" t="s">
        <v>33</v>
      </c>
      <c r="L1044" t="s">
        <v>34</v>
      </c>
      <c r="M1044" t="s">
        <v>35</v>
      </c>
      <c r="N1044" t="s">
        <v>36</v>
      </c>
      <c r="O1044" t="s">
        <v>7232</v>
      </c>
      <c r="P1044" t="s">
        <v>38</v>
      </c>
      <c r="Q1044" t="s">
        <v>38</v>
      </c>
      <c r="R1044">
        <v>1</v>
      </c>
      <c r="S1044" t="s">
        <v>39</v>
      </c>
      <c r="T1044">
        <v>7</v>
      </c>
      <c r="U1044">
        <v>3.6</v>
      </c>
      <c r="V1044">
        <v>14.1</v>
      </c>
      <c r="W1044" t="s">
        <v>39</v>
      </c>
      <c r="X1044" t="s">
        <v>63</v>
      </c>
      <c r="Y1044" t="s">
        <v>39</v>
      </c>
      <c r="Z1044" t="s">
        <v>64</v>
      </c>
      <c r="AA1044" t="s">
        <v>109</v>
      </c>
      <c r="AB1044" t="s">
        <v>83</v>
      </c>
      <c r="AC1044">
        <f t="shared" si="176"/>
        <v>0</v>
      </c>
      <c r="AD1044" s="12">
        <f t="shared" si="180"/>
        <v>1</v>
      </c>
      <c r="AE1044" s="12">
        <f t="shared" si="181"/>
        <v>0</v>
      </c>
      <c r="AF1044">
        <f t="shared" si="177"/>
        <v>0</v>
      </c>
      <c r="AG1044">
        <f t="shared" si="182"/>
        <v>1</v>
      </c>
      <c r="AH1044">
        <f t="shared" si="183"/>
        <v>0</v>
      </c>
      <c r="AI1044">
        <f t="shared" si="184"/>
        <v>0</v>
      </c>
      <c r="AJ1044">
        <f t="shared" si="185"/>
        <v>1</v>
      </c>
      <c r="AK1044">
        <f t="shared" si="178"/>
        <v>0</v>
      </c>
      <c r="AL1044">
        <f t="shared" si="186"/>
        <v>0</v>
      </c>
    </row>
    <row r="1045" spans="1:38">
      <c r="A1045" t="s">
        <v>3262</v>
      </c>
      <c r="B1045" t="s">
        <v>3263</v>
      </c>
      <c r="C1045" s="1">
        <f t="shared" si="179"/>
        <v>45597</v>
      </c>
      <c r="D1045" t="s">
        <v>3264</v>
      </c>
      <c r="E1045">
        <v>29.9</v>
      </c>
      <c r="F1045">
        <v>1.2</v>
      </c>
      <c r="G1045" t="s">
        <v>68</v>
      </c>
      <c r="H1045" t="s">
        <v>456</v>
      </c>
      <c r="I1045" t="s">
        <v>95</v>
      </c>
      <c r="J1045">
        <v>48</v>
      </c>
      <c r="K1045" t="s">
        <v>49</v>
      </c>
      <c r="L1045" t="s">
        <v>96</v>
      </c>
      <c r="M1045" t="s">
        <v>35</v>
      </c>
      <c r="N1045" t="s">
        <v>188</v>
      </c>
      <c r="O1045" t="s">
        <v>51</v>
      </c>
      <c r="P1045" t="s">
        <v>38</v>
      </c>
      <c r="Q1045" t="s">
        <v>38</v>
      </c>
      <c r="R1045">
        <v>1</v>
      </c>
      <c r="S1045" t="s">
        <v>38</v>
      </c>
      <c r="T1045">
        <v>10</v>
      </c>
      <c r="U1045">
        <v>3.8</v>
      </c>
      <c r="V1045">
        <v>9.1999999999999993</v>
      </c>
      <c r="W1045" t="s">
        <v>39</v>
      </c>
      <c r="X1045" t="s">
        <v>123</v>
      </c>
      <c r="Y1045" t="s">
        <v>38</v>
      </c>
      <c r="Z1045" t="s">
        <v>108</v>
      </c>
      <c r="AA1045" t="s">
        <v>103</v>
      </c>
      <c r="AB1045" t="s">
        <v>83</v>
      </c>
      <c r="AC1045">
        <f t="shared" si="176"/>
        <v>0</v>
      </c>
      <c r="AD1045" s="12">
        <f t="shared" si="180"/>
        <v>0</v>
      </c>
      <c r="AE1045" s="12">
        <f t="shared" si="181"/>
        <v>1</v>
      </c>
      <c r="AF1045">
        <f t="shared" si="177"/>
        <v>1</v>
      </c>
      <c r="AG1045">
        <f t="shared" si="182"/>
        <v>0</v>
      </c>
      <c r="AH1045">
        <f t="shared" si="183"/>
        <v>0</v>
      </c>
      <c r="AI1045">
        <f t="shared" si="184"/>
        <v>1</v>
      </c>
      <c r="AJ1045">
        <f t="shared" si="185"/>
        <v>0</v>
      </c>
      <c r="AK1045">
        <f t="shared" si="178"/>
        <v>0</v>
      </c>
      <c r="AL1045">
        <f t="shared" si="186"/>
        <v>1</v>
      </c>
    </row>
    <row r="1046" spans="1:38">
      <c r="A1046" t="s">
        <v>3265</v>
      </c>
      <c r="B1046" t="s">
        <v>3266</v>
      </c>
      <c r="C1046" s="1">
        <f t="shared" si="179"/>
        <v>45444</v>
      </c>
      <c r="D1046" t="s">
        <v>3267</v>
      </c>
      <c r="E1046">
        <v>325.8</v>
      </c>
      <c r="F1046">
        <v>13.6</v>
      </c>
      <c r="G1046" t="s">
        <v>68</v>
      </c>
      <c r="H1046" t="s">
        <v>69</v>
      </c>
      <c r="I1046" t="s">
        <v>48</v>
      </c>
      <c r="J1046">
        <v>120</v>
      </c>
      <c r="K1046" t="s">
        <v>33</v>
      </c>
      <c r="L1046" t="s">
        <v>34</v>
      </c>
      <c r="M1046" t="s">
        <v>35</v>
      </c>
      <c r="N1046" t="s">
        <v>164</v>
      </c>
      <c r="O1046" t="s">
        <v>37</v>
      </c>
      <c r="P1046" t="s">
        <v>38</v>
      </c>
      <c r="Q1046" t="s">
        <v>38</v>
      </c>
      <c r="R1046">
        <v>1</v>
      </c>
      <c r="S1046" t="s">
        <v>38</v>
      </c>
      <c r="T1046">
        <v>4</v>
      </c>
      <c r="U1046">
        <v>3.4</v>
      </c>
      <c r="V1046">
        <v>18.600000000000001</v>
      </c>
      <c r="W1046" t="s">
        <v>39</v>
      </c>
      <c r="X1046" t="s">
        <v>40</v>
      </c>
      <c r="Y1046" t="s">
        <v>38</v>
      </c>
      <c r="Z1046" t="s">
        <v>179</v>
      </c>
      <c r="AA1046" t="s">
        <v>109</v>
      </c>
      <c r="AB1046" t="s">
        <v>83</v>
      </c>
      <c r="AC1046">
        <f t="shared" si="176"/>
        <v>0</v>
      </c>
      <c r="AD1046" s="12">
        <f t="shared" si="180"/>
        <v>0</v>
      </c>
      <c r="AE1046" s="12">
        <f t="shared" si="181"/>
        <v>0</v>
      </c>
      <c r="AF1046">
        <f t="shared" si="177"/>
        <v>0</v>
      </c>
      <c r="AG1046">
        <f t="shared" si="182"/>
        <v>0</v>
      </c>
      <c r="AH1046">
        <f t="shared" si="183"/>
        <v>1</v>
      </c>
      <c r="AI1046">
        <f t="shared" si="184"/>
        <v>0</v>
      </c>
      <c r="AJ1046">
        <f t="shared" si="185"/>
        <v>0</v>
      </c>
      <c r="AK1046">
        <f t="shared" si="178"/>
        <v>0</v>
      </c>
      <c r="AL1046">
        <f t="shared" si="186"/>
        <v>1</v>
      </c>
    </row>
    <row r="1047" spans="1:38">
      <c r="A1047" t="s">
        <v>3268</v>
      </c>
      <c r="B1047" t="s">
        <v>3269</v>
      </c>
      <c r="C1047" s="1">
        <f t="shared" si="179"/>
        <v>45413</v>
      </c>
      <c r="D1047" t="s">
        <v>3270</v>
      </c>
      <c r="E1047">
        <v>240.6</v>
      </c>
      <c r="F1047">
        <v>10</v>
      </c>
      <c r="G1047" t="s">
        <v>77</v>
      </c>
      <c r="H1047" t="s">
        <v>244</v>
      </c>
      <c r="I1047" t="s">
        <v>79</v>
      </c>
      <c r="J1047">
        <v>360</v>
      </c>
      <c r="K1047" t="s">
        <v>49</v>
      </c>
      <c r="L1047" t="s">
        <v>70</v>
      </c>
      <c r="M1047" t="s">
        <v>35</v>
      </c>
      <c r="N1047" t="s">
        <v>119</v>
      </c>
      <c r="O1047" t="s">
        <v>7232</v>
      </c>
      <c r="P1047" t="s">
        <v>38</v>
      </c>
      <c r="Q1047" t="s">
        <v>38</v>
      </c>
      <c r="R1047">
        <v>1</v>
      </c>
      <c r="S1047" t="s">
        <v>38</v>
      </c>
      <c r="T1047">
        <v>8</v>
      </c>
      <c r="U1047">
        <v>3.5</v>
      </c>
      <c r="V1047">
        <v>49.9</v>
      </c>
      <c r="W1047" t="s">
        <v>39</v>
      </c>
      <c r="X1047" t="s">
        <v>123</v>
      </c>
      <c r="Y1047" t="s">
        <v>38</v>
      </c>
      <c r="Z1047" t="s">
        <v>53</v>
      </c>
      <c r="AA1047" t="s">
        <v>82</v>
      </c>
      <c r="AB1047" t="s">
        <v>43</v>
      </c>
      <c r="AC1047">
        <f t="shared" si="176"/>
        <v>0</v>
      </c>
      <c r="AD1047" s="12">
        <f t="shared" si="180"/>
        <v>0</v>
      </c>
      <c r="AE1047" s="12">
        <f t="shared" si="181"/>
        <v>1</v>
      </c>
      <c r="AF1047">
        <f t="shared" si="177"/>
        <v>0</v>
      </c>
      <c r="AG1047">
        <f t="shared" si="182"/>
        <v>1</v>
      </c>
      <c r="AH1047">
        <f t="shared" si="183"/>
        <v>0</v>
      </c>
      <c r="AI1047">
        <f t="shared" si="184"/>
        <v>0</v>
      </c>
      <c r="AJ1047">
        <f t="shared" si="185"/>
        <v>0</v>
      </c>
      <c r="AK1047">
        <f t="shared" si="178"/>
        <v>0</v>
      </c>
      <c r="AL1047">
        <f t="shared" si="186"/>
        <v>1</v>
      </c>
    </row>
    <row r="1048" spans="1:38">
      <c r="A1048" t="s">
        <v>3271</v>
      </c>
      <c r="B1048" t="s">
        <v>3272</v>
      </c>
      <c r="C1048" s="1">
        <f t="shared" si="179"/>
        <v>45536</v>
      </c>
      <c r="D1048" t="s">
        <v>3273</v>
      </c>
      <c r="E1048">
        <v>224.6</v>
      </c>
      <c r="F1048">
        <v>9.4</v>
      </c>
      <c r="G1048" t="s">
        <v>30</v>
      </c>
      <c r="H1048" t="s">
        <v>159</v>
      </c>
      <c r="I1048" t="s">
        <v>32</v>
      </c>
      <c r="J1048">
        <v>240</v>
      </c>
      <c r="K1048" t="s">
        <v>49</v>
      </c>
      <c r="L1048" t="s">
        <v>34</v>
      </c>
      <c r="M1048" t="s">
        <v>35</v>
      </c>
      <c r="N1048" t="s">
        <v>164</v>
      </c>
      <c r="O1048" t="s">
        <v>37</v>
      </c>
      <c r="P1048" t="s">
        <v>39</v>
      </c>
      <c r="Q1048" t="s">
        <v>38</v>
      </c>
      <c r="R1048">
        <v>0</v>
      </c>
      <c r="S1048" t="s">
        <v>38</v>
      </c>
      <c r="T1048">
        <v>10</v>
      </c>
      <c r="U1048">
        <v>0.1</v>
      </c>
      <c r="V1048">
        <v>16.399999999999999</v>
      </c>
      <c r="W1048" t="s">
        <v>38</v>
      </c>
      <c r="X1048" t="s">
        <v>52</v>
      </c>
      <c r="Y1048" t="s">
        <v>39</v>
      </c>
      <c r="Z1048" t="s">
        <v>73</v>
      </c>
      <c r="AA1048" t="s">
        <v>42</v>
      </c>
      <c r="AB1048" t="s">
        <v>83</v>
      </c>
      <c r="AC1048">
        <f t="shared" si="176"/>
        <v>1</v>
      </c>
      <c r="AD1048" s="12">
        <f t="shared" si="180"/>
        <v>0</v>
      </c>
      <c r="AE1048" s="12">
        <f t="shared" si="181"/>
        <v>0</v>
      </c>
      <c r="AF1048">
        <f t="shared" si="177"/>
        <v>0</v>
      </c>
      <c r="AG1048">
        <f t="shared" si="182"/>
        <v>0</v>
      </c>
      <c r="AH1048">
        <f t="shared" si="183"/>
        <v>0</v>
      </c>
      <c r="AI1048">
        <f t="shared" si="184"/>
        <v>0</v>
      </c>
      <c r="AJ1048">
        <f t="shared" si="185"/>
        <v>1</v>
      </c>
      <c r="AK1048">
        <f t="shared" si="178"/>
        <v>1</v>
      </c>
      <c r="AL1048">
        <f t="shared" si="186"/>
        <v>0</v>
      </c>
    </row>
    <row r="1049" spans="1:38">
      <c r="A1049" t="s">
        <v>3274</v>
      </c>
      <c r="B1049" t="s">
        <v>3275</v>
      </c>
      <c r="C1049" s="1">
        <f t="shared" si="179"/>
        <v>45505</v>
      </c>
      <c r="D1049" t="s">
        <v>3276</v>
      </c>
      <c r="E1049">
        <v>525.1</v>
      </c>
      <c r="F1049">
        <v>21.9</v>
      </c>
      <c r="G1049" t="s">
        <v>30</v>
      </c>
      <c r="H1049" t="s">
        <v>172</v>
      </c>
      <c r="I1049" t="s">
        <v>32</v>
      </c>
      <c r="J1049">
        <v>240</v>
      </c>
      <c r="K1049" t="s">
        <v>33</v>
      </c>
      <c r="L1049" t="s">
        <v>96</v>
      </c>
      <c r="M1049" t="s">
        <v>35</v>
      </c>
      <c r="N1049" t="s">
        <v>128</v>
      </c>
      <c r="O1049" t="s">
        <v>7232</v>
      </c>
      <c r="P1049" t="s">
        <v>38</v>
      </c>
      <c r="Q1049" t="s">
        <v>38</v>
      </c>
      <c r="R1049">
        <v>1</v>
      </c>
      <c r="S1049" t="s">
        <v>38</v>
      </c>
      <c r="T1049">
        <v>4</v>
      </c>
      <c r="U1049">
        <v>2</v>
      </c>
      <c r="V1049">
        <v>1.2</v>
      </c>
      <c r="W1049" t="s">
        <v>39</v>
      </c>
      <c r="X1049" t="s">
        <v>63</v>
      </c>
      <c r="Y1049" t="s">
        <v>39</v>
      </c>
      <c r="Z1049" t="s">
        <v>53</v>
      </c>
      <c r="AA1049" t="s">
        <v>103</v>
      </c>
      <c r="AB1049" t="s">
        <v>55</v>
      </c>
      <c r="AC1049">
        <f t="shared" si="176"/>
        <v>0</v>
      </c>
      <c r="AD1049" s="12">
        <f t="shared" si="180"/>
        <v>1</v>
      </c>
      <c r="AE1049" s="12">
        <f t="shared" si="181"/>
        <v>0</v>
      </c>
      <c r="AF1049">
        <f t="shared" si="177"/>
        <v>0</v>
      </c>
      <c r="AG1049">
        <f t="shared" si="182"/>
        <v>1</v>
      </c>
      <c r="AH1049">
        <f t="shared" si="183"/>
        <v>0</v>
      </c>
      <c r="AI1049">
        <f t="shared" si="184"/>
        <v>0</v>
      </c>
      <c r="AJ1049">
        <f t="shared" si="185"/>
        <v>1</v>
      </c>
      <c r="AK1049">
        <f t="shared" si="178"/>
        <v>1</v>
      </c>
      <c r="AL1049">
        <f t="shared" si="186"/>
        <v>0</v>
      </c>
    </row>
    <row r="1050" spans="1:38">
      <c r="A1050" t="s">
        <v>3277</v>
      </c>
      <c r="B1050" t="s">
        <v>3278</v>
      </c>
      <c r="C1050" s="1">
        <f t="shared" si="179"/>
        <v>45566</v>
      </c>
      <c r="D1050" t="s">
        <v>3279</v>
      </c>
      <c r="E1050">
        <v>313</v>
      </c>
      <c r="F1050">
        <v>13</v>
      </c>
      <c r="G1050" t="s">
        <v>77</v>
      </c>
      <c r="H1050" t="s">
        <v>244</v>
      </c>
      <c r="I1050" t="s">
        <v>79</v>
      </c>
      <c r="J1050">
        <v>360</v>
      </c>
      <c r="K1050" t="s">
        <v>49</v>
      </c>
      <c r="L1050" t="s">
        <v>34</v>
      </c>
      <c r="M1050" t="s">
        <v>35</v>
      </c>
      <c r="N1050" t="s">
        <v>89</v>
      </c>
      <c r="O1050" t="s">
        <v>7232</v>
      </c>
      <c r="P1050" t="s">
        <v>39</v>
      </c>
      <c r="Q1050" t="s">
        <v>38</v>
      </c>
      <c r="R1050">
        <v>0</v>
      </c>
      <c r="S1050" t="s">
        <v>38</v>
      </c>
      <c r="T1050">
        <v>10</v>
      </c>
      <c r="U1050">
        <v>2.2000000000000002</v>
      </c>
      <c r="V1050">
        <v>22.3</v>
      </c>
      <c r="W1050" t="s">
        <v>39</v>
      </c>
      <c r="X1050" t="s">
        <v>63</v>
      </c>
      <c r="Y1050" t="s">
        <v>39</v>
      </c>
      <c r="Z1050" t="s">
        <v>53</v>
      </c>
      <c r="AA1050" t="s">
        <v>82</v>
      </c>
      <c r="AB1050" t="s">
        <v>83</v>
      </c>
      <c r="AC1050">
        <f t="shared" si="176"/>
        <v>0</v>
      </c>
      <c r="AD1050" s="12">
        <f t="shared" si="180"/>
        <v>1</v>
      </c>
      <c r="AE1050" s="12">
        <f t="shared" si="181"/>
        <v>0</v>
      </c>
      <c r="AF1050">
        <f t="shared" si="177"/>
        <v>0</v>
      </c>
      <c r="AG1050">
        <f t="shared" si="182"/>
        <v>1</v>
      </c>
      <c r="AH1050">
        <f t="shared" si="183"/>
        <v>0</v>
      </c>
      <c r="AI1050">
        <f t="shared" si="184"/>
        <v>0</v>
      </c>
      <c r="AJ1050">
        <f t="shared" si="185"/>
        <v>0</v>
      </c>
      <c r="AK1050">
        <f t="shared" si="178"/>
        <v>0</v>
      </c>
      <c r="AL1050">
        <f t="shared" si="186"/>
        <v>0</v>
      </c>
    </row>
    <row r="1051" spans="1:38">
      <c r="A1051" t="s">
        <v>3280</v>
      </c>
      <c r="B1051" t="s">
        <v>3281</v>
      </c>
      <c r="C1051" s="1">
        <f t="shared" si="179"/>
        <v>45566</v>
      </c>
      <c r="D1051" t="s">
        <v>3282</v>
      </c>
      <c r="E1051">
        <v>282.5</v>
      </c>
      <c r="F1051">
        <v>11.8</v>
      </c>
      <c r="G1051" t="s">
        <v>77</v>
      </c>
      <c r="H1051" t="s">
        <v>267</v>
      </c>
      <c r="I1051" t="s">
        <v>79</v>
      </c>
      <c r="J1051">
        <v>360</v>
      </c>
      <c r="K1051" t="s">
        <v>49</v>
      </c>
      <c r="L1051" t="s">
        <v>113</v>
      </c>
      <c r="M1051" t="s">
        <v>35</v>
      </c>
      <c r="N1051" t="s">
        <v>50</v>
      </c>
      <c r="O1051" t="s">
        <v>7232</v>
      </c>
      <c r="P1051" t="s">
        <v>38</v>
      </c>
      <c r="Q1051" t="s">
        <v>38</v>
      </c>
      <c r="R1051">
        <v>1</v>
      </c>
      <c r="S1051" t="s">
        <v>38</v>
      </c>
      <c r="T1051">
        <v>7</v>
      </c>
      <c r="U1051">
        <v>0.8</v>
      </c>
      <c r="V1051">
        <v>0</v>
      </c>
      <c r="W1051" t="s">
        <v>39</v>
      </c>
      <c r="X1051" t="s">
        <v>40</v>
      </c>
      <c r="Y1051" t="s">
        <v>39</v>
      </c>
      <c r="Z1051" t="s">
        <v>115</v>
      </c>
      <c r="AA1051" t="s">
        <v>103</v>
      </c>
      <c r="AB1051" t="s">
        <v>43</v>
      </c>
      <c r="AC1051">
        <f t="shared" si="176"/>
        <v>0</v>
      </c>
      <c r="AD1051" s="12">
        <f t="shared" si="180"/>
        <v>0</v>
      </c>
      <c r="AE1051" s="12">
        <f t="shared" si="181"/>
        <v>0</v>
      </c>
      <c r="AF1051">
        <f t="shared" si="177"/>
        <v>0</v>
      </c>
      <c r="AG1051">
        <f t="shared" si="182"/>
        <v>1</v>
      </c>
      <c r="AH1051">
        <f t="shared" si="183"/>
        <v>0</v>
      </c>
      <c r="AI1051">
        <f t="shared" si="184"/>
        <v>0</v>
      </c>
      <c r="AJ1051">
        <f t="shared" si="185"/>
        <v>0</v>
      </c>
      <c r="AK1051">
        <f t="shared" si="178"/>
        <v>0</v>
      </c>
      <c r="AL1051">
        <f t="shared" si="186"/>
        <v>0</v>
      </c>
    </row>
    <row r="1052" spans="1:38">
      <c r="A1052" t="s">
        <v>3283</v>
      </c>
      <c r="B1052" t="s">
        <v>3284</v>
      </c>
      <c r="C1052" s="1">
        <f t="shared" si="179"/>
        <v>45627</v>
      </c>
      <c r="D1052" t="s">
        <v>3285</v>
      </c>
      <c r="E1052">
        <v>226.7</v>
      </c>
      <c r="F1052">
        <v>9.4</v>
      </c>
      <c r="G1052" t="s">
        <v>142</v>
      </c>
      <c r="H1052" t="s">
        <v>729</v>
      </c>
      <c r="I1052" t="s">
        <v>32</v>
      </c>
      <c r="J1052">
        <v>240</v>
      </c>
      <c r="K1052" t="s">
        <v>49</v>
      </c>
      <c r="L1052" t="s">
        <v>70</v>
      </c>
      <c r="M1052" t="s">
        <v>71</v>
      </c>
      <c r="N1052" t="s">
        <v>134</v>
      </c>
      <c r="O1052" t="s">
        <v>51</v>
      </c>
      <c r="P1052" t="s">
        <v>38</v>
      </c>
      <c r="Q1052" t="s">
        <v>39</v>
      </c>
      <c r="R1052">
        <v>3</v>
      </c>
      <c r="S1052" t="s">
        <v>39</v>
      </c>
      <c r="T1052">
        <v>7</v>
      </c>
      <c r="U1052">
        <v>3.1</v>
      </c>
      <c r="V1052">
        <v>21</v>
      </c>
      <c r="W1052" t="s">
        <v>39</v>
      </c>
      <c r="X1052" t="s">
        <v>40</v>
      </c>
      <c r="Y1052" t="s">
        <v>39</v>
      </c>
      <c r="Z1052" t="s">
        <v>81</v>
      </c>
      <c r="AA1052" t="s">
        <v>42</v>
      </c>
      <c r="AB1052" t="s">
        <v>55</v>
      </c>
      <c r="AC1052">
        <f t="shared" si="176"/>
        <v>0</v>
      </c>
      <c r="AD1052" s="12">
        <f t="shared" si="180"/>
        <v>0</v>
      </c>
      <c r="AE1052" s="12">
        <f t="shared" si="181"/>
        <v>0</v>
      </c>
      <c r="AF1052">
        <f t="shared" si="177"/>
        <v>1</v>
      </c>
      <c r="AG1052">
        <f t="shared" si="182"/>
        <v>0</v>
      </c>
      <c r="AH1052">
        <f t="shared" si="183"/>
        <v>0</v>
      </c>
      <c r="AI1052">
        <f t="shared" si="184"/>
        <v>0</v>
      </c>
      <c r="AJ1052">
        <f t="shared" si="185"/>
        <v>1</v>
      </c>
      <c r="AK1052">
        <f t="shared" si="178"/>
        <v>0</v>
      </c>
      <c r="AL1052">
        <f t="shared" si="186"/>
        <v>0</v>
      </c>
    </row>
    <row r="1053" spans="1:38">
      <c r="A1053" t="s">
        <v>3286</v>
      </c>
      <c r="B1053" t="s">
        <v>3287</v>
      </c>
      <c r="C1053" s="1">
        <f t="shared" si="179"/>
        <v>45597</v>
      </c>
      <c r="D1053" t="s">
        <v>3288</v>
      </c>
      <c r="E1053">
        <v>169.2</v>
      </c>
      <c r="F1053">
        <v>7.1</v>
      </c>
      <c r="G1053" t="s">
        <v>59</v>
      </c>
      <c r="H1053" t="s">
        <v>60</v>
      </c>
      <c r="I1053" t="s">
        <v>48</v>
      </c>
      <c r="J1053">
        <v>120</v>
      </c>
      <c r="K1053" t="s">
        <v>33</v>
      </c>
      <c r="L1053" t="s">
        <v>96</v>
      </c>
      <c r="M1053" t="s">
        <v>35</v>
      </c>
      <c r="N1053" t="s">
        <v>220</v>
      </c>
      <c r="O1053" t="s">
        <v>51</v>
      </c>
      <c r="P1053" t="s">
        <v>38</v>
      </c>
      <c r="Q1053" t="s">
        <v>38</v>
      </c>
      <c r="R1053">
        <v>1</v>
      </c>
      <c r="S1053" t="s">
        <v>38</v>
      </c>
      <c r="T1053">
        <v>4</v>
      </c>
      <c r="U1053">
        <v>3.8</v>
      </c>
      <c r="V1053">
        <v>18.3</v>
      </c>
      <c r="W1053" t="s">
        <v>38</v>
      </c>
      <c r="X1053" t="s">
        <v>40</v>
      </c>
      <c r="Y1053" t="s">
        <v>38</v>
      </c>
      <c r="Z1053" t="s">
        <v>179</v>
      </c>
      <c r="AA1053" t="s">
        <v>82</v>
      </c>
      <c r="AB1053" t="s">
        <v>83</v>
      </c>
      <c r="AC1053">
        <f t="shared" si="176"/>
        <v>0</v>
      </c>
      <c r="AD1053" s="12">
        <f t="shared" si="180"/>
        <v>0</v>
      </c>
      <c r="AE1053" s="12">
        <f t="shared" si="181"/>
        <v>0</v>
      </c>
      <c r="AF1053">
        <f t="shared" si="177"/>
        <v>1</v>
      </c>
      <c r="AG1053">
        <f t="shared" si="182"/>
        <v>0</v>
      </c>
      <c r="AH1053">
        <f t="shared" si="183"/>
        <v>1</v>
      </c>
      <c r="AI1053">
        <f t="shared" si="184"/>
        <v>0</v>
      </c>
      <c r="AJ1053">
        <f t="shared" si="185"/>
        <v>0</v>
      </c>
      <c r="AK1053">
        <f t="shared" si="178"/>
        <v>0</v>
      </c>
      <c r="AL1053">
        <f t="shared" si="186"/>
        <v>1</v>
      </c>
    </row>
    <row r="1054" spans="1:38">
      <c r="A1054" t="s">
        <v>3289</v>
      </c>
      <c r="B1054" t="s">
        <v>3290</v>
      </c>
      <c r="C1054" s="1">
        <f t="shared" si="179"/>
        <v>45536</v>
      </c>
      <c r="D1054" t="s">
        <v>3291</v>
      </c>
      <c r="E1054">
        <v>277.3</v>
      </c>
      <c r="F1054">
        <v>11.6</v>
      </c>
      <c r="G1054" t="s">
        <v>142</v>
      </c>
      <c r="H1054" t="s">
        <v>319</v>
      </c>
      <c r="I1054" t="s">
        <v>32</v>
      </c>
      <c r="J1054">
        <v>240</v>
      </c>
      <c r="K1054" t="s">
        <v>33</v>
      </c>
      <c r="L1054" t="s">
        <v>70</v>
      </c>
      <c r="M1054" t="s">
        <v>35</v>
      </c>
      <c r="N1054" t="s">
        <v>89</v>
      </c>
      <c r="O1054" t="s">
        <v>7232</v>
      </c>
      <c r="P1054" t="s">
        <v>38</v>
      </c>
      <c r="Q1054" t="s">
        <v>38</v>
      </c>
      <c r="R1054">
        <v>1</v>
      </c>
      <c r="S1054" t="s">
        <v>38</v>
      </c>
      <c r="T1054">
        <v>6</v>
      </c>
      <c r="U1054">
        <v>2.6</v>
      </c>
      <c r="V1054">
        <v>14.8</v>
      </c>
      <c r="W1054" t="s">
        <v>39</v>
      </c>
      <c r="X1054" t="s">
        <v>63</v>
      </c>
      <c r="Y1054" t="s">
        <v>39</v>
      </c>
      <c r="Z1054" t="s">
        <v>73</v>
      </c>
      <c r="AA1054" t="s">
        <v>42</v>
      </c>
      <c r="AB1054" t="s">
        <v>83</v>
      </c>
      <c r="AC1054">
        <f t="shared" si="176"/>
        <v>0</v>
      </c>
      <c r="AD1054" s="12">
        <f t="shared" si="180"/>
        <v>1</v>
      </c>
      <c r="AE1054" s="12">
        <f t="shared" si="181"/>
        <v>0</v>
      </c>
      <c r="AF1054">
        <f t="shared" si="177"/>
        <v>0</v>
      </c>
      <c r="AG1054">
        <f t="shared" si="182"/>
        <v>1</v>
      </c>
      <c r="AH1054">
        <f t="shared" si="183"/>
        <v>0</v>
      </c>
      <c r="AI1054">
        <f t="shared" si="184"/>
        <v>0</v>
      </c>
      <c r="AJ1054">
        <f t="shared" si="185"/>
        <v>1</v>
      </c>
      <c r="AK1054">
        <f t="shared" si="178"/>
        <v>0</v>
      </c>
      <c r="AL1054">
        <f t="shared" si="186"/>
        <v>0</v>
      </c>
    </row>
    <row r="1055" spans="1:38">
      <c r="A1055" t="s">
        <v>3292</v>
      </c>
      <c r="B1055" t="s">
        <v>3293</v>
      </c>
      <c r="C1055" s="1">
        <f t="shared" si="179"/>
        <v>45566</v>
      </c>
      <c r="D1055" t="s">
        <v>3294</v>
      </c>
      <c r="E1055">
        <v>298.89999999999998</v>
      </c>
      <c r="F1055">
        <v>12.5</v>
      </c>
      <c r="G1055" t="s">
        <v>142</v>
      </c>
      <c r="H1055" t="s">
        <v>319</v>
      </c>
      <c r="I1055" t="s">
        <v>79</v>
      </c>
      <c r="J1055">
        <v>360</v>
      </c>
      <c r="K1055" t="s">
        <v>49</v>
      </c>
      <c r="L1055" t="s">
        <v>96</v>
      </c>
      <c r="M1055" t="s">
        <v>35</v>
      </c>
      <c r="N1055" t="s">
        <v>202</v>
      </c>
      <c r="O1055" t="s">
        <v>51</v>
      </c>
      <c r="P1055" t="s">
        <v>38</v>
      </c>
      <c r="Q1055" t="s">
        <v>38</v>
      </c>
      <c r="R1055">
        <v>1</v>
      </c>
      <c r="S1055" t="s">
        <v>38</v>
      </c>
      <c r="T1055">
        <v>10</v>
      </c>
      <c r="U1055">
        <v>2.1</v>
      </c>
      <c r="V1055">
        <v>27.4</v>
      </c>
      <c r="W1055" t="s">
        <v>39</v>
      </c>
      <c r="X1055" t="s">
        <v>63</v>
      </c>
      <c r="Y1055" t="s">
        <v>39</v>
      </c>
      <c r="Z1055" t="s">
        <v>41</v>
      </c>
      <c r="AA1055" t="s">
        <v>109</v>
      </c>
      <c r="AB1055" t="s">
        <v>83</v>
      </c>
      <c r="AC1055">
        <f t="shared" si="176"/>
        <v>0</v>
      </c>
      <c r="AD1055" s="12">
        <f t="shared" si="180"/>
        <v>1</v>
      </c>
      <c r="AE1055" s="12">
        <f t="shared" si="181"/>
        <v>0</v>
      </c>
      <c r="AF1055">
        <f t="shared" si="177"/>
        <v>1</v>
      </c>
      <c r="AG1055">
        <f t="shared" si="182"/>
        <v>0</v>
      </c>
      <c r="AH1055">
        <f t="shared" si="183"/>
        <v>0</v>
      </c>
      <c r="AI1055">
        <f t="shared" si="184"/>
        <v>0</v>
      </c>
      <c r="AJ1055">
        <f t="shared" si="185"/>
        <v>0</v>
      </c>
      <c r="AK1055">
        <f t="shared" si="178"/>
        <v>0</v>
      </c>
      <c r="AL1055">
        <f t="shared" si="186"/>
        <v>0</v>
      </c>
    </row>
    <row r="1056" spans="1:38">
      <c r="A1056" t="s">
        <v>3295</v>
      </c>
      <c r="B1056" t="s">
        <v>3296</v>
      </c>
      <c r="C1056" s="1">
        <f t="shared" si="179"/>
        <v>45505</v>
      </c>
      <c r="D1056" t="s">
        <v>3297</v>
      </c>
      <c r="E1056">
        <v>81.7</v>
      </c>
      <c r="F1056">
        <v>3.4</v>
      </c>
      <c r="G1056" t="s">
        <v>87</v>
      </c>
      <c r="H1056" t="s">
        <v>183</v>
      </c>
      <c r="I1056" t="s">
        <v>48</v>
      </c>
      <c r="J1056">
        <v>120</v>
      </c>
      <c r="K1056" t="s">
        <v>49</v>
      </c>
      <c r="L1056" t="s">
        <v>96</v>
      </c>
      <c r="M1056" t="s">
        <v>71</v>
      </c>
      <c r="N1056" t="s">
        <v>128</v>
      </c>
      <c r="O1056" t="s">
        <v>7232</v>
      </c>
      <c r="P1056" t="s">
        <v>38</v>
      </c>
      <c r="Q1056" t="s">
        <v>39</v>
      </c>
      <c r="R1056">
        <v>1</v>
      </c>
      <c r="S1056" t="s">
        <v>38</v>
      </c>
      <c r="T1056">
        <v>8</v>
      </c>
      <c r="U1056">
        <v>2.2999999999999998</v>
      </c>
      <c r="V1056">
        <v>10.9</v>
      </c>
      <c r="W1056" t="s">
        <v>39</v>
      </c>
      <c r="X1056" t="s">
        <v>123</v>
      </c>
      <c r="Y1056" t="s">
        <v>39</v>
      </c>
      <c r="Z1056" t="s">
        <v>73</v>
      </c>
      <c r="AA1056" t="s">
        <v>103</v>
      </c>
      <c r="AB1056" t="s">
        <v>55</v>
      </c>
      <c r="AC1056">
        <f t="shared" si="176"/>
        <v>0</v>
      </c>
      <c r="AD1056" s="12">
        <f t="shared" si="180"/>
        <v>0</v>
      </c>
      <c r="AE1056" s="12">
        <f t="shared" si="181"/>
        <v>1</v>
      </c>
      <c r="AF1056">
        <f t="shared" si="177"/>
        <v>0</v>
      </c>
      <c r="AG1056">
        <f t="shared" si="182"/>
        <v>1</v>
      </c>
      <c r="AH1056">
        <f t="shared" si="183"/>
        <v>1</v>
      </c>
      <c r="AI1056">
        <f t="shared" si="184"/>
        <v>0</v>
      </c>
      <c r="AJ1056">
        <f t="shared" si="185"/>
        <v>0</v>
      </c>
      <c r="AK1056">
        <f t="shared" si="178"/>
        <v>0</v>
      </c>
      <c r="AL1056">
        <f t="shared" si="186"/>
        <v>0</v>
      </c>
    </row>
    <row r="1057" spans="1:38">
      <c r="A1057" t="s">
        <v>3298</v>
      </c>
      <c r="B1057" t="s">
        <v>3299</v>
      </c>
      <c r="C1057" s="1">
        <f t="shared" si="179"/>
        <v>45536</v>
      </c>
      <c r="D1057" t="s">
        <v>3300</v>
      </c>
      <c r="E1057">
        <v>468.1</v>
      </c>
      <c r="F1057">
        <v>19.5</v>
      </c>
      <c r="G1057" t="s">
        <v>142</v>
      </c>
      <c r="H1057" t="s">
        <v>143</v>
      </c>
      <c r="I1057" t="s">
        <v>32</v>
      </c>
      <c r="J1057">
        <v>240</v>
      </c>
      <c r="K1057" t="s">
        <v>33</v>
      </c>
      <c r="L1057" t="s">
        <v>34</v>
      </c>
      <c r="M1057" t="s">
        <v>35</v>
      </c>
      <c r="N1057" t="s">
        <v>119</v>
      </c>
      <c r="O1057" t="s">
        <v>51</v>
      </c>
      <c r="P1057" t="s">
        <v>39</v>
      </c>
      <c r="Q1057" t="s">
        <v>38</v>
      </c>
      <c r="R1057">
        <v>0</v>
      </c>
      <c r="S1057" t="s">
        <v>38</v>
      </c>
      <c r="T1057">
        <v>5</v>
      </c>
      <c r="U1057">
        <v>1.7</v>
      </c>
      <c r="V1057">
        <v>9.3000000000000007</v>
      </c>
      <c r="W1057" t="s">
        <v>39</v>
      </c>
      <c r="X1057" t="s">
        <v>123</v>
      </c>
      <c r="Y1057" t="s">
        <v>39</v>
      </c>
      <c r="Z1057" t="s">
        <v>115</v>
      </c>
      <c r="AA1057" t="s">
        <v>103</v>
      </c>
      <c r="AB1057" t="s">
        <v>55</v>
      </c>
      <c r="AC1057">
        <f t="shared" si="176"/>
        <v>0</v>
      </c>
      <c r="AD1057" s="12">
        <f t="shared" si="180"/>
        <v>0</v>
      </c>
      <c r="AE1057" s="12">
        <f t="shared" si="181"/>
        <v>1</v>
      </c>
      <c r="AF1057">
        <f t="shared" si="177"/>
        <v>1</v>
      </c>
      <c r="AG1057">
        <f t="shared" si="182"/>
        <v>0</v>
      </c>
      <c r="AH1057">
        <f t="shared" si="183"/>
        <v>0</v>
      </c>
      <c r="AI1057">
        <f t="shared" si="184"/>
        <v>0</v>
      </c>
      <c r="AJ1057">
        <f t="shared" si="185"/>
        <v>1</v>
      </c>
      <c r="AK1057">
        <f t="shared" si="178"/>
        <v>0</v>
      </c>
      <c r="AL1057">
        <f t="shared" si="186"/>
        <v>0</v>
      </c>
    </row>
    <row r="1058" spans="1:38">
      <c r="A1058" t="s">
        <v>3301</v>
      </c>
      <c r="B1058" t="s">
        <v>3302</v>
      </c>
      <c r="C1058" s="1">
        <f t="shared" si="179"/>
        <v>45597</v>
      </c>
      <c r="D1058" t="s">
        <v>3303</v>
      </c>
      <c r="E1058">
        <v>223</v>
      </c>
      <c r="F1058">
        <v>9.3000000000000007</v>
      </c>
      <c r="G1058" t="s">
        <v>59</v>
      </c>
      <c r="H1058" t="s">
        <v>281</v>
      </c>
      <c r="I1058" t="s">
        <v>32</v>
      </c>
      <c r="J1058">
        <v>240</v>
      </c>
      <c r="K1058" t="s">
        <v>49</v>
      </c>
      <c r="L1058" t="s">
        <v>34</v>
      </c>
      <c r="M1058" t="s">
        <v>71</v>
      </c>
      <c r="N1058" t="s">
        <v>128</v>
      </c>
      <c r="O1058" t="s">
        <v>37</v>
      </c>
      <c r="P1058" t="s">
        <v>38</v>
      </c>
      <c r="Q1058" t="s">
        <v>39</v>
      </c>
      <c r="R1058">
        <v>4</v>
      </c>
      <c r="S1058" t="s">
        <v>39</v>
      </c>
      <c r="T1058">
        <v>9</v>
      </c>
      <c r="U1058">
        <v>2.9</v>
      </c>
      <c r="V1058">
        <v>19.2</v>
      </c>
      <c r="W1058" t="s">
        <v>39</v>
      </c>
      <c r="X1058" t="s">
        <v>63</v>
      </c>
      <c r="Y1058" t="s">
        <v>38</v>
      </c>
      <c r="Z1058" t="s">
        <v>73</v>
      </c>
      <c r="AA1058" t="s">
        <v>54</v>
      </c>
      <c r="AB1058" t="s">
        <v>83</v>
      </c>
      <c r="AC1058">
        <f t="shared" si="176"/>
        <v>0</v>
      </c>
      <c r="AD1058" s="12">
        <f t="shared" si="180"/>
        <v>1</v>
      </c>
      <c r="AE1058" s="12">
        <f t="shared" si="181"/>
        <v>0</v>
      </c>
      <c r="AF1058">
        <f t="shared" si="177"/>
        <v>0</v>
      </c>
      <c r="AG1058">
        <f t="shared" si="182"/>
        <v>0</v>
      </c>
      <c r="AH1058">
        <f t="shared" si="183"/>
        <v>0</v>
      </c>
      <c r="AI1058">
        <f t="shared" si="184"/>
        <v>0</v>
      </c>
      <c r="AJ1058">
        <f t="shared" si="185"/>
        <v>1</v>
      </c>
      <c r="AK1058">
        <f t="shared" si="178"/>
        <v>0</v>
      </c>
      <c r="AL1058">
        <f t="shared" si="186"/>
        <v>1</v>
      </c>
    </row>
    <row r="1059" spans="1:38">
      <c r="A1059" t="s">
        <v>3304</v>
      </c>
      <c r="B1059" t="s">
        <v>3305</v>
      </c>
      <c r="C1059" s="1">
        <f t="shared" si="179"/>
        <v>45413</v>
      </c>
      <c r="D1059" t="s">
        <v>3306</v>
      </c>
      <c r="E1059">
        <v>259.89999999999998</v>
      </c>
      <c r="F1059">
        <v>10.8</v>
      </c>
      <c r="G1059" t="s">
        <v>77</v>
      </c>
      <c r="H1059" t="s">
        <v>78</v>
      </c>
      <c r="I1059" t="s">
        <v>79</v>
      </c>
      <c r="J1059">
        <v>360</v>
      </c>
      <c r="K1059" t="s">
        <v>49</v>
      </c>
      <c r="L1059" t="s">
        <v>96</v>
      </c>
      <c r="M1059" t="s">
        <v>35</v>
      </c>
      <c r="N1059" t="s">
        <v>89</v>
      </c>
      <c r="O1059" t="s">
        <v>37</v>
      </c>
      <c r="P1059" t="s">
        <v>39</v>
      </c>
      <c r="Q1059" t="s">
        <v>38</v>
      </c>
      <c r="R1059">
        <v>0</v>
      </c>
      <c r="S1059" t="s">
        <v>38</v>
      </c>
      <c r="T1059">
        <v>10</v>
      </c>
      <c r="U1059">
        <v>2.4</v>
      </c>
      <c r="V1059">
        <v>6.1</v>
      </c>
      <c r="W1059" t="s">
        <v>39</v>
      </c>
      <c r="X1059" t="s">
        <v>123</v>
      </c>
      <c r="Y1059" t="s">
        <v>38</v>
      </c>
      <c r="Z1059" t="s">
        <v>73</v>
      </c>
      <c r="AA1059" t="s">
        <v>42</v>
      </c>
      <c r="AB1059" t="s">
        <v>83</v>
      </c>
      <c r="AC1059">
        <f t="shared" si="176"/>
        <v>0</v>
      </c>
      <c r="AD1059" s="12">
        <f t="shared" si="180"/>
        <v>0</v>
      </c>
      <c r="AE1059" s="12">
        <f t="shared" si="181"/>
        <v>1</v>
      </c>
      <c r="AF1059">
        <f t="shared" si="177"/>
        <v>0</v>
      </c>
      <c r="AG1059">
        <f t="shared" si="182"/>
        <v>0</v>
      </c>
      <c r="AH1059">
        <f t="shared" si="183"/>
        <v>0</v>
      </c>
      <c r="AI1059">
        <f t="shared" si="184"/>
        <v>0</v>
      </c>
      <c r="AJ1059">
        <f t="shared" si="185"/>
        <v>0</v>
      </c>
      <c r="AK1059">
        <f t="shared" si="178"/>
        <v>0</v>
      </c>
      <c r="AL1059">
        <f t="shared" si="186"/>
        <v>1</v>
      </c>
    </row>
    <row r="1060" spans="1:38">
      <c r="A1060" t="s">
        <v>3307</v>
      </c>
      <c r="B1060" t="s">
        <v>3308</v>
      </c>
      <c r="C1060" s="1">
        <f t="shared" si="179"/>
        <v>45444</v>
      </c>
      <c r="D1060" t="s">
        <v>3309</v>
      </c>
      <c r="E1060">
        <v>168.2</v>
      </c>
      <c r="F1060">
        <v>7</v>
      </c>
      <c r="G1060" t="s">
        <v>87</v>
      </c>
      <c r="H1060" t="s">
        <v>151</v>
      </c>
      <c r="I1060" t="s">
        <v>32</v>
      </c>
      <c r="J1060">
        <v>240</v>
      </c>
      <c r="K1060" t="s">
        <v>49</v>
      </c>
      <c r="L1060" t="s">
        <v>96</v>
      </c>
      <c r="M1060" t="s">
        <v>35</v>
      </c>
      <c r="N1060" t="s">
        <v>188</v>
      </c>
      <c r="O1060" t="s">
        <v>7232</v>
      </c>
      <c r="P1060" t="s">
        <v>38</v>
      </c>
      <c r="Q1060" t="s">
        <v>38</v>
      </c>
      <c r="R1060">
        <v>1</v>
      </c>
      <c r="S1060" t="s">
        <v>38</v>
      </c>
      <c r="T1060">
        <v>8</v>
      </c>
      <c r="U1060">
        <v>2.5</v>
      </c>
      <c r="V1060">
        <v>36.1</v>
      </c>
      <c r="W1060" t="s">
        <v>39</v>
      </c>
      <c r="X1060" t="s">
        <v>63</v>
      </c>
      <c r="Y1060" t="s">
        <v>39</v>
      </c>
      <c r="Z1060" t="s">
        <v>53</v>
      </c>
      <c r="AA1060" t="s">
        <v>103</v>
      </c>
      <c r="AB1060" t="s">
        <v>43</v>
      </c>
      <c r="AC1060">
        <f t="shared" si="176"/>
        <v>0</v>
      </c>
      <c r="AD1060" s="12">
        <f t="shared" si="180"/>
        <v>1</v>
      </c>
      <c r="AE1060" s="12">
        <f t="shared" si="181"/>
        <v>0</v>
      </c>
      <c r="AF1060">
        <f t="shared" si="177"/>
        <v>0</v>
      </c>
      <c r="AG1060">
        <f t="shared" si="182"/>
        <v>1</v>
      </c>
      <c r="AH1060">
        <f t="shared" si="183"/>
        <v>0</v>
      </c>
      <c r="AI1060">
        <f t="shared" si="184"/>
        <v>0</v>
      </c>
      <c r="AJ1060">
        <f t="shared" si="185"/>
        <v>1</v>
      </c>
      <c r="AK1060">
        <f t="shared" si="178"/>
        <v>0</v>
      </c>
      <c r="AL1060">
        <f t="shared" si="186"/>
        <v>0</v>
      </c>
    </row>
    <row r="1061" spans="1:38">
      <c r="A1061" t="s">
        <v>3310</v>
      </c>
      <c r="B1061" t="s">
        <v>3311</v>
      </c>
      <c r="C1061" s="1">
        <f t="shared" si="179"/>
        <v>45292</v>
      </c>
      <c r="D1061" t="s">
        <v>3312</v>
      </c>
      <c r="E1061">
        <v>157</v>
      </c>
      <c r="F1061">
        <v>6.5</v>
      </c>
      <c r="G1061" t="s">
        <v>142</v>
      </c>
      <c r="H1061" t="s">
        <v>319</v>
      </c>
      <c r="I1061" t="s">
        <v>32</v>
      </c>
      <c r="J1061">
        <v>240</v>
      </c>
      <c r="K1061" t="s">
        <v>49</v>
      </c>
      <c r="L1061" t="s">
        <v>34</v>
      </c>
      <c r="M1061" t="s">
        <v>71</v>
      </c>
      <c r="N1061" t="s">
        <v>61</v>
      </c>
      <c r="O1061" t="s">
        <v>51</v>
      </c>
      <c r="P1061" t="s">
        <v>38</v>
      </c>
      <c r="Q1061" t="s">
        <v>39</v>
      </c>
      <c r="R1061">
        <v>1</v>
      </c>
      <c r="S1061" t="s">
        <v>38</v>
      </c>
      <c r="T1061">
        <v>7</v>
      </c>
      <c r="U1061">
        <v>2.6</v>
      </c>
      <c r="V1061">
        <v>4.3</v>
      </c>
      <c r="W1061" t="s">
        <v>39</v>
      </c>
      <c r="X1061" t="s">
        <v>63</v>
      </c>
      <c r="Y1061" t="s">
        <v>39</v>
      </c>
      <c r="Z1061" t="s">
        <v>41</v>
      </c>
      <c r="AA1061" t="s">
        <v>42</v>
      </c>
      <c r="AB1061" t="s">
        <v>83</v>
      </c>
      <c r="AC1061">
        <f t="shared" si="176"/>
        <v>0</v>
      </c>
      <c r="AD1061" s="12">
        <f t="shared" si="180"/>
        <v>1</v>
      </c>
      <c r="AE1061" s="12">
        <f t="shared" si="181"/>
        <v>0</v>
      </c>
      <c r="AF1061">
        <f t="shared" si="177"/>
        <v>1</v>
      </c>
      <c r="AG1061">
        <f t="shared" si="182"/>
        <v>0</v>
      </c>
      <c r="AH1061">
        <f t="shared" si="183"/>
        <v>0</v>
      </c>
      <c r="AI1061">
        <f t="shared" si="184"/>
        <v>0</v>
      </c>
      <c r="AJ1061">
        <f t="shared" si="185"/>
        <v>1</v>
      </c>
      <c r="AK1061">
        <f t="shared" si="178"/>
        <v>0</v>
      </c>
      <c r="AL1061">
        <f t="shared" si="186"/>
        <v>0</v>
      </c>
    </row>
    <row r="1062" spans="1:38">
      <c r="A1062" t="s">
        <v>3313</v>
      </c>
      <c r="B1062" t="s">
        <v>3314</v>
      </c>
      <c r="C1062" s="1">
        <f t="shared" si="179"/>
        <v>45323</v>
      </c>
      <c r="D1062" t="s">
        <v>3315</v>
      </c>
      <c r="E1062">
        <v>71.900000000000006</v>
      </c>
      <c r="F1062">
        <v>3</v>
      </c>
      <c r="G1062" t="s">
        <v>142</v>
      </c>
      <c r="H1062" t="s">
        <v>143</v>
      </c>
      <c r="I1062" t="s">
        <v>95</v>
      </c>
      <c r="J1062">
        <v>48</v>
      </c>
      <c r="K1062" t="s">
        <v>33</v>
      </c>
      <c r="L1062" t="s">
        <v>70</v>
      </c>
      <c r="M1062" t="s">
        <v>35</v>
      </c>
      <c r="N1062" t="s">
        <v>97</v>
      </c>
      <c r="O1062" t="s">
        <v>7232</v>
      </c>
      <c r="P1062" t="s">
        <v>38</v>
      </c>
      <c r="Q1062" t="s">
        <v>38</v>
      </c>
      <c r="R1062">
        <v>1</v>
      </c>
      <c r="S1062" t="s">
        <v>38</v>
      </c>
      <c r="T1062">
        <v>3</v>
      </c>
      <c r="U1062">
        <v>2.8</v>
      </c>
      <c r="V1062">
        <v>41.6</v>
      </c>
      <c r="W1062" t="s">
        <v>39</v>
      </c>
      <c r="X1062" t="s">
        <v>52</v>
      </c>
      <c r="Y1062" t="s">
        <v>39</v>
      </c>
      <c r="Z1062" t="s">
        <v>64</v>
      </c>
      <c r="AA1062" t="s">
        <v>82</v>
      </c>
      <c r="AB1062" t="s">
        <v>83</v>
      </c>
      <c r="AC1062">
        <f t="shared" si="176"/>
        <v>1</v>
      </c>
      <c r="AD1062" s="12">
        <f t="shared" si="180"/>
        <v>0</v>
      </c>
      <c r="AE1062" s="12">
        <f t="shared" si="181"/>
        <v>0</v>
      </c>
      <c r="AF1062">
        <f t="shared" si="177"/>
        <v>0</v>
      </c>
      <c r="AG1062">
        <f t="shared" si="182"/>
        <v>1</v>
      </c>
      <c r="AH1062">
        <f t="shared" si="183"/>
        <v>0</v>
      </c>
      <c r="AI1062">
        <f t="shared" si="184"/>
        <v>1</v>
      </c>
      <c r="AJ1062">
        <f t="shared" si="185"/>
        <v>0</v>
      </c>
      <c r="AK1062">
        <f t="shared" si="178"/>
        <v>0</v>
      </c>
      <c r="AL1062">
        <f t="shared" si="186"/>
        <v>0</v>
      </c>
    </row>
    <row r="1063" spans="1:38">
      <c r="A1063" t="s">
        <v>3316</v>
      </c>
      <c r="B1063" t="s">
        <v>3317</v>
      </c>
      <c r="C1063" s="1">
        <f t="shared" si="179"/>
        <v>45474</v>
      </c>
      <c r="D1063" t="s">
        <v>3318</v>
      </c>
      <c r="E1063">
        <v>146.4</v>
      </c>
      <c r="F1063">
        <v>6.1</v>
      </c>
      <c r="G1063" t="s">
        <v>87</v>
      </c>
      <c r="H1063" t="s">
        <v>183</v>
      </c>
      <c r="I1063" t="s">
        <v>32</v>
      </c>
      <c r="J1063">
        <v>240</v>
      </c>
      <c r="K1063" t="s">
        <v>49</v>
      </c>
      <c r="L1063" t="s">
        <v>70</v>
      </c>
      <c r="M1063" t="s">
        <v>35</v>
      </c>
      <c r="N1063" t="s">
        <v>89</v>
      </c>
      <c r="O1063" t="s">
        <v>37</v>
      </c>
      <c r="P1063" t="s">
        <v>38</v>
      </c>
      <c r="Q1063" t="s">
        <v>38</v>
      </c>
      <c r="R1063">
        <v>1</v>
      </c>
      <c r="S1063" t="s">
        <v>38</v>
      </c>
      <c r="T1063">
        <v>7</v>
      </c>
      <c r="U1063">
        <v>2.5</v>
      </c>
      <c r="V1063">
        <v>42.2</v>
      </c>
      <c r="W1063" t="s">
        <v>39</v>
      </c>
      <c r="X1063" t="s">
        <v>123</v>
      </c>
      <c r="Y1063" t="s">
        <v>39</v>
      </c>
      <c r="Z1063" t="s">
        <v>64</v>
      </c>
      <c r="AA1063" t="s">
        <v>103</v>
      </c>
      <c r="AB1063" t="s">
        <v>55</v>
      </c>
      <c r="AC1063">
        <f t="shared" si="176"/>
        <v>0</v>
      </c>
      <c r="AD1063" s="12">
        <f t="shared" si="180"/>
        <v>0</v>
      </c>
      <c r="AE1063" s="12">
        <f t="shared" si="181"/>
        <v>1</v>
      </c>
      <c r="AF1063">
        <f t="shared" si="177"/>
        <v>0</v>
      </c>
      <c r="AG1063">
        <f t="shared" si="182"/>
        <v>0</v>
      </c>
      <c r="AH1063">
        <f t="shared" si="183"/>
        <v>0</v>
      </c>
      <c r="AI1063">
        <f t="shared" si="184"/>
        <v>0</v>
      </c>
      <c r="AJ1063">
        <f t="shared" si="185"/>
        <v>1</v>
      </c>
      <c r="AK1063">
        <f t="shared" si="178"/>
        <v>0</v>
      </c>
      <c r="AL1063">
        <f t="shared" si="186"/>
        <v>0</v>
      </c>
    </row>
    <row r="1064" spans="1:38">
      <c r="A1064" t="s">
        <v>3319</v>
      </c>
      <c r="B1064" t="s">
        <v>3320</v>
      </c>
      <c r="C1064" s="1">
        <f t="shared" si="179"/>
        <v>45352</v>
      </c>
      <c r="D1064" t="s">
        <v>3321</v>
      </c>
      <c r="E1064">
        <v>504.4</v>
      </c>
      <c r="F1064">
        <v>21</v>
      </c>
      <c r="G1064" t="s">
        <v>142</v>
      </c>
      <c r="H1064" t="s">
        <v>319</v>
      </c>
      <c r="I1064" t="s">
        <v>79</v>
      </c>
      <c r="J1064">
        <v>360</v>
      </c>
      <c r="K1064" t="s">
        <v>33</v>
      </c>
      <c r="L1064" t="s">
        <v>96</v>
      </c>
      <c r="M1064" t="s">
        <v>35</v>
      </c>
      <c r="N1064" t="s">
        <v>299</v>
      </c>
      <c r="O1064" t="s">
        <v>37</v>
      </c>
      <c r="P1064" t="s">
        <v>38</v>
      </c>
      <c r="Q1064" t="s">
        <v>38</v>
      </c>
      <c r="R1064">
        <v>1</v>
      </c>
      <c r="S1064" t="s">
        <v>38</v>
      </c>
      <c r="T1064">
        <v>3</v>
      </c>
      <c r="U1064">
        <v>2.8</v>
      </c>
      <c r="V1064">
        <v>14</v>
      </c>
      <c r="W1064" t="s">
        <v>39</v>
      </c>
      <c r="X1064" t="s">
        <v>123</v>
      </c>
      <c r="Y1064" t="s">
        <v>39</v>
      </c>
      <c r="Z1064" t="s">
        <v>64</v>
      </c>
      <c r="AA1064" t="s">
        <v>103</v>
      </c>
      <c r="AB1064" t="s">
        <v>83</v>
      </c>
      <c r="AC1064">
        <f t="shared" si="176"/>
        <v>0</v>
      </c>
      <c r="AD1064" s="12">
        <f t="shared" si="180"/>
        <v>0</v>
      </c>
      <c r="AE1064" s="12">
        <f t="shared" si="181"/>
        <v>1</v>
      </c>
      <c r="AF1064">
        <f t="shared" si="177"/>
        <v>0</v>
      </c>
      <c r="AG1064">
        <f t="shared" si="182"/>
        <v>0</v>
      </c>
      <c r="AH1064">
        <f t="shared" si="183"/>
        <v>0</v>
      </c>
      <c r="AI1064">
        <f t="shared" si="184"/>
        <v>0</v>
      </c>
      <c r="AJ1064">
        <f t="shared" si="185"/>
        <v>0</v>
      </c>
      <c r="AK1064">
        <f t="shared" si="178"/>
        <v>0</v>
      </c>
      <c r="AL1064">
        <f t="shared" si="186"/>
        <v>0</v>
      </c>
    </row>
    <row r="1065" spans="1:38">
      <c r="A1065" t="s">
        <v>3322</v>
      </c>
      <c r="B1065" t="s">
        <v>3323</v>
      </c>
      <c r="C1065" s="1">
        <f t="shared" si="179"/>
        <v>45505</v>
      </c>
      <c r="D1065" t="s">
        <v>3324</v>
      </c>
      <c r="E1065">
        <v>212.7</v>
      </c>
      <c r="F1065">
        <v>8.9</v>
      </c>
      <c r="G1065" t="s">
        <v>77</v>
      </c>
      <c r="H1065" t="s">
        <v>267</v>
      </c>
      <c r="I1065" t="s">
        <v>32</v>
      </c>
      <c r="J1065">
        <v>240</v>
      </c>
      <c r="K1065" t="s">
        <v>49</v>
      </c>
      <c r="L1065" t="s">
        <v>96</v>
      </c>
      <c r="M1065" t="s">
        <v>35</v>
      </c>
      <c r="N1065" t="s">
        <v>164</v>
      </c>
      <c r="O1065" t="s">
        <v>51</v>
      </c>
      <c r="P1065" t="s">
        <v>38</v>
      </c>
      <c r="Q1065" t="s">
        <v>38</v>
      </c>
      <c r="R1065">
        <v>1</v>
      </c>
      <c r="S1065" t="s">
        <v>38</v>
      </c>
      <c r="T1065">
        <v>10</v>
      </c>
      <c r="U1065">
        <v>1.8</v>
      </c>
      <c r="V1065">
        <v>44.3</v>
      </c>
      <c r="W1065" t="s">
        <v>39</v>
      </c>
      <c r="X1065" t="s">
        <v>123</v>
      </c>
      <c r="Y1065" t="s">
        <v>39</v>
      </c>
      <c r="Z1065" t="s">
        <v>81</v>
      </c>
      <c r="AA1065" t="s">
        <v>54</v>
      </c>
      <c r="AB1065" t="s">
        <v>55</v>
      </c>
      <c r="AC1065">
        <f t="shared" si="176"/>
        <v>0</v>
      </c>
      <c r="AD1065" s="12">
        <f t="shared" si="180"/>
        <v>0</v>
      </c>
      <c r="AE1065" s="12">
        <f t="shared" si="181"/>
        <v>1</v>
      </c>
      <c r="AF1065">
        <f t="shared" si="177"/>
        <v>1</v>
      </c>
      <c r="AG1065">
        <f t="shared" si="182"/>
        <v>0</v>
      </c>
      <c r="AH1065">
        <f t="shared" si="183"/>
        <v>0</v>
      </c>
      <c r="AI1065">
        <f t="shared" si="184"/>
        <v>0</v>
      </c>
      <c r="AJ1065">
        <f t="shared" si="185"/>
        <v>1</v>
      </c>
      <c r="AK1065">
        <f t="shared" si="178"/>
        <v>0</v>
      </c>
      <c r="AL1065">
        <f t="shared" si="186"/>
        <v>0</v>
      </c>
    </row>
    <row r="1066" spans="1:38">
      <c r="A1066" t="s">
        <v>3325</v>
      </c>
      <c r="B1066" t="s">
        <v>3326</v>
      </c>
      <c r="C1066" s="1">
        <f t="shared" si="179"/>
        <v>45413</v>
      </c>
      <c r="D1066" t="s">
        <v>3327</v>
      </c>
      <c r="E1066">
        <v>92.6</v>
      </c>
      <c r="F1066">
        <v>3.9</v>
      </c>
      <c r="G1066" t="s">
        <v>68</v>
      </c>
      <c r="H1066" t="s">
        <v>219</v>
      </c>
      <c r="I1066" t="s">
        <v>48</v>
      </c>
      <c r="J1066">
        <v>120</v>
      </c>
      <c r="K1066" t="s">
        <v>49</v>
      </c>
      <c r="L1066" t="s">
        <v>96</v>
      </c>
      <c r="M1066" t="s">
        <v>35</v>
      </c>
      <c r="N1066" t="s">
        <v>155</v>
      </c>
      <c r="O1066" t="s">
        <v>51</v>
      </c>
      <c r="P1066" t="s">
        <v>38</v>
      </c>
      <c r="Q1066" t="s">
        <v>38</v>
      </c>
      <c r="R1066">
        <v>1</v>
      </c>
      <c r="S1066" t="s">
        <v>38</v>
      </c>
      <c r="T1066">
        <v>9</v>
      </c>
      <c r="U1066">
        <v>2.1</v>
      </c>
      <c r="V1066">
        <v>24.5</v>
      </c>
      <c r="W1066" t="s">
        <v>39</v>
      </c>
      <c r="X1066" t="s">
        <v>63</v>
      </c>
      <c r="Y1066" t="s">
        <v>38</v>
      </c>
      <c r="Z1066" t="s">
        <v>73</v>
      </c>
      <c r="AA1066" t="s">
        <v>103</v>
      </c>
      <c r="AB1066" t="s">
        <v>55</v>
      </c>
      <c r="AC1066">
        <f t="shared" si="176"/>
        <v>0</v>
      </c>
      <c r="AD1066" s="12">
        <f t="shared" si="180"/>
        <v>1</v>
      </c>
      <c r="AE1066" s="12">
        <f t="shared" si="181"/>
        <v>0</v>
      </c>
      <c r="AF1066">
        <f t="shared" si="177"/>
        <v>1</v>
      </c>
      <c r="AG1066">
        <f t="shared" si="182"/>
        <v>0</v>
      </c>
      <c r="AH1066">
        <f t="shared" si="183"/>
        <v>1</v>
      </c>
      <c r="AI1066">
        <f t="shared" si="184"/>
        <v>0</v>
      </c>
      <c r="AJ1066">
        <f t="shared" si="185"/>
        <v>0</v>
      </c>
      <c r="AK1066">
        <f t="shared" si="178"/>
        <v>0</v>
      </c>
      <c r="AL1066">
        <f t="shared" si="186"/>
        <v>1</v>
      </c>
    </row>
    <row r="1067" spans="1:38">
      <c r="A1067" t="s">
        <v>3328</v>
      </c>
      <c r="B1067" t="s">
        <v>3329</v>
      </c>
      <c r="C1067" s="1">
        <f t="shared" si="179"/>
        <v>45536</v>
      </c>
      <c r="D1067" t="s">
        <v>3330</v>
      </c>
      <c r="E1067">
        <v>188.3</v>
      </c>
      <c r="F1067">
        <v>7.8</v>
      </c>
      <c r="G1067" t="s">
        <v>142</v>
      </c>
      <c r="H1067" t="s">
        <v>319</v>
      </c>
      <c r="I1067" t="s">
        <v>32</v>
      </c>
      <c r="J1067">
        <v>240</v>
      </c>
      <c r="K1067" t="s">
        <v>49</v>
      </c>
      <c r="L1067" t="s">
        <v>96</v>
      </c>
      <c r="M1067" t="s">
        <v>35</v>
      </c>
      <c r="N1067" t="s">
        <v>506</v>
      </c>
      <c r="O1067" t="s">
        <v>37</v>
      </c>
      <c r="P1067" t="s">
        <v>38</v>
      </c>
      <c r="Q1067" t="s">
        <v>38</v>
      </c>
      <c r="R1067">
        <v>1</v>
      </c>
      <c r="S1067" t="s">
        <v>38</v>
      </c>
      <c r="T1067">
        <v>7</v>
      </c>
      <c r="U1067">
        <v>3.6</v>
      </c>
      <c r="V1067">
        <v>16.100000000000001</v>
      </c>
      <c r="W1067" t="s">
        <v>39</v>
      </c>
      <c r="X1067" t="s">
        <v>123</v>
      </c>
      <c r="Y1067" t="s">
        <v>39</v>
      </c>
      <c r="Z1067" t="s">
        <v>179</v>
      </c>
      <c r="AA1067" t="s">
        <v>109</v>
      </c>
      <c r="AB1067" t="s">
        <v>43</v>
      </c>
      <c r="AC1067">
        <f t="shared" si="176"/>
        <v>0</v>
      </c>
      <c r="AD1067" s="12">
        <f t="shared" si="180"/>
        <v>0</v>
      </c>
      <c r="AE1067" s="12">
        <f t="shared" si="181"/>
        <v>1</v>
      </c>
      <c r="AF1067">
        <f t="shared" si="177"/>
        <v>0</v>
      </c>
      <c r="AG1067">
        <f t="shared" si="182"/>
        <v>0</v>
      </c>
      <c r="AH1067">
        <f t="shared" si="183"/>
        <v>0</v>
      </c>
      <c r="AI1067">
        <f t="shared" si="184"/>
        <v>0</v>
      </c>
      <c r="AJ1067">
        <f t="shared" si="185"/>
        <v>1</v>
      </c>
      <c r="AK1067">
        <f t="shared" si="178"/>
        <v>0</v>
      </c>
      <c r="AL1067">
        <f t="shared" si="186"/>
        <v>0</v>
      </c>
    </row>
    <row r="1068" spans="1:38">
      <c r="A1068" t="s">
        <v>3331</v>
      </c>
      <c r="B1068" t="s">
        <v>3332</v>
      </c>
      <c r="C1068" s="1">
        <f t="shared" si="179"/>
        <v>45292</v>
      </c>
      <c r="D1068" t="s">
        <v>3333</v>
      </c>
      <c r="E1068">
        <v>154.69999999999999</v>
      </c>
      <c r="F1068">
        <v>6.4</v>
      </c>
      <c r="G1068" t="s">
        <v>87</v>
      </c>
      <c r="H1068" t="s">
        <v>309</v>
      </c>
      <c r="I1068" t="s">
        <v>48</v>
      </c>
      <c r="J1068">
        <v>120</v>
      </c>
      <c r="K1068" t="s">
        <v>33</v>
      </c>
      <c r="L1068" t="s">
        <v>70</v>
      </c>
      <c r="M1068" t="s">
        <v>71</v>
      </c>
      <c r="N1068" t="s">
        <v>155</v>
      </c>
      <c r="O1068" t="s">
        <v>7232</v>
      </c>
      <c r="P1068" t="s">
        <v>38</v>
      </c>
      <c r="Q1068" t="s">
        <v>39</v>
      </c>
      <c r="R1068">
        <v>3</v>
      </c>
      <c r="S1068" t="s">
        <v>39</v>
      </c>
      <c r="T1068">
        <v>6</v>
      </c>
      <c r="U1068">
        <v>1.5</v>
      </c>
      <c r="V1068">
        <v>2.9</v>
      </c>
      <c r="W1068" t="s">
        <v>39</v>
      </c>
      <c r="X1068" t="s">
        <v>63</v>
      </c>
      <c r="Y1068" t="s">
        <v>38</v>
      </c>
      <c r="Z1068" t="s">
        <v>53</v>
      </c>
      <c r="AA1068" t="s">
        <v>42</v>
      </c>
      <c r="AB1068" t="s">
        <v>83</v>
      </c>
      <c r="AC1068">
        <f t="shared" si="176"/>
        <v>0</v>
      </c>
      <c r="AD1068" s="12">
        <f t="shared" si="180"/>
        <v>1</v>
      </c>
      <c r="AE1068" s="12">
        <f t="shared" si="181"/>
        <v>0</v>
      </c>
      <c r="AF1068">
        <f t="shared" si="177"/>
        <v>0</v>
      </c>
      <c r="AG1068">
        <f t="shared" si="182"/>
        <v>1</v>
      </c>
      <c r="AH1068">
        <f t="shared" si="183"/>
        <v>1</v>
      </c>
      <c r="AI1068">
        <f t="shared" si="184"/>
        <v>0</v>
      </c>
      <c r="AJ1068">
        <f t="shared" si="185"/>
        <v>0</v>
      </c>
      <c r="AK1068">
        <f t="shared" si="178"/>
        <v>0</v>
      </c>
      <c r="AL1068">
        <f t="shared" si="186"/>
        <v>1</v>
      </c>
    </row>
    <row r="1069" spans="1:38">
      <c r="A1069" t="s">
        <v>3334</v>
      </c>
      <c r="B1069" t="s">
        <v>3335</v>
      </c>
      <c r="C1069" s="1">
        <f t="shared" si="179"/>
        <v>45505</v>
      </c>
      <c r="D1069" t="s">
        <v>3336</v>
      </c>
      <c r="E1069">
        <v>198.1</v>
      </c>
      <c r="F1069">
        <v>8.3000000000000007</v>
      </c>
      <c r="G1069" t="s">
        <v>68</v>
      </c>
      <c r="H1069" t="s">
        <v>212</v>
      </c>
      <c r="I1069" t="s">
        <v>32</v>
      </c>
      <c r="J1069">
        <v>240</v>
      </c>
      <c r="K1069" t="s">
        <v>49</v>
      </c>
      <c r="L1069" t="s">
        <v>34</v>
      </c>
      <c r="M1069" t="s">
        <v>71</v>
      </c>
      <c r="N1069" t="s">
        <v>97</v>
      </c>
      <c r="O1069" t="s">
        <v>37</v>
      </c>
      <c r="P1069" t="s">
        <v>38</v>
      </c>
      <c r="Q1069" t="s">
        <v>39</v>
      </c>
      <c r="R1069">
        <v>4</v>
      </c>
      <c r="S1069" t="s">
        <v>38</v>
      </c>
      <c r="T1069">
        <v>10</v>
      </c>
      <c r="U1069">
        <v>3.8</v>
      </c>
      <c r="V1069">
        <v>9.6999999999999993</v>
      </c>
      <c r="W1069" t="s">
        <v>39</v>
      </c>
      <c r="X1069" t="s">
        <v>63</v>
      </c>
      <c r="Y1069" t="s">
        <v>38</v>
      </c>
      <c r="Z1069" t="s">
        <v>41</v>
      </c>
      <c r="AA1069" t="s">
        <v>82</v>
      </c>
      <c r="AB1069" t="s">
        <v>55</v>
      </c>
      <c r="AC1069">
        <f t="shared" si="176"/>
        <v>0</v>
      </c>
      <c r="AD1069" s="12">
        <f t="shared" si="180"/>
        <v>1</v>
      </c>
      <c r="AE1069" s="12">
        <f t="shared" si="181"/>
        <v>0</v>
      </c>
      <c r="AF1069">
        <f t="shared" si="177"/>
        <v>0</v>
      </c>
      <c r="AG1069">
        <f t="shared" si="182"/>
        <v>0</v>
      </c>
      <c r="AH1069">
        <f t="shared" si="183"/>
        <v>0</v>
      </c>
      <c r="AI1069">
        <f t="shared" si="184"/>
        <v>0</v>
      </c>
      <c r="AJ1069">
        <f t="shared" si="185"/>
        <v>1</v>
      </c>
      <c r="AK1069">
        <f t="shared" si="178"/>
        <v>0</v>
      </c>
      <c r="AL1069">
        <f t="shared" si="186"/>
        <v>1</v>
      </c>
    </row>
    <row r="1070" spans="1:38">
      <c r="A1070" t="s">
        <v>3337</v>
      </c>
      <c r="B1070" t="s">
        <v>3338</v>
      </c>
      <c r="C1070" s="1">
        <f t="shared" si="179"/>
        <v>45597</v>
      </c>
      <c r="D1070" t="s">
        <v>3339</v>
      </c>
      <c r="E1070">
        <v>106</v>
      </c>
      <c r="F1070">
        <v>4.4000000000000004</v>
      </c>
      <c r="G1070" t="s">
        <v>30</v>
      </c>
      <c r="H1070" t="s">
        <v>172</v>
      </c>
      <c r="I1070" t="s">
        <v>48</v>
      </c>
      <c r="J1070">
        <v>120</v>
      </c>
      <c r="K1070" t="s">
        <v>49</v>
      </c>
      <c r="L1070" t="s">
        <v>133</v>
      </c>
      <c r="M1070" t="s">
        <v>35</v>
      </c>
      <c r="N1070" t="s">
        <v>72</v>
      </c>
      <c r="O1070" t="s">
        <v>7232</v>
      </c>
      <c r="P1070" t="s">
        <v>38</v>
      </c>
      <c r="Q1070" t="s">
        <v>38</v>
      </c>
      <c r="R1070">
        <v>1</v>
      </c>
      <c r="S1070" t="s">
        <v>38</v>
      </c>
      <c r="T1070">
        <v>8</v>
      </c>
      <c r="U1070">
        <v>1.4</v>
      </c>
      <c r="V1070">
        <v>39.5</v>
      </c>
      <c r="W1070" t="s">
        <v>39</v>
      </c>
      <c r="X1070" t="s">
        <v>63</v>
      </c>
      <c r="Y1070" t="s">
        <v>38</v>
      </c>
      <c r="Z1070" t="s">
        <v>73</v>
      </c>
      <c r="AA1070" t="s">
        <v>42</v>
      </c>
      <c r="AB1070" t="s">
        <v>55</v>
      </c>
      <c r="AC1070">
        <f t="shared" si="176"/>
        <v>0</v>
      </c>
      <c r="AD1070" s="12">
        <f t="shared" si="180"/>
        <v>1</v>
      </c>
      <c r="AE1070" s="12">
        <f t="shared" si="181"/>
        <v>0</v>
      </c>
      <c r="AF1070">
        <f t="shared" si="177"/>
        <v>0</v>
      </c>
      <c r="AG1070">
        <f t="shared" si="182"/>
        <v>1</v>
      </c>
      <c r="AH1070">
        <f t="shared" si="183"/>
        <v>1</v>
      </c>
      <c r="AI1070">
        <f t="shared" si="184"/>
        <v>0</v>
      </c>
      <c r="AJ1070">
        <f t="shared" si="185"/>
        <v>0</v>
      </c>
      <c r="AK1070">
        <f t="shared" si="178"/>
        <v>1</v>
      </c>
      <c r="AL1070">
        <f t="shared" si="186"/>
        <v>1</v>
      </c>
    </row>
    <row r="1071" spans="1:38">
      <c r="A1071" t="s">
        <v>3340</v>
      </c>
      <c r="B1071" t="s">
        <v>3341</v>
      </c>
      <c r="C1071" s="1">
        <f t="shared" si="179"/>
        <v>45444</v>
      </c>
      <c r="D1071" t="s">
        <v>3342</v>
      </c>
      <c r="E1071">
        <v>182.4</v>
      </c>
      <c r="F1071">
        <v>7.6</v>
      </c>
      <c r="G1071" t="s">
        <v>142</v>
      </c>
      <c r="H1071" t="s">
        <v>729</v>
      </c>
      <c r="I1071" t="s">
        <v>32</v>
      </c>
      <c r="J1071">
        <v>240</v>
      </c>
      <c r="K1071" t="s">
        <v>49</v>
      </c>
      <c r="L1071" t="s">
        <v>34</v>
      </c>
      <c r="M1071" t="s">
        <v>71</v>
      </c>
      <c r="N1071" t="s">
        <v>188</v>
      </c>
      <c r="O1071" t="s">
        <v>37</v>
      </c>
      <c r="P1071" t="s">
        <v>38</v>
      </c>
      <c r="Q1071" t="s">
        <v>39</v>
      </c>
      <c r="R1071">
        <v>4</v>
      </c>
      <c r="S1071" t="s">
        <v>39</v>
      </c>
      <c r="T1071">
        <v>9</v>
      </c>
      <c r="U1071">
        <v>3.6</v>
      </c>
      <c r="V1071">
        <v>5.5</v>
      </c>
      <c r="W1071" t="s">
        <v>38</v>
      </c>
      <c r="X1071" t="s">
        <v>40</v>
      </c>
      <c r="Y1071" t="s">
        <v>39</v>
      </c>
      <c r="Z1071" t="s">
        <v>108</v>
      </c>
      <c r="AA1071" t="s">
        <v>103</v>
      </c>
      <c r="AB1071" t="s">
        <v>83</v>
      </c>
      <c r="AC1071">
        <f t="shared" si="176"/>
        <v>0</v>
      </c>
      <c r="AD1071" s="12">
        <f t="shared" si="180"/>
        <v>0</v>
      </c>
      <c r="AE1071" s="12">
        <f t="shared" si="181"/>
        <v>0</v>
      </c>
      <c r="AF1071">
        <f t="shared" si="177"/>
        <v>0</v>
      </c>
      <c r="AG1071">
        <f t="shared" si="182"/>
        <v>0</v>
      </c>
      <c r="AH1071">
        <f t="shared" si="183"/>
        <v>0</v>
      </c>
      <c r="AI1071">
        <f t="shared" si="184"/>
        <v>0</v>
      </c>
      <c r="AJ1071">
        <f t="shared" si="185"/>
        <v>1</v>
      </c>
      <c r="AK1071">
        <f t="shared" si="178"/>
        <v>0</v>
      </c>
      <c r="AL1071">
        <f t="shared" si="186"/>
        <v>0</v>
      </c>
    </row>
    <row r="1072" spans="1:38">
      <c r="A1072" t="s">
        <v>3343</v>
      </c>
      <c r="B1072" t="s">
        <v>3344</v>
      </c>
      <c r="C1072" s="1">
        <f t="shared" si="179"/>
        <v>45444</v>
      </c>
      <c r="D1072" t="s">
        <v>3345</v>
      </c>
      <c r="E1072">
        <v>89.4</v>
      </c>
      <c r="F1072">
        <v>3.7</v>
      </c>
      <c r="G1072" t="s">
        <v>101</v>
      </c>
      <c r="H1072" t="s">
        <v>102</v>
      </c>
      <c r="I1072" t="s">
        <v>48</v>
      </c>
      <c r="J1072">
        <v>120</v>
      </c>
      <c r="K1072" t="s">
        <v>49</v>
      </c>
      <c r="L1072" t="s">
        <v>70</v>
      </c>
      <c r="M1072" t="s">
        <v>35</v>
      </c>
      <c r="N1072" t="s">
        <v>299</v>
      </c>
      <c r="O1072" t="s">
        <v>7232</v>
      </c>
      <c r="P1072" t="s">
        <v>38</v>
      </c>
      <c r="Q1072" t="s">
        <v>38</v>
      </c>
      <c r="R1072">
        <v>1</v>
      </c>
      <c r="S1072" t="s">
        <v>38</v>
      </c>
      <c r="T1072">
        <v>8</v>
      </c>
      <c r="U1072">
        <v>5.6</v>
      </c>
      <c r="V1072">
        <v>27.6</v>
      </c>
      <c r="W1072" t="s">
        <v>38</v>
      </c>
      <c r="X1072" t="s">
        <v>40</v>
      </c>
      <c r="Y1072" t="s">
        <v>38</v>
      </c>
      <c r="Z1072" t="s">
        <v>41</v>
      </c>
      <c r="AA1072" t="s">
        <v>109</v>
      </c>
      <c r="AB1072" t="s">
        <v>43</v>
      </c>
      <c r="AC1072">
        <f t="shared" si="176"/>
        <v>0</v>
      </c>
      <c r="AD1072" s="12">
        <f t="shared" si="180"/>
        <v>0</v>
      </c>
      <c r="AE1072" s="12">
        <f t="shared" si="181"/>
        <v>0</v>
      </c>
      <c r="AF1072">
        <f t="shared" si="177"/>
        <v>0</v>
      </c>
      <c r="AG1072">
        <f t="shared" si="182"/>
        <v>1</v>
      </c>
      <c r="AH1072">
        <f t="shared" si="183"/>
        <v>1</v>
      </c>
      <c r="AI1072">
        <f t="shared" si="184"/>
        <v>0</v>
      </c>
      <c r="AJ1072">
        <f t="shared" si="185"/>
        <v>0</v>
      </c>
      <c r="AK1072">
        <f t="shared" si="178"/>
        <v>0</v>
      </c>
      <c r="AL1072">
        <f t="shared" si="186"/>
        <v>1</v>
      </c>
    </row>
    <row r="1073" spans="1:38">
      <c r="A1073" t="s">
        <v>3346</v>
      </c>
      <c r="B1073" t="s">
        <v>3347</v>
      </c>
      <c r="C1073" s="1">
        <f t="shared" si="179"/>
        <v>45627</v>
      </c>
      <c r="D1073" t="s">
        <v>3348</v>
      </c>
      <c r="E1073">
        <v>179.9</v>
      </c>
      <c r="F1073">
        <v>7.5</v>
      </c>
      <c r="G1073" t="s">
        <v>68</v>
      </c>
      <c r="H1073" t="s">
        <v>219</v>
      </c>
      <c r="I1073" t="s">
        <v>48</v>
      </c>
      <c r="J1073">
        <v>120</v>
      </c>
      <c r="K1073" t="s">
        <v>33</v>
      </c>
      <c r="L1073" t="s">
        <v>70</v>
      </c>
      <c r="M1073" t="s">
        <v>35</v>
      </c>
      <c r="N1073" t="s">
        <v>119</v>
      </c>
      <c r="O1073" t="s">
        <v>37</v>
      </c>
      <c r="P1073" t="s">
        <v>38</v>
      </c>
      <c r="Q1073" t="s">
        <v>38</v>
      </c>
      <c r="R1073">
        <v>1</v>
      </c>
      <c r="S1073" t="s">
        <v>39</v>
      </c>
      <c r="T1073">
        <v>7</v>
      </c>
      <c r="U1073">
        <v>1.5</v>
      </c>
      <c r="V1073">
        <v>14.7</v>
      </c>
      <c r="W1073" t="s">
        <v>39</v>
      </c>
      <c r="X1073" t="s">
        <v>52</v>
      </c>
      <c r="Y1073" t="s">
        <v>38</v>
      </c>
      <c r="Z1073" t="s">
        <v>73</v>
      </c>
      <c r="AA1073" t="s">
        <v>42</v>
      </c>
      <c r="AB1073" t="s">
        <v>43</v>
      </c>
      <c r="AC1073">
        <f t="shared" si="176"/>
        <v>1</v>
      </c>
      <c r="AD1073" s="12">
        <f t="shared" si="180"/>
        <v>0</v>
      </c>
      <c r="AE1073" s="12">
        <f t="shared" si="181"/>
        <v>0</v>
      </c>
      <c r="AF1073">
        <f t="shared" si="177"/>
        <v>0</v>
      </c>
      <c r="AG1073">
        <f t="shared" si="182"/>
        <v>0</v>
      </c>
      <c r="AH1073">
        <f t="shared" si="183"/>
        <v>1</v>
      </c>
      <c r="AI1073">
        <f t="shared" si="184"/>
        <v>0</v>
      </c>
      <c r="AJ1073">
        <f t="shared" si="185"/>
        <v>0</v>
      </c>
      <c r="AK1073">
        <f t="shared" si="178"/>
        <v>0</v>
      </c>
      <c r="AL1073">
        <f t="shared" si="186"/>
        <v>1</v>
      </c>
    </row>
    <row r="1074" spans="1:38">
      <c r="A1074" t="s">
        <v>3349</v>
      </c>
      <c r="B1074" t="s">
        <v>3350</v>
      </c>
      <c r="C1074" s="1">
        <f t="shared" si="179"/>
        <v>45413</v>
      </c>
      <c r="D1074" t="s">
        <v>3351</v>
      </c>
      <c r="E1074">
        <v>335.1</v>
      </c>
      <c r="F1074">
        <v>14</v>
      </c>
      <c r="G1074" t="s">
        <v>87</v>
      </c>
      <c r="H1074" t="s">
        <v>88</v>
      </c>
      <c r="I1074" t="s">
        <v>79</v>
      </c>
      <c r="J1074">
        <v>360</v>
      </c>
      <c r="K1074" t="s">
        <v>49</v>
      </c>
      <c r="L1074" t="s">
        <v>70</v>
      </c>
      <c r="M1074" t="s">
        <v>35</v>
      </c>
      <c r="N1074" t="s">
        <v>134</v>
      </c>
      <c r="O1074" t="s">
        <v>7232</v>
      </c>
      <c r="P1074" t="s">
        <v>38</v>
      </c>
      <c r="Q1074" t="s">
        <v>38</v>
      </c>
      <c r="R1074">
        <v>1</v>
      </c>
      <c r="S1074" t="s">
        <v>38</v>
      </c>
      <c r="T1074">
        <v>9</v>
      </c>
      <c r="U1074">
        <v>1.4</v>
      </c>
      <c r="V1074">
        <v>28.3</v>
      </c>
      <c r="W1074" t="s">
        <v>38</v>
      </c>
      <c r="X1074" t="s">
        <v>63</v>
      </c>
      <c r="Y1074" t="s">
        <v>39</v>
      </c>
      <c r="Z1074" t="s">
        <v>108</v>
      </c>
      <c r="AA1074" t="s">
        <v>42</v>
      </c>
      <c r="AB1074" t="s">
        <v>55</v>
      </c>
      <c r="AC1074">
        <f t="shared" si="176"/>
        <v>0</v>
      </c>
      <c r="AD1074" s="12">
        <f t="shared" si="180"/>
        <v>1</v>
      </c>
      <c r="AE1074" s="12">
        <f t="shared" si="181"/>
        <v>0</v>
      </c>
      <c r="AF1074">
        <f t="shared" si="177"/>
        <v>0</v>
      </c>
      <c r="AG1074">
        <f t="shared" si="182"/>
        <v>1</v>
      </c>
      <c r="AH1074">
        <f t="shared" si="183"/>
        <v>0</v>
      </c>
      <c r="AI1074">
        <f t="shared" si="184"/>
        <v>0</v>
      </c>
      <c r="AJ1074">
        <f t="shared" si="185"/>
        <v>0</v>
      </c>
      <c r="AK1074">
        <f t="shared" si="178"/>
        <v>0</v>
      </c>
      <c r="AL1074">
        <f t="shared" si="186"/>
        <v>0</v>
      </c>
    </row>
    <row r="1075" spans="1:38">
      <c r="A1075" t="s">
        <v>3352</v>
      </c>
      <c r="B1075" t="s">
        <v>3353</v>
      </c>
      <c r="C1075" s="1">
        <f t="shared" si="179"/>
        <v>45292</v>
      </c>
      <c r="D1075" t="s">
        <v>3354</v>
      </c>
      <c r="E1075">
        <v>312.3</v>
      </c>
      <c r="F1075">
        <v>13</v>
      </c>
      <c r="G1075" t="s">
        <v>59</v>
      </c>
      <c r="H1075" t="s">
        <v>227</v>
      </c>
      <c r="I1075" t="s">
        <v>79</v>
      </c>
      <c r="J1075">
        <v>360</v>
      </c>
      <c r="K1075" t="s">
        <v>49</v>
      </c>
      <c r="L1075" t="s">
        <v>133</v>
      </c>
      <c r="M1075" t="s">
        <v>71</v>
      </c>
      <c r="N1075" t="s">
        <v>89</v>
      </c>
      <c r="O1075" t="s">
        <v>51</v>
      </c>
      <c r="P1075" t="s">
        <v>38</v>
      </c>
      <c r="Q1075" t="s">
        <v>39</v>
      </c>
      <c r="R1075">
        <v>3</v>
      </c>
      <c r="S1075" t="s">
        <v>38</v>
      </c>
      <c r="T1075">
        <v>9</v>
      </c>
      <c r="U1075">
        <v>5</v>
      </c>
      <c r="V1075">
        <v>25.7</v>
      </c>
      <c r="W1075" t="s">
        <v>39</v>
      </c>
      <c r="X1075" t="s">
        <v>123</v>
      </c>
      <c r="Y1075" t="s">
        <v>38</v>
      </c>
      <c r="Z1075" t="s">
        <v>81</v>
      </c>
      <c r="AA1075" t="s">
        <v>82</v>
      </c>
      <c r="AB1075" t="s">
        <v>55</v>
      </c>
      <c r="AC1075">
        <f t="shared" si="176"/>
        <v>0</v>
      </c>
      <c r="AD1075" s="12">
        <f t="shared" si="180"/>
        <v>0</v>
      </c>
      <c r="AE1075" s="12">
        <f t="shared" si="181"/>
        <v>1</v>
      </c>
      <c r="AF1075">
        <f t="shared" si="177"/>
        <v>1</v>
      </c>
      <c r="AG1075">
        <f t="shared" si="182"/>
        <v>0</v>
      </c>
      <c r="AH1075">
        <f t="shared" si="183"/>
        <v>0</v>
      </c>
      <c r="AI1075">
        <f t="shared" si="184"/>
        <v>0</v>
      </c>
      <c r="AJ1075">
        <f t="shared" si="185"/>
        <v>0</v>
      </c>
      <c r="AK1075">
        <f t="shared" si="178"/>
        <v>0</v>
      </c>
      <c r="AL1075">
        <f t="shared" si="186"/>
        <v>1</v>
      </c>
    </row>
    <row r="1076" spans="1:38">
      <c r="A1076" t="s">
        <v>3355</v>
      </c>
      <c r="B1076" t="s">
        <v>3356</v>
      </c>
      <c r="C1076" s="1">
        <f t="shared" si="179"/>
        <v>45536</v>
      </c>
      <c r="D1076" t="s">
        <v>3357</v>
      </c>
      <c r="E1076">
        <v>267.10000000000002</v>
      </c>
      <c r="F1076">
        <v>11.1</v>
      </c>
      <c r="G1076" t="s">
        <v>77</v>
      </c>
      <c r="H1076" t="s">
        <v>78</v>
      </c>
      <c r="I1076" t="s">
        <v>79</v>
      </c>
      <c r="J1076">
        <v>360</v>
      </c>
      <c r="K1076" t="s">
        <v>49</v>
      </c>
      <c r="L1076" t="s">
        <v>133</v>
      </c>
      <c r="M1076" t="s">
        <v>35</v>
      </c>
      <c r="N1076" t="s">
        <v>119</v>
      </c>
      <c r="O1076" t="s">
        <v>7232</v>
      </c>
      <c r="P1076" t="s">
        <v>39</v>
      </c>
      <c r="Q1076" t="s">
        <v>38</v>
      </c>
      <c r="R1076">
        <v>0</v>
      </c>
      <c r="S1076" t="s">
        <v>38</v>
      </c>
      <c r="T1076">
        <v>10</v>
      </c>
      <c r="U1076">
        <v>2.2999999999999998</v>
      </c>
      <c r="V1076">
        <v>26.2</v>
      </c>
      <c r="W1076" t="s">
        <v>39</v>
      </c>
      <c r="X1076" t="s">
        <v>40</v>
      </c>
      <c r="Y1076" t="s">
        <v>38</v>
      </c>
      <c r="Z1076" t="s">
        <v>81</v>
      </c>
      <c r="AA1076" t="s">
        <v>82</v>
      </c>
      <c r="AB1076" t="s">
        <v>83</v>
      </c>
      <c r="AC1076">
        <f t="shared" si="176"/>
        <v>0</v>
      </c>
      <c r="AD1076" s="12">
        <f t="shared" si="180"/>
        <v>0</v>
      </c>
      <c r="AE1076" s="12">
        <f t="shared" si="181"/>
        <v>0</v>
      </c>
      <c r="AF1076">
        <f t="shared" si="177"/>
        <v>0</v>
      </c>
      <c r="AG1076">
        <f t="shared" si="182"/>
        <v>1</v>
      </c>
      <c r="AH1076">
        <f t="shared" si="183"/>
        <v>0</v>
      </c>
      <c r="AI1076">
        <f t="shared" si="184"/>
        <v>0</v>
      </c>
      <c r="AJ1076">
        <f t="shared" si="185"/>
        <v>0</v>
      </c>
      <c r="AK1076">
        <f t="shared" si="178"/>
        <v>0</v>
      </c>
      <c r="AL1076">
        <f t="shared" si="186"/>
        <v>1</v>
      </c>
    </row>
    <row r="1077" spans="1:38">
      <c r="A1077" t="s">
        <v>3358</v>
      </c>
      <c r="B1077" t="s">
        <v>3359</v>
      </c>
      <c r="C1077" s="1">
        <f t="shared" si="179"/>
        <v>45413</v>
      </c>
      <c r="D1077" t="s">
        <v>3360</v>
      </c>
      <c r="E1077">
        <v>104.3</v>
      </c>
      <c r="F1077">
        <v>4.3</v>
      </c>
      <c r="G1077" t="s">
        <v>59</v>
      </c>
      <c r="H1077" t="s">
        <v>281</v>
      </c>
      <c r="I1077" t="s">
        <v>48</v>
      </c>
      <c r="J1077">
        <v>120</v>
      </c>
      <c r="K1077" t="s">
        <v>49</v>
      </c>
      <c r="L1077" t="s">
        <v>133</v>
      </c>
      <c r="M1077" t="s">
        <v>35</v>
      </c>
      <c r="N1077" t="s">
        <v>506</v>
      </c>
      <c r="O1077" t="s">
        <v>7232</v>
      </c>
      <c r="P1077" t="s">
        <v>38</v>
      </c>
      <c r="Q1077" t="s">
        <v>38</v>
      </c>
      <c r="R1077">
        <v>1</v>
      </c>
      <c r="S1077" t="s">
        <v>38</v>
      </c>
      <c r="T1077">
        <v>6</v>
      </c>
      <c r="U1077">
        <v>2.5</v>
      </c>
      <c r="V1077">
        <v>13.7</v>
      </c>
      <c r="W1077" t="s">
        <v>38</v>
      </c>
      <c r="X1077" t="s">
        <v>63</v>
      </c>
      <c r="Y1077" t="s">
        <v>39</v>
      </c>
      <c r="Z1077" t="s">
        <v>73</v>
      </c>
      <c r="AA1077" t="s">
        <v>103</v>
      </c>
      <c r="AB1077" t="s">
        <v>43</v>
      </c>
      <c r="AC1077">
        <f t="shared" si="176"/>
        <v>0</v>
      </c>
      <c r="AD1077" s="12">
        <f t="shared" si="180"/>
        <v>1</v>
      </c>
      <c r="AE1077" s="12">
        <f t="shared" si="181"/>
        <v>0</v>
      </c>
      <c r="AF1077">
        <f t="shared" si="177"/>
        <v>0</v>
      </c>
      <c r="AG1077">
        <f t="shared" si="182"/>
        <v>1</v>
      </c>
      <c r="AH1077">
        <f t="shared" si="183"/>
        <v>1</v>
      </c>
      <c r="AI1077">
        <f t="shared" si="184"/>
        <v>0</v>
      </c>
      <c r="AJ1077">
        <f t="shared" si="185"/>
        <v>0</v>
      </c>
      <c r="AK1077">
        <f t="shared" si="178"/>
        <v>0</v>
      </c>
      <c r="AL1077">
        <f t="shared" si="186"/>
        <v>0</v>
      </c>
    </row>
    <row r="1078" spans="1:38">
      <c r="A1078" t="s">
        <v>3361</v>
      </c>
      <c r="B1078" t="s">
        <v>3362</v>
      </c>
      <c r="C1078" s="1">
        <f t="shared" si="179"/>
        <v>45474</v>
      </c>
      <c r="D1078" t="s">
        <v>3363</v>
      </c>
      <c r="E1078">
        <v>313.5</v>
      </c>
      <c r="F1078">
        <v>13.1</v>
      </c>
      <c r="G1078" t="s">
        <v>77</v>
      </c>
      <c r="H1078" t="s">
        <v>78</v>
      </c>
      <c r="I1078" t="s">
        <v>79</v>
      </c>
      <c r="J1078">
        <v>360</v>
      </c>
      <c r="K1078" t="s">
        <v>49</v>
      </c>
      <c r="L1078" t="s">
        <v>96</v>
      </c>
      <c r="M1078" t="s">
        <v>35</v>
      </c>
      <c r="N1078" t="s">
        <v>36</v>
      </c>
      <c r="O1078" t="s">
        <v>51</v>
      </c>
      <c r="P1078" t="s">
        <v>39</v>
      </c>
      <c r="Q1078" t="s">
        <v>38</v>
      </c>
      <c r="R1078">
        <v>0</v>
      </c>
      <c r="S1078" t="s">
        <v>38</v>
      </c>
      <c r="T1078">
        <v>7</v>
      </c>
      <c r="U1078">
        <v>5.0999999999999996</v>
      </c>
      <c r="V1078">
        <v>15.2</v>
      </c>
      <c r="W1078" t="s">
        <v>39</v>
      </c>
      <c r="X1078" t="s">
        <v>52</v>
      </c>
      <c r="Y1078" t="s">
        <v>39</v>
      </c>
      <c r="Z1078" t="s">
        <v>64</v>
      </c>
      <c r="AA1078" t="s">
        <v>42</v>
      </c>
      <c r="AB1078" t="s">
        <v>55</v>
      </c>
      <c r="AC1078">
        <f t="shared" si="176"/>
        <v>1</v>
      </c>
      <c r="AD1078" s="12">
        <f t="shared" si="180"/>
        <v>0</v>
      </c>
      <c r="AE1078" s="12">
        <f t="shared" si="181"/>
        <v>0</v>
      </c>
      <c r="AF1078">
        <f t="shared" si="177"/>
        <v>1</v>
      </c>
      <c r="AG1078">
        <f t="shared" si="182"/>
        <v>0</v>
      </c>
      <c r="AH1078">
        <f t="shared" si="183"/>
        <v>0</v>
      </c>
      <c r="AI1078">
        <f t="shared" si="184"/>
        <v>0</v>
      </c>
      <c r="AJ1078">
        <f t="shared" si="185"/>
        <v>0</v>
      </c>
      <c r="AK1078">
        <f t="shared" si="178"/>
        <v>0</v>
      </c>
      <c r="AL1078">
        <f t="shared" si="186"/>
        <v>0</v>
      </c>
    </row>
    <row r="1079" spans="1:38">
      <c r="A1079" t="s">
        <v>3364</v>
      </c>
      <c r="B1079" t="s">
        <v>3365</v>
      </c>
      <c r="C1079" s="1">
        <f t="shared" si="179"/>
        <v>45505</v>
      </c>
      <c r="D1079" t="s">
        <v>3366</v>
      </c>
      <c r="E1079">
        <v>199.1</v>
      </c>
      <c r="F1079">
        <v>8.3000000000000007</v>
      </c>
      <c r="G1079" t="s">
        <v>142</v>
      </c>
      <c r="H1079" t="s">
        <v>260</v>
      </c>
      <c r="I1079" t="s">
        <v>32</v>
      </c>
      <c r="J1079">
        <v>240</v>
      </c>
      <c r="K1079" t="s">
        <v>49</v>
      </c>
      <c r="L1079" t="s">
        <v>96</v>
      </c>
      <c r="M1079" t="s">
        <v>71</v>
      </c>
      <c r="N1079" t="s">
        <v>155</v>
      </c>
      <c r="O1079" t="s">
        <v>51</v>
      </c>
      <c r="P1079" t="s">
        <v>38</v>
      </c>
      <c r="Q1079" t="s">
        <v>39</v>
      </c>
      <c r="R1079">
        <v>4</v>
      </c>
      <c r="S1079" t="s">
        <v>38</v>
      </c>
      <c r="T1079">
        <v>9</v>
      </c>
      <c r="U1079">
        <v>1</v>
      </c>
      <c r="V1079">
        <v>38.5</v>
      </c>
      <c r="W1079" t="s">
        <v>39</v>
      </c>
      <c r="X1079" t="s">
        <v>52</v>
      </c>
      <c r="Y1079" t="s">
        <v>38</v>
      </c>
      <c r="Z1079" t="s">
        <v>179</v>
      </c>
      <c r="AA1079" t="s">
        <v>54</v>
      </c>
      <c r="AB1079" t="s">
        <v>55</v>
      </c>
      <c r="AC1079">
        <f t="shared" si="176"/>
        <v>1</v>
      </c>
      <c r="AD1079" s="12">
        <f t="shared" si="180"/>
        <v>0</v>
      </c>
      <c r="AE1079" s="12">
        <f t="shared" si="181"/>
        <v>0</v>
      </c>
      <c r="AF1079">
        <f t="shared" si="177"/>
        <v>1</v>
      </c>
      <c r="AG1079">
        <f t="shared" si="182"/>
        <v>0</v>
      </c>
      <c r="AH1079">
        <f t="shared" si="183"/>
        <v>0</v>
      </c>
      <c r="AI1079">
        <f t="shared" si="184"/>
        <v>0</v>
      </c>
      <c r="AJ1079">
        <f t="shared" si="185"/>
        <v>1</v>
      </c>
      <c r="AK1079">
        <f t="shared" si="178"/>
        <v>0</v>
      </c>
      <c r="AL1079">
        <f t="shared" si="186"/>
        <v>1</v>
      </c>
    </row>
    <row r="1080" spans="1:38">
      <c r="A1080" t="s">
        <v>3367</v>
      </c>
      <c r="B1080" t="s">
        <v>3368</v>
      </c>
      <c r="C1080" s="1">
        <f t="shared" si="179"/>
        <v>45597</v>
      </c>
      <c r="D1080" t="s">
        <v>3369</v>
      </c>
      <c r="E1080">
        <v>203.6</v>
      </c>
      <c r="F1080">
        <v>8.5</v>
      </c>
      <c r="G1080" t="s">
        <v>142</v>
      </c>
      <c r="H1080" t="s">
        <v>240</v>
      </c>
      <c r="I1080" t="s">
        <v>32</v>
      </c>
      <c r="J1080">
        <v>240</v>
      </c>
      <c r="K1080" t="s">
        <v>49</v>
      </c>
      <c r="L1080" t="s">
        <v>113</v>
      </c>
      <c r="M1080" t="s">
        <v>35</v>
      </c>
      <c r="N1080" t="s">
        <v>72</v>
      </c>
      <c r="O1080" t="s">
        <v>51</v>
      </c>
      <c r="P1080" t="s">
        <v>38</v>
      </c>
      <c r="Q1080" t="s">
        <v>38</v>
      </c>
      <c r="R1080">
        <v>1</v>
      </c>
      <c r="S1080" t="s">
        <v>38</v>
      </c>
      <c r="T1080">
        <v>9</v>
      </c>
      <c r="U1080">
        <v>4.0999999999999996</v>
      </c>
      <c r="V1080">
        <v>14.3</v>
      </c>
      <c r="W1080" t="s">
        <v>39</v>
      </c>
      <c r="X1080" t="s">
        <v>123</v>
      </c>
      <c r="Y1080" t="s">
        <v>39</v>
      </c>
      <c r="Z1080" t="s">
        <v>179</v>
      </c>
      <c r="AA1080" t="s">
        <v>42</v>
      </c>
      <c r="AB1080" t="s">
        <v>83</v>
      </c>
      <c r="AC1080">
        <f t="shared" si="176"/>
        <v>0</v>
      </c>
      <c r="AD1080" s="12">
        <f t="shared" si="180"/>
        <v>0</v>
      </c>
      <c r="AE1080" s="12">
        <f t="shared" si="181"/>
        <v>1</v>
      </c>
      <c r="AF1080">
        <f t="shared" si="177"/>
        <v>1</v>
      </c>
      <c r="AG1080">
        <f t="shared" si="182"/>
        <v>0</v>
      </c>
      <c r="AH1080">
        <f t="shared" si="183"/>
        <v>0</v>
      </c>
      <c r="AI1080">
        <f t="shared" si="184"/>
        <v>0</v>
      </c>
      <c r="AJ1080">
        <f t="shared" si="185"/>
        <v>1</v>
      </c>
      <c r="AK1080">
        <f t="shared" si="178"/>
        <v>0</v>
      </c>
      <c r="AL1080">
        <f t="shared" si="186"/>
        <v>0</v>
      </c>
    </row>
    <row r="1081" spans="1:38">
      <c r="A1081" t="s">
        <v>3370</v>
      </c>
      <c r="B1081" t="s">
        <v>3371</v>
      </c>
      <c r="C1081" s="1">
        <f t="shared" si="179"/>
        <v>45505</v>
      </c>
      <c r="D1081" t="s">
        <v>3372</v>
      </c>
      <c r="E1081">
        <v>234</v>
      </c>
      <c r="F1081">
        <v>9.8000000000000007</v>
      </c>
      <c r="G1081" t="s">
        <v>68</v>
      </c>
      <c r="H1081" t="s">
        <v>219</v>
      </c>
      <c r="I1081" t="s">
        <v>48</v>
      </c>
      <c r="J1081">
        <v>120</v>
      </c>
      <c r="K1081" t="s">
        <v>33</v>
      </c>
      <c r="L1081" t="s">
        <v>34</v>
      </c>
      <c r="M1081" t="s">
        <v>35</v>
      </c>
      <c r="N1081" t="s">
        <v>89</v>
      </c>
      <c r="O1081" t="s">
        <v>37</v>
      </c>
      <c r="P1081" t="s">
        <v>38</v>
      </c>
      <c r="Q1081" t="s">
        <v>38</v>
      </c>
      <c r="R1081">
        <v>1</v>
      </c>
      <c r="S1081" t="s">
        <v>38</v>
      </c>
      <c r="T1081">
        <v>5</v>
      </c>
      <c r="U1081">
        <v>4.5999999999999996</v>
      </c>
      <c r="V1081">
        <v>0</v>
      </c>
      <c r="W1081" t="s">
        <v>39</v>
      </c>
      <c r="X1081" t="s">
        <v>63</v>
      </c>
      <c r="Y1081" t="s">
        <v>39</v>
      </c>
      <c r="Z1081" t="s">
        <v>108</v>
      </c>
      <c r="AA1081" t="s">
        <v>103</v>
      </c>
      <c r="AB1081" t="s">
        <v>55</v>
      </c>
      <c r="AC1081">
        <f t="shared" si="176"/>
        <v>0</v>
      </c>
      <c r="AD1081" s="12">
        <f t="shared" si="180"/>
        <v>1</v>
      </c>
      <c r="AE1081" s="12">
        <f t="shared" si="181"/>
        <v>0</v>
      </c>
      <c r="AF1081">
        <f t="shared" si="177"/>
        <v>0</v>
      </c>
      <c r="AG1081">
        <f t="shared" si="182"/>
        <v>0</v>
      </c>
      <c r="AH1081">
        <f t="shared" si="183"/>
        <v>1</v>
      </c>
      <c r="AI1081">
        <f t="shared" si="184"/>
        <v>0</v>
      </c>
      <c r="AJ1081">
        <f t="shared" si="185"/>
        <v>0</v>
      </c>
      <c r="AK1081">
        <f t="shared" si="178"/>
        <v>0</v>
      </c>
      <c r="AL1081">
        <f t="shared" si="186"/>
        <v>0</v>
      </c>
    </row>
    <row r="1082" spans="1:38">
      <c r="A1082" t="s">
        <v>3373</v>
      </c>
      <c r="B1082" t="s">
        <v>3374</v>
      </c>
      <c r="C1082" s="1">
        <f t="shared" si="179"/>
        <v>45566</v>
      </c>
      <c r="D1082" t="s">
        <v>3375</v>
      </c>
      <c r="E1082">
        <v>100.4</v>
      </c>
      <c r="F1082">
        <v>4.2</v>
      </c>
      <c r="G1082" t="s">
        <v>101</v>
      </c>
      <c r="H1082" t="s">
        <v>295</v>
      </c>
      <c r="I1082" t="s">
        <v>48</v>
      </c>
      <c r="J1082">
        <v>120</v>
      </c>
      <c r="K1082" t="s">
        <v>49</v>
      </c>
      <c r="L1082" t="s">
        <v>34</v>
      </c>
      <c r="M1082" t="s">
        <v>35</v>
      </c>
      <c r="N1082" t="s">
        <v>414</v>
      </c>
      <c r="O1082" t="s">
        <v>37</v>
      </c>
      <c r="P1082" t="s">
        <v>39</v>
      </c>
      <c r="Q1082" t="s">
        <v>38</v>
      </c>
      <c r="R1082">
        <v>0</v>
      </c>
      <c r="S1082" t="s">
        <v>38</v>
      </c>
      <c r="T1082">
        <v>10</v>
      </c>
      <c r="U1082">
        <v>2.8</v>
      </c>
      <c r="V1082">
        <v>10.5</v>
      </c>
      <c r="W1082" t="s">
        <v>39</v>
      </c>
      <c r="X1082" t="s">
        <v>63</v>
      </c>
      <c r="Y1082" t="s">
        <v>38</v>
      </c>
      <c r="Z1082" t="s">
        <v>73</v>
      </c>
      <c r="AA1082" t="s">
        <v>109</v>
      </c>
      <c r="AB1082" t="s">
        <v>55</v>
      </c>
      <c r="AC1082">
        <f t="shared" si="176"/>
        <v>0</v>
      </c>
      <c r="AD1082" s="12">
        <f t="shared" si="180"/>
        <v>1</v>
      </c>
      <c r="AE1082" s="12">
        <f t="shared" si="181"/>
        <v>0</v>
      </c>
      <c r="AF1082">
        <f t="shared" si="177"/>
        <v>0</v>
      </c>
      <c r="AG1082">
        <f t="shared" si="182"/>
        <v>0</v>
      </c>
      <c r="AH1082">
        <f t="shared" si="183"/>
        <v>1</v>
      </c>
      <c r="AI1082">
        <f t="shared" si="184"/>
        <v>0</v>
      </c>
      <c r="AJ1082">
        <f t="shared" si="185"/>
        <v>0</v>
      </c>
      <c r="AK1082">
        <f t="shared" si="178"/>
        <v>0</v>
      </c>
      <c r="AL1082">
        <f t="shared" si="186"/>
        <v>1</v>
      </c>
    </row>
    <row r="1083" spans="1:38">
      <c r="A1083" t="s">
        <v>3376</v>
      </c>
      <c r="B1083" t="s">
        <v>3377</v>
      </c>
      <c r="C1083" s="1">
        <f t="shared" si="179"/>
        <v>45352</v>
      </c>
      <c r="D1083" t="s">
        <v>3378</v>
      </c>
      <c r="E1083">
        <v>183.3</v>
      </c>
      <c r="F1083">
        <v>7.6</v>
      </c>
      <c r="G1083" t="s">
        <v>142</v>
      </c>
      <c r="H1083" t="s">
        <v>260</v>
      </c>
      <c r="I1083" t="s">
        <v>32</v>
      </c>
      <c r="J1083">
        <v>240</v>
      </c>
      <c r="K1083" t="s">
        <v>49</v>
      </c>
      <c r="L1083" t="s">
        <v>70</v>
      </c>
      <c r="M1083" t="s">
        <v>35</v>
      </c>
      <c r="N1083" t="s">
        <v>202</v>
      </c>
      <c r="O1083" t="s">
        <v>7232</v>
      </c>
      <c r="P1083" t="s">
        <v>38</v>
      </c>
      <c r="Q1083" t="s">
        <v>38</v>
      </c>
      <c r="R1083">
        <v>1</v>
      </c>
      <c r="S1083" t="s">
        <v>38</v>
      </c>
      <c r="T1083">
        <v>10</v>
      </c>
      <c r="U1083">
        <v>0.3</v>
      </c>
      <c r="V1083">
        <v>16.899999999999999</v>
      </c>
      <c r="W1083" t="s">
        <v>39</v>
      </c>
      <c r="X1083" t="s">
        <v>123</v>
      </c>
      <c r="Y1083" t="s">
        <v>39</v>
      </c>
      <c r="Z1083" t="s">
        <v>53</v>
      </c>
      <c r="AA1083" t="s">
        <v>42</v>
      </c>
      <c r="AB1083" t="s">
        <v>83</v>
      </c>
      <c r="AC1083">
        <f t="shared" si="176"/>
        <v>0</v>
      </c>
      <c r="AD1083" s="12">
        <f t="shared" si="180"/>
        <v>0</v>
      </c>
      <c r="AE1083" s="12">
        <f t="shared" si="181"/>
        <v>1</v>
      </c>
      <c r="AF1083">
        <f t="shared" si="177"/>
        <v>0</v>
      </c>
      <c r="AG1083">
        <f t="shared" si="182"/>
        <v>1</v>
      </c>
      <c r="AH1083">
        <f t="shared" si="183"/>
        <v>0</v>
      </c>
      <c r="AI1083">
        <f t="shared" si="184"/>
        <v>0</v>
      </c>
      <c r="AJ1083">
        <f t="shared" si="185"/>
        <v>1</v>
      </c>
      <c r="AK1083">
        <f t="shared" si="178"/>
        <v>0</v>
      </c>
      <c r="AL1083">
        <f t="shared" si="186"/>
        <v>0</v>
      </c>
    </row>
    <row r="1084" spans="1:38">
      <c r="A1084" t="s">
        <v>3379</v>
      </c>
      <c r="B1084" t="s">
        <v>3380</v>
      </c>
      <c r="C1084" s="1">
        <f t="shared" si="179"/>
        <v>45352</v>
      </c>
      <c r="D1084" t="s">
        <v>3381</v>
      </c>
      <c r="E1084">
        <v>238.1</v>
      </c>
      <c r="F1084">
        <v>9.9</v>
      </c>
      <c r="G1084" t="s">
        <v>77</v>
      </c>
      <c r="H1084" t="s">
        <v>78</v>
      </c>
      <c r="I1084" t="s">
        <v>79</v>
      </c>
      <c r="J1084">
        <v>360</v>
      </c>
      <c r="K1084" t="s">
        <v>49</v>
      </c>
      <c r="L1084" t="s">
        <v>34</v>
      </c>
      <c r="M1084" t="s">
        <v>35</v>
      </c>
      <c r="N1084" t="s">
        <v>299</v>
      </c>
      <c r="O1084" t="s">
        <v>37</v>
      </c>
      <c r="P1084" t="s">
        <v>38</v>
      </c>
      <c r="Q1084" t="s">
        <v>38</v>
      </c>
      <c r="R1084">
        <v>1</v>
      </c>
      <c r="S1084" t="s">
        <v>39</v>
      </c>
      <c r="T1084">
        <v>7</v>
      </c>
      <c r="U1084">
        <v>0.6</v>
      </c>
      <c r="V1084">
        <v>0</v>
      </c>
      <c r="W1084" t="s">
        <v>39</v>
      </c>
      <c r="X1084" t="s">
        <v>63</v>
      </c>
      <c r="Y1084" t="s">
        <v>38</v>
      </c>
      <c r="Z1084" t="s">
        <v>81</v>
      </c>
      <c r="AA1084" t="s">
        <v>82</v>
      </c>
      <c r="AB1084" t="s">
        <v>83</v>
      </c>
      <c r="AC1084">
        <f t="shared" si="176"/>
        <v>0</v>
      </c>
      <c r="AD1084" s="12">
        <f t="shared" si="180"/>
        <v>1</v>
      </c>
      <c r="AE1084" s="12">
        <f t="shared" si="181"/>
        <v>0</v>
      </c>
      <c r="AF1084">
        <f t="shared" si="177"/>
        <v>0</v>
      </c>
      <c r="AG1084">
        <f t="shared" si="182"/>
        <v>0</v>
      </c>
      <c r="AH1084">
        <f t="shared" si="183"/>
        <v>0</v>
      </c>
      <c r="AI1084">
        <f t="shared" si="184"/>
        <v>0</v>
      </c>
      <c r="AJ1084">
        <f t="shared" si="185"/>
        <v>0</v>
      </c>
      <c r="AK1084">
        <f t="shared" si="178"/>
        <v>0</v>
      </c>
      <c r="AL1084">
        <f t="shared" si="186"/>
        <v>1</v>
      </c>
    </row>
    <row r="1085" spans="1:38">
      <c r="A1085" t="s">
        <v>3382</v>
      </c>
      <c r="B1085" t="s">
        <v>3383</v>
      </c>
      <c r="C1085" s="1">
        <f t="shared" si="179"/>
        <v>45536</v>
      </c>
      <c r="D1085" t="s">
        <v>3384</v>
      </c>
      <c r="E1085">
        <v>183.8</v>
      </c>
      <c r="F1085">
        <v>7.7</v>
      </c>
      <c r="G1085" t="s">
        <v>101</v>
      </c>
      <c r="H1085" t="s">
        <v>102</v>
      </c>
      <c r="I1085" t="s">
        <v>32</v>
      </c>
      <c r="J1085">
        <v>240</v>
      </c>
      <c r="K1085" t="s">
        <v>49</v>
      </c>
      <c r="L1085" t="s">
        <v>70</v>
      </c>
      <c r="M1085" t="s">
        <v>35</v>
      </c>
      <c r="N1085" t="s">
        <v>72</v>
      </c>
      <c r="O1085" t="s">
        <v>7232</v>
      </c>
      <c r="P1085" t="s">
        <v>39</v>
      </c>
      <c r="Q1085" t="s">
        <v>38</v>
      </c>
      <c r="R1085">
        <v>0</v>
      </c>
      <c r="S1085" t="s">
        <v>39</v>
      </c>
      <c r="T1085">
        <v>10</v>
      </c>
      <c r="U1085">
        <v>2.2999999999999998</v>
      </c>
      <c r="V1085">
        <v>11</v>
      </c>
      <c r="W1085" t="s">
        <v>39</v>
      </c>
      <c r="X1085" t="s">
        <v>123</v>
      </c>
      <c r="Y1085" t="s">
        <v>38</v>
      </c>
      <c r="Z1085" t="s">
        <v>179</v>
      </c>
      <c r="AA1085" t="s">
        <v>109</v>
      </c>
      <c r="AB1085" t="s">
        <v>55</v>
      </c>
      <c r="AC1085">
        <f t="shared" si="176"/>
        <v>0</v>
      </c>
      <c r="AD1085" s="12">
        <f t="shared" si="180"/>
        <v>0</v>
      </c>
      <c r="AE1085" s="12">
        <f t="shared" si="181"/>
        <v>1</v>
      </c>
      <c r="AF1085">
        <f t="shared" si="177"/>
        <v>0</v>
      </c>
      <c r="AG1085">
        <f t="shared" si="182"/>
        <v>1</v>
      </c>
      <c r="AH1085">
        <f t="shared" si="183"/>
        <v>0</v>
      </c>
      <c r="AI1085">
        <f t="shared" si="184"/>
        <v>0</v>
      </c>
      <c r="AJ1085">
        <f t="shared" si="185"/>
        <v>1</v>
      </c>
      <c r="AK1085">
        <f t="shared" si="178"/>
        <v>0</v>
      </c>
      <c r="AL1085">
        <f t="shared" si="186"/>
        <v>1</v>
      </c>
    </row>
    <row r="1086" spans="1:38">
      <c r="A1086" t="s">
        <v>3385</v>
      </c>
      <c r="B1086" t="s">
        <v>3386</v>
      </c>
      <c r="C1086" s="1">
        <f t="shared" si="179"/>
        <v>45323</v>
      </c>
      <c r="D1086" t="s">
        <v>3387</v>
      </c>
      <c r="E1086">
        <v>98.2</v>
      </c>
      <c r="F1086">
        <v>4.0999999999999996</v>
      </c>
      <c r="G1086" t="s">
        <v>59</v>
      </c>
      <c r="H1086" t="s">
        <v>281</v>
      </c>
      <c r="I1086" t="s">
        <v>48</v>
      </c>
      <c r="J1086">
        <v>120</v>
      </c>
      <c r="K1086" t="s">
        <v>49</v>
      </c>
      <c r="L1086" t="s">
        <v>70</v>
      </c>
      <c r="M1086" t="s">
        <v>35</v>
      </c>
      <c r="N1086" t="s">
        <v>188</v>
      </c>
      <c r="O1086" t="s">
        <v>7232</v>
      </c>
      <c r="P1086" t="s">
        <v>38</v>
      </c>
      <c r="Q1086" t="s">
        <v>38</v>
      </c>
      <c r="R1086">
        <v>1</v>
      </c>
      <c r="S1086" t="s">
        <v>38</v>
      </c>
      <c r="T1086">
        <v>4</v>
      </c>
      <c r="U1086">
        <v>2.2999999999999998</v>
      </c>
      <c r="V1086">
        <v>0</v>
      </c>
      <c r="W1086" t="s">
        <v>39</v>
      </c>
      <c r="X1086" t="s">
        <v>63</v>
      </c>
      <c r="Y1086" t="s">
        <v>39</v>
      </c>
      <c r="Z1086" t="s">
        <v>53</v>
      </c>
      <c r="AA1086" t="s">
        <v>103</v>
      </c>
      <c r="AB1086" t="s">
        <v>55</v>
      </c>
      <c r="AC1086">
        <f t="shared" si="176"/>
        <v>0</v>
      </c>
      <c r="AD1086" s="12">
        <f t="shared" si="180"/>
        <v>1</v>
      </c>
      <c r="AE1086" s="12">
        <f t="shared" si="181"/>
        <v>0</v>
      </c>
      <c r="AF1086">
        <f t="shared" si="177"/>
        <v>0</v>
      </c>
      <c r="AG1086">
        <f t="shared" si="182"/>
        <v>1</v>
      </c>
      <c r="AH1086">
        <f t="shared" si="183"/>
        <v>1</v>
      </c>
      <c r="AI1086">
        <f t="shared" si="184"/>
        <v>0</v>
      </c>
      <c r="AJ1086">
        <f t="shared" si="185"/>
        <v>0</v>
      </c>
      <c r="AK1086">
        <f t="shared" si="178"/>
        <v>0</v>
      </c>
      <c r="AL1086">
        <f t="shared" si="186"/>
        <v>0</v>
      </c>
    </row>
    <row r="1087" spans="1:38">
      <c r="A1087" t="s">
        <v>3388</v>
      </c>
      <c r="B1087" t="s">
        <v>3389</v>
      </c>
      <c r="C1087" s="1">
        <f t="shared" si="179"/>
        <v>45352</v>
      </c>
      <c r="D1087" t="s">
        <v>3390</v>
      </c>
      <c r="E1087">
        <v>110.5</v>
      </c>
      <c r="F1087">
        <v>4.5999999999999996</v>
      </c>
      <c r="G1087" t="s">
        <v>77</v>
      </c>
      <c r="H1087" t="s">
        <v>187</v>
      </c>
      <c r="I1087" t="s">
        <v>48</v>
      </c>
      <c r="J1087">
        <v>120</v>
      </c>
      <c r="K1087" t="s">
        <v>49</v>
      </c>
      <c r="L1087" t="s">
        <v>96</v>
      </c>
      <c r="M1087" t="s">
        <v>35</v>
      </c>
      <c r="N1087" t="s">
        <v>80</v>
      </c>
      <c r="O1087" t="s">
        <v>51</v>
      </c>
      <c r="P1087" t="s">
        <v>39</v>
      </c>
      <c r="Q1087" t="s">
        <v>38</v>
      </c>
      <c r="R1087">
        <v>0</v>
      </c>
      <c r="S1087" t="s">
        <v>39</v>
      </c>
      <c r="T1087">
        <v>8</v>
      </c>
      <c r="U1087">
        <v>2.7</v>
      </c>
      <c r="V1087">
        <v>14.1</v>
      </c>
      <c r="W1087" t="s">
        <v>38</v>
      </c>
      <c r="X1087" t="s">
        <v>123</v>
      </c>
      <c r="Y1087" t="s">
        <v>38</v>
      </c>
      <c r="Z1087" t="s">
        <v>115</v>
      </c>
      <c r="AA1087" t="s">
        <v>103</v>
      </c>
      <c r="AB1087" t="s">
        <v>55</v>
      </c>
      <c r="AC1087">
        <f t="shared" si="176"/>
        <v>0</v>
      </c>
      <c r="AD1087" s="12">
        <f t="shared" si="180"/>
        <v>0</v>
      </c>
      <c r="AE1087" s="12">
        <f t="shared" si="181"/>
        <v>1</v>
      </c>
      <c r="AF1087">
        <f t="shared" si="177"/>
        <v>1</v>
      </c>
      <c r="AG1087">
        <f t="shared" si="182"/>
        <v>0</v>
      </c>
      <c r="AH1087">
        <f t="shared" si="183"/>
        <v>1</v>
      </c>
      <c r="AI1087">
        <f t="shared" si="184"/>
        <v>0</v>
      </c>
      <c r="AJ1087">
        <f t="shared" si="185"/>
        <v>0</v>
      </c>
      <c r="AK1087">
        <f t="shared" si="178"/>
        <v>0</v>
      </c>
      <c r="AL1087">
        <f t="shared" si="186"/>
        <v>1</v>
      </c>
    </row>
    <row r="1088" spans="1:38">
      <c r="A1088" t="s">
        <v>3391</v>
      </c>
      <c r="B1088" t="s">
        <v>3392</v>
      </c>
      <c r="C1088" s="1">
        <f t="shared" si="179"/>
        <v>45292</v>
      </c>
      <c r="D1088" t="s">
        <v>3393</v>
      </c>
      <c r="E1088">
        <v>98.2</v>
      </c>
      <c r="F1088">
        <v>4.0999999999999996</v>
      </c>
      <c r="G1088" t="s">
        <v>59</v>
      </c>
      <c r="H1088" t="s">
        <v>60</v>
      </c>
      <c r="I1088" t="s">
        <v>48</v>
      </c>
      <c r="J1088">
        <v>120</v>
      </c>
      <c r="K1088" t="s">
        <v>49</v>
      </c>
      <c r="L1088" t="s">
        <v>133</v>
      </c>
      <c r="M1088" t="s">
        <v>35</v>
      </c>
      <c r="N1088" t="s">
        <v>50</v>
      </c>
      <c r="O1088" t="s">
        <v>51</v>
      </c>
      <c r="P1088" t="s">
        <v>38</v>
      </c>
      <c r="Q1088" t="s">
        <v>38</v>
      </c>
      <c r="R1088">
        <v>1</v>
      </c>
      <c r="S1088" t="s">
        <v>38</v>
      </c>
      <c r="T1088">
        <v>8</v>
      </c>
      <c r="U1088">
        <v>4.3</v>
      </c>
      <c r="V1088">
        <v>35.299999999999997</v>
      </c>
      <c r="W1088" t="s">
        <v>39</v>
      </c>
      <c r="X1088" t="s">
        <v>63</v>
      </c>
      <c r="Y1088" t="s">
        <v>39</v>
      </c>
      <c r="Z1088" t="s">
        <v>81</v>
      </c>
      <c r="AA1088" t="s">
        <v>109</v>
      </c>
      <c r="AB1088" t="s">
        <v>43</v>
      </c>
      <c r="AC1088">
        <f t="shared" si="176"/>
        <v>0</v>
      </c>
      <c r="AD1088" s="12">
        <f t="shared" si="180"/>
        <v>1</v>
      </c>
      <c r="AE1088" s="12">
        <f t="shared" si="181"/>
        <v>0</v>
      </c>
      <c r="AF1088">
        <f t="shared" si="177"/>
        <v>1</v>
      </c>
      <c r="AG1088">
        <f t="shared" si="182"/>
        <v>0</v>
      </c>
      <c r="AH1088">
        <f t="shared" si="183"/>
        <v>1</v>
      </c>
      <c r="AI1088">
        <f t="shared" si="184"/>
        <v>0</v>
      </c>
      <c r="AJ1088">
        <f t="shared" si="185"/>
        <v>0</v>
      </c>
      <c r="AK1088">
        <f t="shared" si="178"/>
        <v>0</v>
      </c>
      <c r="AL1088">
        <f t="shared" si="186"/>
        <v>0</v>
      </c>
    </row>
    <row r="1089" spans="1:38">
      <c r="A1089" t="s">
        <v>3394</v>
      </c>
      <c r="B1089" t="s">
        <v>3395</v>
      </c>
      <c r="C1089" s="1">
        <f t="shared" si="179"/>
        <v>45505</v>
      </c>
      <c r="D1089" t="s">
        <v>3396</v>
      </c>
      <c r="E1089">
        <v>321.8</v>
      </c>
      <c r="F1089">
        <v>13.4</v>
      </c>
      <c r="G1089" t="s">
        <v>77</v>
      </c>
      <c r="H1089" t="s">
        <v>244</v>
      </c>
      <c r="I1089" t="s">
        <v>79</v>
      </c>
      <c r="J1089">
        <v>360</v>
      </c>
      <c r="K1089" t="s">
        <v>49</v>
      </c>
      <c r="L1089" t="s">
        <v>96</v>
      </c>
      <c r="M1089" t="s">
        <v>35</v>
      </c>
      <c r="N1089" t="s">
        <v>97</v>
      </c>
      <c r="O1089" t="s">
        <v>37</v>
      </c>
      <c r="P1089" t="s">
        <v>38</v>
      </c>
      <c r="Q1089" t="s">
        <v>38</v>
      </c>
      <c r="R1089">
        <v>1</v>
      </c>
      <c r="S1089" t="s">
        <v>38</v>
      </c>
      <c r="T1089">
        <v>9</v>
      </c>
      <c r="U1089">
        <v>3</v>
      </c>
      <c r="V1089">
        <v>4.8</v>
      </c>
      <c r="W1089" t="s">
        <v>39</v>
      </c>
      <c r="X1089" t="s">
        <v>63</v>
      </c>
      <c r="Y1089" t="s">
        <v>38</v>
      </c>
      <c r="Z1089" t="s">
        <v>115</v>
      </c>
      <c r="AA1089" t="s">
        <v>109</v>
      </c>
      <c r="AB1089" t="s">
        <v>43</v>
      </c>
      <c r="AC1089">
        <f t="shared" si="176"/>
        <v>0</v>
      </c>
      <c r="AD1089" s="12">
        <f t="shared" si="180"/>
        <v>1</v>
      </c>
      <c r="AE1089" s="12">
        <f t="shared" si="181"/>
        <v>0</v>
      </c>
      <c r="AF1089">
        <f t="shared" si="177"/>
        <v>0</v>
      </c>
      <c r="AG1089">
        <f t="shared" si="182"/>
        <v>0</v>
      </c>
      <c r="AH1089">
        <f t="shared" si="183"/>
        <v>0</v>
      </c>
      <c r="AI1089">
        <f t="shared" si="184"/>
        <v>0</v>
      </c>
      <c r="AJ1089">
        <f t="shared" si="185"/>
        <v>0</v>
      </c>
      <c r="AK1089">
        <f t="shared" si="178"/>
        <v>0</v>
      </c>
      <c r="AL1089">
        <f t="shared" si="186"/>
        <v>1</v>
      </c>
    </row>
    <row r="1090" spans="1:38">
      <c r="A1090" t="s">
        <v>3397</v>
      </c>
      <c r="B1090" t="s">
        <v>3398</v>
      </c>
      <c r="C1090" s="1">
        <f t="shared" si="179"/>
        <v>45536</v>
      </c>
      <c r="D1090" t="s">
        <v>3399</v>
      </c>
      <c r="E1090">
        <v>34.299999999999997</v>
      </c>
      <c r="F1090">
        <v>1.4</v>
      </c>
      <c r="G1090" t="s">
        <v>68</v>
      </c>
      <c r="H1090" t="s">
        <v>69</v>
      </c>
      <c r="I1090" t="s">
        <v>95</v>
      </c>
      <c r="J1090">
        <v>48</v>
      </c>
      <c r="K1090" t="s">
        <v>49</v>
      </c>
      <c r="L1090" t="s">
        <v>34</v>
      </c>
      <c r="M1090" t="s">
        <v>35</v>
      </c>
      <c r="N1090" t="s">
        <v>192</v>
      </c>
      <c r="O1090" t="s">
        <v>7232</v>
      </c>
      <c r="P1090" t="s">
        <v>38</v>
      </c>
      <c r="Q1090" t="s">
        <v>38</v>
      </c>
      <c r="R1090">
        <v>1</v>
      </c>
      <c r="S1090" t="s">
        <v>38</v>
      </c>
      <c r="T1090">
        <v>8</v>
      </c>
      <c r="U1090">
        <v>1.1000000000000001</v>
      </c>
      <c r="V1090">
        <v>23.6</v>
      </c>
      <c r="W1090" t="s">
        <v>38</v>
      </c>
      <c r="X1090" t="s">
        <v>52</v>
      </c>
      <c r="Y1090" t="s">
        <v>38</v>
      </c>
      <c r="Z1090" t="s">
        <v>41</v>
      </c>
      <c r="AA1090" t="s">
        <v>54</v>
      </c>
      <c r="AB1090" t="s">
        <v>55</v>
      </c>
      <c r="AC1090">
        <f t="shared" ref="AC1090:AC1153" si="187">IF(X1090="Poor", 1, 0)</f>
        <v>1</v>
      </c>
      <c r="AD1090" s="12">
        <f t="shared" si="180"/>
        <v>0</v>
      </c>
      <c r="AE1090" s="12">
        <f t="shared" si="181"/>
        <v>0</v>
      </c>
      <c r="AF1090">
        <f t="shared" ref="AF1090:AF1153" si="188">IF(O1090="Junior", 1, 0)</f>
        <v>0</v>
      </c>
      <c r="AG1090">
        <f t="shared" si="182"/>
        <v>1</v>
      </c>
      <c r="AH1090">
        <f t="shared" si="183"/>
        <v>0</v>
      </c>
      <c r="AI1090">
        <f t="shared" si="184"/>
        <v>1</v>
      </c>
      <c r="AJ1090">
        <f t="shared" si="185"/>
        <v>0</v>
      </c>
      <c r="AK1090">
        <f t="shared" ref="AK1090:AK1153" si="189">IF(G1090="Access Requests", 1, 0)</f>
        <v>0</v>
      </c>
      <c r="AL1090">
        <f t="shared" si="186"/>
        <v>1</v>
      </c>
    </row>
    <row r="1091" spans="1:38">
      <c r="A1091" t="s">
        <v>3400</v>
      </c>
      <c r="B1091" t="s">
        <v>3401</v>
      </c>
      <c r="C1091" s="1">
        <f t="shared" ref="C1091:C1154" si="190">DATE(YEAR(B1091),MONTH(B1091),1)</f>
        <v>45566</v>
      </c>
      <c r="D1091" t="s">
        <v>3402</v>
      </c>
      <c r="E1091">
        <v>204</v>
      </c>
      <c r="F1091">
        <v>8.5</v>
      </c>
      <c r="G1091" t="s">
        <v>93</v>
      </c>
      <c r="H1091" t="s">
        <v>163</v>
      </c>
      <c r="I1091" t="s">
        <v>32</v>
      </c>
      <c r="J1091">
        <v>240</v>
      </c>
      <c r="K1091" t="s">
        <v>49</v>
      </c>
      <c r="L1091" t="s">
        <v>96</v>
      </c>
      <c r="M1091" t="s">
        <v>71</v>
      </c>
      <c r="N1091" t="s">
        <v>168</v>
      </c>
      <c r="O1091" t="s">
        <v>51</v>
      </c>
      <c r="P1091" t="s">
        <v>38</v>
      </c>
      <c r="Q1091" t="s">
        <v>39</v>
      </c>
      <c r="R1091">
        <v>2</v>
      </c>
      <c r="S1091" t="s">
        <v>38</v>
      </c>
      <c r="T1091">
        <v>8</v>
      </c>
      <c r="U1091">
        <v>2.9</v>
      </c>
      <c r="V1091">
        <v>14.3</v>
      </c>
      <c r="W1091" t="s">
        <v>39</v>
      </c>
      <c r="X1091" t="s">
        <v>52</v>
      </c>
      <c r="Y1091" t="s">
        <v>38</v>
      </c>
      <c r="Z1091" t="s">
        <v>53</v>
      </c>
      <c r="AA1091" t="s">
        <v>54</v>
      </c>
      <c r="AB1091" t="s">
        <v>55</v>
      </c>
      <c r="AC1091">
        <f t="shared" si="187"/>
        <v>1</v>
      </c>
      <c r="AD1091" s="12">
        <f t="shared" ref="AD1091:AD1154" si="191">IF(X1091="Fair", 1, 0)</f>
        <v>0</v>
      </c>
      <c r="AE1091" s="12">
        <f t="shared" ref="AE1091:AE1154" si="192">IF(X1091="Good", 1, 0)</f>
        <v>0</v>
      </c>
      <c r="AF1091">
        <f t="shared" si="188"/>
        <v>1</v>
      </c>
      <c r="AG1091">
        <f t="shared" ref="AG1091:AG1154" si="193">IF(O1091="Mid", 1, 0)</f>
        <v>0</v>
      </c>
      <c r="AH1091">
        <f t="shared" ref="AH1091:AH1154" si="194">IF(I1091="High", 1, 0)</f>
        <v>0</v>
      </c>
      <c r="AI1091">
        <f t="shared" ref="AI1091:AI1154" si="195">IF(I1091="Critical", 1, 0)</f>
        <v>0</v>
      </c>
      <c r="AJ1091">
        <f t="shared" ref="AJ1091:AJ1154" si="196">IF(I1091="Medium", 1, 0)</f>
        <v>1</v>
      </c>
      <c r="AK1091">
        <f t="shared" si="189"/>
        <v>0</v>
      </c>
      <c r="AL1091">
        <f t="shared" ref="AL1091:AL1154" si="197">IF(Y1091="No", 1, 0)</f>
        <v>1</v>
      </c>
    </row>
    <row r="1092" spans="1:38">
      <c r="A1092" t="s">
        <v>3403</v>
      </c>
      <c r="B1092" t="s">
        <v>3404</v>
      </c>
      <c r="C1092" s="1">
        <f t="shared" si="190"/>
        <v>45444</v>
      </c>
      <c r="D1092" t="s">
        <v>3405</v>
      </c>
      <c r="E1092">
        <v>296.39999999999998</v>
      </c>
      <c r="F1092">
        <v>12.4</v>
      </c>
      <c r="G1092" t="s">
        <v>77</v>
      </c>
      <c r="H1092" t="s">
        <v>78</v>
      </c>
      <c r="I1092" t="s">
        <v>79</v>
      </c>
      <c r="J1092">
        <v>360</v>
      </c>
      <c r="K1092" t="s">
        <v>49</v>
      </c>
      <c r="L1092" t="s">
        <v>96</v>
      </c>
      <c r="M1092" t="s">
        <v>35</v>
      </c>
      <c r="N1092" t="s">
        <v>202</v>
      </c>
      <c r="O1092" t="s">
        <v>7232</v>
      </c>
      <c r="P1092" t="s">
        <v>38</v>
      </c>
      <c r="Q1092" t="s">
        <v>38</v>
      </c>
      <c r="R1092">
        <v>1</v>
      </c>
      <c r="S1092" t="s">
        <v>38</v>
      </c>
      <c r="T1092">
        <v>8</v>
      </c>
      <c r="U1092">
        <v>1.7</v>
      </c>
      <c r="V1092">
        <v>9.1</v>
      </c>
      <c r="W1092" t="s">
        <v>38</v>
      </c>
      <c r="X1092" t="s">
        <v>123</v>
      </c>
      <c r="Y1092" t="s">
        <v>38</v>
      </c>
      <c r="Z1092" t="s">
        <v>73</v>
      </c>
      <c r="AA1092" t="s">
        <v>82</v>
      </c>
      <c r="AB1092" t="s">
        <v>55</v>
      </c>
      <c r="AC1092">
        <f t="shared" si="187"/>
        <v>0</v>
      </c>
      <c r="AD1092" s="12">
        <f t="shared" si="191"/>
        <v>0</v>
      </c>
      <c r="AE1092" s="12">
        <f t="shared" si="192"/>
        <v>1</v>
      </c>
      <c r="AF1092">
        <f t="shared" si="188"/>
        <v>0</v>
      </c>
      <c r="AG1092">
        <f t="shared" si="193"/>
        <v>1</v>
      </c>
      <c r="AH1092">
        <f t="shared" si="194"/>
        <v>0</v>
      </c>
      <c r="AI1092">
        <f t="shared" si="195"/>
        <v>0</v>
      </c>
      <c r="AJ1092">
        <f t="shared" si="196"/>
        <v>0</v>
      </c>
      <c r="AK1092">
        <f t="shared" si="189"/>
        <v>0</v>
      </c>
      <c r="AL1092">
        <f t="shared" si="197"/>
        <v>1</v>
      </c>
    </row>
    <row r="1093" spans="1:38">
      <c r="A1093" t="s">
        <v>3406</v>
      </c>
      <c r="B1093" t="s">
        <v>3407</v>
      </c>
      <c r="C1093" s="1">
        <f t="shared" si="190"/>
        <v>45566</v>
      </c>
      <c r="D1093" t="s">
        <v>3408</v>
      </c>
      <c r="E1093">
        <v>220.8</v>
      </c>
      <c r="F1093">
        <v>9.1999999999999993</v>
      </c>
      <c r="G1093" t="s">
        <v>142</v>
      </c>
      <c r="H1093" t="s">
        <v>240</v>
      </c>
      <c r="I1093" t="s">
        <v>32</v>
      </c>
      <c r="J1093">
        <v>240</v>
      </c>
      <c r="K1093" t="s">
        <v>49</v>
      </c>
      <c r="L1093" t="s">
        <v>70</v>
      </c>
      <c r="M1093" t="s">
        <v>35</v>
      </c>
      <c r="N1093" t="s">
        <v>164</v>
      </c>
      <c r="O1093" t="s">
        <v>51</v>
      </c>
      <c r="P1093" t="s">
        <v>39</v>
      </c>
      <c r="Q1093" t="s">
        <v>38</v>
      </c>
      <c r="R1093">
        <v>0</v>
      </c>
      <c r="S1093" t="s">
        <v>38</v>
      </c>
      <c r="T1093">
        <v>8</v>
      </c>
      <c r="U1093">
        <v>1.9</v>
      </c>
      <c r="V1093">
        <v>48</v>
      </c>
      <c r="W1093" t="s">
        <v>39</v>
      </c>
      <c r="X1093" t="s">
        <v>63</v>
      </c>
      <c r="Y1093" t="s">
        <v>39</v>
      </c>
      <c r="Z1093" t="s">
        <v>179</v>
      </c>
      <c r="AA1093" t="s">
        <v>54</v>
      </c>
      <c r="AB1093" t="s">
        <v>43</v>
      </c>
      <c r="AC1093">
        <f t="shared" si="187"/>
        <v>0</v>
      </c>
      <c r="AD1093" s="12">
        <f t="shared" si="191"/>
        <v>1</v>
      </c>
      <c r="AE1093" s="12">
        <f t="shared" si="192"/>
        <v>0</v>
      </c>
      <c r="AF1093">
        <f t="shared" si="188"/>
        <v>1</v>
      </c>
      <c r="AG1093">
        <f t="shared" si="193"/>
        <v>0</v>
      </c>
      <c r="AH1093">
        <f t="shared" si="194"/>
        <v>0</v>
      </c>
      <c r="AI1093">
        <f t="shared" si="195"/>
        <v>0</v>
      </c>
      <c r="AJ1093">
        <f t="shared" si="196"/>
        <v>1</v>
      </c>
      <c r="AK1093">
        <f t="shared" si="189"/>
        <v>0</v>
      </c>
      <c r="AL1093">
        <f t="shared" si="197"/>
        <v>0</v>
      </c>
    </row>
    <row r="1094" spans="1:38">
      <c r="A1094" t="s">
        <v>3409</v>
      </c>
      <c r="B1094" t="s">
        <v>3410</v>
      </c>
      <c r="C1094" s="1">
        <f t="shared" si="190"/>
        <v>45323</v>
      </c>
      <c r="D1094" t="s">
        <v>3411</v>
      </c>
      <c r="E1094">
        <v>290.8</v>
      </c>
      <c r="F1094">
        <v>12.1</v>
      </c>
      <c r="G1094" t="s">
        <v>77</v>
      </c>
      <c r="H1094" t="s">
        <v>267</v>
      </c>
      <c r="I1094" t="s">
        <v>79</v>
      </c>
      <c r="J1094">
        <v>360</v>
      </c>
      <c r="K1094" t="s">
        <v>49</v>
      </c>
      <c r="L1094" t="s">
        <v>96</v>
      </c>
      <c r="M1094" t="s">
        <v>35</v>
      </c>
      <c r="N1094" t="s">
        <v>107</v>
      </c>
      <c r="O1094" t="s">
        <v>51</v>
      </c>
      <c r="P1094" t="s">
        <v>38</v>
      </c>
      <c r="Q1094" t="s">
        <v>38</v>
      </c>
      <c r="R1094">
        <v>1</v>
      </c>
      <c r="S1094" t="s">
        <v>38</v>
      </c>
      <c r="T1094">
        <v>8</v>
      </c>
      <c r="U1094">
        <v>3.5</v>
      </c>
      <c r="V1094">
        <v>27.4</v>
      </c>
      <c r="W1094" t="s">
        <v>39</v>
      </c>
      <c r="X1094" t="s">
        <v>40</v>
      </c>
      <c r="Y1094" t="s">
        <v>39</v>
      </c>
      <c r="Z1094" t="s">
        <v>53</v>
      </c>
      <c r="AA1094" t="s">
        <v>82</v>
      </c>
      <c r="AB1094" t="s">
        <v>83</v>
      </c>
      <c r="AC1094">
        <f t="shared" si="187"/>
        <v>0</v>
      </c>
      <c r="AD1094" s="12">
        <f t="shared" si="191"/>
        <v>0</v>
      </c>
      <c r="AE1094" s="12">
        <f t="shared" si="192"/>
        <v>0</v>
      </c>
      <c r="AF1094">
        <f t="shared" si="188"/>
        <v>1</v>
      </c>
      <c r="AG1094">
        <f t="shared" si="193"/>
        <v>0</v>
      </c>
      <c r="AH1094">
        <f t="shared" si="194"/>
        <v>0</v>
      </c>
      <c r="AI1094">
        <f t="shared" si="195"/>
        <v>0</v>
      </c>
      <c r="AJ1094">
        <f t="shared" si="196"/>
        <v>0</v>
      </c>
      <c r="AK1094">
        <f t="shared" si="189"/>
        <v>0</v>
      </c>
      <c r="AL1094">
        <f t="shared" si="197"/>
        <v>0</v>
      </c>
    </row>
    <row r="1095" spans="1:38">
      <c r="A1095" t="s">
        <v>3412</v>
      </c>
      <c r="B1095" t="s">
        <v>3413</v>
      </c>
      <c r="C1095" s="1">
        <f t="shared" si="190"/>
        <v>45566</v>
      </c>
      <c r="D1095" t="s">
        <v>3414</v>
      </c>
      <c r="E1095">
        <v>323.2</v>
      </c>
      <c r="F1095">
        <v>13.5</v>
      </c>
      <c r="G1095" t="s">
        <v>93</v>
      </c>
      <c r="H1095" t="s">
        <v>291</v>
      </c>
      <c r="I1095" t="s">
        <v>79</v>
      </c>
      <c r="J1095">
        <v>360</v>
      </c>
      <c r="K1095" t="s">
        <v>49</v>
      </c>
      <c r="L1095" t="s">
        <v>96</v>
      </c>
      <c r="M1095" t="s">
        <v>35</v>
      </c>
      <c r="N1095" t="s">
        <v>164</v>
      </c>
      <c r="O1095" t="s">
        <v>7232</v>
      </c>
      <c r="P1095" t="s">
        <v>39</v>
      </c>
      <c r="Q1095" t="s">
        <v>38</v>
      </c>
      <c r="R1095">
        <v>0</v>
      </c>
      <c r="S1095" t="s">
        <v>38</v>
      </c>
      <c r="T1095">
        <v>8</v>
      </c>
      <c r="U1095">
        <v>2.8</v>
      </c>
      <c r="V1095">
        <v>30.8</v>
      </c>
      <c r="W1095" t="s">
        <v>38</v>
      </c>
      <c r="X1095" t="s">
        <v>63</v>
      </c>
      <c r="Y1095" t="s">
        <v>39</v>
      </c>
      <c r="Z1095" t="s">
        <v>108</v>
      </c>
      <c r="AA1095" t="s">
        <v>82</v>
      </c>
      <c r="AB1095" t="s">
        <v>43</v>
      </c>
      <c r="AC1095">
        <f t="shared" si="187"/>
        <v>0</v>
      </c>
      <c r="AD1095" s="12">
        <f t="shared" si="191"/>
        <v>1</v>
      </c>
      <c r="AE1095" s="12">
        <f t="shared" si="192"/>
        <v>0</v>
      </c>
      <c r="AF1095">
        <f t="shared" si="188"/>
        <v>0</v>
      </c>
      <c r="AG1095">
        <f t="shared" si="193"/>
        <v>1</v>
      </c>
      <c r="AH1095">
        <f t="shared" si="194"/>
        <v>0</v>
      </c>
      <c r="AI1095">
        <f t="shared" si="195"/>
        <v>0</v>
      </c>
      <c r="AJ1095">
        <f t="shared" si="196"/>
        <v>0</v>
      </c>
      <c r="AK1095">
        <f t="shared" si="189"/>
        <v>0</v>
      </c>
      <c r="AL1095">
        <f t="shared" si="197"/>
        <v>0</v>
      </c>
    </row>
    <row r="1096" spans="1:38">
      <c r="A1096" t="s">
        <v>3415</v>
      </c>
      <c r="B1096" t="s">
        <v>3416</v>
      </c>
      <c r="C1096" s="1">
        <f t="shared" si="190"/>
        <v>45597</v>
      </c>
      <c r="D1096" t="s">
        <v>3417</v>
      </c>
      <c r="E1096">
        <v>207.8</v>
      </c>
      <c r="F1096">
        <v>8.6999999999999993</v>
      </c>
      <c r="G1096" t="s">
        <v>59</v>
      </c>
      <c r="H1096" t="s">
        <v>466</v>
      </c>
      <c r="I1096" t="s">
        <v>32</v>
      </c>
      <c r="J1096">
        <v>240</v>
      </c>
      <c r="K1096" t="s">
        <v>49</v>
      </c>
      <c r="L1096" t="s">
        <v>96</v>
      </c>
      <c r="M1096" t="s">
        <v>71</v>
      </c>
      <c r="N1096" t="s">
        <v>414</v>
      </c>
      <c r="O1096" t="s">
        <v>37</v>
      </c>
      <c r="P1096" t="s">
        <v>38</v>
      </c>
      <c r="Q1096" t="s">
        <v>39</v>
      </c>
      <c r="R1096">
        <v>2</v>
      </c>
      <c r="S1096" t="s">
        <v>38</v>
      </c>
      <c r="T1096">
        <v>8</v>
      </c>
      <c r="U1096">
        <v>0.6</v>
      </c>
      <c r="V1096">
        <v>10.199999999999999</v>
      </c>
      <c r="W1096" t="s">
        <v>38</v>
      </c>
      <c r="X1096" t="s">
        <v>52</v>
      </c>
      <c r="Y1096" t="s">
        <v>38</v>
      </c>
      <c r="Z1096" t="s">
        <v>64</v>
      </c>
      <c r="AA1096" t="s">
        <v>103</v>
      </c>
      <c r="AB1096" t="s">
        <v>83</v>
      </c>
      <c r="AC1096">
        <f t="shared" si="187"/>
        <v>1</v>
      </c>
      <c r="AD1096" s="12">
        <f t="shared" si="191"/>
        <v>0</v>
      </c>
      <c r="AE1096" s="12">
        <f t="shared" si="192"/>
        <v>0</v>
      </c>
      <c r="AF1096">
        <f t="shared" si="188"/>
        <v>0</v>
      </c>
      <c r="AG1096">
        <f t="shared" si="193"/>
        <v>0</v>
      </c>
      <c r="AH1096">
        <f t="shared" si="194"/>
        <v>0</v>
      </c>
      <c r="AI1096">
        <f t="shared" si="195"/>
        <v>0</v>
      </c>
      <c r="AJ1096">
        <f t="shared" si="196"/>
        <v>1</v>
      </c>
      <c r="AK1096">
        <f t="shared" si="189"/>
        <v>0</v>
      </c>
      <c r="AL1096">
        <f t="shared" si="197"/>
        <v>1</v>
      </c>
    </row>
    <row r="1097" spans="1:38">
      <c r="A1097" t="s">
        <v>3418</v>
      </c>
      <c r="B1097" t="s">
        <v>3419</v>
      </c>
      <c r="C1097" s="1">
        <f t="shared" si="190"/>
        <v>45383</v>
      </c>
      <c r="D1097" t="s">
        <v>3420</v>
      </c>
      <c r="E1097">
        <v>618.5</v>
      </c>
      <c r="F1097">
        <v>25.8</v>
      </c>
      <c r="G1097" t="s">
        <v>142</v>
      </c>
      <c r="H1097" t="s">
        <v>143</v>
      </c>
      <c r="I1097" t="s">
        <v>32</v>
      </c>
      <c r="J1097">
        <v>240</v>
      </c>
      <c r="K1097" t="s">
        <v>33</v>
      </c>
      <c r="L1097" t="s">
        <v>96</v>
      </c>
      <c r="M1097" t="s">
        <v>71</v>
      </c>
      <c r="N1097" t="s">
        <v>414</v>
      </c>
      <c r="O1097" t="s">
        <v>51</v>
      </c>
      <c r="P1097" t="s">
        <v>38</v>
      </c>
      <c r="Q1097" t="s">
        <v>39</v>
      </c>
      <c r="R1097">
        <v>1</v>
      </c>
      <c r="S1097" t="s">
        <v>38</v>
      </c>
      <c r="T1097">
        <v>10</v>
      </c>
      <c r="U1097">
        <v>4.9000000000000004</v>
      </c>
      <c r="V1097">
        <v>19.8</v>
      </c>
      <c r="W1097" t="s">
        <v>39</v>
      </c>
      <c r="X1097" t="s">
        <v>63</v>
      </c>
      <c r="Y1097" t="s">
        <v>39</v>
      </c>
      <c r="Z1097" t="s">
        <v>53</v>
      </c>
      <c r="AA1097" t="s">
        <v>109</v>
      </c>
      <c r="AB1097" t="s">
        <v>55</v>
      </c>
      <c r="AC1097">
        <f t="shared" si="187"/>
        <v>0</v>
      </c>
      <c r="AD1097" s="12">
        <f t="shared" si="191"/>
        <v>1</v>
      </c>
      <c r="AE1097" s="12">
        <f t="shared" si="192"/>
        <v>0</v>
      </c>
      <c r="AF1097">
        <f t="shared" si="188"/>
        <v>1</v>
      </c>
      <c r="AG1097">
        <f t="shared" si="193"/>
        <v>0</v>
      </c>
      <c r="AH1097">
        <f t="shared" si="194"/>
        <v>0</v>
      </c>
      <c r="AI1097">
        <f t="shared" si="195"/>
        <v>0</v>
      </c>
      <c r="AJ1097">
        <f t="shared" si="196"/>
        <v>1</v>
      </c>
      <c r="AK1097">
        <f t="shared" si="189"/>
        <v>0</v>
      </c>
      <c r="AL1097">
        <f t="shared" si="197"/>
        <v>0</v>
      </c>
    </row>
    <row r="1098" spans="1:38">
      <c r="A1098" t="s">
        <v>3421</v>
      </c>
      <c r="B1098" t="s">
        <v>3422</v>
      </c>
      <c r="C1098" s="1">
        <f t="shared" si="190"/>
        <v>45413</v>
      </c>
      <c r="D1098" t="s">
        <v>3423</v>
      </c>
      <c r="E1098">
        <v>254.7</v>
      </c>
      <c r="F1098">
        <v>10.6</v>
      </c>
      <c r="G1098" t="s">
        <v>59</v>
      </c>
      <c r="H1098" t="s">
        <v>60</v>
      </c>
      <c r="I1098" t="s">
        <v>79</v>
      </c>
      <c r="J1098">
        <v>360</v>
      </c>
      <c r="K1098" t="s">
        <v>49</v>
      </c>
      <c r="L1098" t="s">
        <v>70</v>
      </c>
      <c r="M1098" t="s">
        <v>35</v>
      </c>
      <c r="N1098" t="s">
        <v>164</v>
      </c>
      <c r="O1098" t="s">
        <v>37</v>
      </c>
      <c r="P1098" t="s">
        <v>38</v>
      </c>
      <c r="Q1098" t="s">
        <v>38</v>
      </c>
      <c r="R1098">
        <v>1</v>
      </c>
      <c r="S1098" t="s">
        <v>38</v>
      </c>
      <c r="T1098">
        <v>7</v>
      </c>
      <c r="U1098">
        <v>3.3</v>
      </c>
      <c r="V1098">
        <v>9.6999999999999993</v>
      </c>
      <c r="W1098" t="s">
        <v>39</v>
      </c>
      <c r="X1098" t="s">
        <v>123</v>
      </c>
      <c r="Y1098" t="s">
        <v>38</v>
      </c>
      <c r="Z1098" t="s">
        <v>41</v>
      </c>
      <c r="AA1098" t="s">
        <v>42</v>
      </c>
      <c r="AB1098" t="s">
        <v>55</v>
      </c>
      <c r="AC1098">
        <f t="shared" si="187"/>
        <v>0</v>
      </c>
      <c r="AD1098" s="12">
        <f t="shared" si="191"/>
        <v>0</v>
      </c>
      <c r="AE1098" s="12">
        <f t="shared" si="192"/>
        <v>1</v>
      </c>
      <c r="AF1098">
        <f t="shared" si="188"/>
        <v>0</v>
      </c>
      <c r="AG1098">
        <f t="shared" si="193"/>
        <v>0</v>
      </c>
      <c r="AH1098">
        <f t="shared" si="194"/>
        <v>0</v>
      </c>
      <c r="AI1098">
        <f t="shared" si="195"/>
        <v>0</v>
      </c>
      <c r="AJ1098">
        <f t="shared" si="196"/>
        <v>0</v>
      </c>
      <c r="AK1098">
        <f t="shared" si="189"/>
        <v>0</v>
      </c>
      <c r="AL1098">
        <f t="shared" si="197"/>
        <v>1</v>
      </c>
    </row>
    <row r="1099" spans="1:38">
      <c r="A1099" t="s">
        <v>3424</v>
      </c>
      <c r="B1099" t="s">
        <v>3425</v>
      </c>
      <c r="C1099" s="1">
        <f t="shared" si="190"/>
        <v>45292</v>
      </c>
      <c r="D1099" t="s">
        <v>3426</v>
      </c>
      <c r="E1099">
        <v>338.2</v>
      </c>
      <c r="F1099">
        <v>14.1</v>
      </c>
      <c r="G1099" t="s">
        <v>77</v>
      </c>
      <c r="H1099" t="s">
        <v>187</v>
      </c>
      <c r="I1099" t="s">
        <v>79</v>
      </c>
      <c r="J1099">
        <v>360</v>
      </c>
      <c r="K1099" t="s">
        <v>49</v>
      </c>
      <c r="L1099" t="s">
        <v>113</v>
      </c>
      <c r="M1099" t="s">
        <v>35</v>
      </c>
      <c r="N1099" t="s">
        <v>97</v>
      </c>
      <c r="O1099" t="s">
        <v>37</v>
      </c>
      <c r="P1099" t="s">
        <v>38</v>
      </c>
      <c r="Q1099" t="s">
        <v>38</v>
      </c>
      <c r="R1099">
        <v>1</v>
      </c>
      <c r="S1099" t="s">
        <v>39</v>
      </c>
      <c r="T1099">
        <v>8</v>
      </c>
      <c r="U1099">
        <v>5</v>
      </c>
      <c r="V1099">
        <v>34.700000000000003</v>
      </c>
      <c r="W1099" t="s">
        <v>39</v>
      </c>
      <c r="X1099" t="s">
        <v>52</v>
      </c>
      <c r="Y1099" t="s">
        <v>38</v>
      </c>
      <c r="Z1099" t="s">
        <v>108</v>
      </c>
      <c r="AA1099" t="s">
        <v>54</v>
      </c>
      <c r="AB1099" t="s">
        <v>55</v>
      </c>
      <c r="AC1099">
        <f t="shared" si="187"/>
        <v>1</v>
      </c>
      <c r="AD1099" s="12">
        <f t="shared" si="191"/>
        <v>0</v>
      </c>
      <c r="AE1099" s="12">
        <f t="shared" si="192"/>
        <v>0</v>
      </c>
      <c r="AF1099">
        <f t="shared" si="188"/>
        <v>0</v>
      </c>
      <c r="AG1099">
        <f t="shared" si="193"/>
        <v>0</v>
      </c>
      <c r="AH1099">
        <f t="shared" si="194"/>
        <v>0</v>
      </c>
      <c r="AI1099">
        <f t="shared" si="195"/>
        <v>0</v>
      </c>
      <c r="AJ1099">
        <f t="shared" si="196"/>
        <v>0</v>
      </c>
      <c r="AK1099">
        <f t="shared" si="189"/>
        <v>0</v>
      </c>
      <c r="AL1099">
        <f t="shared" si="197"/>
        <v>1</v>
      </c>
    </row>
    <row r="1100" spans="1:38">
      <c r="A1100" t="s">
        <v>3427</v>
      </c>
      <c r="B1100" t="s">
        <v>3428</v>
      </c>
      <c r="C1100" s="1">
        <f t="shared" si="190"/>
        <v>45627</v>
      </c>
      <c r="D1100" t="s">
        <v>3429</v>
      </c>
      <c r="E1100">
        <v>312.3</v>
      </c>
      <c r="F1100">
        <v>13</v>
      </c>
      <c r="G1100" t="s">
        <v>77</v>
      </c>
      <c r="H1100" t="s">
        <v>267</v>
      </c>
      <c r="I1100" t="s">
        <v>79</v>
      </c>
      <c r="J1100">
        <v>360</v>
      </c>
      <c r="K1100" t="s">
        <v>49</v>
      </c>
      <c r="L1100" t="s">
        <v>96</v>
      </c>
      <c r="M1100" t="s">
        <v>35</v>
      </c>
      <c r="N1100" t="s">
        <v>114</v>
      </c>
      <c r="O1100" t="s">
        <v>7232</v>
      </c>
      <c r="P1100" t="s">
        <v>39</v>
      </c>
      <c r="Q1100" t="s">
        <v>38</v>
      </c>
      <c r="R1100">
        <v>0</v>
      </c>
      <c r="S1100" t="s">
        <v>38</v>
      </c>
      <c r="T1100">
        <v>10</v>
      </c>
      <c r="U1100">
        <v>4.5</v>
      </c>
      <c r="V1100">
        <v>26</v>
      </c>
      <c r="W1100" t="s">
        <v>39</v>
      </c>
      <c r="X1100" t="s">
        <v>52</v>
      </c>
      <c r="Y1100" t="s">
        <v>38</v>
      </c>
      <c r="Z1100" t="s">
        <v>115</v>
      </c>
      <c r="AA1100" t="s">
        <v>109</v>
      </c>
      <c r="AB1100" t="s">
        <v>55</v>
      </c>
      <c r="AC1100">
        <f t="shared" si="187"/>
        <v>1</v>
      </c>
      <c r="AD1100" s="12">
        <f t="shared" si="191"/>
        <v>0</v>
      </c>
      <c r="AE1100" s="12">
        <f t="shared" si="192"/>
        <v>0</v>
      </c>
      <c r="AF1100">
        <f t="shared" si="188"/>
        <v>0</v>
      </c>
      <c r="AG1100">
        <f t="shared" si="193"/>
        <v>1</v>
      </c>
      <c r="AH1100">
        <f t="shared" si="194"/>
        <v>0</v>
      </c>
      <c r="AI1100">
        <f t="shared" si="195"/>
        <v>0</v>
      </c>
      <c r="AJ1100">
        <f t="shared" si="196"/>
        <v>0</v>
      </c>
      <c r="AK1100">
        <f t="shared" si="189"/>
        <v>0</v>
      </c>
      <c r="AL1100">
        <f t="shared" si="197"/>
        <v>1</v>
      </c>
    </row>
    <row r="1101" spans="1:38">
      <c r="A1101" t="s">
        <v>3430</v>
      </c>
      <c r="B1101" t="s">
        <v>3431</v>
      </c>
      <c r="C1101" s="1">
        <f t="shared" si="190"/>
        <v>45444</v>
      </c>
      <c r="D1101" t="s">
        <v>3432</v>
      </c>
      <c r="E1101">
        <v>98</v>
      </c>
      <c r="F1101">
        <v>4.0999999999999996</v>
      </c>
      <c r="G1101" t="s">
        <v>142</v>
      </c>
      <c r="H1101" t="s">
        <v>260</v>
      </c>
      <c r="I1101" t="s">
        <v>48</v>
      </c>
      <c r="J1101">
        <v>120</v>
      </c>
      <c r="K1101" t="s">
        <v>49</v>
      </c>
      <c r="L1101" t="s">
        <v>34</v>
      </c>
      <c r="M1101" t="s">
        <v>35</v>
      </c>
      <c r="N1101" t="s">
        <v>114</v>
      </c>
      <c r="O1101" t="s">
        <v>51</v>
      </c>
      <c r="P1101" t="s">
        <v>38</v>
      </c>
      <c r="Q1101" t="s">
        <v>38</v>
      </c>
      <c r="R1101">
        <v>1</v>
      </c>
      <c r="S1101" t="s">
        <v>38</v>
      </c>
      <c r="T1101">
        <v>8</v>
      </c>
      <c r="U1101">
        <v>0.7</v>
      </c>
      <c r="V1101">
        <v>18.100000000000001</v>
      </c>
      <c r="W1101" t="s">
        <v>38</v>
      </c>
      <c r="X1101" t="s">
        <v>52</v>
      </c>
      <c r="Y1101" t="s">
        <v>39</v>
      </c>
      <c r="Z1101" t="s">
        <v>179</v>
      </c>
      <c r="AA1101" t="s">
        <v>54</v>
      </c>
      <c r="AB1101" t="s">
        <v>55</v>
      </c>
      <c r="AC1101">
        <f t="shared" si="187"/>
        <v>1</v>
      </c>
      <c r="AD1101" s="12">
        <f t="shared" si="191"/>
        <v>0</v>
      </c>
      <c r="AE1101" s="12">
        <f t="shared" si="192"/>
        <v>0</v>
      </c>
      <c r="AF1101">
        <f t="shared" si="188"/>
        <v>1</v>
      </c>
      <c r="AG1101">
        <f t="shared" si="193"/>
        <v>0</v>
      </c>
      <c r="AH1101">
        <f t="shared" si="194"/>
        <v>1</v>
      </c>
      <c r="AI1101">
        <f t="shared" si="195"/>
        <v>0</v>
      </c>
      <c r="AJ1101">
        <f t="shared" si="196"/>
        <v>0</v>
      </c>
      <c r="AK1101">
        <f t="shared" si="189"/>
        <v>0</v>
      </c>
      <c r="AL1101">
        <f t="shared" si="197"/>
        <v>0</v>
      </c>
    </row>
    <row r="1102" spans="1:38">
      <c r="A1102" t="s">
        <v>3433</v>
      </c>
      <c r="B1102" t="s">
        <v>3434</v>
      </c>
      <c r="C1102" s="1">
        <f t="shared" si="190"/>
        <v>45444</v>
      </c>
      <c r="D1102" t="s">
        <v>3435</v>
      </c>
      <c r="E1102">
        <v>293.7</v>
      </c>
      <c r="F1102">
        <v>12.2</v>
      </c>
      <c r="G1102" t="s">
        <v>30</v>
      </c>
      <c r="H1102" t="s">
        <v>31</v>
      </c>
      <c r="I1102" t="s">
        <v>32</v>
      </c>
      <c r="J1102">
        <v>240</v>
      </c>
      <c r="K1102" t="s">
        <v>33</v>
      </c>
      <c r="L1102" t="s">
        <v>96</v>
      </c>
      <c r="M1102" t="s">
        <v>35</v>
      </c>
      <c r="N1102" t="s">
        <v>299</v>
      </c>
      <c r="O1102" t="s">
        <v>37</v>
      </c>
      <c r="P1102" t="s">
        <v>38</v>
      </c>
      <c r="Q1102" t="s">
        <v>38</v>
      </c>
      <c r="R1102">
        <v>1</v>
      </c>
      <c r="S1102" t="s">
        <v>38</v>
      </c>
      <c r="T1102">
        <v>4</v>
      </c>
      <c r="U1102">
        <v>3.4</v>
      </c>
      <c r="V1102">
        <v>0</v>
      </c>
      <c r="W1102" t="s">
        <v>38</v>
      </c>
      <c r="X1102" t="s">
        <v>52</v>
      </c>
      <c r="Y1102" t="s">
        <v>38</v>
      </c>
      <c r="Z1102" t="s">
        <v>73</v>
      </c>
      <c r="AA1102" t="s">
        <v>82</v>
      </c>
      <c r="AB1102" t="s">
        <v>55</v>
      </c>
      <c r="AC1102">
        <f t="shared" si="187"/>
        <v>1</v>
      </c>
      <c r="AD1102" s="12">
        <f t="shared" si="191"/>
        <v>0</v>
      </c>
      <c r="AE1102" s="12">
        <f t="shared" si="192"/>
        <v>0</v>
      </c>
      <c r="AF1102">
        <f t="shared" si="188"/>
        <v>0</v>
      </c>
      <c r="AG1102">
        <f t="shared" si="193"/>
        <v>0</v>
      </c>
      <c r="AH1102">
        <f t="shared" si="194"/>
        <v>0</v>
      </c>
      <c r="AI1102">
        <f t="shared" si="195"/>
        <v>0</v>
      </c>
      <c r="AJ1102">
        <f t="shared" si="196"/>
        <v>1</v>
      </c>
      <c r="AK1102">
        <f t="shared" si="189"/>
        <v>1</v>
      </c>
      <c r="AL1102">
        <f t="shared" si="197"/>
        <v>1</v>
      </c>
    </row>
    <row r="1103" spans="1:38">
      <c r="A1103" t="s">
        <v>3436</v>
      </c>
      <c r="B1103" t="s">
        <v>3437</v>
      </c>
      <c r="C1103" s="1">
        <f t="shared" si="190"/>
        <v>45383</v>
      </c>
      <c r="D1103" t="s">
        <v>3438</v>
      </c>
      <c r="E1103">
        <v>622</v>
      </c>
      <c r="F1103">
        <v>25.9</v>
      </c>
      <c r="G1103" t="s">
        <v>101</v>
      </c>
      <c r="H1103" t="s">
        <v>295</v>
      </c>
      <c r="I1103" t="s">
        <v>79</v>
      </c>
      <c r="J1103">
        <v>360</v>
      </c>
      <c r="K1103" t="s">
        <v>33</v>
      </c>
      <c r="L1103" t="s">
        <v>133</v>
      </c>
      <c r="M1103" t="s">
        <v>35</v>
      </c>
      <c r="N1103" t="s">
        <v>168</v>
      </c>
      <c r="O1103" t="s">
        <v>37</v>
      </c>
      <c r="P1103" t="s">
        <v>38</v>
      </c>
      <c r="Q1103" t="s">
        <v>38</v>
      </c>
      <c r="R1103">
        <v>1</v>
      </c>
      <c r="S1103" t="s">
        <v>38</v>
      </c>
      <c r="T1103">
        <v>3</v>
      </c>
      <c r="U1103">
        <v>4.3</v>
      </c>
      <c r="V1103">
        <v>10.1</v>
      </c>
      <c r="W1103" t="s">
        <v>38</v>
      </c>
      <c r="X1103" t="s">
        <v>123</v>
      </c>
      <c r="Y1103" t="s">
        <v>38</v>
      </c>
      <c r="Z1103" t="s">
        <v>73</v>
      </c>
      <c r="AA1103" t="s">
        <v>42</v>
      </c>
      <c r="AB1103" t="s">
        <v>83</v>
      </c>
      <c r="AC1103">
        <f t="shared" si="187"/>
        <v>0</v>
      </c>
      <c r="AD1103" s="12">
        <f t="shared" si="191"/>
        <v>0</v>
      </c>
      <c r="AE1103" s="12">
        <f t="shared" si="192"/>
        <v>1</v>
      </c>
      <c r="AF1103">
        <f t="shared" si="188"/>
        <v>0</v>
      </c>
      <c r="AG1103">
        <f t="shared" si="193"/>
        <v>0</v>
      </c>
      <c r="AH1103">
        <f t="shared" si="194"/>
        <v>0</v>
      </c>
      <c r="AI1103">
        <f t="shared" si="195"/>
        <v>0</v>
      </c>
      <c r="AJ1103">
        <f t="shared" si="196"/>
        <v>0</v>
      </c>
      <c r="AK1103">
        <f t="shared" si="189"/>
        <v>0</v>
      </c>
      <c r="AL1103">
        <f t="shared" si="197"/>
        <v>1</v>
      </c>
    </row>
    <row r="1104" spans="1:38">
      <c r="A1104" t="s">
        <v>3439</v>
      </c>
      <c r="B1104" t="s">
        <v>3440</v>
      </c>
      <c r="C1104" s="1">
        <f t="shared" si="190"/>
        <v>45566</v>
      </c>
      <c r="D1104" t="s">
        <v>3441</v>
      </c>
      <c r="E1104">
        <v>241.3</v>
      </c>
      <c r="F1104">
        <v>10.1</v>
      </c>
      <c r="G1104" t="s">
        <v>93</v>
      </c>
      <c r="H1104" t="s">
        <v>291</v>
      </c>
      <c r="I1104" t="s">
        <v>79</v>
      </c>
      <c r="J1104">
        <v>360</v>
      </c>
      <c r="K1104" t="s">
        <v>49</v>
      </c>
      <c r="L1104" t="s">
        <v>34</v>
      </c>
      <c r="M1104" t="s">
        <v>35</v>
      </c>
      <c r="N1104" t="s">
        <v>89</v>
      </c>
      <c r="O1104" t="s">
        <v>7232</v>
      </c>
      <c r="P1104" t="s">
        <v>38</v>
      </c>
      <c r="Q1104" t="s">
        <v>38</v>
      </c>
      <c r="R1104">
        <v>1</v>
      </c>
      <c r="S1104" t="s">
        <v>39</v>
      </c>
      <c r="T1104">
        <v>6</v>
      </c>
      <c r="U1104">
        <v>3.4</v>
      </c>
      <c r="V1104">
        <v>29.6</v>
      </c>
      <c r="W1104" t="s">
        <v>39</v>
      </c>
      <c r="X1104" t="s">
        <v>52</v>
      </c>
      <c r="Y1104" t="s">
        <v>39</v>
      </c>
      <c r="Z1104" t="s">
        <v>64</v>
      </c>
      <c r="AA1104" t="s">
        <v>103</v>
      </c>
      <c r="AB1104" t="s">
        <v>55</v>
      </c>
      <c r="AC1104">
        <f t="shared" si="187"/>
        <v>1</v>
      </c>
      <c r="AD1104" s="12">
        <f t="shared" si="191"/>
        <v>0</v>
      </c>
      <c r="AE1104" s="12">
        <f t="shared" si="192"/>
        <v>0</v>
      </c>
      <c r="AF1104">
        <f t="shared" si="188"/>
        <v>0</v>
      </c>
      <c r="AG1104">
        <f t="shared" si="193"/>
        <v>1</v>
      </c>
      <c r="AH1104">
        <f t="shared" si="194"/>
        <v>0</v>
      </c>
      <c r="AI1104">
        <f t="shared" si="195"/>
        <v>0</v>
      </c>
      <c r="AJ1104">
        <f t="shared" si="196"/>
        <v>0</v>
      </c>
      <c r="AK1104">
        <f t="shared" si="189"/>
        <v>0</v>
      </c>
      <c r="AL1104">
        <f t="shared" si="197"/>
        <v>0</v>
      </c>
    </row>
    <row r="1105" spans="1:38">
      <c r="A1105" t="s">
        <v>3442</v>
      </c>
      <c r="B1105" t="s">
        <v>3443</v>
      </c>
      <c r="C1105" s="1">
        <f t="shared" si="190"/>
        <v>45352</v>
      </c>
      <c r="D1105" t="s">
        <v>3444</v>
      </c>
      <c r="E1105">
        <v>275.3</v>
      </c>
      <c r="F1105">
        <v>11.5</v>
      </c>
      <c r="G1105" t="s">
        <v>77</v>
      </c>
      <c r="H1105" t="s">
        <v>244</v>
      </c>
      <c r="I1105" t="s">
        <v>79</v>
      </c>
      <c r="J1105">
        <v>360</v>
      </c>
      <c r="K1105" t="s">
        <v>49</v>
      </c>
      <c r="L1105" t="s">
        <v>113</v>
      </c>
      <c r="M1105" t="s">
        <v>35</v>
      </c>
      <c r="N1105" t="s">
        <v>506</v>
      </c>
      <c r="O1105" t="s">
        <v>7232</v>
      </c>
      <c r="P1105" t="s">
        <v>38</v>
      </c>
      <c r="Q1105" t="s">
        <v>38</v>
      </c>
      <c r="R1105">
        <v>1</v>
      </c>
      <c r="S1105" t="s">
        <v>38</v>
      </c>
      <c r="T1105">
        <v>6</v>
      </c>
      <c r="U1105">
        <v>3.1</v>
      </c>
      <c r="V1105">
        <v>33.4</v>
      </c>
      <c r="W1105" t="s">
        <v>38</v>
      </c>
      <c r="X1105" t="s">
        <v>123</v>
      </c>
      <c r="Y1105" t="s">
        <v>39</v>
      </c>
      <c r="Z1105" t="s">
        <v>115</v>
      </c>
      <c r="AA1105" t="s">
        <v>109</v>
      </c>
      <c r="AB1105" t="s">
        <v>55</v>
      </c>
      <c r="AC1105">
        <f t="shared" si="187"/>
        <v>0</v>
      </c>
      <c r="AD1105" s="12">
        <f t="shared" si="191"/>
        <v>0</v>
      </c>
      <c r="AE1105" s="12">
        <f t="shared" si="192"/>
        <v>1</v>
      </c>
      <c r="AF1105">
        <f t="shared" si="188"/>
        <v>0</v>
      </c>
      <c r="AG1105">
        <f t="shared" si="193"/>
        <v>1</v>
      </c>
      <c r="AH1105">
        <f t="shared" si="194"/>
        <v>0</v>
      </c>
      <c r="AI1105">
        <f t="shared" si="195"/>
        <v>0</v>
      </c>
      <c r="AJ1105">
        <f t="shared" si="196"/>
        <v>0</v>
      </c>
      <c r="AK1105">
        <f t="shared" si="189"/>
        <v>0</v>
      </c>
      <c r="AL1105">
        <f t="shared" si="197"/>
        <v>0</v>
      </c>
    </row>
    <row r="1106" spans="1:38">
      <c r="A1106" t="s">
        <v>3445</v>
      </c>
      <c r="B1106" t="s">
        <v>3446</v>
      </c>
      <c r="C1106" s="1">
        <f t="shared" si="190"/>
        <v>45566</v>
      </c>
      <c r="D1106" t="s">
        <v>3447</v>
      </c>
      <c r="E1106">
        <v>279</v>
      </c>
      <c r="F1106">
        <v>11.6</v>
      </c>
      <c r="G1106" t="s">
        <v>30</v>
      </c>
      <c r="H1106" t="s">
        <v>172</v>
      </c>
      <c r="I1106" t="s">
        <v>32</v>
      </c>
      <c r="J1106">
        <v>240</v>
      </c>
      <c r="K1106" t="s">
        <v>33</v>
      </c>
      <c r="L1106" t="s">
        <v>34</v>
      </c>
      <c r="M1106" t="s">
        <v>35</v>
      </c>
      <c r="N1106" t="s">
        <v>188</v>
      </c>
      <c r="O1106" t="s">
        <v>37</v>
      </c>
      <c r="P1106" t="s">
        <v>39</v>
      </c>
      <c r="Q1106" t="s">
        <v>38</v>
      </c>
      <c r="R1106">
        <v>0</v>
      </c>
      <c r="S1106" t="s">
        <v>38</v>
      </c>
      <c r="T1106">
        <v>3</v>
      </c>
      <c r="U1106">
        <v>2</v>
      </c>
      <c r="V1106">
        <v>18.3</v>
      </c>
      <c r="W1106" t="s">
        <v>39</v>
      </c>
      <c r="X1106" t="s">
        <v>123</v>
      </c>
      <c r="Y1106" t="s">
        <v>39</v>
      </c>
      <c r="Z1106" t="s">
        <v>41</v>
      </c>
      <c r="AA1106" t="s">
        <v>109</v>
      </c>
      <c r="AB1106" t="s">
        <v>55</v>
      </c>
      <c r="AC1106">
        <f t="shared" si="187"/>
        <v>0</v>
      </c>
      <c r="AD1106" s="12">
        <f t="shared" si="191"/>
        <v>0</v>
      </c>
      <c r="AE1106" s="12">
        <f t="shared" si="192"/>
        <v>1</v>
      </c>
      <c r="AF1106">
        <f t="shared" si="188"/>
        <v>0</v>
      </c>
      <c r="AG1106">
        <f t="shared" si="193"/>
        <v>0</v>
      </c>
      <c r="AH1106">
        <f t="shared" si="194"/>
        <v>0</v>
      </c>
      <c r="AI1106">
        <f t="shared" si="195"/>
        <v>0</v>
      </c>
      <c r="AJ1106">
        <f t="shared" si="196"/>
        <v>1</v>
      </c>
      <c r="AK1106">
        <f t="shared" si="189"/>
        <v>1</v>
      </c>
      <c r="AL1106">
        <f t="shared" si="197"/>
        <v>0</v>
      </c>
    </row>
    <row r="1107" spans="1:38">
      <c r="A1107" t="s">
        <v>3448</v>
      </c>
      <c r="B1107" t="s">
        <v>3449</v>
      </c>
      <c r="C1107" s="1">
        <f t="shared" si="190"/>
        <v>45597</v>
      </c>
      <c r="D1107" t="s">
        <v>3450</v>
      </c>
      <c r="E1107">
        <v>88.6</v>
      </c>
      <c r="F1107">
        <v>3.7</v>
      </c>
      <c r="G1107" t="s">
        <v>68</v>
      </c>
      <c r="H1107" t="s">
        <v>69</v>
      </c>
      <c r="I1107" t="s">
        <v>48</v>
      </c>
      <c r="J1107">
        <v>120</v>
      </c>
      <c r="K1107" t="s">
        <v>49</v>
      </c>
      <c r="L1107" t="s">
        <v>96</v>
      </c>
      <c r="M1107" t="s">
        <v>35</v>
      </c>
      <c r="N1107" t="s">
        <v>414</v>
      </c>
      <c r="O1107" t="s">
        <v>7232</v>
      </c>
      <c r="P1107" t="s">
        <v>38</v>
      </c>
      <c r="Q1107" t="s">
        <v>38</v>
      </c>
      <c r="R1107">
        <v>1</v>
      </c>
      <c r="S1107" t="s">
        <v>38</v>
      </c>
      <c r="T1107">
        <v>10</v>
      </c>
      <c r="U1107">
        <v>4.4000000000000004</v>
      </c>
      <c r="V1107">
        <v>3</v>
      </c>
      <c r="W1107" t="s">
        <v>38</v>
      </c>
      <c r="X1107" t="s">
        <v>123</v>
      </c>
      <c r="Y1107" t="s">
        <v>39</v>
      </c>
      <c r="Z1107" t="s">
        <v>115</v>
      </c>
      <c r="AA1107" t="s">
        <v>109</v>
      </c>
      <c r="AB1107" t="s">
        <v>43</v>
      </c>
      <c r="AC1107">
        <f t="shared" si="187"/>
        <v>0</v>
      </c>
      <c r="AD1107" s="12">
        <f t="shared" si="191"/>
        <v>0</v>
      </c>
      <c r="AE1107" s="12">
        <f t="shared" si="192"/>
        <v>1</v>
      </c>
      <c r="AF1107">
        <f t="shared" si="188"/>
        <v>0</v>
      </c>
      <c r="AG1107">
        <f t="shared" si="193"/>
        <v>1</v>
      </c>
      <c r="AH1107">
        <f t="shared" si="194"/>
        <v>1</v>
      </c>
      <c r="AI1107">
        <f t="shared" si="195"/>
        <v>0</v>
      </c>
      <c r="AJ1107">
        <f t="shared" si="196"/>
        <v>0</v>
      </c>
      <c r="AK1107">
        <f t="shared" si="189"/>
        <v>0</v>
      </c>
      <c r="AL1107">
        <f t="shared" si="197"/>
        <v>0</v>
      </c>
    </row>
    <row r="1108" spans="1:38">
      <c r="A1108" t="s">
        <v>3451</v>
      </c>
      <c r="B1108" t="s">
        <v>3452</v>
      </c>
      <c r="C1108" s="1">
        <f t="shared" si="190"/>
        <v>45413</v>
      </c>
      <c r="D1108" t="s">
        <v>3453</v>
      </c>
      <c r="E1108">
        <v>145.9</v>
      </c>
      <c r="F1108">
        <v>6.1</v>
      </c>
      <c r="G1108" t="s">
        <v>87</v>
      </c>
      <c r="H1108" t="s">
        <v>309</v>
      </c>
      <c r="I1108" t="s">
        <v>32</v>
      </c>
      <c r="J1108">
        <v>240</v>
      </c>
      <c r="K1108" t="s">
        <v>49</v>
      </c>
      <c r="L1108" t="s">
        <v>70</v>
      </c>
      <c r="M1108" t="s">
        <v>35</v>
      </c>
      <c r="N1108" t="s">
        <v>168</v>
      </c>
      <c r="O1108" t="s">
        <v>37</v>
      </c>
      <c r="P1108" t="s">
        <v>38</v>
      </c>
      <c r="Q1108" t="s">
        <v>38</v>
      </c>
      <c r="R1108">
        <v>1</v>
      </c>
      <c r="S1108" t="s">
        <v>39</v>
      </c>
      <c r="T1108">
        <v>7</v>
      </c>
      <c r="U1108">
        <v>0.1</v>
      </c>
      <c r="V1108">
        <v>0</v>
      </c>
      <c r="W1108" t="s">
        <v>39</v>
      </c>
      <c r="X1108" t="s">
        <v>52</v>
      </c>
      <c r="Y1108" t="s">
        <v>39</v>
      </c>
      <c r="Z1108" t="s">
        <v>73</v>
      </c>
      <c r="AA1108" t="s">
        <v>54</v>
      </c>
      <c r="AB1108" t="s">
        <v>55</v>
      </c>
      <c r="AC1108">
        <f t="shared" si="187"/>
        <v>1</v>
      </c>
      <c r="AD1108" s="12">
        <f t="shared" si="191"/>
        <v>0</v>
      </c>
      <c r="AE1108" s="12">
        <f t="shared" si="192"/>
        <v>0</v>
      </c>
      <c r="AF1108">
        <f t="shared" si="188"/>
        <v>0</v>
      </c>
      <c r="AG1108">
        <f t="shared" si="193"/>
        <v>0</v>
      </c>
      <c r="AH1108">
        <f t="shared" si="194"/>
        <v>0</v>
      </c>
      <c r="AI1108">
        <f t="shared" si="195"/>
        <v>0</v>
      </c>
      <c r="AJ1108">
        <f t="shared" si="196"/>
        <v>1</v>
      </c>
      <c r="AK1108">
        <f t="shared" si="189"/>
        <v>0</v>
      </c>
      <c r="AL1108">
        <f t="shared" si="197"/>
        <v>0</v>
      </c>
    </row>
    <row r="1109" spans="1:38">
      <c r="A1109" t="s">
        <v>3454</v>
      </c>
      <c r="B1109" t="s">
        <v>3455</v>
      </c>
      <c r="C1109" s="1">
        <f t="shared" si="190"/>
        <v>45413</v>
      </c>
      <c r="D1109" t="s">
        <v>3456</v>
      </c>
      <c r="E1109">
        <v>237.9</v>
      </c>
      <c r="F1109">
        <v>9.9</v>
      </c>
      <c r="G1109" t="s">
        <v>93</v>
      </c>
      <c r="H1109" t="s">
        <v>94</v>
      </c>
      <c r="I1109" t="s">
        <v>79</v>
      </c>
      <c r="J1109">
        <v>360</v>
      </c>
      <c r="K1109" t="s">
        <v>49</v>
      </c>
      <c r="L1109" t="s">
        <v>113</v>
      </c>
      <c r="M1109" t="s">
        <v>35</v>
      </c>
      <c r="N1109" t="s">
        <v>506</v>
      </c>
      <c r="O1109" t="s">
        <v>37</v>
      </c>
      <c r="P1109" t="s">
        <v>38</v>
      </c>
      <c r="Q1109" t="s">
        <v>38</v>
      </c>
      <c r="R1109">
        <v>1</v>
      </c>
      <c r="S1109" t="s">
        <v>38</v>
      </c>
      <c r="T1109">
        <v>9</v>
      </c>
      <c r="U1109">
        <v>2.2999999999999998</v>
      </c>
      <c r="V1109">
        <v>30.9</v>
      </c>
      <c r="W1109" t="s">
        <v>39</v>
      </c>
      <c r="X1109" t="s">
        <v>123</v>
      </c>
      <c r="Y1109" t="s">
        <v>39</v>
      </c>
      <c r="Z1109" t="s">
        <v>41</v>
      </c>
      <c r="AA1109" t="s">
        <v>103</v>
      </c>
      <c r="AB1109" t="s">
        <v>55</v>
      </c>
      <c r="AC1109">
        <f t="shared" si="187"/>
        <v>0</v>
      </c>
      <c r="AD1109" s="12">
        <f t="shared" si="191"/>
        <v>0</v>
      </c>
      <c r="AE1109" s="12">
        <f t="shared" si="192"/>
        <v>1</v>
      </c>
      <c r="AF1109">
        <f t="shared" si="188"/>
        <v>0</v>
      </c>
      <c r="AG1109">
        <f t="shared" si="193"/>
        <v>0</v>
      </c>
      <c r="AH1109">
        <f t="shared" si="194"/>
        <v>0</v>
      </c>
      <c r="AI1109">
        <f t="shared" si="195"/>
        <v>0</v>
      </c>
      <c r="AJ1109">
        <f t="shared" si="196"/>
        <v>0</v>
      </c>
      <c r="AK1109">
        <f t="shared" si="189"/>
        <v>0</v>
      </c>
      <c r="AL1109">
        <f t="shared" si="197"/>
        <v>0</v>
      </c>
    </row>
    <row r="1110" spans="1:38">
      <c r="A1110" t="s">
        <v>3457</v>
      </c>
      <c r="B1110" t="s">
        <v>3458</v>
      </c>
      <c r="C1110" s="1">
        <f t="shared" si="190"/>
        <v>45323</v>
      </c>
      <c r="D1110" t="s">
        <v>3459</v>
      </c>
      <c r="E1110">
        <v>89.4</v>
      </c>
      <c r="F1110">
        <v>3.7</v>
      </c>
      <c r="G1110" t="s">
        <v>142</v>
      </c>
      <c r="H1110" t="s">
        <v>319</v>
      </c>
      <c r="I1110" t="s">
        <v>48</v>
      </c>
      <c r="J1110">
        <v>120</v>
      </c>
      <c r="K1110" t="s">
        <v>49</v>
      </c>
      <c r="L1110" t="s">
        <v>96</v>
      </c>
      <c r="M1110" t="s">
        <v>71</v>
      </c>
      <c r="N1110" t="s">
        <v>138</v>
      </c>
      <c r="O1110" t="s">
        <v>7232</v>
      </c>
      <c r="P1110" t="s">
        <v>38</v>
      </c>
      <c r="Q1110" t="s">
        <v>39</v>
      </c>
      <c r="R1110">
        <v>4</v>
      </c>
      <c r="S1110" t="s">
        <v>38</v>
      </c>
      <c r="T1110">
        <v>7</v>
      </c>
      <c r="U1110">
        <v>5</v>
      </c>
      <c r="V1110">
        <v>15.8</v>
      </c>
      <c r="W1110" t="s">
        <v>39</v>
      </c>
      <c r="X1110" t="s">
        <v>63</v>
      </c>
      <c r="Y1110" t="s">
        <v>39</v>
      </c>
      <c r="Z1110" t="s">
        <v>53</v>
      </c>
      <c r="AA1110" t="s">
        <v>54</v>
      </c>
      <c r="AB1110" t="s">
        <v>43</v>
      </c>
      <c r="AC1110">
        <f t="shared" si="187"/>
        <v>0</v>
      </c>
      <c r="AD1110" s="12">
        <f t="shared" si="191"/>
        <v>1</v>
      </c>
      <c r="AE1110" s="12">
        <f t="shared" si="192"/>
        <v>0</v>
      </c>
      <c r="AF1110">
        <f t="shared" si="188"/>
        <v>0</v>
      </c>
      <c r="AG1110">
        <f t="shared" si="193"/>
        <v>1</v>
      </c>
      <c r="AH1110">
        <f t="shared" si="194"/>
        <v>1</v>
      </c>
      <c r="AI1110">
        <f t="shared" si="195"/>
        <v>0</v>
      </c>
      <c r="AJ1110">
        <f t="shared" si="196"/>
        <v>0</v>
      </c>
      <c r="AK1110">
        <f t="shared" si="189"/>
        <v>0</v>
      </c>
      <c r="AL1110">
        <f t="shared" si="197"/>
        <v>0</v>
      </c>
    </row>
    <row r="1111" spans="1:38">
      <c r="A1111" t="s">
        <v>3460</v>
      </c>
      <c r="B1111" t="s">
        <v>3461</v>
      </c>
      <c r="C1111" s="1">
        <f t="shared" si="190"/>
        <v>45413</v>
      </c>
      <c r="D1111" t="s">
        <v>3462</v>
      </c>
      <c r="E1111">
        <v>348.2</v>
      </c>
      <c r="F1111">
        <v>14.5</v>
      </c>
      <c r="G1111" t="s">
        <v>87</v>
      </c>
      <c r="H1111" t="s">
        <v>151</v>
      </c>
      <c r="I1111" t="s">
        <v>32</v>
      </c>
      <c r="J1111">
        <v>240</v>
      </c>
      <c r="K1111" t="s">
        <v>33</v>
      </c>
      <c r="L1111" t="s">
        <v>113</v>
      </c>
      <c r="M1111" t="s">
        <v>71</v>
      </c>
      <c r="N1111" t="s">
        <v>144</v>
      </c>
      <c r="O1111" t="s">
        <v>7232</v>
      </c>
      <c r="P1111" t="s">
        <v>38</v>
      </c>
      <c r="Q1111" t="s">
        <v>39</v>
      </c>
      <c r="R1111">
        <v>3</v>
      </c>
      <c r="S1111" t="s">
        <v>39</v>
      </c>
      <c r="T1111">
        <v>8</v>
      </c>
      <c r="U1111">
        <v>3.9</v>
      </c>
      <c r="V1111">
        <v>25.1</v>
      </c>
      <c r="W1111" t="s">
        <v>38</v>
      </c>
      <c r="X1111" t="s">
        <v>40</v>
      </c>
      <c r="Y1111" t="s">
        <v>39</v>
      </c>
      <c r="Z1111" t="s">
        <v>115</v>
      </c>
      <c r="AA1111" t="s">
        <v>103</v>
      </c>
      <c r="AB1111" t="s">
        <v>83</v>
      </c>
      <c r="AC1111">
        <f t="shared" si="187"/>
        <v>0</v>
      </c>
      <c r="AD1111" s="12">
        <f t="shared" si="191"/>
        <v>0</v>
      </c>
      <c r="AE1111" s="12">
        <f t="shared" si="192"/>
        <v>0</v>
      </c>
      <c r="AF1111">
        <f t="shared" si="188"/>
        <v>0</v>
      </c>
      <c r="AG1111">
        <f t="shared" si="193"/>
        <v>1</v>
      </c>
      <c r="AH1111">
        <f t="shared" si="194"/>
        <v>0</v>
      </c>
      <c r="AI1111">
        <f t="shared" si="195"/>
        <v>0</v>
      </c>
      <c r="AJ1111">
        <f t="shared" si="196"/>
        <v>1</v>
      </c>
      <c r="AK1111">
        <f t="shared" si="189"/>
        <v>0</v>
      </c>
      <c r="AL1111">
        <f t="shared" si="197"/>
        <v>0</v>
      </c>
    </row>
    <row r="1112" spans="1:38">
      <c r="A1112" t="s">
        <v>3463</v>
      </c>
      <c r="B1112" t="s">
        <v>3464</v>
      </c>
      <c r="C1112" s="1">
        <f t="shared" si="190"/>
        <v>45536</v>
      </c>
      <c r="D1112" t="s">
        <v>3465</v>
      </c>
      <c r="E1112">
        <v>210.5</v>
      </c>
      <c r="F1112">
        <v>8.8000000000000007</v>
      </c>
      <c r="G1112" t="s">
        <v>77</v>
      </c>
      <c r="H1112" t="s">
        <v>244</v>
      </c>
      <c r="I1112" t="s">
        <v>32</v>
      </c>
      <c r="J1112">
        <v>240</v>
      </c>
      <c r="K1112" t="s">
        <v>49</v>
      </c>
      <c r="L1112" t="s">
        <v>96</v>
      </c>
      <c r="M1112" t="s">
        <v>35</v>
      </c>
      <c r="N1112" t="s">
        <v>72</v>
      </c>
      <c r="O1112" t="s">
        <v>51</v>
      </c>
      <c r="P1112" t="s">
        <v>38</v>
      </c>
      <c r="Q1112" t="s">
        <v>38</v>
      </c>
      <c r="R1112">
        <v>1</v>
      </c>
      <c r="S1112" t="s">
        <v>39</v>
      </c>
      <c r="T1112">
        <v>8</v>
      </c>
      <c r="U1112">
        <v>1.1000000000000001</v>
      </c>
      <c r="V1112">
        <v>12</v>
      </c>
      <c r="W1112" t="s">
        <v>39</v>
      </c>
      <c r="X1112" t="s">
        <v>52</v>
      </c>
      <c r="Y1112" t="s">
        <v>38</v>
      </c>
      <c r="Z1112" t="s">
        <v>108</v>
      </c>
      <c r="AA1112" t="s">
        <v>82</v>
      </c>
      <c r="AB1112" t="s">
        <v>83</v>
      </c>
      <c r="AC1112">
        <f t="shared" si="187"/>
        <v>1</v>
      </c>
      <c r="AD1112" s="12">
        <f t="shared" si="191"/>
        <v>0</v>
      </c>
      <c r="AE1112" s="12">
        <f t="shared" si="192"/>
        <v>0</v>
      </c>
      <c r="AF1112">
        <f t="shared" si="188"/>
        <v>1</v>
      </c>
      <c r="AG1112">
        <f t="shared" si="193"/>
        <v>0</v>
      </c>
      <c r="AH1112">
        <f t="shared" si="194"/>
        <v>0</v>
      </c>
      <c r="AI1112">
        <f t="shared" si="195"/>
        <v>0</v>
      </c>
      <c r="AJ1112">
        <f t="shared" si="196"/>
        <v>1</v>
      </c>
      <c r="AK1112">
        <f t="shared" si="189"/>
        <v>0</v>
      </c>
      <c r="AL1112">
        <f t="shared" si="197"/>
        <v>1</v>
      </c>
    </row>
    <row r="1113" spans="1:38">
      <c r="A1113" t="s">
        <v>3466</v>
      </c>
      <c r="B1113" t="s">
        <v>3467</v>
      </c>
      <c r="C1113" s="1">
        <f t="shared" si="190"/>
        <v>45383</v>
      </c>
      <c r="D1113" t="s">
        <v>3468</v>
      </c>
      <c r="E1113">
        <v>217.7</v>
      </c>
      <c r="F1113">
        <v>9.1</v>
      </c>
      <c r="G1113" t="s">
        <v>93</v>
      </c>
      <c r="H1113" t="s">
        <v>449</v>
      </c>
      <c r="I1113" t="s">
        <v>79</v>
      </c>
      <c r="J1113">
        <v>360</v>
      </c>
      <c r="K1113" t="s">
        <v>49</v>
      </c>
      <c r="L1113" t="s">
        <v>113</v>
      </c>
      <c r="M1113" t="s">
        <v>35</v>
      </c>
      <c r="N1113" t="s">
        <v>202</v>
      </c>
      <c r="O1113" t="s">
        <v>37</v>
      </c>
      <c r="P1113" t="s">
        <v>39</v>
      </c>
      <c r="Q1113" t="s">
        <v>38</v>
      </c>
      <c r="R1113">
        <v>0</v>
      </c>
      <c r="S1113" t="s">
        <v>38</v>
      </c>
      <c r="T1113">
        <v>10</v>
      </c>
      <c r="U1113">
        <v>3.8</v>
      </c>
      <c r="V1113">
        <v>1.6</v>
      </c>
      <c r="W1113" t="s">
        <v>39</v>
      </c>
      <c r="X1113" t="s">
        <v>123</v>
      </c>
      <c r="Y1113" t="s">
        <v>39</v>
      </c>
      <c r="Z1113" t="s">
        <v>81</v>
      </c>
      <c r="AA1113" t="s">
        <v>42</v>
      </c>
      <c r="AB1113" t="s">
        <v>43</v>
      </c>
      <c r="AC1113">
        <f t="shared" si="187"/>
        <v>0</v>
      </c>
      <c r="AD1113" s="12">
        <f t="shared" si="191"/>
        <v>0</v>
      </c>
      <c r="AE1113" s="12">
        <f t="shared" si="192"/>
        <v>1</v>
      </c>
      <c r="AF1113">
        <f t="shared" si="188"/>
        <v>0</v>
      </c>
      <c r="AG1113">
        <f t="shared" si="193"/>
        <v>0</v>
      </c>
      <c r="AH1113">
        <f t="shared" si="194"/>
        <v>0</v>
      </c>
      <c r="AI1113">
        <f t="shared" si="195"/>
        <v>0</v>
      </c>
      <c r="AJ1113">
        <f t="shared" si="196"/>
        <v>0</v>
      </c>
      <c r="AK1113">
        <f t="shared" si="189"/>
        <v>0</v>
      </c>
      <c r="AL1113">
        <f t="shared" si="197"/>
        <v>0</v>
      </c>
    </row>
    <row r="1114" spans="1:38">
      <c r="A1114" t="s">
        <v>3469</v>
      </c>
      <c r="B1114" t="s">
        <v>3470</v>
      </c>
      <c r="C1114" s="1">
        <f t="shared" si="190"/>
        <v>45474</v>
      </c>
      <c r="D1114" t="s">
        <v>3471</v>
      </c>
      <c r="E1114">
        <v>177.2</v>
      </c>
      <c r="F1114">
        <v>7.4</v>
      </c>
      <c r="G1114" t="s">
        <v>68</v>
      </c>
      <c r="H1114" t="s">
        <v>456</v>
      </c>
      <c r="I1114" t="s">
        <v>48</v>
      </c>
      <c r="J1114">
        <v>120</v>
      </c>
      <c r="K1114" t="s">
        <v>33</v>
      </c>
      <c r="L1114" t="s">
        <v>34</v>
      </c>
      <c r="M1114" t="s">
        <v>35</v>
      </c>
      <c r="N1114" t="s">
        <v>192</v>
      </c>
      <c r="O1114" t="s">
        <v>37</v>
      </c>
      <c r="P1114" t="s">
        <v>38</v>
      </c>
      <c r="Q1114" t="s">
        <v>38</v>
      </c>
      <c r="R1114">
        <v>1</v>
      </c>
      <c r="S1114" t="s">
        <v>38</v>
      </c>
      <c r="T1114">
        <v>4</v>
      </c>
      <c r="U1114">
        <v>4.7</v>
      </c>
      <c r="V1114">
        <v>11.5</v>
      </c>
      <c r="W1114" t="s">
        <v>39</v>
      </c>
      <c r="X1114" t="s">
        <v>123</v>
      </c>
      <c r="Y1114" t="s">
        <v>39</v>
      </c>
      <c r="Z1114" t="s">
        <v>53</v>
      </c>
      <c r="AA1114" t="s">
        <v>109</v>
      </c>
      <c r="AB1114" t="s">
        <v>43</v>
      </c>
      <c r="AC1114">
        <f t="shared" si="187"/>
        <v>0</v>
      </c>
      <c r="AD1114" s="12">
        <f t="shared" si="191"/>
        <v>0</v>
      </c>
      <c r="AE1114" s="12">
        <f t="shared" si="192"/>
        <v>1</v>
      </c>
      <c r="AF1114">
        <f t="shared" si="188"/>
        <v>0</v>
      </c>
      <c r="AG1114">
        <f t="shared" si="193"/>
        <v>0</v>
      </c>
      <c r="AH1114">
        <f t="shared" si="194"/>
        <v>1</v>
      </c>
      <c r="AI1114">
        <f t="shared" si="195"/>
        <v>0</v>
      </c>
      <c r="AJ1114">
        <f t="shared" si="196"/>
        <v>0</v>
      </c>
      <c r="AK1114">
        <f t="shared" si="189"/>
        <v>0</v>
      </c>
      <c r="AL1114">
        <f t="shared" si="197"/>
        <v>0</v>
      </c>
    </row>
    <row r="1115" spans="1:38">
      <c r="A1115" t="s">
        <v>3472</v>
      </c>
      <c r="B1115" t="s">
        <v>3473</v>
      </c>
      <c r="C1115" s="1">
        <f t="shared" si="190"/>
        <v>45292</v>
      </c>
      <c r="D1115" t="s">
        <v>3474</v>
      </c>
      <c r="E1115">
        <v>167.3</v>
      </c>
      <c r="F1115">
        <v>7</v>
      </c>
      <c r="G1115" t="s">
        <v>30</v>
      </c>
      <c r="H1115" t="s">
        <v>31</v>
      </c>
      <c r="I1115" t="s">
        <v>32</v>
      </c>
      <c r="J1115">
        <v>240</v>
      </c>
      <c r="K1115" t="s">
        <v>49</v>
      </c>
      <c r="L1115" t="s">
        <v>96</v>
      </c>
      <c r="M1115" t="s">
        <v>71</v>
      </c>
      <c r="N1115" t="s">
        <v>61</v>
      </c>
      <c r="O1115" t="s">
        <v>51</v>
      </c>
      <c r="P1115" t="s">
        <v>38</v>
      </c>
      <c r="Q1115" t="s">
        <v>39</v>
      </c>
      <c r="R1115">
        <v>4</v>
      </c>
      <c r="S1115" t="s">
        <v>38</v>
      </c>
      <c r="T1115">
        <v>7</v>
      </c>
      <c r="U1115">
        <v>1.8</v>
      </c>
      <c r="V1115">
        <v>15.9</v>
      </c>
      <c r="W1115" t="s">
        <v>39</v>
      </c>
      <c r="X1115" t="s">
        <v>123</v>
      </c>
      <c r="Y1115" t="s">
        <v>39</v>
      </c>
      <c r="Z1115" t="s">
        <v>81</v>
      </c>
      <c r="AA1115" t="s">
        <v>82</v>
      </c>
      <c r="AB1115" t="s">
        <v>83</v>
      </c>
      <c r="AC1115">
        <f t="shared" si="187"/>
        <v>0</v>
      </c>
      <c r="AD1115" s="12">
        <f t="shared" si="191"/>
        <v>0</v>
      </c>
      <c r="AE1115" s="12">
        <f t="shared" si="192"/>
        <v>1</v>
      </c>
      <c r="AF1115">
        <f t="shared" si="188"/>
        <v>1</v>
      </c>
      <c r="AG1115">
        <f t="shared" si="193"/>
        <v>0</v>
      </c>
      <c r="AH1115">
        <f t="shared" si="194"/>
        <v>0</v>
      </c>
      <c r="AI1115">
        <f t="shared" si="195"/>
        <v>0</v>
      </c>
      <c r="AJ1115">
        <f t="shared" si="196"/>
        <v>1</v>
      </c>
      <c r="AK1115">
        <f t="shared" si="189"/>
        <v>1</v>
      </c>
      <c r="AL1115">
        <f t="shared" si="197"/>
        <v>0</v>
      </c>
    </row>
    <row r="1116" spans="1:38">
      <c r="A1116" t="s">
        <v>3475</v>
      </c>
      <c r="B1116" t="s">
        <v>3476</v>
      </c>
      <c r="C1116" s="1">
        <f t="shared" si="190"/>
        <v>45413</v>
      </c>
      <c r="D1116" t="s">
        <v>3477</v>
      </c>
      <c r="E1116">
        <v>139.69999999999999</v>
      </c>
      <c r="F1116">
        <v>5.8</v>
      </c>
      <c r="G1116" t="s">
        <v>59</v>
      </c>
      <c r="H1116" t="s">
        <v>60</v>
      </c>
      <c r="I1116" t="s">
        <v>48</v>
      </c>
      <c r="J1116">
        <v>120</v>
      </c>
      <c r="K1116" t="s">
        <v>33</v>
      </c>
      <c r="L1116" t="s">
        <v>96</v>
      </c>
      <c r="M1116" t="s">
        <v>35</v>
      </c>
      <c r="N1116" t="s">
        <v>188</v>
      </c>
      <c r="O1116" t="s">
        <v>37</v>
      </c>
      <c r="P1116" t="s">
        <v>38</v>
      </c>
      <c r="Q1116" t="s">
        <v>38</v>
      </c>
      <c r="R1116">
        <v>1</v>
      </c>
      <c r="S1116" t="s">
        <v>38</v>
      </c>
      <c r="T1116">
        <v>3</v>
      </c>
      <c r="U1116">
        <v>4.7</v>
      </c>
      <c r="V1116">
        <v>25.2</v>
      </c>
      <c r="W1116" t="s">
        <v>39</v>
      </c>
      <c r="X1116" t="s">
        <v>52</v>
      </c>
      <c r="Y1116" t="s">
        <v>39</v>
      </c>
      <c r="Z1116" t="s">
        <v>81</v>
      </c>
      <c r="AA1116" t="s">
        <v>103</v>
      </c>
      <c r="AB1116" t="s">
        <v>55</v>
      </c>
      <c r="AC1116">
        <f t="shared" si="187"/>
        <v>1</v>
      </c>
      <c r="AD1116" s="12">
        <f t="shared" si="191"/>
        <v>0</v>
      </c>
      <c r="AE1116" s="12">
        <f t="shared" si="192"/>
        <v>0</v>
      </c>
      <c r="AF1116">
        <f t="shared" si="188"/>
        <v>0</v>
      </c>
      <c r="AG1116">
        <f t="shared" si="193"/>
        <v>0</v>
      </c>
      <c r="AH1116">
        <f t="shared" si="194"/>
        <v>1</v>
      </c>
      <c r="AI1116">
        <f t="shared" si="195"/>
        <v>0</v>
      </c>
      <c r="AJ1116">
        <f t="shared" si="196"/>
        <v>0</v>
      </c>
      <c r="AK1116">
        <f t="shared" si="189"/>
        <v>0</v>
      </c>
      <c r="AL1116">
        <f t="shared" si="197"/>
        <v>0</v>
      </c>
    </row>
    <row r="1117" spans="1:38">
      <c r="A1117" t="s">
        <v>3478</v>
      </c>
      <c r="B1117" t="s">
        <v>3479</v>
      </c>
      <c r="C1117" s="1">
        <f t="shared" si="190"/>
        <v>45292</v>
      </c>
      <c r="D1117" t="s">
        <v>3480</v>
      </c>
      <c r="E1117">
        <v>100.1</v>
      </c>
      <c r="F1117">
        <v>4.2</v>
      </c>
      <c r="G1117" t="s">
        <v>68</v>
      </c>
      <c r="H1117" t="s">
        <v>219</v>
      </c>
      <c r="I1117" t="s">
        <v>48</v>
      </c>
      <c r="J1117">
        <v>120</v>
      </c>
      <c r="K1117" t="s">
        <v>49</v>
      </c>
      <c r="L1117" t="s">
        <v>34</v>
      </c>
      <c r="M1117" t="s">
        <v>35</v>
      </c>
      <c r="N1117" t="s">
        <v>202</v>
      </c>
      <c r="O1117" t="s">
        <v>7232</v>
      </c>
      <c r="P1117" t="s">
        <v>38</v>
      </c>
      <c r="Q1117" t="s">
        <v>38</v>
      </c>
      <c r="R1117">
        <v>1</v>
      </c>
      <c r="S1117" t="s">
        <v>38</v>
      </c>
      <c r="T1117">
        <v>6</v>
      </c>
      <c r="U1117">
        <v>1.3</v>
      </c>
      <c r="V1117">
        <v>10</v>
      </c>
      <c r="W1117" t="s">
        <v>38</v>
      </c>
      <c r="X1117" t="s">
        <v>63</v>
      </c>
      <c r="Y1117" t="s">
        <v>39</v>
      </c>
      <c r="Z1117" t="s">
        <v>115</v>
      </c>
      <c r="AA1117" t="s">
        <v>109</v>
      </c>
      <c r="AB1117" t="s">
        <v>55</v>
      </c>
      <c r="AC1117">
        <f t="shared" si="187"/>
        <v>0</v>
      </c>
      <c r="AD1117" s="12">
        <f t="shared" si="191"/>
        <v>1</v>
      </c>
      <c r="AE1117" s="12">
        <f t="shared" si="192"/>
        <v>0</v>
      </c>
      <c r="AF1117">
        <f t="shared" si="188"/>
        <v>0</v>
      </c>
      <c r="AG1117">
        <f t="shared" si="193"/>
        <v>1</v>
      </c>
      <c r="AH1117">
        <f t="shared" si="194"/>
        <v>1</v>
      </c>
      <c r="AI1117">
        <f t="shared" si="195"/>
        <v>0</v>
      </c>
      <c r="AJ1117">
        <f t="shared" si="196"/>
        <v>0</v>
      </c>
      <c r="AK1117">
        <f t="shared" si="189"/>
        <v>0</v>
      </c>
      <c r="AL1117">
        <f t="shared" si="197"/>
        <v>0</v>
      </c>
    </row>
    <row r="1118" spans="1:38">
      <c r="A1118" t="s">
        <v>3481</v>
      </c>
      <c r="B1118" t="s">
        <v>3482</v>
      </c>
      <c r="C1118" s="1">
        <f t="shared" si="190"/>
        <v>45597</v>
      </c>
      <c r="D1118" t="s">
        <v>3483</v>
      </c>
      <c r="E1118">
        <v>292.60000000000002</v>
      </c>
      <c r="F1118">
        <v>12.2</v>
      </c>
      <c r="G1118" t="s">
        <v>77</v>
      </c>
      <c r="H1118" t="s">
        <v>244</v>
      </c>
      <c r="I1118" t="s">
        <v>79</v>
      </c>
      <c r="J1118">
        <v>360</v>
      </c>
      <c r="K1118" t="s">
        <v>49</v>
      </c>
      <c r="L1118" t="s">
        <v>113</v>
      </c>
      <c r="M1118" t="s">
        <v>35</v>
      </c>
      <c r="N1118" t="s">
        <v>414</v>
      </c>
      <c r="O1118" t="s">
        <v>51</v>
      </c>
      <c r="P1118" t="s">
        <v>38</v>
      </c>
      <c r="Q1118" t="s">
        <v>38</v>
      </c>
      <c r="R1118">
        <v>1</v>
      </c>
      <c r="S1118" t="s">
        <v>38</v>
      </c>
      <c r="T1118">
        <v>9</v>
      </c>
      <c r="U1118">
        <v>2.2000000000000002</v>
      </c>
      <c r="V1118">
        <v>20.6</v>
      </c>
      <c r="W1118" t="s">
        <v>39</v>
      </c>
      <c r="X1118" t="s">
        <v>52</v>
      </c>
      <c r="Y1118" t="s">
        <v>39</v>
      </c>
      <c r="Z1118" t="s">
        <v>41</v>
      </c>
      <c r="AA1118" t="s">
        <v>103</v>
      </c>
      <c r="AB1118" t="s">
        <v>83</v>
      </c>
      <c r="AC1118">
        <f t="shared" si="187"/>
        <v>1</v>
      </c>
      <c r="AD1118" s="12">
        <f t="shared" si="191"/>
        <v>0</v>
      </c>
      <c r="AE1118" s="12">
        <f t="shared" si="192"/>
        <v>0</v>
      </c>
      <c r="AF1118">
        <f t="shared" si="188"/>
        <v>1</v>
      </c>
      <c r="AG1118">
        <f t="shared" si="193"/>
        <v>0</v>
      </c>
      <c r="AH1118">
        <f t="shared" si="194"/>
        <v>0</v>
      </c>
      <c r="AI1118">
        <f t="shared" si="195"/>
        <v>0</v>
      </c>
      <c r="AJ1118">
        <f t="shared" si="196"/>
        <v>0</v>
      </c>
      <c r="AK1118">
        <f t="shared" si="189"/>
        <v>0</v>
      </c>
      <c r="AL1118">
        <f t="shared" si="197"/>
        <v>0</v>
      </c>
    </row>
    <row r="1119" spans="1:38">
      <c r="A1119" t="s">
        <v>3484</v>
      </c>
      <c r="B1119" t="s">
        <v>3485</v>
      </c>
      <c r="C1119" s="1">
        <f t="shared" si="190"/>
        <v>45474</v>
      </c>
      <c r="D1119" t="s">
        <v>3486</v>
      </c>
      <c r="E1119">
        <v>102.2</v>
      </c>
      <c r="F1119">
        <v>4.3</v>
      </c>
      <c r="G1119" t="s">
        <v>59</v>
      </c>
      <c r="H1119" t="s">
        <v>227</v>
      </c>
      <c r="I1119" t="s">
        <v>48</v>
      </c>
      <c r="J1119">
        <v>120</v>
      </c>
      <c r="K1119" t="s">
        <v>49</v>
      </c>
      <c r="L1119" t="s">
        <v>70</v>
      </c>
      <c r="M1119" t="s">
        <v>71</v>
      </c>
      <c r="N1119" t="s">
        <v>155</v>
      </c>
      <c r="O1119" t="s">
        <v>37</v>
      </c>
      <c r="P1119" t="s">
        <v>38</v>
      </c>
      <c r="Q1119" t="s">
        <v>39</v>
      </c>
      <c r="R1119">
        <v>2</v>
      </c>
      <c r="S1119" t="s">
        <v>38</v>
      </c>
      <c r="T1119">
        <v>10</v>
      </c>
      <c r="U1119">
        <v>3.7</v>
      </c>
      <c r="V1119">
        <v>27.4</v>
      </c>
      <c r="W1119" t="s">
        <v>38</v>
      </c>
      <c r="X1119" t="s">
        <v>123</v>
      </c>
      <c r="Y1119" t="s">
        <v>39</v>
      </c>
      <c r="Z1119" t="s">
        <v>53</v>
      </c>
      <c r="AA1119" t="s">
        <v>82</v>
      </c>
      <c r="AB1119" t="s">
        <v>43</v>
      </c>
      <c r="AC1119">
        <f t="shared" si="187"/>
        <v>0</v>
      </c>
      <c r="AD1119" s="12">
        <f t="shared" si="191"/>
        <v>0</v>
      </c>
      <c r="AE1119" s="12">
        <f t="shared" si="192"/>
        <v>1</v>
      </c>
      <c r="AF1119">
        <f t="shared" si="188"/>
        <v>0</v>
      </c>
      <c r="AG1119">
        <f t="shared" si="193"/>
        <v>0</v>
      </c>
      <c r="AH1119">
        <f t="shared" si="194"/>
        <v>1</v>
      </c>
      <c r="AI1119">
        <f t="shared" si="195"/>
        <v>0</v>
      </c>
      <c r="AJ1119">
        <f t="shared" si="196"/>
        <v>0</v>
      </c>
      <c r="AK1119">
        <f t="shared" si="189"/>
        <v>0</v>
      </c>
      <c r="AL1119">
        <f t="shared" si="197"/>
        <v>0</v>
      </c>
    </row>
    <row r="1120" spans="1:38">
      <c r="A1120" t="s">
        <v>3487</v>
      </c>
      <c r="B1120" t="s">
        <v>3488</v>
      </c>
      <c r="C1120" s="1">
        <f t="shared" si="190"/>
        <v>45444</v>
      </c>
      <c r="D1120" t="s">
        <v>3489</v>
      </c>
      <c r="E1120">
        <v>82.8</v>
      </c>
      <c r="F1120">
        <v>3.5</v>
      </c>
      <c r="G1120" t="s">
        <v>59</v>
      </c>
      <c r="H1120" t="s">
        <v>60</v>
      </c>
      <c r="I1120" t="s">
        <v>48</v>
      </c>
      <c r="J1120">
        <v>120</v>
      </c>
      <c r="K1120" t="s">
        <v>49</v>
      </c>
      <c r="L1120" t="s">
        <v>96</v>
      </c>
      <c r="M1120" t="s">
        <v>35</v>
      </c>
      <c r="N1120" t="s">
        <v>114</v>
      </c>
      <c r="O1120" t="s">
        <v>7232</v>
      </c>
      <c r="P1120" t="s">
        <v>38</v>
      </c>
      <c r="Q1120" t="s">
        <v>38</v>
      </c>
      <c r="R1120">
        <v>1</v>
      </c>
      <c r="S1120" t="s">
        <v>38</v>
      </c>
      <c r="T1120">
        <v>8</v>
      </c>
      <c r="U1120">
        <v>2.9</v>
      </c>
      <c r="V1120">
        <v>10.199999999999999</v>
      </c>
      <c r="W1120" t="s">
        <v>39</v>
      </c>
      <c r="X1120" t="s">
        <v>40</v>
      </c>
      <c r="Y1120" t="s">
        <v>38</v>
      </c>
      <c r="Z1120" t="s">
        <v>73</v>
      </c>
      <c r="AA1120" t="s">
        <v>103</v>
      </c>
      <c r="AB1120" t="s">
        <v>83</v>
      </c>
      <c r="AC1120">
        <f t="shared" si="187"/>
        <v>0</v>
      </c>
      <c r="AD1120" s="12">
        <f t="shared" si="191"/>
        <v>0</v>
      </c>
      <c r="AE1120" s="12">
        <f t="shared" si="192"/>
        <v>0</v>
      </c>
      <c r="AF1120">
        <f t="shared" si="188"/>
        <v>0</v>
      </c>
      <c r="AG1120">
        <f t="shared" si="193"/>
        <v>1</v>
      </c>
      <c r="AH1120">
        <f t="shared" si="194"/>
        <v>1</v>
      </c>
      <c r="AI1120">
        <f t="shared" si="195"/>
        <v>0</v>
      </c>
      <c r="AJ1120">
        <f t="shared" si="196"/>
        <v>0</v>
      </c>
      <c r="AK1120">
        <f t="shared" si="189"/>
        <v>0</v>
      </c>
      <c r="AL1120">
        <f t="shared" si="197"/>
        <v>1</v>
      </c>
    </row>
    <row r="1121" spans="1:38">
      <c r="A1121" t="s">
        <v>3490</v>
      </c>
      <c r="B1121" t="s">
        <v>3491</v>
      </c>
      <c r="C1121" s="1">
        <f t="shared" si="190"/>
        <v>45597</v>
      </c>
      <c r="D1121" t="s">
        <v>3492</v>
      </c>
      <c r="E1121">
        <v>88.5</v>
      </c>
      <c r="F1121">
        <v>3.7</v>
      </c>
      <c r="G1121" t="s">
        <v>101</v>
      </c>
      <c r="H1121" t="s">
        <v>102</v>
      </c>
      <c r="I1121" t="s">
        <v>48</v>
      </c>
      <c r="J1121">
        <v>120</v>
      </c>
      <c r="K1121" t="s">
        <v>49</v>
      </c>
      <c r="L1121" t="s">
        <v>96</v>
      </c>
      <c r="M1121" t="s">
        <v>71</v>
      </c>
      <c r="N1121" t="s">
        <v>506</v>
      </c>
      <c r="O1121" t="s">
        <v>37</v>
      </c>
      <c r="P1121" t="s">
        <v>38</v>
      </c>
      <c r="Q1121" t="s">
        <v>39</v>
      </c>
      <c r="R1121">
        <v>4</v>
      </c>
      <c r="S1121" t="s">
        <v>38</v>
      </c>
      <c r="T1121">
        <v>10</v>
      </c>
      <c r="U1121">
        <v>4.2</v>
      </c>
      <c r="V1121">
        <v>12.7</v>
      </c>
      <c r="W1121" t="s">
        <v>38</v>
      </c>
      <c r="X1121" t="s">
        <v>63</v>
      </c>
      <c r="Y1121" t="s">
        <v>39</v>
      </c>
      <c r="Z1121" t="s">
        <v>41</v>
      </c>
      <c r="AA1121" t="s">
        <v>109</v>
      </c>
      <c r="AB1121" t="s">
        <v>55</v>
      </c>
      <c r="AC1121">
        <f t="shared" si="187"/>
        <v>0</v>
      </c>
      <c r="AD1121" s="12">
        <f t="shared" si="191"/>
        <v>1</v>
      </c>
      <c r="AE1121" s="12">
        <f t="shared" si="192"/>
        <v>0</v>
      </c>
      <c r="AF1121">
        <f t="shared" si="188"/>
        <v>0</v>
      </c>
      <c r="AG1121">
        <f t="shared" si="193"/>
        <v>0</v>
      </c>
      <c r="AH1121">
        <f t="shared" si="194"/>
        <v>1</v>
      </c>
      <c r="AI1121">
        <f t="shared" si="195"/>
        <v>0</v>
      </c>
      <c r="AJ1121">
        <f t="shared" si="196"/>
        <v>0</v>
      </c>
      <c r="AK1121">
        <f t="shared" si="189"/>
        <v>0</v>
      </c>
      <c r="AL1121">
        <f t="shared" si="197"/>
        <v>0</v>
      </c>
    </row>
    <row r="1122" spans="1:38">
      <c r="A1122" t="s">
        <v>3493</v>
      </c>
      <c r="B1122" t="s">
        <v>3494</v>
      </c>
      <c r="C1122" s="1">
        <f t="shared" si="190"/>
        <v>45597</v>
      </c>
      <c r="D1122" t="s">
        <v>3495</v>
      </c>
      <c r="E1122">
        <v>151.9</v>
      </c>
      <c r="F1122">
        <v>6.3</v>
      </c>
      <c r="G1122" t="s">
        <v>59</v>
      </c>
      <c r="H1122" t="s">
        <v>60</v>
      </c>
      <c r="I1122" t="s">
        <v>32</v>
      </c>
      <c r="J1122">
        <v>240</v>
      </c>
      <c r="K1122" t="s">
        <v>49</v>
      </c>
      <c r="L1122" t="s">
        <v>113</v>
      </c>
      <c r="M1122" t="s">
        <v>71</v>
      </c>
      <c r="N1122" t="s">
        <v>192</v>
      </c>
      <c r="O1122" t="s">
        <v>37</v>
      </c>
      <c r="P1122" t="s">
        <v>38</v>
      </c>
      <c r="Q1122" t="s">
        <v>39</v>
      </c>
      <c r="R1122">
        <v>4</v>
      </c>
      <c r="S1122" t="s">
        <v>39</v>
      </c>
      <c r="T1122">
        <v>9</v>
      </c>
      <c r="U1122">
        <v>4.2</v>
      </c>
      <c r="V1122">
        <v>16.600000000000001</v>
      </c>
      <c r="W1122" t="s">
        <v>39</v>
      </c>
      <c r="X1122" t="s">
        <v>40</v>
      </c>
      <c r="Y1122" t="s">
        <v>39</v>
      </c>
      <c r="Z1122" t="s">
        <v>64</v>
      </c>
      <c r="AA1122" t="s">
        <v>42</v>
      </c>
      <c r="AB1122" t="s">
        <v>55</v>
      </c>
      <c r="AC1122">
        <f t="shared" si="187"/>
        <v>0</v>
      </c>
      <c r="AD1122" s="12">
        <f t="shared" si="191"/>
        <v>0</v>
      </c>
      <c r="AE1122" s="12">
        <f t="shared" si="192"/>
        <v>0</v>
      </c>
      <c r="AF1122">
        <f t="shared" si="188"/>
        <v>0</v>
      </c>
      <c r="AG1122">
        <f t="shared" si="193"/>
        <v>0</v>
      </c>
      <c r="AH1122">
        <f t="shared" si="194"/>
        <v>0</v>
      </c>
      <c r="AI1122">
        <f t="shared" si="195"/>
        <v>0</v>
      </c>
      <c r="AJ1122">
        <f t="shared" si="196"/>
        <v>1</v>
      </c>
      <c r="AK1122">
        <f t="shared" si="189"/>
        <v>0</v>
      </c>
      <c r="AL1122">
        <f t="shared" si="197"/>
        <v>0</v>
      </c>
    </row>
    <row r="1123" spans="1:38">
      <c r="A1123" t="s">
        <v>3496</v>
      </c>
      <c r="B1123" t="s">
        <v>3497</v>
      </c>
      <c r="C1123" s="1">
        <f t="shared" si="190"/>
        <v>45566</v>
      </c>
      <c r="D1123" t="s">
        <v>3498</v>
      </c>
      <c r="E1123">
        <v>174.3</v>
      </c>
      <c r="F1123">
        <v>7.3</v>
      </c>
      <c r="G1123" t="s">
        <v>87</v>
      </c>
      <c r="H1123" t="s">
        <v>183</v>
      </c>
      <c r="I1123" t="s">
        <v>32</v>
      </c>
      <c r="J1123">
        <v>240</v>
      </c>
      <c r="K1123" t="s">
        <v>49</v>
      </c>
      <c r="L1123" t="s">
        <v>113</v>
      </c>
      <c r="M1123" t="s">
        <v>71</v>
      </c>
      <c r="N1123" t="s">
        <v>119</v>
      </c>
      <c r="O1123" t="s">
        <v>37</v>
      </c>
      <c r="P1123" t="s">
        <v>38</v>
      </c>
      <c r="Q1123" t="s">
        <v>39</v>
      </c>
      <c r="R1123">
        <v>3</v>
      </c>
      <c r="S1123" t="s">
        <v>38</v>
      </c>
      <c r="T1123">
        <v>10</v>
      </c>
      <c r="U1123">
        <v>2.2000000000000002</v>
      </c>
      <c r="V1123">
        <v>33.4</v>
      </c>
      <c r="W1123" t="s">
        <v>38</v>
      </c>
      <c r="X1123" t="s">
        <v>123</v>
      </c>
      <c r="Y1123" t="s">
        <v>39</v>
      </c>
      <c r="Z1123" t="s">
        <v>64</v>
      </c>
      <c r="AA1123" t="s">
        <v>103</v>
      </c>
      <c r="AB1123" t="s">
        <v>43</v>
      </c>
      <c r="AC1123">
        <f t="shared" si="187"/>
        <v>0</v>
      </c>
      <c r="AD1123" s="12">
        <f t="shared" si="191"/>
        <v>0</v>
      </c>
      <c r="AE1123" s="12">
        <f t="shared" si="192"/>
        <v>1</v>
      </c>
      <c r="AF1123">
        <f t="shared" si="188"/>
        <v>0</v>
      </c>
      <c r="AG1123">
        <f t="shared" si="193"/>
        <v>0</v>
      </c>
      <c r="AH1123">
        <f t="shared" si="194"/>
        <v>0</v>
      </c>
      <c r="AI1123">
        <f t="shared" si="195"/>
        <v>0</v>
      </c>
      <c r="AJ1123">
        <f t="shared" si="196"/>
        <v>1</v>
      </c>
      <c r="AK1123">
        <f t="shared" si="189"/>
        <v>0</v>
      </c>
      <c r="AL1123">
        <f t="shared" si="197"/>
        <v>0</v>
      </c>
    </row>
    <row r="1124" spans="1:38">
      <c r="A1124" t="s">
        <v>3499</v>
      </c>
      <c r="B1124" t="s">
        <v>3500</v>
      </c>
      <c r="C1124" s="1">
        <f t="shared" si="190"/>
        <v>45383</v>
      </c>
      <c r="D1124" t="s">
        <v>3501</v>
      </c>
      <c r="E1124">
        <v>157.4</v>
      </c>
      <c r="F1124">
        <v>6.6</v>
      </c>
      <c r="G1124" t="s">
        <v>87</v>
      </c>
      <c r="H1124" t="s">
        <v>183</v>
      </c>
      <c r="I1124" t="s">
        <v>32</v>
      </c>
      <c r="J1124">
        <v>240</v>
      </c>
      <c r="K1124" t="s">
        <v>49</v>
      </c>
      <c r="L1124" t="s">
        <v>34</v>
      </c>
      <c r="M1124" t="s">
        <v>71</v>
      </c>
      <c r="N1124" t="s">
        <v>128</v>
      </c>
      <c r="O1124" t="s">
        <v>51</v>
      </c>
      <c r="P1124" t="s">
        <v>38</v>
      </c>
      <c r="Q1124" t="s">
        <v>39</v>
      </c>
      <c r="R1124">
        <v>3</v>
      </c>
      <c r="S1124" t="s">
        <v>38</v>
      </c>
      <c r="T1124">
        <v>6</v>
      </c>
      <c r="U1124">
        <v>3.7</v>
      </c>
      <c r="V1124">
        <v>20.9</v>
      </c>
      <c r="W1124" t="s">
        <v>39</v>
      </c>
      <c r="X1124" t="s">
        <v>63</v>
      </c>
      <c r="Y1124" t="s">
        <v>39</v>
      </c>
      <c r="Z1124" t="s">
        <v>81</v>
      </c>
      <c r="AA1124" t="s">
        <v>42</v>
      </c>
      <c r="AB1124" t="s">
        <v>43</v>
      </c>
      <c r="AC1124">
        <f t="shared" si="187"/>
        <v>0</v>
      </c>
      <c r="AD1124" s="12">
        <f t="shared" si="191"/>
        <v>1</v>
      </c>
      <c r="AE1124" s="12">
        <f t="shared" si="192"/>
        <v>0</v>
      </c>
      <c r="AF1124">
        <f t="shared" si="188"/>
        <v>1</v>
      </c>
      <c r="AG1124">
        <f t="shared" si="193"/>
        <v>0</v>
      </c>
      <c r="AH1124">
        <f t="shared" si="194"/>
        <v>0</v>
      </c>
      <c r="AI1124">
        <f t="shared" si="195"/>
        <v>0</v>
      </c>
      <c r="AJ1124">
        <f t="shared" si="196"/>
        <v>1</v>
      </c>
      <c r="AK1124">
        <f t="shared" si="189"/>
        <v>0</v>
      </c>
      <c r="AL1124">
        <f t="shared" si="197"/>
        <v>0</v>
      </c>
    </row>
    <row r="1125" spans="1:38">
      <c r="A1125" t="s">
        <v>3502</v>
      </c>
      <c r="B1125" t="s">
        <v>3503</v>
      </c>
      <c r="C1125" s="1">
        <f t="shared" si="190"/>
        <v>45292</v>
      </c>
      <c r="D1125" t="s">
        <v>3504</v>
      </c>
      <c r="E1125">
        <v>215.4</v>
      </c>
      <c r="F1125">
        <v>9</v>
      </c>
      <c r="G1125" t="s">
        <v>142</v>
      </c>
      <c r="H1125" t="s">
        <v>729</v>
      </c>
      <c r="I1125" t="s">
        <v>32</v>
      </c>
      <c r="J1125">
        <v>240</v>
      </c>
      <c r="K1125" t="s">
        <v>49</v>
      </c>
      <c r="L1125" t="s">
        <v>70</v>
      </c>
      <c r="M1125" t="s">
        <v>35</v>
      </c>
      <c r="N1125" t="s">
        <v>202</v>
      </c>
      <c r="O1125" t="s">
        <v>7232</v>
      </c>
      <c r="P1125" t="s">
        <v>39</v>
      </c>
      <c r="Q1125" t="s">
        <v>38</v>
      </c>
      <c r="R1125">
        <v>0</v>
      </c>
      <c r="S1125" t="s">
        <v>38</v>
      </c>
      <c r="T1125">
        <v>9</v>
      </c>
      <c r="U1125">
        <v>0.3</v>
      </c>
      <c r="V1125">
        <v>28.8</v>
      </c>
      <c r="W1125" t="s">
        <v>39</v>
      </c>
      <c r="X1125" t="s">
        <v>52</v>
      </c>
      <c r="Y1125" t="s">
        <v>39</v>
      </c>
      <c r="Z1125" t="s">
        <v>81</v>
      </c>
      <c r="AA1125" t="s">
        <v>109</v>
      </c>
      <c r="AB1125" t="s">
        <v>55</v>
      </c>
      <c r="AC1125">
        <f t="shared" si="187"/>
        <v>1</v>
      </c>
      <c r="AD1125" s="12">
        <f t="shared" si="191"/>
        <v>0</v>
      </c>
      <c r="AE1125" s="12">
        <f t="shared" si="192"/>
        <v>0</v>
      </c>
      <c r="AF1125">
        <f t="shared" si="188"/>
        <v>0</v>
      </c>
      <c r="AG1125">
        <f t="shared" si="193"/>
        <v>1</v>
      </c>
      <c r="AH1125">
        <f t="shared" si="194"/>
        <v>0</v>
      </c>
      <c r="AI1125">
        <f t="shared" si="195"/>
        <v>0</v>
      </c>
      <c r="AJ1125">
        <f t="shared" si="196"/>
        <v>1</v>
      </c>
      <c r="AK1125">
        <f t="shared" si="189"/>
        <v>0</v>
      </c>
      <c r="AL1125">
        <f t="shared" si="197"/>
        <v>0</v>
      </c>
    </row>
    <row r="1126" spans="1:38">
      <c r="A1126" t="s">
        <v>3505</v>
      </c>
      <c r="B1126" t="s">
        <v>3506</v>
      </c>
      <c r="C1126" s="1">
        <f t="shared" si="190"/>
        <v>45505</v>
      </c>
      <c r="D1126" t="s">
        <v>3507</v>
      </c>
      <c r="E1126">
        <v>646.20000000000005</v>
      </c>
      <c r="F1126">
        <v>26.9</v>
      </c>
      <c r="G1126" t="s">
        <v>93</v>
      </c>
      <c r="H1126" t="s">
        <v>291</v>
      </c>
      <c r="I1126" t="s">
        <v>79</v>
      </c>
      <c r="J1126">
        <v>360</v>
      </c>
      <c r="K1126" t="s">
        <v>33</v>
      </c>
      <c r="L1126" t="s">
        <v>70</v>
      </c>
      <c r="M1126" t="s">
        <v>71</v>
      </c>
      <c r="N1126" t="s">
        <v>414</v>
      </c>
      <c r="O1126" t="s">
        <v>7232</v>
      </c>
      <c r="P1126" t="s">
        <v>38</v>
      </c>
      <c r="Q1126" t="s">
        <v>39</v>
      </c>
      <c r="R1126">
        <v>1</v>
      </c>
      <c r="S1126" t="s">
        <v>38</v>
      </c>
      <c r="T1126">
        <v>5</v>
      </c>
      <c r="U1126">
        <v>4</v>
      </c>
      <c r="V1126">
        <v>13.2</v>
      </c>
      <c r="W1126" t="s">
        <v>39</v>
      </c>
      <c r="X1126" t="s">
        <v>40</v>
      </c>
      <c r="Y1126" t="s">
        <v>38</v>
      </c>
      <c r="Z1126" t="s">
        <v>53</v>
      </c>
      <c r="AA1126" t="s">
        <v>82</v>
      </c>
      <c r="AB1126" t="s">
        <v>83</v>
      </c>
      <c r="AC1126">
        <f t="shared" si="187"/>
        <v>0</v>
      </c>
      <c r="AD1126" s="12">
        <f t="shared" si="191"/>
        <v>0</v>
      </c>
      <c r="AE1126" s="12">
        <f t="shared" si="192"/>
        <v>0</v>
      </c>
      <c r="AF1126">
        <f t="shared" si="188"/>
        <v>0</v>
      </c>
      <c r="AG1126">
        <f t="shared" si="193"/>
        <v>1</v>
      </c>
      <c r="AH1126">
        <f t="shared" si="194"/>
        <v>0</v>
      </c>
      <c r="AI1126">
        <f t="shared" si="195"/>
        <v>0</v>
      </c>
      <c r="AJ1126">
        <f t="shared" si="196"/>
        <v>0</v>
      </c>
      <c r="AK1126">
        <f t="shared" si="189"/>
        <v>0</v>
      </c>
      <c r="AL1126">
        <f t="shared" si="197"/>
        <v>1</v>
      </c>
    </row>
    <row r="1127" spans="1:38">
      <c r="A1127" t="s">
        <v>3508</v>
      </c>
      <c r="B1127" t="s">
        <v>3509</v>
      </c>
      <c r="C1127" s="1">
        <f t="shared" si="190"/>
        <v>45536</v>
      </c>
      <c r="D1127" t="s">
        <v>3510</v>
      </c>
      <c r="E1127">
        <v>317</v>
      </c>
      <c r="F1127">
        <v>13.2</v>
      </c>
      <c r="G1127" t="s">
        <v>93</v>
      </c>
      <c r="H1127" t="s">
        <v>449</v>
      </c>
      <c r="I1127" t="s">
        <v>79</v>
      </c>
      <c r="J1127">
        <v>360</v>
      </c>
      <c r="K1127" t="s">
        <v>49</v>
      </c>
      <c r="L1127" t="s">
        <v>113</v>
      </c>
      <c r="M1127" t="s">
        <v>35</v>
      </c>
      <c r="N1127" t="s">
        <v>220</v>
      </c>
      <c r="O1127" t="s">
        <v>7232</v>
      </c>
      <c r="P1127" t="s">
        <v>38</v>
      </c>
      <c r="Q1127" t="s">
        <v>38</v>
      </c>
      <c r="R1127">
        <v>1</v>
      </c>
      <c r="S1127" t="s">
        <v>39</v>
      </c>
      <c r="T1127">
        <v>8</v>
      </c>
      <c r="U1127">
        <v>1</v>
      </c>
      <c r="V1127">
        <v>23.3</v>
      </c>
      <c r="W1127" t="s">
        <v>38</v>
      </c>
      <c r="X1127" t="s">
        <v>52</v>
      </c>
      <c r="Y1127" t="s">
        <v>39</v>
      </c>
      <c r="Z1127" t="s">
        <v>53</v>
      </c>
      <c r="AA1127" t="s">
        <v>54</v>
      </c>
      <c r="AB1127" t="s">
        <v>55</v>
      </c>
      <c r="AC1127">
        <f t="shared" si="187"/>
        <v>1</v>
      </c>
      <c r="AD1127" s="12">
        <f t="shared" si="191"/>
        <v>0</v>
      </c>
      <c r="AE1127" s="12">
        <f t="shared" si="192"/>
        <v>0</v>
      </c>
      <c r="AF1127">
        <f t="shared" si="188"/>
        <v>0</v>
      </c>
      <c r="AG1127">
        <f t="shared" si="193"/>
        <v>1</v>
      </c>
      <c r="AH1127">
        <f t="shared" si="194"/>
        <v>0</v>
      </c>
      <c r="AI1127">
        <f t="shared" si="195"/>
        <v>0</v>
      </c>
      <c r="AJ1127">
        <f t="shared" si="196"/>
        <v>0</v>
      </c>
      <c r="AK1127">
        <f t="shared" si="189"/>
        <v>0</v>
      </c>
      <c r="AL1127">
        <f t="shared" si="197"/>
        <v>0</v>
      </c>
    </row>
    <row r="1128" spans="1:38">
      <c r="A1128" t="s">
        <v>3511</v>
      </c>
      <c r="B1128" t="s">
        <v>3512</v>
      </c>
      <c r="C1128" s="1">
        <f t="shared" si="190"/>
        <v>45413</v>
      </c>
      <c r="D1128" t="s">
        <v>3513</v>
      </c>
      <c r="E1128">
        <v>198.6</v>
      </c>
      <c r="F1128">
        <v>8.3000000000000007</v>
      </c>
      <c r="G1128" t="s">
        <v>30</v>
      </c>
      <c r="H1128" t="s">
        <v>159</v>
      </c>
      <c r="I1128" t="s">
        <v>32</v>
      </c>
      <c r="J1128">
        <v>240</v>
      </c>
      <c r="K1128" t="s">
        <v>49</v>
      </c>
      <c r="L1128" t="s">
        <v>34</v>
      </c>
      <c r="M1128" t="s">
        <v>35</v>
      </c>
      <c r="N1128" t="s">
        <v>36</v>
      </c>
      <c r="O1128" t="s">
        <v>51</v>
      </c>
      <c r="P1128" t="s">
        <v>39</v>
      </c>
      <c r="Q1128" t="s">
        <v>38</v>
      </c>
      <c r="R1128">
        <v>0</v>
      </c>
      <c r="S1128" t="s">
        <v>38</v>
      </c>
      <c r="T1128">
        <v>10</v>
      </c>
      <c r="U1128">
        <v>2.8</v>
      </c>
      <c r="V1128">
        <v>21</v>
      </c>
      <c r="W1128" t="s">
        <v>39</v>
      </c>
      <c r="X1128" t="s">
        <v>40</v>
      </c>
      <c r="Y1128" t="s">
        <v>38</v>
      </c>
      <c r="Z1128" t="s">
        <v>179</v>
      </c>
      <c r="AA1128" t="s">
        <v>109</v>
      </c>
      <c r="AB1128" t="s">
        <v>83</v>
      </c>
      <c r="AC1128">
        <f t="shared" si="187"/>
        <v>0</v>
      </c>
      <c r="AD1128" s="12">
        <f t="shared" si="191"/>
        <v>0</v>
      </c>
      <c r="AE1128" s="12">
        <f t="shared" si="192"/>
        <v>0</v>
      </c>
      <c r="AF1128">
        <f t="shared" si="188"/>
        <v>1</v>
      </c>
      <c r="AG1128">
        <f t="shared" si="193"/>
        <v>0</v>
      </c>
      <c r="AH1128">
        <f t="shared" si="194"/>
        <v>0</v>
      </c>
      <c r="AI1128">
        <f t="shared" si="195"/>
        <v>0</v>
      </c>
      <c r="AJ1128">
        <f t="shared" si="196"/>
        <v>1</v>
      </c>
      <c r="AK1128">
        <f t="shared" si="189"/>
        <v>1</v>
      </c>
      <c r="AL1128">
        <f t="shared" si="197"/>
        <v>1</v>
      </c>
    </row>
    <row r="1129" spans="1:38">
      <c r="A1129" t="s">
        <v>3514</v>
      </c>
      <c r="B1129" t="s">
        <v>3515</v>
      </c>
      <c r="C1129" s="1">
        <f t="shared" si="190"/>
        <v>45352</v>
      </c>
      <c r="D1129" t="s">
        <v>3516</v>
      </c>
      <c r="E1129">
        <v>89.1</v>
      </c>
      <c r="F1129">
        <v>3.7</v>
      </c>
      <c r="G1129" t="s">
        <v>87</v>
      </c>
      <c r="H1129" t="s">
        <v>183</v>
      </c>
      <c r="I1129" t="s">
        <v>48</v>
      </c>
      <c r="J1129">
        <v>120</v>
      </c>
      <c r="K1129" t="s">
        <v>49</v>
      </c>
      <c r="L1129" t="s">
        <v>133</v>
      </c>
      <c r="M1129" t="s">
        <v>35</v>
      </c>
      <c r="N1129" t="s">
        <v>134</v>
      </c>
      <c r="O1129" t="s">
        <v>7232</v>
      </c>
      <c r="P1129" t="s">
        <v>39</v>
      </c>
      <c r="Q1129" t="s">
        <v>38</v>
      </c>
      <c r="R1129">
        <v>0</v>
      </c>
      <c r="S1129" t="s">
        <v>39</v>
      </c>
      <c r="T1129">
        <v>9</v>
      </c>
      <c r="U1129">
        <v>0.7</v>
      </c>
      <c r="V1129">
        <v>38.299999999999997</v>
      </c>
      <c r="W1129" t="s">
        <v>39</v>
      </c>
      <c r="X1129" t="s">
        <v>52</v>
      </c>
      <c r="Y1129" t="s">
        <v>38</v>
      </c>
      <c r="Z1129" t="s">
        <v>115</v>
      </c>
      <c r="AA1129" t="s">
        <v>82</v>
      </c>
      <c r="AB1129" t="s">
        <v>43</v>
      </c>
      <c r="AC1129">
        <f t="shared" si="187"/>
        <v>1</v>
      </c>
      <c r="AD1129" s="12">
        <f t="shared" si="191"/>
        <v>0</v>
      </c>
      <c r="AE1129" s="12">
        <f t="shared" si="192"/>
        <v>0</v>
      </c>
      <c r="AF1129">
        <f t="shared" si="188"/>
        <v>0</v>
      </c>
      <c r="AG1129">
        <f t="shared" si="193"/>
        <v>1</v>
      </c>
      <c r="AH1129">
        <f t="shared" si="194"/>
        <v>1</v>
      </c>
      <c r="AI1129">
        <f t="shared" si="195"/>
        <v>0</v>
      </c>
      <c r="AJ1129">
        <f t="shared" si="196"/>
        <v>0</v>
      </c>
      <c r="AK1129">
        <f t="shared" si="189"/>
        <v>0</v>
      </c>
      <c r="AL1129">
        <f t="shared" si="197"/>
        <v>1</v>
      </c>
    </row>
    <row r="1130" spans="1:38">
      <c r="A1130" t="s">
        <v>3517</v>
      </c>
      <c r="B1130" t="s">
        <v>3518</v>
      </c>
      <c r="C1130" s="1">
        <f t="shared" si="190"/>
        <v>45292</v>
      </c>
      <c r="D1130" t="s">
        <v>3519</v>
      </c>
      <c r="E1130">
        <v>31.3</v>
      </c>
      <c r="F1130">
        <v>1.3</v>
      </c>
      <c r="G1130" t="s">
        <v>30</v>
      </c>
      <c r="H1130" t="s">
        <v>159</v>
      </c>
      <c r="I1130" t="s">
        <v>95</v>
      </c>
      <c r="J1130">
        <v>48</v>
      </c>
      <c r="K1130" t="s">
        <v>49</v>
      </c>
      <c r="L1130" t="s">
        <v>113</v>
      </c>
      <c r="M1130" t="s">
        <v>35</v>
      </c>
      <c r="N1130" t="s">
        <v>138</v>
      </c>
      <c r="O1130" t="s">
        <v>37</v>
      </c>
      <c r="P1130" t="s">
        <v>39</v>
      </c>
      <c r="Q1130" t="s">
        <v>38</v>
      </c>
      <c r="R1130">
        <v>0</v>
      </c>
      <c r="S1130" t="s">
        <v>38</v>
      </c>
      <c r="T1130">
        <v>10</v>
      </c>
      <c r="U1130">
        <v>2.6</v>
      </c>
      <c r="V1130">
        <v>16.2</v>
      </c>
      <c r="W1130" t="s">
        <v>39</v>
      </c>
      <c r="X1130" t="s">
        <v>123</v>
      </c>
      <c r="Y1130" t="s">
        <v>39</v>
      </c>
      <c r="Z1130" t="s">
        <v>108</v>
      </c>
      <c r="AA1130" t="s">
        <v>109</v>
      </c>
      <c r="AB1130" t="s">
        <v>55</v>
      </c>
      <c r="AC1130">
        <f t="shared" si="187"/>
        <v>0</v>
      </c>
      <c r="AD1130" s="12">
        <f t="shared" si="191"/>
        <v>0</v>
      </c>
      <c r="AE1130" s="12">
        <f t="shared" si="192"/>
        <v>1</v>
      </c>
      <c r="AF1130">
        <f t="shared" si="188"/>
        <v>0</v>
      </c>
      <c r="AG1130">
        <f t="shared" si="193"/>
        <v>0</v>
      </c>
      <c r="AH1130">
        <f t="shared" si="194"/>
        <v>0</v>
      </c>
      <c r="AI1130">
        <f t="shared" si="195"/>
        <v>1</v>
      </c>
      <c r="AJ1130">
        <f t="shared" si="196"/>
        <v>0</v>
      </c>
      <c r="AK1130">
        <f t="shared" si="189"/>
        <v>1</v>
      </c>
      <c r="AL1130">
        <f t="shared" si="197"/>
        <v>0</v>
      </c>
    </row>
    <row r="1131" spans="1:38">
      <c r="A1131" t="s">
        <v>3520</v>
      </c>
      <c r="B1131" t="s">
        <v>3521</v>
      </c>
      <c r="C1131" s="1">
        <f t="shared" si="190"/>
        <v>45566</v>
      </c>
      <c r="D1131" t="s">
        <v>3522</v>
      </c>
      <c r="E1131">
        <v>328.9</v>
      </c>
      <c r="F1131">
        <v>13.7</v>
      </c>
      <c r="G1131" t="s">
        <v>30</v>
      </c>
      <c r="H1131" t="s">
        <v>159</v>
      </c>
      <c r="I1131" t="s">
        <v>79</v>
      </c>
      <c r="J1131">
        <v>360</v>
      </c>
      <c r="K1131" t="s">
        <v>49</v>
      </c>
      <c r="L1131" t="s">
        <v>96</v>
      </c>
      <c r="M1131" t="s">
        <v>35</v>
      </c>
      <c r="N1131" t="s">
        <v>107</v>
      </c>
      <c r="O1131" t="s">
        <v>7232</v>
      </c>
      <c r="P1131" t="s">
        <v>39</v>
      </c>
      <c r="Q1131" t="s">
        <v>38</v>
      </c>
      <c r="R1131">
        <v>0</v>
      </c>
      <c r="S1131" t="s">
        <v>38</v>
      </c>
      <c r="T1131">
        <v>10</v>
      </c>
      <c r="U1131">
        <v>0.6</v>
      </c>
      <c r="V1131">
        <v>12.3</v>
      </c>
      <c r="W1131" t="s">
        <v>39</v>
      </c>
      <c r="X1131" t="s">
        <v>123</v>
      </c>
      <c r="Y1131" t="s">
        <v>38</v>
      </c>
      <c r="Z1131" t="s">
        <v>179</v>
      </c>
      <c r="AA1131" t="s">
        <v>54</v>
      </c>
      <c r="AB1131" t="s">
        <v>83</v>
      </c>
      <c r="AC1131">
        <f t="shared" si="187"/>
        <v>0</v>
      </c>
      <c r="AD1131" s="12">
        <f t="shared" si="191"/>
        <v>0</v>
      </c>
      <c r="AE1131" s="12">
        <f t="shared" si="192"/>
        <v>1</v>
      </c>
      <c r="AF1131">
        <f t="shared" si="188"/>
        <v>0</v>
      </c>
      <c r="AG1131">
        <f t="shared" si="193"/>
        <v>1</v>
      </c>
      <c r="AH1131">
        <f t="shared" si="194"/>
        <v>0</v>
      </c>
      <c r="AI1131">
        <f t="shared" si="195"/>
        <v>0</v>
      </c>
      <c r="AJ1131">
        <f t="shared" si="196"/>
        <v>0</v>
      </c>
      <c r="AK1131">
        <f t="shared" si="189"/>
        <v>1</v>
      </c>
      <c r="AL1131">
        <f t="shared" si="197"/>
        <v>1</v>
      </c>
    </row>
    <row r="1132" spans="1:38">
      <c r="A1132" t="s">
        <v>3523</v>
      </c>
      <c r="B1132" t="s">
        <v>3524</v>
      </c>
      <c r="C1132" s="1">
        <f t="shared" si="190"/>
        <v>45352</v>
      </c>
      <c r="D1132" t="s">
        <v>3525</v>
      </c>
      <c r="E1132">
        <v>182.4</v>
      </c>
      <c r="F1132">
        <v>7.6</v>
      </c>
      <c r="G1132" t="s">
        <v>59</v>
      </c>
      <c r="H1132" t="s">
        <v>227</v>
      </c>
      <c r="I1132" t="s">
        <v>32</v>
      </c>
      <c r="J1132">
        <v>240</v>
      </c>
      <c r="K1132" t="s">
        <v>49</v>
      </c>
      <c r="L1132" t="s">
        <v>70</v>
      </c>
      <c r="M1132" t="s">
        <v>35</v>
      </c>
      <c r="N1132" t="s">
        <v>80</v>
      </c>
      <c r="O1132" t="s">
        <v>37</v>
      </c>
      <c r="P1132" t="s">
        <v>38</v>
      </c>
      <c r="Q1132" t="s">
        <v>38</v>
      </c>
      <c r="R1132">
        <v>1</v>
      </c>
      <c r="S1132" t="s">
        <v>38</v>
      </c>
      <c r="T1132">
        <v>8</v>
      </c>
      <c r="U1132">
        <v>0.1</v>
      </c>
      <c r="V1132">
        <v>11.5</v>
      </c>
      <c r="W1132" t="s">
        <v>39</v>
      </c>
      <c r="X1132" t="s">
        <v>40</v>
      </c>
      <c r="Y1132" t="s">
        <v>39</v>
      </c>
      <c r="Z1132" t="s">
        <v>108</v>
      </c>
      <c r="AA1132" t="s">
        <v>42</v>
      </c>
      <c r="AB1132" t="s">
        <v>55</v>
      </c>
      <c r="AC1132">
        <f t="shared" si="187"/>
        <v>0</v>
      </c>
      <c r="AD1132" s="12">
        <f t="shared" si="191"/>
        <v>0</v>
      </c>
      <c r="AE1132" s="12">
        <f t="shared" si="192"/>
        <v>0</v>
      </c>
      <c r="AF1132">
        <f t="shared" si="188"/>
        <v>0</v>
      </c>
      <c r="AG1132">
        <f t="shared" si="193"/>
        <v>0</v>
      </c>
      <c r="AH1132">
        <f t="shared" si="194"/>
        <v>0</v>
      </c>
      <c r="AI1132">
        <f t="shared" si="195"/>
        <v>0</v>
      </c>
      <c r="AJ1132">
        <f t="shared" si="196"/>
        <v>1</v>
      </c>
      <c r="AK1132">
        <f t="shared" si="189"/>
        <v>0</v>
      </c>
      <c r="AL1132">
        <f t="shared" si="197"/>
        <v>0</v>
      </c>
    </row>
    <row r="1133" spans="1:38">
      <c r="A1133" t="s">
        <v>3526</v>
      </c>
      <c r="B1133" t="s">
        <v>3527</v>
      </c>
      <c r="C1133" s="1">
        <f t="shared" si="190"/>
        <v>45505</v>
      </c>
      <c r="D1133" t="s">
        <v>3528</v>
      </c>
      <c r="E1133">
        <v>79.8</v>
      </c>
      <c r="F1133">
        <v>3.3</v>
      </c>
      <c r="G1133" t="s">
        <v>59</v>
      </c>
      <c r="H1133" t="s">
        <v>466</v>
      </c>
      <c r="I1133" t="s">
        <v>48</v>
      </c>
      <c r="J1133">
        <v>120</v>
      </c>
      <c r="K1133" t="s">
        <v>49</v>
      </c>
      <c r="L1133" t="s">
        <v>70</v>
      </c>
      <c r="M1133" t="s">
        <v>35</v>
      </c>
      <c r="N1133" t="s">
        <v>61</v>
      </c>
      <c r="O1133" t="s">
        <v>7232</v>
      </c>
      <c r="P1133" t="s">
        <v>38</v>
      </c>
      <c r="Q1133" t="s">
        <v>38</v>
      </c>
      <c r="R1133">
        <v>1</v>
      </c>
      <c r="S1133" t="s">
        <v>38</v>
      </c>
      <c r="T1133">
        <v>8</v>
      </c>
      <c r="U1133">
        <v>2.8</v>
      </c>
      <c r="V1133">
        <v>24.9</v>
      </c>
      <c r="W1133" t="s">
        <v>38</v>
      </c>
      <c r="X1133" t="s">
        <v>40</v>
      </c>
      <c r="Y1133" t="s">
        <v>38</v>
      </c>
      <c r="Z1133" t="s">
        <v>179</v>
      </c>
      <c r="AA1133" t="s">
        <v>54</v>
      </c>
      <c r="AB1133" t="s">
        <v>83</v>
      </c>
      <c r="AC1133">
        <f t="shared" si="187"/>
        <v>0</v>
      </c>
      <c r="AD1133" s="12">
        <f t="shared" si="191"/>
        <v>0</v>
      </c>
      <c r="AE1133" s="12">
        <f t="shared" si="192"/>
        <v>0</v>
      </c>
      <c r="AF1133">
        <f t="shared" si="188"/>
        <v>0</v>
      </c>
      <c r="AG1133">
        <f t="shared" si="193"/>
        <v>1</v>
      </c>
      <c r="AH1133">
        <f t="shared" si="194"/>
        <v>1</v>
      </c>
      <c r="AI1133">
        <f t="shared" si="195"/>
        <v>0</v>
      </c>
      <c r="AJ1133">
        <f t="shared" si="196"/>
        <v>0</v>
      </c>
      <c r="AK1133">
        <f t="shared" si="189"/>
        <v>0</v>
      </c>
      <c r="AL1133">
        <f t="shared" si="197"/>
        <v>1</v>
      </c>
    </row>
    <row r="1134" spans="1:38">
      <c r="A1134" t="s">
        <v>3529</v>
      </c>
      <c r="B1134" t="s">
        <v>3530</v>
      </c>
      <c r="C1134" s="1">
        <f t="shared" si="190"/>
        <v>45536</v>
      </c>
      <c r="D1134" t="s">
        <v>3531</v>
      </c>
      <c r="E1134">
        <v>191</v>
      </c>
      <c r="F1134">
        <v>8</v>
      </c>
      <c r="G1134" t="s">
        <v>77</v>
      </c>
      <c r="H1134" t="s">
        <v>244</v>
      </c>
      <c r="I1134" t="s">
        <v>32</v>
      </c>
      <c r="J1134">
        <v>240</v>
      </c>
      <c r="K1134" t="s">
        <v>49</v>
      </c>
      <c r="L1134" t="s">
        <v>96</v>
      </c>
      <c r="M1134" t="s">
        <v>35</v>
      </c>
      <c r="N1134" t="s">
        <v>299</v>
      </c>
      <c r="O1134" t="s">
        <v>7232</v>
      </c>
      <c r="P1134" t="s">
        <v>39</v>
      </c>
      <c r="Q1134" t="s">
        <v>38</v>
      </c>
      <c r="R1134">
        <v>0</v>
      </c>
      <c r="S1134" t="s">
        <v>38</v>
      </c>
      <c r="T1134">
        <v>10</v>
      </c>
      <c r="U1134">
        <v>3.8</v>
      </c>
      <c r="V1134">
        <v>28.3</v>
      </c>
      <c r="W1134" t="s">
        <v>39</v>
      </c>
      <c r="X1134" t="s">
        <v>52</v>
      </c>
      <c r="Y1134" t="s">
        <v>38</v>
      </c>
      <c r="Z1134" t="s">
        <v>179</v>
      </c>
      <c r="AA1134" t="s">
        <v>109</v>
      </c>
      <c r="AB1134" t="s">
        <v>55</v>
      </c>
      <c r="AC1134">
        <f t="shared" si="187"/>
        <v>1</v>
      </c>
      <c r="AD1134" s="12">
        <f t="shared" si="191"/>
        <v>0</v>
      </c>
      <c r="AE1134" s="12">
        <f t="shared" si="192"/>
        <v>0</v>
      </c>
      <c r="AF1134">
        <f t="shared" si="188"/>
        <v>0</v>
      </c>
      <c r="AG1134">
        <f t="shared" si="193"/>
        <v>1</v>
      </c>
      <c r="AH1134">
        <f t="shared" si="194"/>
        <v>0</v>
      </c>
      <c r="AI1134">
        <f t="shared" si="195"/>
        <v>0</v>
      </c>
      <c r="AJ1134">
        <f t="shared" si="196"/>
        <v>1</v>
      </c>
      <c r="AK1134">
        <f t="shared" si="189"/>
        <v>0</v>
      </c>
      <c r="AL1134">
        <f t="shared" si="197"/>
        <v>1</v>
      </c>
    </row>
    <row r="1135" spans="1:38">
      <c r="A1135" t="s">
        <v>3532</v>
      </c>
      <c r="B1135" t="s">
        <v>3533</v>
      </c>
      <c r="C1135" s="1">
        <f t="shared" si="190"/>
        <v>45597</v>
      </c>
      <c r="D1135" t="s">
        <v>3534</v>
      </c>
      <c r="E1135">
        <v>301.8</v>
      </c>
      <c r="F1135">
        <v>12.6</v>
      </c>
      <c r="G1135" t="s">
        <v>142</v>
      </c>
      <c r="H1135" t="s">
        <v>143</v>
      </c>
      <c r="I1135" t="s">
        <v>32</v>
      </c>
      <c r="J1135">
        <v>240</v>
      </c>
      <c r="K1135" t="s">
        <v>33</v>
      </c>
      <c r="L1135" t="s">
        <v>113</v>
      </c>
      <c r="M1135" t="s">
        <v>35</v>
      </c>
      <c r="N1135" t="s">
        <v>164</v>
      </c>
      <c r="O1135" t="s">
        <v>51</v>
      </c>
      <c r="P1135" t="s">
        <v>38</v>
      </c>
      <c r="Q1135" t="s">
        <v>38</v>
      </c>
      <c r="R1135">
        <v>1</v>
      </c>
      <c r="S1135" t="s">
        <v>38</v>
      </c>
      <c r="T1135">
        <v>6</v>
      </c>
      <c r="U1135">
        <v>4</v>
      </c>
      <c r="V1135">
        <v>47.3</v>
      </c>
      <c r="W1135" t="s">
        <v>39</v>
      </c>
      <c r="X1135" t="s">
        <v>123</v>
      </c>
      <c r="Y1135" t="s">
        <v>39</v>
      </c>
      <c r="Z1135" t="s">
        <v>53</v>
      </c>
      <c r="AA1135" t="s">
        <v>54</v>
      </c>
      <c r="AB1135" t="s">
        <v>83</v>
      </c>
      <c r="AC1135">
        <f t="shared" si="187"/>
        <v>0</v>
      </c>
      <c r="AD1135" s="12">
        <f t="shared" si="191"/>
        <v>0</v>
      </c>
      <c r="AE1135" s="12">
        <f t="shared" si="192"/>
        <v>1</v>
      </c>
      <c r="AF1135">
        <f t="shared" si="188"/>
        <v>1</v>
      </c>
      <c r="AG1135">
        <f t="shared" si="193"/>
        <v>0</v>
      </c>
      <c r="AH1135">
        <f t="shared" si="194"/>
        <v>0</v>
      </c>
      <c r="AI1135">
        <f t="shared" si="195"/>
        <v>0</v>
      </c>
      <c r="AJ1135">
        <f t="shared" si="196"/>
        <v>1</v>
      </c>
      <c r="AK1135">
        <f t="shared" si="189"/>
        <v>0</v>
      </c>
      <c r="AL1135">
        <f t="shared" si="197"/>
        <v>0</v>
      </c>
    </row>
    <row r="1136" spans="1:38">
      <c r="A1136" t="s">
        <v>3535</v>
      </c>
      <c r="B1136" t="s">
        <v>3536</v>
      </c>
      <c r="C1136" s="1">
        <f t="shared" si="190"/>
        <v>45413</v>
      </c>
      <c r="D1136" t="s">
        <v>3537</v>
      </c>
      <c r="E1136">
        <v>308.89999999999998</v>
      </c>
      <c r="F1136">
        <v>12.9</v>
      </c>
      <c r="G1136" t="s">
        <v>77</v>
      </c>
      <c r="H1136" t="s">
        <v>187</v>
      </c>
      <c r="I1136" t="s">
        <v>79</v>
      </c>
      <c r="J1136">
        <v>360</v>
      </c>
      <c r="K1136" t="s">
        <v>49</v>
      </c>
      <c r="L1136" t="s">
        <v>96</v>
      </c>
      <c r="M1136" t="s">
        <v>35</v>
      </c>
      <c r="N1136" t="s">
        <v>220</v>
      </c>
      <c r="O1136" t="s">
        <v>7232</v>
      </c>
      <c r="P1136" t="s">
        <v>38</v>
      </c>
      <c r="Q1136" t="s">
        <v>38</v>
      </c>
      <c r="R1136">
        <v>1</v>
      </c>
      <c r="S1136" t="s">
        <v>38</v>
      </c>
      <c r="T1136">
        <v>4</v>
      </c>
      <c r="U1136">
        <v>2.6</v>
      </c>
      <c r="V1136">
        <v>15.2</v>
      </c>
      <c r="W1136" t="s">
        <v>39</v>
      </c>
      <c r="X1136" t="s">
        <v>63</v>
      </c>
      <c r="Y1136" t="s">
        <v>39</v>
      </c>
      <c r="Z1136" t="s">
        <v>41</v>
      </c>
      <c r="AA1136" t="s">
        <v>54</v>
      </c>
      <c r="AB1136" t="s">
        <v>83</v>
      </c>
      <c r="AC1136">
        <f t="shared" si="187"/>
        <v>0</v>
      </c>
      <c r="AD1136" s="12">
        <f t="shared" si="191"/>
        <v>1</v>
      </c>
      <c r="AE1136" s="12">
        <f t="shared" si="192"/>
        <v>0</v>
      </c>
      <c r="AF1136">
        <f t="shared" si="188"/>
        <v>0</v>
      </c>
      <c r="AG1136">
        <f t="shared" si="193"/>
        <v>1</v>
      </c>
      <c r="AH1136">
        <f t="shared" si="194"/>
        <v>0</v>
      </c>
      <c r="AI1136">
        <f t="shared" si="195"/>
        <v>0</v>
      </c>
      <c r="AJ1136">
        <f t="shared" si="196"/>
        <v>0</v>
      </c>
      <c r="AK1136">
        <f t="shared" si="189"/>
        <v>0</v>
      </c>
      <c r="AL1136">
        <f t="shared" si="197"/>
        <v>0</v>
      </c>
    </row>
    <row r="1137" spans="1:38">
      <c r="A1137" t="s">
        <v>3538</v>
      </c>
      <c r="B1137" t="s">
        <v>3539</v>
      </c>
      <c r="C1137" s="1">
        <f t="shared" si="190"/>
        <v>45627</v>
      </c>
      <c r="D1137" t="s">
        <v>3540</v>
      </c>
      <c r="E1137">
        <v>698.7</v>
      </c>
      <c r="F1137">
        <v>29.1</v>
      </c>
      <c r="G1137" t="s">
        <v>87</v>
      </c>
      <c r="H1137" t="s">
        <v>88</v>
      </c>
      <c r="I1137" t="s">
        <v>32</v>
      </c>
      <c r="J1137">
        <v>240</v>
      </c>
      <c r="K1137" t="s">
        <v>33</v>
      </c>
      <c r="L1137" t="s">
        <v>96</v>
      </c>
      <c r="M1137" t="s">
        <v>35</v>
      </c>
      <c r="N1137" t="s">
        <v>50</v>
      </c>
      <c r="O1137" t="s">
        <v>7232</v>
      </c>
      <c r="P1137" t="s">
        <v>38</v>
      </c>
      <c r="Q1137" t="s">
        <v>38</v>
      </c>
      <c r="R1137">
        <v>1</v>
      </c>
      <c r="S1137" t="s">
        <v>38</v>
      </c>
      <c r="T1137">
        <v>4</v>
      </c>
      <c r="U1137">
        <v>3.2</v>
      </c>
      <c r="V1137">
        <v>7.7</v>
      </c>
      <c r="W1137" t="s">
        <v>39</v>
      </c>
      <c r="X1137" t="s">
        <v>63</v>
      </c>
      <c r="Y1137" t="s">
        <v>39</v>
      </c>
      <c r="Z1137" t="s">
        <v>179</v>
      </c>
      <c r="AA1137" t="s">
        <v>42</v>
      </c>
      <c r="AB1137" t="s">
        <v>55</v>
      </c>
      <c r="AC1137">
        <f t="shared" si="187"/>
        <v>0</v>
      </c>
      <c r="AD1137" s="12">
        <f t="shared" si="191"/>
        <v>1</v>
      </c>
      <c r="AE1137" s="12">
        <f t="shared" si="192"/>
        <v>0</v>
      </c>
      <c r="AF1137">
        <f t="shared" si="188"/>
        <v>0</v>
      </c>
      <c r="AG1137">
        <f t="shared" si="193"/>
        <v>1</v>
      </c>
      <c r="AH1137">
        <f t="shared" si="194"/>
        <v>0</v>
      </c>
      <c r="AI1137">
        <f t="shared" si="195"/>
        <v>0</v>
      </c>
      <c r="AJ1137">
        <f t="shared" si="196"/>
        <v>1</v>
      </c>
      <c r="AK1137">
        <f t="shared" si="189"/>
        <v>0</v>
      </c>
      <c r="AL1137">
        <f t="shared" si="197"/>
        <v>0</v>
      </c>
    </row>
    <row r="1138" spans="1:38">
      <c r="A1138" t="s">
        <v>3541</v>
      </c>
      <c r="B1138" t="s">
        <v>3542</v>
      </c>
      <c r="C1138" s="1">
        <f t="shared" si="190"/>
        <v>45444</v>
      </c>
      <c r="D1138" t="s">
        <v>3543</v>
      </c>
      <c r="E1138">
        <v>82.2</v>
      </c>
      <c r="F1138">
        <v>3.4</v>
      </c>
      <c r="G1138" t="s">
        <v>59</v>
      </c>
      <c r="H1138" t="s">
        <v>281</v>
      </c>
      <c r="I1138" t="s">
        <v>48</v>
      </c>
      <c r="J1138">
        <v>120</v>
      </c>
      <c r="K1138" t="s">
        <v>49</v>
      </c>
      <c r="L1138" t="s">
        <v>113</v>
      </c>
      <c r="M1138" t="s">
        <v>71</v>
      </c>
      <c r="N1138" t="s">
        <v>107</v>
      </c>
      <c r="O1138" t="s">
        <v>7232</v>
      </c>
      <c r="P1138" t="s">
        <v>38</v>
      </c>
      <c r="Q1138" t="s">
        <v>39</v>
      </c>
      <c r="R1138">
        <v>4</v>
      </c>
      <c r="S1138" t="s">
        <v>39</v>
      </c>
      <c r="T1138">
        <v>9</v>
      </c>
      <c r="U1138">
        <v>3.1</v>
      </c>
      <c r="V1138">
        <v>6.8</v>
      </c>
      <c r="W1138" t="s">
        <v>39</v>
      </c>
      <c r="X1138" t="s">
        <v>63</v>
      </c>
      <c r="Y1138" t="s">
        <v>39</v>
      </c>
      <c r="Z1138" t="s">
        <v>41</v>
      </c>
      <c r="AA1138" t="s">
        <v>82</v>
      </c>
      <c r="AB1138" t="s">
        <v>55</v>
      </c>
      <c r="AC1138">
        <f t="shared" si="187"/>
        <v>0</v>
      </c>
      <c r="AD1138" s="12">
        <f t="shared" si="191"/>
        <v>1</v>
      </c>
      <c r="AE1138" s="12">
        <f t="shared" si="192"/>
        <v>0</v>
      </c>
      <c r="AF1138">
        <f t="shared" si="188"/>
        <v>0</v>
      </c>
      <c r="AG1138">
        <f t="shared" si="193"/>
        <v>1</v>
      </c>
      <c r="AH1138">
        <f t="shared" si="194"/>
        <v>1</v>
      </c>
      <c r="AI1138">
        <f t="shared" si="195"/>
        <v>0</v>
      </c>
      <c r="AJ1138">
        <f t="shared" si="196"/>
        <v>0</v>
      </c>
      <c r="AK1138">
        <f t="shared" si="189"/>
        <v>0</v>
      </c>
      <c r="AL1138">
        <f t="shared" si="197"/>
        <v>0</v>
      </c>
    </row>
    <row r="1139" spans="1:38">
      <c r="A1139" t="s">
        <v>3544</v>
      </c>
      <c r="B1139" t="s">
        <v>3545</v>
      </c>
      <c r="C1139" s="1">
        <f t="shared" si="190"/>
        <v>45383</v>
      </c>
      <c r="D1139" t="s">
        <v>3546</v>
      </c>
      <c r="E1139">
        <v>76.2</v>
      </c>
      <c r="F1139">
        <v>3.2</v>
      </c>
      <c r="G1139" t="s">
        <v>68</v>
      </c>
      <c r="H1139" t="s">
        <v>456</v>
      </c>
      <c r="I1139" t="s">
        <v>48</v>
      </c>
      <c r="J1139">
        <v>120</v>
      </c>
      <c r="K1139" t="s">
        <v>49</v>
      </c>
      <c r="L1139" t="s">
        <v>96</v>
      </c>
      <c r="M1139" t="s">
        <v>71</v>
      </c>
      <c r="N1139" t="s">
        <v>134</v>
      </c>
      <c r="O1139" t="s">
        <v>51</v>
      </c>
      <c r="P1139" t="s">
        <v>38</v>
      </c>
      <c r="Q1139" t="s">
        <v>39</v>
      </c>
      <c r="R1139">
        <v>1</v>
      </c>
      <c r="S1139" t="s">
        <v>38</v>
      </c>
      <c r="T1139">
        <v>8</v>
      </c>
      <c r="U1139">
        <v>3.6</v>
      </c>
      <c r="V1139">
        <v>0.6</v>
      </c>
      <c r="W1139" t="s">
        <v>38</v>
      </c>
      <c r="X1139" t="s">
        <v>63</v>
      </c>
      <c r="Y1139" t="s">
        <v>39</v>
      </c>
      <c r="Z1139" t="s">
        <v>64</v>
      </c>
      <c r="AA1139" t="s">
        <v>82</v>
      </c>
      <c r="AB1139" t="s">
        <v>83</v>
      </c>
      <c r="AC1139">
        <f t="shared" si="187"/>
        <v>0</v>
      </c>
      <c r="AD1139" s="12">
        <f t="shared" si="191"/>
        <v>1</v>
      </c>
      <c r="AE1139" s="12">
        <f t="shared" si="192"/>
        <v>0</v>
      </c>
      <c r="AF1139">
        <f t="shared" si="188"/>
        <v>1</v>
      </c>
      <c r="AG1139">
        <f t="shared" si="193"/>
        <v>0</v>
      </c>
      <c r="AH1139">
        <f t="shared" si="194"/>
        <v>1</v>
      </c>
      <c r="AI1139">
        <f t="shared" si="195"/>
        <v>0</v>
      </c>
      <c r="AJ1139">
        <f t="shared" si="196"/>
        <v>0</v>
      </c>
      <c r="AK1139">
        <f t="shared" si="189"/>
        <v>0</v>
      </c>
      <c r="AL1139">
        <f t="shared" si="197"/>
        <v>0</v>
      </c>
    </row>
    <row r="1140" spans="1:38">
      <c r="A1140" t="s">
        <v>3547</v>
      </c>
      <c r="B1140" t="s">
        <v>3548</v>
      </c>
      <c r="C1140" s="1">
        <f t="shared" si="190"/>
        <v>45597</v>
      </c>
      <c r="D1140" t="s">
        <v>3549</v>
      </c>
      <c r="E1140">
        <v>166.6</v>
      </c>
      <c r="F1140">
        <v>6.9</v>
      </c>
      <c r="G1140" t="s">
        <v>142</v>
      </c>
      <c r="H1140" t="s">
        <v>143</v>
      </c>
      <c r="I1140" t="s">
        <v>32</v>
      </c>
      <c r="J1140">
        <v>240</v>
      </c>
      <c r="K1140" t="s">
        <v>49</v>
      </c>
      <c r="L1140" t="s">
        <v>70</v>
      </c>
      <c r="M1140" t="s">
        <v>35</v>
      </c>
      <c r="N1140" t="s">
        <v>128</v>
      </c>
      <c r="O1140" t="s">
        <v>7232</v>
      </c>
      <c r="P1140" t="s">
        <v>38</v>
      </c>
      <c r="Q1140" t="s">
        <v>38</v>
      </c>
      <c r="R1140">
        <v>1</v>
      </c>
      <c r="S1140" t="s">
        <v>38</v>
      </c>
      <c r="T1140">
        <v>9</v>
      </c>
      <c r="U1140">
        <v>5.8</v>
      </c>
      <c r="V1140">
        <v>27.2</v>
      </c>
      <c r="W1140" t="s">
        <v>39</v>
      </c>
      <c r="X1140" t="s">
        <v>63</v>
      </c>
      <c r="Y1140" t="s">
        <v>39</v>
      </c>
      <c r="Z1140" t="s">
        <v>115</v>
      </c>
      <c r="AA1140" t="s">
        <v>54</v>
      </c>
      <c r="AB1140" t="s">
        <v>55</v>
      </c>
      <c r="AC1140">
        <f t="shared" si="187"/>
        <v>0</v>
      </c>
      <c r="AD1140" s="12">
        <f t="shared" si="191"/>
        <v>1</v>
      </c>
      <c r="AE1140" s="12">
        <f t="shared" si="192"/>
        <v>0</v>
      </c>
      <c r="AF1140">
        <f t="shared" si="188"/>
        <v>0</v>
      </c>
      <c r="AG1140">
        <f t="shared" si="193"/>
        <v>1</v>
      </c>
      <c r="AH1140">
        <f t="shared" si="194"/>
        <v>0</v>
      </c>
      <c r="AI1140">
        <f t="shared" si="195"/>
        <v>0</v>
      </c>
      <c r="AJ1140">
        <f t="shared" si="196"/>
        <v>1</v>
      </c>
      <c r="AK1140">
        <f t="shared" si="189"/>
        <v>0</v>
      </c>
      <c r="AL1140">
        <f t="shared" si="197"/>
        <v>0</v>
      </c>
    </row>
    <row r="1141" spans="1:38">
      <c r="A1141" t="s">
        <v>3550</v>
      </c>
      <c r="B1141" t="s">
        <v>3551</v>
      </c>
      <c r="C1141" s="1">
        <f t="shared" si="190"/>
        <v>45352</v>
      </c>
      <c r="D1141" t="s">
        <v>3552</v>
      </c>
      <c r="E1141">
        <v>156.1</v>
      </c>
      <c r="F1141">
        <v>6.5</v>
      </c>
      <c r="G1141" t="s">
        <v>142</v>
      </c>
      <c r="H1141" t="s">
        <v>260</v>
      </c>
      <c r="I1141" t="s">
        <v>32</v>
      </c>
      <c r="J1141">
        <v>240</v>
      </c>
      <c r="K1141" t="s">
        <v>49</v>
      </c>
      <c r="L1141" t="s">
        <v>96</v>
      </c>
      <c r="M1141" t="s">
        <v>35</v>
      </c>
      <c r="N1141" t="s">
        <v>220</v>
      </c>
      <c r="O1141" t="s">
        <v>7232</v>
      </c>
      <c r="P1141" t="s">
        <v>38</v>
      </c>
      <c r="Q1141" t="s">
        <v>38</v>
      </c>
      <c r="R1141">
        <v>1</v>
      </c>
      <c r="S1141" t="s">
        <v>38</v>
      </c>
      <c r="T1141">
        <v>5</v>
      </c>
      <c r="U1141">
        <v>1.5</v>
      </c>
      <c r="V1141">
        <v>6.8</v>
      </c>
      <c r="W1141" t="s">
        <v>39</v>
      </c>
      <c r="X1141" t="s">
        <v>52</v>
      </c>
      <c r="Y1141" t="s">
        <v>39</v>
      </c>
      <c r="Z1141" t="s">
        <v>73</v>
      </c>
      <c r="AA1141" t="s">
        <v>109</v>
      </c>
      <c r="AB1141" t="s">
        <v>43</v>
      </c>
      <c r="AC1141">
        <f t="shared" si="187"/>
        <v>1</v>
      </c>
      <c r="AD1141" s="12">
        <f t="shared" si="191"/>
        <v>0</v>
      </c>
      <c r="AE1141" s="12">
        <f t="shared" si="192"/>
        <v>0</v>
      </c>
      <c r="AF1141">
        <f t="shared" si="188"/>
        <v>0</v>
      </c>
      <c r="AG1141">
        <f t="shared" si="193"/>
        <v>1</v>
      </c>
      <c r="AH1141">
        <f t="shared" si="194"/>
        <v>0</v>
      </c>
      <c r="AI1141">
        <f t="shared" si="195"/>
        <v>0</v>
      </c>
      <c r="AJ1141">
        <f t="shared" si="196"/>
        <v>1</v>
      </c>
      <c r="AK1141">
        <f t="shared" si="189"/>
        <v>0</v>
      </c>
      <c r="AL1141">
        <f t="shared" si="197"/>
        <v>0</v>
      </c>
    </row>
    <row r="1142" spans="1:38">
      <c r="A1142" t="s">
        <v>3553</v>
      </c>
      <c r="B1142" t="s">
        <v>3554</v>
      </c>
      <c r="C1142" s="1">
        <f t="shared" si="190"/>
        <v>45383</v>
      </c>
      <c r="D1142" t="s">
        <v>3555</v>
      </c>
      <c r="E1142">
        <v>72.900000000000006</v>
      </c>
      <c r="F1142">
        <v>3</v>
      </c>
      <c r="G1142" t="s">
        <v>87</v>
      </c>
      <c r="H1142" t="s">
        <v>309</v>
      </c>
      <c r="I1142" t="s">
        <v>48</v>
      </c>
      <c r="J1142">
        <v>120</v>
      </c>
      <c r="K1142" t="s">
        <v>49</v>
      </c>
      <c r="L1142" t="s">
        <v>96</v>
      </c>
      <c r="M1142" t="s">
        <v>35</v>
      </c>
      <c r="N1142" t="s">
        <v>202</v>
      </c>
      <c r="O1142" t="s">
        <v>7232</v>
      </c>
      <c r="P1142" t="s">
        <v>39</v>
      </c>
      <c r="Q1142" t="s">
        <v>38</v>
      </c>
      <c r="R1142">
        <v>0</v>
      </c>
      <c r="S1142" t="s">
        <v>38</v>
      </c>
      <c r="T1142">
        <v>10</v>
      </c>
      <c r="U1142">
        <v>1.3</v>
      </c>
      <c r="V1142">
        <v>29.4</v>
      </c>
      <c r="W1142" t="s">
        <v>38</v>
      </c>
      <c r="X1142" t="s">
        <v>52</v>
      </c>
      <c r="Y1142" t="s">
        <v>38</v>
      </c>
      <c r="Z1142" t="s">
        <v>115</v>
      </c>
      <c r="AA1142" t="s">
        <v>54</v>
      </c>
      <c r="AB1142" t="s">
        <v>55</v>
      </c>
      <c r="AC1142">
        <f t="shared" si="187"/>
        <v>1</v>
      </c>
      <c r="AD1142" s="12">
        <f t="shared" si="191"/>
        <v>0</v>
      </c>
      <c r="AE1142" s="12">
        <f t="shared" si="192"/>
        <v>0</v>
      </c>
      <c r="AF1142">
        <f t="shared" si="188"/>
        <v>0</v>
      </c>
      <c r="AG1142">
        <f t="shared" si="193"/>
        <v>1</v>
      </c>
      <c r="AH1142">
        <f t="shared" si="194"/>
        <v>1</v>
      </c>
      <c r="AI1142">
        <f t="shared" si="195"/>
        <v>0</v>
      </c>
      <c r="AJ1142">
        <f t="shared" si="196"/>
        <v>0</v>
      </c>
      <c r="AK1142">
        <f t="shared" si="189"/>
        <v>0</v>
      </c>
      <c r="AL1142">
        <f t="shared" si="197"/>
        <v>1</v>
      </c>
    </row>
    <row r="1143" spans="1:38">
      <c r="A1143" t="s">
        <v>3556</v>
      </c>
      <c r="B1143" t="s">
        <v>3557</v>
      </c>
      <c r="C1143" s="1">
        <f t="shared" si="190"/>
        <v>45444</v>
      </c>
      <c r="D1143" t="s">
        <v>3558</v>
      </c>
      <c r="E1143">
        <v>113.4</v>
      </c>
      <c r="F1143">
        <v>4.7</v>
      </c>
      <c r="G1143" t="s">
        <v>77</v>
      </c>
      <c r="H1143" t="s">
        <v>78</v>
      </c>
      <c r="I1143" t="s">
        <v>48</v>
      </c>
      <c r="J1143">
        <v>120</v>
      </c>
      <c r="K1143" t="s">
        <v>49</v>
      </c>
      <c r="L1143" t="s">
        <v>113</v>
      </c>
      <c r="M1143" t="s">
        <v>35</v>
      </c>
      <c r="N1143" t="s">
        <v>128</v>
      </c>
      <c r="O1143" t="s">
        <v>7232</v>
      </c>
      <c r="P1143" t="s">
        <v>39</v>
      </c>
      <c r="Q1143" t="s">
        <v>38</v>
      </c>
      <c r="R1143">
        <v>0</v>
      </c>
      <c r="S1143" t="s">
        <v>38</v>
      </c>
      <c r="T1143">
        <v>10</v>
      </c>
      <c r="U1143">
        <v>0.8</v>
      </c>
      <c r="V1143">
        <v>34.700000000000003</v>
      </c>
      <c r="W1143" t="s">
        <v>38</v>
      </c>
      <c r="X1143" t="s">
        <v>63</v>
      </c>
      <c r="Y1143" t="s">
        <v>39</v>
      </c>
      <c r="Z1143" t="s">
        <v>53</v>
      </c>
      <c r="AA1143" t="s">
        <v>109</v>
      </c>
      <c r="AB1143" t="s">
        <v>55</v>
      </c>
      <c r="AC1143">
        <f t="shared" si="187"/>
        <v>0</v>
      </c>
      <c r="AD1143" s="12">
        <f t="shared" si="191"/>
        <v>1</v>
      </c>
      <c r="AE1143" s="12">
        <f t="shared" si="192"/>
        <v>0</v>
      </c>
      <c r="AF1143">
        <f t="shared" si="188"/>
        <v>0</v>
      </c>
      <c r="AG1143">
        <f t="shared" si="193"/>
        <v>1</v>
      </c>
      <c r="AH1143">
        <f t="shared" si="194"/>
        <v>1</v>
      </c>
      <c r="AI1143">
        <f t="shared" si="195"/>
        <v>0</v>
      </c>
      <c r="AJ1143">
        <f t="shared" si="196"/>
        <v>0</v>
      </c>
      <c r="AK1143">
        <f t="shared" si="189"/>
        <v>0</v>
      </c>
      <c r="AL1143">
        <f t="shared" si="197"/>
        <v>0</v>
      </c>
    </row>
    <row r="1144" spans="1:38">
      <c r="A1144" t="s">
        <v>3559</v>
      </c>
      <c r="B1144" t="s">
        <v>3560</v>
      </c>
      <c r="C1144" s="1">
        <f t="shared" si="190"/>
        <v>45413</v>
      </c>
      <c r="D1144" t="s">
        <v>3561</v>
      </c>
      <c r="E1144">
        <v>297.8</v>
      </c>
      <c r="F1144">
        <v>12.4</v>
      </c>
      <c r="G1144" t="s">
        <v>30</v>
      </c>
      <c r="H1144" t="s">
        <v>47</v>
      </c>
      <c r="I1144" t="s">
        <v>32</v>
      </c>
      <c r="J1144">
        <v>240</v>
      </c>
      <c r="K1144" t="s">
        <v>33</v>
      </c>
      <c r="L1144" t="s">
        <v>70</v>
      </c>
      <c r="M1144" t="s">
        <v>35</v>
      </c>
      <c r="N1144" t="s">
        <v>80</v>
      </c>
      <c r="O1144" t="s">
        <v>7232</v>
      </c>
      <c r="P1144" t="s">
        <v>39</v>
      </c>
      <c r="Q1144" t="s">
        <v>38</v>
      </c>
      <c r="R1144">
        <v>0</v>
      </c>
      <c r="S1144" t="s">
        <v>38</v>
      </c>
      <c r="T1144">
        <v>7</v>
      </c>
      <c r="U1144">
        <v>1.8</v>
      </c>
      <c r="V1144">
        <v>24.6</v>
      </c>
      <c r="W1144" t="s">
        <v>39</v>
      </c>
      <c r="X1144" t="s">
        <v>123</v>
      </c>
      <c r="Y1144" t="s">
        <v>39</v>
      </c>
      <c r="Z1144" t="s">
        <v>41</v>
      </c>
      <c r="AA1144" t="s">
        <v>109</v>
      </c>
      <c r="AB1144" t="s">
        <v>43</v>
      </c>
      <c r="AC1144">
        <f t="shared" si="187"/>
        <v>0</v>
      </c>
      <c r="AD1144" s="12">
        <f t="shared" si="191"/>
        <v>0</v>
      </c>
      <c r="AE1144" s="12">
        <f t="shared" si="192"/>
        <v>1</v>
      </c>
      <c r="AF1144">
        <f t="shared" si="188"/>
        <v>0</v>
      </c>
      <c r="AG1144">
        <f t="shared" si="193"/>
        <v>1</v>
      </c>
      <c r="AH1144">
        <f t="shared" si="194"/>
        <v>0</v>
      </c>
      <c r="AI1144">
        <f t="shared" si="195"/>
        <v>0</v>
      </c>
      <c r="AJ1144">
        <f t="shared" si="196"/>
        <v>1</v>
      </c>
      <c r="AK1144">
        <f t="shared" si="189"/>
        <v>1</v>
      </c>
      <c r="AL1144">
        <f t="shared" si="197"/>
        <v>0</v>
      </c>
    </row>
    <row r="1145" spans="1:38">
      <c r="A1145" t="s">
        <v>3562</v>
      </c>
      <c r="B1145" t="s">
        <v>3563</v>
      </c>
      <c r="C1145" s="1">
        <f t="shared" si="190"/>
        <v>45413</v>
      </c>
      <c r="D1145" t="s">
        <v>3564</v>
      </c>
      <c r="E1145">
        <v>200.5</v>
      </c>
      <c r="F1145">
        <v>8.4</v>
      </c>
      <c r="G1145" t="s">
        <v>142</v>
      </c>
      <c r="H1145" t="s">
        <v>729</v>
      </c>
      <c r="I1145" t="s">
        <v>32</v>
      </c>
      <c r="J1145">
        <v>240</v>
      </c>
      <c r="K1145" t="s">
        <v>49</v>
      </c>
      <c r="L1145" t="s">
        <v>133</v>
      </c>
      <c r="M1145" t="s">
        <v>71</v>
      </c>
      <c r="N1145" t="s">
        <v>107</v>
      </c>
      <c r="O1145" t="s">
        <v>37</v>
      </c>
      <c r="P1145" t="s">
        <v>38</v>
      </c>
      <c r="Q1145" t="s">
        <v>39</v>
      </c>
      <c r="R1145">
        <v>4</v>
      </c>
      <c r="S1145" t="s">
        <v>38</v>
      </c>
      <c r="T1145">
        <v>8</v>
      </c>
      <c r="U1145">
        <v>2.7</v>
      </c>
      <c r="V1145">
        <v>17.399999999999999</v>
      </c>
      <c r="W1145" t="s">
        <v>38</v>
      </c>
      <c r="X1145" t="s">
        <v>63</v>
      </c>
      <c r="Y1145" t="s">
        <v>38</v>
      </c>
      <c r="Z1145" t="s">
        <v>41</v>
      </c>
      <c r="AA1145" t="s">
        <v>54</v>
      </c>
      <c r="AB1145" t="s">
        <v>83</v>
      </c>
      <c r="AC1145">
        <f t="shared" si="187"/>
        <v>0</v>
      </c>
      <c r="AD1145" s="12">
        <f t="shared" si="191"/>
        <v>1</v>
      </c>
      <c r="AE1145" s="12">
        <f t="shared" si="192"/>
        <v>0</v>
      </c>
      <c r="AF1145">
        <f t="shared" si="188"/>
        <v>0</v>
      </c>
      <c r="AG1145">
        <f t="shared" si="193"/>
        <v>0</v>
      </c>
      <c r="AH1145">
        <f t="shared" si="194"/>
        <v>0</v>
      </c>
      <c r="AI1145">
        <f t="shared" si="195"/>
        <v>0</v>
      </c>
      <c r="AJ1145">
        <f t="shared" si="196"/>
        <v>1</v>
      </c>
      <c r="AK1145">
        <f t="shared" si="189"/>
        <v>0</v>
      </c>
      <c r="AL1145">
        <f t="shared" si="197"/>
        <v>1</v>
      </c>
    </row>
    <row r="1146" spans="1:38">
      <c r="A1146" t="s">
        <v>3565</v>
      </c>
      <c r="B1146" t="s">
        <v>3566</v>
      </c>
      <c r="C1146" s="1">
        <f t="shared" si="190"/>
        <v>45597</v>
      </c>
      <c r="D1146" t="s">
        <v>3567</v>
      </c>
      <c r="E1146">
        <v>258.5</v>
      </c>
      <c r="F1146">
        <v>10.8</v>
      </c>
      <c r="G1146" t="s">
        <v>30</v>
      </c>
      <c r="H1146" t="s">
        <v>47</v>
      </c>
      <c r="I1146" t="s">
        <v>32</v>
      </c>
      <c r="J1146">
        <v>240</v>
      </c>
      <c r="K1146" t="s">
        <v>33</v>
      </c>
      <c r="L1146" t="s">
        <v>96</v>
      </c>
      <c r="M1146" t="s">
        <v>35</v>
      </c>
      <c r="N1146" t="s">
        <v>506</v>
      </c>
      <c r="O1146" t="s">
        <v>7232</v>
      </c>
      <c r="P1146" t="s">
        <v>39</v>
      </c>
      <c r="Q1146" t="s">
        <v>38</v>
      </c>
      <c r="R1146">
        <v>0</v>
      </c>
      <c r="S1146" t="s">
        <v>38</v>
      </c>
      <c r="T1146">
        <v>5</v>
      </c>
      <c r="U1146">
        <v>4.5999999999999996</v>
      </c>
      <c r="V1146">
        <v>24.2</v>
      </c>
      <c r="W1146" t="s">
        <v>38</v>
      </c>
      <c r="X1146" t="s">
        <v>52</v>
      </c>
      <c r="Y1146" t="s">
        <v>38</v>
      </c>
      <c r="Z1146" t="s">
        <v>41</v>
      </c>
      <c r="AA1146" t="s">
        <v>103</v>
      </c>
      <c r="AB1146" t="s">
        <v>83</v>
      </c>
      <c r="AC1146">
        <f t="shared" si="187"/>
        <v>1</v>
      </c>
      <c r="AD1146" s="12">
        <f t="shared" si="191"/>
        <v>0</v>
      </c>
      <c r="AE1146" s="12">
        <f t="shared" si="192"/>
        <v>0</v>
      </c>
      <c r="AF1146">
        <f t="shared" si="188"/>
        <v>0</v>
      </c>
      <c r="AG1146">
        <f t="shared" si="193"/>
        <v>1</v>
      </c>
      <c r="AH1146">
        <f t="shared" si="194"/>
        <v>0</v>
      </c>
      <c r="AI1146">
        <f t="shared" si="195"/>
        <v>0</v>
      </c>
      <c r="AJ1146">
        <f t="shared" si="196"/>
        <v>1</v>
      </c>
      <c r="AK1146">
        <f t="shared" si="189"/>
        <v>1</v>
      </c>
      <c r="AL1146">
        <f t="shared" si="197"/>
        <v>1</v>
      </c>
    </row>
    <row r="1147" spans="1:38">
      <c r="A1147" t="s">
        <v>3568</v>
      </c>
      <c r="B1147" t="s">
        <v>3569</v>
      </c>
      <c r="C1147" s="1">
        <f t="shared" si="190"/>
        <v>45292</v>
      </c>
      <c r="D1147" t="s">
        <v>3570</v>
      </c>
      <c r="E1147">
        <v>162.4</v>
      </c>
      <c r="F1147">
        <v>6.8</v>
      </c>
      <c r="G1147" t="s">
        <v>59</v>
      </c>
      <c r="H1147" t="s">
        <v>466</v>
      </c>
      <c r="I1147" t="s">
        <v>32</v>
      </c>
      <c r="J1147">
        <v>240</v>
      </c>
      <c r="K1147" t="s">
        <v>49</v>
      </c>
      <c r="L1147" t="s">
        <v>96</v>
      </c>
      <c r="M1147" t="s">
        <v>71</v>
      </c>
      <c r="N1147" t="s">
        <v>220</v>
      </c>
      <c r="O1147" t="s">
        <v>37</v>
      </c>
      <c r="P1147" t="s">
        <v>38</v>
      </c>
      <c r="Q1147" t="s">
        <v>39</v>
      </c>
      <c r="R1147">
        <v>1</v>
      </c>
      <c r="S1147" t="s">
        <v>38</v>
      </c>
      <c r="T1147">
        <v>7</v>
      </c>
      <c r="U1147">
        <v>0.5</v>
      </c>
      <c r="V1147">
        <v>26.7</v>
      </c>
      <c r="W1147" t="s">
        <v>38</v>
      </c>
      <c r="X1147" t="s">
        <v>63</v>
      </c>
      <c r="Y1147" t="s">
        <v>39</v>
      </c>
      <c r="Z1147" t="s">
        <v>64</v>
      </c>
      <c r="AA1147" t="s">
        <v>82</v>
      </c>
      <c r="AB1147" t="s">
        <v>83</v>
      </c>
      <c r="AC1147">
        <f t="shared" si="187"/>
        <v>0</v>
      </c>
      <c r="AD1147" s="12">
        <f t="shared" si="191"/>
        <v>1</v>
      </c>
      <c r="AE1147" s="12">
        <f t="shared" si="192"/>
        <v>0</v>
      </c>
      <c r="AF1147">
        <f t="shared" si="188"/>
        <v>0</v>
      </c>
      <c r="AG1147">
        <f t="shared" si="193"/>
        <v>0</v>
      </c>
      <c r="AH1147">
        <f t="shared" si="194"/>
        <v>0</v>
      </c>
      <c r="AI1147">
        <f t="shared" si="195"/>
        <v>0</v>
      </c>
      <c r="AJ1147">
        <f t="shared" si="196"/>
        <v>1</v>
      </c>
      <c r="AK1147">
        <f t="shared" si="189"/>
        <v>0</v>
      </c>
      <c r="AL1147">
        <f t="shared" si="197"/>
        <v>0</v>
      </c>
    </row>
    <row r="1148" spans="1:38">
      <c r="A1148" t="s">
        <v>3571</v>
      </c>
      <c r="B1148" t="s">
        <v>3572</v>
      </c>
      <c r="C1148" s="1">
        <f t="shared" si="190"/>
        <v>45597</v>
      </c>
      <c r="D1148" t="s">
        <v>3573</v>
      </c>
      <c r="E1148">
        <v>391.3</v>
      </c>
      <c r="F1148">
        <v>16.3</v>
      </c>
      <c r="G1148" t="s">
        <v>30</v>
      </c>
      <c r="H1148" t="s">
        <v>172</v>
      </c>
      <c r="I1148" t="s">
        <v>79</v>
      </c>
      <c r="J1148">
        <v>360</v>
      </c>
      <c r="K1148" t="s">
        <v>33</v>
      </c>
      <c r="L1148" t="s">
        <v>70</v>
      </c>
      <c r="M1148" t="s">
        <v>35</v>
      </c>
      <c r="N1148" t="s">
        <v>61</v>
      </c>
      <c r="O1148" t="s">
        <v>51</v>
      </c>
      <c r="P1148" t="s">
        <v>39</v>
      </c>
      <c r="Q1148" t="s">
        <v>38</v>
      </c>
      <c r="R1148">
        <v>0</v>
      </c>
      <c r="S1148" t="s">
        <v>39</v>
      </c>
      <c r="T1148">
        <v>5</v>
      </c>
      <c r="U1148">
        <v>1.1000000000000001</v>
      </c>
      <c r="V1148">
        <v>19.399999999999999</v>
      </c>
      <c r="W1148" t="s">
        <v>39</v>
      </c>
      <c r="X1148" t="s">
        <v>52</v>
      </c>
      <c r="Y1148" t="s">
        <v>38</v>
      </c>
      <c r="Z1148" t="s">
        <v>179</v>
      </c>
      <c r="AA1148" t="s">
        <v>82</v>
      </c>
      <c r="AB1148" t="s">
        <v>55</v>
      </c>
      <c r="AC1148">
        <f t="shared" si="187"/>
        <v>1</v>
      </c>
      <c r="AD1148" s="12">
        <f t="shared" si="191"/>
        <v>0</v>
      </c>
      <c r="AE1148" s="12">
        <f t="shared" si="192"/>
        <v>0</v>
      </c>
      <c r="AF1148">
        <f t="shared" si="188"/>
        <v>1</v>
      </c>
      <c r="AG1148">
        <f t="shared" si="193"/>
        <v>0</v>
      </c>
      <c r="AH1148">
        <f t="shared" si="194"/>
        <v>0</v>
      </c>
      <c r="AI1148">
        <f t="shared" si="195"/>
        <v>0</v>
      </c>
      <c r="AJ1148">
        <f t="shared" si="196"/>
        <v>0</v>
      </c>
      <c r="AK1148">
        <f t="shared" si="189"/>
        <v>1</v>
      </c>
      <c r="AL1148">
        <f t="shared" si="197"/>
        <v>1</v>
      </c>
    </row>
    <row r="1149" spans="1:38">
      <c r="A1149" t="s">
        <v>3574</v>
      </c>
      <c r="B1149" t="s">
        <v>3575</v>
      </c>
      <c r="C1149" s="1">
        <f t="shared" si="190"/>
        <v>45413</v>
      </c>
      <c r="D1149" t="s">
        <v>3576</v>
      </c>
      <c r="E1149">
        <v>201.2</v>
      </c>
      <c r="F1149">
        <v>8.4</v>
      </c>
      <c r="G1149" t="s">
        <v>101</v>
      </c>
      <c r="H1149" t="s">
        <v>295</v>
      </c>
      <c r="I1149" t="s">
        <v>32</v>
      </c>
      <c r="J1149">
        <v>240</v>
      </c>
      <c r="K1149" t="s">
        <v>49</v>
      </c>
      <c r="L1149" t="s">
        <v>96</v>
      </c>
      <c r="M1149" t="s">
        <v>35</v>
      </c>
      <c r="N1149" t="s">
        <v>134</v>
      </c>
      <c r="O1149" t="s">
        <v>7232</v>
      </c>
      <c r="P1149" t="s">
        <v>38</v>
      </c>
      <c r="Q1149" t="s">
        <v>38</v>
      </c>
      <c r="R1149">
        <v>1</v>
      </c>
      <c r="S1149" t="s">
        <v>38</v>
      </c>
      <c r="T1149">
        <v>10</v>
      </c>
      <c r="U1149">
        <v>0.3</v>
      </c>
      <c r="V1149">
        <v>18.5</v>
      </c>
      <c r="W1149" t="s">
        <v>39</v>
      </c>
      <c r="X1149" t="s">
        <v>63</v>
      </c>
      <c r="Y1149" t="s">
        <v>38</v>
      </c>
      <c r="Z1149" t="s">
        <v>81</v>
      </c>
      <c r="AA1149" t="s">
        <v>82</v>
      </c>
      <c r="AB1149" t="s">
        <v>55</v>
      </c>
      <c r="AC1149">
        <f t="shared" si="187"/>
        <v>0</v>
      </c>
      <c r="AD1149" s="12">
        <f t="shared" si="191"/>
        <v>1</v>
      </c>
      <c r="AE1149" s="12">
        <f t="shared" si="192"/>
        <v>0</v>
      </c>
      <c r="AF1149">
        <f t="shared" si="188"/>
        <v>0</v>
      </c>
      <c r="AG1149">
        <f t="shared" si="193"/>
        <v>1</v>
      </c>
      <c r="AH1149">
        <f t="shared" si="194"/>
        <v>0</v>
      </c>
      <c r="AI1149">
        <f t="shared" si="195"/>
        <v>0</v>
      </c>
      <c r="AJ1149">
        <f t="shared" si="196"/>
        <v>1</v>
      </c>
      <c r="AK1149">
        <f t="shared" si="189"/>
        <v>0</v>
      </c>
      <c r="AL1149">
        <f t="shared" si="197"/>
        <v>1</v>
      </c>
    </row>
    <row r="1150" spans="1:38">
      <c r="A1150" t="s">
        <v>3577</v>
      </c>
      <c r="B1150" t="s">
        <v>3578</v>
      </c>
      <c r="C1150" s="1">
        <f t="shared" si="190"/>
        <v>45627</v>
      </c>
      <c r="D1150" t="s">
        <v>3579</v>
      </c>
      <c r="E1150">
        <v>159.69999999999999</v>
      </c>
      <c r="F1150">
        <v>6.7</v>
      </c>
      <c r="G1150" t="s">
        <v>30</v>
      </c>
      <c r="H1150" t="s">
        <v>47</v>
      </c>
      <c r="I1150" t="s">
        <v>32</v>
      </c>
      <c r="J1150">
        <v>240</v>
      </c>
      <c r="K1150" t="s">
        <v>49</v>
      </c>
      <c r="L1150" t="s">
        <v>70</v>
      </c>
      <c r="M1150" t="s">
        <v>35</v>
      </c>
      <c r="N1150" t="s">
        <v>36</v>
      </c>
      <c r="O1150" t="s">
        <v>51</v>
      </c>
      <c r="P1150" t="s">
        <v>38</v>
      </c>
      <c r="Q1150" t="s">
        <v>38</v>
      </c>
      <c r="R1150">
        <v>1</v>
      </c>
      <c r="S1150" t="s">
        <v>38</v>
      </c>
      <c r="T1150">
        <v>10</v>
      </c>
      <c r="U1150">
        <v>4.7</v>
      </c>
      <c r="V1150">
        <v>17.600000000000001</v>
      </c>
      <c r="W1150" t="s">
        <v>39</v>
      </c>
      <c r="X1150" t="s">
        <v>63</v>
      </c>
      <c r="Y1150" t="s">
        <v>38</v>
      </c>
      <c r="Z1150" t="s">
        <v>73</v>
      </c>
      <c r="AA1150" t="s">
        <v>103</v>
      </c>
      <c r="AB1150" t="s">
        <v>43</v>
      </c>
      <c r="AC1150">
        <f t="shared" si="187"/>
        <v>0</v>
      </c>
      <c r="AD1150" s="12">
        <f t="shared" si="191"/>
        <v>1</v>
      </c>
      <c r="AE1150" s="12">
        <f t="shared" si="192"/>
        <v>0</v>
      </c>
      <c r="AF1150">
        <f t="shared" si="188"/>
        <v>1</v>
      </c>
      <c r="AG1150">
        <f t="shared" si="193"/>
        <v>0</v>
      </c>
      <c r="AH1150">
        <f t="shared" si="194"/>
        <v>0</v>
      </c>
      <c r="AI1150">
        <f t="shared" si="195"/>
        <v>0</v>
      </c>
      <c r="AJ1150">
        <f t="shared" si="196"/>
        <v>1</v>
      </c>
      <c r="AK1150">
        <f t="shared" si="189"/>
        <v>1</v>
      </c>
      <c r="AL1150">
        <f t="shared" si="197"/>
        <v>1</v>
      </c>
    </row>
    <row r="1151" spans="1:38">
      <c r="A1151" t="s">
        <v>3580</v>
      </c>
      <c r="B1151" t="s">
        <v>3581</v>
      </c>
      <c r="C1151" s="1">
        <f t="shared" si="190"/>
        <v>45566</v>
      </c>
      <c r="D1151" t="s">
        <v>3582</v>
      </c>
      <c r="E1151">
        <v>290.5</v>
      </c>
      <c r="F1151">
        <v>12.1</v>
      </c>
      <c r="G1151" t="s">
        <v>142</v>
      </c>
      <c r="H1151" t="s">
        <v>319</v>
      </c>
      <c r="I1151" t="s">
        <v>48</v>
      </c>
      <c r="J1151">
        <v>120</v>
      </c>
      <c r="K1151" t="s">
        <v>33</v>
      </c>
      <c r="L1151" t="s">
        <v>70</v>
      </c>
      <c r="M1151" t="s">
        <v>71</v>
      </c>
      <c r="N1151" t="s">
        <v>299</v>
      </c>
      <c r="O1151" t="s">
        <v>37</v>
      </c>
      <c r="P1151" t="s">
        <v>38</v>
      </c>
      <c r="Q1151" t="s">
        <v>39</v>
      </c>
      <c r="R1151">
        <v>3</v>
      </c>
      <c r="S1151" t="s">
        <v>38</v>
      </c>
      <c r="T1151">
        <v>7</v>
      </c>
      <c r="U1151">
        <v>1.7</v>
      </c>
      <c r="V1151">
        <v>33.5</v>
      </c>
      <c r="W1151" t="s">
        <v>39</v>
      </c>
      <c r="X1151" t="s">
        <v>63</v>
      </c>
      <c r="Y1151" t="s">
        <v>39</v>
      </c>
      <c r="Z1151" t="s">
        <v>64</v>
      </c>
      <c r="AA1151" t="s">
        <v>82</v>
      </c>
      <c r="AB1151" t="s">
        <v>83</v>
      </c>
      <c r="AC1151">
        <f t="shared" si="187"/>
        <v>0</v>
      </c>
      <c r="AD1151" s="12">
        <f t="shared" si="191"/>
        <v>1</v>
      </c>
      <c r="AE1151" s="12">
        <f t="shared" si="192"/>
        <v>0</v>
      </c>
      <c r="AF1151">
        <f t="shared" si="188"/>
        <v>0</v>
      </c>
      <c r="AG1151">
        <f t="shared" si="193"/>
        <v>0</v>
      </c>
      <c r="AH1151">
        <f t="shared" si="194"/>
        <v>1</v>
      </c>
      <c r="AI1151">
        <f t="shared" si="195"/>
        <v>0</v>
      </c>
      <c r="AJ1151">
        <f t="shared" si="196"/>
        <v>0</v>
      </c>
      <c r="AK1151">
        <f t="shared" si="189"/>
        <v>0</v>
      </c>
      <c r="AL1151">
        <f t="shared" si="197"/>
        <v>0</v>
      </c>
    </row>
    <row r="1152" spans="1:38">
      <c r="A1152" t="s">
        <v>3583</v>
      </c>
      <c r="B1152" t="s">
        <v>3584</v>
      </c>
      <c r="C1152" s="1">
        <f t="shared" si="190"/>
        <v>45505</v>
      </c>
      <c r="D1152" t="s">
        <v>3585</v>
      </c>
      <c r="E1152">
        <v>470.7</v>
      </c>
      <c r="F1152">
        <v>19.600000000000001</v>
      </c>
      <c r="G1152" t="s">
        <v>77</v>
      </c>
      <c r="H1152" t="s">
        <v>187</v>
      </c>
      <c r="I1152" t="s">
        <v>79</v>
      </c>
      <c r="J1152">
        <v>360</v>
      </c>
      <c r="K1152" t="s">
        <v>33</v>
      </c>
      <c r="L1152" t="s">
        <v>34</v>
      </c>
      <c r="M1152" t="s">
        <v>35</v>
      </c>
      <c r="N1152" t="s">
        <v>192</v>
      </c>
      <c r="O1152" t="s">
        <v>51</v>
      </c>
      <c r="P1152" t="s">
        <v>38</v>
      </c>
      <c r="Q1152" t="s">
        <v>38</v>
      </c>
      <c r="R1152">
        <v>1</v>
      </c>
      <c r="S1152" t="s">
        <v>38</v>
      </c>
      <c r="T1152">
        <v>3</v>
      </c>
      <c r="U1152">
        <v>5.0999999999999996</v>
      </c>
      <c r="V1152">
        <v>34.4</v>
      </c>
      <c r="W1152" t="s">
        <v>39</v>
      </c>
      <c r="X1152" t="s">
        <v>63</v>
      </c>
      <c r="Y1152" t="s">
        <v>39</v>
      </c>
      <c r="Z1152" t="s">
        <v>108</v>
      </c>
      <c r="AA1152" t="s">
        <v>54</v>
      </c>
      <c r="AB1152" t="s">
        <v>43</v>
      </c>
      <c r="AC1152">
        <f t="shared" si="187"/>
        <v>0</v>
      </c>
      <c r="AD1152" s="12">
        <f t="shared" si="191"/>
        <v>1</v>
      </c>
      <c r="AE1152" s="12">
        <f t="shared" si="192"/>
        <v>0</v>
      </c>
      <c r="AF1152">
        <f t="shared" si="188"/>
        <v>1</v>
      </c>
      <c r="AG1152">
        <f t="shared" si="193"/>
        <v>0</v>
      </c>
      <c r="AH1152">
        <f t="shared" si="194"/>
        <v>0</v>
      </c>
      <c r="AI1152">
        <f t="shared" si="195"/>
        <v>0</v>
      </c>
      <c r="AJ1152">
        <f t="shared" si="196"/>
        <v>0</v>
      </c>
      <c r="AK1152">
        <f t="shared" si="189"/>
        <v>0</v>
      </c>
      <c r="AL1152">
        <f t="shared" si="197"/>
        <v>0</v>
      </c>
    </row>
    <row r="1153" spans="1:38">
      <c r="A1153" t="s">
        <v>3586</v>
      </c>
      <c r="B1153" t="s">
        <v>3587</v>
      </c>
      <c r="C1153" s="1">
        <f t="shared" si="190"/>
        <v>45323</v>
      </c>
      <c r="D1153" t="s">
        <v>3588</v>
      </c>
      <c r="E1153">
        <v>276.3</v>
      </c>
      <c r="F1153">
        <v>11.5</v>
      </c>
      <c r="G1153" t="s">
        <v>77</v>
      </c>
      <c r="H1153" t="s">
        <v>267</v>
      </c>
      <c r="I1153" t="s">
        <v>79</v>
      </c>
      <c r="J1153">
        <v>360</v>
      </c>
      <c r="K1153" t="s">
        <v>49</v>
      </c>
      <c r="L1153" t="s">
        <v>70</v>
      </c>
      <c r="M1153" t="s">
        <v>35</v>
      </c>
      <c r="N1153" t="s">
        <v>36</v>
      </c>
      <c r="O1153" t="s">
        <v>7232</v>
      </c>
      <c r="P1153" t="s">
        <v>39</v>
      </c>
      <c r="Q1153" t="s">
        <v>38</v>
      </c>
      <c r="R1153">
        <v>0</v>
      </c>
      <c r="S1153" t="s">
        <v>38</v>
      </c>
      <c r="T1153">
        <v>10</v>
      </c>
      <c r="U1153">
        <v>3.5</v>
      </c>
      <c r="V1153">
        <v>36.200000000000003</v>
      </c>
      <c r="W1153" t="s">
        <v>38</v>
      </c>
      <c r="X1153" t="s">
        <v>52</v>
      </c>
      <c r="Y1153" t="s">
        <v>39</v>
      </c>
      <c r="Z1153" t="s">
        <v>179</v>
      </c>
      <c r="AA1153" t="s">
        <v>103</v>
      </c>
      <c r="AB1153" t="s">
        <v>83</v>
      </c>
      <c r="AC1153">
        <f t="shared" si="187"/>
        <v>1</v>
      </c>
      <c r="AD1153" s="12">
        <f t="shared" si="191"/>
        <v>0</v>
      </c>
      <c r="AE1153" s="12">
        <f t="shared" si="192"/>
        <v>0</v>
      </c>
      <c r="AF1153">
        <f t="shared" si="188"/>
        <v>0</v>
      </c>
      <c r="AG1153">
        <f t="shared" si="193"/>
        <v>1</v>
      </c>
      <c r="AH1153">
        <f t="shared" si="194"/>
        <v>0</v>
      </c>
      <c r="AI1153">
        <f t="shared" si="195"/>
        <v>0</v>
      </c>
      <c r="AJ1153">
        <f t="shared" si="196"/>
        <v>0</v>
      </c>
      <c r="AK1153">
        <f t="shared" si="189"/>
        <v>0</v>
      </c>
      <c r="AL1153">
        <f t="shared" si="197"/>
        <v>0</v>
      </c>
    </row>
    <row r="1154" spans="1:38">
      <c r="A1154" t="s">
        <v>3589</v>
      </c>
      <c r="B1154" t="s">
        <v>3590</v>
      </c>
      <c r="C1154" s="1">
        <f t="shared" si="190"/>
        <v>45536</v>
      </c>
      <c r="D1154" t="s">
        <v>3591</v>
      </c>
      <c r="E1154">
        <v>182.8</v>
      </c>
      <c r="F1154">
        <v>7.6</v>
      </c>
      <c r="G1154" t="s">
        <v>87</v>
      </c>
      <c r="H1154" t="s">
        <v>151</v>
      </c>
      <c r="I1154" t="s">
        <v>32</v>
      </c>
      <c r="J1154">
        <v>240</v>
      </c>
      <c r="K1154" t="s">
        <v>49</v>
      </c>
      <c r="L1154" t="s">
        <v>133</v>
      </c>
      <c r="M1154" t="s">
        <v>71</v>
      </c>
      <c r="N1154" t="s">
        <v>144</v>
      </c>
      <c r="O1154" t="s">
        <v>7232</v>
      </c>
      <c r="P1154" t="s">
        <v>38</v>
      </c>
      <c r="Q1154" t="s">
        <v>39</v>
      </c>
      <c r="R1154">
        <v>2</v>
      </c>
      <c r="S1154" t="s">
        <v>38</v>
      </c>
      <c r="T1154">
        <v>10</v>
      </c>
      <c r="U1154">
        <v>4.5</v>
      </c>
      <c r="V1154">
        <v>23.5</v>
      </c>
      <c r="W1154" t="s">
        <v>38</v>
      </c>
      <c r="X1154" t="s">
        <v>63</v>
      </c>
      <c r="Y1154" t="s">
        <v>39</v>
      </c>
      <c r="Z1154" t="s">
        <v>179</v>
      </c>
      <c r="AA1154" t="s">
        <v>103</v>
      </c>
      <c r="AB1154" t="s">
        <v>83</v>
      </c>
      <c r="AC1154">
        <f t="shared" ref="AC1154:AC1217" si="198">IF(X1154="Poor", 1, 0)</f>
        <v>0</v>
      </c>
      <c r="AD1154" s="12">
        <f t="shared" si="191"/>
        <v>1</v>
      </c>
      <c r="AE1154" s="12">
        <f t="shared" si="192"/>
        <v>0</v>
      </c>
      <c r="AF1154">
        <f t="shared" ref="AF1154:AF1217" si="199">IF(O1154="Junior", 1, 0)</f>
        <v>0</v>
      </c>
      <c r="AG1154">
        <f t="shared" si="193"/>
        <v>1</v>
      </c>
      <c r="AH1154">
        <f t="shared" si="194"/>
        <v>0</v>
      </c>
      <c r="AI1154">
        <f t="shared" si="195"/>
        <v>0</v>
      </c>
      <c r="AJ1154">
        <f t="shared" si="196"/>
        <v>1</v>
      </c>
      <c r="AK1154">
        <f t="shared" ref="AK1154:AK1217" si="200">IF(G1154="Access Requests", 1, 0)</f>
        <v>0</v>
      </c>
      <c r="AL1154">
        <f t="shared" si="197"/>
        <v>0</v>
      </c>
    </row>
    <row r="1155" spans="1:38">
      <c r="A1155" t="s">
        <v>3592</v>
      </c>
      <c r="B1155" t="s">
        <v>3593</v>
      </c>
      <c r="C1155" s="1">
        <f t="shared" ref="C1155:C1218" si="201">DATE(YEAR(B1155),MONTH(B1155),1)</f>
        <v>45383</v>
      </c>
      <c r="D1155" t="s">
        <v>3594</v>
      </c>
      <c r="E1155">
        <v>338.8</v>
      </c>
      <c r="F1155">
        <v>14.1</v>
      </c>
      <c r="G1155" t="s">
        <v>77</v>
      </c>
      <c r="H1155" t="s">
        <v>78</v>
      </c>
      <c r="I1155" t="s">
        <v>79</v>
      </c>
      <c r="J1155">
        <v>360</v>
      </c>
      <c r="K1155" t="s">
        <v>49</v>
      </c>
      <c r="L1155" t="s">
        <v>113</v>
      </c>
      <c r="M1155" t="s">
        <v>35</v>
      </c>
      <c r="N1155" t="s">
        <v>36</v>
      </c>
      <c r="O1155" t="s">
        <v>37</v>
      </c>
      <c r="P1155" t="s">
        <v>39</v>
      </c>
      <c r="Q1155" t="s">
        <v>38</v>
      </c>
      <c r="R1155">
        <v>0</v>
      </c>
      <c r="S1155" t="s">
        <v>38</v>
      </c>
      <c r="T1155">
        <v>8</v>
      </c>
      <c r="U1155">
        <v>5.8</v>
      </c>
      <c r="V1155">
        <v>32.1</v>
      </c>
      <c r="W1155" t="s">
        <v>38</v>
      </c>
      <c r="X1155" t="s">
        <v>63</v>
      </c>
      <c r="Y1155" t="s">
        <v>38</v>
      </c>
      <c r="Z1155" t="s">
        <v>108</v>
      </c>
      <c r="AA1155" t="s">
        <v>109</v>
      </c>
      <c r="AB1155" t="s">
        <v>83</v>
      </c>
      <c r="AC1155">
        <f t="shared" si="198"/>
        <v>0</v>
      </c>
      <c r="AD1155" s="12">
        <f t="shared" ref="AD1155:AD1218" si="202">IF(X1155="Fair", 1, 0)</f>
        <v>1</v>
      </c>
      <c r="AE1155" s="12">
        <f t="shared" ref="AE1155:AE1218" si="203">IF(X1155="Good", 1, 0)</f>
        <v>0</v>
      </c>
      <c r="AF1155">
        <f t="shared" si="199"/>
        <v>0</v>
      </c>
      <c r="AG1155">
        <f t="shared" ref="AG1155:AG1218" si="204">IF(O1155="Mid", 1, 0)</f>
        <v>0</v>
      </c>
      <c r="AH1155">
        <f t="shared" ref="AH1155:AH1218" si="205">IF(I1155="High", 1, 0)</f>
        <v>0</v>
      </c>
      <c r="AI1155">
        <f t="shared" ref="AI1155:AI1218" si="206">IF(I1155="Critical", 1, 0)</f>
        <v>0</v>
      </c>
      <c r="AJ1155">
        <f t="shared" ref="AJ1155:AJ1218" si="207">IF(I1155="Medium", 1, 0)</f>
        <v>0</v>
      </c>
      <c r="AK1155">
        <f t="shared" si="200"/>
        <v>0</v>
      </c>
      <c r="AL1155">
        <f t="shared" ref="AL1155:AL1218" si="208">IF(Y1155="No", 1, 0)</f>
        <v>1</v>
      </c>
    </row>
    <row r="1156" spans="1:38">
      <c r="A1156" t="s">
        <v>3595</v>
      </c>
      <c r="B1156" t="s">
        <v>3596</v>
      </c>
      <c r="C1156" s="1">
        <f t="shared" si="201"/>
        <v>45536</v>
      </c>
      <c r="D1156" t="s">
        <v>3597</v>
      </c>
      <c r="E1156">
        <v>98.2</v>
      </c>
      <c r="F1156">
        <v>4.0999999999999996</v>
      </c>
      <c r="G1156" t="s">
        <v>59</v>
      </c>
      <c r="H1156" t="s">
        <v>466</v>
      </c>
      <c r="I1156" t="s">
        <v>48</v>
      </c>
      <c r="J1156">
        <v>120</v>
      </c>
      <c r="K1156" t="s">
        <v>49</v>
      </c>
      <c r="L1156" t="s">
        <v>96</v>
      </c>
      <c r="M1156" t="s">
        <v>35</v>
      </c>
      <c r="N1156" t="s">
        <v>164</v>
      </c>
      <c r="O1156" t="s">
        <v>7232</v>
      </c>
      <c r="P1156" t="s">
        <v>38</v>
      </c>
      <c r="Q1156" t="s">
        <v>38</v>
      </c>
      <c r="R1156">
        <v>1</v>
      </c>
      <c r="S1156" t="s">
        <v>38</v>
      </c>
      <c r="T1156">
        <v>8</v>
      </c>
      <c r="U1156">
        <v>2.6</v>
      </c>
      <c r="V1156">
        <v>41.2</v>
      </c>
      <c r="W1156" t="s">
        <v>38</v>
      </c>
      <c r="X1156" t="s">
        <v>63</v>
      </c>
      <c r="Y1156" t="s">
        <v>39</v>
      </c>
      <c r="Z1156" t="s">
        <v>81</v>
      </c>
      <c r="AA1156" t="s">
        <v>109</v>
      </c>
      <c r="AB1156" t="s">
        <v>55</v>
      </c>
      <c r="AC1156">
        <f t="shared" si="198"/>
        <v>0</v>
      </c>
      <c r="AD1156" s="12">
        <f t="shared" si="202"/>
        <v>1</v>
      </c>
      <c r="AE1156" s="12">
        <f t="shared" si="203"/>
        <v>0</v>
      </c>
      <c r="AF1156">
        <f t="shared" si="199"/>
        <v>0</v>
      </c>
      <c r="AG1156">
        <f t="shared" si="204"/>
        <v>1</v>
      </c>
      <c r="AH1156">
        <f t="shared" si="205"/>
        <v>1</v>
      </c>
      <c r="AI1156">
        <f t="shared" si="206"/>
        <v>0</v>
      </c>
      <c r="AJ1156">
        <f t="shared" si="207"/>
        <v>0</v>
      </c>
      <c r="AK1156">
        <f t="shared" si="200"/>
        <v>0</v>
      </c>
      <c r="AL1156">
        <f t="shared" si="208"/>
        <v>0</v>
      </c>
    </row>
    <row r="1157" spans="1:38">
      <c r="A1157" t="s">
        <v>3598</v>
      </c>
      <c r="B1157" t="s">
        <v>3599</v>
      </c>
      <c r="C1157" s="1">
        <f t="shared" si="201"/>
        <v>45292</v>
      </c>
      <c r="D1157" t="s">
        <v>3600</v>
      </c>
      <c r="E1157">
        <v>481.9</v>
      </c>
      <c r="F1157">
        <v>20.100000000000001</v>
      </c>
      <c r="G1157" t="s">
        <v>77</v>
      </c>
      <c r="H1157" t="s">
        <v>187</v>
      </c>
      <c r="I1157" t="s">
        <v>32</v>
      </c>
      <c r="J1157">
        <v>240</v>
      </c>
      <c r="K1157" t="s">
        <v>33</v>
      </c>
      <c r="L1157" t="s">
        <v>70</v>
      </c>
      <c r="M1157" t="s">
        <v>35</v>
      </c>
      <c r="N1157" t="s">
        <v>188</v>
      </c>
      <c r="O1157" t="s">
        <v>7232</v>
      </c>
      <c r="P1157" t="s">
        <v>39</v>
      </c>
      <c r="Q1157" t="s">
        <v>38</v>
      </c>
      <c r="R1157">
        <v>0</v>
      </c>
      <c r="S1157" t="s">
        <v>38</v>
      </c>
      <c r="T1157">
        <v>9</v>
      </c>
      <c r="U1157">
        <v>2.7</v>
      </c>
      <c r="V1157">
        <v>11.1</v>
      </c>
      <c r="W1157" t="s">
        <v>38</v>
      </c>
      <c r="X1157" t="s">
        <v>52</v>
      </c>
      <c r="Y1157" t="s">
        <v>39</v>
      </c>
      <c r="Z1157" t="s">
        <v>108</v>
      </c>
      <c r="AA1157" t="s">
        <v>54</v>
      </c>
      <c r="AB1157" t="s">
        <v>83</v>
      </c>
      <c r="AC1157">
        <f t="shared" si="198"/>
        <v>1</v>
      </c>
      <c r="AD1157" s="12">
        <f t="shared" si="202"/>
        <v>0</v>
      </c>
      <c r="AE1157" s="12">
        <f t="shared" si="203"/>
        <v>0</v>
      </c>
      <c r="AF1157">
        <f t="shared" si="199"/>
        <v>0</v>
      </c>
      <c r="AG1157">
        <f t="shared" si="204"/>
        <v>1</v>
      </c>
      <c r="AH1157">
        <f t="shared" si="205"/>
        <v>0</v>
      </c>
      <c r="AI1157">
        <f t="shared" si="206"/>
        <v>0</v>
      </c>
      <c r="AJ1157">
        <f t="shared" si="207"/>
        <v>1</v>
      </c>
      <c r="AK1157">
        <f t="shared" si="200"/>
        <v>0</v>
      </c>
      <c r="AL1157">
        <f t="shared" si="208"/>
        <v>0</v>
      </c>
    </row>
    <row r="1158" spans="1:38">
      <c r="A1158" t="s">
        <v>3601</v>
      </c>
      <c r="B1158" t="s">
        <v>3602</v>
      </c>
      <c r="C1158" s="1">
        <f t="shared" si="201"/>
        <v>45536</v>
      </c>
      <c r="D1158" t="s">
        <v>3603</v>
      </c>
      <c r="E1158">
        <v>695.4</v>
      </c>
      <c r="F1158">
        <v>29</v>
      </c>
      <c r="G1158" t="s">
        <v>142</v>
      </c>
      <c r="H1158" t="s">
        <v>319</v>
      </c>
      <c r="I1158" t="s">
        <v>32</v>
      </c>
      <c r="J1158">
        <v>240</v>
      </c>
      <c r="K1158" t="s">
        <v>33</v>
      </c>
      <c r="L1158" t="s">
        <v>70</v>
      </c>
      <c r="M1158" t="s">
        <v>71</v>
      </c>
      <c r="N1158" t="s">
        <v>72</v>
      </c>
      <c r="O1158" t="s">
        <v>37</v>
      </c>
      <c r="P1158" t="s">
        <v>38</v>
      </c>
      <c r="Q1158" t="s">
        <v>39</v>
      </c>
      <c r="R1158">
        <v>2</v>
      </c>
      <c r="S1158" t="s">
        <v>38</v>
      </c>
      <c r="T1158">
        <v>5</v>
      </c>
      <c r="U1158">
        <v>1</v>
      </c>
      <c r="V1158">
        <v>8.6</v>
      </c>
      <c r="W1158" t="s">
        <v>39</v>
      </c>
      <c r="X1158" t="s">
        <v>123</v>
      </c>
      <c r="Y1158" t="s">
        <v>39</v>
      </c>
      <c r="Z1158" t="s">
        <v>81</v>
      </c>
      <c r="AA1158" t="s">
        <v>109</v>
      </c>
      <c r="AB1158" t="s">
        <v>55</v>
      </c>
      <c r="AC1158">
        <f t="shared" si="198"/>
        <v>0</v>
      </c>
      <c r="AD1158" s="12">
        <f t="shared" si="202"/>
        <v>0</v>
      </c>
      <c r="AE1158" s="12">
        <f t="shared" si="203"/>
        <v>1</v>
      </c>
      <c r="AF1158">
        <f t="shared" si="199"/>
        <v>0</v>
      </c>
      <c r="AG1158">
        <f t="shared" si="204"/>
        <v>0</v>
      </c>
      <c r="AH1158">
        <f t="shared" si="205"/>
        <v>0</v>
      </c>
      <c r="AI1158">
        <f t="shared" si="206"/>
        <v>0</v>
      </c>
      <c r="AJ1158">
        <f t="shared" si="207"/>
        <v>1</v>
      </c>
      <c r="AK1158">
        <f t="shared" si="200"/>
        <v>0</v>
      </c>
      <c r="AL1158">
        <f t="shared" si="208"/>
        <v>0</v>
      </c>
    </row>
    <row r="1159" spans="1:38">
      <c r="A1159" t="s">
        <v>3604</v>
      </c>
      <c r="B1159" t="s">
        <v>3605</v>
      </c>
      <c r="C1159" s="1">
        <f t="shared" si="201"/>
        <v>45597</v>
      </c>
      <c r="D1159" t="s">
        <v>3606</v>
      </c>
      <c r="E1159">
        <v>87</v>
      </c>
      <c r="F1159">
        <v>3.6</v>
      </c>
      <c r="G1159" t="s">
        <v>68</v>
      </c>
      <c r="H1159" t="s">
        <v>69</v>
      </c>
      <c r="I1159" t="s">
        <v>48</v>
      </c>
      <c r="J1159">
        <v>120</v>
      </c>
      <c r="K1159" t="s">
        <v>49</v>
      </c>
      <c r="L1159" t="s">
        <v>70</v>
      </c>
      <c r="M1159" t="s">
        <v>71</v>
      </c>
      <c r="N1159" t="s">
        <v>155</v>
      </c>
      <c r="O1159" t="s">
        <v>7232</v>
      </c>
      <c r="P1159" t="s">
        <v>38</v>
      </c>
      <c r="Q1159" t="s">
        <v>39</v>
      </c>
      <c r="R1159">
        <v>1</v>
      </c>
      <c r="S1159" t="s">
        <v>38</v>
      </c>
      <c r="T1159">
        <v>8</v>
      </c>
      <c r="U1159">
        <v>6.4</v>
      </c>
      <c r="V1159">
        <v>5.9</v>
      </c>
      <c r="W1159" t="s">
        <v>39</v>
      </c>
      <c r="X1159" t="s">
        <v>123</v>
      </c>
      <c r="Y1159" t="s">
        <v>39</v>
      </c>
      <c r="Z1159" t="s">
        <v>179</v>
      </c>
      <c r="AA1159" t="s">
        <v>42</v>
      </c>
      <c r="AB1159" t="s">
        <v>55</v>
      </c>
      <c r="AC1159">
        <f t="shared" si="198"/>
        <v>0</v>
      </c>
      <c r="AD1159" s="12">
        <f t="shared" si="202"/>
        <v>0</v>
      </c>
      <c r="AE1159" s="12">
        <f t="shared" si="203"/>
        <v>1</v>
      </c>
      <c r="AF1159">
        <f t="shared" si="199"/>
        <v>0</v>
      </c>
      <c r="AG1159">
        <f t="shared" si="204"/>
        <v>1</v>
      </c>
      <c r="AH1159">
        <f t="shared" si="205"/>
        <v>1</v>
      </c>
      <c r="AI1159">
        <f t="shared" si="206"/>
        <v>0</v>
      </c>
      <c r="AJ1159">
        <f t="shared" si="207"/>
        <v>0</v>
      </c>
      <c r="AK1159">
        <f t="shared" si="200"/>
        <v>0</v>
      </c>
      <c r="AL1159">
        <f t="shared" si="208"/>
        <v>0</v>
      </c>
    </row>
    <row r="1160" spans="1:38">
      <c r="A1160" t="s">
        <v>3607</v>
      </c>
      <c r="B1160" t="s">
        <v>3608</v>
      </c>
      <c r="C1160" s="1">
        <f t="shared" si="201"/>
        <v>45413</v>
      </c>
      <c r="D1160" t="s">
        <v>3609</v>
      </c>
      <c r="E1160">
        <v>302.60000000000002</v>
      </c>
      <c r="F1160">
        <v>12.6</v>
      </c>
      <c r="G1160" t="s">
        <v>142</v>
      </c>
      <c r="H1160" t="s">
        <v>729</v>
      </c>
      <c r="I1160" t="s">
        <v>32</v>
      </c>
      <c r="J1160">
        <v>240</v>
      </c>
      <c r="K1160" t="s">
        <v>33</v>
      </c>
      <c r="L1160" t="s">
        <v>34</v>
      </c>
      <c r="M1160" t="s">
        <v>71</v>
      </c>
      <c r="N1160" t="s">
        <v>164</v>
      </c>
      <c r="O1160" t="s">
        <v>51</v>
      </c>
      <c r="P1160" t="s">
        <v>38</v>
      </c>
      <c r="Q1160" t="s">
        <v>39</v>
      </c>
      <c r="R1160">
        <v>1</v>
      </c>
      <c r="S1160" t="s">
        <v>38</v>
      </c>
      <c r="T1160">
        <v>4</v>
      </c>
      <c r="U1160">
        <v>1.3</v>
      </c>
      <c r="V1160">
        <v>10.1</v>
      </c>
      <c r="W1160" t="s">
        <v>38</v>
      </c>
      <c r="X1160" t="s">
        <v>52</v>
      </c>
      <c r="Y1160" t="s">
        <v>38</v>
      </c>
      <c r="Z1160" t="s">
        <v>73</v>
      </c>
      <c r="AA1160" t="s">
        <v>103</v>
      </c>
      <c r="AB1160" t="s">
        <v>83</v>
      </c>
      <c r="AC1160">
        <f t="shared" si="198"/>
        <v>1</v>
      </c>
      <c r="AD1160" s="12">
        <f t="shared" si="202"/>
        <v>0</v>
      </c>
      <c r="AE1160" s="12">
        <f t="shared" si="203"/>
        <v>0</v>
      </c>
      <c r="AF1160">
        <f t="shared" si="199"/>
        <v>1</v>
      </c>
      <c r="AG1160">
        <f t="shared" si="204"/>
        <v>0</v>
      </c>
      <c r="AH1160">
        <f t="shared" si="205"/>
        <v>0</v>
      </c>
      <c r="AI1160">
        <f t="shared" si="206"/>
        <v>0</v>
      </c>
      <c r="AJ1160">
        <f t="shared" si="207"/>
        <v>1</v>
      </c>
      <c r="AK1160">
        <f t="shared" si="200"/>
        <v>0</v>
      </c>
      <c r="AL1160">
        <f t="shared" si="208"/>
        <v>1</v>
      </c>
    </row>
    <row r="1161" spans="1:38">
      <c r="A1161" t="s">
        <v>3610</v>
      </c>
      <c r="B1161" t="s">
        <v>3611</v>
      </c>
      <c r="C1161" s="1">
        <f t="shared" si="201"/>
        <v>45627</v>
      </c>
      <c r="D1161" t="s">
        <v>3612</v>
      </c>
      <c r="E1161">
        <v>191.8</v>
      </c>
      <c r="F1161">
        <v>8</v>
      </c>
      <c r="G1161" t="s">
        <v>101</v>
      </c>
      <c r="H1161" t="s">
        <v>102</v>
      </c>
      <c r="I1161" t="s">
        <v>32</v>
      </c>
      <c r="J1161">
        <v>240</v>
      </c>
      <c r="K1161" t="s">
        <v>49</v>
      </c>
      <c r="L1161" t="s">
        <v>70</v>
      </c>
      <c r="M1161" t="s">
        <v>35</v>
      </c>
      <c r="N1161" t="s">
        <v>80</v>
      </c>
      <c r="O1161" t="s">
        <v>7232</v>
      </c>
      <c r="P1161" t="s">
        <v>39</v>
      </c>
      <c r="Q1161" t="s">
        <v>38</v>
      </c>
      <c r="R1161">
        <v>0</v>
      </c>
      <c r="S1161" t="s">
        <v>38</v>
      </c>
      <c r="T1161">
        <v>10</v>
      </c>
      <c r="U1161">
        <v>1.5</v>
      </c>
      <c r="V1161">
        <v>9.6</v>
      </c>
      <c r="W1161" t="s">
        <v>38</v>
      </c>
      <c r="X1161" t="s">
        <v>63</v>
      </c>
      <c r="Y1161" t="s">
        <v>39</v>
      </c>
      <c r="Z1161" t="s">
        <v>108</v>
      </c>
      <c r="AA1161" t="s">
        <v>42</v>
      </c>
      <c r="AB1161" t="s">
        <v>83</v>
      </c>
      <c r="AC1161">
        <f t="shared" si="198"/>
        <v>0</v>
      </c>
      <c r="AD1161" s="12">
        <f t="shared" si="202"/>
        <v>1</v>
      </c>
      <c r="AE1161" s="12">
        <f t="shared" si="203"/>
        <v>0</v>
      </c>
      <c r="AF1161">
        <f t="shared" si="199"/>
        <v>0</v>
      </c>
      <c r="AG1161">
        <f t="shared" si="204"/>
        <v>1</v>
      </c>
      <c r="AH1161">
        <f t="shared" si="205"/>
        <v>0</v>
      </c>
      <c r="AI1161">
        <f t="shared" si="206"/>
        <v>0</v>
      </c>
      <c r="AJ1161">
        <f t="shared" si="207"/>
        <v>1</v>
      </c>
      <c r="AK1161">
        <f t="shared" si="200"/>
        <v>0</v>
      </c>
      <c r="AL1161">
        <f t="shared" si="208"/>
        <v>0</v>
      </c>
    </row>
    <row r="1162" spans="1:38">
      <c r="A1162" t="s">
        <v>3613</v>
      </c>
      <c r="B1162" t="s">
        <v>3614</v>
      </c>
      <c r="C1162" s="1">
        <f t="shared" si="201"/>
        <v>45597</v>
      </c>
      <c r="D1162" t="s">
        <v>3615</v>
      </c>
      <c r="E1162">
        <v>74</v>
      </c>
      <c r="F1162">
        <v>3.1</v>
      </c>
      <c r="G1162" t="s">
        <v>142</v>
      </c>
      <c r="H1162" t="s">
        <v>260</v>
      </c>
      <c r="I1162" t="s">
        <v>48</v>
      </c>
      <c r="J1162">
        <v>120</v>
      </c>
      <c r="K1162" t="s">
        <v>49</v>
      </c>
      <c r="L1162" t="s">
        <v>34</v>
      </c>
      <c r="M1162" t="s">
        <v>35</v>
      </c>
      <c r="N1162" t="s">
        <v>277</v>
      </c>
      <c r="O1162" t="s">
        <v>51</v>
      </c>
      <c r="P1162" t="s">
        <v>38</v>
      </c>
      <c r="Q1162" t="s">
        <v>38</v>
      </c>
      <c r="R1162">
        <v>1</v>
      </c>
      <c r="S1162" t="s">
        <v>38</v>
      </c>
      <c r="T1162">
        <v>10</v>
      </c>
      <c r="U1162">
        <v>1.3</v>
      </c>
      <c r="V1162">
        <v>6.2</v>
      </c>
      <c r="W1162" t="s">
        <v>39</v>
      </c>
      <c r="X1162" t="s">
        <v>123</v>
      </c>
      <c r="Y1162" t="s">
        <v>38</v>
      </c>
      <c r="Z1162" t="s">
        <v>81</v>
      </c>
      <c r="AA1162" t="s">
        <v>82</v>
      </c>
      <c r="AB1162" t="s">
        <v>83</v>
      </c>
      <c r="AC1162">
        <f t="shared" si="198"/>
        <v>0</v>
      </c>
      <c r="AD1162" s="12">
        <f t="shared" si="202"/>
        <v>0</v>
      </c>
      <c r="AE1162" s="12">
        <f t="shared" si="203"/>
        <v>1</v>
      </c>
      <c r="AF1162">
        <f t="shared" si="199"/>
        <v>1</v>
      </c>
      <c r="AG1162">
        <f t="shared" si="204"/>
        <v>0</v>
      </c>
      <c r="AH1162">
        <f t="shared" si="205"/>
        <v>1</v>
      </c>
      <c r="AI1162">
        <f t="shared" si="206"/>
        <v>0</v>
      </c>
      <c r="AJ1162">
        <f t="shared" si="207"/>
        <v>0</v>
      </c>
      <c r="AK1162">
        <f t="shared" si="200"/>
        <v>0</v>
      </c>
      <c r="AL1162">
        <f t="shared" si="208"/>
        <v>1</v>
      </c>
    </row>
    <row r="1163" spans="1:38">
      <c r="A1163" t="s">
        <v>3616</v>
      </c>
      <c r="B1163" t="s">
        <v>3617</v>
      </c>
      <c r="C1163" s="1">
        <f t="shared" si="201"/>
        <v>45627</v>
      </c>
      <c r="D1163" t="s">
        <v>3618</v>
      </c>
      <c r="E1163">
        <v>243</v>
      </c>
      <c r="F1163">
        <v>10.1</v>
      </c>
      <c r="G1163" t="s">
        <v>101</v>
      </c>
      <c r="H1163" t="s">
        <v>368</v>
      </c>
      <c r="I1163" t="s">
        <v>79</v>
      </c>
      <c r="J1163">
        <v>360</v>
      </c>
      <c r="K1163" t="s">
        <v>49</v>
      </c>
      <c r="L1163" t="s">
        <v>70</v>
      </c>
      <c r="M1163" t="s">
        <v>71</v>
      </c>
      <c r="N1163" t="s">
        <v>119</v>
      </c>
      <c r="O1163" t="s">
        <v>37</v>
      </c>
      <c r="P1163" t="s">
        <v>38</v>
      </c>
      <c r="Q1163" t="s">
        <v>39</v>
      </c>
      <c r="R1163">
        <v>1</v>
      </c>
      <c r="S1163" t="s">
        <v>38</v>
      </c>
      <c r="T1163">
        <v>8</v>
      </c>
      <c r="U1163">
        <v>1.8</v>
      </c>
      <c r="V1163">
        <v>19.600000000000001</v>
      </c>
      <c r="W1163" t="s">
        <v>39</v>
      </c>
      <c r="X1163" t="s">
        <v>52</v>
      </c>
      <c r="Y1163" t="s">
        <v>38</v>
      </c>
      <c r="Z1163" t="s">
        <v>41</v>
      </c>
      <c r="AA1163" t="s">
        <v>54</v>
      </c>
      <c r="AB1163" t="s">
        <v>83</v>
      </c>
      <c r="AC1163">
        <f t="shared" si="198"/>
        <v>1</v>
      </c>
      <c r="AD1163" s="12">
        <f t="shared" si="202"/>
        <v>0</v>
      </c>
      <c r="AE1163" s="12">
        <f t="shared" si="203"/>
        <v>0</v>
      </c>
      <c r="AF1163">
        <f t="shared" si="199"/>
        <v>0</v>
      </c>
      <c r="AG1163">
        <f t="shared" si="204"/>
        <v>0</v>
      </c>
      <c r="AH1163">
        <f t="shared" si="205"/>
        <v>0</v>
      </c>
      <c r="AI1163">
        <f t="shared" si="206"/>
        <v>0</v>
      </c>
      <c r="AJ1163">
        <f t="shared" si="207"/>
        <v>0</v>
      </c>
      <c r="AK1163">
        <f t="shared" si="200"/>
        <v>0</v>
      </c>
      <c r="AL1163">
        <f t="shared" si="208"/>
        <v>1</v>
      </c>
    </row>
    <row r="1164" spans="1:38">
      <c r="A1164" t="s">
        <v>3619</v>
      </c>
      <c r="B1164" t="s">
        <v>3620</v>
      </c>
      <c r="C1164" s="1">
        <f t="shared" si="201"/>
        <v>45444</v>
      </c>
      <c r="D1164" t="s">
        <v>3621</v>
      </c>
      <c r="E1164">
        <v>200.2</v>
      </c>
      <c r="F1164">
        <v>8.3000000000000007</v>
      </c>
      <c r="G1164" t="s">
        <v>101</v>
      </c>
      <c r="H1164" t="s">
        <v>102</v>
      </c>
      <c r="I1164" t="s">
        <v>32</v>
      </c>
      <c r="J1164">
        <v>240</v>
      </c>
      <c r="K1164" t="s">
        <v>49</v>
      </c>
      <c r="L1164" t="s">
        <v>96</v>
      </c>
      <c r="M1164" t="s">
        <v>35</v>
      </c>
      <c r="N1164" t="s">
        <v>80</v>
      </c>
      <c r="O1164" t="s">
        <v>7232</v>
      </c>
      <c r="P1164" t="s">
        <v>39</v>
      </c>
      <c r="Q1164" t="s">
        <v>38</v>
      </c>
      <c r="R1164">
        <v>0</v>
      </c>
      <c r="S1164" t="s">
        <v>38</v>
      </c>
      <c r="T1164">
        <v>10</v>
      </c>
      <c r="U1164">
        <v>4.2</v>
      </c>
      <c r="V1164">
        <v>11.6</v>
      </c>
      <c r="W1164" t="s">
        <v>39</v>
      </c>
      <c r="X1164" t="s">
        <v>63</v>
      </c>
      <c r="Y1164" t="s">
        <v>39</v>
      </c>
      <c r="Z1164" t="s">
        <v>64</v>
      </c>
      <c r="AA1164" t="s">
        <v>54</v>
      </c>
      <c r="AB1164" t="s">
        <v>83</v>
      </c>
      <c r="AC1164">
        <f t="shared" si="198"/>
        <v>0</v>
      </c>
      <c r="AD1164" s="12">
        <f t="shared" si="202"/>
        <v>1</v>
      </c>
      <c r="AE1164" s="12">
        <f t="shared" si="203"/>
        <v>0</v>
      </c>
      <c r="AF1164">
        <f t="shared" si="199"/>
        <v>0</v>
      </c>
      <c r="AG1164">
        <f t="shared" si="204"/>
        <v>1</v>
      </c>
      <c r="AH1164">
        <f t="shared" si="205"/>
        <v>0</v>
      </c>
      <c r="AI1164">
        <f t="shared" si="206"/>
        <v>0</v>
      </c>
      <c r="AJ1164">
        <f t="shared" si="207"/>
        <v>1</v>
      </c>
      <c r="AK1164">
        <f t="shared" si="200"/>
        <v>0</v>
      </c>
      <c r="AL1164">
        <f t="shared" si="208"/>
        <v>0</v>
      </c>
    </row>
    <row r="1165" spans="1:38">
      <c r="A1165" t="s">
        <v>3622</v>
      </c>
      <c r="B1165" t="s">
        <v>3623</v>
      </c>
      <c r="C1165" s="1">
        <f t="shared" si="201"/>
        <v>45627</v>
      </c>
      <c r="D1165" t="s">
        <v>3624</v>
      </c>
      <c r="E1165">
        <v>362.5</v>
      </c>
      <c r="F1165">
        <v>15.1</v>
      </c>
      <c r="G1165" t="s">
        <v>101</v>
      </c>
      <c r="H1165" t="s">
        <v>442</v>
      </c>
      <c r="I1165" t="s">
        <v>79</v>
      </c>
      <c r="J1165">
        <v>360</v>
      </c>
      <c r="K1165" t="s">
        <v>33</v>
      </c>
      <c r="L1165" t="s">
        <v>96</v>
      </c>
      <c r="M1165" t="s">
        <v>35</v>
      </c>
      <c r="N1165" t="s">
        <v>168</v>
      </c>
      <c r="O1165" t="s">
        <v>51</v>
      </c>
      <c r="P1165" t="s">
        <v>38</v>
      </c>
      <c r="Q1165" t="s">
        <v>38</v>
      </c>
      <c r="R1165">
        <v>1</v>
      </c>
      <c r="S1165" t="s">
        <v>39</v>
      </c>
      <c r="T1165">
        <v>4</v>
      </c>
      <c r="U1165">
        <v>1</v>
      </c>
      <c r="V1165">
        <v>29.4</v>
      </c>
      <c r="W1165" t="s">
        <v>39</v>
      </c>
      <c r="X1165" t="s">
        <v>52</v>
      </c>
      <c r="Y1165" t="s">
        <v>39</v>
      </c>
      <c r="Z1165" t="s">
        <v>108</v>
      </c>
      <c r="AA1165" t="s">
        <v>103</v>
      </c>
      <c r="AB1165" t="s">
        <v>83</v>
      </c>
      <c r="AC1165">
        <f t="shared" si="198"/>
        <v>1</v>
      </c>
      <c r="AD1165" s="12">
        <f t="shared" si="202"/>
        <v>0</v>
      </c>
      <c r="AE1165" s="12">
        <f t="shared" si="203"/>
        <v>0</v>
      </c>
      <c r="AF1165">
        <f t="shared" si="199"/>
        <v>1</v>
      </c>
      <c r="AG1165">
        <f t="shared" si="204"/>
        <v>0</v>
      </c>
      <c r="AH1165">
        <f t="shared" si="205"/>
        <v>0</v>
      </c>
      <c r="AI1165">
        <f t="shared" si="206"/>
        <v>0</v>
      </c>
      <c r="AJ1165">
        <f t="shared" si="207"/>
        <v>0</v>
      </c>
      <c r="AK1165">
        <f t="shared" si="200"/>
        <v>0</v>
      </c>
      <c r="AL1165">
        <f t="shared" si="208"/>
        <v>0</v>
      </c>
    </row>
    <row r="1166" spans="1:38">
      <c r="A1166" t="s">
        <v>3625</v>
      </c>
      <c r="B1166" t="s">
        <v>3626</v>
      </c>
      <c r="C1166" s="1">
        <f t="shared" si="201"/>
        <v>45597</v>
      </c>
      <c r="D1166" t="s">
        <v>3627</v>
      </c>
      <c r="E1166">
        <v>198.4</v>
      </c>
      <c r="F1166">
        <v>8.3000000000000007</v>
      </c>
      <c r="G1166" t="s">
        <v>142</v>
      </c>
      <c r="H1166" t="s">
        <v>260</v>
      </c>
      <c r="I1166" t="s">
        <v>32</v>
      </c>
      <c r="J1166">
        <v>240</v>
      </c>
      <c r="K1166" t="s">
        <v>49</v>
      </c>
      <c r="L1166" t="s">
        <v>113</v>
      </c>
      <c r="M1166" t="s">
        <v>71</v>
      </c>
      <c r="N1166" t="s">
        <v>188</v>
      </c>
      <c r="O1166" t="s">
        <v>51</v>
      </c>
      <c r="P1166" t="s">
        <v>38</v>
      </c>
      <c r="Q1166" t="s">
        <v>39</v>
      </c>
      <c r="R1166">
        <v>4</v>
      </c>
      <c r="S1166" t="s">
        <v>38</v>
      </c>
      <c r="T1166">
        <v>8</v>
      </c>
      <c r="U1166">
        <v>1.4</v>
      </c>
      <c r="V1166">
        <v>17.7</v>
      </c>
      <c r="W1166" t="s">
        <v>39</v>
      </c>
      <c r="X1166" t="s">
        <v>40</v>
      </c>
      <c r="Y1166" t="s">
        <v>39</v>
      </c>
      <c r="Z1166" t="s">
        <v>179</v>
      </c>
      <c r="AA1166" t="s">
        <v>42</v>
      </c>
      <c r="AB1166" t="s">
        <v>55</v>
      </c>
      <c r="AC1166">
        <f t="shared" si="198"/>
        <v>0</v>
      </c>
      <c r="AD1166" s="12">
        <f t="shared" si="202"/>
        <v>0</v>
      </c>
      <c r="AE1166" s="12">
        <f t="shared" si="203"/>
        <v>0</v>
      </c>
      <c r="AF1166">
        <f t="shared" si="199"/>
        <v>1</v>
      </c>
      <c r="AG1166">
        <f t="shared" si="204"/>
        <v>0</v>
      </c>
      <c r="AH1166">
        <f t="shared" si="205"/>
        <v>0</v>
      </c>
      <c r="AI1166">
        <f t="shared" si="206"/>
        <v>0</v>
      </c>
      <c r="AJ1166">
        <f t="shared" si="207"/>
        <v>1</v>
      </c>
      <c r="AK1166">
        <f t="shared" si="200"/>
        <v>0</v>
      </c>
      <c r="AL1166">
        <f t="shared" si="208"/>
        <v>0</v>
      </c>
    </row>
    <row r="1167" spans="1:38">
      <c r="A1167" t="s">
        <v>3628</v>
      </c>
      <c r="B1167" t="s">
        <v>3629</v>
      </c>
      <c r="C1167" s="1">
        <f t="shared" si="201"/>
        <v>45566</v>
      </c>
      <c r="D1167" t="s">
        <v>3630</v>
      </c>
      <c r="E1167">
        <v>288.8</v>
      </c>
      <c r="F1167">
        <v>12</v>
      </c>
      <c r="G1167" t="s">
        <v>93</v>
      </c>
      <c r="H1167" t="s">
        <v>94</v>
      </c>
      <c r="I1167" t="s">
        <v>32</v>
      </c>
      <c r="J1167">
        <v>240</v>
      </c>
      <c r="K1167" t="s">
        <v>33</v>
      </c>
      <c r="L1167" t="s">
        <v>96</v>
      </c>
      <c r="M1167" t="s">
        <v>35</v>
      </c>
      <c r="N1167" t="s">
        <v>144</v>
      </c>
      <c r="O1167" t="s">
        <v>51</v>
      </c>
      <c r="P1167" t="s">
        <v>38</v>
      </c>
      <c r="Q1167" t="s">
        <v>38</v>
      </c>
      <c r="R1167">
        <v>1</v>
      </c>
      <c r="S1167" t="s">
        <v>38</v>
      </c>
      <c r="T1167">
        <v>3</v>
      </c>
      <c r="U1167">
        <v>0.1</v>
      </c>
      <c r="V1167">
        <v>15.5</v>
      </c>
      <c r="W1167" t="s">
        <v>38</v>
      </c>
      <c r="X1167" t="s">
        <v>63</v>
      </c>
      <c r="Y1167" t="s">
        <v>38</v>
      </c>
      <c r="Z1167" t="s">
        <v>179</v>
      </c>
      <c r="AA1167" t="s">
        <v>42</v>
      </c>
      <c r="AB1167" t="s">
        <v>55</v>
      </c>
      <c r="AC1167">
        <f t="shared" si="198"/>
        <v>0</v>
      </c>
      <c r="AD1167" s="12">
        <f t="shared" si="202"/>
        <v>1</v>
      </c>
      <c r="AE1167" s="12">
        <f t="shared" si="203"/>
        <v>0</v>
      </c>
      <c r="AF1167">
        <f t="shared" si="199"/>
        <v>1</v>
      </c>
      <c r="AG1167">
        <f t="shared" si="204"/>
        <v>0</v>
      </c>
      <c r="AH1167">
        <f t="shared" si="205"/>
        <v>0</v>
      </c>
      <c r="AI1167">
        <f t="shared" si="206"/>
        <v>0</v>
      </c>
      <c r="AJ1167">
        <f t="shared" si="207"/>
        <v>1</v>
      </c>
      <c r="AK1167">
        <f t="shared" si="200"/>
        <v>0</v>
      </c>
      <c r="AL1167">
        <f t="shared" si="208"/>
        <v>1</v>
      </c>
    </row>
    <row r="1168" spans="1:38">
      <c r="A1168" t="s">
        <v>3631</v>
      </c>
      <c r="B1168" t="s">
        <v>3632</v>
      </c>
      <c r="C1168" s="1">
        <f t="shared" si="201"/>
        <v>45444</v>
      </c>
      <c r="D1168" t="s">
        <v>3633</v>
      </c>
      <c r="E1168">
        <v>902</v>
      </c>
      <c r="F1168">
        <v>37.6</v>
      </c>
      <c r="G1168" t="s">
        <v>93</v>
      </c>
      <c r="H1168" t="s">
        <v>291</v>
      </c>
      <c r="I1168" t="s">
        <v>79</v>
      </c>
      <c r="J1168">
        <v>360</v>
      </c>
      <c r="K1168" t="s">
        <v>33</v>
      </c>
      <c r="L1168" t="s">
        <v>70</v>
      </c>
      <c r="M1168" t="s">
        <v>35</v>
      </c>
      <c r="N1168" t="s">
        <v>128</v>
      </c>
      <c r="O1168" t="s">
        <v>51</v>
      </c>
      <c r="P1168" t="s">
        <v>38</v>
      </c>
      <c r="Q1168" t="s">
        <v>38</v>
      </c>
      <c r="R1168">
        <v>1</v>
      </c>
      <c r="S1168" t="s">
        <v>38</v>
      </c>
      <c r="T1168">
        <v>7</v>
      </c>
      <c r="U1168">
        <v>0.1</v>
      </c>
      <c r="V1168">
        <v>28.1</v>
      </c>
      <c r="W1168" t="s">
        <v>38</v>
      </c>
      <c r="X1168" t="s">
        <v>123</v>
      </c>
      <c r="Y1168" t="s">
        <v>39</v>
      </c>
      <c r="Z1168" t="s">
        <v>115</v>
      </c>
      <c r="AA1168" t="s">
        <v>103</v>
      </c>
      <c r="AB1168" t="s">
        <v>83</v>
      </c>
      <c r="AC1168">
        <f t="shared" si="198"/>
        <v>0</v>
      </c>
      <c r="AD1168" s="12">
        <f t="shared" si="202"/>
        <v>0</v>
      </c>
      <c r="AE1168" s="12">
        <f t="shared" si="203"/>
        <v>1</v>
      </c>
      <c r="AF1168">
        <f t="shared" si="199"/>
        <v>1</v>
      </c>
      <c r="AG1168">
        <f t="shared" si="204"/>
        <v>0</v>
      </c>
      <c r="AH1168">
        <f t="shared" si="205"/>
        <v>0</v>
      </c>
      <c r="AI1168">
        <f t="shared" si="206"/>
        <v>0</v>
      </c>
      <c r="AJ1168">
        <f t="shared" si="207"/>
        <v>0</v>
      </c>
      <c r="AK1168">
        <f t="shared" si="200"/>
        <v>0</v>
      </c>
      <c r="AL1168">
        <f t="shared" si="208"/>
        <v>0</v>
      </c>
    </row>
    <row r="1169" spans="1:38">
      <c r="A1169" t="s">
        <v>3634</v>
      </c>
      <c r="B1169" t="s">
        <v>3635</v>
      </c>
      <c r="C1169" s="1">
        <f t="shared" si="201"/>
        <v>45323</v>
      </c>
      <c r="D1169" t="s">
        <v>3636</v>
      </c>
      <c r="E1169">
        <v>1050.2</v>
      </c>
      <c r="F1169">
        <v>43.8</v>
      </c>
      <c r="G1169" t="s">
        <v>77</v>
      </c>
      <c r="H1169" t="s">
        <v>267</v>
      </c>
      <c r="I1169" t="s">
        <v>79</v>
      </c>
      <c r="J1169">
        <v>360</v>
      </c>
      <c r="K1169" t="s">
        <v>33</v>
      </c>
      <c r="L1169" t="s">
        <v>70</v>
      </c>
      <c r="M1169" t="s">
        <v>35</v>
      </c>
      <c r="N1169" t="s">
        <v>164</v>
      </c>
      <c r="O1169" t="s">
        <v>37</v>
      </c>
      <c r="P1169" t="s">
        <v>39</v>
      </c>
      <c r="Q1169" t="s">
        <v>38</v>
      </c>
      <c r="R1169">
        <v>0</v>
      </c>
      <c r="S1169" t="s">
        <v>38</v>
      </c>
      <c r="T1169">
        <v>6</v>
      </c>
      <c r="U1169">
        <v>3.4</v>
      </c>
      <c r="V1169">
        <v>24.5</v>
      </c>
      <c r="W1169" t="s">
        <v>38</v>
      </c>
      <c r="X1169" t="s">
        <v>63</v>
      </c>
      <c r="Y1169" t="s">
        <v>39</v>
      </c>
      <c r="Z1169" t="s">
        <v>179</v>
      </c>
      <c r="AA1169" t="s">
        <v>109</v>
      </c>
      <c r="AB1169" t="s">
        <v>83</v>
      </c>
      <c r="AC1169">
        <f t="shared" si="198"/>
        <v>0</v>
      </c>
      <c r="AD1169" s="12">
        <f t="shared" si="202"/>
        <v>1</v>
      </c>
      <c r="AE1169" s="12">
        <f t="shared" si="203"/>
        <v>0</v>
      </c>
      <c r="AF1169">
        <f t="shared" si="199"/>
        <v>0</v>
      </c>
      <c r="AG1169">
        <f t="shared" si="204"/>
        <v>0</v>
      </c>
      <c r="AH1169">
        <f t="shared" si="205"/>
        <v>0</v>
      </c>
      <c r="AI1169">
        <f t="shared" si="206"/>
        <v>0</v>
      </c>
      <c r="AJ1169">
        <f t="shared" si="207"/>
        <v>0</v>
      </c>
      <c r="AK1169">
        <f t="shared" si="200"/>
        <v>0</v>
      </c>
      <c r="AL1169">
        <f t="shared" si="208"/>
        <v>0</v>
      </c>
    </row>
    <row r="1170" spans="1:38">
      <c r="A1170" t="s">
        <v>3637</v>
      </c>
      <c r="B1170" t="s">
        <v>3638</v>
      </c>
      <c r="C1170" s="1">
        <f t="shared" si="201"/>
        <v>45597</v>
      </c>
      <c r="D1170" t="s">
        <v>3639</v>
      </c>
      <c r="E1170">
        <v>177.4</v>
      </c>
      <c r="F1170">
        <v>7.4</v>
      </c>
      <c r="G1170" t="s">
        <v>30</v>
      </c>
      <c r="H1170" t="s">
        <v>159</v>
      </c>
      <c r="I1170" t="s">
        <v>32</v>
      </c>
      <c r="J1170">
        <v>240</v>
      </c>
      <c r="K1170" t="s">
        <v>49</v>
      </c>
      <c r="L1170" t="s">
        <v>70</v>
      </c>
      <c r="M1170" t="s">
        <v>35</v>
      </c>
      <c r="N1170" t="s">
        <v>50</v>
      </c>
      <c r="O1170" t="s">
        <v>51</v>
      </c>
      <c r="P1170" t="s">
        <v>39</v>
      </c>
      <c r="Q1170" t="s">
        <v>38</v>
      </c>
      <c r="R1170">
        <v>0</v>
      </c>
      <c r="S1170" t="s">
        <v>38</v>
      </c>
      <c r="T1170">
        <v>10</v>
      </c>
      <c r="U1170">
        <v>3.1</v>
      </c>
      <c r="V1170">
        <v>11</v>
      </c>
      <c r="W1170" t="s">
        <v>39</v>
      </c>
      <c r="X1170" t="s">
        <v>52</v>
      </c>
      <c r="Y1170" t="s">
        <v>38</v>
      </c>
      <c r="Z1170" t="s">
        <v>108</v>
      </c>
      <c r="AA1170" t="s">
        <v>82</v>
      </c>
      <c r="AB1170" t="s">
        <v>83</v>
      </c>
      <c r="AC1170">
        <f t="shared" si="198"/>
        <v>1</v>
      </c>
      <c r="AD1170" s="12">
        <f t="shared" si="202"/>
        <v>0</v>
      </c>
      <c r="AE1170" s="12">
        <f t="shared" si="203"/>
        <v>0</v>
      </c>
      <c r="AF1170">
        <f t="shared" si="199"/>
        <v>1</v>
      </c>
      <c r="AG1170">
        <f t="shared" si="204"/>
        <v>0</v>
      </c>
      <c r="AH1170">
        <f t="shared" si="205"/>
        <v>0</v>
      </c>
      <c r="AI1170">
        <f t="shared" si="206"/>
        <v>0</v>
      </c>
      <c r="AJ1170">
        <f t="shared" si="207"/>
        <v>1</v>
      </c>
      <c r="AK1170">
        <f t="shared" si="200"/>
        <v>1</v>
      </c>
      <c r="AL1170">
        <f t="shared" si="208"/>
        <v>1</v>
      </c>
    </row>
    <row r="1171" spans="1:38">
      <c r="A1171" t="s">
        <v>3640</v>
      </c>
      <c r="B1171" t="s">
        <v>3641</v>
      </c>
      <c r="C1171" s="1">
        <f t="shared" si="201"/>
        <v>45536</v>
      </c>
      <c r="D1171" t="s">
        <v>3642</v>
      </c>
      <c r="E1171">
        <v>223.1</v>
      </c>
      <c r="F1171">
        <v>9.3000000000000007</v>
      </c>
      <c r="G1171" t="s">
        <v>30</v>
      </c>
      <c r="H1171" t="s">
        <v>31</v>
      </c>
      <c r="I1171" t="s">
        <v>32</v>
      </c>
      <c r="J1171">
        <v>240</v>
      </c>
      <c r="K1171" t="s">
        <v>49</v>
      </c>
      <c r="L1171" t="s">
        <v>34</v>
      </c>
      <c r="M1171" t="s">
        <v>35</v>
      </c>
      <c r="N1171" t="s">
        <v>97</v>
      </c>
      <c r="O1171" t="s">
        <v>7232</v>
      </c>
      <c r="P1171" t="s">
        <v>39</v>
      </c>
      <c r="Q1171" t="s">
        <v>38</v>
      </c>
      <c r="R1171">
        <v>0</v>
      </c>
      <c r="S1171" t="s">
        <v>38</v>
      </c>
      <c r="T1171">
        <v>10</v>
      </c>
      <c r="U1171">
        <v>2.6</v>
      </c>
      <c r="V1171">
        <v>22.6</v>
      </c>
      <c r="W1171" t="s">
        <v>39</v>
      </c>
      <c r="X1171" t="s">
        <v>123</v>
      </c>
      <c r="Y1171" t="s">
        <v>39</v>
      </c>
      <c r="Z1171" t="s">
        <v>41</v>
      </c>
      <c r="AA1171" t="s">
        <v>42</v>
      </c>
      <c r="AB1171" t="s">
        <v>83</v>
      </c>
      <c r="AC1171">
        <f t="shared" si="198"/>
        <v>0</v>
      </c>
      <c r="AD1171" s="12">
        <f t="shared" si="202"/>
        <v>0</v>
      </c>
      <c r="AE1171" s="12">
        <f t="shared" si="203"/>
        <v>1</v>
      </c>
      <c r="AF1171">
        <f t="shared" si="199"/>
        <v>0</v>
      </c>
      <c r="AG1171">
        <f t="shared" si="204"/>
        <v>1</v>
      </c>
      <c r="AH1171">
        <f t="shared" si="205"/>
        <v>0</v>
      </c>
      <c r="AI1171">
        <f t="shared" si="206"/>
        <v>0</v>
      </c>
      <c r="AJ1171">
        <f t="shared" si="207"/>
        <v>1</v>
      </c>
      <c r="AK1171">
        <f t="shared" si="200"/>
        <v>1</v>
      </c>
      <c r="AL1171">
        <f t="shared" si="208"/>
        <v>0</v>
      </c>
    </row>
    <row r="1172" spans="1:38">
      <c r="A1172" t="s">
        <v>3643</v>
      </c>
      <c r="B1172" t="s">
        <v>3644</v>
      </c>
      <c r="C1172" s="1">
        <f t="shared" si="201"/>
        <v>45383</v>
      </c>
      <c r="D1172" t="s">
        <v>3645</v>
      </c>
      <c r="E1172">
        <v>247.4</v>
      </c>
      <c r="F1172">
        <v>10.3</v>
      </c>
      <c r="G1172" t="s">
        <v>87</v>
      </c>
      <c r="H1172" t="s">
        <v>183</v>
      </c>
      <c r="I1172" t="s">
        <v>32</v>
      </c>
      <c r="J1172">
        <v>240</v>
      </c>
      <c r="K1172" t="s">
        <v>33</v>
      </c>
      <c r="L1172" t="s">
        <v>113</v>
      </c>
      <c r="M1172" t="s">
        <v>71</v>
      </c>
      <c r="N1172" t="s">
        <v>114</v>
      </c>
      <c r="O1172" t="s">
        <v>51</v>
      </c>
      <c r="P1172" t="s">
        <v>38</v>
      </c>
      <c r="Q1172" t="s">
        <v>39</v>
      </c>
      <c r="R1172">
        <v>3</v>
      </c>
      <c r="S1172" t="s">
        <v>38</v>
      </c>
      <c r="T1172">
        <v>5</v>
      </c>
      <c r="U1172">
        <v>2.4</v>
      </c>
      <c r="V1172">
        <v>33</v>
      </c>
      <c r="W1172" t="s">
        <v>39</v>
      </c>
      <c r="X1172" t="s">
        <v>123</v>
      </c>
      <c r="Y1172" t="s">
        <v>39</v>
      </c>
      <c r="Z1172" t="s">
        <v>73</v>
      </c>
      <c r="AA1172" t="s">
        <v>54</v>
      </c>
      <c r="AB1172" t="s">
        <v>83</v>
      </c>
      <c r="AC1172">
        <f t="shared" si="198"/>
        <v>0</v>
      </c>
      <c r="AD1172" s="12">
        <f t="shared" si="202"/>
        <v>0</v>
      </c>
      <c r="AE1172" s="12">
        <f t="shared" si="203"/>
        <v>1</v>
      </c>
      <c r="AF1172">
        <f t="shared" si="199"/>
        <v>1</v>
      </c>
      <c r="AG1172">
        <f t="shared" si="204"/>
        <v>0</v>
      </c>
      <c r="AH1172">
        <f t="shared" si="205"/>
        <v>0</v>
      </c>
      <c r="AI1172">
        <f t="shared" si="206"/>
        <v>0</v>
      </c>
      <c r="AJ1172">
        <f t="shared" si="207"/>
        <v>1</v>
      </c>
      <c r="AK1172">
        <f t="shared" si="200"/>
        <v>0</v>
      </c>
      <c r="AL1172">
        <f t="shared" si="208"/>
        <v>0</v>
      </c>
    </row>
    <row r="1173" spans="1:38">
      <c r="A1173" t="s">
        <v>3646</v>
      </c>
      <c r="B1173" t="s">
        <v>3647</v>
      </c>
      <c r="C1173" s="1">
        <f t="shared" si="201"/>
        <v>45413</v>
      </c>
      <c r="D1173" t="s">
        <v>3648</v>
      </c>
      <c r="E1173">
        <v>78.599999999999994</v>
      </c>
      <c r="F1173">
        <v>3.3</v>
      </c>
      <c r="G1173" t="s">
        <v>30</v>
      </c>
      <c r="H1173" t="s">
        <v>47</v>
      </c>
      <c r="I1173" t="s">
        <v>48</v>
      </c>
      <c r="J1173">
        <v>120</v>
      </c>
      <c r="K1173" t="s">
        <v>49</v>
      </c>
      <c r="L1173" t="s">
        <v>96</v>
      </c>
      <c r="M1173" t="s">
        <v>71</v>
      </c>
      <c r="N1173" t="s">
        <v>97</v>
      </c>
      <c r="O1173" t="s">
        <v>7232</v>
      </c>
      <c r="P1173" t="s">
        <v>38</v>
      </c>
      <c r="Q1173" t="s">
        <v>39</v>
      </c>
      <c r="R1173">
        <v>1</v>
      </c>
      <c r="S1173" t="s">
        <v>38</v>
      </c>
      <c r="T1173">
        <v>5</v>
      </c>
      <c r="U1173">
        <v>1.5</v>
      </c>
      <c r="V1173">
        <v>33.200000000000003</v>
      </c>
      <c r="W1173" t="s">
        <v>38</v>
      </c>
      <c r="X1173" t="s">
        <v>63</v>
      </c>
      <c r="Y1173" t="s">
        <v>39</v>
      </c>
      <c r="Z1173" t="s">
        <v>64</v>
      </c>
      <c r="AA1173" t="s">
        <v>103</v>
      </c>
      <c r="AB1173" t="s">
        <v>83</v>
      </c>
      <c r="AC1173">
        <f t="shared" si="198"/>
        <v>0</v>
      </c>
      <c r="AD1173" s="12">
        <f t="shared" si="202"/>
        <v>1</v>
      </c>
      <c r="AE1173" s="12">
        <f t="shared" si="203"/>
        <v>0</v>
      </c>
      <c r="AF1173">
        <f t="shared" si="199"/>
        <v>0</v>
      </c>
      <c r="AG1173">
        <f t="shared" si="204"/>
        <v>1</v>
      </c>
      <c r="AH1173">
        <f t="shared" si="205"/>
        <v>1</v>
      </c>
      <c r="AI1173">
        <f t="shared" si="206"/>
        <v>0</v>
      </c>
      <c r="AJ1173">
        <f t="shared" si="207"/>
        <v>0</v>
      </c>
      <c r="AK1173">
        <f t="shared" si="200"/>
        <v>1</v>
      </c>
      <c r="AL1173">
        <f t="shared" si="208"/>
        <v>0</v>
      </c>
    </row>
    <row r="1174" spans="1:38">
      <c r="A1174" t="s">
        <v>3649</v>
      </c>
      <c r="B1174" t="s">
        <v>3650</v>
      </c>
      <c r="C1174" s="1">
        <f t="shared" si="201"/>
        <v>45505</v>
      </c>
      <c r="D1174" t="s">
        <v>3651</v>
      </c>
      <c r="E1174">
        <v>302.39999999999998</v>
      </c>
      <c r="F1174">
        <v>12.6</v>
      </c>
      <c r="G1174" t="s">
        <v>77</v>
      </c>
      <c r="H1174" t="s">
        <v>187</v>
      </c>
      <c r="I1174" t="s">
        <v>79</v>
      </c>
      <c r="J1174">
        <v>360</v>
      </c>
      <c r="K1174" t="s">
        <v>49</v>
      </c>
      <c r="L1174" t="s">
        <v>34</v>
      </c>
      <c r="M1174" t="s">
        <v>35</v>
      </c>
      <c r="N1174" t="s">
        <v>277</v>
      </c>
      <c r="O1174" t="s">
        <v>37</v>
      </c>
      <c r="P1174" t="s">
        <v>39</v>
      </c>
      <c r="Q1174" t="s">
        <v>38</v>
      </c>
      <c r="R1174">
        <v>0</v>
      </c>
      <c r="S1174" t="s">
        <v>38</v>
      </c>
      <c r="T1174">
        <v>6</v>
      </c>
      <c r="U1174">
        <v>5.4</v>
      </c>
      <c r="V1174">
        <v>7.1</v>
      </c>
      <c r="W1174" t="s">
        <v>39</v>
      </c>
      <c r="X1174" t="s">
        <v>123</v>
      </c>
      <c r="Y1174" t="s">
        <v>39</v>
      </c>
      <c r="Z1174" t="s">
        <v>179</v>
      </c>
      <c r="AA1174" t="s">
        <v>42</v>
      </c>
      <c r="AB1174" t="s">
        <v>43</v>
      </c>
      <c r="AC1174">
        <f t="shared" si="198"/>
        <v>0</v>
      </c>
      <c r="AD1174" s="12">
        <f t="shared" si="202"/>
        <v>0</v>
      </c>
      <c r="AE1174" s="12">
        <f t="shared" si="203"/>
        <v>1</v>
      </c>
      <c r="AF1174">
        <f t="shared" si="199"/>
        <v>0</v>
      </c>
      <c r="AG1174">
        <f t="shared" si="204"/>
        <v>0</v>
      </c>
      <c r="AH1174">
        <f t="shared" si="205"/>
        <v>0</v>
      </c>
      <c r="AI1174">
        <f t="shared" si="206"/>
        <v>0</v>
      </c>
      <c r="AJ1174">
        <f t="shared" si="207"/>
        <v>0</v>
      </c>
      <c r="AK1174">
        <f t="shared" si="200"/>
        <v>0</v>
      </c>
      <c r="AL1174">
        <f t="shared" si="208"/>
        <v>0</v>
      </c>
    </row>
    <row r="1175" spans="1:38">
      <c r="A1175" t="s">
        <v>3652</v>
      </c>
      <c r="B1175" t="s">
        <v>3653</v>
      </c>
      <c r="C1175" s="1">
        <f t="shared" si="201"/>
        <v>45597</v>
      </c>
      <c r="D1175" t="s">
        <v>3654</v>
      </c>
      <c r="E1175">
        <v>98</v>
      </c>
      <c r="F1175">
        <v>4.0999999999999996</v>
      </c>
      <c r="G1175" t="s">
        <v>101</v>
      </c>
      <c r="H1175" t="s">
        <v>295</v>
      </c>
      <c r="I1175" t="s">
        <v>48</v>
      </c>
      <c r="J1175">
        <v>120</v>
      </c>
      <c r="K1175" t="s">
        <v>49</v>
      </c>
      <c r="L1175" t="s">
        <v>96</v>
      </c>
      <c r="M1175" t="s">
        <v>35</v>
      </c>
      <c r="N1175" t="s">
        <v>144</v>
      </c>
      <c r="O1175" t="s">
        <v>51</v>
      </c>
      <c r="P1175" t="s">
        <v>38</v>
      </c>
      <c r="Q1175" t="s">
        <v>38</v>
      </c>
      <c r="R1175">
        <v>1</v>
      </c>
      <c r="S1175" t="s">
        <v>38</v>
      </c>
      <c r="T1175">
        <v>8</v>
      </c>
      <c r="U1175">
        <v>5.2</v>
      </c>
      <c r="V1175">
        <v>0</v>
      </c>
      <c r="W1175" t="s">
        <v>38</v>
      </c>
      <c r="X1175" t="s">
        <v>40</v>
      </c>
      <c r="Y1175" t="s">
        <v>38</v>
      </c>
      <c r="Z1175" t="s">
        <v>81</v>
      </c>
      <c r="AA1175" t="s">
        <v>42</v>
      </c>
      <c r="AB1175" t="s">
        <v>55</v>
      </c>
      <c r="AC1175">
        <f t="shared" si="198"/>
        <v>0</v>
      </c>
      <c r="AD1175" s="12">
        <f t="shared" si="202"/>
        <v>0</v>
      </c>
      <c r="AE1175" s="12">
        <f t="shared" si="203"/>
        <v>0</v>
      </c>
      <c r="AF1175">
        <f t="shared" si="199"/>
        <v>1</v>
      </c>
      <c r="AG1175">
        <f t="shared" si="204"/>
        <v>0</v>
      </c>
      <c r="AH1175">
        <f t="shared" si="205"/>
        <v>1</v>
      </c>
      <c r="AI1175">
        <f t="shared" si="206"/>
        <v>0</v>
      </c>
      <c r="AJ1175">
        <f t="shared" si="207"/>
        <v>0</v>
      </c>
      <c r="AK1175">
        <f t="shared" si="200"/>
        <v>0</v>
      </c>
      <c r="AL1175">
        <f t="shared" si="208"/>
        <v>1</v>
      </c>
    </row>
    <row r="1176" spans="1:38">
      <c r="A1176" t="s">
        <v>3655</v>
      </c>
      <c r="B1176" t="s">
        <v>3656</v>
      </c>
      <c r="C1176" s="1">
        <f t="shared" si="201"/>
        <v>45352</v>
      </c>
      <c r="D1176" t="s">
        <v>3657</v>
      </c>
      <c r="E1176">
        <v>222.4</v>
      </c>
      <c r="F1176">
        <v>9.3000000000000007</v>
      </c>
      <c r="G1176" t="s">
        <v>77</v>
      </c>
      <c r="H1176" t="s">
        <v>267</v>
      </c>
      <c r="I1176" t="s">
        <v>79</v>
      </c>
      <c r="J1176">
        <v>360</v>
      </c>
      <c r="K1176" t="s">
        <v>49</v>
      </c>
      <c r="L1176" t="s">
        <v>70</v>
      </c>
      <c r="M1176" t="s">
        <v>35</v>
      </c>
      <c r="N1176" t="s">
        <v>80</v>
      </c>
      <c r="O1176" t="s">
        <v>37</v>
      </c>
      <c r="P1176" t="s">
        <v>39</v>
      </c>
      <c r="Q1176" t="s">
        <v>38</v>
      </c>
      <c r="R1176">
        <v>0</v>
      </c>
      <c r="S1176" t="s">
        <v>38</v>
      </c>
      <c r="T1176">
        <v>10</v>
      </c>
      <c r="U1176">
        <v>1.6</v>
      </c>
      <c r="V1176">
        <v>0.8</v>
      </c>
      <c r="W1176" t="s">
        <v>39</v>
      </c>
      <c r="X1176" t="s">
        <v>52</v>
      </c>
      <c r="Y1176" t="s">
        <v>39</v>
      </c>
      <c r="Z1176" t="s">
        <v>179</v>
      </c>
      <c r="AA1176" t="s">
        <v>82</v>
      </c>
      <c r="AB1176" t="s">
        <v>55</v>
      </c>
      <c r="AC1176">
        <f t="shared" si="198"/>
        <v>1</v>
      </c>
      <c r="AD1176" s="12">
        <f t="shared" si="202"/>
        <v>0</v>
      </c>
      <c r="AE1176" s="12">
        <f t="shared" si="203"/>
        <v>0</v>
      </c>
      <c r="AF1176">
        <f t="shared" si="199"/>
        <v>0</v>
      </c>
      <c r="AG1176">
        <f t="shared" si="204"/>
        <v>0</v>
      </c>
      <c r="AH1176">
        <f t="shared" si="205"/>
        <v>0</v>
      </c>
      <c r="AI1176">
        <f t="shared" si="206"/>
        <v>0</v>
      </c>
      <c r="AJ1176">
        <f t="shared" si="207"/>
        <v>0</v>
      </c>
      <c r="AK1176">
        <f t="shared" si="200"/>
        <v>0</v>
      </c>
      <c r="AL1176">
        <f t="shared" si="208"/>
        <v>0</v>
      </c>
    </row>
    <row r="1177" spans="1:38">
      <c r="A1177" t="s">
        <v>3658</v>
      </c>
      <c r="B1177" t="s">
        <v>3659</v>
      </c>
      <c r="C1177" s="1">
        <f t="shared" si="201"/>
        <v>45352</v>
      </c>
      <c r="D1177" t="s">
        <v>3660</v>
      </c>
      <c r="E1177">
        <v>109.9</v>
      </c>
      <c r="F1177">
        <v>4.5999999999999996</v>
      </c>
      <c r="G1177" t="s">
        <v>59</v>
      </c>
      <c r="H1177" t="s">
        <v>466</v>
      </c>
      <c r="I1177" t="s">
        <v>48</v>
      </c>
      <c r="J1177">
        <v>120</v>
      </c>
      <c r="K1177" t="s">
        <v>49</v>
      </c>
      <c r="L1177" t="s">
        <v>96</v>
      </c>
      <c r="M1177" t="s">
        <v>35</v>
      </c>
      <c r="N1177" t="s">
        <v>128</v>
      </c>
      <c r="O1177" t="s">
        <v>7232</v>
      </c>
      <c r="P1177" t="s">
        <v>38</v>
      </c>
      <c r="Q1177" t="s">
        <v>38</v>
      </c>
      <c r="R1177">
        <v>1</v>
      </c>
      <c r="S1177" t="s">
        <v>39</v>
      </c>
      <c r="T1177">
        <v>5</v>
      </c>
      <c r="U1177">
        <v>2.4</v>
      </c>
      <c r="V1177">
        <v>14.6</v>
      </c>
      <c r="W1177" t="s">
        <v>38</v>
      </c>
      <c r="X1177" t="s">
        <v>123</v>
      </c>
      <c r="Y1177" t="s">
        <v>39</v>
      </c>
      <c r="Z1177" t="s">
        <v>115</v>
      </c>
      <c r="AA1177" t="s">
        <v>42</v>
      </c>
      <c r="AB1177" t="s">
        <v>55</v>
      </c>
      <c r="AC1177">
        <f t="shared" si="198"/>
        <v>0</v>
      </c>
      <c r="AD1177" s="12">
        <f t="shared" si="202"/>
        <v>0</v>
      </c>
      <c r="AE1177" s="12">
        <f t="shared" si="203"/>
        <v>1</v>
      </c>
      <c r="AF1177">
        <f t="shared" si="199"/>
        <v>0</v>
      </c>
      <c r="AG1177">
        <f t="shared" si="204"/>
        <v>1</v>
      </c>
      <c r="AH1177">
        <f t="shared" si="205"/>
        <v>1</v>
      </c>
      <c r="AI1177">
        <f t="shared" si="206"/>
        <v>0</v>
      </c>
      <c r="AJ1177">
        <f t="shared" si="207"/>
        <v>0</v>
      </c>
      <c r="AK1177">
        <f t="shared" si="200"/>
        <v>0</v>
      </c>
      <c r="AL1177">
        <f t="shared" si="208"/>
        <v>0</v>
      </c>
    </row>
    <row r="1178" spans="1:38">
      <c r="A1178" t="s">
        <v>3661</v>
      </c>
      <c r="B1178" t="s">
        <v>3662</v>
      </c>
      <c r="C1178" s="1">
        <f t="shared" si="201"/>
        <v>45627</v>
      </c>
      <c r="D1178" t="s">
        <v>3663</v>
      </c>
      <c r="E1178">
        <v>291</v>
      </c>
      <c r="F1178">
        <v>12.1</v>
      </c>
      <c r="G1178" t="s">
        <v>142</v>
      </c>
      <c r="H1178" t="s">
        <v>143</v>
      </c>
      <c r="I1178" t="s">
        <v>32</v>
      </c>
      <c r="J1178">
        <v>240</v>
      </c>
      <c r="K1178" t="s">
        <v>33</v>
      </c>
      <c r="L1178" t="s">
        <v>70</v>
      </c>
      <c r="M1178" t="s">
        <v>35</v>
      </c>
      <c r="N1178" t="s">
        <v>119</v>
      </c>
      <c r="O1178" t="s">
        <v>7232</v>
      </c>
      <c r="P1178" t="s">
        <v>38</v>
      </c>
      <c r="Q1178" t="s">
        <v>38</v>
      </c>
      <c r="R1178">
        <v>1</v>
      </c>
      <c r="S1178" t="s">
        <v>39</v>
      </c>
      <c r="T1178">
        <v>7</v>
      </c>
      <c r="U1178">
        <v>3.4</v>
      </c>
      <c r="V1178">
        <v>0</v>
      </c>
      <c r="W1178" t="s">
        <v>39</v>
      </c>
      <c r="X1178" t="s">
        <v>123</v>
      </c>
      <c r="Y1178" t="s">
        <v>39</v>
      </c>
      <c r="Z1178" t="s">
        <v>41</v>
      </c>
      <c r="AA1178" t="s">
        <v>42</v>
      </c>
      <c r="AB1178" t="s">
        <v>43</v>
      </c>
      <c r="AC1178">
        <f t="shared" si="198"/>
        <v>0</v>
      </c>
      <c r="AD1178" s="12">
        <f t="shared" si="202"/>
        <v>0</v>
      </c>
      <c r="AE1178" s="12">
        <f t="shared" si="203"/>
        <v>1</v>
      </c>
      <c r="AF1178">
        <f t="shared" si="199"/>
        <v>0</v>
      </c>
      <c r="AG1178">
        <f t="shared" si="204"/>
        <v>1</v>
      </c>
      <c r="AH1178">
        <f t="shared" si="205"/>
        <v>0</v>
      </c>
      <c r="AI1178">
        <f t="shared" si="206"/>
        <v>0</v>
      </c>
      <c r="AJ1178">
        <f t="shared" si="207"/>
        <v>1</v>
      </c>
      <c r="AK1178">
        <f t="shared" si="200"/>
        <v>0</v>
      </c>
      <c r="AL1178">
        <f t="shared" si="208"/>
        <v>0</v>
      </c>
    </row>
    <row r="1179" spans="1:38">
      <c r="A1179" t="s">
        <v>3664</v>
      </c>
      <c r="B1179" t="s">
        <v>3665</v>
      </c>
      <c r="C1179" s="1">
        <f t="shared" si="201"/>
        <v>45597</v>
      </c>
      <c r="D1179" t="s">
        <v>3666</v>
      </c>
      <c r="E1179">
        <v>130.80000000000001</v>
      </c>
      <c r="F1179">
        <v>5.5</v>
      </c>
      <c r="G1179" t="s">
        <v>68</v>
      </c>
      <c r="H1179" t="s">
        <v>456</v>
      </c>
      <c r="I1179" t="s">
        <v>48</v>
      </c>
      <c r="J1179">
        <v>120</v>
      </c>
      <c r="K1179" t="s">
        <v>33</v>
      </c>
      <c r="L1179" t="s">
        <v>70</v>
      </c>
      <c r="M1179" t="s">
        <v>71</v>
      </c>
      <c r="N1179" t="s">
        <v>114</v>
      </c>
      <c r="O1179" t="s">
        <v>37</v>
      </c>
      <c r="P1179" t="s">
        <v>38</v>
      </c>
      <c r="Q1179" t="s">
        <v>39</v>
      </c>
      <c r="R1179">
        <v>3</v>
      </c>
      <c r="S1179" t="s">
        <v>38</v>
      </c>
      <c r="T1179">
        <v>8</v>
      </c>
      <c r="U1179">
        <v>3.1</v>
      </c>
      <c r="V1179">
        <v>36.1</v>
      </c>
      <c r="W1179" t="s">
        <v>38</v>
      </c>
      <c r="X1179" t="s">
        <v>52</v>
      </c>
      <c r="Y1179" t="s">
        <v>39</v>
      </c>
      <c r="Z1179" t="s">
        <v>81</v>
      </c>
      <c r="AA1179" t="s">
        <v>42</v>
      </c>
      <c r="AB1179" t="s">
        <v>55</v>
      </c>
      <c r="AC1179">
        <f t="shared" si="198"/>
        <v>1</v>
      </c>
      <c r="AD1179" s="12">
        <f t="shared" si="202"/>
        <v>0</v>
      </c>
      <c r="AE1179" s="12">
        <f t="shared" si="203"/>
        <v>0</v>
      </c>
      <c r="AF1179">
        <f t="shared" si="199"/>
        <v>0</v>
      </c>
      <c r="AG1179">
        <f t="shared" si="204"/>
        <v>0</v>
      </c>
      <c r="AH1179">
        <f t="shared" si="205"/>
        <v>1</v>
      </c>
      <c r="AI1179">
        <f t="shared" si="206"/>
        <v>0</v>
      </c>
      <c r="AJ1179">
        <f t="shared" si="207"/>
        <v>0</v>
      </c>
      <c r="AK1179">
        <f t="shared" si="200"/>
        <v>0</v>
      </c>
      <c r="AL1179">
        <f t="shared" si="208"/>
        <v>0</v>
      </c>
    </row>
    <row r="1180" spans="1:38">
      <c r="A1180" t="s">
        <v>3667</v>
      </c>
      <c r="B1180" t="s">
        <v>3668</v>
      </c>
      <c r="C1180" s="1">
        <f t="shared" si="201"/>
        <v>45352</v>
      </c>
      <c r="D1180" t="s">
        <v>3669</v>
      </c>
      <c r="E1180">
        <v>86.3</v>
      </c>
      <c r="F1180">
        <v>3.6</v>
      </c>
      <c r="G1180" t="s">
        <v>68</v>
      </c>
      <c r="H1180" t="s">
        <v>456</v>
      </c>
      <c r="I1180" t="s">
        <v>48</v>
      </c>
      <c r="J1180">
        <v>120</v>
      </c>
      <c r="K1180" t="s">
        <v>49</v>
      </c>
      <c r="L1180" t="s">
        <v>96</v>
      </c>
      <c r="M1180" t="s">
        <v>35</v>
      </c>
      <c r="N1180" t="s">
        <v>138</v>
      </c>
      <c r="O1180" t="s">
        <v>51</v>
      </c>
      <c r="P1180" t="s">
        <v>39</v>
      </c>
      <c r="Q1180" t="s">
        <v>38</v>
      </c>
      <c r="R1180">
        <v>0</v>
      </c>
      <c r="S1180" t="s">
        <v>38</v>
      </c>
      <c r="T1180">
        <v>8</v>
      </c>
      <c r="U1180">
        <v>1.2</v>
      </c>
      <c r="V1180">
        <v>26.4</v>
      </c>
      <c r="W1180" t="s">
        <v>39</v>
      </c>
      <c r="X1180" t="s">
        <v>52</v>
      </c>
      <c r="Y1180" t="s">
        <v>38</v>
      </c>
      <c r="Z1180" t="s">
        <v>81</v>
      </c>
      <c r="AA1180" t="s">
        <v>82</v>
      </c>
      <c r="AB1180" t="s">
        <v>55</v>
      </c>
      <c r="AC1180">
        <f t="shared" si="198"/>
        <v>1</v>
      </c>
      <c r="AD1180" s="12">
        <f t="shared" si="202"/>
        <v>0</v>
      </c>
      <c r="AE1180" s="12">
        <f t="shared" si="203"/>
        <v>0</v>
      </c>
      <c r="AF1180">
        <f t="shared" si="199"/>
        <v>1</v>
      </c>
      <c r="AG1180">
        <f t="shared" si="204"/>
        <v>0</v>
      </c>
      <c r="AH1180">
        <f t="shared" si="205"/>
        <v>1</v>
      </c>
      <c r="AI1180">
        <f t="shared" si="206"/>
        <v>0</v>
      </c>
      <c r="AJ1180">
        <f t="shared" si="207"/>
        <v>0</v>
      </c>
      <c r="AK1180">
        <f t="shared" si="200"/>
        <v>0</v>
      </c>
      <c r="AL1180">
        <f t="shared" si="208"/>
        <v>1</v>
      </c>
    </row>
    <row r="1181" spans="1:38">
      <c r="A1181" t="s">
        <v>3670</v>
      </c>
      <c r="B1181" t="s">
        <v>3671</v>
      </c>
      <c r="C1181" s="1">
        <f t="shared" si="201"/>
        <v>45323</v>
      </c>
      <c r="D1181" t="s">
        <v>3672</v>
      </c>
      <c r="E1181">
        <v>103.4</v>
      </c>
      <c r="F1181">
        <v>4.3</v>
      </c>
      <c r="G1181" t="s">
        <v>93</v>
      </c>
      <c r="H1181" t="s">
        <v>163</v>
      </c>
      <c r="I1181" t="s">
        <v>48</v>
      </c>
      <c r="J1181">
        <v>120</v>
      </c>
      <c r="K1181" t="s">
        <v>49</v>
      </c>
      <c r="L1181" t="s">
        <v>70</v>
      </c>
      <c r="M1181" t="s">
        <v>35</v>
      </c>
      <c r="N1181" t="s">
        <v>114</v>
      </c>
      <c r="O1181" t="s">
        <v>37</v>
      </c>
      <c r="P1181" t="s">
        <v>38</v>
      </c>
      <c r="Q1181" t="s">
        <v>38</v>
      </c>
      <c r="R1181">
        <v>1</v>
      </c>
      <c r="S1181" t="s">
        <v>38</v>
      </c>
      <c r="T1181">
        <v>7</v>
      </c>
      <c r="U1181">
        <v>0.9</v>
      </c>
      <c r="V1181">
        <v>34.200000000000003</v>
      </c>
      <c r="W1181" t="s">
        <v>39</v>
      </c>
      <c r="X1181" t="s">
        <v>52</v>
      </c>
      <c r="Y1181" t="s">
        <v>38</v>
      </c>
      <c r="Z1181" t="s">
        <v>73</v>
      </c>
      <c r="AA1181" t="s">
        <v>103</v>
      </c>
      <c r="AB1181" t="s">
        <v>55</v>
      </c>
      <c r="AC1181">
        <f t="shared" si="198"/>
        <v>1</v>
      </c>
      <c r="AD1181" s="12">
        <f t="shared" si="202"/>
        <v>0</v>
      </c>
      <c r="AE1181" s="12">
        <f t="shared" si="203"/>
        <v>0</v>
      </c>
      <c r="AF1181">
        <f t="shared" si="199"/>
        <v>0</v>
      </c>
      <c r="AG1181">
        <f t="shared" si="204"/>
        <v>0</v>
      </c>
      <c r="AH1181">
        <f t="shared" si="205"/>
        <v>1</v>
      </c>
      <c r="AI1181">
        <f t="shared" si="206"/>
        <v>0</v>
      </c>
      <c r="AJ1181">
        <f t="shared" si="207"/>
        <v>0</v>
      </c>
      <c r="AK1181">
        <f t="shared" si="200"/>
        <v>0</v>
      </c>
      <c r="AL1181">
        <f t="shared" si="208"/>
        <v>1</v>
      </c>
    </row>
    <row r="1182" spans="1:38">
      <c r="A1182" t="s">
        <v>3673</v>
      </c>
      <c r="B1182" t="s">
        <v>3674</v>
      </c>
      <c r="C1182" s="1">
        <f t="shared" si="201"/>
        <v>45383</v>
      </c>
      <c r="D1182" t="s">
        <v>3675</v>
      </c>
      <c r="E1182">
        <v>110.8</v>
      </c>
      <c r="F1182">
        <v>4.5999999999999996</v>
      </c>
      <c r="G1182" t="s">
        <v>101</v>
      </c>
      <c r="H1182" t="s">
        <v>442</v>
      </c>
      <c r="I1182" t="s">
        <v>48</v>
      </c>
      <c r="J1182">
        <v>120</v>
      </c>
      <c r="K1182" t="s">
        <v>49</v>
      </c>
      <c r="L1182" t="s">
        <v>96</v>
      </c>
      <c r="M1182" t="s">
        <v>35</v>
      </c>
      <c r="N1182" t="s">
        <v>506</v>
      </c>
      <c r="O1182" t="s">
        <v>7232</v>
      </c>
      <c r="P1182" t="s">
        <v>38</v>
      </c>
      <c r="Q1182" t="s">
        <v>38</v>
      </c>
      <c r="R1182">
        <v>1</v>
      </c>
      <c r="S1182" t="s">
        <v>38</v>
      </c>
      <c r="T1182">
        <v>7</v>
      </c>
      <c r="U1182">
        <v>2.2000000000000002</v>
      </c>
      <c r="V1182">
        <v>30.5</v>
      </c>
      <c r="W1182" t="s">
        <v>38</v>
      </c>
      <c r="X1182" t="s">
        <v>52</v>
      </c>
      <c r="Y1182" t="s">
        <v>38</v>
      </c>
      <c r="Z1182" t="s">
        <v>73</v>
      </c>
      <c r="AA1182" t="s">
        <v>54</v>
      </c>
      <c r="AB1182" t="s">
        <v>55</v>
      </c>
      <c r="AC1182">
        <f t="shared" si="198"/>
        <v>1</v>
      </c>
      <c r="AD1182" s="12">
        <f t="shared" si="202"/>
        <v>0</v>
      </c>
      <c r="AE1182" s="12">
        <f t="shared" si="203"/>
        <v>0</v>
      </c>
      <c r="AF1182">
        <f t="shared" si="199"/>
        <v>0</v>
      </c>
      <c r="AG1182">
        <f t="shared" si="204"/>
        <v>1</v>
      </c>
      <c r="AH1182">
        <f t="shared" si="205"/>
        <v>1</v>
      </c>
      <c r="AI1182">
        <f t="shared" si="206"/>
        <v>0</v>
      </c>
      <c r="AJ1182">
        <f t="shared" si="207"/>
        <v>0</v>
      </c>
      <c r="AK1182">
        <f t="shared" si="200"/>
        <v>0</v>
      </c>
      <c r="AL1182">
        <f t="shared" si="208"/>
        <v>1</v>
      </c>
    </row>
    <row r="1183" spans="1:38">
      <c r="A1183" t="s">
        <v>3676</v>
      </c>
      <c r="B1183" t="s">
        <v>3677</v>
      </c>
      <c r="C1183" s="1">
        <f t="shared" si="201"/>
        <v>45413</v>
      </c>
      <c r="D1183" t="s">
        <v>3678</v>
      </c>
      <c r="E1183">
        <v>78.5</v>
      </c>
      <c r="F1183">
        <v>3.3</v>
      </c>
      <c r="G1183" t="s">
        <v>87</v>
      </c>
      <c r="H1183" t="s">
        <v>88</v>
      </c>
      <c r="I1183" t="s">
        <v>48</v>
      </c>
      <c r="J1183">
        <v>120</v>
      </c>
      <c r="K1183" t="s">
        <v>49</v>
      </c>
      <c r="L1183" t="s">
        <v>133</v>
      </c>
      <c r="M1183" t="s">
        <v>71</v>
      </c>
      <c r="N1183" t="s">
        <v>164</v>
      </c>
      <c r="O1183" t="s">
        <v>51</v>
      </c>
      <c r="P1183" t="s">
        <v>38</v>
      </c>
      <c r="Q1183" t="s">
        <v>39</v>
      </c>
      <c r="R1183">
        <v>3</v>
      </c>
      <c r="S1183" t="s">
        <v>38</v>
      </c>
      <c r="T1183">
        <v>7</v>
      </c>
      <c r="U1183">
        <v>5.6</v>
      </c>
      <c r="V1183">
        <v>18</v>
      </c>
      <c r="W1183" t="s">
        <v>39</v>
      </c>
      <c r="X1183" t="s">
        <v>40</v>
      </c>
      <c r="Y1183" t="s">
        <v>39</v>
      </c>
      <c r="Z1183" t="s">
        <v>179</v>
      </c>
      <c r="AA1183" t="s">
        <v>103</v>
      </c>
      <c r="AB1183" t="s">
        <v>83</v>
      </c>
      <c r="AC1183">
        <f t="shared" si="198"/>
        <v>0</v>
      </c>
      <c r="AD1183" s="12">
        <f t="shared" si="202"/>
        <v>0</v>
      </c>
      <c r="AE1183" s="12">
        <f t="shared" si="203"/>
        <v>0</v>
      </c>
      <c r="AF1183">
        <f t="shared" si="199"/>
        <v>1</v>
      </c>
      <c r="AG1183">
        <f t="shared" si="204"/>
        <v>0</v>
      </c>
      <c r="AH1183">
        <f t="shared" si="205"/>
        <v>1</v>
      </c>
      <c r="AI1183">
        <f t="shared" si="206"/>
        <v>0</v>
      </c>
      <c r="AJ1183">
        <f t="shared" si="207"/>
        <v>0</v>
      </c>
      <c r="AK1183">
        <f t="shared" si="200"/>
        <v>0</v>
      </c>
      <c r="AL1183">
        <f t="shared" si="208"/>
        <v>0</v>
      </c>
    </row>
    <row r="1184" spans="1:38">
      <c r="A1184" t="s">
        <v>3679</v>
      </c>
      <c r="B1184" t="s">
        <v>3680</v>
      </c>
      <c r="C1184" s="1">
        <f t="shared" si="201"/>
        <v>45474</v>
      </c>
      <c r="D1184" t="s">
        <v>3681</v>
      </c>
      <c r="E1184">
        <v>311.7</v>
      </c>
      <c r="F1184">
        <v>13</v>
      </c>
      <c r="G1184" t="s">
        <v>68</v>
      </c>
      <c r="H1184" t="s">
        <v>212</v>
      </c>
      <c r="I1184" t="s">
        <v>79</v>
      </c>
      <c r="J1184">
        <v>360</v>
      </c>
      <c r="K1184" t="s">
        <v>49</v>
      </c>
      <c r="L1184" t="s">
        <v>113</v>
      </c>
      <c r="M1184" t="s">
        <v>35</v>
      </c>
      <c r="N1184" t="s">
        <v>299</v>
      </c>
      <c r="O1184" t="s">
        <v>51</v>
      </c>
      <c r="P1184" t="s">
        <v>39</v>
      </c>
      <c r="Q1184" t="s">
        <v>38</v>
      </c>
      <c r="R1184">
        <v>0</v>
      </c>
      <c r="S1184" t="s">
        <v>38</v>
      </c>
      <c r="T1184">
        <v>9</v>
      </c>
      <c r="U1184">
        <v>1.4</v>
      </c>
      <c r="V1184">
        <v>18.7</v>
      </c>
      <c r="W1184" t="s">
        <v>38</v>
      </c>
      <c r="X1184" t="s">
        <v>52</v>
      </c>
      <c r="Y1184" t="s">
        <v>38</v>
      </c>
      <c r="Z1184" t="s">
        <v>73</v>
      </c>
      <c r="AA1184" t="s">
        <v>103</v>
      </c>
      <c r="AB1184" t="s">
        <v>55</v>
      </c>
      <c r="AC1184">
        <f t="shared" si="198"/>
        <v>1</v>
      </c>
      <c r="AD1184" s="12">
        <f t="shared" si="202"/>
        <v>0</v>
      </c>
      <c r="AE1184" s="12">
        <f t="shared" si="203"/>
        <v>0</v>
      </c>
      <c r="AF1184">
        <f t="shared" si="199"/>
        <v>1</v>
      </c>
      <c r="AG1184">
        <f t="shared" si="204"/>
        <v>0</v>
      </c>
      <c r="AH1184">
        <f t="shared" si="205"/>
        <v>0</v>
      </c>
      <c r="AI1184">
        <f t="shared" si="206"/>
        <v>0</v>
      </c>
      <c r="AJ1184">
        <f t="shared" si="207"/>
        <v>0</v>
      </c>
      <c r="AK1184">
        <f t="shared" si="200"/>
        <v>0</v>
      </c>
      <c r="AL1184">
        <f t="shared" si="208"/>
        <v>1</v>
      </c>
    </row>
    <row r="1185" spans="1:38">
      <c r="A1185" t="s">
        <v>3682</v>
      </c>
      <c r="B1185" t="s">
        <v>3683</v>
      </c>
      <c r="C1185" s="1">
        <f t="shared" si="201"/>
        <v>45597</v>
      </c>
      <c r="D1185" t="s">
        <v>3684</v>
      </c>
      <c r="E1185">
        <v>336.5</v>
      </c>
      <c r="F1185">
        <v>14</v>
      </c>
      <c r="G1185" t="s">
        <v>87</v>
      </c>
      <c r="H1185" t="s">
        <v>183</v>
      </c>
      <c r="I1185" t="s">
        <v>32</v>
      </c>
      <c r="J1185">
        <v>240</v>
      </c>
      <c r="K1185" t="s">
        <v>33</v>
      </c>
      <c r="L1185" t="s">
        <v>96</v>
      </c>
      <c r="M1185" t="s">
        <v>71</v>
      </c>
      <c r="N1185" t="s">
        <v>114</v>
      </c>
      <c r="O1185" t="s">
        <v>37</v>
      </c>
      <c r="P1185" t="s">
        <v>38</v>
      </c>
      <c r="Q1185" t="s">
        <v>39</v>
      </c>
      <c r="R1185">
        <v>2</v>
      </c>
      <c r="S1185" t="s">
        <v>38</v>
      </c>
      <c r="T1185">
        <v>5</v>
      </c>
      <c r="U1185">
        <v>1.7</v>
      </c>
      <c r="V1185">
        <v>41</v>
      </c>
      <c r="W1185" t="s">
        <v>39</v>
      </c>
      <c r="X1185" t="s">
        <v>63</v>
      </c>
      <c r="Y1185" t="s">
        <v>39</v>
      </c>
      <c r="Z1185" t="s">
        <v>108</v>
      </c>
      <c r="AA1185" t="s">
        <v>103</v>
      </c>
      <c r="AB1185" t="s">
        <v>55</v>
      </c>
      <c r="AC1185">
        <f t="shared" si="198"/>
        <v>0</v>
      </c>
      <c r="AD1185" s="12">
        <f t="shared" si="202"/>
        <v>1</v>
      </c>
      <c r="AE1185" s="12">
        <f t="shared" si="203"/>
        <v>0</v>
      </c>
      <c r="AF1185">
        <f t="shared" si="199"/>
        <v>0</v>
      </c>
      <c r="AG1185">
        <f t="shared" si="204"/>
        <v>0</v>
      </c>
      <c r="AH1185">
        <f t="shared" si="205"/>
        <v>0</v>
      </c>
      <c r="AI1185">
        <f t="shared" si="206"/>
        <v>0</v>
      </c>
      <c r="AJ1185">
        <f t="shared" si="207"/>
        <v>1</v>
      </c>
      <c r="AK1185">
        <f t="shared" si="200"/>
        <v>0</v>
      </c>
      <c r="AL1185">
        <f t="shared" si="208"/>
        <v>0</v>
      </c>
    </row>
    <row r="1186" spans="1:38">
      <c r="A1186" t="s">
        <v>3685</v>
      </c>
      <c r="B1186" t="s">
        <v>3686</v>
      </c>
      <c r="C1186" s="1">
        <f t="shared" si="201"/>
        <v>45292</v>
      </c>
      <c r="D1186" t="s">
        <v>3687</v>
      </c>
      <c r="E1186">
        <v>175</v>
      </c>
      <c r="F1186">
        <v>7.3</v>
      </c>
      <c r="G1186" t="s">
        <v>101</v>
      </c>
      <c r="H1186" t="s">
        <v>102</v>
      </c>
      <c r="I1186" t="s">
        <v>32</v>
      </c>
      <c r="J1186">
        <v>240</v>
      </c>
      <c r="K1186" t="s">
        <v>49</v>
      </c>
      <c r="L1186" t="s">
        <v>70</v>
      </c>
      <c r="M1186" t="s">
        <v>35</v>
      </c>
      <c r="N1186" t="s">
        <v>134</v>
      </c>
      <c r="O1186" t="s">
        <v>7232</v>
      </c>
      <c r="P1186" t="s">
        <v>38</v>
      </c>
      <c r="Q1186" t="s">
        <v>38</v>
      </c>
      <c r="R1186">
        <v>1</v>
      </c>
      <c r="S1186" t="s">
        <v>38</v>
      </c>
      <c r="T1186">
        <v>10</v>
      </c>
      <c r="U1186">
        <v>1.4</v>
      </c>
      <c r="V1186">
        <v>24.1</v>
      </c>
      <c r="W1186" t="s">
        <v>39</v>
      </c>
      <c r="X1186" t="s">
        <v>52</v>
      </c>
      <c r="Y1186" t="s">
        <v>39</v>
      </c>
      <c r="Z1186" t="s">
        <v>53</v>
      </c>
      <c r="AA1186" t="s">
        <v>109</v>
      </c>
      <c r="AB1186" t="s">
        <v>55</v>
      </c>
      <c r="AC1186">
        <f t="shared" si="198"/>
        <v>1</v>
      </c>
      <c r="AD1186" s="12">
        <f t="shared" si="202"/>
        <v>0</v>
      </c>
      <c r="AE1186" s="12">
        <f t="shared" si="203"/>
        <v>0</v>
      </c>
      <c r="AF1186">
        <f t="shared" si="199"/>
        <v>0</v>
      </c>
      <c r="AG1186">
        <f t="shared" si="204"/>
        <v>1</v>
      </c>
      <c r="AH1186">
        <f t="shared" si="205"/>
        <v>0</v>
      </c>
      <c r="AI1186">
        <f t="shared" si="206"/>
        <v>0</v>
      </c>
      <c r="AJ1186">
        <f t="shared" si="207"/>
        <v>1</v>
      </c>
      <c r="AK1186">
        <f t="shared" si="200"/>
        <v>0</v>
      </c>
      <c r="AL1186">
        <f t="shared" si="208"/>
        <v>0</v>
      </c>
    </row>
    <row r="1187" spans="1:38">
      <c r="A1187" t="s">
        <v>3688</v>
      </c>
      <c r="B1187" t="s">
        <v>3689</v>
      </c>
      <c r="C1187" s="1">
        <f t="shared" si="201"/>
        <v>45627</v>
      </c>
      <c r="D1187" t="s">
        <v>3690</v>
      </c>
      <c r="E1187">
        <v>69.3</v>
      </c>
      <c r="F1187">
        <v>2.9</v>
      </c>
      <c r="G1187" t="s">
        <v>30</v>
      </c>
      <c r="H1187" t="s">
        <v>31</v>
      </c>
      <c r="I1187" t="s">
        <v>95</v>
      </c>
      <c r="J1187">
        <v>48</v>
      </c>
      <c r="K1187" t="s">
        <v>33</v>
      </c>
      <c r="L1187" t="s">
        <v>96</v>
      </c>
      <c r="M1187" t="s">
        <v>35</v>
      </c>
      <c r="N1187" t="s">
        <v>414</v>
      </c>
      <c r="O1187" t="s">
        <v>51</v>
      </c>
      <c r="P1187" t="s">
        <v>39</v>
      </c>
      <c r="Q1187" t="s">
        <v>38</v>
      </c>
      <c r="R1187">
        <v>0</v>
      </c>
      <c r="S1187" t="s">
        <v>39</v>
      </c>
      <c r="T1187">
        <v>6</v>
      </c>
      <c r="U1187">
        <v>2.8</v>
      </c>
      <c r="V1187">
        <v>19.8</v>
      </c>
      <c r="W1187" t="s">
        <v>39</v>
      </c>
      <c r="X1187" t="s">
        <v>52</v>
      </c>
      <c r="Y1187" t="s">
        <v>39</v>
      </c>
      <c r="Z1187" t="s">
        <v>108</v>
      </c>
      <c r="AA1187" t="s">
        <v>42</v>
      </c>
      <c r="AB1187" t="s">
        <v>83</v>
      </c>
      <c r="AC1187">
        <f t="shared" si="198"/>
        <v>1</v>
      </c>
      <c r="AD1187" s="12">
        <f t="shared" si="202"/>
        <v>0</v>
      </c>
      <c r="AE1187" s="12">
        <f t="shared" si="203"/>
        <v>0</v>
      </c>
      <c r="AF1187">
        <f t="shared" si="199"/>
        <v>1</v>
      </c>
      <c r="AG1187">
        <f t="shared" si="204"/>
        <v>0</v>
      </c>
      <c r="AH1187">
        <f t="shared" si="205"/>
        <v>0</v>
      </c>
      <c r="AI1187">
        <f t="shared" si="206"/>
        <v>1</v>
      </c>
      <c r="AJ1187">
        <f t="shared" si="207"/>
        <v>0</v>
      </c>
      <c r="AK1187">
        <f t="shared" si="200"/>
        <v>1</v>
      </c>
      <c r="AL1187">
        <f t="shared" si="208"/>
        <v>0</v>
      </c>
    </row>
    <row r="1188" spans="1:38">
      <c r="A1188" t="s">
        <v>3691</v>
      </c>
      <c r="B1188" t="s">
        <v>3692</v>
      </c>
      <c r="C1188" s="1">
        <f t="shared" si="201"/>
        <v>45444</v>
      </c>
      <c r="D1188" t="s">
        <v>3693</v>
      </c>
      <c r="E1188">
        <v>185.5</v>
      </c>
      <c r="F1188">
        <v>7.7</v>
      </c>
      <c r="G1188" t="s">
        <v>30</v>
      </c>
      <c r="H1188" t="s">
        <v>47</v>
      </c>
      <c r="I1188" t="s">
        <v>32</v>
      </c>
      <c r="J1188">
        <v>240</v>
      </c>
      <c r="K1188" t="s">
        <v>49</v>
      </c>
      <c r="L1188" t="s">
        <v>34</v>
      </c>
      <c r="M1188" t="s">
        <v>35</v>
      </c>
      <c r="N1188" t="s">
        <v>144</v>
      </c>
      <c r="O1188" t="s">
        <v>7232</v>
      </c>
      <c r="P1188" t="s">
        <v>39</v>
      </c>
      <c r="Q1188" t="s">
        <v>38</v>
      </c>
      <c r="R1188">
        <v>0</v>
      </c>
      <c r="S1188" t="s">
        <v>38</v>
      </c>
      <c r="T1188">
        <v>10</v>
      </c>
      <c r="U1188">
        <v>1.5</v>
      </c>
      <c r="V1188">
        <v>9.1</v>
      </c>
      <c r="W1188" t="s">
        <v>39</v>
      </c>
      <c r="X1188" t="s">
        <v>63</v>
      </c>
      <c r="Y1188" t="s">
        <v>39</v>
      </c>
      <c r="Z1188" t="s">
        <v>179</v>
      </c>
      <c r="AA1188" t="s">
        <v>82</v>
      </c>
      <c r="AB1188" t="s">
        <v>55</v>
      </c>
      <c r="AC1188">
        <f t="shared" si="198"/>
        <v>0</v>
      </c>
      <c r="AD1188" s="12">
        <f t="shared" si="202"/>
        <v>1</v>
      </c>
      <c r="AE1188" s="12">
        <f t="shared" si="203"/>
        <v>0</v>
      </c>
      <c r="AF1188">
        <f t="shared" si="199"/>
        <v>0</v>
      </c>
      <c r="AG1188">
        <f t="shared" si="204"/>
        <v>1</v>
      </c>
      <c r="AH1188">
        <f t="shared" si="205"/>
        <v>0</v>
      </c>
      <c r="AI1188">
        <f t="shared" si="206"/>
        <v>0</v>
      </c>
      <c r="AJ1188">
        <f t="shared" si="207"/>
        <v>1</v>
      </c>
      <c r="AK1188">
        <f t="shared" si="200"/>
        <v>1</v>
      </c>
      <c r="AL1188">
        <f t="shared" si="208"/>
        <v>0</v>
      </c>
    </row>
    <row r="1189" spans="1:38">
      <c r="A1189" t="s">
        <v>3694</v>
      </c>
      <c r="B1189" t="s">
        <v>3695</v>
      </c>
      <c r="C1189" s="1">
        <f t="shared" si="201"/>
        <v>45352</v>
      </c>
      <c r="D1189" t="s">
        <v>3696</v>
      </c>
      <c r="E1189">
        <v>222.9</v>
      </c>
      <c r="F1189">
        <v>9.3000000000000007</v>
      </c>
      <c r="G1189" t="s">
        <v>59</v>
      </c>
      <c r="H1189" t="s">
        <v>127</v>
      </c>
      <c r="I1189" t="s">
        <v>79</v>
      </c>
      <c r="J1189">
        <v>360</v>
      </c>
      <c r="K1189" t="s">
        <v>49</v>
      </c>
      <c r="L1189" t="s">
        <v>96</v>
      </c>
      <c r="M1189" t="s">
        <v>71</v>
      </c>
      <c r="N1189" t="s">
        <v>202</v>
      </c>
      <c r="O1189" t="s">
        <v>51</v>
      </c>
      <c r="P1189" t="s">
        <v>38</v>
      </c>
      <c r="Q1189" t="s">
        <v>39</v>
      </c>
      <c r="R1189">
        <v>1</v>
      </c>
      <c r="S1189" t="s">
        <v>38</v>
      </c>
      <c r="T1189">
        <v>8</v>
      </c>
      <c r="U1189">
        <v>2.5</v>
      </c>
      <c r="V1189">
        <v>24.7</v>
      </c>
      <c r="W1189" t="s">
        <v>39</v>
      </c>
      <c r="X1189" t="s">
        <v>123</v>
      </c>
      <c r="Y1189" t="s">
        <v>38</v>
      </c>
      <c r="Z1189" t="s">
        <v>53</v>
      </c>
      <c r="AA1189" t="s">
        <v>103</v>
      </c>
      <c r="AB1189" t="s">
        <v>55</v>
      </c>
      <c r="AC1189">
        <f t="shared" si="198"/>
        <v>0</v>
      </c>
      <c r="AD1189" s="12">
        <f t="shared" si="202"/>
        <v>0</v>
      </c>
      <c r="AE1189" s="12">
        <f t="shared" si="203"/>
        <v>1</v>
      </c>
      <c r="AF1189">
        <f t="shared" si="199"/>
        <v>1</v>
      </c>
      <c r="AG1189">
        <f t="shared" si="204"/>
        <v>0</v>
      </c>
      <c r="AH1189">
        <f t="shared" si="205"/>
        <v>0</v>
      </c>
      <c r="AI1189">
        <f t="shared" si="206"/>
        <v>0</v>
      </c>
      <c r="AJ1189">
        <f t="shared" si="207"/>
        <v>0</v>
      </c>
      <c r="AK1189">
        <f t="shared" si="200"/>
        <v>0</v>
      </c>
      <c r="AL1189">
        <f t="shared" si="208"/>
        <v>1</v>
      </c>
    </row>
    <row r="1190" spans="1:38">
      <c r="A1190" t="s">
        <v>3697</v>
      </c>
      <c r="B1190" t="s">
        <v>3698</v>
      </c>
      <c r="C1190" s="1">
        <f t="shared" si="201"/>
        <v>45597</v>
      </c>
      <c r="D1190" t="s">
        <v>3699</v>
      </c>
      <c r="E1190">
        <v>438</v>
      </c>
      <c r="F1190">
        <v>18.3</v>
      </c>
      <c r="G1190" t="s">
        <v>142</v>
      </c>
      <c r="H1190" t="s">
        <v>260</v>
      </c>
      <c r="I1190" t="s">
        <v>79</v>
      </c>
      <c r="J1190">
        <v>360</v>
      </c>
      <c r="K1190" t="s">
        <v>33</v>
      </c>
      <c r="L1190" t="s">
        <v>34</v>
      </c>
      <c r="M1190" t="s">
        <v>35</v>
      </c>
      <c r="N1190" t="s">
        <v>138</v>
      </c>
      <c r="O1190" t="s">
        <v>7232</v>
      </c>
      <c r="P1190" t="s">
        <v>38</v>
      </c>
      <c r="Q1190" t="s">
        <v>38</v>
      </c>
      <c r="R1190">
        <v>1</v>
      </c>
      <c r="S1190" t="s">
        <v>38</v>
      </c>
      <c r="T1190">
        <v>4</v>
      </c>
      <c r="U1190">
        <v>1.4</v>
      </c>
      <c r="V1190">
        <v>18.600000000000001</v>
      </c>
      <c r="W1190" t="s">
        <v>39</v>
      </c>
      <c r="X1190" t="s">
        <v>123</v>
      </c>
      <c r="Y1190" t="s">
        <v>39</v>
      </c>
      <c r="Z1190" t="s">
        <v>73</v>
      </c>
      <c r="AA1190" t="s">
        <v>54</v>
      </c>
      <c r="AB1190" t="s">
        <v>55</v>
      </c>
      <c r="AC1190">
        <f t="shared" si="198"/>
        <v>0</v>
      </c>
      <c r="AD1190" s="12">
        <f t="shared" si="202"/>
        <v>0</v>
      </c>
      <c r="AE1190" s="12">
        <f t="shared" si="203"/>
        <v>1</v>
      </c>
      <c r="AF1190">
        <f t="shared" si="199"/>
        <v>0</v>
      </c>
      <c r="AG1190">
        <f t="shared" si="204"/>
        <v>1</v>
      </c>
      <c r="AH1190">
        <f t="shared" si="205"/>
        <v>0</v>
      </c>
      <c r="AI1190">
        <f t="shared" si="206"/>
        <v>0</v>
      </c>
      <c r="AJ1190">
        <f t="shared" si="207"/>
        <v>0</v>
      </c>
      <c r="AK1190">
        <f t="shared" si="200"/>
        <v>0</v>
      </c>
      <c r="AL1190">
        <f t="shared" si="208"/>
        <v>0</v>
      </c>
    </row>
    <row r="1191" spans="1:38">
      <c r="A1191" t="s">
        <v>3700</v>
      </c>
      <c r="B1191" t="s">
        <v>3701</v>
      </c>
      <c r="C1191" s="1">
        <f t="shared" si="201"/>
        <v>45566</v>
      </c>
      <c r="D1191" t="s">
        <v>3702</v>
      </c>
      <c r="E1191">
        <v>85.9</v>
      </c>
      <c r="F1191">
        <v>3.6</v>
      </c>
      <c r="G1191" t="s">
        <v>87</v>
      </c>
      <c r="H1191" t="s">
        <v>151</v>
      </c>
      <c r="I1191" t="s">
        <v>48</v>
      </c>
      <c r="J1191">
        <v>120</v>
      </c>
      <c r="K1191" t="s">
        <v>49</v>
      </c>
      <c r="L1191" t="s">
        <v>96</v>
      </c>
      <c r="M1191" t="s">
        <v>35</v>
      </c>
      <c r="N1191" t="s">
        <v>220</v>
      </c>
      <c r="O1191" t="s">
        <v>37</v>
      </c>
      <c r="P1191" t="s">
        <v>38</v>
      </c>
      <c r="Q1191" t="s">
        <v>38</v>
      </c>
      <c r="R1191">
        <v>1</v>
      </c>
      <c r="S1191" t="s">
        <v>39</v>
      </c>
      <c r="T1191">
        <v>7</v>
      </c>
      <c r="U1191">
        <v>3.5</v>
      </c>
      <c r="V1191">
        <v>8.4</v>
      </c>
      <c r="W1191" t="s">
        <v>38</v>
      </c>
      <c r="X1191" t="s">
        <v>52</v>
      </c>
      <c r="Y1191" t="s">
        <v>38</v>
      </c>
      <c r="Z1191" t="s">
        <v>179</v>
      </c>
      <c r="AA1191" t="s">
        <v>42</v>
      </c>
      <c r="AB1191" t="s">
        <v>83</v>
      </c>
      <c r="AC1191">
        <f t="shared" si="198"/>
        <v>1</v>
      </c>
      <c r="AD1191" s="12">
        <f t="shared" si="202"/>
        <v>0</v>
      </c>
      <c r="AE1191" s="12">
        <f t="shared" si="203"/>
        <v>0</v>
      </c>
      <c r="AF1191">
        <f t="shared" si="199"/>
        <v>0</v>
      </c>
      <c r="AG1191">
        <f t="shared" si="204"/>
        <v>0</v>
      </c>
      <c r="AH1191">
        <f t="shared" si="205"/>
        <v>1</v>
      </c>
      <c r="AI1191">
        <f t="shared" si="206"/>
        <v>0</v>
      </c>
      <c r="AJ1191">
        <f t="shared" si="207"/>
        <v>0</v>
      </c>
      <c r="AK1191">
        <f t="shared" si="200"/>
        <v>0</v>
      </c>
      <c r="AL1191">
        <f t="shared" si="208"/>
        <v>1</v>
      </c>
    </row>
    <row r="1192" spans="1:38">
      <c r="A1192" t="s">
        <v>3703</v>
      </c>
      <c r="B1192" t="s">
        <v>3704</v>
      </c>
      <c r="C1192" s="1">
        <f t="shared" si="201"/>
        <v>45627</v>
      </c>
      <c r="D1192" t="s">
        <v>3705</v>
      </c>
      <c r="E1192">
        <v>326.7</v>
      </c>
      <c r="F1192">
        <v>13.6</v>
      </c>
      <c r="G1192" t="s">
        <v>30</v>
      </c>
      <c r="H1192" t="s">
        <v>31</v>
      </c>
      <c r="I1192" t="s">
        <v>79</v>
      </c>
      <c r="J1192">
        <v>360</v>
      </c>
      <c r="K1192" t="s">
        <v>49</v>
      </c>
      <c r="L1192" t="s">
        <v>96</v>
      </c>
      <c r="M1192" t="s">
        <v>35</v>
      </c>
      <c r="N1192" t="s">
        <v>144</v>
      </c>
      <c r="O1192" t="s">
        <v>37</v>
      </c>
      <c r="P1192" t="s">
        <v>39</v>
      </c>
      <c r="Q1192" t="s">
        <v>38</v>
      </c>
      <c r="R1192">
        <v>0</v>
      </c>
      <c r="S1192" t="s">
        <v>39</v>
      </c>
      <c r="T1192">
        <v>7</v>
      </c>
      <c r="U1192">
        <v>0.1</v>
      </c>
      <c r="V1192">
        <v>7.7</v>
      </c>
      <c r="W1192" t="s">
        <v>39</v>
      </c>
      <c r="X1192" t="s">
        <v>63</v>
      </c>
      <c r="Y1192" t="s">
        <v>38</v>
      </c>
      <c r="Z1192" t="s">
        <v>81</v>
      </c>
      <c r="AA1192" t="s">
        <v>103</v>
      </c>
      <c r="AB1192" t="s">
        <v>55</v>
      </c>
      <c r="AC1192">
        <f t="shared" si="198"/>
        <v>0</v>
      </c>
      <c r="AD1192" s="12">
        <f t="shared" si="202"/>
        <v>1</v>
      </c>
      <c r="AE1192" s="12">
        <f t="shared" si="203"/>
        <v>0</v>
      </c>
      <c r="AF1192">
        <f t="shared" si="199"/>
        <v>0</v>
      </c>
      <c r="AG1192">
        <f t="shared" si="204"/>
        <v>0</v>
      </c>
      <c r="AH1192">
        <f t="shared" si="205"/>
        <v>0</v>
      </c>
      <c r="AI1192">
        <f t="shared" si="206"/>
        <v>0</v>
      </c>
      <c r="AJ1192">
        <f t="shared" si="207"/>
        <v>0</v>
      </c>
      <c r="AK1192">
        <f t="shared" si="200"/>
        <v>1</v>
      </c>
      <c r="AL1192">
        <f t="shared" si="208"/>
        <v>1</v>
      </c>
    </row>
    <row r="1193" spans="1:38">
      <c r="A1193" t="s">
        <v>3706</v>
      </c>
      <c r="B1193" t="s">
        <v>3707</v>
      </c>
      <c r="C1193" s="1">
        <f t="shared" si="201"/>
        <v>45292</v>
      </c>
      <c r="D1193" t="s">
        <v>3708</v>
      </c>
      <c r="E1193">
        <v>269</v>
      </c>
      <c r="F1193">
        <v>11.2</v>
      </c>
      <c r="G1193" t="s">
        <v>77</v>
      </c>
      <c r="H1193" t="s">
        <v>244</v>
      </c>
      <c r="I1193" t="s">
        <v>79</v>
      </c>
      <c r="J1193">
        <v>360</v>
      </c>
      <c r="K1193" t="s">
        <v>49</v>
      </c>
      <c r="L1193" t="s">
        <v>96</v>
      </c>
      <c r="M1193" t="s">
        <v>35</v>
      </c>
      <c r="N1193" t="s">
        <v>144</v>
      </c>
      <c r="O1193" t="s">
        <v>7232</v>
      </c>
      <c r="P1193" t="s">
        <v>38</v>
      </c>
      <c r="Q1193" t="s">
        <v>38</v>
      </c>
      <c r="R1193">
        <v>1</v>
      </c>
      <c r="S1193" t="s">
        <v>38</v>
      </c>
      <c r="T1193">
        <v>8</v>
      </c>
      <c r="U1193">
        <v>4</v>
      </c>
      <c r="V1193">
        <v>7.4</v>
      </c>
      <c r="W1193" t="s">
        <v>38</v>
      </c>
      <c r="X1193" t="s">
        <v>52</v>
      </c>
      <c r="Y1193" t="s">
        <v>38</v>
      </c>
      <c r="Z1193" t="s">
        <v>53</v>
      </c>
      <c r="AA1193" t="s">
        <v>109</v>
      </c>
      <c r="AB1193" t="s">
        <v>43</v>
      </c>
      <c r="AC1193">
        <f t="shared" si="198"/>
        <v>1</v>
      </c>
      <c r="AD1193" s="12">
        <f t="shared" si="202"/>
        <v>0</v>
      </c>
      <c r="AE1193" s="12">
        <f t="shared" si="203"/>
        <v>0</v>
      </c>
      <c r="AF1193">
        <f t="shared" si="199"/>
        <v>0</v>
      </c>
      <c r="AG1193">
        <f t="shared" si="204"/>
        <v>1</v>
      </c>
      <c r="AH1193">
        <f t="shared" si="205"/>
        <v>0</v>
      </c>
      <c r="AI1193">
        <f t="shared" si="206"/>
        <v>0</v>
      </c>
      <c r="AJ1193">
        <f t="shared" si="207"/>
        <v>0</v>
      </c>
      <c r="AK1193">
        <f t="shared" si="200"/>
        <v>0</v>
      </c>
      <c r="AL1193">
        <f t="shared" si="208"/>
        <v>1</v>
      </c>
    </row>
    <row r="1194" spans="1:38">
      <c r="A1194" t="s">
        <v>3709</v>
      </c>
      <c r="B1194" t="s">
        <v>3710</v>
      </c>
      <c r="C1194" s="1">
        <f t="shared" si="201"/>
        <v>45627</v>
      </c>
      <c r="D1194" t="s">
        <v>3711</v>
      </c>
      <c r="E1194">
        <v>104.2</v>
      </c>
      <c r="F1194">
        <v>4.3</v>
      </c>
      <c r="G1194" t="s">
        <v>77</v>
      </c>
      <c r="H1194" t="s">
        <v>267</v>
      </c>
      <c r="I1194" t="s">
        <v>48</v>
      </c>
      <c r="J1194">
        <v>120</v>
      </c>
      <c r="K1194" t="s">
        <v>49</v>
      </c>
      <c r="L1194" t="s">
        <v>70</v>
      </c>
      <c r="M1194" t="s">
        <v>35</v>
      </c>
      <c r="N1194" t="s">
        <v>202</v>
      </c>
      <c r="O1194" t="s">
        <v>51</v>
      </c>
      <c r="P1194" t="s">
        <v>39</v>
      </c>
      <c r="Q1194" t="s">
        <v>38</v>
      </c>
      <c r="R1194">
        <v>0</v>
      </c>
      <c r="S1194" t="s">
        <v>39</v>
      </c>
      <c r="T1194">
        <v>10</v>
      </c>
      <c r="U1194">
        <v>0.1</v>
      </c>
      <c r="V1194">
        <v>23.1</v>
      </c>
      <c r="W1194" t="s">
        <v>38</v>
      </c>
      <c r="X1194" t="s">
        <v>123</v>
      </c>
      <c r="Y1194" t="s">
        <v>39</v>
      </c>
      <c r="Z1194" t="s">
        <v>64</v>
      </c>
      <c r="AA1194" t="s">
        <v>103</v>
      </c>
      <c r="AB1194" t="s">
        <v>83</v>
      </c>
      <c r="AC1194">
        <f t="shared" si="198"/>
        <v>0</v>
      </c>
      <c r="AD1194" s="12">
        <f t="shared" si="202"/>
        <v>0</v>
      </c>
      <c r="AE1194" s="12">
        <f t="shared" si="203"/>
        <v>1</v>
      </c>
      <c r="AF1194">
        <f t="shared" si="199"/>
        <v>1</v>
      </c>
      <c r="AG1194">
        <f t="shared" si="204"/>
        <v>0</v>
      </c>
      <c r="AH1194">
        <f t="shared" si="205"/>
        <v>1</v>
      </c>
      <c r="AI1194">
        <f t="shared" si="206"/>
        <v>0</v>
      </c>
      <c r="AJ1194">
        <f t="shared" si="207"/>
        <v>0</v>
      </c>
      <c r="AK1194">
        <f t="shared" si="200"/>
        <v>0</v>
      </c>
      <c r="AL1194">
        <f t="shared" si="208"/>
        <v>0</v>
      </c>
    </row>
    <row r="1195" spans="1:38">
      <c r="A1195" t="s">
        <v>3712</v>
      </c>
      <c r="B1195" t="s">
        <v>3713</v>
      </c>
      <c r="C1195" s="1">
        <f t="shared" si="201"/>
        <v>45505</v>
      </c>
      <c r="D1195" t="s">
        <v>3714</v>
      </c>
      <c r="E1195">
        <v>268.2</v>
      </c>
      <c r="F1195">
        <v>11.2</v>
      </c>
      <c r="G1195" t="s">
        <v>93</v>
      </c>
      <c r="H1195" t="s">
        <v>449</v>
      </c>
      <c r="I1195" t="s">
        <v>79</v>
      </c>
      <c r="J1195">
        <v>360</v>
      </c>
      <c r="K1195" t="s">
        <v>49</v>
      </c>
      <c r="L1195" t="s">
        <v>34</v>
      </c>
      <c r="M1195" t="s">
        <v>35</v>
      </c>
      <c r="N1195" t="s">
        <v>61</v>
      </c>
      <c r="O1195" t="s">
        <v>37</v>
      </c>
      <c r="P1195" t="s">
        <v>38</v>
      </c>
      <c r="Q1195" t="s">
        <v>38</v>
      </c>
      <c r="R1195">
        <v>1</v>
      </c>
      <c r="S1195" t="s">
        <v>38</v>
      </c>
      <c r="T1195">
        <v>8</v>
      </c>
      <c r="U1195">
        <v>3.7</v>
      </c>
      <c r="V1195">
        <v>18.399999999999999</v>
      </c>
      <c r="W1195" t="s">
        <v>39</v>
      </c>
      <c r="X1195" t="s">
        <v>52</v>
      </c>
      <c r="Y1195" t="s">
        <v>38</v>
      </c>
      <c r="Z1195" t="s">
        <v>179</v>
      </c>
      <c r="AA1195" t="s">
        <v>42</v>
      </c>
      <c r="AB1195" t="s">
        <v>83</v>
      </c>
      <c r="AC1195">
        <f t="shared" si="198"/>
        <v>1</v>
      </c>
      <c r="AD1195" s="12">
        <f t="shared" si="202"/>
        <v>0</v>
      </c>
      <c r="AE1195" s="12">
        <f t="shared" si="203"/>
        <v>0</v>
      </c>
      <c r="AF1195">
        <f t="shared" si="199"/>
        <v>0</v>
      </c>
      <c r="AG1195">
        <f t="shared" si="204"/>
        <v>0</v>
      </c>
      <c r="AH1195">
        <f t="shared" si="205"/>
        <v>0</v>
      </c>
      <c r="AI1195">
        <f t="shared" si="206"/>
        <v>0</v>
      </c>
      <c r="AJ1195">
        <f t="shared" si="207"/>
        <v>0</v>
      </c>
      <c r="AK1195">
        <f t="shared" si="200"/>
        <v>0</v>
      </c>
      <c r="AL1195">
        <f t="shared" si="208"/>
        <v>1</v>
      </c>
    </row>
    <row r="1196" spans="1:38">
      <c r="A1196" t="s">
        <v>3715</v>
      </c>
      <c r="B1196" t="s">
        <v>3716</v>
      </c>
      <c r="C1196" s="1">
        <f t="shared" si="201"/>
        <v>45627</v>
      </c>
      <c r="D1196" t="s">
        <v>3717</v>
      </c>
      <c r="E1196">
        <v>324.7</v>
      </c>
      <c r="F1196">
        <v>13.5</v>
      </c>
      <c r="G1196" t="s">
        <v>30</v>
      </c>
      <c r="H1196" t="s">
        <v>159</v>
      </c>
      <c r="I1196" t="s">
        <v>79</v>
      </c>
      <c r="J1196">
        <v>360</v>
      </c>
      <c r="K1196" t="s">
        <v>49</v>
      </c>
      <c r="L1196" t="s">
        <v>70</v>
      </c>
      <c r="M1196" t="s">
        <v>35</v>
      </c>
      <c r="N1196" t="s">
        <v>114</v>
      </c>
      <c r="O1196" t="s">
        <v>51</v>
      </c>
      <c r="P1196" t="s">
        <v>39</v>
      </c>
      <c r="Q1196" t="s">
        <v>38</v>
      </c>
      <c r="R1196">
        <v>0</v>
      </c>
      <c r="S1196" t="s">
        <v>38</v>
      </c>
      <c r="T1196">
        <v>10</v>
      </c>
      <c r="U1196">
        <v>3.2</v>
      </c>
      <c r="V1196">
        <v>26.5</v>
      </c>
      <c r="W1196" t="s">
        <v>39</v>
      </c>
      <c r="X1196" t="s">
        <v>63</v>
      </c>
      <c r="Y1196" t="s">
        <v>39</v>
      </c>
      <c r="Z1196" t="s">
        <v>81</v>
      </c>
      <c r="AA1196" t="s">
        <v>103</v>
      </c>
      <c r="AB1196" t="s">
        <v>83</v>
      </c>
      <c r="AC1196">
        <f t="shared" si="198"/>
        <v>0</v>
      </c>
      <c r="AD1196" s="12">
        <f t="shared" si="202"/>
        <v>1</v>
      </c>
      <c r="AE1196" s="12">
        <f t="shared" si="203"/>
        <v>0</v>
      </c>
      <c r="AF1196">
        <f t="shared" si="199"/>
        <v>1</v>
      </c>
      <c r="AG1196">
        <f t="shared" si="204"/>
        <v>0</v>
      </c>
      <c r="AH1196">
        <f t="shared" si="205"/>
        <v>0</v>
      </c>
      <c r="AI1196">
        <f t="shared" si="206"/>
        <v>0</v>
      </c>
      <c r="AJ1196">
        <f t="shared" si="207"/>
        <v>0</v>
      </c>
      <c r="AK1196">
        <f t="shared" si="200"/>
        <v>1</v>
      </c>
      <c r="AL1196">
        <f t="shared" si="208"/>
        <v>0</v>
      </c>
    </row>
    <row r="1197" spans="1:38">
      <c r="A1197" t="s">
        <v>3718</v>
      </c>
      <c r="B1197" t="s">
        <v>3719</v>
      </c>
      <c r="C1197" s="1">
        <f t="shared" si="201"/>
        <v>45323</v>
      </c>
      <c r="D1197" t="s">
        <v>3720</v>
      </c>
      <c r="E1197">
        <v>107</v>
      </c>
      <c r="F1197">
        <v>4.5</v>
      </c>
      <c r="G1197" t="s">
        <v>68</v>
      </c>
      <c r="H1197" t="s">
        <v>212</v>
      </c>
      <c r="I1197" t="s">
        <v>48</v>
      </c>
      <c r="J1197">
        <v>120</v>
      </c>
      <c r="K1197" t="s">
        <v>49</v>
      </c>
      <c r="L1197" t="s">
        <v>96</v>
      </c>
      <c r="M1197" t="s">
        <v>71</v>
      </c>
      <c r="N1197" t="s">
        <v>119</v>
      </c>
      <c r="O1197" t="s">
        <v>7232</v>
      </c>
      <c r="P1197" t="s">
        <v>38</v>
      </c>
      <c r="Q1197" t="s">
        <v>39</v>
      </c>
      <c r="R1197">
        <v>4</v>
      </c>
      <c r="S1197" t="s">
        <v>38</v>
      </c>
      <c r="T1197">
        <v>8</v>
      </c>
      <c r="U1197">
        <v>2.9</v>
      </c>
      <c r="V1197">
        <v>22.5</v>
      </c>
      <c r="W1197" t="s">
        <v>39</v>
      </c>
      <c r="X1197" t="s">
        <v>123</v>
      </c>
      <c r="Y1197" t="s">
        <v>38</v>
      </c>
      <c r="Z1197" t="s">
        <v>81</v>
      </c>
      <c r="AA1197" t="s">
        <v>103</v>
      </c>
      <c r="AB1197" t="s">
        <v>83</v>
      </c>
      <c r="AC1197">
        <f t="shared" si="198"/>
        <v>0</v>
      </c>
      <c r="AD1197" s="12">
        <f t="shared" si="202"/>
        <v>0</v>
      </c>
      <c r="AE1197" s="12">
        <f t="shared" si="203"/>
        <v>1</v>
      </c>
      <c r="AF1197">
        <f t="shared" si="199"/>
        <v>0</v>
      </c>
      <c r="AG1197">
        <f t="shared" si="204"/>
        <v>1</v>
      </c>
      <c r="AH1197">
        <f t="shared" si="205"/>
        <v>1</v>
      </c>
      <c r="AI1197">
        <f t="shared" si="206"/>
        <v>0</v>
      </c>
      <c r="AJ1197">
        <f t="shared" si="207"/>
        <v>0</v>
      </c>
      <c r="AK1197">
        <f t="shared" si="200"/>
        <v>0</v>
      </c>
      <c r="AL1197">
        <f t="shared" si="208"/>
        <v>1</v>
      </c>
    </row>
    <row r="1198" spans="1:38">
      <c r="A1198" t="s">
        <v>3721</v>
      </c>
      <c r="B1198" t="s">
        <v>3722</v>
      </c>
      <c r="C1198" s="1">
        <f t="shared" si="201"/>
        <v>45536</v>
      </c>
      <c r="D1198" t="s">
        <v>3723</v>
      </c>
      <c r="E1198">
        <v>356.3</v>
      </c>
      <c r="F1198">
        <v>14.8</v>
      </c>
      <c r="G1198" t="s">
        <v>87</v>
      </c>
      <c r="H1198" t="s">
        <v>309</v>
      </c>
      <c r="I1198" t="s">
        <v>32</v>
      </c>
      <c r="J1198">
        <v>240</v>
      </c>
      <c r="K1198" t="s">
        <v>33</v>
      </c>
      <c r="L1198" t="s">
        <v>34</v>
      </c>
      <c r="M1198" t="s">
        <v>71</v>
      </c>
      <c r="N1198" t="s">
        <v>128</v>
      </c>
      <c r="O1198" t="s">
        <v>7232</v>
      </c>
      <c r="P1198" t="s">
        <v>38</v>
      </c>
      <c r="Q1198" t="s">
        <v>39</v>
      </c>
      <c r="R1198">
        <v>3</v>
      </c>
      <c r="S1198" t="s">
        <v>38</v>
      </c>
      <c r="T1198">
        <v>7</v>
      </c>
      <c r="U1198">
        <v>4.8</v>
      </c>
      <c r="V1198">
        <v>20.8</v>
      </c>
      <c r="W1198" t="s">
        <v>38</v>
      </c>
      <c r="X1198" t="s">
        <v>63</v>
      </c>
      <c r="Y1198" t="s">
        <v>38</v>
      </c>
      <c r="Z1198" t="s">
        <v>115</v>
      </c>
      <c r="AA1198" t="s">
        <v>82</v>
      </c>
      <c r="AB1198" t="s">
        <v>55</v>
      </c>
      <c r="AC1198">
        <f t="shared" si="198"/>
        <v>0</v>
      </c>
      <c r="AD1198" s="12">
        <f t="shared" si="202"/>
        <v>1</v>
      </c>
      <c r="AE1198" s="12">
        <f t="shared" si="203"/>
        <v>0</v>
      </c>
      <c r="AF1198">
        <f t="shared" si="199"/>
        <v>0</v>
      </c>
      <c r="AG1198">
        <f t="shared" si="204"/>
        <v>1</v>
      </c>
      <c r="AH1198">
        <f t="shared" si="205"/>
        <v>0</v>
      </c>
      <c r="AI1198">
        <f t="shared" si="206"/>
        <v>0</v>
      </c>
      <c r="AJ1198">
        <f t="shared" si="207"/>
        <v>1</v>
      </c>
      <c r="AK1198">
        <f t="shared" si="200"/>
        <v>0</v>
      </c>
      <c r="AL1198">
        <f t="shared" si="208"/>
        <v>1</v>
      </c>
    </row>
    <row r="1199" spans="1:38">
      <c r="A1199" t="s">
        <v>3724</v>
      </c>
      <c r="B1199" t="s">
        <v>3725</v>
      </c>
      <c r="C1199" s="1">
        <f t="shared" si="201"/>
        <v>45536</v>
      </c>
      <c r="D1199" t="s">
        <v>3726</v>
      </c>
      <c r="E1199">
        <v>94.4</v>
      </c>
      <c r="F1199">
        <v>3.9</v>
      </c>
      <c r="G1199" t="s">
        <v>142</v>
      </c>
      <c r="H1199" t="s">
        <v>319</v>
      </c>
      <c r="I1199" t="s">
        <v>48</v>
      </c>
      <c r="J1199">
        <v>120</v>
      </c>
      <c r="K1199" t="s">
        <v>49</v>
      </c>
      <c r="L1199" t="s">
        <v>70</v>
      </c>
      <c r="M1199" t="s">
        <v>71</v>
      </c>
      <c r="N1199" t="s">
        <v>188</v>
      </c>
      <c r="O1199" t="s">
        <v>37</v>
      </c>
      <c r="P1199" t="s">
        <v>38</v>
      </c>
      <c r="Q1199" t="s">
        <v>39</v>
      </c>
      <c r="R1199">
        <v>1</v>
      </c>
      <c r="S1199" t="s">
        <v>38</v>
      </c>
      <c r="T1199">
        <v>9</v>
      </c>
      <c r="U1199">
        <v>2</v>
      </c>
      <c r="V1199">
        <v>9.9</v>
      </c>
      <c r="W1199" t="s">
        <v>39</v>
      </c>
      <c r="X1199" t="s">
        <v>63</v>
      </c>
      <c r="Y1199" t="s">
        <v>38</v>
      </c>
      <c r="Z1199" t="s">
        <v>108</v>
      </c>
      <c r="AA1199" t="s">
        <v>54</v>
      </c>
      <c r="AB1199" t="s">
        <v>83</v>
      </c>
      <c r="AC1199">
        <f t="shared" si="198"/>
        <v>0</v>
      </c>
      <c r="AD1199" s="12">
        <f t="shared" si="202"/>
        <v>1</v>
      </c>
      <c r="AE1199" s="12">
        <f t="shared" si="203"/>
        <v>0</v>
      </c>
      <c r="AF1199">
        <f t="shared" si="199"/>
        <v>0</v>
      </c>
      <c r="AG1199">
        <f t="shared" si="204"/>
        <v>0</v>
      </c>
      <c r="AH1199">
        <f t="shared" si="205"/>
        <v>1</v>
      </c>
      <c r="AI1199">
        <f t="shared" si="206"/>
        <v>0</v>
      </c>
      <c r="AJ1199">
        <f t="shared" si="207"/>
        <v>0</v>
      </c>
      <c r="AK1199">
        <f t="shared" si="200"/>
        <v>0</v>
      </c>
      <c r="AL1199">
        <f t="shared" si="208"/>
        <v>1</v>
      </c>
    </row>
    <row r="1200" spans="1:38">
      <c r="A1200" t="s">
        <v>3727</v>
      </c>
      <c r="B1200" t="s">
        <v>3728</v>
      </c>
      <c r="C1200" s="1">
        <f t="shared" si="201"/>
        <v>45352</v>
      </c>
      <c r="D1200" t="s">
        <v>3729</v>
      </c>
      <c r="E1200">
        <v>312.89999999999998</v>
      </c>
      <c r="F1200">
        <v>13</v>
      </c>
      <c r="G1200" t="s">
        <v>30</v>
      </c>
      <c r="H1200" t="s">
        <v>172</v>
      </c>
      <c r="I1200" t="s">
        <v>32</v>
      </c>
      <c r="J1200">
        <v>240</v>
      </c>
      <c r="K1200" t="s">
        <v>33</v>
      </c>
      <c r="L1200" t="s">
        <v>96</v>
      </c>
      <c r="M1200" t="s">
        <v>35</v>
      </c>
      <c r="N1200" t="s">
        <v>155</v>
      </c>
      <c r="O1200" t="s">
        <v>7232</v>
      </c>
      <c r="P1200" t="s">
        <v>39</v>
      </c>
      <c r="Q1200" t="s">
        <v>38</v>
      </c>
      <c r="R1200">
        <v>0</v>
      </c>
      <c r="S1200" t="s">
        <v>38</v>
      </c>
      <c r="T1200">
        <v>6</v>
      </c>
      <c r="U1200">
        <v>3.6</v>
      </c>
      <c r="V1200">
        <v>29</v>
      </c>
      <c r="W1200" t="s">
        <v>39</v>
      </c>
      <c r="X1200" t="s">
        <v>52</v>
      </c>
      <c r="Y1200" t="s">
        <v>38</v>
      </c>
      <c r="Z1200" t="s">
        <v>64</v>
      </c>
      <c r="AA1200" t="s">
        <v>54</v>
      </c>
      <c r="AB1200" t="s">
        <v>55</v>
      </c>
      <c r="AC1200">
        <f t="shared" si="198"/>
        <v>1</v>
      </c>
      <c r="AD1200" s="12">
        <f t="shared" si="202"/>
        <v>0</v>
      </c>
      <c r="AE1200" s="12">
        <f t="shared" si="203"/>
        <v>0</v>
      </c>
      <c r="AF1200">
        <f t="shared" si="199"/>
        <v>0</v>
      </c>
      <c r="AG1200">
        <f t="shared" si="204"/>
        <v>1</v>
      </c>
      <c r="AH1200">
        <f t="shared" si="205"/>
        <v>0</v>
      </c>
      <c r="AI1200">
        <f t="shared" si="206"/>
        <v>0</v>
      </c>
      <c r="AJ1200">
        <f t="shared" si="207"/>
        <v>1</v>
      </c>
      <c r="AK1200">
        <f t="shared" si="200"/>
        <v>1</v>
      </c>
      <c r="AL1200">
        <f t="shared" si="208"/>
        <v>1</v>
      </c>
    </row>
    <row r="1201" spans="1:38">
      <c r="A1201" t="s">
        <v>3730</v>
      </c>
      <c r="B1201" t="s">
        <v>3731</v>
      </c>
      <c r="C1201" s="1">
        <f t="shared" si="201"/>
        <v>45474</v>
      </c>
      <c r="D1201" t="s">
        <v>3732</v>
      </c>
      <c r="E1201">
        <v>85.2</v>
      </c>
      <c r="F1201">
        <v>3.6</v>
      </c>
      <c r="G1201" t="s">
        <v>142</v>
      </c>
      <c r="H1201" t="s">
        <v>240</v>
      </c>
      <c r="I1201" t="s">
        <v>48</v>
      </c>
      <c r="J1201">
        <v>120</v>
      </c>
      <c r="K1201" t="s">
        <v>49</v>
      </c>
      <c r="L1201" t="s">
        <v>34</v>
      </c>
      <c r="M1201" t="s">
        <v>35</v>
      </c>
      <c r="N1201" t="s">
        <v>414</v>
      </c>
      <c r="O1201" t="s">
        <v>51</v>
      </c>
      <c r="P1201" t="s">
        <v>39</v>
      </c>
      <c r="Q1201" t="s">
        <v>38</v>
      </c>
      <c r="R1201">
        <v>0</v>
      </c>
      <c r="S1201" t="s">
        <v>38</v>
      </c>
      <c r="T1201">
        <v>8</v>
      </c>
      <c r="U1201">
        <v>1.5</v>
      </c>
      <c r="V1201">
        <v>22.2</v>
      </c>
      <c r="W1201" t="s">
        <v>39</v>
      </c>
      <c r="X1201" t="s">
        <v>63</v>
      </c>
      <c r="Y1201" t="s">
        <v>39</v>
      </c>
      <c r="Z1201" t="s">
        <v>115</v>
      </c>
      <c r="AA1201" t="s">
        <v>109</v>
      </c>
      <c r="AB1201" t="s">
        <v>83</v>
      </c>
      <c r="AC1201">
        <f t="shared" si="198"/>
        <v>0</v>
      </c>
      <c r="AD1201" s="12">
        <f t="shared" si="202"/>
        <v>1</v>
      </c>
      <c r="AE1201" s="12">
        <f t="shared" si="203"/>
        <v>0</v>
      </c>
      <c r="AF1201">
        <f t="shared" si="199"/>
        <v>1</v>
      </c>
      <c r="AG1201">
        <f t="shared" si="204"/>
        <v>0</v>
      </c>
      <c r="AH1201">
        <f t="shared" si="205"/>
        <v>1</v>
      </c>
      <c r="AI1201">
        <f t="shared" si="206"/>
        <v>0</v>
      </c>
      <c r="AJ1201">
        <f t="shared" si="207"/>
        <v>0</v>
      </c>
      <c r="AK1201">
        <f t="shared" si="200"/>
        <v>0</v>
      </c>
      <c r="AL1201">
        <f t="shared" si="208"/>
        <v>0</v>
      </c>
    </row>
    <row r="1202" spans="1:38">
      <c r="A1202" t="s">
        <v>3733</v>
      </c>
      <c r="B1202" t="s">
        <v>3734</v>
      </c>
      <c r="C1202" s="1">
        <f t="shared" si="201"/>
        <v>45352</v>
      </c>
      <c r="D1202" t="s">
        <v>3735</v>
      </c>
      <c r="E1202">
        <v>155.1</v>
      </c>
      <c r="F1202">
        <v>6.5</v>
      </c>
      <c r="G1202" t="s">
        <v>30</v>
      </c>
      <c r="H1202" t="s">
        <v>31</v>
      </c>
      <c r="I1202" t="s">
        <v>32</v>
      </c>
      <c r="J1202">
        <v>240</v>
      </c>
      <c r="K1202" t="s">
        <v>49</v>
      </c>
      <c r="L1202" t="s">
        <v>70</v>
      </c>
      <c r="M1202" t="s">
        <v>35</v>
      </c>
      <c r="N1202" t="s">
        <v>119</v>
      </c>
      <c r="O1202" t="s">
        <v>7232</v>
      </c>
      <c r="P1202" t="s">
        <v>38</v>
      </c>
      <c r="Q1202" t="s">
        <v>38</v>
      </c>
      <c r="R1202">
        <v>1</v>
      </c>
      <c r="S1202" t="s">
        <v>38</v>
      </c>
      <c r="T1202">
        <v>7</v>
      </c>
      <c r="U1202">
        <v>2.2000000000000002</v>
      </c>
      <c r="V1202">
        <v>6.6</v>
      </c>
      <c r="W1202" t="s">
        <v>38</v>
      </c>
      <c r="X1202" t="s">
        <v>63</v>
      </c>
      <c r="Y1202" t="s">
        <v>38</v>
      </c>
      <c r="Z1202" t="s">
        <v>73</v>
      </c>
      <c r="AA1202" t="s">
        <v>42</v>
      </c>
      <c r="AB1202" t="s">
        <v>55</v>
      </c>
      <c r="AC1202">
        <f t="shared" si="198"/>
        <v>0</v>
      </c>
      <c r="AD1202" s="12">
        <f t="shared" si="202"/>
        <v>1</v>
      </c>
      <c r="AE1202" s="12">
        <f t="shared" si="203"/>
        <v>0</v>
      </c>
      <c r="AF1202">
        <f t="shared" si="199"/>
        <v>0</v>
      </c>
      <c r="AG1202">
        <f t="shared" si="204"/>
        <v>1</v>
      </c>
      <c r="AH1202">
        <f t="shared" si="205"/>
        <v>0</v>
      </c>
      <c r="AI1202">
        <f t="shared" si="206"/>
        <v>0</v>
      </c>
      <c r="AJ1202">
        <f t="shared" si="207"/>
        <v>1</v>
      </c>
      <c r="AK1202">
        <f t="shared" si="200"/>
        <v>1</v>
      </c>
      <c r="AL1202">
        <f t="shared" si="208"/>
        <v>1</v>
      </c>
    </row>
    <row r="1203" spans="1:38">
      <c r="A1203" t="s">
        <v>3736</v>
      </c>
      <c r="B1203" t="s">
        <v>3737</v>
      </c>
      <c r="C1203" s="1">
        <f t="shared" si="201"/>
        <v>45566</v>
      </c>
      <c r="D1203" t="s">
        <v>3738</v>
      </c>
      <c r="E1203">
        <v>337.8</v>
      </c>
      <c r="F1203">
        <v>14.1</v>
      </c>
      <c r="G1203" t="s">
        <v>77</v>
      </c>
      <c r="H1203" t="s">
        <v>78</v>
      </c>
      <c r="I1203" t="s">
        <v>79</v>
      </c>
      <c r="J1203">
        <v>360</v>
      </c>
      <c r="K1203" t="s">
        <v>49</v>
      </c>
      <c r="L1203" t="s">
        <v>133</v>
      </c>
      <c r="M1203" t="s">
        <v>35</v>
      </c>
      <c r="N1203" t="s">
        <v>97</v>
      </c>
      <c r="O1203" t="s">
        <v>37</v>
      </c>
      <c r="P1203" t="s">
        <v>39</v>
      </c>
      <c r="Q1203" t="s">
        <v>38</v>
      </c>
      <c r="R1203">
        <v>0</v>
      </c>
      <c r="S1203" t="s">
        <v>38</v>
      </c>
      <c r="T1203">
        <v>10</v>
      </c>
      <c r="U1203">
        <v>1.5</v>
      </c>
      <c r="V1203">
        <v>12.2</v>
      </c>
      <c r="W1203" t="s">
        <v>39</v>
      </c>
      <c r="X1203" t="s">
        <v>52</v>
      </c>
      <c r="Y1203" t="s">
        <v>38</v>
      </c>
      <c r="Z1203" t="s">
        <v>53</v>
      </c>
      <c r="AA1203" t="s">
        <v>82</v>
      </c>
      <c r="AB1203" t="s">
        <v>83</v>
      </c>
      <c r="AC1203">
        <f t="shared" si="198"/>
        <v>1</v>
      </c>
      <c r="AD1203" s="12">
        <f t="shared" si="202"/>
        <v>0</v>
      </c>
      <c r="AE1203" s="12">
        <f t="shared" si="203"/>
        <v>0</v>
      </c>
      <c r="AF1203">
        <f t="shared" si="199"/>
        <v>0</v>
      </c>
      <c r="AG1203">
        <f t="shared" si="204"/>
        <v>0</v>
      </c>
      <c r="AH1203">
        <f t="shared" si="205"/>
        <v>0</v>
      </c>
      <c r="AI1203">
        <f t="shared" si="206"/>
        <v>0</v>
      </c>
      <c r="AJ1203">
        <f t="shared" si="207"/>
        <v>0</v>
      </c>
      <c r="AK1203">
        <f t="shared" si="200"/>
        <v>0</v>
      </c>
      <c r="AL1203">
        <f t="shared" si="208"/>
        <v>1</v>
      </c>
    </row>
    <row r="1204" spans="1:38">
      <c r="A1204" t="s">
        <v>3739</v>
      </c>
      <c r="B1204" t="s">
        <v>3740</v>
      </c>
      <c r="C1204" s="1">
        <f t="shared" si="201"/>
        <v>45627</v>
      </c>
      <c r="D1204" t="s">
        <v>3741</v>
      </c>
      <c r="E1204">
        <v>96.1</v>
      </c>
      <c r="F1204">
        <v>4</v>
      </c>
      <c r="G1204" t="s">
        <v>87</v>
      </c>
      <c r="H1204" t="s">
        <v>183</v>
      </c>
      <c r="I1204" t="s">
        <v>48</v>
      </c>
      <c r="J1204">
        <v>120</v>
      </c>
      <c r="K1204" t="s">
        <v>49</v>
      </c>
      <c r="L1204" t="s">
        <v>34</v>
      </c>
      <c r="M1204" t="s">
        <v>35</v>
      </c>
      <c r="N1204" t="s">
        <v>188</v>
      </c>
      <c r="O1204" t="s">
        <v>7232</v>
      </c>
      <c r="P1204" t="s">
        <v>38</v>
      </c>
      <c r="Q1204" t="s">
        <v>38</v>
      </c>
      <c r="R1204">
        <v>1</v>
      </c>
      <c r="S1204" t="s">
        <v>38</v>
      </c>
      <c r="T1204">
        <v>8</v>
      </c>
      <c r="U1204">
        <v>2.9</v>
      </c>
      <c r="V1204">
        <v>0</v>
      </c>
      <c r="W1204" t="s">
        <v>39</v>
      </c>
      <c r="X1204" t="s">
        <v>52</v>
      </c>
      <c r="Y1204" t="s">
        <v>39</v>
      </c>
      <c r="Z1204" t="s">
        <v>115</v>
      </c>
      <c r="AA1204" t="s">
        <v>109</v>
      </c>
      <c r="AB1204" t="s">
        <v>55</v>
      </c>
      <c r="AC1204">
        <f t="shared" si="198"/>
        <v>1</v>
      </c>
      <c r="AD1204" s="12">
        <f t="shared" si="202"/>
        <v>0</v>
      </c>
      <c r="AE1204" s="12">
        <f t="shared" si="203"/>
        <v>0</v>
      </c>
      <c r="AF1204">
        <f t="shared" si="199"/>
        <v>0</v>
      </c>
      <c r="AG1204">
        <f t="shared" si="204"/>
        <v>1</v>
      </c>
      <c r="AH1204">
        <f t="shared" si="205"/>
        <v>1</v>
      </c>
      <c r="AI1204">
        <f t="shared" si="206"/>
        <v>0</v>
      </c>
      <c r="AJ1204">
        <f t="shared" si="207"/>
        <v>0</v>
      </c>
      <c r="AK1204">
        <f t="shared" si="200"/>
        <v>0</v>
      </c>
      <c r="AL1204">
        <f t="shared" si="208"/>
        <v>0</v>
      </c>
    </row>
    <row r="1205" spans="1:38">
      <c r="A1205" t="s">
        <v>3742</v>
      </c>
      <c r="B1205" t="s">
        <v>3743</v>
      </c>
      <c r="C1205" s="1">
        <f t="shared" si="201"/>
        <v>45323</v>
      </c>
      <c r="D1205" t="s">
        <v>3744</v>
      </c>
      <c r="E1205">
        <v>74.900000000000006</v>
      </c>
      <c r="F1205">
        <v>3.1</v>
      </c>
      <c r="G1205" t="s">
        <v>142</v>
      </c>
      <c r="H1205" t="s">
        <v>240</v>
      </c>
      <c r="I1205" t="s">
        <v>48</v>
      </c>
      <c r="J1205">
        <v>120</v>
      </c>
      <c r="K1205" t="s">
        <v>49</v>
      </c>
      <c r="L1205" t="s">
        <v>70</v>
      </c>
      <c r="M1205" t="s">
        <v>35</v>
      </c>
      <c r="N1205" t="s">
        <v>164</v>
      </c>
      <c r="O1205" t="s">
        <v>51</v>
      </c>
      <c r="P1205" t="s">
        <v>39</v>
      </c>
      <c r="Q1205" t="s">
        <v>38</v>
      </c>
      <c r="R1205">
        <v>0</v>
      </c>
      <c r="S1205" t="s">
        <v>38</v>
      </c>
      <c r="T1205">
        <v>10</v>
      </c>
      <c r="U1205">
        <v>1.4</v>
      </c>
      <c r="V1205">
        <v>26.7</v>
      </c>
      <c r="W1205" t="s">
        <v>38</v>
      </c>
      <c r="X1205" t="s">
        <v>123</v>
      </c>
      <c r="Y1205" t="s">
        <v>39</v>
      </c>
      <c r="Z1205" t="s">
        <v>108</v>
      </c>
      <c r="AA1205" t="s">
        <v>103</v>
      </c>
      <c r="AB1205" t="s">
        <v>43</v>
      </c>
      <c r="AC1205">
        <f t="shared" si="198"/>
        <v>0</v>
      </c>
      <c r="AD1205" s="12">
        <f t="shared" si="202"/>
        <v>0</v>
      </c>
      <c r="AE1205" s="12">
        <f t="shared" si="203"/>
        <v>1</v>
      </c>
      <c r="AF1205">
        <f t="shared" si="199"/>
        <v>1</v>
      </c>
      <c r="AG1205">
        <f t="shared" si="204"/>
        <v>0</v>
      </c>
      <c r="AH1205">
        <f t="shared" si="205"/>
        <v>1</v>
      </c>
      <c r="AI1205">
        <f t="shared" si="206"/>
        <v>0</v>
      </c>
      <c r="AJ1205">
        <f t="shared" si="207"/>
        <v>0</v>
      </c>
      <c r="AK1205">
        <f t="shared" si="200"/>
        <v>0</v>
      </c>
      <c r="AL1205">
        <f t="shared" si="208"/>
        <v>0</v>
      </c>
    </row>
    <row r="1206" spans="1:38">
      <c r="A1206" t="s">
        <v>3745</v>
      </c>
      <c r="B1206" t="s">
        <v>3746</v>
      </c>
      <c r="C1206" s="1">
        <f t="shared" si="201"/>
        <v>45292</v>
      </c>
      <c r="D1206" t="s">
        <v>3747</v>
      </c>
      <c r="E1206">
        <v>197.1</v>
      </c>
      <c r="F1206">
        <v>8.1999999999999993</v>
      </c>
      <c r="G1206" t="s">
        <v>101</v>
      </c>
      <c r="H1206" t="s">
        <v>368</v>
      </c>
      <c r="I1206" t="s">
        <v>32</v>
      </c>
      <c r="J1206">
        <v>240</v>
      </c>
      <c r="K1206" t="s">
        <v>49</v>
      </c>
      <c r="L1206" t="s">
        <v>34</v>
      </c>
      <c r="M1206" t="s">
        <v>71</v>
      </c>
      <c r="N1206" t="s">
        <v>144</v>
      </c>
      <c r="O1206" t="s">
        <v>37</v>
      </c>
      <c r="P1206" t="s">
        <v>38</v>
      </c>
      <c r="Q1206" t="s">
        <v>39</v>
      </c>
      <c r="R1206">
        <v>3</v>
      </c>
      <c r="S1206" t="s">
        <v>38</v>
      </c>
      <c r="T1206">
        <v>6</v>
      </c>
      <c r="U1206">
        <v>0.4</v>
      </c>
      <c r="V1206">
        <v>9.1</v>
      </c>
      <c r="W1206" t="s">
        <v>39</v>
      </c>
      <c r="X1206" t="s">
        <v>40</v>
      </c>
      <c r="Y1206" t="s">
        <v>39</v>
      </c>
      <c r="Z1206" t="s">
        <v>81</v>
      </c>
      <c r="AA1206" t="s">
        <v>103</v>
      </c>
      <c r="AB1206" t="s">
        <v>83</v>
      </c>
      <c r="AC1206">
        <f t="shared" si="198"/>
        <v>0</v>
      </c>
      <c r="AD1206" s="12">
        <f t="shared" si="202"/>
        <v>0</v>
      </c>
      <c r="AE1206" s="12">
        <f t="shared" si="203"/>
        <v>0</v>
      </c>
      <c r="AF1206">
        <f t="shared" si="199"/>
        <v>0</v>
      </c>
      <c r="AG1206">
        <f t="shared" si="204"/>
        <v>0</v>
      </c>
      <c r="AH1206">
        <f t="shared" si="205"/>
        <v>0</v>
      </c>
      <c r="AI1206">
        <f t="shared" si="206"/>
        <v>0</v>
      </c>
      <c r="AJ1206">
        <f t="shared" si="207"/>
        <v>1</v>
      </c>
      <c r="AK1206">
        <f t="shared" si="200"/>
        <v>0</v>
      </c>
      <c r="AL1206">
        <f t="shared" si="208"/>
        <v>0</v>
      </c>
    </row>
    <row r="1207" spans="1:38">
      <c r="A1207" t="s">
        <v>3748</v>
      </c>
      <c r="B1207" t="s">
        <v>3749</v>
      </c>
      <c r="C1207" s="1">
        <f t="shared" si="201"/>
        <v>45627</v>
      </c>
      <c r="D1207" t="s">
        <v>3750</v>
      </c>
      <c r="E1207">
        <v>226.3</v>
      </c>
      <c r="F1207">
        <v>9.4</v>
      </c>
      <c r="G1207" t="s">
        <v>77</v>
      </c>
      <c r="H1207" t="s">
        <v>187</v>
      </c>
      <c r="I1207" t="s">
        <v>79</v>
      </c>
      <c r="J1207">
        <v>360</v>
      </c>
      <c r="K1207" t="s">
        <v>49</v>
      </c>
      <c r="L1207" t="s">
        <v>96</v>
      </c>
      <c r="M1207" t="s">
        <v>35</v>
      </c>
      <c r="N1207" t="s">
        <v>192</v>
      </c>
      <c r="O1207" t="s">
        <v>7232</v>
      </c>
      <c r="P1207" t="s">
        <v>39</v>
      </c>
      <c r="Q1207" t="s">
        <v>38</v>
      </c>
      <c r="R1207">
        <v>0</v>
      </c>
      <c r="S1207" t="s">
        <v>38</v>
      </c>
      <c r="T1207">
        <v>10</v>
      </c>
      <c r="U1207">
        <v>0.5</v>
      </c>
      <c r="V1207">
        <v>0</v>
      </c>
      <c r="W1207" t="s">
        <v>39</v>
      </c>
      <c r="X1207" t="s">
        <v>123</v>
      </c>
      <c r="Y1207" t="s">
        <v>39</v>
      </c>
      <c r="Z1207" t="s">
        <v>179</v>
      </c>
      <c r="AA1207" t="s">
        <v>42</v>
      </c>
      <c r="AB1207" t="s">
        <v>55</v>
      </c>
      <c r="AC1207">
        <f t="shared" si="198"/>
        <v>0</v>
      </c>
      <c r="AD1207" s="12">
        <f t="shared" si="202"/>
        <v>0</v>
      </c>
      <c r="AE1207" s="12">
        <f t="shared" si="203"/>
        <v>1</v>
      </c>
      <c r="AF1207">
        <f t="shared" si="199"/>
        <v>0</v>
      </c>
      <c r="AG1207">
        <f t="shared" si="204"/>
        <v>1</v>
      </c>
      <c r="AH1207">
        <f t="shared" si="205"/>
        <v>0</v>
      </c>
      <c r="AI1207">
        <f t="shared" si="206"/>
        <v>0</v>
      </c>
      <c r="AJ1207">
        <f t="shared" si="207"/>
        <v>0</v>
      </c>
      <c r="AK1207">
        <f t="shared" si="200"/>
        <v>0</v>
      </c>
      <c r="AL1207">
        <f t="shared" si="208"/>
        <v>0</v>
      </c>
    </row>
    <row r="1208" spans="1:38">
      <c r="A1208" t="s">
        <v>3751</v>
      </c>
      <c r="B1208" t="s">
        <v>3752</v>
      </c>
      <c r="C1208" s="1">
        <f t="shared" si="201"/>
        <v>45323</v>
      </c>
      <c r="D1208" t="s">
        <v>3753</v>
      </c>
      <c r="E1208">
        <v>259.5</v>
      </c>
      <c r="F1208">
        <v>10.8</v>
      </c>
      <c r="G1208" t="s">
        <v>77</v>
      </c>
      <c r="H1208" t="s">
        <v>244</v>
      </c>
      <c r="I1208" t="s">
        <v>79</v>
      </c>
      <c r="J1208">
        <v>360</v>
      </c>
      <c r="K1208" t="s">
        <v>49</v>
      </c>
      <c r="L1208" t="s">
        <v>96</v>
      </c>
      <c r="M1208" t="s">
        <v>35</v>
      </c>
      <c r="N1208" t="s">
        <v>168</v>
      </c>
      <c r="O1208" t="s">
        <v>7232</v>
      </c>
      <c r="P1208" t="s">
        <v>39</v>
      </c>
      <c r="Q1208" t="s">
        <v>38</v>
      </c>
      <c r="R1208">
        <v>0</v>
      </c>
      <c r="S1208" t="s">
        <v>38</v>
      </c>
      <c r="T1208">
        <v>10</v>
      </c>
      <c r="U1208">
        <v>4.3</v>
      </c>
      <c r="V1208">
        <v>6.1</v>
      </c>
      <c r="W1208" t="s">
        <v>39</v>
      </c>
      <c r="X1208" t="s">
        <v>63</v>
      </c>
      <c r="Y1208" t="s">
        <v>38</v>
      </c>
      <c r="Z1208" t="s">
        <v>179</v>
      </c>
      <c r="AA1208" t="s">
        <v>42</v>
      </c>
      <c r="AB1208" t="s">
        <v>83</v>
      </c>
      <c r="AC1208">
        <f t="shared" si="198"/>
        <v>0</v>
      </c>
      <c r="AD1208" s="12">
        <f t="shared" si="202"/>
        <v>1</v>
      </c>
      <c r="AE1208" s="12">
        <f t="shared" si="203"/>
        <v>0</v>
      </c>
      <c r="AF1208">
        <f t="shared" si="199"/>
        <v>0</v>
      </c>
      <c r="AG1208">
        <f t="shared" si="204"/>
        <v>1</v>
      </c>
      <c r="AH1208">
        <f t="shared" si="205"/>
        <v>0</v>
      </c>
      <c r="AI1208">
        <f t="shared" si="206"/>
        <v>0</v>
      </c>
      <c r="AJ1208">
        <f t="shared" si="207"/>
        <v>0</v>
      </c>
      <c r="AK1208">
        <f t="shared" si="200"/>
        <v>0</v>
      </c>
      <c r="AL1208">
        <f t="shared" si="208"/>
        <v>1</v>
      </c>
    </row>
    <row r="1209" spans="1:38">
      <c r="A1209" t="s">
        <v>3754</v>
      </c>
      <c r="B1209" t="s">
        <v>3755</v>
      </c>
      <c r="C1209" s="1">
        <f t="shared" si="201"/>
        <v>45597</v>
      </c>
      <c r="D1209" t="s">
        <v>3756</v>
      </c>
      <c r="E1209">
        <v>89.5</v>
      </c>
      <c r="F1209">
        <v>3.7</v>
      </c>
      <c r="G1209" t="s">
        <v>101</v>
      </c>
      <c r="H1209" t="s">
        <v>295</v>
      </c>
      <c r="I1209" t="s">
        <v>48</v>
      </c>
      <c r="J1209">
        <v>120</v>
      </c>
      <c r="K1209" t="s">
        <v>49</v>
      </c>
      <c r="L1209" t="s">
        <v>70</v>
      </c>
      <c r="M1209" t="s">
        <v>35</v>
      </c>
      <c r="N1209" t="s">
        <v>89</v>
      </c>
      <c r="O1209" t="s">
        <v>51</v>
      </c>
      <c r="P1209" t="s">
        <v>39</v>
      </c>
      <c r="Q1209" t="s">
        <v>38</v>
      </c>
      <c r="R1209">
        <v>0</v>
      </c>
      <c r="S1209" t="s">
        <v>38</v>
      </c>
      <c r="T1209">
        <v>10</v>
      </c>
      <c r="U1209">
        <v>1.7</v>
      </c>
      <c r="V1209">
        <v>35.299999999999997</v>
      </c>
      <c r="W1209" t="s">
        <v>39</v>
      </c>
      <c r="X1209" t="s">
        <v>123</v>
      </c>
      <c r="Y1209" t="s">
        <v>39</v>
      </c>
      <c r="Z1209" t="s">
        <v>179</v>
      </c>
      <c r="AA1209" t="s">
        <v>42</v>
      </c>
      <c r="AB1209" t="s">
        <v>55</v>
      </c>
      <c r="AC1209">
        <f t="shared" si="198"/>
        <v>0</v>
      </c>
      <c r="AD1209" s="12">
        <f t="shared" si="202"/>
        <v>0</v>
      </c>
      <c r="AE1209" s="12">
        <f t="shared" si="203"/>
        <v>1</v>
      </c>
      <c r="AF1209">
        <f t="shared" si="199"/>
        <v>1</v>
      </c>
      <c r="AG1209">
        <f t="shared" si="204"/>
        <v>0</v>
      </c>
      <c r="AH1209">
        <f t="shared" si="205"/>
        <v>1</v>
      </c>
      <c r="AI1209">
        <f t="shared" si="206"/>
        <v>0</v>
      </c>
      <c r="AJ1209">
        <f t="shared" si="207"/>
        <v>0</v>
      </c>
      <c r="AK1209">
        <f t="shared" si="200"/>
        <v>0</v>
      </c>
      <c r="AL1209">
        <f t="shared" si="208"/>
        <v>0</v>
      </c>
    </row>
    <row r="1210" spans="1:38">
      <c r="A1210" t="s">
        <v>3757</v>
      </c>
      <c r="B1210" t="s">
        <v>3758</v>
      </c>
      <c r="C1210" s="1">
        <f t="shared" si="201"/>
        <v>45566</v>
      </c>
      <c r="D1210" t="s">
        <v>3759</v>
      </c>
      <c r="E1210">
        <v>327.39999999999998</v>
      </c>
      <c r="F1210">
        <v>13.6</v>
      </c>
      <c r="G1210" t="s">
        <v>77</v>
      </c>
      <c r="H1210" t="s">
        <v>78</v>
      </c>
      <c r="I1210" t="s">
        <v>79</v>
      </c>
      <c r="J1210">
        <v>360</v>
      </c>
      <c r="K1210" t="s">
        <v>49</v>
      </c>
      <c r="L1210" t="s">
        <v>70</v>
      </c>
      <c r="M1210" t="s">
        <v>35</v>
      </c>
      <c r="N1210" t="s">
        <v>299</v>
      </c>
      <c r="O1210" t="s">
        <v>51</v>
      </c>
      <c r="P1210" t="s">
        <v>38</v>
      </c>
      <c r="Q1210" t="s">
        <v>38</v>
      </c>
      <c r="R1210">
        <v>1</v>
      </c>
      <c r="S1210" t="s">
        <v>39</v>
      </c>
      <c r="T1210">
        <v>6</v>
      </c>
      <c r="U1210">
        <v>3.7</v>
      </c>
      <c r="V1210">
        <v>10</v>
      </c>
      <c r="W1210" t="s">
        <v>38</v>
      </c>
      <c r="X1210" t="s">
        <v>52</v>
      </c>
      <c r="Y1210" t="s">
        <v>39</v>
      </c>
      <c r="Z1210" t="s">
        <v>73</v>
      </c>
      <c r="AA1210" t="s">
        <v>103</v>
      </c>
      <c r="AB1210" t="s">
        <v>83</v>
      </c>
      <c r="AC1210">
        <f t="shared" si="198"/>
        <v>1</v>
      </c>
      <c r="AD1210" s="12">
        <f t="shared" si="202"/>
        <v>0</v>
      </c>
      <c r="AE1210" s="12">
        <f t="shared" si="203"/>
        <v>0</v>
      </c>
      <c r="AF1210">
        <f t="shared" si="199"/>
        <v>1</v>
      </c>
      <c r="AG1210">
        <f t="shared" si="204"/>
        <v>0</v>
      </c>
      <c r="AH1210">
        <f t="shared" si="205"/>
        <v>0</v>
      </c>
      <c r="AI1210">
        <f t="shared" si="206"/>
        <v>0</v>
      </c>
      <c r="AJ1210">
        <f t="shared" si="207"/>
        <v>0</v>
      </c>
      <c r="AK1210">
        <f t="shared" si="200"/>
        <v>0</v>
      </c>
      <c r="AL1210">
        <f t="shared" si="208"/>
        <v>0</v>
      </c>
    </row>
    <row r="1211" spans="1:38">
      <c r="A1211" t="s">
        <v>3760</v>
      </c>
      <c r="B1211" t="s">
        <v>3761</v>
      </c>
      <c r="C1211" s="1">
        <f t="shared" si="201"/>
        <v>45292</v>
      </c>
      <c r="D1211" t="s">
        <v>3762</v>
      </c>
      <c r="E1211">
        <v>220.1</v>
      </c>
      <c r="F1211">
        <v>9.1999999999999993</v>
      </c>
      <c r="G1211" t="s">
        <v>30</v>
      </c>
      <c r="H1211" t="s">
        <v>31</v>
      </c>
      <c r="I1211" t="s">
        <v>32</v>
      </c>
      <c r="J1211">
        <v>240</v>
      </c>
      <c r="K1211" t="s">
        <v>49</v>
      </c>
      <c r="L1211" t="s">
        <v>34</v>
      </c>
      <c r="M1211" t="s">
        <v>35</v>
      </c>
      <c r="N1211" t="s">
        <v>155</v>
      </c>
      <c r="O1211" t="s">
        <v>7232</v>
      </c>
      <c r="P1211" t="s">
        <v>38</v>
      </c>
      <c r="Q1211" t="s">
        <v>38</v>
      </c>
      <c r="R1211">
        <v>1</v>
      </c>
      <c r="S1211" t="s">
        <v>38</v>
      </c>
      <c r="T1211">
        <v>9</v>
      </c>
      <c r="U1211">
        <v>1.8</v>
      </c>
      <c r="V1211">
        <v>12.1</v>
      </c>
      <c r="W1211" t="s">
        <v>39</v>
      </c>
      <c r="X1211" t="s">
        <v>63</v>
      </c>
      <c r="Y1211" t="s">
        <v>39</v>
      </c>
      <c r="Z1211" t="s">
        <v>73</v>
      </c>
      <c r="AA1211" t="s">
        <v>82</v>
      </c>
      <c r="AB1211" t="s">
        <v>83</v>
      </c>
      <c r="AC1211">
        <f t="shared" si="198"/>
        <v>0</v>
      </c>
      <c r="AD1211" s="12">
        <f t="shared" si="202"/>
        <v>1</v>
      </c>
      <c r="AE1211" s="12">
        <f t="shared" si="203"/>
        <v>0</v>
      </c>
      <c r="AF1211">
        <f t="shared" si="199"/>
        <v>0</v>
      </c>
      <c r="AG1211">
        <f t="shared" si="204"/>
        <v>1</v>
      </c>
      <c r="AH1211">
        <f t="shared" si="205"/>
        <v>0</v>
      </c>
      <c r="AI1211">
        <f t="shared" si="206"/>
        <v>0</v>
      </c>
      <c r="AJ1211">
        <f t="shared" si="207"/>
        <v>1</v>
      </c>
      <c r="AK1211">
        <f t="shared" si="200"/>
        <v>1</v>
      </c>
      <c r="AL1211">
        <f t="shared" si="208"/>
        <v>0</v>
      </c>
    </row>
    <row r="1212" spans="1:38">
      <c r="A1212" t="s">
        <v>3763</v>
      </c>
      <c r="B1212" t="s">
        <v>3764</v>
      </c>
      <c r="C1212" s="1">
        <f t="shared" si="201"/>
        <v>45627</v>
      </c>
      <c r="D1212" t="s">
        <v>3765</v>
      </c>
      <c r="E1212">
        <v>104</v>
      </c>
      <c r="F1212">
        <v>4.3</v>
      </c>
      <c r="G1212" t="s">
        <v>68</v>
      </c>
      <c r="H1212" t="s">
        <v>219</v>
      </c>
      <c r="I1212" t="s">
        <v>48</v>
      </c>
      <c r="J1212">
        <v>120</v>
      </c>
      <c r="K1212" t="s">
        <v>49</v>
      </c>
      <c r="L1212" t="s">
        <v>70</v>
      </c>
      <c r="M1212" t="s">
        <v>71</v>
      </c>
      <c r="N1212" t="s">
        <v>414</v>
      </c>
      <c r="O1212" t="s">
        <v>51</v>
      </c>
      <c r="P1212" t="s">
        <v>38</v>
      </c>
      <c r="Q1212" t="s">
        <v>39</v>
      </c>
      <c r="R1212">
        <v>4</v>
      </c>
      <c r="S1212" t="s">
        <v>38</v>
      </c>
      <c r="T1212">
        <v>10</v>
      </c>
      <c r="U1212">
        <v>1</v>
      </c>
      <c r="V1212">
        <v>20</v>
      </c>
      <c r="W1212" t="s">
        <v>38</v>
      </c>
      <c r="X1212" t="s">
        <v>63</v>
      </c>
      <c r="Y1212" t="s">
        <v>39</v>
      </c>
      <c r="Z1212" t="s">
        <v>179</v>
      </c>
      <c r="AA1212" t="s">
        <v>82</v>
      </c>
      <c r="AB1212" t="s">
        <v>55</v>
      </c>
      <c r="AC1212">
        <f t="shared" si="198"/>
        <v>0</v>
      </c>
      <c r="AD1212" s="12">
        <f t="shared" si="202"/>
        <v>1</v>
      </c>
      <c r="AE1212" s="12">
        <f t="shared" si="203"/>
        <v>0</v>
      </c>
      <c r="AF1212">
        <f t="shared" si="199"/>
        <v>1</v>
      </c>
      <c r="AG1212">
        <f t="shared" si="204"/>
        <v>0</v>
      </c>
      <c r="AH1212">
        <f t="shared" si="205"/>
        <v>1</v>
      </c>
      <c r="AI1212">
        <f t="shared" si="206"/>
        <v>0</v>
      </c>
      <c r="AJ1212">
        <f t="shared" si="207"/>
        <v>0</v>
      </c>
      <c r="AK1212">
        <f t="shared" si="200"/>
        <v>0</v>
      </c>
      <c r="AL1212">
        <f t="shared" si="208"/>
        <v>0</v>
      </c>
    </row>
    <row r="1213" spans="1:38">
      <c r="A1213" t="s">
        <v>3766</v>
      </c>
      <c r="B1213" t="s">
        <v>3767</v>
      </c>
      <c r="C1213" s="1">
        <f t="shared" si="201"/>
        <v>45383</v>
      </c>
      <c r="D1213" t="s">
        <v>3768</v>
      </c>
      <c r="E1213">
        <v>334.2</v>
      </c>
      <c r="F1213">
        <v>13.9</v>
      </c>
      <c r="G1213" t="s">
        <v>93</v>
      </c>
      <c r="H1213" t="s">
        <v>163</v>
      </c>
      <c r="I1213" t="s">
        <v>79</v>
      </c>
      <c r="J1213">
        <v>360</v>
      </c>
      <c r="K1213" t="s">
        <v>49</v>
      </c>
      <c r="L1213" t="s">
        <v>34</v>
      </c>
      <c r="M1213" t="s">
        <v>35</v>
      </c>
      <c r="N1213" t="s">
        <v>97</v>
      </c>
      <c r="O1213" t="s">
        <v>51</v>
      </c>
      <c r="P1213" t="s">
        <v>39</v>
      </c>
      <c r="Q1213" t="s">
        <v>38</v>
      </c>
      <c r="R1213">
        <v>0</v>
      </c>
      <c r="S1213" t="s">
        <v>38</v>
      </c>
      <c r="T1213">
        <v>10</v>
      </c>
      <c r="U1213">
        <v>4.3</v>
      </c>
      <c r="V1213">
        <v>18.399999999999999</v>
      </c>
      <c r="W1213" t="s">
        <v>39</v>
      </c>
      <c r="X1213" t="s">
        <v>123</v>
      </c>
      <c r="Y1213" t="s">
        <v>39</v>
      </c>
      <c r="Z1213" t="s">
        <v>179</v>
      </c>
      <c r="AA1213" t="s">
        <v>82</v>
      </c>
      <c r="AB1213" t="s">
        <v>55</v>
      </c>
      <c r="AC1213">
        <f t="shared" si="198"/>
        <v>0</v>
      </c>
      <c r="AD1213" s="12">
        <f t="shared" si="202"/>
        <v>0</v>
      </c>
      <c r="AE1213" s="12">
        <f t="shared" si="203"/>
        <v>1</v>
      </c>
      <c r="AF1213">
        <f t="shared" si="199"/>
        <v>1</v>
      </c>
      <c r="AG1213">
        <f t="shared" si="204"/>
        <v>0</v>
      </c>
      <c r="AH1213">
        <f t="shared" si="205"/>
        <v>0</v>
      </c>
      <c r="AI1213">
        <f t="shared" si="206"/>
        <v>0</v>
      </c>
      <c r="AJ1213">
        <f t="shared" si="207"/>
        <v>0</v>
      </c>
      <c r="AK1213">
        <f t="shared" si="200"/>
        <v>0</v>
      </c>
      <c r="AL1213">
        <f t="shared" si="208"/>
        <v>0</v>
      </c>
    </row>
    <row r="1214" spans="1:38">
      <c r="A1214" t="s">
        <v>3769</v>
      </c>
      <c r="B1214" t="s">
        <v>3770</v>
      </c>
      <c r="C1214" s="1">
        <f t="shared" si="201"/>
        <v>45323</v>
      </c>
      <c r="D1214" t="s">
        <v>3771</v>
      </c>
      <c r="E1214">
        <v>205.2</v>
      </c>
      <c r="F1214">
        <v>8.5</v>
      </c>
      <c r="G1214" t="s">
        <v>30</v>
      </c>
      <c r="H1214" t="s">
        <v>47</v>
      </c>
      <c r="I1214" t="s">
        <v>32</v>
      </c>
      <c r="J1214">
        <v>240</v>
      </c>
      <c r="K1214" t="s">
        <v>49</v>
      </c>
      <c r="L1214" t="s">
        <v>34</v>
      </c>
      <c r="M1214" t="s">
        <v>35</v>
      </c>
      <c r="N1214" t="s">
        <v>97</v>
      </c>
      <c r="O1214" t="s">
        <v>7232</v>
      </c>
      <c r="P1214" t="s">
        <v>38</v>
      </c>
      <c r="Q1214" t="s">
        <v>38</v>
      </c>
      <c r="R1214">
        <v>1</v>
      </c>
      <c r="S1214" t="s">
        <v>38</v>
      </c>
      <c r="T1214">
        <v>9</v>
      </c>
      <c r="U1214">
        <v>3.7</v>
      </c>
      <c r="V1214">
        <v>26.9</v>
      </c>
      <c r="W1214" t="s">
        <v>39</v>
      </c>
      <c r="X1214" t="s">
        <v>63</v>
      </c>
      <c r="Y1214" t="s">
        <v>38</v>
      </c>
      <c r="Z1214" t="s">
        <v>179</v>
      </c>
      <c r="AA1214" t="s">
        <v>54</v>
      </c>
      <c r="AB1214" t="s">
        <v>55</v>
      </c>
      <c r="AC1214">
        <f t="shared" si="198"/>
        <v>0</v>
      </c>
      <c r="AD1214" s="12">
        <f t="shared" si="202"/>
        <v>1</v>
      </c>
      <c r="AE1214" s="12">
        <f t="shared" si="203"/>
        <v>0</v>
      </c>
      <c r="AF1214">
        <f t="shared" si="199"/>
        <v>0</v>
      </c>
      <c r="AG1214">
        <f t="shared" si="204"/>
        <v>1</v>
      </c>
      <c r="AH1214">
        <f t="shared" si="205"/>
        <v>0</v>
      </c>
      <c r="AI1214">
        <f t="shared" si="206"/>
        <v>0</v>
      </c>
      <c r="AJ1214">
        <f t="shared" si="207"/>
        <v>1</v>
      </c>
      <c r="AK1214">
        <f t="shared" si="200"/>
        <v>1</v>
      </c>
      <c r="AL1214">
        <f t="shared" si="208"/>
        <v>1</v>
      </c>
    </row>
    <row r="1215" spans="1:38">
      <c r="A1215" t="s">
        <v>3772</v>
      </c>
      <c r="B1215" t="s">
        <v>3773</v>
      </c>
      <c r="C1215" s="1">
        <f t="shared" si="201"/>
        <v>45536</v>
      </c>
      <c r="D1215" t="s">
        <v>3774</v>
      </c>
      <c r="E1215">
        <v>93.1</v>
      </c>
      <c r="F1215">
        <v>3.9</v>
      </c>
      <c r="G1215" t="s">
        <v>68</v>
      </c>
      <c r="H1215" t="s">
        <v>69</v>
      </c>
      <c r="I1215" t="s">
        <v>48</v>
      </c>
      <c r="J1215">
        <v>120</v>
      </c>
      <c r="K1215" t="s">
        <v>49</v>
      </c>
      <c r="L1215" t="s">
        <v>113</v>
      </c>
      <c r="M1215" t="s">
        <v>35</v>
      </c>
      <c r="N1215" t="s">
        <v>506</v>
      </c>
      <c r="O1215" t="s">
        <v>37</v>
      </c>
      <c r="P1215" t="s">
        <v>39</v>
      </c>
      <c r="Q1215" t="s">
        <v>38</v>
      </c>
      <c r="R1215">
        <v>0</v>
      </c>
      <c r="S1215" t="s">
        <v>38</v>
      </c>
      <c r="T1215">
        <v>8</v>
      </c>
      <c r="U1215">
        <v>1</v>
      </c>
      <c r="V1215">
        <v>15.4</v>
      </c>
      <c r="W1215" t="s">
        <v>39</v>
      </c>
      <c r="X1215" t="s">
        <v>52</v>
      </c>
      <c r="Y1215" t="s">
        <v>39</v>
      </c>
      <c r="Z1215" t="s">
        <v>115</v>
      </c>
      <c r="AA1215" t="s">
        <v>54</v>
      </c>
      <c r="AB1215" t="s">
        <v>43</v>
      </c>
      <c r="AC1215">
        <f t="shared" si="198"/>
        <v>1</v>
      </c>
      <c r="AD1215" s="12">
        <f t="shared" si="202"/>
        <v>0</v>
      </c>
      <c r="AE1215" s="12">
        <f t="shared" si="203"/>
        <v>0</v>
      </c>
      <c r="AF1215">
        <f t="shared" si="199"/>
        <v>0</v>
      </c>
      <c r="AG1215">
        <f t="shared" si="204"/>
        <v>0</v>
      </c>
      <c r="AH1215">
        <f t="shared" si="205"/>
        <v>1</v>
      </c>
      <c r="AI1215">
        <f t="shared" si="206"/>
        <v>0</v>
      </c>
      <c r="AJ1215">
        <f t="shared" si="207"/>
        <v>0</v>
      </c>
      <c r="AK1215">
        <f t="shared" si="200"/>
        <v>0</v>
      </c>
      <c r="AL1215">
        <f t="shared" si="208"/>
        <v>0</v>
      </c>
    </row>
    <row r="1216" spans="1:38">
      <c r="A1216" t="s">
        <v>3775</v>
      </c>
      <c r="B1216" t="s">
        <v>3776</v>
      </c>
      <c r="C1216" s="1">
        <f t="shared" si="201"/>
        <v>45444</v>
      </c>
      <c r="D1216" t="s">
        <v>3777</v>
      </c>
      <c r="E1216">
        <v>178.1</v>
      </c>
      <c r="F1216">
        <v>7.4</v>
      </c>
      <c r="G1216" t="s">
        <v>68</v>
      </c>
      <c r="H1216" t="s">
        <v>456</v>
      </c>
      <c r="I1216" t="s">
        <v>32</v>
      </c>
      <c r="J1216">
        <v>240</v>
      </c>
      <c r="K1216" t="s">
        <v>49</v>
      </c>
      <c r="L1216" t="s">
        <v>113</v>
      </c>
      <c r="M1216" t="s">
        <v>35</v>
      </c>
      <c r="N1216" t="s">
        <v>134</v>
      </c>
      <c r="O1216" t="s">
        <v>37</v>
      </c>
      <c r="P1216" t="s">
        <v>38</v>
      </c>
      <c r="Q1216" t="s">
        <v>38</v>
      </c>
      <c r="R1216">
        <v>1</v>
      </c>
      <c r="S1216" t="s">
        <v>38</v>
      </c>
      <c r="T1216">
        <v>8</v>
      </c>
      <c r="U1216">
        <v>0.1</v>
      </c>
      <c r="V1216">
        <v>33.799999999999997</v>
      </c>
      <c r="W1216" t="s">
        <v>39</v>
      </c>
      <c r="X1216" t="s">
        <v>123</v>
      </c>
      <c r="Y1216" t="s">
        <v>39</v>
      </c>
      <c r="Z1216" t="s">
        <v>73</v>
      </c>
      <c r="AA1216" t="s">
        <v>42</v>
      </c>
      <c r="AB1216" t="s">
        <v>83</v>
      </c>
      <c r="AC1216">
        <f t="shared" si="198"/>
        <v>0</v>
      </c>
      <c r="AD1216" s="12">
        <f t="shared" si="202"/>
        <v>0</v>
      </c>
      <c r="AE1216" s="12">
        <f t="shared" si="203"/>
        <v>1</v>
      </c>
      <c r="AF1216">
        <f t="shared" si="199"/>
        <v>0</v>
      </c>
      <c r="AG1216">
        <f t="shared" si="204"/>
        <v>0</v>
      </c>
      <c r="AH1216">
        <f t="shared" si="205"/>
        <v>0</v>
      </c>
      <c r="AI1216">
        <f t="shared" si="206"/>
        <v>0</v>
      </c>
      <c r="AJ1216">
        <f t="shared" si="207"/>
        <v>1</v>
      </c>
      <c r="AK1216">
        <f t="shared" si="200"/>
        <v>0</v>
      </c>
      <c r="AL1216">
        <f t="shared" si="208"/>
        <v>0</v>
      </c>
    </row>
    <row r="1217" spans="1:38">
      <c r="A1217" t="s">
        <v>3778</v>
      </c>
      <c r="B1217" t="s">
        <v>3779</v>
      </c>
      <c r="C1217" s="1">
        <f t="shared" si="201"/>
        <v>45536</v>
      </c>
      <c r="D1217" t="s">
        <v>3780</v>
      </c>
      <c r="E1217">
        <v>597.9</v>
      </c>
      <c r="F1217">
        <v>24.9</v>
      </c>
      <c r="G1217" t="s">
        <v>59</v>
      </c>
      <c r="H1217" t="s">
        <v>227</v>
      </c>
      <c r="I1217" t="s">
        <v>32</v>
      </c>
      <c r="J1217">
        <v>240</v>
      </c>
      <c r="K1217" t="s">
        <v>33</v>
      </c>
      <c r="L1217" t="s">
        <v>70</v>
      </c>
      <c r="M1217" t="s">
        <v>35</v>
      </c>
      <c r="N1217" t="s">
        <v>97</v>
      </c>
      <c r="O1217" t="s">
        <v>7232</v>
      </c>
      <c r="P1217" t="s">
        <v>38</v>
      </c>
      <c r="Q1217" t="s">
        <v>38</v>
      </c>
      <c r="R1217">
        <v>1</v>
      </c>
      <c r="S1217" t="s">
        <v>38</v>
      </c>
      <c r="T1217">
        <v>5</v>
      </c>
      <c r="U1217">
        <v>2.5</v>
      </c>
      <c r="V1217">
        <v>20.5</v>
      </c>
      <c r="W1217" t="s">
        <v>39</v>
      </c>
      <c r="X1217" t="s">
        <v>63</v>
      </c>
      <c r="Y1217" t="s">
        <v>39</v>
      </c>
      <c r="Z1217" t="s">
        <v>81</v>
      </c>
      <c r="AA1217" t="s">
        <v>82</v>
      </c>
      <c r="AB1217" t="s">
        <v>83</v>
      </c>
      <c r="AC1217">
        <f t="shared" si="198"/>
        <v>0</v>
      </c>
      <c r="AD1217" s="12">
        <f t="shared" si="202"/>
        <v>1</v>
      </c>
      <c r="AE1217" s="12">
        <f t="shared" si="203"/>
        <v>0</v>
      </c>
      <c r="AF1217">
        <f t="shared" si="199"/>
        <v>0</v>
      </c>
      <c r="AG1217">
        <f t="shared" si="204"/>
        <v>1</v>
      </c>
      <c r="AH1217">
        <f t="shared" si="205"/>
        <v>0</v>
      </c>
      <c r="AI1217">
        <f t="shared" si="206"/>
        <v>0</v>
      </c>
      <c r="AJ1217">
        <f t="shared" si="207"/>
        <v>1</v>
      </c>
      <c r="AK1217">
        <f t="shared" si="200"/>
        <v>0</v>
      </c>
      <c r="AL1217">
        <f t="shared" si="208"/>
        <v>0</v>
      </c>
    </row>
    <row r="1218" spans="1:38">
      <c r="A1218" t="s">
        <v>3781</v>
      </c>
      <c r="B1218" t="s">
        <v>3782</v>
      </c>
      <c r="C1218" s="1">
        <f t="shared" si="201"/>
        <v>45292</v>
      </c>
      <c r="D1218" t="s">
        <v>3783</v>
      </c>
      <c r="E1218">
        <v>414.5</v>
      </c>
      <c r="F1218">
        <v>17.3</v>
      </c>
      <c r="G1218" t="s">
        <v>77</v>
      </c>
      <c r="H1218" t="s">
        <v>244</v>
      </c>
      <c r="I1218" t="s">
        <v>79</v>
      </c>
      <c r="J1218">
        <v>360</v>
      </c>
      <c r="K1218" t="s">
        <v>33</v>
      </c>
      <c r="L1218" t="s">
        <v>113</v>
      </c>
      <c r="M1218" t="s">
        <v>35</v>
      </c>
      <c r="N1218" t="s">
        <v>144</v>
      </c>
      <c r="O1218" t="s">
        <v>7232</v>
      </c>
      <c r="P1218" t="s">
        <v>39</v>
      </c>
      <c r="Q1218" t="s">
        <v>38</v>
      </c>
      <c r="R1218">
        <v>0</v>
      </c>
      <c r="S1218" t="s">
        <v>39</v>
      </c>
      <c r="T1218">
        <v>5</v>
      </c>
      <c r="U1218">
        <v>0.1</v>
      </c>
      <c r="V1218">
        <v>5.9</v>
      </c>
      <c r="W1218" t="s">
        <v>39</v>
      </c>
      <c r="X1218" t="s">
        <v>40</v>
      </c>
      <c r="Y1218" t="s">
        <v>39</v>
      </c>
      <c r="Z1218" t="s">
        <v>108</v>
      </c>
      <c r="AA1218" t="s">
        <v>109</v>
      </c>
      <c r="AB1218" t="s">
        <v>55</v>
      </c>
      <c r="AC1218">
        <f t="shared" ref="AC1218:AC1281" si="209">IF(X1218="Poor", 1, 0)</f>
        <v>0</v>
      </c>
      <c r="AD1218" s="12">
        <f t="shared" si="202"/>
        <v>0</v>
      </c>
      <c r="AE1218" s="12">
        <f t="shared" si="203"/>
        <v>0</v>
      </c>
      <c r="AF1218">
        <f t="shared" ref="AF1218:AF1281" si="210">IF(O1218="Junior", 1, 0)</f>
        <v>0</v>
      </c>
      <c r="AG1218">
        <f t="shared" si="204"/>
        <v>1</v>
      </c>
      <c r="AH1218">
        <f t="shared" si="205"/>
        <v>0</v>
      </c>
      <c r="AI1218">
        <f t="shared" si="206"/>
        <v>0</v>
      </c>
      <c r="AJ1218">
        <f t="shared" si="207"/>
        <v>0</v>
      </c>
      <c r="AK1218">
        <f t="shared" ref="AK1218:AK1281" si="211">IF(G1218="Access Requests", 1, 0)</f>
        <v>0</v>
      </c>
      <c r="AL1218">
        <f t="shared" si="208"/>
        <v>0</v>
      </c>
    </row>
    <row r="1219" spans="1:38">
      <c r="A1219" t="s">
        <v>3784</v>
      </c>
      <c r="B1219" t="s">
        <v>3785</v>
      </c>
      <c r="C1219" s="1">
        <f t="shared" ref="C1219:C1282" si="212">DATE(YEAR(B1219),MONTH(B1219),1)</f>
        <v>45292</v>
      </c>
      <c r="D1219" t="s">
        <v>3786</v>
      </c>
      <c r="E1219">
        <v>147.1</v>
      </c>
      <c r="F1219">
        <v>6.1</v>
      </c>
      <c r="G1219" t="s">
        <v>30</v>
      </c>
      <c r="H1219" t="s">
        <v>172</v>
      </c>
      <c r="I1219" t="s">
        <v>32</v>
      </c>
      <c r="J1219">
        <v>240</v>
      </c>
      <c r="K1219" t="s">
        <v>49</v>
      </c>
      <c r="L1219" t="s">
        <v>96</v>
      </c>
      <c r="M1219" t="s">
        <v>71</v>
      </c>
      <c r="N1219" t="s">
        <v>128</v>
      </c>
      <c r="O1219" t="s">
        <v>7232</v>
      </c>
      <c r="P1219" t="s">
        <v>38</v>
      </c>
      <c r="Q1219" t="s">
        <v>39</v>
      </c>
      <c r="R1219">
        <v>2</v>
      </c>
      <c r="S1219" t="s">
        <v>38</v>
      </c>
      <c r="T1219">
        <v>5</v>
      </c>
      <c r="U1219">
        <v>1.4</v>
      </c>
      <c r="V1219">
        <v>36.200000000000003</v>
      </c>
      <c r="W1219" t="s">
        <v>39</v>
      </c>
      <c r="X1219" t="s">
        <v>123</v>
      </c>
      <c r="Y1219" t="s">
        <v>38</v>
      </c>
      <c r="Z1219" t="s">
        <v>115</v>
      </c>
      <c r="AA1219" t="s">
        <v>42</v>
      </c>
      <c r="AB1219" t="s">
        <v>55</v>
      </c>
      <c r="AC1219">
        <f t="shared" si="209"/>
        <v>0</v>
      </c>
      <c r="AD1219" s="12">
        <f t="shared" ref="AD1219:AD1282" si="213">IF(X1219="Fair", 1, 0)</f>
        <v>0</v>
      </c>
      <c r="AE1219" s="12">
        <f t="shared" ref="AE1219:AE1282" si="214">IF(X1219="Good", 1, 0)</f>
        <v>1</v>
      </c>
      <c r="AF1219">
        <f t="shared" si="210"/>
        <v>0</v>
      </c>
      <c r="AG1219">
        <f t="shared" ref="AG1219:AG1282" si="215">IF(O1219="Mid", 1, 0)</f>
        <v>1</v>
      </c>
      <c r="AH1219">
        <f t="shared" ref="AH1219:AH1282" si="216">IF(I1219="High", 1, 0)</f>
        <v>0</v>
      </c>
      <c r="AI1219">
        <f t="shared" ref="AI1219:AI1282" si="217">IF(I1219="Critical", 1, 0)</f>
        <v>0</v>
      </c>
      <c r="AJ1219">
        <f t="shared" ref="AJ1219:AJ1282" si="218">IF(I1219="Medium", 1, 0)</f>
        <v>1</v>
      </c>
      <c r="AK1219">
        <f t="shared" si="211"/>
        <v>1</v>
      </c>
      <c r="AL1219">
        <f t="shared" ref="AL1219:AL1282" si="219">IF(Y1219="No", 1, 0)</f>
        <v>1</v>
      </c>
    </row>
    <row r="1220" spans="1:38">
      <c r="A1220" t="s">
        <v>3787</v>
      </c>
      <c r="B1220" t="s">
        <v>3788</v>
      </c>
      <c r="C1220" s="1">
        <f t="shared" si="212"/>
        <v>45597</v>
      </c>
      <c r="D1220" t="s">
        <v>3789</v>
      </c>
      <c r="E1220">
        <v>491.9</v>
      </c>
      <c r="F1220">
        <v>20.5</v>
      </c>
      <c r="G1220" t="s">
        <v>59</v>
      </c>
      <c r="H1220" t="s">
        <v>132</v>
      </c>
      <c r="I1220" t="s">
        <v>32</v>
      </c>
      <c r="J1220">
        <v>240</v>
      </c>
      <c r="K1220" t="s">
        <v>33</v>
      </c>
      <c r="L1220" t="s">
        <v>113</v>
      </c>
      <c r="M1220" t="s">
        <v>71</v>
      </c>
      <c r="N1220" t="s">
        <v>192</v>
      </c>
      <c r="O1220" t="s">
        <v>51</v>
      </c>
      <c r="P1220" t="s">
        <v>38</v>
      </c>
      <c r="Q1220" t="s">
        <v>39</v>
      </c>
      <c r="R1220">
        <v>1</v>
      </c>
      <c r="S1220" t="s">
        <v>38</v>
      </c>
      <c r="T1220">
        <v>7</v>
      </c>
      <c r="U1220">
        <v>0.1</v>
      </c>
      <c r="V1220">
        <v>28</v>
      </c>
      <c r="W1220" t="s">
        <v>38</v>
      </c>
      <c r="X1220" t="s">
        <v>63</v>
      </c>
      <c r="Y1220" t="s">
        <v>38</v>
      </c>
      <c r="Z1220" t="s">
        <v>179</v>
      </c>
      <c r="AA1220" t="s">
        <v>54</v>
      </c>
      <c r="AB1220" t="s">
        <v>83</v>
      </c>
      <c r="AC1220">
        <f t="shared" si="209"/>
        <v>0</v>
      </c>
      <c r="AD1220" s="12">
        <f t="shared" si="213"/>
        <v>1</v>
      </c>
      <c r="AE1220" s="12">
        <f t="shared" si="214"/>
        <v>0</v>
      </c>
      <c r="AF1220">
        <f t="shared" si="210"/>
        <v>1</v>
      </c>
      <c r="AG1220">
        <f t="shared" si="215"/>
        <v>0</v>
      </c>
      <c r="AH1220">
        <f t="shared" si="216"/>
        <v>0</v>
      </c>
      <c r="AI1220">
        <f t="shared" si="217"/>
        <v>0</v>
      </c>
      <c r="AJ1220">
        <f t="shared" si="218"/>
        <v>1</v>
      </c>
      <c r="AK1220">
        <f t="shared" si="211"/>
        <v>0</v>
      </c>
      <c r="AL1220">
        <f t="shared" si="219"/>
        <v>1</v>
      </c>
    </row>
    <row r="1221" spans="1:38">
      <c r="A1221" t="s">
        <v>3790</v>
      </c>
      <c r="B1221" t="s">
        <v>3791</v>
      </c>
      <c r="C1221" s="1">
        <f t="shared" si="212"/>
        <v>45566</v>
      </c>
      <c r="D1221" t="s">
        <v>3792</v>
      </c>
      <c r="E1221">
        <v>106.3</v>
      </c>
      <c r="F1221">
        <v>4.4000000000000004</v>
      </c>
      <c r="G1221" t="s">
        <v>87</v>
      </c>
      <c r="H1221" t="s">
        <v>88</v>
      </c>
      <c r="I1221" t="s">
        <v>48</v>
      </c>
      <c r="J1221">
        <v>120</v>
      </c>
      <c r="K1221" t="s">
        <v>49</v>
      </c>
      <c r="L1221" t="s">
        <v>34</v>
      </c>
      <c r="M1221" t="s">
        <v>35</v>
      </c>
      <c r="N1221" t="s">
        <v>114</v>
      </c>
      <c r="O1221" t="s">
        <v>37</v>
      </c>
      <c r="P1221" t="s">
        <v>38</v>
      </c>
      <c r="Q1221" t="s">
        <v>38</v>
      </c>
      <c r="R1221">
        <v>1</v>
      </c>
      <c r="S1221" t="s">
        <v>38</v>
      </c>
      <c r="T1221">
        <v>7</v>
      </c>
      <c r="U1221">
        <v>5.4</v>
      </c>
      <c r="V1221">
        <v>8.3000000000000007</v>
      </c>
      <c r="W1221" t="s">
        <v>38</v>
      </c>
      <c r="X1221" t="s">
        <v>52</v>
      </c>
      <c r="Y1221" t="s">
        <v>38</v>
      </c>
      <c r="Z1221" t="s">
        <v>179</v>
      </c>
      <c r="AA1221" t="s">
        <v>42</v>
      </c>
      <c r="AB1221" t="s">
        <v>83</v>
      </c>
      <c r="AC1221">
        <f t="shared" si="209"/>
        <v>1</v>
      </c>
      <c r="AD1221" s="12">
        <f t="shared" si="213"/>
        <v>0</v>
      </c>
      <c r="AE1221" s="12">
        <f t="shared" si="214"/>
        <v>0</v>
      </c>
      <c r="AF1221">
        <f t="shared" si="210"/>
        <v>0</v>
      </c>
      <c r="AG1221">
        <f t="shared" si="215"/>
        <v>0</v>
      </c>
      <c r="AH1221">
        <f t="shared" si="216"/>
        <v>1</v>
      </c>
      <c r="AI1221">
        <f t="shared" si="217"/>
        <v>0</v>
      </c>
      <c r="AJ1221">
        <f t="shared" si="218"/>
        <v>0</v>
      </c>
      <c r="AK1221">
        <f t="shared" si="211"/>
        <v>0</v>
      </c>
      <c r="AL1221">
        <f t="shared" si="219"/>
        <v>1</v>
      </c>
    </row>
    <row r="1222" spans="1:38">
      <c r="A1222" t="s">
        <v>3793</v>
      </c>
      <c r="B1222" t="s">
        <v>3794</v>
      </c>
      <c r="C1222" s="1">
        <f t="shared" si="212"/>
        <v>45413</v>
      </c>
      <c r="D1222" t="s">
        <v>3795</v>
      </c>
      <c r="E1222">
        <v>257.3</v>
      </c>
      <c r="F1222">
        <v>10.7</v>
      </c>
      <c r="G1222" t="s">
        <v>87</v>
      </c>
      <c r="H1222" t="s">
        <v>309</v>
      </c>
      <c r="I1222" t="s">
        <v>48</v>
      </c>
      <c r="J1222">
        <v>120</v>
      </c>
      <c r="K1222" t="s">
        <v>33</v>
      </c>
      <c r="L1222" t="s">
        <v>96</v>
      </c>
      <c r="M1222" t="s">
        <v>35</v>
      </c>
      <c r="N1222" t="s">
        <v>168</v>
      </c>
      <c r="O1222" t="s">
        <v>37</v>
      </c>
      <c r="P1222" t="s">
        <v>39</v>
      </c>
      <c r="Q1222" t="s">
        <v>38</v>
      </c>
      <c r="R1222">
        <v>0</v>
      </c>
      <c r="S1222" t="s">
        <v>38</v>
      </c>
      <c r="T1222">
        <v>6</v>
      </c>
      <c r="U1222">
        <v>2.2999999999999998</v>
      </c>
      <c r="V1222">
        <v>32.299999999999997</v>
      </c>
      <c r="W1222" t="s">
        <v>38</v>
      </c>
      <c r="X1222" t="s">
        <v>63</v>
      </c>
      <c r="Y1222" t="s">
        <v>39</v>
      </c>
      <c r="Z1222" t="s">
        <v>115</v>
      </c>
      <c r="AA1222" t="s">
        <v>82</v>
      </c>
      <c r="AB1222" t="s">
        <v>43</v>
      </c>
      <c r="AC1222">
        <f t="shared" si="209"/>
        <v>0</v>
      </c>
      <c r="AD1222" s="12">
        <f t="shared" si="213"/>
        <v>1</v>
      </c>
      <c r="AE1222" s="12">
        <f t="shared" si="214"/>
        <v>0</v>
      </c>
      <c r="AF1222">
        <f t="shared" si="210"/>
        <v>0</v>
      </c>
      <c r="AG1222">
        <f t="shared" si="215"/>
        <v>0</v>
      </c>
      <c r="AH1222">
        <f t="shared" si="216"/>
        <v>1</v>
      </c>
      <c r="AI1222">
        <f t="shared" si="217"/>
        <v>0</v>
      </c>
      <c r="AJ1222">
        <f t="shared" si="218"/>
        <v>0</v>
      </c>
      <c r="AK1222">
        <f t="shared" si="211"/>
        <v>0</v>
      </c>
      <c r="AL1222">
        <f t="shared" si="219"/>
        <v>0</v>
      </c>
    </row>
    <row r="1223" spans="1:38">
      <c r="A1223" t="s">
        <v>3796</v>
      </c>
      <c r="B1223" t="s">
        <v>3797</v>
      </c>
      <c r="C1223" s="1">
        <f t="shared" si="212"/>
        <v>45413</v>
      </c>
      <c r="D1223" t="s">
        <v>3798</v>
      </c>
      <c r="E1223">
        <v>84.9</v>
      </c>
      <c r="F1223">
        <v>3.5</v>
      </c>
      <c r="G1223" t="s">
        <v>59</v>
      </c>
      <c r="H1223" t="s">
        <v>466</v>
      </c>
      <c r="I1223" t="s">
        <v>48</v>
      </c>
      <c r="J1223">
        <v>120</v>
      </c>
      <c r="K1223" t="s">
        <v>49</v>
      </c>
      <c r="L1223" t="s">
        <v>70</v>
      </c>
      <c r="M1223" t="s">
        <v>71</v>
      </c>
      <c r="N1223" t="s">
        <v>277</v>
      </c>
      <c r="O1223" t="s">
        <v>51</v>
      </c>
      <c r="P1223" t="s">
        <v>38</v>
      </c>
      <c r="Q1223" t="s">
        <v>39</v>
      </c>
      <c r="R1223">
        <v>3</v>
      </c>
      <c r="S1223" t="s">
        <v>38</v>
      </c>
      <c r="T1223">
        <v>8</v>
      </c>
      <c r="U1223">
        <v>2.6</v>
      </c>
      <c r="V1223">
        <v>39.6</v>
      </c>
      <c r="W1223" t="s">
        <v>38</v>
      </c>
      <c r="X1223" t="s">
        <v>123</v>
      </c>
      <c r="Y1223" t="s">
        <v>39</v>
      </c>
      <c r="Z1223" t="s">
        <v>81</v>
      </c>
      <c r="AA1223" t="s">
        <v>103</v>
      </c>
      <c r="AB1223" t="s">
        <v>43</v>
      </c>
      <c r="AC1223">
        <f t="shared" si="209"/>
        <v>0</v>
      </c>
      <c r="AD1223" s="12">
        <f t="shared" si="213"/>
        <v>0</v>
      </c>
      <c r="AE1223" s="12">
        <f t="shared" si="214"/>
        <v>1</v>
      </c>
      <c r="AF1223">
        <f t="shared" si="210"/>
        <v>1</v>
      </c>
      <c r="AG1223">
        <f t="shared" si="215"/>
        <v>0</v>
      </c>
      <c r="AH1223">
        <f t="shared" si="216"/>
        <v>1</v>
      </c>
      <c r="AI1223">
        <f t="shared" si="217"/>
        <v>0</v>
      </c>
      <c r="AJ1223">
        <f t="shared" si="218"/>
        <v>0</v>
      </c>
      <c r="AK1223">
        <f t="shared" si="211"/>
        <v>0</v>
      </c>
      <c r="AL1223">
        <f t="shared" si="219"/>
        <v>0</v>
      </c>
    </row>
    <row r="1224" spans="1:38">
      <c r="A1224" t="s">
        <v>3799</v>
      </c>
      <c r="B1224" t="s">
        <v>3800</v>
      </c>
      <c r="C1224" s="1">
        <f t="shared" si="212"/>
        <v>45323</v>
      </c>
      <c r="D1224" t="s">
        <v>3801</v>
      </c>
      <c r="E1224">
        <v>130.69999999999999</v>
      </c>
      <c r="F1224">
        <v>5.4</v>
      </c>
      <c r="G1224" t="s">
        <v>68</v>
      </c>
      <c r="H1224" t="s">
        <v>69</v>
      </c>
      <c r="I1224" t="s">
        <v>95</v>
      </c>
      <c r="J1224">
        <v>48</v>
      </c>
      <c r="K1224" t="s">
        <v>33</v>
      </c>
      <c r="L1224" t="s">
        <v>70</v>
      </c>
      <c r="M1224" t="s">
        <v>35</v>
      </c>
      <c r="N1224" t="s">
        <v>202</v>
      </c>
      <c r="O1224" t="s">
        <v>51</v>
      </c>
      <c r="P1224" t="s">
        <v>38</v>
      </c>
      <c r="Q1224" t="s">
        <v>38</v>
      </c>
      <c r="R1224">
        <v>1</v>
      </c>
      <c r="S1224" t="s">
        <v>38</v>
      </c>
      <c r="T1224">
        <v>4</v>
      </c>
      <c r="U1224">
        <v>2.2999999999999998</v>
      </c>
      <c r="V1224">
        <v>36.1</v>
      </c>
      <c r="W1224" t="s">
        <v>39</v>
      </c>
      <c r="X1224" t="s">
        <v>52</v>
      </c>
      <c r="Y1224" t="s">
        <v>39</v>
      </c>
      <c r="Z1224" t="s">
        <v>53</v>
      </c>
      <c r="AA1224" t="s">
        <v>109</v>
      </c>
      <c r="AB1224" t="s">
        <v>55</v>
      </c>
      <c r="AC1224">
        <f t="shared" si="209"/>
        <v>1</v>
      </c>
      <c r="AD1224" s="12">
        <f t="shared" si="213"/>
        <v>0</v>
      </c>
      <c r="AE1224" s="12">
        <f t="shared" si="214"/>
        <v>0</v>
      </c>
      <c r="AF1224">
        <f t="shared" si="210"/>
        <v>1</v>
      </c>
      <c r="AG1224">
        <f t="shared" si="215"/>
        <v>0</v>
      </c>
      <c r="AH1224">
        <f t="shared" si="216"/>
        <v>0</v>
      </c>
      <c r="AI1224">
        <f t="shared" si="217"/>
        <v>1</v>
      </c>
      <c r="AJ1224">
        <f t="shared" si="218"/>
        <v>0</v>
      </c>
      <c r="AK1224">
        <f t="shared" si="211"/>
        <v>0</v>
      </c>
      <c r="AL1224">
        <f t="shared" si="219"/>
        <v>0</v>
      </c>
    </row>
    <row r="1225" spans="1:38">
      <c r="A1225" t="s">
        <v>3802</v>
      </c>
      <c r="B1225" t="s">
        <v>3803</v>
      </c>
      <c r="C1225" s="1">
        <f t="shared" si="212"/>
        <v>45474</v>
      </c>
      <c r="D1225" t="s">
        <v>3804</v>
      </c>
      <c r="E1225">
        <v>181.5</v>
      </c>
      <c r="F1225">
        <v>7.6</v>
      </c>
      <c r="G1225" t="s">
        <v>142</v>
      </c>
      <c r="H1225" t="s">
        <v>729</v>
      </c>
      <c r="I1225" t="s">
        <v>32</v>
      </c>
      <c r="J1225">
        <v>240</v>
      </c>
      <c r="K1225" t="s">
        <v>49</v>
      </c>
      <c r="L1225" t="s">
        <v>96</v>
      </c>
      <c r="M1225" t="s">
        <v>71</v>
      </c>
      <c r="N1225" t="s">
        <v>277</v>
      </c>
      <c r="O1225" t="s">
        <v>7232</v>
      </c>
      <c r="P1225" t="s">
        <v>38</v>
      </c>
      <c r="Q1225" t="s">
        <v>39</v>
      </c>
      <c r="R1225">
        <v>3</v>
      </c>
      <c r="S1225" t="s">
        <v>39</v>
      </c>
      <c r="T1225">
        <v>9</v>
      </c>
      <c r="U1225">
        <v>1</v>
      </c>
      <c r="V1225">
        <v>11.8</v>
      </c>
      <c r="W1225" t="s">
        <v>38</v>
      </c>
      <c r="X1225" t="s">
        <v>40</v>
      </c>
      <c r="Y1225" t="s">
        <v>38</v>
      </c>
      <c r="Z1225" t="s">
        <v>53</v>
      </c>
      <c r="AA1225" t="s">
        <v>54</v>
      </c>
      <c r="AB1225" t="s">
        <v>55</v>
      </c>
      <c r="AC1225">
        <f t="shared" si="209"/>
        <v>0</v>
      </c>
      <c r="AD1225" s="12">
        <f t="shared" si="213"/>
        <v>0</v>
      </c>
      <c r="AE1225" s="12">
        <f t="shared" si="214"/>
        <v>0</v>
      </c>
      <c r="AF1225">
        <f t="shared" si="210"/>
        <v>0</v>
      </c>
      <c r="AG1225">
        <f t="shared" si="215"/>
        <v>1</v>
      </c>
      <c r="AH1225">
        <f t="shared" si="216"/>
        <v>0</v>
      </c>
      <c r="AI1225">
        <f t="shared" si="217"/>
        <v>0</v>
      </c>
      <c r="AJ1225">
        <f t="shared" si="218"/>
        <v>1</v>
      </c>
      <c r="AK1225">
        <f t="shared" si="211"/>
        <v>0</v>
      </c>
      <c r="AL1225">
        <f t="shared" si="219"/>
        <v>1</v>
      </c>
    </row>
    <row r="1226" spans="1:38">
      <c r="A1226" t="s">
        <v>3805</v>
      </c>
      <c r="B1226" t="s">
        <v>3806</v>
      </c>
      <c r="C1226" s="1">
        <f t="shared" si="212"/>
        <v>45536</v>
      </c>
      <c r="D1226" t="s">
        <v>3807</v>
      </c>
      <c r="E1226">
        <v>268.5</v>
      </c>
      <c r="F1226">
        <v>11.2</v>
      </c>
      <c r="G1226" t="s">
        <v>77</v>
      </c>
      <c r="H1226" t="s">
        <v>244</v>
      </c>
      <c r="I1226" t="s">
        <v>79</v>
      </c>
      <c r="J1226">
        <v>360</v>
      </c>
      <c r="K1226" t="s">
        <v>49</v>
      </c>
      <c r="L1226" t="s">
        <v>70</v>
      </c>
      <c r="M1226" t="s">
        <v>35</v>
      </c>
      <c r="N1226" t="s">
        <v>72</v>
      </c>
      <c r="O1226" t="s">
        <v>37</v>
      </c>
      <c r="P1226" t="s">
        <v>39</v>
      </c>
      <c r="Q1226" t="s">
        <v>38</v>
      </c>
      <c r="R1226">
        <v>0</v>
      </c>
      <c r="S1226" t="s">
        <v>38</v>
      </c>
      <c r="T1226">
        <v>7</v>
      </c>
      <c r="U1226">
        <v>0.4</v>
      </c>
      <c r="V1226">
        <v>5</v>
      </c>
      <c r="W1226" t="s">
        <v>39</v>
      </c>
      <c r="X1226" t="s">
        <v>40</v>
      </c>
      <c r="Y1226" t="s">
        <v>38</v>
      </c>
      <c r="Z1226" t="s">
        <v>115</v>
      </c>
      <c r="AA1226" t="s">
        <v>82</v>
      </c>
      <c r="AB1226" t="s">
        <v>43</v>
      </c>
      <c r="AC1226">
        <f t="shared" si="209"/>
        <v>0</v>
      </c>
      <c r="AD1226" s="12">
        <f t="shared" si="213"/>
        <v>0</v>
      </c>
      <c r="AE1226" s="12">
        <f t="shared" si="214"/>
        <v>0</v>
      </c>
      <c r="AF1226">
        <f t="shared" si="210"/>
        <v>0</v>
      </c>
      <c r="AG1226">
        <f t="shared" si="215"/>
        <v>0</v>
      </c>
      <c r="AH1226">
        <f t="shared" si="216"/>
        <v>0</v>
      </c>
      <c r="AI1226">
        <f t="shared" si="217"/>
        <v>0</v>
      </c>
      <c r="AJ1226">
        <f t="shared" si="218"/>
        <v>0</v>
      </c>
      <c r="AK1226">
        <f t="shared" si="211"/>
        <v>0</v>
      </c>
      <c r="AL1226">
        <f t="shared" si="219"/>
        <v>1</v>
      </c>
    </row>
    <row r="1227" spans="1:38">
      <c r="A1227" t="s">
        <v>3808</v>
      </c>
      <c r="B1227" t="s">
        <v>3809</v>
      </c>
      <c r="C1227" s="1">
        <f t="shared" si="212"/>
        <v>45566</v>
      </c>
      <c r="D1227" t="s">
        <v>3810</v>
      </c>
      <c r="E1227">
        <v>218.3</v>
      </c>
      <c r="F1227">
        <v>9.1</v>
      </c>
      <c r="G1227" t="s">
        <v>30</v>
      </c>
      <c r="H1227" t="s">
        <v>159</v>
      </c>
      <c r="I1227" t="s">
        <v>32</v>
      </c>
      <c r="J1227">
        <v>240</v>
      </c>
      <c r="K1227" t="s">
        <v>49</v>
      </c>
      <c r="L1227" t="s">
        <v>96</v>
      </c>
      <c r="M1227" t="s">
        <v>35</v>
      </c>
      <c r="N1227" t="s">
        <v>36</v>
      </c>
      <c r="O1227" t="s">
        <v>51</v>
      </c>
      <c r="P1227" t="s">
        <v>38</v>
      </c>
      <c r="Q1227" t="s">
        <v>38</v>
      </c>
      <c r="R1227">
        <v>1</v>
      </c>
      <c r="S1227" t="s">
        <v>39</v>
      </c>
      <c r="T1227">
        <v>8</v>
      </c>
      <c r="U1227">
        <v>2.4</v>
      </c>
      <c r="V1227">
        <v>12.7</v>
      </c>
      <c r="W1227" t="s">
        <v>39</v>
      </c>
      <c r="X1227" t="s">
        <v>123</v>
      </c>
      <c r="Y1227" t="s">
        <v>39</v>
      </c>
      <c r="Z1227" t="s">
        <v>64</v>
      </c>
      <c r="AA1227" t="s">
        <v>42</v>
      </c>
      <c r="AB1227" t="s">
        <v>83</v>
      </c>
      <c r="AC1227">
        <f t="shared" si="209"/>
        <v>0</v>
      </c>
      <c r="AD1227" s="12">
        <f t="shared" si="213"/>
        <v>0</v>
      </c>
      <c r="AE1227" s="12">
        <f t="shared" si="214"/>
        <v>1</v>
      </c>
      <c r="AF1227">
        <f t="shared" si="210"/>
        <v>1</v>
      </c>
      <c r="AG1227">
        <f t="shared" si="215"/>
        <v>0</v>
      </c>
      <c r="AH1227">
        <f t="shared" si="216"/>
        <v>0</v>
      </c>
      <c r="AI1227">
        <f t="shared" si="217"/>
        <v>0</v>
      </c>
      <c r="AJ1227">
        <f t="shared" si="218"/>
        <v>1</v>
      </c>
      <c r="AK1227">
        <f t="shared" si="211"/>
        <v>1</v>
      </c>
      <c r="AL1227">
        <f t="shared" si="219"/>
        <v>0</v>
      </c>
    </row>
    <row r="1228" spans="1:38">
      <c r="A1228" t="s">
        <v>3811</v>
      </c>
      <c r="B1228" t="s">
        <v>3812</v>
      </c>
      <c r="C1228" s="1">
        <f t="shared" si="212"/>
        <v>45566</v>
      </c>
      <c r="D1228" t="s">
        <v>3813</v>
      </c>
      <c r="E1228">
        <v>153.4</v>
      </c>
      <c r="F1228">
        <v>6.4</v>
      </c>
      <c r="G1228" t="s">
        <v>30</v>
      </c>
      <c r="H1228" t="s">
        <v>31</v>
      </c>
      <c r="I1228" t="s">
        <v>48</v>
      </c>
      <c r="J1228">
        <v>120</v>
      </c>
      <c r="K1228" t="s">
        <v>33</v>
      </c>
      <c r="L1228" t="s">
        <v>34</v>
      </c>
      <c r="M1228" t="s">
        <v>35</v>
      </c>
      <c r="N1228" t="s">
        <v>119</v>
      </c>
      <c r="O1228" t="s">
        <v>51</v>
      </c>
      <c r="P1228" t="s">
        <v>39</v>
      </c>
      <c r="Q1228" t="s">
        <v>38</v>
      </c>
      <c r="R1228">
        <v>0</v>
      </c>
      <c r="S1228" t="s">
        <v>38</v>
      </c>
      <c r="T1228">
        <v>6</v>
      </c>
      <c r="U1228">
        <v>0.4</v>
      </c>
      <c r="V1228">
        <v>1.2</v>
      </c>
      <c r="W1228" t="s">
        <v>39</v>
      </c>
      <c r="X1228" t="s">
        <v>63</v>
      </c>
      <c r="Y1228" t="s">
        <v>38</v>
      </c>
      <c r="Z1228" t="s">
        <v>108</v>
      </c>
      <c r="AA1228" t="s">
        <v>103</v>
      </c>
      <c r="AB1228" t="s">
        <v>83</v>
      </c>
      <c r="AC1228">
        <f t="shared" si="209"/>
        <v>0</v>
      </c>
      <c r="AD1228" s="12">
        <f t="shared" si="213"/>
        <v>1</v>
      </c>
      <c r="AE1228" s="12">
        <f t="shared" si="214"/>
        <v>0</v>
      </c>
      <c r="AF1228">
        <f t="shared" si="210"/>
        <v>1</v>
      </c>
      <c r="AG1228">
        <f t="shared" si="215"/>
        <v>0</v>
      </c>
      <c r="AH1228">
        <f t="shared" si="216"/>
        <v>1</v>
      </c>
      <c r="AI1228">
        <f t="shared" si="217"/>
        <v>0</v>
      </c>
      <c r="AJ1228">
        <f t="shared" si="218"/>
        <v>0</v>
      </c>
      <c r="AK1228">
        <f t="shared" si="211"/>
        <v>1</v>
      </c>
      <c r="AL1228">
        <f t="shared" si="219"/>
        <v>1</v>
      </c>
    </row>
    <row r="1229" spans="1:38">
      <c r="A1229" t="s">
        <v>3814</v>
      </c>
      <c r="B1229" t="s">
        <v>3815</v>
      </c>
      <c r="C1229" s="1">
        <f t="shared" si="212"/>
        <v>45627</v>
      </c>
      <c r="D1229" t="s">
        <v>3816</v>
      </c>
      <c r="E1229">
        <v>349.3</v>
      </c>
      <c r="F1229">
        <v>14.6</v>
      </c>
      <c r="G1229" t="s">
        <v>101</v>
      </c>
      <c r="H1229" t="s">
        <v>295</v>
      </c>
      <c r="I1229" t="s">
        <v>32</v>
      </c>
      <c r="J1229">
        <v>240</v>
      </c>
      <c r="K1229" t="s">
        <v>33</v>
      </c>
      <c r="L1229" t="s">
        <v>96</v>
      </c>
      <c r="M1229" t="s">
        <v>35</v>
      </c>
      <c r="N1229" t="s">
        <v>128</v>
      </c>
      <c r="O1229" t="s">
        <v>7232</v>
      </c>
      <c r="P1229" t="s">
        <v>38</v>
      </c>
      <c r="Q1229" t="s">
        <v>38</v>
      </c>
      <c r="R1229">
        <v>1</v>
      </c>
      <c r="S1229" t="s">
        <v>38</v>
      </c>
      <c r="T1229">
        <v>6</v>
      </c>
      <c r="U1229">
        <v>3.1</v>
      </c>
      <c r="V1229">
        <v>15.1</v>
      </c>
      <c r="W1229" t="s">
        <v>39</v>
      </c>
      <c r="X1229" t="s">
        <v>63</v>
      </c>
      <c r="Y1229" t="s">
        <v>39</v>
      </c>
      <c r="Z1229" t="s">
        <v>41</v>
      </c>
      <c r="AA1229" t="s">
        <v>42</v>
      </c>
      <c r="AB1229" t="s">
        <v>55</v>
      </c>
      <c r="AC1229">
        <f t="shared" si="209"/>
        <v>0</v>
      </c>
      <c r="AD1229" s="12">
        <f t="shared" si="213"/>
        <v>1</v>
      </c>
      <c r="AE1229" s="12">
        <f t="shared" si="214"/>
        <v>0</v>
      </c>
      <c r="AF1229">
        <f t="shared" si="210"/>
        <v>0</v>
      </c>
      <c r="AG1229">
        <f t="shared" si="215"/>
        <v>1</v>
      </c>
      <c r="AH1229">
        <f t="shared" si="216"/>
        <v>0</v>
      </c>
      <c r="AI1229">
        <f t="shared" si="217"/>
        <v>0</v>
      </c>
      <c r="AJ1229">
        <f t="shared" si="218"/>
        <v>1</v>
      </c>
      <c r="AK1229">
        <f t="shared" si="211"/>
        <v>0</v>
      </c>
      <c r="AL1229">
        <f t="shared" si="219"/>
        <v>0</v>
      </c>
    </row>
    <row r="1230" spans="1:38">
      <c r="A1230" t="s">
        <v>3817</v>
      </c>
      <c r="B1230" t="s">
        <v>3818</v>
      </c>
      <c r="C1230" s="1">
        <f t="shared" si="212"/>
        <v>45383</v>
      </c>
      <c r="D1230" t="s">
        <v>3819</v>
      </c>
      <c r="E1230">
        <v>207.6</v>
      </c>
      <c r="F1230">
        <v>8.6999999999999993</v>
      </c>
      <c r="G1230" t="s">
        <v>30</v>
      </c>
      <c r="H1230" t="s">
        <v>31</v>
      </c>
      <c r="I1230" t="s">
        <v>32</v>
      </c>
      <c r="J1230">
        <v>240</v>
      </c>
      <c r="K1230" t="s">
        <v>49</v>
      </c>
      <c r="L1230" t="s">
        <v>96</v>
      </c>
      <c r="M1230" t="s">
        <v>35</v>
      </c>
      <c r="N1230" t="s">
        <v>220</v>
      </c>
      <c r="O1230" t="s">
        <v>37</v>
      </c>
      <c r="P1230" t="s">
        <v>39</v>
      </c>
      <c r="Q1230" t="s">
        <v>38</v>
      </c>
      <c r="R1230">
        <v>0</v>
      </c>
      <c r="S1230" t="s">
        <v>38</v>
      </c>
      <c r="T1230">
        <v>10</v>
      </c>
      <c r="U1230">
        <v>0.2</v>
      </c>
      <c r="V1230">
        <v>32.299999999999997</v>
      </c>
      <c r="W1230" t="s">
        <v>39</v>
      </c>
      <c r="X1230" t="s">
        <v>123</v>
      </c>
      <c r="Y1230" t="s">
        <v>38</v>
      </c>
      <c r="Z1230" t="s">
        <v>53</v>
      </c>
      <c r="AA1230" t="s">
        <v>42</v>
      </c>
      <c r="AB1230" t="s">
        <v>55</v>
      </c>
      <c r="AC1230">
        <f t="shared" si="209"/>
        <v>0</v>
      </c>
      <c r="AD1230" s="12">
        <f t="shared" si="213"/>
        <v>0</v>
      </c>
      <c r="AE1230" s="12">
        <f t="shared" si="214"/>
        <v>1</v>
      </c>
      <c r="AF1230">
        <f t="shared" si="210"/>
        <v>0</v>
      </c>
      <c r="AG1230">
        <f t="shared" si="215"/>
        <v>0</v>
      </c>
      <c r="AH1230">
        <f t="shared" si="216"/>
        <v>0</v>
      </c>
      <c r="AI1230">
        <f t="shared" si="217"/>
        <v>0</v>
      </c>
      <c r="AJ1230">
        <f t="shared" si="218"/>
        <v>1</v>
      </c>
      <c r="AK1230">
        <f t="shared" si="211"/>
        <v>1</v>
      </c>
      <c r="AL1230">
        <f t="shared" si="219"/>
        <v>1</v>
      </c>
    </row>
    <row r="1231" spans="1:38">
      <c r="A1231" t="s">
        <v>3820</v>
      </c>
      <c r="B1231" t="s">
        <v>3821</v>
      </c>
      <c r="C1231" s="1">
        <f t="shared" si="212"/>
        <v>45383</v>
      </c>
      <c r="D1231" t="s">
        <v>3822</v>
      </c>
      <c r="E1231">
        <v>90.5</v>
      </c>
      <c r="F1231">
        <v>3.8</v>
      </c>
      <c r="G1231" t="s">
        <v>87</v>
      </c>
      <c r="H1231" t="s">
        <v>88</v>
      </c>
      <c r="I1231" t="s">
        <v>48</v>
      </c>
      <c r="J1231">
        <v>120</v>
      </c>
      <c r="K1231" t="s">
        <v>49</v>
      </c>
      <c r="L1231" t="s">
        <v>70</v>
      </c>
      <c r="M1231" t="s">
        <v>71</v>
      </c>
      <c r="N1231" t="s">
        <v>134</v>
      </c>
      <c r="O1231" t="s">
        <v>7232</v>
      </c>
      <c r="P1231" t="s">
        <v>38</v>
      </c>
      <c r="Q1231" t="s">
        <v>39</v>
      </c>
      <c r="R1231">
        <v>4</v>
      </c>
      <c r="S1231" t="s">
        <v>38</v>
      </c>
      <c r="T1231">
        <v>6</v>
      </c>
      <c r="U1231">
        <v>0.1</v>
      </c>
      <c r="V1231">
        <v>16.600000000000001</v>
      </c>
      <c r="W1231" t="s">
        <v>38</v>
      </c>
      <c r="X1231" t="s">
        <v>123</v>
      </c>
      <c r="Y1231" t="s">
        <v>38</v>
      </c>
      <c r="Z1231" t="s">
        <v>108</v>
      </c>
      <c r="AA1231" t="s">
        <v>103</v>
      </c>
      <c r="AB1231" t="s">
        <v>55</v>
      </c>
      <c r="AC1231">
        <f t="shared" si="209"/>
        <v>0</v>
      </c>
      <c r="AD1231" s="12">
        <f t="shared" si="213"/>
        <v>0</v>
      </c>
      <c r="AE1231" s="12">
        <f t="shared" si="214"/>
        <v>1</v>
      </c>
      <c r="AF1231">
        <f t="shared" si="210"/>
        <v>0</v>
      </c>
      <c r="AG1231">
        <f t="shared" si="215"/>
        <v>1</v>
      </c>
      <c r="AH1231">
        <f t="shared" si="216"/>
        <v>1</v>
      </c>
      <c r="AI1231">
        <f t="shared" si="217"/>
        <v>0</v>
      </c>
      <c r="AJ1231">
        <f t="shared" si="218"/>
        <v>0</v>
      </c>
      <c r="AK1231">
        <f t="shared" si="211"/>
        <v>0</v>
      </c>
      <c r="AL1231">
        <f t="shared" si="219"/>
        <v>1</v>
      </c>
    </row>
    <row r="1232" spans="1:38">
      <c r="A1232" t="s">
        <v>3823</v>
      </c>
      <c r="B1232" t="s">
        <v>3824</v>
      </c>
      <c r="C1232" s="1">
        <f t="shared" si="212"/>
        <v>45505</v>
      </c>
      <c r="D1232" t="s">
        <v>3825</v>
      </c>
      <c r="E1232">
        <v>848.5</v>
      </c>
      <c r="F1232">
        <v>35.4</v>
      </c>
      <c r="G1232" t="s">
        <v>93</v>
      </c>
      <c r="H1232" t="s">
        <v>291</v>
      </c>
      <c r="I1232" t="s">
        <v>79</v>
      </c>
      <c r="J1232">
        <v>360</v>
      </c>
      <c r="K1232" t="s">
        <v>33</v>
      </c>
      <c r="L1232" t="s">
        <v>70</v>
      </c>
      <c r="M1232" t="s">
        <v>35</v>
      </c>
      <c r="N1232" t="s">
        <v>220</v>
      </c>
      <c r="O1232" t="s">
        <v>51</v>
      </c>
      <c r="P1232" t="s">
        <v>38</v>
      </c>
      <c r="Q1232" t="s">
        <v>38</v>
      </c>
      <c r="R1232">
        <v>1</v>
      </c>
      <c r="S1232" t="s">
        <v>38</v>
      </c>
      <c r="T1232">
        <v>5</v>
      </c>
      <c r="U1232">
        <v>0.6</v>
      </c>
      <c r="V1232">
        <v>33</v>
      </c>
      <c r="W1232" t="s">
        <v>39</v>
      </c>
      <c r="X1232" t="s">
        <v>52</v>
      </c>
      <c r="Y1232" t="s">
        <v>38</v>
      </c>
      <c r="Z1232" t="s">
        <v>108</v>
      </c>
      <c r="AA1232" t="s">
        <v>54</v>
      </c>
      <c r="AB1232" t="s">
        <v>83</v>
      </c>
      <c r="AC1232">
        <f t="shared" si="209"/>
        <v>1</v>
      </c>
      <c r="AD1232" s="12">
        <f t="shared" si="213"/>
        <v>0</v>
      </c>
      <c r="AE1232" s="12">
        <f t="shared" si="214"/>
        <v>0</v>
      </c>
      <c r="AF1232">
        <f t="shared" si="210"/>
        <v>1</v>
      </c>
      <c r="AG1232">
        <f t="shared" si="215"/>
        <v>0</v>
      </c>
      <c r="AH1232">
        <f t="shared" si="216"/>
        <v>0</v>
      </c>
      <c r="AI1232">
        <f t="shared" si="217"/>
        <v>0</v>
      </c>
      <c r="AJ1232">
        <f t="shared" si="218"/>
        <v>0</v>
      </c>
      <c r="AK1232">
        <f t="shared" si="211"/>
        <v>0</v>
      </c>
      <c r="AL1232">
        <f t="shared" si="219"/>
        <v>1</v>
      </c>
    </row>
    <row r="1233" spans="1:38">
      <c r="A1233" t="s">
        <v>3826</v>
      </c>
      <c r="B1233" t="s">
        <v>3827</v>
      </c>
      <c r="C1233" s="1">
        <f t="shared" si="212"/>
        <v>45505</v>
      </c>
      <c r="D1233" t="s">
        <v>3828</v>
      </c>
      <c r="E1233">
        <v>631.70000000000005</v>
      </c>
      <c r="F1233">
        <v>26.3</v>
      </c>
      <c r="G1233" t="s">
        <v>68</v>
      </c>
      <c r="H1233" t="s">
        <v>456</v>
      </c>
      <c r="I1233" t="s">
        <v>32</v>
      </c>
      <c r="J1233">
        <v>240</v>
      </c>
      <c r="K1233" t="s">
        <v>33</v>
      </c>
      <c r="L1233" t="s">
        <v>96</v>
      </c>
      <c r="M1233" t="s">
        <v>35</v>
      </c>
      <c r="N1233" t="s">
        <v>188</v>
      </c>
      <c r="O1233" t="s">
        <v>37</v>
      </c>
      <c r="P1233" t="s">
        <v>38</v>
      </c>
      <c r="Q1233" t="s">
        <v>38</v>
      </c>
      <c r="R1233">
        <v>1</v>
      </c>
      <c r="S1233" t="s">
        <v>38</v>
      </c>
      <c r="T1233">
        <v>3</v>
      </c>
      <c r="U1233">
        <v>2.4</v>
      </c>
      <c r="V1233">
        <v>20.3</v>
      </c>
      <c r="W1233" t="s">
        <v>39</v>
      </c>
      <c r="X1233" t="s">
        <v>123</v>
      </c>
      <c r="Y1233" t="s">
        <v>38</v>
      </c>
      <c r="Z1233" t="s">
        <v>81</v>
      </c>
      <c r="AA1233" t="s">
        <v>103</v>
      </c>
      <c r="AB1233" t="s">
        <v>43</v>
      </c>
      <c r="AC1233">
        <f t="shared" si="209"/>
        <v>0</v>
      </c>
      <c r="AD1233" s="12">
        <f t="shared" si="213"/>
        <v>0</v>
      </c>
      <c r="AE1233" s="12">
        <f t="shared" si="214"/>
        <v>1</v>
      </c>
      <c r="AF1233">
        <f t="shared" si="210"/>
        <v>0</v>
      </c>
      <c r="AG1233">
        <f t="shared" si="215"/>
        <v>0</v>
      </c>
      <c r="AH1233">
        <f t="shared" si="216"/>
        <v>0</v>
      </c>
      <c r="AI1233">
        <f t="shared" si="217"/>
        <v>0</v>
      </c>
      <c r="AJ1233">
        <f t="shared" si="218"/>
        <v>1</v>
      </c>
      <c r="AK1233">
        <f t="shared" si="211"/>
        <v>0</v>
      </c>
      <c r="AL1233">
        <f t="shared" si="219"/>
        <v>1</v>
      </c>
    </row>
    <row r="1234" spans="1:38">
      <c r="A1234" t="s">
        <v>3829</v>
      </c>
      <c r="B1234" t="s">
        <v>3830</v>
      </c>
      <c r="C1234" s="1">
        <f t="shared" si="212"/>
        <v>45627</v>
      </c>
      <c r="D1234" t="s">
        <v>3831</v>
      </c>
      <c r="E1234">
        <v>153.80000000000001</v>
      </c>
      <c r="F1234">
        <v>6.4</v>
      </c>
      <c r="G1234" t="s">
        <v>59</v>
      </c>
      <c r="H1234" t="s">
        <v>227</v>
      </c>
      <c r="I1234" t="s">
        <v>32</v>
      </c>
      <c r="J1234">
        <v>240</v>
      </c>
      <c r="K1234" t="s">
        <v>49</v>
      </c>
      <c r="L1234" t="s">
        <v>34</v>
      </c>
      <c r="M1234" t="s">
        <v>35</v>
      </c>
      <c r="N1234" t="s">
        <v>128</v>
      </c>
      <c r="O1234" t="s">
        <v>37</v>
      </c>
      <c r="P1234" t="s">
        <v>39</v>
      </c>
      <c r="Q1234" t="s">
        <v>38</v>
      </c>
      <c r="R1234">
        <v>0</v>
      </c>
      <c r="S1234" t="s">
        <v>38</v>
      </c>
      <c r="T1234">
        <v>8</v>
      </c>
      <c r="U1234">
        <v>4.2</v>
      </c>
      <c r="V1234">
        <v>48</v>
      </c>
      <c r="W1234" t="s">
        <v>39</v>
      </c>
      <c r="X1234" t="s">
        <v>63</v>
      </c>
      <c r="Y1234" t="s">
        <v>39</v>
      </c>
      <c r="Z1234" t="s">
        <v>64</v>
      </c>
      <c r="AA1234" t="s">
        <v>54</v>
      </c>
      <c r="AB1234" t="s">
        <v>83</v>
      </c>
      <c r="AC1234">
        <f t="shared" si="209"/>
        <v>0</v>
      </c>
      <c r="AD1234" s="12">
        <f t="shared" si="213"/>
        <v>1</v>
      </c>
      <c r="AE1234" s="12">
        <f t="shared" si="214"/>
        <v>0</v>
      </c>
      <c r="AF1234">
        <f t="shared" si="210"/>
        <v>0</v>
      </c>
      <c r="AG1234">
        <f t="shared" si="215"/>
        <v>0</v>
      </c>
      <c r="AH1234">
        <f t="shared" si="216"/>
        <v>0</v>
      </c>
      <c r="AI1234">
        <f t="shared" si="217"/>
        <v>0</v>
      </c>
      <c r="AJ1234">
        <f t="shared" si="218"/>
        <v>1</v>
      </c>
      <c r="AK1234">
        <f t="shared" si="211"/>
        <v>0</v>
      </c>
      <c r="AL1234">
        <f t="shared" si="219"/>
        <v>0</v>
      </c>
    </row>
    <row r="1235" spans="1:38">
      <c r="A1235" t="s">
        <v>3832</v>
      </c>
      <c r="B1235" t="s">
        <v>3833</v>
      </c>
      <c r="C1235" s="1">
        <f t="shared" si="212"/>
        <v>45383</v>
      </c>
      <c r="D1235" t="s">
        <v>3834</v>
      </c>
      <c r="E1235">
        <v>101.8</v>
      </c>
      <c r="F1235">
        <v>4.2</v>
      </c>
      <c r="G1235" t="s">
        <v>101</v>
      </c>
      <c r="H1235" t="s">
        <v>102</v>
      </c>
      <c r="I1235" t="s">
        <v>48</v>
      </c>
      <c r="J1235">
        <v>120</v>
      </c>
      <c r="K1235" t="s">
        <v>49</v>
      </c>
      <c r="L1235" t="s">
        <v>133</v>
      </c>
      <c r="M1235" t="s">
        <v>35</v>
      </c>
      <c r="N1235" t="s">
        <v>144</v>
      </c>
      <c r="O1235" t="s">
        <v>7232</v>
      </c>
      <c r="P1235" t="s">
        <v>38</v>
      </c>
      <c r="Q1235" t="s">
        <v>38</v>
      </c>
      <c r="R1235">
        <v>1</v>
      </c>
      <c r="S1235" t="s">
        <v>38</v>
      </c>
      <c r="T1235">
        <v>9</v>
      </c>
      <c r="U1235">
        <v>2.8</v>
      </c>
      <c r="V1235">
        <v>15.9</v>
      </c>
      <c r="W1235" t="s">
        <v>39</v>
      </c>
      <c r="X1235" t="s">
        <v>63</v>
      </c>
      <c r="Y1235" t="s">
        <v>38</v>
      </c>
      <c r="Z1235" t="s">
        <v>73</v>
      </c>
      <c r="AA1235" t="s">
        <v>42</v>
      </c>
      <c r="AB1235" t="s">
        <v>55</v>
      </c>
      <c r="AC1235">
        <f t="shared" si="209"/>
        <v>0</v>
      </c>
      <c r="AD1235" s="12">
        <f t="shared" si="213"/>
        <v>1</v>
      </c>
      <c r="AE1235" s="12">
        <f t="shared" si="214"/>
        <v>0</v>
      </c>
      <c r="AF1235">
        <f t="shared" si="210"/>
        <v>0</v>
      </c>
      <c r="AG1235">
        <f t="shared" si="215"/>
        <v>1</v>
      </c>
      <c r="AH1235">
        <f t="shared" si="216"/>
        <v>1</v>
      </c>
      <c r="AI1235">
        <f t="shared" si="217"/>
        <v>0</v>
      </c>
      <c r="AJ1235">
        <f t="shared" si="218"/>
        <v>0</v>
      </c>
      <c r="AK1235">
        <f t="shared" si="211"/>
        <v>0</v>
      </c>
      <c r="AL1235">
        <f t="shared" si="219"/>
        <v>1</v>
      </c>
    </row>
    <row r="1236" spans="1:38">
      <c r="A1236" t="s">
        <v>3835</v>
      </c>
      <c r="B1236" t="s">
        <v>3836</v>
      </c>
      <c r="C1236" s="1">
        <f t="shared" si="212"/>
        <v>45505</v>
      </c>
      <c r="D1236" t="s">
        <v>3837</v>
      </c>
      <c r="E1236">
        <v>78</v>
      </c>
      <c r="F1236">
        <v>3.3</v>
      </c>
      <c r="G1236" t="s">
        <v>142</v>
      </c>
      <c r="H1236" t="s">
        <v>260</v>
      </c>
      <c r="I1236" t="s">
        <v>48</v>
      </c>
      <c r="J1236">
        <v>120</v>
      </c>
      <c r="K1236" t="s">
        <v>49</v>
      </c>
      <c r="L1236" t="s">
        <v>133</v>
      </c>
      <c r="M1236" t="s">
        <v>35</v>
      </c>
      <c r="N1236" t="s">
        <v>114</v>
      </c>
      <c r="O1236" t="s">
        <v>7232</v>
      </c>
      <c r="P1236" t="s">
        <v>38</v>
      </c>
      <c r="Q1236" t="s">
        <v>38</v>
      </c>
      <c r="R1236">
        <v>1</v>
      </c>
      <c r="S1236" t="s">
        <v>38</v>
      </c>
      <c r="T1236">
        <v>4</v>
      </c>
      <c r="U1236">
        <v>3.3</v>
      </c>
      <c r="V1236">
        <v>13.8</v>
      </c>
      <c r="W1236" t="s">
        <v>38</v>
      </c>
      <c r="X1236" t="s">
        <v>52</v>
      </c>
      <c r="Y1236" t="s">
        <v>38</v>
      </c>
      <c r="Z1236" t="s">
        <v>41</v>
      </c>
      <c r="AA1236" t="s">
        <v>54</v>
      </c>
      <c r="AB1236" t="s">
        <v>55</v>
      </c>
      <c r="AC1236">
        <f t="shared" si="209"/>
        <v>1</v>
      </c>
      <c r="AD1236" s="12">
        <f t="shared" si="213"/>
        <v>0</v>
      </c>
      <c r="AE1236" s="12">
        <f t="shared" si="214"/>
        <v>0</v>
      </c>
      <c r="AF1236">
        <f t="shared" si="210"/>
        <v>0</v>
      </c>
      <c r="AG1236">
        <f t="shared" si="215"/>
        <v>1</v>
      </c>
      <c r="AH1236">
        <f t="shared" si="216"/>
        <v>1</v>
      </c>
      <c r="AI1236">
        <f t="shared" si="217"/>
        <v>0</v>
      </c>
      <c r="AJ1236">
        <f t="shared" si="218"/>
        <v>0</v>
      </c>
      <c r="AK1236">
        <f t="shared" si="211"/>
        <v>0</v>
      </c>
      <c r="AL1236">
        <f t="shared" si="219"/>
        <v>1</v>
      </c>
    </row>
    <row r="1237" spans="1:38">
      <c r="A1237" t="s">
        <v>3838</v>
      </c>
      <c r="B1237" t="s">
        <v>3839</v>
      </c>
      <c r="C1237" s="1">
        <f t="shared" si="212"/>
        <v>45566</v>
      </c>
      <c r="D1237" t="s">
        <v>3840</v>
      </c>
      <c r="E1237">
        <v>271.60000000000002</v>
      </c>
      <c r="F1237">
        <v>11.3</v>
      </c>
      <c r="G1237" t="s">
        <v>93</v>
      </c>
      <c r="H1237" t="s">
        <v>163</v>
      </c>
      <c r="I1237" t="s">
        <v>79</v>
      </c>
      <c r="J1237">
        <v>360</v>
      </c>
      <c r="K1237" t="s">
        <v>49</v>
      </c>
      <c r="L1237" t="s">
        <v>34</v>
      </c>
      <c r="M1237" t="s">
        <v>35</v>
      </c>
      <c r="N1237" t="s">
        <v>36</v>
      </c>
      <c r="O1237" t="s">
        <v>37</v>
      </c>
      <c r="P1237" t="s">
        <v>39</v>
      </c>
      <c r="Q1237" t="s">
        <v>38</v>
      </c>
      <c r="R1237">
        <v>0</v>
      </c>
      <c r="S1237" t="s">
        <v>38</v>
      </c>
      <c r="T1237">
        <v>7</v>
      </c>
      <c r="U1237">
        <v>2.4</v>
      </c>
      <c r="V1237">
        <v>12.5</v>
      </c>
      <c r="W1237" t="s">
        <v>39</v>
      </c>
      <c r="X1237" t="s">
        <v>63</v>
      </c>
      <c r="Y1237" t="s">
        <v>39</v>
      </c>
      <c r="Z1237" t="s">
        <v>53</v>
      </c>
      <c r="AA1237" t="s">
        <v>109</v>
      </c>
      <c r="AB1237" t="s">
        <v>55</v>
      </c>
      <c r="AC1237">
        <f t="shared" si="209"/>
        <v>0</v>
      </c>
      <c r="AD1237" s="12">
        <f t="shared" si="213"/>
        <v>1</v>
      </c>
      <c r="AE1237" s="12">
        <f t="shared" si="214"/>
        <v>0</v>
      </c>
      <c r="AF1237">
        <f t="shared" si="210"/>
        <v>0</v>
      </c>
      <c r="AG1237">
        <f t="shared" si="215"/>
        <v>0</v>
      </c>
      <c r="AH1237">
        <f t="shared" si="216"/>
        <v>0</v>
      </c>
      <c r="AI1237">
        <f t="shared" si="217"/>
        <v>0</v>
      </c>
      <c r="AJ1237">
        <f t="shared" si="218"/>
        <v>0</v>
      </c>
      <c r="AK1237">
        <f t="shared" si="211"/>
        <v>0</v>
      </c>
      <c r="AL1237">
        <f t="shared" si="219"/>
        <v>0</v>
      </c>
    </row>
    <row r="1238" spans="1:38">
      <c r="A1238" t="s">
        <v>3841</v>
      </c>
      <c r="B1238" t="s">
        <v>3842</v>
      </c>
      <c r="C1238" s="1">
        <f t="shared" si="212"/>
        <v>45352</v>
      </c>
      <c r="D1238" t="s">
        <v>3843</v>
      </c>
      <c r="E1238">
        <v>186.9</v>
      </c>
      <c r="F1238">
        <v>7.8</v>
      </c>
      <c r="G1238" t="s">
        <v>101</v>
      </c>
      <c r="H1238" t="s">
        <v>442</v>
      </c>
      <c r="I1238" t="s">
        <v>32</v>
      </c>
      <c r="J1238">
        <v>240</v>
      </c>
      <c r="K1238" t="s">
        <v>49</v>
      </c>
      <c r="L1238" t="s">
        <v>96</v>
      </c>
      <c r="M1238" t="s">
        <v>35</v>
      </c>
      <c r="N1238" t="s">
        <v>192</v>
      </c>
      <c r="O1238" t="s">
        <v>37</v>
      </c>
      <c r="P1238" t="s">
        <v>39</v>
      </c>
      <c r="Q1238" t="s">
        <v>38</v>
      </c>
      <c r="R1238">
        <v>0</v>
      </c>
      <c r="S1238" t="s">
        <v>38</v>
      </c>
      <c r="T1238">
        <v>8</v>
      </c>
      <c r="U1238">
        <v>2.9</v>
      </c>
      <c r="V1238">
        <v>19.7</v>
      </c>
      <c r="W1238" t="s">
        <v>39</v>
      </c>
      <c r="X1238" t="s">
        <v>52</v>
      </c>
      <c r="Y1238" t="s">
        <v>38</v>
      </c>
      <c r="Z1238" t="s">
        <v>73</v>
      </c>
      <c r="AA1238" t="s">
        <v>103</v>
      </c>
      <c r="AB1238" t="s">
        <v>55</v>
      </c>
      <c r="AC1238">
        <f t="shared" si="209"/>
        <v>1</v>
      </c>
      <c r="AD1238" s="12">
        <f t="shared" si="213"/>
        <v>0</v>
      </c>
      <c r="AE1238" s="12">
        <f t="shared" si="214"/>
        <v>0</v>
      </c>
      <c r="AF1238">
        <f t="shared" si="210"/>
        <v>0</v>
      </c>
      <c r="AG1238">
        <f t="shared" si="215"/>
        <v>0</v>
      </c>
      <c r="AH1238">
        <f t="shared" si="216"/>
        <v>0</v>
      </c>
      <c r="AI1238">
        <f t="shared" si="217"/>
        <v>0</v>
      </c>
      <c r="AJ1238">
        <f t="shared" si="218"/>
        <v>1</v>
      </c>
      <c r="AK1238">
        <f t="shared" si="211"/>
        <v>0</v>
      </c>
      <c r="AL1238">
        <f t="shared" si="219"/>
        <v>1</v>
      </c>
    </row>
    <row r="1239" spans="1:38">
      <c r="A1239" t="s">
        <v>3844</v>
      </c>
      <c r="B1239" t="s">
        <v>3845</v>
      </c>
      <c r="C1239" s="1">
        <f t="shared" si="212"/>
        <v>45413</v>
      </c>
      <c r="D1239" t="s">
        <v>3846</v>
      </c>
      <c r="E1239">
        <v>440.7</v>
      </c>
      <c r="F1239">
        <v>18.399999999999999</v>
      </c>
      <c r="G1239" t="s">
        <v>101</v>
      </c>
      <c r="H1239" t="s">
        <v>368</v>
      </c>
      <c r="I1239" t="s">
        <v>32</v>
      </c>
      <c r="J1239">
        <v>240</v>
      </c>
      <c r="K1239" t="s">
        <v>33</v>
      </c>
      <c r="L1239" t="s">
        <v>96</v>
      </c>
      <c r="M1239" t="s">
        <v>35</v>
      </c>
      <c r="N1239" t="s">
        <v>107</v>
      </c>
      <c r="O1239" t="s">
        <v>7232</v>
      </c>
      <c r="P1239" t="s">
        <v>38</v>
      </c>
      <c r="Q1239" t="s">
        <v>38</v>
      </c>
      <c r="R1239">
        <v>1</v>
      </c>
      <c r="S1239" t="s">
        <v>38</v>
      </c>
      <c r="T1239">
        <v>7</v>
      </c>
      <c r="U1239">
        <v>2.8</v>
      </c>
      <c r="V1239">
        <v>13.7</v>
      </c>
      <c r="W1239" t="s">
        <v>39</v>
      </c>
      <c r="X1239" t="s">
        <v>123</v>
      </c>
      <c r="Y1239" t="s">
        <v>39</v>
      </c>
      <c r="Z1239" t="s">
        <v>73</v>
      </c>
      <c r="AA1239" t="s">
        <v>103</v>
      </c>
      <c r="AB1239" t="s">
        <v>83</v>
      </c>
      <c r="AC1239">
        <f t="shared" si="209"/>
        <v>0</v>
      </c>
      <c r="AD1239" s="12">
        <f t="shared" si="213"/>
        <v>0</v>
      </c>
      <c r="AE1239" s="12">
        <f t="shared" si="214"/>
        <v>1</v>
      </c>
      <c r="AF1239">
        <f t="shared" si="210"/>
        <v>0</v>
      </c>
      <c r="AG1239">
        <f t="shared" si="215"/>
        <v>1</v>
      </c>
      <c r="AH1239">
        <f t="shared" si="216"/>
        <v>0</v>
      </c>
      <c r="AI1239">
        <f t="shared" si="217"/>
        <v>0</v>
      </c>
      <c r="AJ1239">
        <f t="shared" si="218"/>
        <v>1</v>
      </c>
      <c r="AK1239">
        <f t="shared" si="211"/>
        <v>0</v>
      </c>
      <c r="AL1239">
        <f t="shared" si="219"/>
        <v>0</v>
      </c>
    </row>
    <row r="1240" spans="1:38">
      <c r="A1240" t="s">
        <v>3847</v>
      </c>
      <c r="B1240" t="s">
        <v>3848</v>
      </c>
      <c r="C1240" s="1">
        <f t="shared" si="212"/>
        <v>45566</v>
      </c>
      <c r="D1240" t="s">
        <v>3849</v>
      </c>
      <c r="E1240">
        <v>130.80000000000001</v>
      </c>
      <c r="F1240">
        <v>5.5</v>
      </c>
      <c r="G1240" t="s">
        <v>101</v>
      </c>
      <c r="H1240" t="s">
        <v>295</v>
      </c>
      <c r="I1240" t="s">
        <v>48</v>
      </c>
      <c r="J1240">
        <v>120</v>
      </c>
      <c r="K1240" t="s">
        <v>33</v>
      </c>
      <c r="L1240" t="s">
        <v>70</v>
      </c>
      <c r="M1240" t="s">
        <v>71</v>
      </c>
      <c r="N1240" t="s">
        <v>220</v>
      </c>
      <c r="O1240" t="s">
        <v>37</v>
      </c>
      <c r="P1240" t="s">
        <v>38</v>
      </c>
      <c r="Q1240" t="s">
        <v>39</v>
      </c>
      <c r="R1240">
        <v>2</v>
      </c>
      <c r="S1240" t="s">
        <v>39</v>
      </c>
      <c r="T1240">
        <v>5</v>
      </c>
      <c r="U1240">
        <v>5.2</v>
      </c>
      <c r="V1240">
        <v>27.5</v>
      </c>
      <c r="W1240" t="s">
        <v>39</v>
      </c>
      <c r="X1240" t="s">
        <v>52</v>
      </c>
      <c r="Y1240" t="s">
        <v>39</v>
      </c>
      <c r="Z1240" t="s">
        <v>53</v>
      </c>
      <c r="AA1240" t="s">
        <v>54</v>
      </c>
      <c r="AB1240" t="s">
        <v>83</v>
      </c>
      <c r="AC1240">
        <f t="shared" si="209"/>
        <v>1</v>
      </c>
      <c r="AD1240" s="12">
        <f t="shared" si="213"/>
        <v>0</v>
      </c>
      <c r="AE1240" s="12">
        <f t="shared" si="214"/>
        <v>0</v>
      </c>
      <c r="AF1240">
        <f t="shared" si="210"/>
        <v>0</v>
      </c>
      <c r="AG1240">
        <f t="shared" si="215"/>
        <v>0</v>
      </c>
      <c r="AH1240">
        <f t="shared" si="216"/>
        <v>1</v>
      </c>
      <c r="AI1240">
        <f t="shared" si="217"/>
        <v>0</v>
      </c>
      <c r="AJ1240">
        <f t="shared" si="218"/>
        <v>0</v>
      </c>
      <c r="AK1240">
        <f t="shared" si="211"/>
        <v>0</v>
      </c>
      <c r="AL1240">
        <f t="shared" si="219"/>
        <v>0</v>
      </c>
    </row>
    <row r="1241" spans="1:38">
      <c r="A1241" t="s">
        <v>3850</v>
      </c>
      <c r="B1241" t="s">
        <v>3851</v>
      </c>
      <c r="C1241" s="1">
        <f t="shared" si="212"/>
        <v>45323</v>
      </c>
      <c r="D1241" t="s">
        <v>3852</v>
      </c>
      <c r="E1241">
        <v>315.39999999999998</v>
      </c>
      <c r="F1241">
        <v>13.1</v>
      </c>
      <c r="G1241" t="s">
        <v>142</v>
      </c>
      <c r="H1241" t="s">
        <v>143</v>
      </c>
      <c r="I1241" t="s">
        <v>32</v>
      </c>
      <c r="J1241">
        <v>240</v>
      </c>
      <c r="K1241" t="s">
        <v>33</v>
      </c>
      <c r="L1241" t="s">
        <v>133</v>
      </c>
      <c r="M1241" t="s">
        <v>35</v>
      </c>
      <c r="N1241" t="s">
        <v>164</v>
      </c>
      <c r="O1241" t="s">
        <v>7232</v>
      </c>
      <c r="P1241" t="s">
        <v>38</v>
      </c>
      <c r="Q1241" t="s">
        <v>38</v>
      </c>
      <c r="R1241">
        <v>1</v>
      </c>
      <c r="S1241" t="s">
        <v>39</v>
      </c>
      <c r="T1241">
        <v>5</v>
      </c>
      <c r="U1241">
        <v>3.2</v>
      </c>
      <c r="V1241">
        <v>27.7</v>
      </c>
      <c r="W1241" t="s">
        <v>39</v>
      </c>
      <c r="X1241" t="s">
        <v>63</v>
      </c>
      <c r="Y1241" t="s">
        <v>38</v>
      </c>
      <c r="Z1241" t="s">
        <v>108</v>
      </c>
      <c r="AA1241" t="s">
        <v>109</v>
      </c>
      <c r="AB1241" t="s">
        <v>83</v>
      </c>
      <c r="AC1241">
        <f t="shared" si="209"/>
        <v>0</v>
      </c>
      <c r="AD1241" s="12">
        <f t="shared" si="213"/>
        <v>1</v>
      </c>
      <c r="AE1241" s="12">
        <f t="shared" si="214"/>
        <v>0</v>
      </c>
      <c r="AF1241">
        <f t="shared" si="210"/>
        <v>0</v>
      </c>
      <c r="AG1241">
        <f t="shared" si="215"/>
        <v>1</v>
      </c>
      <c r="AH1241">
        <f t="shared" si="216"/>
        <v>0</v>
      </c>
      <c r="AI1241">
        <f t="shared" si="217"/>
        <v>0</v>
      </c>
      <c r="AJ1241">
        <f t="shared" si="218"/>
        <v>1</v>
      </c>
      <c r="AK1241">
        <f t="shared" si="211"/>
        <v>0</v>
      </c>
      <c r="AL1241">
        <f t="shared" si="219"/>
        <v>1</v>
      </c>
    </row>
    <row r="1242" spans="1:38">
      <c r="A1242" t="s">
        <v>3853</v>
      </c>
      <c r="B1242" t="s">
        <v>3854</v>
      </c>
      <c r="C1242" s="1">
        <f t="shared" si="212"/>
        <v>45444</v>
      </c>
      <c r="D1242" t="s">
        <v>3855</v>
      </c>
      <c r="E1242">
        <v>248.6</v>
      </c>
      <c r="F1242">
        <v>10.4</v>
      </c>
      <c r="G1242" t="s">
        <v>77</v>
      </c>
      <c r="H1242" t="s">
        <v>78</v>
      </c>
      <c r="I1242" t="s">
        <v>32</v>
      </c>
      <c r="J1242">
        <v>240</v>
      </c>
      <c r="K1242" t="s">
        <v>33</v>
      </c>
      <c r="L1242" t="s">
        <v>96</v>
      </c>
      <c r="M1242" t="s">
        <v>35</v>
      </c>
      <c r="N1242" t="s">
        <v>164</v>
      </c>
      <c r="O1242" t="s">
        <v>7232</v>
      </c>
      <c r="P1242" t="s">
        <v>39</v>
      </c>
      <c r="Q1242" t="s">
        <v>38</v>
      </c>
      <c r="R1242">
        <v>0</v>
      </c>
      <c r="S1242" t="s">
        <v>38</v>
      </c>
      <c r="T1242">
        <v>8</v>
      </c>
      <c r="U1242">
        <v>2.1</v>
      </c>
      <c r="V1242">
        <v>0</v>
      </c>
      <c r="W1242" t="s">
        <v>39</v>
      </c>
      <c r="X1242" t="s">
        <v>63</v>
      </c>
      <c r="Y1242" t="s">
        <v>38</v>
      </c>
      <c r="Z1242" t="s">
        <v>41</v>
      </c>
      <c r="AA1242" t="s">
        <v>42</v>
      </c>
      <c r="AB1242" t="s">
        <v>83</v>
      </c>
      <c r="AC1242">
        <f t="shared" si="209"/>
        <v>0</v>
      </c>
      <c r="AD1242" s="12">
        <f t="shared" si="213"/>
        <v>1</v>
      </c>
      <c r="AE1242" s="12">
        <f t="shared" si="214"/>
        <v>0</v>
      </c>
      <c r="AF1242">
        <f t="shared" si="210"/>
        <v>0</v>
      </c>
      <c r="AG1242">
        <f t="shared" si="215"/>
        <v>1</v>
      </c>
      <c r="AH1242">
        <f t="shared" si="216"/>
        <v>0</v>
      </c>
      <c r="AI1242">
        <f t="shared" si="217"/>
        <v>0</v>
      </c>
      <c r="AJ1242">
        <f t="shared" si="218"/>
        <v>1</v>
      </c>
      <c r="AK1242">
        <f t="shared" si="211"/>
        <v>0</v>
      </c>
      <c r="AL1242">
        <f t="shared" si="219"/>
        <v>1</v>
      </c>
    </row>
    <row r="1243" spans="1:38">
      <c r="A1243" t="s">
        <v>3856</v>
      </c>
      <c r="B1243" t="s">
        <v>3857</v>
      </c>
      <c r="C1243" s="1">
        <f t="shared" si="212"/>
        <v>45566</v>
      </c>
      <c r="D1243" t="s">
        <v>3858</v>
      </c>
      <c r="E1243">
        <v>35.799999999999997</v>
      </c>
      <c r="F1243">
        <v>1.5</v>
      </c>
      <c r="G1243" t="s">
        <v>87</v>
      </c>
      <c r="H1243" t="s">
        <v>309</v>
      </c>
      <c r="I1243" t="s">
        <v>95</v>
      </c>
      <c r="J1243">
        <v>48</v>
      </c>
      <c r="K1243" t="s">
        <v>49</v>
      </c>
      <c r="L1243" t="s">
        <v>70</v>
      </c>
      <c r="M1243" t="s">
        <v>71</v>
      </c>
      <c r="N1243" t="s">
        <v>50</v>
      </c>
      <c r="O1243" t="s">
        <v>7232</v>
      </c>
      <c r="P1243" t="s">
        <v>38</v>
      </c>
      <c r="Q1243" t="s">
        <v>39</v>
      </c>
      <c r="R1243">
        <v>2</v>
      </c>
      <c r="S1243" t="s">
        <v>38</v>
      </c>
      <c r="T1243">
        <v>9</v>
      </c>
      <c r="U1243">
        <v>3.8</v>
      </c>
      <c r="V1243">
        <v>4.9000000000000004</v>
      </c>
      <c r="W1243" t="s">
        <v>39</v>
      </c>
      <c r="X1243" t="s">
        <v>52</v>
      </c>
      <c r="Y1243" t="s">
        <v>39</v>
      </c>
      <c r="Z1243" t="s">
        <v>41</v>
      </c>
      <c r="AA1243" t="s">
        <v>42</v>
      </c>
      <c r="AB1243" t="s">
        <v>55</v>
      </c>
      <c r="AC1243">
        <f t="shared" si="209"/>
        <v>1</v>
      </c>
      <c r="AD1243" s="12">
        <f t="shared" si="213"/>
        <v>0</v>
      </c>
      <c r="AE1243" s="12">
        <f t="shared" si="214"/>
        <v>0</v>
      </c>
      <c r="AF1243">
        <f t="shared" si="210"/>
        <v>0</v>
      </c>
      <c r="AG1243">
        <f t="shared" si="215"/>
        <v>1</v>
      </c>
      <c r="AH1243">
        <f t="shared" si="216"/>
        <v>0</v>
      </c>
      <c r="AI1243">
        <f t="shared" si="217"/>
        <v>1</v>
      </c>
      <c r="AJ1243">
        <f t="shared" si="218"/>
        <v>0</v>
      </c>
      <c r="AK1243">
        <f t="shared" si="211"/>
        <v>0</v>
      </c>
      <c r="AL1243">
        <f t="shared" si="219"/>
        <v>0</v>
      </c>
    </row>
    <row r="1244" spans="1:38">
      <c r="A1244" t="s">
        <v>3859</v>
      </c>
      <c r="B1244" t="s">
        <v>3860</v>
      </c>
      <c r="C1244" s="1">
        <f t="shared" si="212"/>
        <v>45597</v>
      </c>
      <c r="D1244" t="s">
        <v>3861</v>
      </c>
      <c r="E1244">
        <v>74.400000000000006</v>
      </c>
      <c r="F1244">
        <v>3.1</v>
      </c>
      <c r="G1244" t="s">
        <v>59</v>
      </c>
      <c r="H1244" t="s">
        <v>60</v>
      </c>
      <c r="I1244" t="s">
        <v>48</v>
      </c>
      <c r="J1244">
        <v>120</v>
      </c>
      <c r="K1244" t="s">
        <v>49</v>
      </c>
      <c r="L1244" t="s">
        <v>96</v>
      </c>
      <c r="M1244" t="s">
        <v>35</v>
      </c>
      <c r="N1244" t="s">
        <v>192</v>
      </c>
      <c r="O1244" t="s">
        <v>7232</v>
      </c>
      <c r="P1244" t="s">
        <v>38</v>
      </c>
      <c r="Q1244" t="s">
        <v>38</v>
      </c>
      <c r="R1244">
        <v>1</v>
      </c>
      <c r="S1244" t="s">
        <v>38</v>
      </c>
      <c r="T1244">
        <v>6</v>
      </c>
      <c r="U1244">
        <v>2.5</v>
      </c>
      <c r="V1244">
        <v>0</v>
      </c>
      <c r="W1244" t="s">
        <v>39</v>
      </c>
      <c r="X1244" t="s">
        <v>63</v>
      </c>
      <c r="Y1244" t="s">
        <v>39</v>
      </c>
      <c r="Z1244" t="s">
        <v>81</v>
      </c>
      <c r="AA1244" t="s">
        <v>82</v>
      </c>
      <c r="AB1244" t="s">
        <v>55</v>
      </c>
      <c r="AC1244">
        <f t="shared" si="209"/>
        <v>0</v>
      </c>
      <c r="AD1244" s="12">
        <f t="shared" si="213"/>
        <v>1</v>
      </c>
      <c r="AE1244" s="12">
        <f t="shared" si="214"/>
        <v>0</v>
      </c>
      <c r="AF1244">
        <f t="shared" si="210"/>
        <v>0</v>
      </c>
      <c r="AG1244">
        <f t="shared" si="215"/>
        <v>1</v>
      </c>
      <c r="AH1244">
        <f t="shared" si="216"/>
        <v>1</v>
      </c>
      <c r="AI1244">
        <f t="shared" si="217"/>
        <v>0</v>
      </c>
      <c r="AJ1244">
        <f t="shared" si="218"/>
        <v>0</v>
      </c>
      <c r="AK1244">
        <f t="shared" si="211"/>
        <v>0</v>
      </c>
      <c r="AL1244">
        <f t="shared" si="219"/>
        <v>0</v>
      </c>
    </row>
    <row r="1245" spans="1:38">
      <c r="A1245" t="s">
        <v>3862</v>
      </c>
      <c r="B1245" t="s">
        <v>3863</v>
      </c>
      <c r="C1245" s="1">
        <f t="shared" si="212"/>
        <v>45323</v>
      </c>
      <c r="D1245" t="s">
        <v>3864</v>
      </c>
      <c r="E1245">
        <v>195.2</v>
      </c>
      <c r="F1245">
        <v>8.1</v>
      </c>
      <c r="G1245" t="s">
        <v>87</v>
      </c>
      <c r="H1245" t="s">
        <v>151</v>
      </c>
      <c r="I1245" t="s">
        <v>32</v>
      </c>
      <c r="J1245">
        <v>240</v>
      </c>
      <c r="K1245" t="s">
        <v>49</v>
      </c>
      <c r="L1245" t="s">
        <v>96</v>
      </c>
      <c r="M1245" t="s">
        <v>71</v>
      </c>
      <c r="N1245" t="s">
        <v>155</v>
      </c>
      <c r="O1245" t="s">
        <v>51</v>
      </c>
      <c r="P1245" t="s">
        <v>38</v>
      </c>
      <c r="Q1245" t="s">
        <v>39</v>
      </c>
      <c r="R1245">
        <v>4</v>
      </c>
      <c r="S1245" t="s">
        <v>39</v>
      </c>
      <c r="T1245">
        <v>6</v>
      </c>
      <c r="U1245">
        <v>2.5</v>
      </c>
      <c r="V1245">
        <v>30.6</v>
      </c>
      <c r="W1245" t="s">
        <v>38</v>
      </c>
      <c r="X1245" t="s">
        <v>63</v>
      </c>
      <c r="Y1245" t="s">
        <v>39</v>
      </c>
      <c r="Z1245" t="s">
        <v>41</v>
      </c>
      <c r="AA1245" t="s">
        <v>42</v>
      </c>
      <c r="AB1245" t="s">
        <v>55</v>
      </c>
      <c r="AC1245">
        <f t="shared" si="209"/>
        <v>0</v>
      </c>
      <c r="AD1245" s="12">
        <f t="shared" si="213"/>
        <v>1</v>
      </c>
      <c r="AE1245" s="12">
        <f t="shared" si="214"/>
        <v>0</v>
      </c>
      <c r="AF1245">
        <f t="shared" si="210"/>
        <v>1</v>
      </c>
      <c r="AG1245">
        <f t="shared" si="215"/>
        <v>0</v>
      </c>
      <c r="AH1245">
        <f t="shared" si="216"/>
        <v>0</v>
      </c>
      <c r="AI1245">
        <f t="shared" si="217"/>
        <v>0</v>
      </c>
      <c r="AJ1245">
        <f t="shared" si="218"/>
        <v>1</v>
      </c>
      <c r="AK1245">
        <f t="shared" si="211"/>
        <v>0</v>
      </c>
      <c r="AL1245">
        <f t="shared" si="219"/>
        <v>0</v>
      </c>
    </row>
    <row r="1246" spans="1:38">
      <c r="A1246" t="s">
        <v>3865</v>
      </c>
      <c r="B1246" t="s">
        <v>3866</v>
      </c>
      <c r="C1246" s="1">
        <f t="shared" si="212"/>
        <v>45292</v>
      </c>
      <c r="D1246" t="s">
        <v>3867</v>
      </c>
      <c r="E1246">
        <v>165.8</v>
      </c>
      <c r="F1246">
        <v>6.9</v>
      </c>
      <c r="G1246" t="s">
        <v>142</v>
      </c>
      <c r="H1246" t="s">
        <v>240</v>
      </c>
      <c r="I1246" t="s">
        <v>32</v>
      </c>
      <c r="J1246">
        <v>240</v>
      </c>
      <c r="K1246" t="s">
        <v>49</v>
      </c>
      <c r="L1246" t="s">
        <v>96</v>
      </c>
      <c r="M1246" t="s">
        <v>35</v>
      </c>
      <c r="N1246" t="s">
        <v>188</v>
      </c>
      <c r="O1246" t="s">
        <v>51</v>
      </c>
      <c r="P1246" t="s">
        <v>38</v>
      </c>
      <c r="Q1246" t="s">
        <v>38</v>
      </c>
      <c r="R1246">
        <v>1</v>
      </c>
      <c r="S1246" t="s">
        <v>38</v>
      </c>
      <c r="T1246">
        <v>7</v>
      </c>
      <c r="U1246">
        <v>5.5</v>
      </c>
      <c r="V1246">
        <v>12.1</v>
      </c>
      <c r="W1246" t="s">
        <v>39</v>
      </c>
      <c r="X1246" t="s">
        <v>52</v>
      </c>
      <c r="Y1246" t="s">
        <v>38</v>
      </c>
      <c r="Z1246" t="s">
        <v>115</v>
      </c>
      <c r="AA1246" t="s">
        <v>54</v>
      </c>
      <c r="AB1246" t="s">
        <v>55</v>
      </c>
      <c r="AC1246">
        <f t="shared" si="209"/>
        <v>1</v>
      </c>
      <c r="AD1246" s="12">
        <f t="shared" si="213"/>
        <v>0</v>
      </c>
      <c r="AE1246" s="12">
        <f t="shared" si="214"/>
        <v>0</v>
      </c>
      <c r="AF1246">
        <f t="shared" si="210"/>
        <v>1</v>
      </c>
      <c r="AG1246">
        <f t="shared" si="215"/>
        <v>0</v>
      </c>
      <c r="AH1246">
        <f t="shared" si="216"/>
        <v>0</v>
      </c>
      <c r="AI1246">
        <f t="shared" si="217"/>
        <v>0</v>
      </c>
      <c r="AJ1246">
        <f t="shared" si="218"/>
        <v>1</v>
      </c>
      <c r="AK1246">
        <f t="shared" si="211"/>
        <v>0</v>
      </c>
      <c r="AL1246">
        <f t="shared" si="219"/>
        <v>1</v>
      </c>
    </row>
    <row r="1247" spans="1:38">
      <c r="A1247" t="s">
        <v>3868</v>
      </c>
      <c r="B1247" t="s">
        <v>3869</v>
      </c>
      <c r="C1247" s="1">
        <f t="shared" si="212"/>
        <v>45444</v>
      </c>
      <c r="D1247" t="s">
        <v>3870</v>
      </c>
      <c r="E1247">
        <v>276.89999999999998</v>
      </c>
      <c r="F1247">
        <v>11.5</v>
      </c>
      <c r="G1247" t="s">
        <v>77</v>
      </c>
      <c r="H1247" t="s">
        <v>244</v>
      </c>
      <c r="I1247" t="s">
        <v>79</v>
      </c>
      <c r="J1247">
        <v>360</v>
      </c>
      <c r="K1247" t="s">
        <v>49</v>
      </c>
      <c r="L1247" t="s">
        <v>96</v>
      </c>
      <c r="M1247" t="s">
        <v>35</v>
      </c>
      <c r="N1247" t="s">
        <v>89</v>
      </c>
      <c r="O1247" t="s">
        <v>7232</v>
      </c>
      <c r="P1247" t="s">
        <v>39</v>
      </c>
      <c r="Q1247" t="s">
        <v>38</v>
      </c>
      <c r="R1247">
        <v>0</v>
      </c>
      <c r="S1247" t="s">
        <v>38</v>
      </c>
      <c r="T1247">
        <v>6</v>
      </c>
      <c r="U1247">
        <v>1</v>
      </c>
      <c r="V1247">
        <v>7.3</v>
      </c>
      <c r="W1247" t="s">
        <v>39</v>
      </c>
      <c r="X1247" t="s">
        <v>63</v>
      </c>
      <c r="Y1247" t="s">
        <v>38</v>
      </c>
      <c r="Z1247" t="s">
        <v>64</v>
      </c>
      <c r="AA1247" t="s">
        <v>103</v>
      </c>
      <c r="AB1247" t="s">
        <v>55</v>
      </c>
      <c r="AC1247">
        <f t="shared" si="209"/>
        <v>0</v>
      </c>
      <c r="AD1247" s="12">
        <f t="shared" si="213"/>
        <v>1</v>
      </c>
      <c r="AE1247" s="12">
        <f t="shared" si="214"/>
        <v>0</v>
      </c>
      <c r="AF1247">
        <f t="shared" si="210"/>
        <v>0</v>
      </c>
      <c r="AG1247">
        <f t="shared" si="215"/>
        <v>1</v>
      </c>
      <c r="AH1247">
        <f t="shared" si="216"/>
        <v>0</v>
      </c>
      <c r="AI1247">
        <f t="shared" si="217"/>
        <v>0</v>
      </c>
      <c r="AJ1247">
        <f t="shared" si="218"/>
        <v>0</v>
      </c>
      <c r="AK1247">
        <f t="shared" si="211"/>
        <v>0</v>
      </c>
      <c r="AL1247">
        <f t="shared" si="219"/>
        <v>1</v>
      </c>
    </row>
    <row r="1248" spans="1:38">
      <c r="A1248" t="s">
        <v>3871</v>
      </c>
      <c r="B1248" t="s">
        <v>3872</v>
      </c>
      <c r="C1248" s="1">
        <f t="shared" si="212"/>
        <v>45536</v>
      </c>
      <c r="D1248" t="s">
        <v>3873</v>
      </c>
      <c r="E1248">
        <v>41.4</v>
      </c>
      <c r="F1248">
        <v>1.7</v>
      </c>
      <c r="G1248" t="s">
        <v>59</v>
      </c>
      <c r="H1248" t="s">
        <v>60</v>
      </c>
      <c r="I1248" t="s">
        <v>95</v>
      </c>
      <c r="J1248">
        <v>48</v>
      </c>
      <c r="K1248" t="s">
        <v>49</v>
      </c>
      <c r="L1248" t="s">
        <v>96</v>
      </c>
      <c r="M1248" t="s">
        <v>71</v>
      </c>
      <c r="N1248" t="s">
        <v>138</v>
      </c>
      <c r="O1248" t="s">
        <v>7232</v>
      </c>
      <c r="P1248" t="s">
        <v>38</v>
      </c>
      <c r="Q1248" t="s">
        <v>39</v>
      </c>
      <c r="R1248">
        <v>3</v>
      </c>
      <c r="S1248" t="s">
        <v>38</v>
      </c>
      <c r="T1248">
        <v>8</v>
      </c>
      <c r="U1248">
        <v>0.1</v>
      </c>
      <c r="V1248">
        <v>26.3</v>
      </c>
      <c r="W1248" t="s">
        <v>39</v>
      </c>
      <c r="X1248" t="s">
        <v>52</v>
      </c>
      <c r="Y1248" t="s">
        <v>38</v>
      </c>
      <c r="Z1248" t="s">
        <v>73</v>
      </c>
      <c r="AA1248" t="s">
        <v>42</v>
      </c>
      <c r="AB1248" t="s">
        <v>83</v>
      </c>
      <c r="AC1248">
        <f t="shared" si="209"/>
        <v>1</v>
      </c>
      <c r="AD1248" s="12">
        <f t="shared" si="213"/>
        <v>0</v>
      </c>
      <c r="AE1248" s="12">
        <f t="shared" si="214"/>
        <v>0</v>
      </c>
      <c r="AF1248">
        <f t="shared" si="210"/>
        <v>0</v>
      </c>
      <c r="AG1248">
        <f t="shared" si="215"/>
        <v>1</v>
      </c>
      <c r="AH1248">
        <f t="shared" si="216"/>
        <v>0</v>
      </c>
      <c r="AI1248">
        <f t="shared" si="217"/>
        <v>1</v>
      </c>
      <c r="AJ1248">
        <f t="shared" si="218"/>
        <v>0</v>
      </c>
      <c r="AK1248">
        <f t="shared" si="211"/>
        <v>0</v>
      </c>
      <c r="AL1248">
        <f t="shared" si="219"/>
        <v>1</v>
      </c>
    </row>
    <row r="1249" spans="1:38">
      <c r="A1249" t="s">
        <v>3874</v>
      </c>
      <c r="B1249" t="s">
        <v>3875</v>
      </c>
      <c r="C1249" s="1">
        <f t="shared" si="212"/>
        <v>45536</v>
      </c>
      <c r="D1249" t="s">
        <v>3876</v>
      </c>
      <c r="E1249">
        <v>149.80000000000001</v>
      </c>
      <c r="F1249">
        <v>6.2</v>
      </c>
      <c r="G1249" t="s">
        <v>30</v>
      </c>
      <c r="H1249" t="s">
        <v>31</v>
      </c>
      <c r="I1249" t="s">
        <v>48</v>
      </c>
      <c r="J1249">
        <v>120</v>
      </c>
      <c r="K1249" t="s">
        <v>33</v>
      </c>
      <c r="L1249" t="s">
        <v>34</v>
      </c>
      <c r="M1249" t="s">
        <v>35</v>
      </c>
      <c r="N1249" t="s">
        <v>107</v>
      </c>
      <c r="O1249" t="s">
        <v>7232</v>
      </c>
      <c r="P1249" t="s">
        <v>39</v>
      </c>
      <c r="Q1249" t="s">
        <v>38</v>
      </c>
      <c r="R1249">
        <v>0</v>
      </c>
      <c r="S1249" t="s">
        <v>38</v>
      </c>
      <c r="T1249">
        <v>6</v>
      </c>
      <c r="U1249">
        <v>0.3</v>
      </c>
      <c r="V1249">
        <v>6.7</v>
      </c>
      <c r="W1249" t="s">
        <v>38</v>
      </c>
      <c r="X1249" t="s">
        <v>63</v>
      </c>
      <c r="Y1249" t="s">
        <v>39</v>
      </c>
      <c r="Z1249" t="s">
        <v>41</v>
      </c>
      <c r="AA1249" t="s">
        <v>103</v>
      </c>
      <c r="AB1249" t="s">
        <v>83</v>
      </c>
      <c r="AC1249">
        <f t="shared" si="209"/>
        <v>0</v>
      </c>
      <c r="AD1249" s="12">
        <f t="shared" si="213"/>
        <v>1</v>
      </c>
      <c r="AE1249" s="12">
        <f t="shared" si="214"/>
        <v>0</v>
      </c>
      <c r="AF1249">
        <f t="shared" si="210"/>
        <v>0</v>
      </c>
      <c r="AG1249">
        <f t="shared" si="215"/>
        <v>1</v>
      </c>
      <c r="AH1249">
        <f t="shared" si="216"/>
        <v>1</v>
      </c>
      <c r="AI1249">
        <f t="shared" si="217"/>
        <v>0</v>
      </c>
      <c r="AJ1249">
        <f t="shared" si="218"/>
        <v>0</v>
      </c>
      <c r="AK1249">
        <f t="shared" si="211"/>
        <v>1</v>
      </c>
      <c r="AL1249">
        <f t="shared" si="219"/>
        <v>0</v>
      </c>
    </row>
    <row r="1250" spans="1:38">
      <c r="A1250" t="s">
        <v>3877</v>
      </c>
      <c r="B1250" t="s">
        <v>3878</v>
      </c>
      <c r="C1250" s="1">
        <f t="shared" si="212"/>
        <v>45505</v>
      </c>
      <c r="D1250" t="s">
        <v>3879</v>
      </c>
      <c r="E1250">
        <v>149</v>
      </c>
      <c r="F1250">
        <v>6.2</v>
      </c>
      <c r="G1250" t="s">
        <v>30</v>
      </c>
      <c r="H1250" t="s">
        <v>172</v>
      </c>
      <c r="I1250" t="s">
        <v>32</v>
      </c>
      <c r="J1250">
        <v>240</v>
      </c>
      <c r="K1250" t="s">
        <v>49</v>
      </c>
      <c r="L1250" t="s">
        <v>96</v>
      </c>
      <c r="M1250" t="s">
        <v>35</v>
      </c>
      <c r="N1250" t="s">
        <v>128</v>
      </c>
      <c r="O1250" t="s">
        <v>7232</v>
      </c>
      <c r="P1250" t="s">
        <v>39</v>
      </c>
      <c r="Q1250" t="s">
        <v>38</v>
      </c>
      <c r="R1250">
        <v>0</v>
      </c>
      <c r="S1250" t="s">
        <v>38</v>
      </c>
      <c r="T1250">
        <v>7</v>
      </c>
      <c r="U1250">
        <v>0.1</v>
      </c>
      <c r="V1250">
        <v>3.6</v>
      </c>
      <c r="W1250" t="s">
        <v>39</v>
      </c>
      <c r="X1250" t="s">
        <v>40</v>
      </c>
      <c r="Y1250" t="s">
        <v>39</v>
      </c>
      <c r="Z1250" t="s">
        <v>115</v>
      </c>
      <c r="AA1250" t="s">
        <v>103</v>
      </c>
      <c r="AB1250" t="s">
        <v>83</v>
      </c>
      <c r="AC1250">
        <f t="shared" si="209"/>
        <v>0</v>
      </c>
      <c r="AD1250" s="12">
        <f t="shared" si="213"/>
        <v>0</v>
      </c>
      <c r="AE1250" s="12">
        <f t="shared" si="214"/>
        <v>0</v>
      </c>
      <c r="AF1250">
        <f t="shared" si="210"/>
        <v>0</v>
      </c>
      <c r="AG1250">
        <f t="shared" si="215"/>
        <v>1</v>
      </c>
      <c r="AH1250">
        <f t="shared" si="216"/>
        <v>0</v>
      </c>
      <c r="AI1250">
        <f t="shared" si="217"/>
        <v>0</v>
      </c>
      <c r="AJ1250">
        <f t="shared" si="218"/>
        <v>1</v>
      </c>
      <c r="AK1250">
        <f t="shared" si="211"/>
        <v>1</v>
      </c>
      <c r="AL1250">
        <f t="shared" si="219"/>
        <v>0</v>
      </c>
    </row>
    <row r="1251" spans="1:38">
      <c r="A1251" t="s">
        <v>3880</v>
      </c>
      <c r="B1251" t="s">
        <v>3881</v>
      </c>
      <c r="C1251" s="1">
        <f t="shared" si="212"/>
        <v>45352</v>
      </c>
      <c r="D1251" t="s">
        <v>3882</v>
      </c>
      <c r="E1251">
        <v>328.5</v>
      </c>
      <c r="F1251">
        <v>13.7</v>
      </c>
      <c r="G1251" t="s">
        <v>101</v>
      </c>
      <c r="H1251" t="s">
        <v>368</v>
      </c>
      <c r="I1251" t="s">
        <v>79</v>
      </c>
      <c r="J1251">
        <v>360</v>
      </c>
      <c r="K1251" t="s">
        <v>49</v>
      </c>
      <c r="L1251" t="s">
        <v>70</v>
      </c>
      <c r="M1251" t="s">
        <v>71</v>
      </c>
      <c r="N1251" t="s">
        <v>107</v>
      </c>
      <c r="O1251" t="s">
        <v>7232</v>
      </c>
      <c r="P1251" t="s">
        <v>38</v>
      </c>
      <c r="Q1251" t="s">
        <v>39</v>
      </c>
      <c r="R1251">
        <v>2</v>
      </c>
      <c r="S1251" t="s">
        <v>38</v>
      </c>
      <c r="T1251">
        <v>8</v>
      </c>
      <c r="U1251">
        <v>0.1</v>
      </c>
      <c r="V1251">
        <v>35.6</v>
      </c>
      <c r="W1251" t="s">
        <v>38</v>
      </c>
      <c r="X1251" t="s">
        <v>63</v>
      </c>
      <c r="Y1251" t="s">
        <v>38</v>
      </c>
      <c r="Z1251" t="s">
        <v>179</v>
      </c>
      <c r="AA1251" t="s">
        <v>109</v>
      </c>
      <c r="AB1251" t="s">
        <v>55</v>
      </c>
      <c r="AC1251">
        <f t="shared" si="209"/>
        <v>0</v>
      </c>
      <c r="AD1251" s="12">
        <f t="shared" si="213"/>
        <v>1</v>
      </c>
      <c r="AE1251" s="12">
        <f t="shared" si="214"/>
        <v>0</v>
      </c>
      <c r="AF1251">
        <f t="shared" si="210"/>
        <v>0</v>
      </c>
      <c r="AG1251">
        <f t="shared" si="215"/>
        <v>1</v>
      </c>
      <c r="AH1251">
        <f t="shared" si="216"/>
        <v>0</v>
      </c>
      <c r="AI1251">
        <f t="shared" si="217"/>
        <v>0</v>
      </c>
      <c r="AJ1251">
        <f t="shared" si="218"/>
        <v>0</v>
      </c>
      <c r="AK1251">
        <f t="shared" si="211"/>
        <v>0</v>
      </c>
      <c r="AL1251">
        <f t="shared" si="219"/>
        <v>1</v>
      </c>
    </row>
    <row r="1252" spans="1:38">
      <c r="A1252" t="s">
        <v>3883</v>
      </c>
      <c r="B1252" t="s">
        <v>3884</v>
      </c>
      <c r="C1252" s="1">
        <f t="shared" si="212"/>
        <v>45505</v>
      </c>
      <c r="D1252" t="s">
        <v>3885</v>
      </c>
      <c r="E1252">
        <v>408.6</v>
      </c>
      <c r="F1252">
        <v>17</v>
      </c>
      <c r="G1252" t="s">
        <v>77</v>
      </c>
      <c r="H1252" t="s">
        <v>267</v>
      </c>
      <c r="I1252" t="s">
        <v>79</v>
      </c>
      <c r="J1252">
        <v>360</v>
      </c>
      <c r="K1252" t="s">
        <v>33</v>
      </c>
      <c r="L1252" t="s">
        <v>34</v>
      </c>
      <c r="M1252" t="s">
        <v>35</v>
      </c>
      <c r="N1252" t="s">
        <v>277</v>
      </c>
      <c r="O1252" t="s">
        <v>7232</v>
      </c>
      <c r="P1252" t="s">
        <v>39</v>
      </c>
      <c r="Q1252" t="s">
        <v>38</v>
      </c>
      <c r="R1252">
        <v>0</v>
      </c>
      <c r="S1252" t="s">
        <v>38</v>
      </c>
      <c r="T1252">
        <v>8</v>
      </c>
      <c r="U1252">
        <v>0.1</v>
      </c>
      <c r="V1252">
        <v>7</v>
      </c>
      <c r="W1252" t="s">
        <v>39</v>
      </c>
      <c r="X1252" t="s">
        <v>63</v>
      </c>
      <c r="Y1252" t="s">
        <v>38</v>
      </c>
      <c r="Z1252" t="s">
        <v>64</v>
      </c>
      <c r="AA1252" t="s">
        <v>42</v>
      </c>
      <c r="AB1252" t="s">
        <v>83</v>
      </c>
      <c r="AC1252">
        <f t="shared" si="209"/>
        <v>0</v>
      </c>
      <c r="AD1252" s="12">
        <f t="shared" si="213"/>
        <v>1</v>
      </c>
      <c r="AE1252" s="12">
        <f t="shared" si="214"/>
        <v>0</v>
      </c>
      <c r="AF1252">
        <f t="shared" si="210"/>
        <v>0</v>
      </c>
      <c r="AG1252">
        <f t="shared" si="215"/>
        <v>1</v>
      </c>
      <c r="AH1252">
        <f t="shared" si="216"/>
        <v>0</v>
      </c>
      <c r="AI1252">
        <f t="shared" si="217"/>
        <v>0</v>
      </c>
      <c r="AJ1252">
        <f t="shared" si="218"/>
        <v>0</v>
      </c>
      <c r="AK1252">
        <f t="shared" si="211"/>
        <v>0</v>
      </c>
      <c r="AL1252">
        <f t="shared" si="219"/>
        <v>1</v>
      </c>
    </row>
    <row r="1253" spans="1:38">
      <c r="A1253" t="s">
        <v>3886</v>
      </c>
      <c r="B1253" t="s">
        <v>3887</v>
      </c>
      <c r="C1253" s="1">
        <f t="shared" si="212"/>
        <v>45474</v>
      </c>
      <c r="D1253" t="s">
        <v>3888</v>
      </c>
      <c r="E1253">
        <v>179.6</v>
      </c>
      <c r="F1253">
        <v>7.5</v>
      </c>
      <c r="G1253" t="s">
        <v>93</v>
      </c>
      <c r="H1253" t="s">
        <v>163</v>
      </c>
      <c r="I1253" t="s">
        <v>32</v>
      </c>
      <c r="J1253">
        <v>240</v>
      </c>
      <c r="K1253" t="s">
        <v>49</v>
      </c>
      <c r="L1253" t="s">
        <v>70</v>
      </c>
      <c r="M1253" t="s">
        <v>35</v>
      </c>
      <c r="N1253" t="s">
        <v>114</v>
      </c>
      <c r="O1253" t="s">
        <v>7232</v>
      </c>
      <c r="P1253" t="s">
        <v>38</v>
      </c>
      <c r="Q1253" t="s">
        <v>38</v>
      </c>
      <c r="R1253">
        <v>1</v>
      </c>
      <c r="S1253" t="s">
        <v>38</v>
      </c>
      <c r="T1253">
        <v>8</v>
      </c>
      <c r="U1253">
        <v>5</v>
      </c>
      <c r="V1253">
        <v>23.5</v>
      </c>
      <c r="W1253" t="s">
        <v>39</v>
      </c>
      <c r="X1253" t="s">
        <v>63</v>
      </c>
      <c r="Y1253" t="s">
        <v>39</v>
      </c>
      <c r="Z1253" t="s">
        <v>179</v>
      </c>
      <c r="AA1253" t="s">
        <v>54</v>
      </c>
      <c r="AB1253" t="s">
        <v>83</v>
      </c>
      <c r="AC1253">
        <f t="shared" si="209"/>
        <v>0</v>
      </c>
      <c r="AD1253" s="12">
        <f t="shared" si="213"/>
        <v>1</v>
      </c>
      <c r="AE1253" s="12">
        <f t="shared" si="214"/>
        <v>0</v>
      </c>
      <c r="AF1253">
        <f t="shared" si="210"/>
        <v>0</v>
      </c>
      <c r="AG1253">
        <f t="shared" si="215"/>
        <v>1</v>
      </c>
      <c r="AH1253">
        <f t="shared" si="216"/>
        <v>0</v>
      </c>
      <c r="AI1253">
        <f t="shared" si="217"/>
        <v>0</v>
      </c>
      <c r="AJ1253">
        <f t="shared" si="218"/>
        <v>1</v>
      </c>
      <c r="AK1253">
        <f t="shared" si="211"/>
        <v>0</v>
      </c>
      <c r="AL1253">
        <f t="shared" si="219"/>
        <v>0</v>
      </c>
    </row>
    <row r="1254" spans="1:38">
      <c r="A1254" t="s">
        <v>3889</v>
      </c>
      <c r="B1254" t="s">
        <v>3890</v>
      </c>
      <c r="C1254" s="1">
        <f t="shared" si="212"/>
        <v>45505</v>
      </c>
      <c r="D1254" t="s">
        <v>3891</v>
      </c>
      <c r="E1254">
        <v>128.9</v>
      </c>
      <c r="F1254">
        <v>5.4</v>
      </c>
      <c r="G1254" t="s">
        <v>68</v>
      </c>
      <c r="H1254" t="s">
        <v>456</v>
      </c>
      <c r="I1254" t="s">
        <v>48</v>
      </c>
      <c r="J1254">
        <v>120</v>
      </c>
      <c r="K1254" t="s">
        <v>33</v>
      </c>
      <c r="L1254" t="s">
        <v>133</v>
      </c>
      <c r="M1254" t="s">
        <v>71</v>
      </c>
      <c r="N1254" t="s">
        <v>299</v>
      </c>
      <c r="O1254" t="s">
        <v>51</v>
      </c>
      <c r="P1254" t="s">
        <v>38</v>
      </c>
      <c r="Q1254" t="s">
        <v>39</v>
      </c>
      <c r="R1254">
        <v>3</v>
      </c>
      <c r="S1254" t="s">
        <v>38</v>
      </c>
      <c r="T1254">
        <v>7</v>
      </c>
      <c r="U1254">
        <v>0.1</v>
      </c>
      <c r="V1254">
        <v>10.199999999999999</v>
      </c>
      <c r="W1254" t="s">
        <v>39</v>
      </c>
      <c r="X1254" t="s">
        <v>52</v>
      </c>
      <c r="Y1254" t="s">
        <v>39</v>
      </c>
      <c r="Z1254" t="s">
        <v>115</v>
      </c>
      <c r="AA1254" t="s">
        <v>109</v>
      </c>
      <c r="AB1254" t="s">
        <v>83</v>
      </c>
      <c r="AC1254">
        <f t="shared" si="209"/>
        <v>1</v>
      </c>
      <c r="AD1254" s="12">
        <f t="shared" si="213"/>
        <v>0</v>
      </c>
      <c r="AE1254" s="12">
        <f t="shared" si="214"/>
        <v>0</v>
      </c>
      <c r="AF1254">
        <f t="shared" si="210"/>
        <v>1</v>
      </c>
      <c r="AG1254">
        <f t="shared" si="215"/>
        <v>0</v>
      </c>
      <c r="AH1254">
        <f t="shared" si="216"/>
        <v>1</v>
      </c>
      <c r="AI1254">
        <f t="shared" si="217"/>
        <v>0</v>
      </c>
      <c r="AJ1254">
        <f t="shared" si="218"/>
        <v>0</v>
      </c>
      <c r="AK1254">
        <f t="shared" si="211"/>
        <v>0</v>
      </c>
      <c r="AL1254">
        <f t="shared" si="219"/>
        <v>0</v>
      </c>
    </row>
    <row r="1255" spans="1:38">
      <c r="A1255" t="s">
        <v>3892</v>
      </c>
      <c r="B1255" t="s">
        <v>3893</v>
      </c>
      <c r="C1255" s="1">
        <f t="shared" si="212"/>
        <v>45566</v>
      </c>
      <c r="D1255" t="s">
        <v>3894</v>
      </c>
      <c r="E1255">
        <v>188</v>
      </c>
      <c r="F1255">
        <v>7.8</v>
      </c>
      <c r="G1255" t="s">
        <v>59</v>
      </c>
      <c r="H1255" t="s">
        <v>60</v>
      </c>
      <c r="I1255" t="s">
        <v>32</v>
      </c>
      <c r="J1255">
        <v>240</v>
      </c>
      <c r="K1255" t="s">
        <v>49</v>
      </c>
      <c r="L1255" t="s">
        <v>133</v>
      </c>
      <c r="M1255" t="s">
        <v>71</v>
      </c>
      <c r="N1255" t="s">
        <v>164</v>
      </c>
      <c r="O1255" t="s">
        <v>51</v>
      </c>
      <c r="P1255" t="s">
        <v>38</v>
      </c>
      <c r="Q1255" t="s">
        <v>39</v>
      </c>
      <c r="R1255">
        <v>3</v>
      </c>
      <c r="S1255" t="s">
        <v>38</v>
      </c>
      <c r="T1255">
        <v>9</v>
      </c>
      <c r="U1255">
        <v>3.3</v>
      </c>
      <c r="V1255">
        <v>1.1000000000000001</v>
      </c>
      <c r="W1255" t="s">
        <v>38</v>
      </c>
      <c r="X1255" t="s">
        <v>52</v>
      </c>
      <c r="Y1255" t="s">
        <v>39</v>
      </c>
      <c r="Z1255" t="s">
        <v>81</v>
      </c>
      <c r="AA1255" t="s">
        <v>103</v>
      </c>
      <c r="AB1255" t="s">
        <v>55</v>
      </c>
      <c r="AC1255">
        <f t="shared" si="209"/>
        <v>1</v>
      </c>
      <c r="AD1255" s="12">
        <f t="shared" si="213"/>
        <v>0</v>
      </c>
      <c r="AE1255" s="12">
        <f t="shared" si="214"/>
        <v>0</v>
      </c>
      <c r="AF1255">
        <f t="shared" si="210"/>
        <v>1</v>
      </c>
      <c r="AG1255">
        <f t="shared" si="215"/>
        <v>0</v>
      </c>
      <c r="AH1255">
        <f t="shared" si="216"/>
        <v>0</v>
      </c>
      <c r="AI1255">
        <f t="shared" si="217"/>
        <v>0</v>
      </c>
      <c r="AJ1255">
        <f t="shared" si="218"/>
        <v>1</v>
      </c>
      <c r="AK1255">
        <f t="shared" si="211"/>
        <v>0</v>
      </c>
      <c r="AL1255">
        <f t="shared" si="219"/>
        <v>0</v>
      </c>
    </row>
    <row r="1256" spans="1:38">
      <c r="A1256" t="s">
        <v>3895</v>
      </c>
      <c r="B1256" t="s">
        <v>3896</v>
      </c>
      <c r="C1256" s="1">
        <f t="shared" si="212"/>
        <v>45413</v>
      </c>
      <c r="D1256" t="s">
        <v>3897</v>
      </c>
      <c r="E1256">
        <v>177.1</v>
      </c>
      <c r="F1256">
        <v>7.4</v>
      </c>
      <c r="G1256" t="s">
        <v>30</v>
      </c>
      <c r="H1256" t="s">
        <v>159</v>
      </c>
      <c r="I1256" t="s">
        <v>32</v>
      </c>
      <c r="J1256">
        <v>240</v>
      </c>
      <c r="K1256" t="s">
        <v>49</v>
      </c>
      <c r="L1256" t="s">
        <v>70</v>
      </c>
      <c r="M1256" t="s">
        <v>35</v>
      </c>
      <c r="N1256" t="s">
        <v>220</v>
      </c>
      <c r="O1256" t="s">
        <v>37</v>
      </c>
      <c r="P1256" t="s">
        <v>39</v>
      </c>
      <c r="Q1256" t="s">
        <v>38</v>
      </c>
      <c r="R1256">
        <v>0</v>
      </c>
      <c r="S1256" t="s">
        <v>39</v>
      </c>
      <c r="T1256">
        <v>10</v>
      </c>
      <c r="U1256">
        <v>2.5</v>
      </c>
      <c r="V1256">
        <v>0</v>
      </c>
      <c r="W1256" t="s">
        <v>39</v>
      </c>
      <c r="X1256" t="s">
        <v>52</v>
      </c>
      <c r="Y1256" t="s">
        <v>38</v>
      </c>
      <c r="Z1256" t="s">
        <v>179</v>
      </c>
      <c r="AA1256" t="s">
        <v>109</v>
      </c>
      <c r="AB1256" t="s">
        <v>43</v>
      </c>
      <c r="AC1256">
        <f t="shared" si="209"/>
        <v>1</v>
      </c>
      <c r="AD1256" s="12">
        <f t="shared" si="213"/>
        <v>0</v>
      </c>
      <c r="AE1256" s="12">
        <f t="shared" si="214"/>
        <v>0</v>
      </c>
      <c r="AF1256">
        <f t="shared" si="210"/>
        <v>0</v>
      </c>
      <c r="AG1256">
        <f t="shared" si="215"/>
        <v>0</v>
      </c>
      <c r="AH1256">
        <f t="shared" si="216"/>
        <v>0</v>
      </c>
      <c r="AI1256">
        <f t="shared" si="217"/>
        <v>0</v>
      </c>
      <c r="AJ1256">
        <f t="shared" si="218"/>
        <v>1</v>
      </c>
      <c r="AK1256">
        <f t="shared" si="211"/>
        <v>1</v>
      </c>
      <c r="AL1256">
        <f t="shared" si="219"/>
        <v>1</v>
      </c>
    </row>
    <row r="1257" spans="1:38">
      <c r="A1257" t="s">
        <v>3898</v>
      </c>
      <c r="B1257" t="s">
        <v>3899</v>
      </c>
      <c r="C1257" s="1">
        <f t="shared" si="212"/>
        <v>45413</v>
      </c>
      <c r="D1257" t="s">
        <v>3900</v>
      </c>
      <c r="E1257">
        <v>294.5</v>
      </c>
      <c r="F1257">
        <v>12.3</v>
      </c>
      <c r="G1257" t="s">
        <v>77</v>
      </c>
      <c r="H1257" t="s">
        <v>78</v>
      </c>
      <c r="I1257" t="s">
        <v>79</v>
      </c>
      <c r="J1257">
        <v>360</v>
      </c>
      <c r="K1257" t="s">
        <v>49</v>
      </c>
      <c r="L1257" t="s">
        <v>34</v>
      </c>
      <c r="M1257" t="s">
        <v>35</v>
      </c>
      <c r="N1257" t="s">
        <v>506</v>
      </c>
      <c r="O1257" t="s">
        <v>51</v>
      </c>
      <c r="P1257" t="s">
        <v>39</v>
      </c>
      <c r="Q1257" t="s">
        <v>38</v>
      </c>
      <c r="R1257">
        <v>0</v>
      </c>
      <c r="S1257" t="s">
        <v>38</v>
      </c>
      <c r="T1257">
        <v>10</v>
      </c>
      <c r="U1257">
        <v>3.8</v>
      </c>
      <c r="V1257">
        <v>6.6</v>
      </c>
      <c r="W1257" t="s">
        <v>38</v>
      </c>
      <c r="X1257" t="s">
        <v>123</v>
      </c>
      <c r="Y1257" t="s">
        <v>39</v>
      </c>
      <c r="Z1257" t="s">
        <v>81</v>
      </c>
      <c r="AA1257" t="s">
        <v>103</v>
      </c>
      <c r="AB1257" t="s">
        <v>43</v>
      </c>
      <c r="AC1257">
        <f t="shared" si="209"/>
        <v>0</v>
      </c>
      <c r="AD1257" s="12">
        <f t="shared" si="213"/>
        <v>0</v>
      </c>
      <c r="AE1257" s="12">
        <f t="shared" si="214"/>
        <v>1</v>
      </c>
      <c r="AF1257">
        <f t="shared" si="210"/>
        <v>1</v>
      </c>
      <c r="AG1257">
        <f t="shared" si="215"/>
        <v>0</v>
      </c>
      <c r="AH1257">
        <f t="shared" si="216"/>
        <v>0</v>
      </c>
      <c r="AI1257">
        <f t="shared" si="217"/>
        <v>0</v>
      </c>
      <c r="AJ1257">
        <f t="shared" si="218"/>
        <v>0</v>
      </c>
      <c r="AK1257">
        <f t="shared" si="211"/>
        <v>0</v>
      </c>
      <c r="AL1257">
        <f t="shared" si="219"/>
        <v>0</v>
      </c>
    </row>
    <row r="1258" spans="1:38">
      <c r="A1258" t="s">
        <v>3901</v>
      </c>
      <c r="B1258" t="s">
        <v>3902</v>
      </c>
      <c r="C1258" s="1">
        <f t="shared" si="212"/>
        <v>45413</v>
      </c>
      <c r="D1258" t="s">
        <v>3903</v>
      </c>
      <c r="E1258">
        <v>151.6</v>
      </c>
      <c r="F1258">
        <v>6.3</v>
      </c>
      <c r="G1258" t="s">
        <v>30</v>
      </c>
      <c r="H1258" t="s">
        <v>31</v>
      </c>
      <c r="I1258" t="s">
        <v>32</v>
      </c>
      <c r="J1258">
        <v>240</v>
      </c>
      <c r="K1258" t="s">
        <v>49</v>
      </c>
      <c r="L1258" t="s">
        <v>113</v>
      </c>
      <c r="M1258" t="s">
        <v>35</v>
      </c>
      <c r="N1258" t="s">
        <v>164</v>
      </c>
      <c r="O1258" t="s">
        <v>7232</v>
      </c>
      <c r="P1258" t="s">
        <v>38</v>
      </c>
      <c r="Q1258" t="s">
        <v>38</v>
      </c>
      <c r="R1258">
        <v>1</v>
      </c>
      <c r="S1258" t="s">
        <v>38</v>
      </c>
      <c r="T1258">
        <v>8</v>
      </c>
      <c r="U1258">
        <v>3.5</v>
      </c>
      <c r="V1258">
        <v>21.8</v>
      </c>
      <c r="W1258" t="s">
        <v>39</v>
      </c>
      <c r="X1258" t="s">
        <v>63</v>
      </c>
      <c r="Y1258" t="s">
        <v>39</v>
      </c>
      <c r="Z1258" t="s">
        <v>108</v>
      </c>
      <c r="AA1258" t="s">
        <v>82</v>
      </c>
      <c r="AB1258" t="s">
        <v>83</v>
      </c>
      <c r="AC1258">
        <f t="shared" si="209"/>
        <v>0</v>
      </c>
      <c r="AD1258" s="12">
        <f t="shared" si="213"/>
        <v>1</v>
      </c>
      <c r="AE1258" s="12">
        <f t="shared" si="214"/>
        <v>0</v>
      </c>
      <c r="AF1258">
        <f t="shared" si="210"/>
        <v>0</v>
      </c>
      <c r="AG1258">
        <f t="shared" si="215"/>
        <v>1</v>
      </c>
      <c r="AH1258">
        <f t="shared" si="216"/>
        <v>0</v>
      </c>
      <c r="AI1258">
        <f t="shared" si="217"/>
        <v>0</v>
      </c>
      <c r="AJ1258">
        <f t="shared" si="218"/>
        <v>1</v>
      </c>
      <c r="AK1258">
        <f t="shared" si="211"/>
        <v>1</v>
      </c>
      <c r="AL1258">
        <f t="shared" si="219"/>
        <v>0</v>
      </c>
    </row>
    <row r="1259" spans="1:38">
      <c r="A1259" t="s">
        <v>3904</v>
      </c>
      <c r="B1259" t="s">
        <v>3905</v>
      </c>
      <c r="C1259" s="1">
        <f t="shared" si="212"/>
        <v>45597</v>
      </c>
      <c r="D1259" t="s">
        <v>3906</v>
      </c>
      <c r="E1259">
        <v>211.1</v>
      </c>
      <c r="F1259">
        <v>8.8000000000000007</v>
      </c>
      <c r="G1259" t="s">
        <v>30</v>
      </c>
      <c r="H1259" t="s">
        <v>31</v>
      </c>
      <c r="I1259" t="s">
        <v>32</v>
      </c>
      <c r="J1259">
        <v>240</v>
      </c>
      <c r="K1259" t="s">
        <v>49</v>
      </c>
      <c r="L1259" t="s">
        <v>70</v>
      </c>
      <c r="M1259" t="s">
        <v>35</v>
      </c>
      <c r="N1259" t="s">
        <v>414</v>
      </c>
      <c r="O1259" t="s">
        <v>7232</v>
      </c>
      <c r="P1259" t="s">
        <v>39</v>
      </c>
      <c r="Q1259" t="s">
        <v>38</v>
      </c>
      <c r="R1259">
        <v>0</v>
      </c>
      <c r="S1259" t="s">
        <v>38</v>
      </c>
      <c r="T1259">
        <v>10</v>
      </c>
      <c r="U1259">
        <v>0.1</v>
      </c>
      <c r="V1259">
        <v>0</v>
      </c>
      <c r="W1259" t="s">
        <v>39</v>
      </c>
      <c r="X1259" t="s">
        <v>63</v>
      </c>
      <c r="Y1259" t="s">
        <v>39</v>
      </c>
      <c r="Z1259" t="s">
        <v>108</v>
      </c>
      <c r="AA1259" t="s">
        <v>103</v>
      </c>
      <c r="AB1259" t="s">
        <v>43</v>
      </c>
      <c r="AC1259">
        <f t="shared" si="209"/>
        <v>0</v>
      </c>
      <c r="AD1259" s="12">
        <f t="shared" si="213"/>
        <v>1</v>
      </c>
      <c r="AE1259" s="12">
        <f t="shared" si="214"/>
        <v>0</v>
      </c>
      <c r="AF1259">
        <f t="shared" si="210"/>
        <v>0</v>
      </c>
      <c r="AG1259">
        <f t="shared" si="215"/>
        <v>1</v>
      </c>
      <c r="AH1259">
        <f t="shared" si="216"/>
        <v>0</v>
      </c>
      <c r="AI1259">
        <f t="shared" si="217"/>
        <v>0</v>
      </c>
      <c r="AJ1259">
        <f t="shared" si="218"/>
        <v>1</v>
      </c>
      <c r="AK1259">
        <f t="shared" si="211"/>
        <v>1</v>
      </c>
      <c r="AL1259">
        <f t="shared" si="219"/>
        <v>0</v>
      </c>
    </row>
    <row r="1260" spans="1:38">
      <c r="A1260" t="s">
        <v>3907</v>
      </c>
      <c r="B1260" t="s">
        <v>3908</v>
      </c>
      <c r="C1260" s="1">
        <f t="shared" si="212"/>
        <v>45505</v>
      </c>
      <c r="D1260" t="s">
        <v>3909</v>
      </c>
      <c r="E1260">
        <v>240.9</v>
      </c>
      <c r="F1260">
        <v>10</v>
      </c>
      <c r="G1260" t="s">
        <v>77</v>
      </c>
      <c r="H1260" t="s">
        <v>267</v>
      </c>
      <c r="I1260" t="s">
        <v>79</v>
      </c>
      <c r="J1260">
        <v>360</v>
      </c>
      <c r="K1260" t="s">
        <v>49</v>
      </c>
      <c r="L1260" t="s">
        <v>96</v>
      </c>
      <c r="M1260" t="s">
        <v>35</v>
      </c>
      <c r="N1260" t="s">
        <v>61</v>
      </c>
      <c r="O1260" t="s">
        <v>7232</v>
      </c>
      <c r="P1260" t="s">
        <v>39</v>
      </c>
      <c r="Q1260" t="s">
        <v>38</v>
      </c>
      <c r="R1260">
        <v>0</v>
      </c>
      <c r="S1260" t="s">
        <v>38</v>
      </c>
      <c r="T1260">
        <v>10</v>
      </c>
      <c r="U1260">
        <v>4.9000000000000004</v>
      </c>
      <c r="V1260">
        <v>18</v>
      </c>
      <c r="W1260" t="s">
        <v>38</v>
      </c>
      <c r="X1260" t="s">
        <v>52</v>
      </c>
      <c r="Y1260" t="s">
        <v>39</v>
      </c>
      <c r="Z1260" t="s">
        <v>81</v>
      </c>
      <c r="AA1260" t="s">
        <v>54</v>
      </c>
      <c r="AB1260" t="s">
        <v>55</v>
      </c>
      <c r="AC1260">
        <f t="shared" si="209"/>
        <v>1</v>
      </c>
      <c r="AD1260" s="12">
        <f t="shared" si="213"/>
        <v>0</v>
      </c>
      <c r="AE1260" s="12">
        <f t="shared" si="214"/>
        <v>0</v>
      </c>
      <c r="AF1260">
        <f t="shared" si="210"/>
        <v>0</v>
      </c>
      <c r="AG1260">
        <f t="shared" si="215"/>
        <v>1</v>
      </c>
      <c r="AH1260">
        <f t="shared" si="216"/>
        <v>0</v>
      </c>
      <c r="AI1260">
        <f t="shared" si="217"/>
        <v>0</v>
      </c>
      <c r="AJ1260">
        <f t="shared" si="218"/>
        <v>0</v>
      </c>
      <c r="AK1260">
        <f t="shared" si="211"/>
        <v>0</v>
      </c>
      <c r="AL1260">
        <f t="shared" si="219"/>
        <v>0</v>
      </c>
    </row>
    <row r="1261" spans="1:38">
      <c r="A1261" t="s">
        <v>3910</v>
      </c>
      <c r="B1261" t="s">
        <v>3911</v>
      </c>
      <c r="C1261" s="1">
        <f t="shared" si="212"/>
        <v>45536</v>
      </c>
      <c r="D1261" t="s">
        <v>3912</v>
      </c>
      <c r="E1261">
        <v>160.19999999999999</v>
      </c>
      <c r="F1261">
        <v>6.7</v>
      </c>
      <c r="G1261" t="s">
        <v>142</v>
      </c>
      <c r="H1261" t="s">
        <v>319</v>
      </c>
      <c r="I1261" t="s">
        <v>32</v>
      </c>
      <c r="J1261">
        <v>240</v>
      </c>
      <c r="K1261" t="s">
        <v>49</v>
      </c>
      <c r="L1261" t="s">
        <v>96</v>
      </c>
      <c r="M1261" t="s">
        <v>71</v>
      </c>
      <c r="N1261" t="s">
        <v>119</v>
      </c>
      <c r="O1261" t="s">
        <v>51</v>
      </c>
      <c r="P1261" t="s">
        <v>38</v>
      </c>
      <c r="Q1261" t="s">
        <v>39</v>
      </c>
      <c r="R1261">
        <v>1</v>
      </c>
      <c r="S1261" t="s">
        <v>39</v>
      </c>
      <c r="T1261">
        <v>8</v>
      </c>
      <c r="U1261">
        <v>6.9</v>
      </c>
      <c r="V1261">
        <v>21.7</v>
      </c>
      <c r="W1261" t="s">
        <v>38</v>
      </c>
      <c r="X1261" t="s">
        <v>52</v>
      </c>
      <c r="Y1261" t="s">
        <v>39</v>
      </c>
      <c r="Z1261" t="s">
        <v>108</v>
      </c>
      <c r="AA1261" t="s">
        <v>54</v>
      </c>
      <c r="AB1261" t="s">
        <v>83</v>
      </c>
      <c r="AC1261">
        <f t="shared" si="209"/>
        <v>1</v>
      </c>
      <c r="AD1261" s="12">
        <f t="shared" si="213"/>
        <v>0</v>
      </c>
      <c r="AE1261" s="12">
        <f t="shared" si="214"/>
        <v>0</v>
      </c>
      <c r="AF1261">
        <f t="shared" si="210"/>
        <v>1</v>
      </c>
      <c r="AG1261">
        <f t="shared" si="215"/>
        <v>0</v>
      </c>
      <c r="AH1261">
        <f t="shared" si="216"/>
        <v>0</v>
      </c>
      <c r="AI1261">
        <f t="shared" si="217"/>
        <v>0</v>
      </c>
      <c r="AJ1261">
        <f t="shared" si="218"/>
        <v>1</v>
      </c>
      <c r="AK1261">
        <f t="shared" si="211"/>
        <v>0</v>
      </c>
      <c r="AL1261">
        <f t="shared" si="219"/>
        <v>0</v>
      </c>
    </row>
    <row r="1262" spans="1:38">
      <c r="A1262" t="s">
        <v>3913</v>
      </c>
      <c r="B1262" t="s">
        <v>3914</v>
      </c>
      <c r="C1262" s="1">
        <f t="shared" si="212"/>
        <v>45474</v>
      </c>
      <c r="D1262" t="s">
        <v>3915</v>
      </c>
      <c r="E1262">
        <v>179.8</v>
      </c>
      <c r="F1262">
        <v>7.5</v>
      </c>
      <c r="G1262" t="s">
        <v>142</v>
      </c>
      <c r="H1262" t="s">
        <v>729</v>
      </c>
      <c r="I1262" t="s">
        <v>32</v>
      </c>
      <c r="J1262">
        <v>240</v>
      </c>
      <c r="K1262" t="s">
        <v>49</v>
      </c>
      <c r="L1262" t="s">
        <v>96</v>
      </c>
      <c r="M1262" t="s">
        <v>35</v>
      </c>
      <c r="N1262" t="s">
        <v>97</v>
      </c>
      <c r="O1262" t="s">
        <v>7232</v>
      </c>
      <c r="P1262" t="s">
        <v>39</v>
      </c>
      <c r="Q1262" t="s">
        <v>38</v>
      </c>
      <c r="R1262">
        <v>0</v>
      </c>
      <c r="S1262" t="s">
        <v>38</v>
      </c>
      <c r="T1262">
        <v>10</v>
      </c>
      <c r="U1262">
        <v>0.1</v>
      </c>
      <c r="V1262">
        <v>14.6</v>
      </c>
      <c r="W1262" t="s">
        <v>38</v>
      </c>
      <c r="X1262" t="s">
        <v>52</v>
      </c>
      <c r="Y1262" t="s">
        <v>38</v>
      </c>
      <c r="Z1262" t="s">
        <v>64</v>
      </c>
      <c r="AA1262" t="s">
        <v>42</v>
      </c>
      <c r="AB1262" t="s">
        <v>83</v>
      </c>
      <c r="AC1262">
        <f t="shared" si="209"/>
        <v>1</v>
      </c>
      <c r="AD1262" s="12">
        <f t="shared" si="213"/>
        <v>0</v>
      </c>
      <c r="AE1262" s="12">
        <f t="shared" si="214"/>
        <v>0</v>
      </c>
      <c r="AF1262">
        <f t="shared" si="210"/>
        <v>0</v>
      </c>
      <c r="AG1262">
        <f t="shared" si="215"/>
        <v>1</v>
      </c>
      <c r="AH1262">
        <f t="shared" si="216"/>
        <v>0</v>
      </c>
      <c r="AI1262">
        <f t="shared" si="217"/>
        <v>0</v>
      </c>
      <c r="AJ1262">
        <f t="shared" si="218"/>
        <v>1</v>
      </c>
      <c r="AK1262">
        <f t="shared" si="211"/>
        <v>0</v>
      </c>
      <c r="AL1262">
        <f t="shared" si="219"/>
        <v>1</v>
      </c>
    </row>
    <row r="1263" spans="1:38">
      <c r="A1263" t="s">
        <v>3916</v>
      </c>
      <c r="B1263" t="s">
        <v>3917</v>
      </c>
      <c r="C1263" s="1">
        <f t="shared" si="212"/>
        <v>45383</v>
      </c>
      <c r="D1263" t="s">
        <v>3918</v>
      </c>
      <c r="E1263">
        <v>90.8</v>
      </c>
      <c r="F1263">
        <v>3.8</v>
      </c>
      <c r="G1263" t="s">
        <v>59</v>
      </c>
      <c r="H1263" t="s">
        <v>127</v>
      </c>
      <c r="I1263" t="s">
        <v>48</v>
      </c>
      <c r="J1263">
        <v>120</v>
      </c>
      <c r="K1263" t="s">
        <v>49</v>
      </c>
      <c r="L1263" t="s">
        <v>70</v>
      </c>
      <c r="M1263" t="s">
        <v>71</v>
      </c>
      <c r="N1263" t="s">
        <v>119</v>
      </c>
      <c r="O1263" t="s">
        <v>51</v>
      </c>
      <c r="P1263" t="s">
        <v>38</v>
      </c>
      <c r="Q1263" t="s">
        <v>39</v>
      </c>
      <c r="R1263">
        <v>2</v>
      </c>
      <c r="S1263" t="s">
        <v>38</v>
      </c>
      <c r="T1263">
        <v>6</v>
      </c>
      <c r="U1263">
        <v>2</v>
      </c>
      <c r="V1263">
        <v>25.4</v>
      </c>
      <c r="W1263" t="s">
        <v>38</v>
      </c>
      <c r="X1263" t="s">
        <v>123</v>
      </c>
      <c r="Y1263" t="s">
        <v>38</v>
      </c>
      <c r="Z1263" t="s">
        <v>53</v>
      </c>
      <c r="AA1263" t="s">
        <v>82</v>
      </c>
      <c r="AB1263" t="s">
        <v>55</v>
      </c>
      <c r="AC1263">
        <f t="shared" si="209"/>
        <v>0</v>
      </c>
      <c r="AD1263" s="12">
        <f t="shared" si="213"/>
        <v>0</v>
      </c>
      <c r="AE1263" s="12">
        <f t="shared" si="214"/>
        <v>1</v>
      </c>
      <c r="AF1263">
        <f t="shared" si="210"/>
        <v>1</v>
      </c>
      <c r="AG1263">
        <f t="shared" si="215"/>
        <v>0</v>
      </c>
      <c r="AH1263">
        <f t="shared" si="216"/>
        <v>1</v>
      </c>
      <c r="AI1263">
        <f t="shared" si="217"/>
        <v>0</v>
      </c>
      <c r="AJ1263">
        <f t="shared" si="218"/>
        <v>0</v>
      </c>
      <c r="AK1263">
        <f t="shared" si="211"/>
        <v>0</v>
      </c>
      <c r="AL1263">
        <f t="shared" si="219"/>
        <v>1</v>
      </c>
    </row>
    <row r="1264" spans="1:38">
      <c r="A1264" t="s">
        <v>3919</v>
      </c>
      <c r="B1264" t="s">
        <v>3920</v>
      </c>
      <c r="C1264" s="1">
        <f t="shared" si="212"/>
        <v>45444</v>
      </c>
      <c r="D1264" t="s">
        <v>3921</v>
      </c>
      <c r="E1264">
        <v>146.9</v>
      </c>
      <c r="F1264">
        <v>6.1</v>
      </c>
      <c r="G1264" t="s">
        <v>142</v>
      </c>
      <c r="H1264" t="s">
        <v>240</v>
      </c>
      <c r="I1264" t="s">
        <v>32</v>
      </c>
      <c r="J1264">
        <v>240</v>
      </c>
      <c r="K1264" t="s">
        <v>49</v>
      </c>
      <c r="L1264" t="s">
        <v>70</v>
      </c>
      <c r="M1264" t="s">
        <v>35</v>
      </c>
      <c r="N1264" t="s">
        <v>61</v>
      </c>
      <c r="O1264" t="s">
        <v>7232</v>
      </c>
      <c r="P1264" t="s">
        <v>38</v>
      </c>
      <c r="Q1264" t="s">
        <v>38</v>
      </c>
      <c r="R1264">
        <v>1</v>
      </c>
      <c r="S1264" t="s">
        <v>38</v>
      </c>
      <c r="T1264">
        <v>8</v>
      </c>
      <c r="U1264">
        <v>0.2</v>
      </c>
      <c r="V1264">
        <v>10.4</v>
      </c>
      <c r="W1264" t="s">
        <v>39</v>
      </c>
      <c r="X1264" t="s">
        <v>123</v>
      </c>
      <c r="Y1264" t="s">
        <v>39</v>
      </c>
      <c r="Z1264" t="s">
        <v>73</v>
      </c>
      <c r="AA1264" t="s">
        <v>42</v>
      </c>
      <c r="AB1264" t="s">
        <v>55</v>
      </c>
      <c r="AC1264">
        <f t="shared" si="209"/>
        <v>0</v>
      </c>
      <c r="AD1264" s="12">
        <f t="shared" si="213"/>
        <v>0</v>
      </c>
      <c r="AE1264" s="12">
        <f t="shared" si="214"/>
        <v>1</v>
      </c>
      <c r="AF1264">
        <f t="shared" si="210"/>
        <v>0</v>
      </c>
      <c r="AG1264">
        <f t="shared" si="215"/>
        <v>1</v>
      </c>
      <c r="AH1264">
        <f t="shared" si="216"/>
        <v>0</v>
      </c>
      <c r="AI1264">
        <f t="shared" si="217"/>
        <v>0</v>
      </c>
      <c r="AJ1264">
        <f t="shared" si="218"/>
        <v>1</v>
      </c>
      <c r="AK1264">
        <f t="shared" si="211"/>
        <v>0</v>
      </c>
      <c r="AL1264">
        <f t="shared" si="219"/>
        <v>0</v>
      </c>
    </row>
    <row r="1265" spans="1:38">
      <c r="A1265" t="s">
        <v>3922</v>
      </c>
      <c r="B1265" t="s">
        <v>3923</v>
      </c>
      <c r="C1265" s="1">
        <f t="shared" si="212"/>
        <v>45383</v>
      </c>
      <c r="D1265" t="s">
        <v>3924</v>
      </c>
      <c r="E1265">
        <v>367.3</v>
      </c>
      <c r="F1265">
        <v>15.3</v>
      </c>
      <c r="G1265" t="s">
        <v>142</v>
      </c>
      <c r="H1265" t="s">
        <v>729</v>
      </c>
      <c r="I1265" t="s">
        <v>32</v>
      </c>
      <c r="J1265">
        <v>240</v>
      </c>
      <c r="K1265" t="s">
        <v>33</v>
      </c>
      <c r="L1265" t="s">
        <v>70</v>
      </c>
      <c r="M1265" t="s">
        <v>35</v>
      </c>
      <c r="N1265" t="s">
        <v>188</v>
      </c>
      <c r="O1265" t="s">
        <v>7232</v>
      </c>
      <c r="P1265" t="s">
        <v>39</v>
      </c>
      <c r="Q1265" t="s">
        <v>38</v>
      </c>
      <c r="R1265">
        <v>0</v>
      </c>
      <c r="S1265" t="s">
        <v>38</v>
      </c>
      <c r="T1265">
        <v>7</v>
      </c>
      <c r="U1265">
        <v>1.8</v>
      </c>
      <c r="V1265">
        <v>22.4</v>
      </c>
      <c r="W1265" t="s">
        <v>38</v>
      </c>
      <c r="X1265" t="s">
        <v>52</v>
      </c>
      <c r="Y1265" t="s">
        <v>38</v>
      </c>
      <c r="Z1265" t="s">
        <v>81</v>
      </c>
      <c r="AA1265" t="s">
        <v>82</v>
      </c>
      <c r="AB1265" t="s">
        <v>55</v>
      </c>
      <c r="AC1265">
        <f t="shared" si="209"/>
        <v>1</v>
      </c>
      <c r="AD1265" s="12">
        <f t="shared" si="213"/>
        <v>0</v>
      </c>
      <c r="AE1265" s="12">
        <f t="shared" si="214"/>
        <v>0</v>
      </c>
      <c r="AF1265">
        <f t="shared" si="210"/>
        <v>0</v>
      </c>
      <c r="AG1265">
        <f t="shared" si="215"/>
        <v>1</v>
      </c>
      <c r="AH1265">
        <f t="shared" si="216"/>
        <v>0</v>
      </c>
      <c r="AI1265">
        <f t="shared" si="217"/>
        <v>0</v>
      </c>
      <c r="AJ1265">
        <f t="shared" si="218"/>
        <v>1</v>
      </c>
      <c r="AK1265">
        <f t="shared" si="211"/>
        <v>0</v>
      </c>
      <c r="AL1265">
        <f t="shared" si="219"/>
        <v>1</v>
      </c>
    </row>
    <row r="1266" spans="1:38">
      <c r="A1266" t="s">
        <v>3925</v>
      </c>
      <c r="B1266" t="s">
        <v>3926</v>
      </c>
      <c r="C1266" s="1">
        <f t="shared" si="212"/>
        <v>45413</v>
      </c>
      <c r="D1266" t="s">
        <v>3927</v>
      </c>
      <c r="E1266">
        <v>339.5</v>
      </c>
      <c r="F1266">
        <v>14.1</v>
      </c>
      <c r="G1266" t="s">
        <v>93</v>
      </c>
      <c r="H1266" t="s">
        <v>94</v>
      </c>
      <c r="I1266" t="s">
        <v>79</v>
      </c>
      <c r="J1266">
        <v>360</v>
      </c>
      <c r="K1266" t="s">
        <v>49</v>
      </c>
      <c r="L1266" t="s">
        <v>96</v>
      </c>
      <c r="M1266" t="s">
        <v>35</v>
      </c>
      <c r="N1266" t="s">
        <v>138</v>
      </c>
      <c r="O1266" t="s">
        <v>37</v>
      </c>
      <c r="P1266" t="s">
        <v>38</v>
      </c>
      <c r="Q1266" t="s">
        <v>38</v>
      </c>
      <c r="R1266">
        <v>1</v>
      </c>
      <c r="S1266" t="s">
        <v>38</v>
      </c>
      <c r="T1266">
        <v>7</v>
      </c>
      <c r="U1266">
        <v>2.2999999999999998</v>
      </c>
      <c r="V1266">
        <v>0</v>
      </c>
      <c r="W1266" t="s">
        <v>39</v>
      </c>
      <c r="X1266" t="s">
        <v>123</v>
      </c>
      <c r="Y1266" t="s">
        <v>39</v>
      </c>
      <c r="Z1266" t="s">
        <v>41</v>
      </c>
      <c r="AA1266" t="s">
        <v>109</v>
      </c>
      <c r="AB1266" t="s">
        <v>83</v>
      </c>
      <c r="AC1266">
        <f t="shared" si="209"/>
        <v>0</v>
      </c>
      <c r="AD1266" s="12">
        <f t="shared" si="213"/>
        <v>0</v>
      </c>
      <c r="AE1266" s="12">
        <f t="shared" si="214"/>
        <v>1</v>
      </c>
      <c r="AF1266">
        <f t="shared" si="210"/>
        <v>0</v>
      </c>
      <c r="AG1266">
        <f t="shared" si="215"/>
        <v>0</v>
      </c>
      <c r="AH1266">
        <f t="shared" si="216"/>
        <v>0</v>
      </c>
      <c r="AI1266">
        <f t="shared" si="217"/>
        <v>0</v>
      </c>
      <c r="AJ1266">
        <f t="shared" si="218"/>
        <v>0</v>
      </c>
      <c r="AK1266">
        <f t="shared" si="211"/>
        <v>0</v>
      </c>
      <c r="AL1266">
        <f t="shared" si="219"/>
        <v>0</v>
      </c>
    </row>
    <row r="1267" spans="1:38">
      <c r="A1267" t="s">
        <v>3928</v>
      </c>
      <c r="B1267" t="s">
        <v>3929</v>
      </c>
      <c r="C1267" s="1">
        <f t="shared" si="212"/>
        <v>45323</v>
      </c>
      <c r="D1267" t="s">
        <v>3930</v>
      </c>
      <c r="E1267">
        <v>350.2</v>
      </c>
      <c r="F1267">
        <v>14.6</v>
      </c>
      <c r="G1267" t="s">
        <v>77</v>
      </c>
      <c r="H1267" t="s">
        <v>187</v>
      </c>
      <c r="I1267" t="s">
        <v>32</v>
      </c>
      <c r="J1267">
        <v>240</v>
      </c>
      <c r="K1267" t="s">
        <v>33</v>
      </c>
      <c r="L1267" t="s">
        <v>96</v>
      </c>
      <c r="M1267" t="s">
        <v>35</v>
      </c>
      <c r="N1267" t="s">
        <v>36</v>
      </c>
      <c r="O1267" t="s">
        <v>7232</v>
      </c>
      <c r="P1267" t="s">
        <v>39</v>
      </c>
      <c r="Q1267" t="s">
        <v>38</v>
      </c>
      <c r="R1267">
        <v>0</v>
      </c>
      <c r="S1267" t="s">
        <v>38</v>
      </c>
      <c r="T1267">
        <v>5</v>
      </c>
      <c r="U1267">
        <v>4.5999999999999996</v>
      </c>
      <c r="V1267">
        <v>26.9</v>
      </c>
      <c r="W1267" t="s">
        <v>38</v>
      </c>
      <c r="X1267" t="s">
        <v>40</v>
      </c>
      <c r="Y1267" t="s">
        <v>39</v>
      </c>
      <c r="Z1267" t="s">
        <v>64</v>
      </c>
      <c r="AA1267" t="s">
        <v>103</v>
      </c>
      <c r="AB1267" t="s">
        <v>55</v>
      </c>
      <c r="AC1267">
        <f t="shared" si="209"/>
        <v>0</v>
      </c>
      <c r="AD1267" s="12">
        <f t="shared" si="213"/>
        <v>0</v>
      </c>
      <c r="AE1267" s="12">
        <f t="shared" si="214"/>
        <v>0</v>
      </c>
      <c r="AF1267">
        <f t="shared" si="210"/>
        <v>0</v>
      </c>
      <c r="AG1267">
        <f t="shared" si="215"/>
        <v>1</v>
      </c>
      <c r="AH1267">
        <f t="shared" si="216"/>
        <v>0</v>
      </c>
      <c r="AI1267">
        <f t="shared" si="217"/>
        <v>0</v>
      </c>
      <c r="AJ1267">
        <f t="shared" si="218"/>
        <v>1</v>
      </c>
      <c r="AK1267">
        <f t="shared" si="211"/>
        <v>0</v>
      </c>
      <c r="AL1267">
        <f t="shared" si="219"/>
        <v>0</v>
      </c>
    </row>
    <row r="1268" spans="1:38">
      <c r="A1268" t="s">
        <v>3931</v>
      </c>
      <c r="B1268" t="s">
        <v>3932</v>
      </c>
      <c r="C1268" s="1">
        <f t="shared" si="212"/>
        <v>45383</v>
      </c>
      <c r="D1268" t="s">
        <v>3933</v>
      </c>
      <c r="E1268">
        <v>190</v>
      </c>
      <c r="F1268">
        <v>7.9</v>
      </c>
      <c r="G1268" t="s">
        <v>87</v>
      </c>
      <c r="H1268" t="s">
        <v>88</v>
      </c>
      <c r="I1268" t="s">
        <v>32</v>
      </c>
      <c r="J1268">
        <v>240</v>
      </c>
      <c r="K1268" t="s">
        <v>49</v>
      </c>
      <c r="L1268" t="s">
        <v>96</v>
      </c>
      <c r="M1268" t="s">
        <v>35</v>
      </c>
      <c r="N1268" t="s">
        <v>202</v>
      </c>
      <c r="O1268" t="s">
        <v>51</v>
      </c>
      <c r="P1268" t="s">
        <v>38</v>
      </c>
      <c r="Q1268" t="s">
        <v>38</v>
      </c>
      <c r="R1268">
        <v>1</v>
      </c>
      <c r="S1268" t="s">
        <v>38</v>
      </c>
      <c r="T1268">
        <v>7</v>
      </c>
      <c r="U1268">
        <v>2</v>
      </c>
      <c r="V1268">
        <v>39.299999999999997</v>
      </c>
      <c r="W1268" t="s">
        <v>39</v>
      </c>
      <c r="X1268" t="s">
        <v>123</v>
      </c>
      <c r="Y1268" t="s">
        <v>38</v>
      </c>
      <c r="Z1268" t="s">
        <v>81</v>
      </c>
      <c r="AA1268" t="s">
        <v>103</v>
      </c>
      <c r="AB1268" t="s">
        <v>55</v>
      </c>
      <c r="AC1268">
        <f t="shared" si="209"/>
        <v>0</v>
      </c>
      <c r="AD1268" s="12">
        <f t="shared" si="213"/>
        <v>0</v>
      </c>
      <c r="AE1268" s="12">
        <f t="shared" si="214"/>
        <v>1</v>
      </c>
      <c r="AF1268">
        <f t="shared" si="210"/>
        <v>1</v>
      </c>
      <c r="AG1268">
        <f t="shared" si="215"/>
        <v>0</v>
      </c>
      <c r="AH1268">
        <f t="shared" si="216"/>
        <v>0</v>
      </c>
      <c r="AI1268">
        <f t="shared" si="217"/>
        <v>0</v>
      </c>
      <c r="AJ1268">
        <f t="shared" si="218"/>
        <v>1</v>
      </c>
      <c r="AK1268">
        <f t="shared" si="211"/>
        <v>0</v>
      </c>
      <c r="AL1268">
        <f t="shared" si="219"/>
        <v>1</v>
      </c>
    </row>
    <row r="1269" spans="1:38">
      <c r="A1269" t="s">
        <v>3934</v>
      </c>
      <c r="B1269" t="s">
        <v>3935</v>
      </c>
      <c r="C1269" s="1">
        <f t="shared" si="212"/>
        <v>45597</v>
      </c>
      <c r="D1269" t="s">
        <v>3936</v>
      </c>
      <c r="E1269">
        <v>76.7</v>
      </c>
      <c r="F1269">
        <v>3.2</v>
      </c>
      <c r="G1269" t="s">
        <v>59</v>
      </c>
      <c r="H1269" t="s">
        <v>127</v>
      </c>
      <c r="I1269" t="s">
        <v>48</v>
      </c>
      <c r="J1269">
        <v>120</v>
      </c>
      <c r="K1269" t="s">
        <v>49</v>
      </c>
      <c r="L1269" t="s">
        <v>34</v>
      </c>
      <c r="M1269" t="s">
        <v>35</v>
      </c>
      <c r="N1269" t="s">
        <v>80</v>
      </c>
      <c r="O1269" t="s">
        <v>7232</v>
      </c>
      <c r="P1269" t="s">
        <v>39</v>
      </c>
      <c r="Q1269" t="s">
        <v>38</v>
      </c>
      <c r="R1269">
        <v>0</v>
      </c>
      <c r="S1269" t="s">
        <v>38</v>
      </c>
      <c r="T1269">
        <v>8</v>
      </c>
      <c r="U1269">
        <v>3</v>
      </c>
      <c r="V1269">
        <v>3.9</v>
      </c>
      <c r="W1269" t="s">
        <v>39</v>
      </c>
      <c r="X1269" t="s">
        <v>123</v>
      </c>
      <c r="Y1269" t="s">
        <v>39</v>
      </c>
      <c r="Z1269" t="s">
        <v>81</v>
      </c>
      <c r="AA1269" t="s">
        <v>82</v>
      </c>
      <c r="AB1269" t="s">
        <v>55</v>
      </c>
      <c r="AC1269">
        <f t="shared" si="209"/>
        <v>0</v>
      </c>
      <c r="AD1269" s="12">
        <f t="shared" si="213"/>
        <v>0</v>
      </c>
      <c r="AE1269" s="12">
        <f t="shared" si="214"/>
        <v>1</v>
      </c>
      <c r="AF1269">
        <f t="shared" si="210"/>
        <v>0</v>
      </c>
      <c r="AG1269">
        <f t="shared" si="215"/>
        <v>1</v>
      </c>
      <c r="AH1269">
        <f t="shared" si="216"/>
        <v>1</v>
      </c>
      <c r="AI1269">
        <f t="shared" si="217"/>
        <v>0</v>
      </c>
      <c r="AJ1269">
        <f t="shared" si="218"/>
        <v>0</v>
      </c>
      <c r="AK1269">
        <f t="shared" si="211"/>
        <v>0</v>
      </c>
      <c r="AL1269">
        <f t="shared" si="219"/>
        <v>0</v>
      </c>
    </row>
    <row r="1270" spans="1:38">
      <c r="A1270" t="s">
        <v>3937</v>
      </c>
      <c r="B1270" t="s">
        <v>3938</v>
      </c>
      <c r="C1270" s="1">
        <f t="shared" si="212"/>
        <v>45352</v>
      </c>
      <c r="D1270" t="s">
        <v>3939</v>
      </c>
      <c r="E1270">
        <v>36.200000000000003</v>
      </c>
      <c r="F1270">
        <v>1.5</v>
      </c>
      <c r="G1270" t="s">
        <v>87</v>
      </c>
      <c r="H1270" t="s">
        <v>309</v>
      </c>
      <c r="I1270" t="s">
        <v>95</v>
      </c>
      <c r="J1270">
        <v>48</v>
      </c>
      <c r="K1270" t="s">
        <v>49</v>
      </c>
      <c r="L1270" t="s">
        <v>113</v>
      </c>
      <c r="M1270" t="s">
        <v>71</v>
      </c>
      <c r="N1270" t="s">
        <v>220</v>
      </c>
      <c r="O1270" t="s">
        <v>51</v>
      </c>
      <c r="P1270" t="s">
        <v>38</v>
      </c>
      <c r="Q1270" t="s">
        <v>39</v>
      </c>
      <c r="R1270">
        <v>3</v>
      </c>
      <c r="S1270" t="s">
        <v>38</v>
      </c>
      <c r="T1270">
        <v>9</v>
      </c>
      <c r="U1270">
        <v>1.3</v>
      </c>
      <c r="V1270">
        <v>8.5</v>
      </c>
      <c r="W1270" t="s">
        <v>39</v>
      </c>
      <c r="X1270" t="s">
        <v>123</v>
      </c>
      <c r="Y1270" t="s">
        <v>39</v>
      </c>
      <c r="Z1270" t="s">
        <v>64</v>
      </c>
      <c r="AA1270" t="s">
        <v>54</v>
      </c>
      <c r="AB1270" t="s">
        <v>55</v>
      </c>
      <c r="AC1270">
        <f t="shared" si="209"/>
        <v>0</v>
      </c>
      <c r="AD1270" s="12">
        <f t="shared" si="213"/>
        <v>0</v>
      </c>
      <c r="AE1270" s="12">
        <f t="shared" si="214"/>
        <v>1</v>
      </c>
      <c r="AF1270">
        <f t="shared" si="210"/>
        <v>1</v>
      </c>
      <c r="AG1270">
        <f t="shared" si="215"/>
        <v>0</v>
      </c>
      <c r="AH1270">
        <f t="shared" si="216"/>
        <v>0</v>
      </c>
      <c r="AI1270">
        <f t="shared" si="217"/>
        <v>1</v>
      </c>
      <c r="AJ1270">
        <f t="shared" si="218"/>
        <v>0</v>
      </c>
      <c r="AK1270">
        <f t="shared" si="211"/>
        <v>0</v>
      </c>
      <c r="AL1270">
        <f t="shared" si="219"/>
        <v>0</v>
      </c>
    </row>
    <row r="1271" spans="1:38">
      <c r="A1271" t="s">
        <v>3940</v>
      </c>
      <c r="B1271" t="s">
        <v>3941</v>
      </c>
      <c r="C1271" s="1">
        <f t="shared" si="212"/>
        <v>45474</v>
      </c>
      <c r="D1271" t="s">
        <v>3942</v>
      </c>
      <c r="E1271">
        <v>101.6</v>
      </c>
      <c r="F1271">
        <v>4.2</v>
      </c>
      <c r="G1271" t="s">
        <v>77</v>
      </c>
      <c r="H1271" t="s">
        <v>267</v>
      </c>
      <c r="I1271" t="s">
        <v>48</v>
      </c>
      <c r="J1271">
        <v>120</v>
      </c>
      <c r="K1271" t="s">
        <v>49</v>
      </c>
      <c r="L1271" t="s">
        <v>133</v>
      </c>
      <c r="M1271" t="s">
        <v>35</v>
      </c>
      <c r="N1271" t="s">
        <v>277</v>
      </c>
      <c r="O1271" t="s">
        <v>51</v>
      </c>
      <c r="P1271" t="s">
        <v>39</v>
      </c>
      <c r="Q1271" t="s">
        <v>38</v>
      </c>
      <c r="R1271">
        <v>0</v>
      </c>
      <c r="S1271" t="s">
        <v>38</v>
      </c>
      <c r="T1271">
        <v>6</v>
      </c>
      <c r="U1271">
        <v>2</v>
      </c>
      <c r="V1271">
        <v>17.100000000000001</v>
      </c>
      <c r="W1271" t="s">
        <v>38</v>
      </c>
      <c r="X1271" t="s">
        <v>123</v>
      </c>
      <c r="Y1271" t="s">
        <v>39</v>
      </c>
      <c r="Z1271" t="s">
        <v>53</v>
      </c>
      <c r="AA1271" t="s">
        <v>109</v>
      </c>
      <c r="AB1271" t="s">
        <v>83</v>
      </c>
      <c r="AC1271">
        <f t="shared" si="209"/>
        <v>0</v>
      </c>
      <c r="AD1271" s="12">
        <f t="shared" si="213"/>
        <v>0</v>
      </c>
      <c r="AE1271" s="12">
        <f t="shared" si="214"/>
        <v>1</v>
      </c>
      <c r="AF1271">
        <f t="shared" si="210"/>
        <v>1</v>
      </c>
      <c r="AG1271">
        <f t="shared" si="215"/>
        <v>0</v>
      </c>
      <c r="AH1271">
        <f t="shared" si="216"/>
        <v>1</v>
      </c>
      <c r="AI1271">
        <f t="shared" si="217"/>
        <v>0</v>
      </c>
      <c r="AJ1271">
        <f t="shared" si="218"/>
        <v>0</v>
      </c>
      <c r="AK1271">
        <f t="shared" si="211"/>
        <v>0</v>
      </c>
      <c r="AL1271">
        <f t="shared" si="219"/>
        <v>0</v>
      </c>
    </row>
    <row r="1272" spans="1:38">
      <c r="A1272" t="s">
        <v>3943</v>
      </c>
      <c r="B1272" t="s">
        <v>3944</v>
      </c>
      <c r="C1272" s="1">
        <f t="shared" si="212"/>
        <v>45444</v>
      </c>
      <c r="D1272" t="s">
        <v>3945</v>
      </c>
      <c r="E1272">
        <v>727.4</v>
      </c>
      <c r="F1272">
        <v>30.3</v>
      </c>
      <c r="G1272" t="s">
        <v>87</v>
      </c>
      <c r="H1272" t="s">
        <v>183</v>
      </c>
      <c r="I1272" t="s">
        <v>79</v>
      </c>
      <c r="J1272">
        <v>360</v>
      </c>
      <c r="K1272" t="s">
        <v>33</v>
      </c>
      <c r="L1272" t="s">
        <v>133</v>
      </c>
      <c r="M1272" t="s">
        <v>71</v>
      </c>
      <c r="N1272" t="s">
        <v>61</v>
      </c>
      <c r="O1272" t="s">
        <v>37</v>
      </c>
      <c r="P1272" t="s">
        <v>38</v>
      </c>
      <c r="Q1272" t="s">
        <v>39</v>
      </c>
      <c r="R1272">
        <v>2</v>
      </c>
      <c r="S1272" t="s">
        <v>38</v>
      </c>
      <c r="T1272">
        <v>3</v>
      </c>
      <c r="U1272">
        <v>5.2</v>
      </c>
      <c r="V1272">
        <v>19.3</v>
      </c>
      <c r="W1272" t="s">
        <v>39</v>
      </c>
      <c r="X1272" t="s">
        <v>52</v>
      </c>
      <c r="Y1272" t="s">
        <v>38</v>
      </c>
      <c r="Z1272" t="s">
        <v>64</v>
      </c>
      <c r="AA1272" t="s">
        <v>109</v>
      </c>
      <c r="AB1272" t="s">
        <v>55</v>
      </c>
      <c r="AC1272">
        <f t="shared" si="209"/>
        <v>1</v>
      </c>
      <c r="AD1272" s="12">
        <f t="shared" si="213"/>
        <v>0</v>
      </c>
      <c r="AE1272" s="12">
        <f t="shared" si="214"/>
        <v>0</v>
      </c>
      <c r="AF1272">
        <f t="shared" si="210"/>
        <v>0</v>
      </c>
      <c r="AG1272">
        <f t="shared" si="215"/>
        <v>0</v>
      </c>
      <c r="AH1272">
        <f t="shared" si="216"/>
        <v>0</v>
      </c>
      <c r="AI1272">
        <f t="shared" si="217"/>
        <v>0</v>
      </c>
      <c r="AJ1272">
        <f t="shared" si="218"/>
        <v>0</v>
      </c>
      <c r="AK1272">
        <f t="shared" si="211"/>
        <v>0</v>
      </c>
      <c r="AL1272">
        <f t="shared" si="219"/>
        <v>1</v>
      </c>
    </row>
    <row r="1273" spans="1:38">
      <c r="A1273" t="s">
        <v>3946</v>
      </c>
      <c r="B1273" t="s">
        <v>3947</v>
      </c>
      <c r="C1273" s="1">
        <f t="shared" si="212"/>
        <v>45413</v>
      </c>
      <c r="D1273" t="s">
        <v>3948</v>
      </c>
      <c r="E1273">
        <v>93.9</v>
      </c>
      <c r="F1273">
        <v>3.9</v>
      </c>
      <c r="G1273" t="s">
        <v>59</v>
      </c>
      <c r="H1273" t="s">
        <v>281</v>
      </c>
      <c r="I1273" t="s">
        <v>48</v>
      </c>
      <c r="J1273">
        <v>120</v>
      </c>
      <c r="K1273" t="s">
        <v>49</v>
      </c>
      <c r="L1273" t="s">
        <v>113</v>
      </c>
      <c r="M1273" t="s">
        <v>35</v>
      </c>
      <c r="N1273" t="s">
        <v>164</v>
      </c>
      <c r="O1273" t="s">
        <v>51</v>
      </c>
      <c r="P1273" t="s">
        <v>38</v>
      </c>
      <c r="Q1273" t="s">
        <v>38</v>
      </c>
      <c r="R1273">
        <v>1</v>
      </c>
      <c r="S1273" t="s">
        <v>39</v>
      </c>
      <c r="T1273">
        <v>7</v>
      </c>
      <c r="U1273">
        <v>0.1</v>
      </c>
      <c r="V1273">
        <v>14</v>
      </c>
      <c r="W1273" t="s">
        <v>38</v>
      </c>
      <c r="X1273" t="s">
        <v>123</v>
      </c>
      <c r="Y1273" t="s">
        <v>39</v>
      </c>
      <c r="Z1273" t="s">
        <v>64</v>
      </c>
      <c r="AA1273" t="s">
        <v>42</v>
      </c>
      <c r="AB1273" t="s">
        <v>55</v>
      </c>
      <c r="AC1273">
        <f t="shared" si="209"/>
        <v>0</v>
      </c>
      <c r="AD1273" s="12">
        <f t="shared" si="213"/>
        <v>0</v>
      </c>
      <c r="AE1273" s="12">
        <f t="shared" si="214"/>
        <v>1</v>
      </c>
      <c r="AF1273">
        <f t="shared" si="210"/>
        <v>1</v>
      </c>
      <c r="AG1273">
        <f t="shared" si="215"/>
        <v>0</v>
      </c>
      <c r="AH1273">
        <f t="shared" si="216"/>
        <v>1</v>
      </c>
      <c r="AI1273">
        <f t="shared" si="217"/>
        <v>0</v>
      </c>
      <c r="AJ1273">
        <f t="shared" si="218"/>
        <v>0</v>
      </c>
      <c r="AK1273">
        <f t="shared" si="211"/>
        <v>0</v>
      </c>
      <c r="AL1273">
        <f t="shared" si="219"/>
        <v>0</v>
      </c>
    </row>
    <row r="1274" spans="1:38">
      <c r="A1274" t="s">
        <v>3949</v>
      </c>
      <c r="B1274" t="s">
        <v>3950</v>
      </c>
      <c r="C1274" s="1">
        <f t="shared" si="212"/>
        <v>45474</v>
      </c>
      <c r="D1274" t="s">
        <v>3951</v>
      </c>
      <c r="E1274">
        <v>355.7</v>
      </c>
      <c r="F1274">
        <v>14.8</v>
      </c>
      <c r="G1274" t="s">
        <v>30</v>
      </c>
      <c r="H1274" t="s">
        <v>47</v>
      </c>
      <c r="I1274" t="s">
        <v>32</v>
      </c>
      <c r="J1274">
        <v>240</v>
      </c>
      <c r="K1274" t="s">
        <v>33</v>
      </c>
      <c r="L1274" t="s">
        <v>96</v>
      </c>
      <c r="M1274" t="s">
        <v>35</v>
      </c>
      <c r="N1274" t="s">
        <v>506</v>
      </c>
      <c r="O1274" t="s">
        <v>51</v>
      </c>
      <c r="P1274" t="s">
        <v>39</v>
      </c>
      <c r="Q1274" t="s">
        <v>38</v>
      </c>
      <c r="R1274">
        <v>0</v>
      </c>
      <c r="S1274" t="s">
        <v>38</v>
      </c>
      <c r="T1274">
        <v>3</v>
      </c>
      <c r="U1274">
        <v>3.9</v>
      </c>
      <c r="V1274">
        <v>0</v>
      </c>
      <c r="W1274" t="s">
        <v>39</v>
      </c>
      <c r="X1274" t="s">
        <v>63</v>
      </c>
      <c r="Y1274" t="s">
        <v>39</v>
      </c>
      <c r="Z1274" t="s">
        <v>41</v>
      </c>
      <c r="AA1274" t="s">
        <v>54</v>
      </c>
      <c r="AB1274" t="s">
        <v>83</v>
      </c>
      <c r="AC1274">
        <f t="shared" si="209"/>
        <v>0</v>
      </c>
      <c r="AD1274" s="12">
        <f t="shared" si="213"/>
        <v>1</v>
      </c>
      <c r="AE1274" s="12">
        <f t="shared" si="214"/>
        <v>0</v>
      </c>
      <c r="AF1274">
        <f t="shared" si="210"/>
        <v>1</v>
      </c>
      <c r="AG1274">
        <f t="shared" si="215"/>
        <v>0</v>
      </c>
      <c r="AH1274">
        <f t="shared" si="216"/>
        <v>0</v>
      </c>
      <c r="AI1274">
        <f t="shared" si="217"/>
        <v>0</v>
      </c>
      <c r="AJ1274">
        <f t="shared" si="218"/>
        <v>1</v>
      </c>
      <c r="AK1274">
        <f t="shared" si="211"/>
        <v>1</v>
      </c>
      <c r="AL1274">
        <f t="shared" si="219"/>
        <v>0</v>
      </c>
    </row>
    <row r="1275" spans="1:38">
      <c r="A1275" t="s">
        <v>3952</v>
      </c>
      <c r="B1275" t="s">
        <v>3953</v>
      </c>
      <c r="C1275" s="1">
        <f t="shared" si="212"/>
        <v>45505</v>
      </c>
      <c r="D1275" t="s">
        <v>3954</v>
      </c>
      <c r="E1275">
        <v>168.1</v>
      </c>
      <c r="F1275">
        <v>7</v>
      </c>
      <c r="G1275" t="s">
        <v>142</v>
      </c>
      <c r="H1275" t="s">
        <v>143</v>
      </c>
      <c r="I1275" t="s">
        <v>32</v>
      </c>
      <c r="J1275">
        <v>240</v>
      </c>
      <c r="K1275" t="s">
        <v>49</v>
      </c>
      <c r="L1275" t="s">
        <v>96</v>
      </c>
      <c r="M1275" t="s">
        <v>35</v>
      </c>
      <c r="N1275" t="s">
        <v>277</v>
      </c>
      <c r="O1275" t="s">
        <v>7232</v>
      </c>
      <c r="P1275" t="s">
        <v>38</v>
      </c>
      <c r="Q1275" t="s">
        <v>38</v>
      </c>
      <c r="R1275">
        <v>1</v>
      </c>
      <c r="S1275" t="s">
        <v>38</v>
      </c>
      <c r="T1275">
        <v>10</v>
      </c>
      <c r="U1275">
        <v>4.5999999999999996</v>
      </c>
      <c r="V1275">
        <v>0.8</v>
      </c>
      <c r="W1275" t="s">
        <v>39</v>
      </c>
      <c r="X1275" t="s">
        <v>52</v>
      </c>
      <c r="Y1275" t="s">
        <v>39</v>
      </c>
      <c r="Z1275" t="s">
        <v>73</v>
      </c>
      <c r="AA1275" t="s">
        <v>42</v>
      </c>
      <c r="AB1275" t="s">
        <v>55</v>
      </c>
      <c r="AC1275">
        <f t="shared" si="209"/>
        <v>1</v>
      </c>
      <c r="AD1275" s="12">
        <f t="shared" si="213"/>
        <v>0</v>
      </c>
      <c r="AE1275" s="12">
        <f t="shared" si="214"/>
        <v>0</v>
      </c>
      <c r="AF1275">
        <f t="shared" si="210"/>
        <v>0</v>
      </c>
      <c r="AG1275">
        <f t="shared" si="215"/>
        <v>1</v>
      </c>
      <c r="AH1275">
        <f t="shared" si="216"/>
        <v>0</v>
      </c>
      <c r="AI1275">
        <f t="shared" si="217"/>
        <v>0</v>
      </c>
      <c r="AJ1275">
        <f t="shared" si="218"/>
        <v>1</v>
      </c>
      <c r="AK1275">
        <f t="shared" si="211"/>
        <v>0</v>
      </c>
      <c r="AL1275">
        <f t="shared" si="219"/>
        <v>0</v>
      </c>
    </row>
    <row r="1276" spans="1:38">
      <c r="A1276" t="s">
        <v>3955</v>
      </c>
      <c r="B1276" t="s">
        <v>3956</v>
      </c>
      <c r="C1276" s="1">
        <f t="shared" si="212"/>
        <v>45413</v>
      </c>
      <c r="D1276" t="s">
        <v>3957</v>
      </c>
      <c r="E1276">
        <v>300.10000000000002</v>
      </c>
      <c r="F1276">
        <v>12.5</v>
      </c>
      <c r="G1276" t="s">
        <v>77</v>
      </c>
      <c r="H1276" t="s">
        <v>244</v>
      </c>
      <c r="I1276" t="s">
        <v>79</v>
      </c>
      <c r="J1276">
        <v>360</v>
      </c>
      <c r="K1276" t="s">
        <v>49</v>
      </c>
      <c r="L1276" t="s">
        <v>96</v>
      </c>
      <c r="M1276" t="s">
        <v>35</v>
      </c>
      <c r="N1276" t="s">
        <v>155</v>
      </c>
      <c r="O1276" t="s">
        <v>7232</v>
      </c>
      <c r="P1276" t="s">
        <v>39</v>
      </c>
      <c r="Q1276" t="s">
        <v>38</v>
      </c>
      <c r="R1276">
        <v>0</v>
      </c>
      <c r="S1276" t="s">
        <v>39</v>
      </c>
      <c r="T1276">
        <v>10</v>
      </c>
      <c r="U1276">
        <v>0.1</v>
      </c>
      <c r="V1276">
        <v>25.6</v>
      </c>
      <c r="W1276" t="s">
        <v>39</v>
      </c>
      <c r="X1276" t="s">
        <v>63</v>
      </c>
      <c r="Y1276" t="s">
        <v>38</v>
      </c>
      <c r="Z1276" t="s">
        <v>179</v>
      </c>
      <c r="AA1276" t="s">
        <v>103</v>
      </c>
      <c r="AB1276" t="s">
        <v>55</v>
      </c>
      <c r="AC1276">
        <f t="shared" si="209"/>
        <v>0</v>
      </c>
      <c r="AD1276" s="12">
        <f t="shared" si="213"/>
        <v>1</v>
      </c>
      <c r="AE1276" s="12">
        <f t="shared" si="214"/>
        <v>0</v>
      </c>
      <c r="AF1276">
        <f t="shared" si="210"/>
        <v>0</v>
      </c>
      <c r="AG1276">
        <f t="shared" si="215"/>
        <v>1</v>
      </c>
      <c r="AH1276">
        <f t="shared" si="216"/>
        <v>0</v>
      </c>
      <c r="AI1276">
        <f t="shared" si="217"/>
        <v>0</v>
      </c>
      <c r="AJ1276">
        <f t="shared" si="218"/>
        <v>0</v>
      </c>
      <c r="AK1276">
        <f t="shared" si="211"/>
        <v>0</v>
      </c>
      <c r="AL1276">
        <f t="shared" si="219"/>
        <v>1</v>
      </c>
    </row>
    <row r="1277" spans="1:38">
      <c r="A1277" t="s">
        <v>3958</v>
      </c>
      <c r="B1277" t="s">
        <v>3959</v>
      </c>
      <c r="C1277" s="1">
        <f t="shared" si="212"/>
        <v>45566</v>
      </c>
      <c r="D1277" t="s">
        <v>3960</v>
      </c>
      <c r="E1277">
        <v>328.6</v>
      </c>
      <c r="F1277">
        <v>13.7</v>
      </c>
      <c r="G1277" t="s">
        <v>101</v>
      </c>
      <c r="H1277" t="s">
        <v>368</v>
      </c>
      <c r="I1277" t="s">
        <v>32</v>
      </c>
      <c r="J1277">
        <v>240</v>
      </c>
      <c r="K1277" t="s">
        <v>33</v>
      </c>
      <c r="L1277" t="s">
        <v>70</v>
      </c>
      <c r="M1277" t="s">
        <v>35</v>
      </c>
      <c r="N1277" t="s">
        <v>97</v>
      </c>
      <c r="O1277" t="s">
        <v>37</v>
      </c>
      <c r="P1277" t="s">
        <v>38</v>
      </c>
      <c r="Q1277" t="s">
        <v>38</v>
      </c>
      <c r="R1277">
        <v>1</v>
      </c>
      <c r="S1277" t="s">
        <v>38</v>
      </c>
      <c r="T1277">
        <v>4</v>
      </c>
      <c r="U1277">
        <v>1</v>
      </c>
      <c r="V1277">
        <v>0</v>
      </c>
      <c r="W1277" t="s">
        <v>39</v>
      </c>
      <c r="X1277" t="s">
        <v>123</v>
      </c>
      <c r="Y1277" t="s">
        <v>39</v>
      </c>
      <c r="Z1277" t="s">
        <v>179</v>
      </c>
      <c r="AA1277" t="s">
        <v>109</v>
      </c>
      <c r="AB1277" t="s">
        <v>83</v>
      </c>
      <c r="AC1277">
        <f t="shared" si="209"/>
        <v>0</v>
      </c>
      <c r="AD1277" s="12">
        <f t="shared" si="213"/>
        <v>0</v>
      </c>
      <c r="AE1277" s="12">
        <f t="shared" si="214"/>
        <v>1</v>
      </c>
      <c r="AF1277">
        <f t="shared" si="210"/>
        <v>0</v>
      </c>
      <c r="AG1277">
        <f t="shared" si="215"/>
        <v>0</v>
      </c>
      <c r="AH1277">
        <f t="shared" si="216"/>
        <v>0</v>
      </c>
      <c r="AI1277">
        <f t="shared" si="217"/>
        <v>0</v>
      </c>
      <c r="AJ1277">
        <f t="shared" si="218"/>
        <v>1</v>
      </c>
      <c r="AK1277">
        <f t="shared" si="211"/>
        <v>0</v>
      </c>
      <c r="AL1277">
        <f t="shared" si="219"/>
        <v>0</v>
      </c>
    </row>
    <row r="1278" spans="1:38">
      <c r="A1278" t="s">
        <v>3961</v>
      </c>
      <c r="B1278" t="s">
        <v>3962</v>
      </c>
      <c r="C1278" s="1">
        <f t="shared" si="212"/>
        <v>45474</v>
      </c>
      <c r="D1278" t="s">
        <v>3963</v>
      </c>
      <c r="E1278">
        <v>73.7</v>
      </c>
      <c r="F1278">
        <v>3.1</v>
      </c>
      <c r="G1278" t="s">
        <v>30</v>
      </c>
      <c r="H1278" t="s">
        <v>159</v>
      </c>
      <c r="I1278" t="s">
        <v>48</v>
      </c>
      <c r="J1278">
        <v>120</v>
      </c>
      <c r="K1278" t="s">
        <v>49</v>
      </c>
      <c r="L1278" t="s">
        <v>70</v>
      </c>
      <c r="M1278" t="s">
        <v>35</v>
      </c>
      <c r="N1278" t="s">
        <v>114</v>
      </c>
      <c r="O1278" t="s">
        <v>51</v>
      </c>
      <c r="P1278" t="s">
        <v>38</v>
      </c>
      <c r="Q1278" t="s">
        <v>38</v>
      </c>
      <c r="R1278">
        <v>1</v>
      </c>
      <c r="S1278" t="s">
        <v>38</v>
      </c>
      <c r="T1278">
        <v>9</v>
      </c>
      <c r="U1278">
        <v>5.3</v>
      </c>
      <c r="V1278">
        <v>31.2</v>
      </c>
      <c r="W1278" t="s">
        <v>39</v>
      </c>
      <c r="X1278" t="s">
        <v>52</v>
      </c>
      <c r="Y1278" t="s">
        <v>39</v>
      </c>
      <c r="Z1278" t="s">
        <v>115</v>
      </c>
      <c r="AA1278" t="s">
        <v>42</v>
      </c>
      <c r="AB1278" t="s">
        <v>55</v>
      </c>
      <c r="AC1278">
        <f t="shared" si="209"/>
        <v>1</v>
      </c>
      <c r="AD1278" s="12">
        <f t="shared" si="213"/>
        <v>0</v>
      </c>
      <c r="AE1278" s="12">
        <f t="shared" si="214"/>
        <v>0</v>
      </c>
      <c r="AF1278">
        <f t="shared" si="210"/>
        <v>1</v>
      </c>
      <c r="AG1278">
        <f t="shared" si="215"/>
        <v>0</v>
      </c>
      <c r="AH1278">
        <f t="shared" si="216"/>
        <v>1</v>
      </c>
      <c r="AI1278">
        <f t="shared" si="217"/>
        <v>0</v>
      </c>
      <c r="AJ1278">
        <f t="shared" si="218"/>
        <v>0</v>
      </c>
      <c r="AK1278">
        <f t="shared" si="211"/>
        <v>1</v>
      </c>
      <c r="AL1278">
        <f t="shared" si="219"/>
        <v>0</v>
      </c>
    </row>
    <row r="1279" spans="1:38">
      <c r="A1279" t="s">
        <v>3964</v>
      </c>
      <c r="B1279" t="s">
        <v>3965</v>
      </c>
      <c r="C1279" s="1">
        <f t="shared" si="212"/>
        <v>45323</v>
      </c>
      <c r="D1279" t="s">
        <v>3966</v>
      </c>
      <c r="E1279">
        <v>316.7</v>
      </c>
      <c r="F1279">
        <v>13.2</v>
      </c>
      <c r="G1279" t="s">
        <v>77</v>
      </c>
      <c r="H1279" t="s">
        <v>244</v>
      </c>
      <c r="I1279" t="s">
        <v>32</v>
      </c>
      <c r="J1279">
        <v>240</v>
      </c>
      <c r="K1279" t="s">
        <v>33</v>
      </c>
      <c r="L1279" t="s">
        <v>133</v>
      </c>
      <c r="M1279" t="s">
        <v>35</v>
      </c>
      <c r="N1279" t="s">
        <v>277</v>
      </c>
      <c r="O1279" t="s">
        <v>37</v>
      </c>
      <c r="P1279" t="s">
        <v>39</v>
      </c>
      <c r="Q1279" t="s">
        <v>38</v>
      </c>
      <c r="R1279">
        <v>0</v>
      </c>
      <c r="S1279" t="s">
        <v>38</v>
      </c>
      <c r="T1279">
        <v>4</v>
      </c>
      <c r="U1279">
        <v>3.4</v>
      </c>
      <c r="V1279">
        <v>35.700000000000003</v>
      </c>
      <c r="W1279" t="s">
        <v>38</v>
      </c>
      <c r="X1279" t="s">
        <v>52</v>
      </c>
      <c r="Y1279" t="s">
        <v>39</v>
      </c>
      <c r="Z1279" t="s">
        <v>41</v>
      </c>
      <c r="AA1279" t="s">
        <v>103</v>
      </c>
      <c r="AB1279" t="s">
        <v>55</v>
      </c>
      <c r="AC1279">
        <f t="shared" si="209"/>
        <v>1</v>
      </c>
      <c r="AD1279" s="12">
        <f t="shared" si="213"/>
        <v>0</v>
      </c>
      <c r="AE1279" s="12">
        <f t="shared" si="214"/>
        <v>0</v>
      </c>
      <c r="AF1279">
        <f t="shared" si="210"/>
        <v>0</v>
      </c>
      <c r="AG1279">
        <f t="shared" si="215"/>
        <v>0</v>
      </c>
      <c r="AH1279">
        <f t="shared" si="216"/>
        <v>0</v>
      </c>
      <c r="AI1279">
        <f t="shared" si="217"/>
        <v>0</v>
      </c>
      <c r="AJ1279">
        <f t="shared" si="218"/>
        <v>1</v>
      </c>
      <c r="AK1279">
        <f t="shared" si="211"/>
        <v>0</v>
      </c>
      <c r="AL1279">
        <f t="shared" si="219"/>
        <v>0</v>
      </c>
    </row>
    <row r="1280" spans="1:38">
      <c r="A1280" t="s">
        <v>3967</v>
      </c>
      <c r="B1280" t="s">
        <v>3968</v>
      </c>
      <c r="C1280" s="1">
        <f t="shared" si="212"/>
        <v>45474</v>
      </c>
      <c r="D1280" t="s">
        <v>3969</v>
      </c>
      <c r="E1280">
        <v>197.9</v>
      </c>
      <c r="F1280">
        <v>8.1999999999999993</v>
      </c>
      <c r="G1280" t="s">
        <v>142</v>
      </c>
      <c r="H1280" t="s">
        <v>729</v>
      </c>
      <c r="I1280" t="s">
        <v>32</v>
      </c>
      <c r="J1280">
        <v>240</v>
      </c>
      <c r="K1280" t="s">
        <v>49</v>
      </c>
      <c r="L1280" t="s">
        <v>34</v>
      </c>
      <c r="M1280" t="s">
        <v>35</v>
      </c>
      <c r="N1280" t="s">
        <v>128</v>
      </c>
      <c r="O1280" t="s">
        <v>37</v>
      </c>
      <c r="P1280" t="s">
        <v>38</v>
      </c>
      <c r="Q1280" t="s">
        <v>38</v>
      </c>
      <c r="R1280">
        <v>1</v>
      </c>
      <c r="S1280" t="s">
        <v>38</v>
      </c>
      <c r="T1280">
        <v>7</v>
      </c>
      <c r="U1280">
        <v>1.2</v>
      </c>
      <c r="V1280">
        <v>42</v>
      </c>
      <c r="W1280" t="s">
        <v>38</v>
      </c>
      <c r="X1280" t="s">
        <v>123</v>
      </c>
      <c r="Y1280" t="s">
        <v>39</v>
      </c>
      <c r="Z1280" t="s">
        <v>179</v>
      </c>
      <c r="AA1280" t="s">
        <v>103</v>
      </c>
      <c r="AB1280" t="s">
        <v>83</v>
      </c>
      <c r="AC1280">
        <f t="shared" si="209"/>
        <v>0</v>
      </c>
      <c r="AD1280" s="12">
        <f t="shared" si="213"/>
        <v>0</v>
      </c>
      <c r="AE1280" s="12">
        <f t="shared" si="214"/>
        <v>1</v>
      </c>
      <c r="AF1280">
        <f t="shared" si="210"/>
        <v>0</v>
      </c>
      <c r="AG1280">
        <f t="shared" si="215"/>
        <v>0</v>
      </c>
      <c r="AH1280">
        <f t="shared" si="216"/>
        <v>0</v>
      </c>
      <c r="AI1280">
        <f t="shared" si="217"/>
        <v>0</v>
      </c>
      <c r="AJ1280">
        <f t="shared" si="218"/>
        <v>1</v>
      </c>
      <c r="AK1280">
        <f t="shared" si="211"/>
        <v>0</v>
      </c>
      <c r="AL1280">
        <f t="shared" si="219"/>
        <v>0</v>
      </c>
    </row>
    <row r="1281" spans="1:38">
      <c r="A1281" t="s">
        <v>3970</v>
      </c>
      <c r="B1281" t="s">
        <v>3971</v>
      </c>
      <c r="C1281" s="1">
        <f t="shared" si="212"/>
        <v>45536</v>
      </c>
      <c r="D1281" t="s">
        <v>3972</v>
      </c>
      <c r="E1281">
        <v>287.10000000000002</v>
      </c>
      <c r="F1281">
        <v>12</v>
      </c>
      <c r="G1281" t="s">
        <v>101</v>
      </c>
      <c r="H1281" t="s">
        <v>102</v>
      </c>
      <c r="I1281" t="s">
        <v>79</v>
      </c>
      <c r="J1281">
        <v>360</v>
      </c>
      <c r="K1281" t="s">
        <v>49</v>
      </c>
      <c r="L1281" t="s">
        <v>70</v>
      </c>
      <c r="M1281" t="s">
        <v>35</v>
      </c>
      <c r="N1281" t="s">
        <v>192</v>
      </c>
      <c r="O1281" t="s">
        <v>37</v>
      </c>
      <c r="P1281" t="s">
        <v>38</v>
      </c>
      <c r="Q1281" t="s">
        <v>38</v>
      </c>
      <c r="R1281">
        <v>1</v>
      </c>
      <c r="S1281" t="s">
        <v>38</v>
      </c>
      <c r="T1281">
        <v>8</v>
      </c>
      <c r="U1281">
        <v>2.9</v>
      </c>
      <c r="V1281">
        <v>48.7</v>
      </c>
      <c r="W1281" t="s">
        <v>39</v>
      </c>
      <c r="X1281" t="s">
        <v>52</v>
      </c>
      <c r="Y1281" t="s">
        <v>39</v>
      </c>
      <c r="Z1281" t="s">
        <v>64</v>
      </c>
      <c r="AA1281" t="s">
        <v>42</v>
      </c>
      <c r="AB1281" t="s">
        <v>83</v>
      </c>
      <c r="AC1281">
        <f t="shared" si="209"/>
        <v>1</v>
      </c>
      <c r="AD1281" s="12">
        <f t="shared" si="213"/>
        <v>0</v>
      </c>
      <c r="AE1281" s="12">
        <f t="shared" si="214"/>
        <v>0</v>
      </c>
      <c r="AF1281">
        <f t="shared" si="210"/>
        <v>0</v>
      </c>
      <c r="AG1281">
        <f t="shared" si="215"/>
        <v>0</v>
      </c>
      <c r="AH1281">
        <f t="shared" si="216"/>
        <v>0</v>
      </c>
      <c r="AI1281">
        <f t="shared" si="217"/>
        <v>0</v>
      </c>
      <c r="AJ1281">
        <f t="shared" si="218"/>
        <v>0</v>
      </c>
      <c r="AK1281">
        <f t="shared" si="211"/>
        <v>0</v>
      </c>
      <c r="AL1281">
        <f t="shared" si="219"/>
        <v>0</v>
      </c>
    </row>
    <row r="1282" spans="1:38">
      <c r="A1282" t="s">
        <v>3973</v>
      </c>
      <c r="B1282" t="s">
        <v>3974</v>
      </c>
      <c r="C1282" s="1">
        <f t="shared" si="212"/>
        <v>45627</v>
      </c>
      <c r="D1282" t="s">
        <v>3975</v>
      </c>
      <c r="E1282">
        <v>88</v>
      </c>
      <c r="F1282">
        <v>3.7</v>
      </c>
      <c r="G1282" t="s">
        <v>59</v>
      </c>
      <c r="H1282" t="s">
        <v>281</v>
      </c>
      <c r="I1282" t="s">
        <v>48</v>
      </c>
      <c r="J1282">
        <v>120</v>
      </c>
      <c r="K1282" t="s">
        <v>49</v>
      </c>
      <c r="L1282" t="s">
        <v>70</v>
      </c>
      <c r="M1282" t="s">
        <v>71</v>
      </c>
      <c r="N1282" t="s">
        <v>164</v>
      </c>
      <c r="O1282" t="s">
        <v>7232</v>
      </c>
      <c r="P1282" t="s">
        <v>38</v>
      </c>
      <c r="Q1282" t="s">
        <v>39</v>
      </c>
      <c r="R1282">
        <v>1</v>
      </c>
      <c r="S1282" t="s">
        <v>38</v>
      </c>
      <c r="T1282">
        <v>8</v>
      </c>
      <c r="U1282">
        <v>2.2999999999999998</v>
      </c>
      <c r="V1282">
        <v>2.2999999999999998</v>
      </c>
      <c r="W1282" t="s">
        <v>39</v>
      </c>
      <c r="X1282" t="s">
        <v>63</v>
      </c>
      <c r="Y1282" t="s">
        <v>39</v>
      </c>
      <c r="Z1282" t="s">
        <v>53</v>
      </c>
      <c r="AA1282" t="s">
        <v>54</v>
      </c>
      <c r="AB1282" t="s">
        <v>43</v>
      </c>
      <c r="AC1282">
        <f t="shared" ref="AC1282:AC1345" si="220">IF(X1282="Poor", 1, 0)</f>
        <v>0</v>
      </c>
      <c r="AD1282" s="12">
        <f t="shared" si="213"/>
        <v>1</v>
      </c>
      <c r="AE1282" s="12">
        <f t="shared" si="214"/>
        <v>0</v>
      </c>
      <c r="AF1282">
        <f t="shared" ref="AF1282:AF1345" si="221">IF(O1282="Junior", 1, 0)</f>
        <v>0</v>
      </c>
      <c r="AG1282">
        <f t="shared" si="215"/>
        <v>1</v>
      </c>
      <c r="AH1282">
        <f t="shared" si="216"/>
        <v>1</v>
      </c>
      <c r="AI1282">
        <f t="shared" si="217"/>
        <v>0</v>
      </c>
      <c r="AJ1282">
        <f t="shared" si="218"/>
        <v>0</v>
      </c>
      <c r="AK1282">
        <f t="shared" ref="AK1282:AK1345" si="222">IF(G1282="Access Requests", 1, 0)</f>
        <v>0</v>
      </c>
      <c r="AL1282">
        <f t="shared" si="219"/>
        <v>0</v>
      </c>
    </row>
    <row r="1283" spans="1:38">
      <c r="A1283" t="s">
        <v>3976</v>
      </c>
      <c r="B1283" t="s">
        <v>3977</v>
      </c>
      <c r="C1283" s="1">
        <f t="shared" ref="C1283:C1346" si="223">DATE(YEAR(B1283),MONTH(B1283),1)</f>
        <v>45444</v>
      </c>
      <c r="D1283" t="s">
        <v>3978</v>
      </c>
      <c r="E1283">
        <v>101.3</v>
      </c>
      <c r="F1283">
        <v>4.2</v>
      </c>
      <c r="G1283" t="s">
        <v>59</v>
      </c>
      <c r="H1283" t="s">
        <v>127</v>
      </c>
      <c r="I1283" t="s">
        <v>48</v>
      </c>
      <c r="J1283">
        <v>120</v>
      </c>
      <c r="K1283" t="s">
        <v>49</v>
      </c>
      <c r="L1283" t="s">
        <v>113</v>
      </c>
      <c r="M1283" t="s">
        <v>35</v>
      </c>
      <c r="N1283" t="s">
        <v>192</v>
      </c>
      <c r="O1283" t="s">
        <v>37</v>
      </c>
      <c r="P1283" t="s">
        <v>38</v>
      </c>
      <c r="Q1283" t="s">
        <v>38</v>
      </c>
      <c r="R1283">
        <v>1</v>
      </c>
      <c r="S1283" t="s">
        <v>38</v>
      </c>
      <c r="T1283">
        <v>7</v>
      </c>
      <c r="U1283">
        <v>0.1</v>
      </c>
      <c r="V1283">
        <v>22.7</v>
      </c>
      <c r="W1283" t="s">
        <v>39</v>
      </c>
      <c r="X1283" t="s">
        <v>123</v>
      </c>
      <c r="Y1283" t="s">
        <v>38</v>
      </c>
      <c r="Z1283" t="s">
        <v>64</v>
      </c>
      <c r="AA1283" t="s">
        <v>109</v>
      </c>
      <c r="AB1283" t="s">
        <v>83</v>
      </c>
      <c r="AC1283">
        <f t="shared" si="220"/>
        <v>0</v>
      </c>
      <c r="AD1283" s="12">
        <f t="shared" ref="AD1283:AD1346" si="224">IF(X1283="Fair", 1, 0)</f>
        <v>0</v>
      </c>
      <c r="AE1283" s="12">
        <f t="shared" ref="AE1283:AE1346" si="225">IF(X1283="Good", 1, 0)</f>
        <v>1</v>
      </c>
      <c r="AF1283">
        <f t="shared" si="221"/>
        <v>0</v>
      </c>
      <c r="AG1283">
        <f t="shared" ref="AG1283:AG1346" si="226">IF(O1283="Mid", 1, 0)</f>
        <v>0</v>
      </c>
      <c r="AH1283">
        <f t="shared" ref="AH1283:AH1346" si="227">IF(I1283="High", 1, 0)</f>
        <v>1</v>
      </c>
      <c r="AI1283">
        <f t="shared" ref="AI1283:AI1346" si="228">IF(I1283="Critical", 1, 0)</f>
        <v>0</v>
      </c>
      <c r="AJ1283">
        <f t="shared" ref="AJ1283:AJ1346" si="229">IF(I1283="Medium", 1, 0)</f>
        <v>0</v>
      </c>
      <c r="AK1283">
        <f t="shared" si="222"/>
        <v>0</v>
      </c>
      <c r="AL1283">
        <f t="shared" ref="AL1283:AL1346" si="230">IF(Y1283="No", 1, 0)</f>
        <v>1</v>
      </c>
    </row>
    <row r="1284" spans="1:38">
      <c r="A1284" t="s">
        <v>3979</v>
      </c>
      <c r="B1284" t="s">
        <v>3980</v>
      </c>
      <c r="C1284" s="1">
        <f t="shared" si="223"/>
        <v>45413</v>
      </c>
      <c r="D1284" t="s">
        <v>3981</v>
      </c>
      <c r="E1284">
        <v>356.1</v>
      </c>
      <c r="F1284">
        <v>14.8</v>
      </c>
      <c r="G1284" t="s">
        <v>101</v>
      </c>
      <c r="H1284" t="s">
        <v>442</v>
      </c>
      <c r="I1284" t="s">
        <v>32</v>
      </c>
      <c r="J1284">
        <v>240</v>
      </c>
      <c r="K1284" t="s">
        <v>33</v>
      </c>
      <c r="L1284" t="s">
        <v>70</v>
      </c>
      <c r="M1284" t="s">
        <v>71</v>
      </c>
      <c r="N1284" t="s">
        <v>114</v>
      </c>
      <c r="O1284" t="s">
        <v>37</v>
      </c>
      <c r="P1284" t="s">
        <v>38</v>
      </c>
      <c r="Q1284" t="s">
        <v>39</v>
      </c>
      <c r="R1284">
        <v>2</v>
      </c>
      <c r="S1284" t="s">
        <v>38</v>
      </c>
      <c r="T1284">
        <v>4</v>
      </c>
      <c r="U1284">
        <v>2.2000000000000002</v>
      </c>
      <c r="V1284">
        <v>46.5</v>
      </c>
      <c r="W1284" t="s">
        <v>39</v>
      </c>
      <c r="X1284" t="s">
        <v>123</v>
      </c>
      <c r="Y1284" t="s">
        <v>38</v>
      </c>
      <c r="Z1284" t="s">
        <v>108</v>
      </c>
      <c r="AA1284" t="s">
        <v>42</v>
      </c>
      <c r="AB1284" t="s">
        <v>55</v>
      </c>
      <c r="AC1284">
        <f t="shared" si="220"/>
        <v>0</v>
      </c>
      <c r="AD1284" s="12">
        <f t="shared" si="224"/>
        <v>0</v>
      </c>
      <c r="AE1284" s="12">
        <f t="shared" si="225"/>
        <v>1</v>
      </c>
      <c r="AF1284">
        <f t="shared" si="221"/>
        <v>0</v>
      </c>
      <c r="AG1284">
        <f t="shared" si="226"/>
        <v>0</v>
      </c>
      <c r="AH1284">
        <f t="shared" si="227"/>
        <v>0</v>
      </c>
      <c r="AI1284">
        <f t="shared" si="228"/>
        <v>0</v>
      </c>
      <c r="AJ1284">
        <f t="shared" si="229"/>
        <v>1</v>
      </c>
      <c r="AK1284">
        <f t="shared" si="222"/>
        <v>0</v>
      </c>
      <c r="AL1284">
        <f t="shared" si="230"/>
        <v>1</v>
      </c>
    </row>
    <row r="1285" spans="1:38">
      <c r="A1285" t="s">
        <v>3982</v>
      </c>
      <c r="B1285" t="s">
        <v>3983</v>
      </c>
      <c r="C1285" s="1">
        <f t="shared" si="223"/>
        <v>45413</v>
      </c>
      <c r="D1285" t="s">
        <v>3984</v>
      </c>
      <c r="E1285">
        <v>49.7</v>
      </c>
      <c r="F1285">
        <v>2.1</v>
      </c>
      <c r="G1285" t="s">
        <v>30</v>
      </c>
      <c r="H1285" t="s">
        <v>31</v>
      </c>
      <c r="I1285" t="s">
        <v>95</v>
      </c>
      <c r="J1285">
        <v>48</v>
      </c>
      <c r="K1285" t="s">
        <v>33</v>
      </c>
      <c r="L1285" t="s">
        <v>34</v>
      </c>
      <c r="M1285" t="s">
        <v>35</v>
      </c>
      <c r="N1285" t="s">
        <v>192</v>
      </c>
      <c r="O1285" t="s">
        <v>51</v>
      </c>
      <c r="P1285" t="s">
        <v>39</v>
      </c>
      <c r="Q1285" t="s">
        <v>38</v>
      </c>
      <c r="R1285">
        <v>0</v>
      </c>
      <c r="S1285" t="s">
        <v>38</v>
      </c>
      <c r="T1285">
        <v>3</v>
      </c>
      <c r="U1285">
        <v>2</v>
      </c>
      <c r="V1285">
        <v>0</v>
      </c>
      <c r="W1285" t="s">
        <v>39</v>
      </c>
      <c r="X1285" t="s">
        <v>63</v>
      </c>
      <c r="Y1285" t="s">
        <v>39</v>
      </c>
      <c r="Z1285" t="s">
        <v>73</v>
      </c>
      <c r="AA1285" t="s">
        <v>109</v>
      </c>
      <c r="AB1285" t="s">
        <v>83</v>
      </c>
      <c r="AC1285">
        <f t="shared" si="220"/>
        <v>0</v>
      </c>
      <c r="AD1285" s="12">
        <f t="shared" si="224"/>
        <v>1</v>
      </c>
      <c r="AE1285" s="12">
        <f t="shared" si="225"/>
        <v>0</v>
      </c>
      <c r="AF1285">
        <f t="shared" si="221"/>
        <v>1</v>
      </c>
      <c r="AG1285">
        <f t="shared" si="226"/>
        <v>0</v>
      </c>
      <c r="AH1285">
        <f t="shared" si="227"/>
        <v>0</v>
      </c>
      <c r="AI1285">
        <f t="shared" si="228"/>
        <v>1</v>
      </c>
      <c r="AJ1285">
        <f t="shared" si="229"/>
        <v>0</v>
      </c>
      <c r="AK1285">
        <f t="shared" si="222"/>
        <v>1</v>
      </c>
      <c r="AL1285">
        <f t="shared" si="230"/>
        <v>0</v>
      </c>
    </row>
    <row r="1286" spans="1:38">
      <c r="A1286" t="s">
        <v>3985</v>
      </c>
      <c r="B1286" t="s">
        <v>3986</v>
      </c>
      <c r="C1286" s="1">
        <f t="shared" si="223"/>
        <v>45383</v>
      </c>
      <c r="D1286" t="s">
        <v>3987</v>
      </c>
      <c r="E1286">
        <v>214.9</v>
      </c>
      <c r="F1286">
        <v>9</v>
      </c>
      <c r="G1286" t="s">
        <v>30</v>
      </c>
      <c r="H1286" t="s">
        <v>47</v>
      </c>
      <c r="I1286" t="s">
        <v>32</v>
      </c>
      <c r="J1286">
        <v>240</v>
      </c>
      <c r="K1286" t="s">
        <v>49</v>
      </c>
      <c r="L1286" t="s">
        <v>96</v>
      </c>
      <c r="M1286" t="s">
        <v>71</v>
      </c>
      <c r="N1286" t="s">
        <v>277</v>
      </c>
      <c r="O1286" t="s">
        <v>51</v>
      </c>
      <c r="P1286" t="s">
        <v>38</v>
      </c>
      <c r="Q1286" t="s">
        <v>39</v>
      </c>
      <c r="R1286">
        <v>3</v>
      </c>
      <c r="S1286" t="s">
        <v>39</v>
      </c>
      <c r="T1286">
        <v>7</v>
      </c>
      <c r="U1286">
        <v>0.8</v>
      </c>
      <c r="V1286">
        <v>11.6</v>
      </c>
      <c r="W1286" t="s">
        <v>39</v>
      </c>
      <c r="X1286" t="s">
        <v>63</v>
      </c>
      <c r="Y1286" t="s">
        <v>38</v>
      </c>
      <c r="Z1286" t="s">
        <v>53</v>
      </c>
      <c r="AA1286" t="s">
        <v>103</v>
      </c>
      <c r="AB1286" t="s">
        <v>83</v>
      </c>
      <c r="AC1286">
        <f t="shared" si="220"/>
        <v>0</v>
      </c>
      <c r="AD1286" s="12">
        <f t="shared" si="224"/>
        <v>1</v>
      </c>
      <c r="AE1286" s="12">
        <f t="shared" si="225"/>
        <v>0</v>
      </c>
      <c r="AF1286">
        <f t="shared" si="221"/>
        <v>1</v>
      </c>
      <c r="AG1286">
        <f t="shared" si="226"/>
        <v>0</v>
      </c>
      <c r="AH1286">
        <f t="shared" si="227"/>
        <v>0</v>
      </c>
      <c r="AI1286">
        <f t="shared" si="228"/>
        <v>0</v>
      </c>
      <c r="AJ1286">
        <f t="shared" si="229"/>
        <v>1</v>
      </c>
      <c r="AK1286">
        <f t="shared" si="222"/>
        <v>1</v>
      </c>
      <c r="AL1286">
        <f t="shared" si="230"/>
        <v>1</v>
      </c>
    </row>
    <row r="1287" spans="1:38">
      <c r="A1287" t="s">
        <v>3988</v>
      </c>
      <c r="B1287" t="s">
        <v>3989</v>
      </c>
      <c r="C1287" s="1">
        <f t="shared" si="223"/>
        <v>45352</v>
      </c>
      <c r="D1287" t="s">
        <v>3990</v>
      </c>
      <c r="E1287">
        <v>171.7</v>
      </c>
      <c r="F1287">
        <v>7.2</v>
      </c>
      <c r="G1287" t="s">
        <v>30</v>
      </c>
      <c r="H1287" t="s">
        <v>159</v>
      </c>
      <c r="I1287" t="s">
        <v>32</v>
      </c>
      <c r="J1287">
        <v>240</v>
      </c>
      <c r="K1287" t="s">
        <v>49</v>
      </c>
      <c r="L1287" t="s">
        <v>70</v>
      </c>
      <c r="M1287" t="s">
        <v>35</v>
      </c>
      <c r="N1287" t="s">
        <v>168</v>
      </c>
      <c r="O1287" t="s">
        <v>7232</v>
      </c>
      <c r="P1287" t="s">
        <v>38</v>
      </c>
      <c r="Q1287" t="s">
        <v>38</v>
      </c>
      <c r="R1287">
        <v>1</v>
      </c>
      <c r="S1287" t="s">
        <v>39</v>
      </c>
      <c r="T1287">
        <v>10</v>
      </c>
      <c r="U1287">
        <v>4</v>
      </c>
      <c r="V1287">
        <v>23</v>
      </c>
      <c r="W1287" t="s">
        <v>38</v>
      </c>
      <c r="X1287" t="s">
        <v>123</v>
      </c>
      <c r="Y1287" t="s">
        <v>38</v>
      </c>
      <c r="Z1287" t="s">
        <v>53</v>
      </c>
      <c r="AA1287" t="s">
        <v>54</v>
      </c>
      <c r="AB1287" t="s">
        <v>55</v>
      </c>
      <c r="AC1287">
        <f t="shared" si="220"/>
        <v>0</v>
      </c>
      <c r="AD1287" s="12">
        <f t="shared" si="224"/>
        <v>0</v>
      </c>
      <c r="AE1287" s="12">
        <f t="shared" si="225"/>
        <v>1</v>
      </c>
      <c r="AF1287">
        <f t="shared" si="221"/>
        <v>0</v>
      </c>
      <c r="AG1287">
        <f t="shared" si="226"/>
        <v>1</v>
      </c>
      <c r="AH1287">
        <f t="shared" si="227"/>
        <v>0</v>
      </c>
      <c r="AI1287">
        <f t="shared" si="228"/>
        <v>0</v>
      </c>
      <c r="AJ1287">
        <f t="shared" si="229"/>
        <v>1</v>
      </c>
      <c r="AK1287">
        <f t="shared" si="222"/>
        <v>1</v>
      </c>
      <c r="AL1287">
        <f t="shared" si="230"/>
        <v>1</v>
      </c>
    </row>
    <row r="1288" spans="1:38">
      <c r="A1288" t="s">
        <v>3991</v>
      </c>
      <c r="B1288" t="s">
        <v>3992</v>
      </c>
      <c r="C1288" s="1">
        <f t="shared" si="223"/>
        <v>45444</v>
      </c>
      <c r="D1288" t="s">
        <v>3993</v>
      </c>
      <c r="E1288">
        <v>174</v>
      </c>
      <c r="F1288">
        <v>7.3</v>
      </c>
      <c r="G1288" t="s">
        <v>30</v>
      </c>
      <c r="H1288" t="s">
        <v>47</v>
      </c>
      <c r="I1288" t="s">
        <v>32</v>
      </c>
      <c r="J1288">
        <v>240</v>
      </c>
      <c r="K1288" t="s">
        <v>49</v>
      </c>
      <c r="L1288" t="s">
        <v>113</v>
      </c>
      <c r="M1288" t="s">
        <v>35</v>
      </c>
      <c r="N1288" t="s">
        <v>36</v>
      </c>
      <c r="O1288" t="s">
        <v>37</v>
      </c>
      <c r="P1288" t="s">
        <v>39</v>
      </c>
      <c r="Q1288" t="s">
        <v>38</v>
      </c>
      <c r="R1288">
        <v>0</v>
      </c>
      <c r="S1288" t="s">
        <v>38</v>
      </c>
      <c r="T1288">
        <v>10</v>
      </c>
      <c r="U1288">
        <v>3.7</v>
      </c>
      <c r="V1288">
        <v>26.2</v>
      </c>
      <c r="W1288" t="s">
        <v>39</v>
      </c>
      <c r="X1288" t="s">
        <v>52</v>
      </c>
      <c r="Y1288" t="s">
        <v>39</v>
      </c>
      <c r="Z1288" t="s">
        <v>64</v>
      </c>
      <c r="AA1288" t="s">
        <v>54</v>
      </c>
      <c r="AB1288" t="s">
        <v>83</v>
      </c>
      <c r="AC1288">
        <f t="shared" si="220"/>
        <v>1</v>
      </c>
      <c r="AD1288" s="12">
        <f t="shared" si="224"/>
        <v>0</v>
      </c>
      <c r="AE1288" s="12">
        <f t="shared" si="225"/>
        <v>0</v>
      </c>
      <c r="AF1288">
        <f t="shared" si="221"/>
        <v>0</v>
      </c>
      <c r="AG1288">
        <f t="shared" si="226"/>
        <v>0</v>
      </c>
      <c r="AH1288">
        <f t="shared" si="227"/>
        <v>0</v>
      </c>
      <c r="AI1288">
        <f t="shared" si="228"/>
        <v>0</v>
      </c>
      <c r="AJ1288">
        <f t="shared" si="229"/>
        <v>1</v>
      </c>
      <c r="AK1288">
        <f t="shared" si="222"/>
        <v>1</v>
      </c>
      <c r="AL1288">
        <f t="shared" si="230"/>
        <v>0</v>
      </c>
    </row>
    <row r="1289" spans="1:38">
      <c r="A1289" t="s">
        <v>3994</v>
      </c>
      <c r="B1289" t="s">
        <v>3995</v>
      </c>
      <c r="C1289" s="1">
        <f t="shared" si="223"/>
        <v>45536</v>
      </c>
      <c r="D1289" t="s">
        <v>3996</v>
      </c>
      <c r="E1289">
        <v>165.5</v>
      </c>
      <c r="F1289">
        <v>6.9</v>
      </c>
      <c r="G1289" t="s">
        <v>142</v>
      </c>
      <c r="H1289" t="s">
        <v>729</v>
      </c>
      <c r="I1289" t="s">
        <v>32</v>
      </c>
      <c r="J1289">
        <v>240</v>
      </c>
      <c r="K1289" t="s">
        <v>49</v>
      </c>
      <c r="L1289" t="s">
        <v>34</v>
      </c>
      <c r="M1289" t="s">
        <v>35</v>
      </c>
      <c r="N1289" t="s">
        <v>220</v>
      </c>
      <c r="O1289" t="s">
        <v>7232</v>
      </c>
      <c r="P1289" t="s">
        <v>39</v>
      </c>
      <c r="Q1289" t="s">
        <v>38</v>
      </c>
      <c r="R1289">
        <v>0</v>
      </c>
      <c r="S1289" t="s">
        <v>38</v>
      </c>
      <c r="T1289">
        <v>9</v>
      </c>
      <c r="U1289">
        <v>0.8</v>
      </c>
      <c r="V1289">
        <v>24.3</v>
      </c>
      <c r="W1289" t="s">
        <v>39</v>
      </c>
      <c r="X1289" t="s">
        <v>123</v>
      </c>
      <c r="Y1289" t="s">
        <v>38</v>
      </c>
      <c r="Z1289" t="s">
        <v>108</v>
      </c>
      <c r="AA1289" t="s">
        <v>109</v>
      </c>
      <c r="AB1289" t="s">
        <v>55</v>
      </c>
      <c r="AC1289">
        <f t="shared" si="220"/>
        <v>0</v>
      </c>
      <c r="AD1289" s="12">
        <f t="shared" si="224"/>
        <v>0</v>
      </c>
      <c r="AE1289" s="12">
        <f t="shared" si="225"/>
        <v>1</v>
      </c>
      <c r="AF1289">
        <f t="shared" si="221"/>
        <v>0</v>
      </c>
      <c r="AG1289">
        <f t="shared" si="226"/>
        <v>1</v>
      </c>
      <c r="AH1289">
        <f t="shared" si="227"/>
        <v>0</v>
      </c>
      <c r="AI1289">
        <f t="shared" si="228"/>
        <v>0</v>
      </c>
      <c r="AJ1289">
        <f t="shared" si="229"/>
        <v>1</v>
      </c>
      <c r="AK1289">
        <f t="shared" si="222"/>
        <v>0</v>
      </c>
      <c r="AL1289">
        <f t="shared" si="230"/>
        <v>1</v>
      </c>
    </row>
    <row r="1290" spans="1:38">
      <c r="A1290" t="s">
        <v>3997</v>
      </c>
      <c r="B1290" t="s">
        <v>3998</v>
      </c>
      <c r="C1290" s="1">
        <f t="shared" si="223"/>
        <v>45323</v>
      </c>
      <c r="D1290" t="s">
        <v>3999</v>
      </c>
      <c r="E1290">
        <v>536.9</v>
      </c>
      <c r="F1290">
        <v>22.4</v>
      </c>
      <c r="G1290" t="s">
        <v>77</v>
      </c>
      <c r="H1290" t="s">
        <v>267</v>
      </c>
      <c r="I1290" t="s">
        <v>79</v>
      </c>
      <c r="J1290">
        <v>360</v>
      </c>
      <c r="K1290" t="s">
        <v>33</v>
      </c>
      <c r="L1290" t="s">
        <v>70</v>
      </c>
      <c r="M1290" t="s">
        <v>35</v>
      </c>
      <c r="N1290" t="s">
        <v>80</v>
      </c>
      <c r="O1290" t="s">
        <v>51</v>
      </c>
      <c r="P1290" t="s">
        <v>39</v>
      </c>
      <c r="Q1290" t="s">
        <v>38</v>
      </c>
      <c r="R1290">
        <v>0</v>
      </c>
      <c r="S1290" t="s">
        <v>39</v>
      </c>
      <c r="T1290">
        <v>8</v>
      </c>
      <c r="U1290">
        <v>4.5</v>
      </c>
      <c r="V1290">
        <v>18</v>
      </c>
      <c r="W1290" t="s">
        <v>39</v>
      </c>
      <c r="X1290" t="s">
        <v>52</v>
      </c>
      <c r="Y1290" t="s">
        <v>39</v>
      </c>
      <c r="Z1290" t="s">
        <v>41</v>
      </c>
      <c r="AA1290" t="s">
        <v>109</v>
      </c>
      <c r="AB1290" t="s">
        <v>55</v>
      </c>
      <c r="AC1290">
        <f t="shared" si="220"/>
        <v>1</v>
      </c>
      <c r="AD1290" s="12">
        <f t="shared" si="224"/>
        <v>0</v>
      </c>
      <c r="AE1290" s="12">
        <f t="shared" si="225"/>
        <v>0</v>
      </c>
      <c r="AF1290">
        <f t="shared" si="221"/>
        <v>1</v>
      </c>
      <c r="AG1290">
        <f t="shared" si="226"/>
        <v>0</v>
      </c>
      <c r="AH1290">
        <f t="shared" si="227"/>
        <v>0</v>
      </c>
      <c r="AI1290">
        <f t="shared" si="228"/>
        <v>0</v>
      </c>
      <c r="AJ1290">
        <f t="shared" si="229"/>
        <v>0</v>
      </c>
      <c r="AK1290">
        <f t="shared" si="222"/>
        <v>0</v>
      </c>
      <c r="AL1290">
        <f t="shared" si="230"/>
        <v>0</v>
      </c>
    </row>
    <row r="1291" spans="1:38">
      <c r="A1291" t="s">
        <v>4000</v>
      </c>
      <c r="B1291" t="s">
        <v>4001</v>
      </c>
      <c r="C1291" s="1">
        <f t="shared" si="223"/>
        <v>45352</v>
      </c>
      <c r="D1291" t="s">
        <v>4002</v>
      </c>
      <c r="E1291">
        <v>156.5</v>
      </c>
      <c r="F1291">
        <v>6.5</v>
      </c>
      <c r="G1291" t="s">
        <v>142</v>
      </c>
      <c r="H1291" t="s">
        <v>729</v>
      </c>
      <c r="I1291" t="s">
        <v>32</v>
      </c>
      <c r="J1291">
        <v>240</v>
      </c>
      <c r="K1291" t="s">
        <v>49</v>
      </c>
      <c r="L1291" t="s">
        <v>70</v>
      </c>
      <c r="M1291" t="s">
        <v>35</v>
      </c>
      <c r="N1291" t="s">
        <v>144</v>
      </c>
      <c r="O1291" t="s">
        <v>51</v>
      </c>
      <c r="P1291" t="s">
        <v>38</v>
      </c>
      <c r="Q1291" t="s">
        <v>38</v>
      </c>
      <c r="R1291">
        <v>1</v>
      </c>
      <c r="S1291" t="s">
        <v>38</v>
      </c>
      <c r="T1291">
        <v>9</v>
      </c>
      <c r="U1291">
        <v>2.4</v>
      </c>
      <c r="V1291">
        <v>33.6</v>
      </c>
      <c r="W1291" t="s">
        <v>39</v>
      </c>
      <c r="X1291" t="s">
        <v>52</v>
      </c>
      <c r="Y1291" t="s">
        <v>39</v>
      </c>
      <c r="Z1291" t="s">
        <v>53</v>
      </c>
      <c r="AA1291" t="s">
        <v>109</v>
      </c>
      <c r="AB1291" t="s">
        <v>83</v>
      </c>
      <c r="AC1291">
        <f t="shared" si="220"/>
        <v>1</v>
      </c>
      <c r="AD1291" s="12">
        <f t="shared" si="224"/>
        <v>0</v>
      </c>
      <c r="AE1291" s="12">
        <f t="shared" si="225"/>
        <v>0</v>
      </c>
      <c r="AF1291">
        <f t="shared" si="221"/>
        <v>1</v>
      </c>
      <c r="AG1291">
        <f t="shared" si="226"/>
        <v>0</v>
      </c>
      <c r="AH1291">
        <f t="shared" si="227"/>
        <v>0</v>
      </c>
      <c r="AI1291">
        <f t="shared" si="228"/>
        <v>0</v>
      </c>
      <c r="AJ1291">
        <f t="shared" si="229"/>
        <v>1</v>
      </c>
      <c r="AK1291">
        <f t="shared" si="222"/>
        <v>0</v>
      </c>
      <c r="AL1291">
        <f t="shared" si="230"/>
        <v>0</v>
      </c>
    </row>
    <row r="1292" spans="1:38">
      <c r="A1292" t="s">
        <v>4003</v>
      </c>
      <c r="B1292" t="s">
        <v>4004</v>
      </c>
      <c r="C1292" s="1">
        <f t="shared" si="223"/>
        <v>45383</v>
      </c>
      <c r="D1292" t="s">
        <v>4005</v>
      </c>
      <c r="E1292">
        <v>41.4</v>
      </c>
      <c r="F1292">
        <v>1.7</v>
      </c>
      <c r="G1292" t="s">
        <v>142</v>
      </c>
      <c r="H1292" t="s">
        <v>729</v>
      </c>
      <c r="I1292" t="s">
        <v>95</v>
      </c>
      <c r="J1292">
        <v>48</v>
      </c>
      <c r="K1292" t="s">
        <v>49</v>
      </c>
      <c r="L1292" t="s">
        <v>113</v>
      </c>
      <c r="M1292" t="s">
        <v>35</v>
      </c>
      <c r="N1292" t="s">
        <v>89</v>
      </c>
      <c r="O1292" t="s">
        <v>37</v>
      </c>
      <c r="P1292" t="s">
        <v>38</v>
      </c>
      <c r="Q1292" t="s">
        <v>38</v>
      </c>
      <c r="R1292">
        <v>1</v>
      </c>
      <c r="S1292" t="s">
        <v>38</v>
      </c>
      <c r="T1292">
        <v>8</v>
      </c>
      <c r="U1292">
        <v>3.7</v>
      </c>
      <c r="V1292">
        <v>45.2</v>
      </c>
      <c r="W1292" t="s">
        <v>39</v>
      </c>
      <c r="X1292" t="s">
        <v>63</v>
      </c>
      <c r="Y1292" t="s">
        <v>39</v>
      </c>
      <c r="Z1292" t="s">
        <v>41</v>
      </c>
      <c r="AA1292" t="s">
        <v>42</v>
      </c>
      <c r="AB1292" t="s">
        <v>55</v>
      </c>
      <c r="AC1292">
        <f t="shared" si="220"/>
        <v>0</v>
      </c>
      <c r="AD1292" s="12">
        <f t="shared" si="224"/>
        <v>1</v>
      </c>
      <c r="AE1292" s="12">
        <f t="shared" si="225"/>
        <v>0</v>
      </c>
      <c r="AF1292">
        <f t="shared" si="221"/>
        <v>0</v>
      </c>
      <c r="AG1292">
        <f t="shared" si="226"/>
        <v>0</v>
      </c>
      <c r="AH1292">
        <f t="shared" si="227"/>
        <v>0</v>
      </c>
      <c r="AI1292">
        <f t="shared" si="228"/>
        <v>1</v>
      </c>
      <c r="AJ1292">
        <f t="shared" si="229"/>
        <v>0</v>
      </c>
      <c r="AK1292">
        <f t="shared" si="222"/>
        <v>0</v>
      </c>
      <c r="AL1292">
        <f t="shared" si="230"/>
        <v>0</v>
      </c>
    </row>
    <row r="1293" spans="1:38">
      <c r="A1293" t="s">
        <v>4006</v>
      </c>
      <c r="B1293" t="s">
        <v>4007</v>
      </c>
      <c r="C1293" s="1">
        <f t="shared" si="223"/>
        <v>45444</v>
      </c>
      <c r="D1293" t="s">
        <v>4008</v>
      </c>
      <c r="E1293">
        <v>88.9</v>
      </c>
      <c r="F1293">
        <v>3.7</v>
      </c>
      <c r="G1293" t="s">
        <v>87</v>
      </c>
      <c r="H1293" t="s">
        <v>309</v>
      </c>
      <c r="I1293" t="s">
        <v>48</v>
      </c>
      <c r="J1293">
        <v>120</v>
      </c>
      <c r="K1293" t="s">
        <v>49</v>
      </c>
      <c r="L1293" t="s">
        <v>96</v>
      </c>
      <c r="M1293" t="s">
        <v>35</v>
      </c>
      <c r="N1293" t="s">
        <v>144</v>
      </c>
      <c r="O1293" t="s">
        <v>51</v>
      </c>
      <c r="P1293" t="s">
        <v>38</v>
      </c>
      <c r="Q1293" t="s">
        <v>38</v>
      </c>
      <c r="R1293">
        <v>1</v>
      </c>
      <c r="S1293" t="s">
        <v>38</v>
      </c>
      <c r="T1293">
        <v>9</v>
      </c>
      <c r="U1293">
        <v>2.6</v>
      </c>
      <c r="V1293">
        <v>30.3</v>
      </c>
      <c r="W1293" t="s">
        <v>39</v>
      </c>
      <c r="X1293" t="s">
        <v>63</v>
      </c>
      <c r="Y1293" t="s">
        <v>39</v>
      </c>
      <c r="Z1293" t="s">
        <v>53</v>
      </c>
      <c r="AA1293" t="s">
        <v>109</v>
      </c>
      <c r="AB1293" t="s">
        <v>55</v>
      </c>
      <c r="AC1293">
        <f t="shared" si="220"/>
        <v>0</v>
      </c>
      <c r="AD1293" s="12">
        <f t="shared" si="224"/>
        <v>1</v>
      </c>
      <c r="AE1293" s="12">
        <f t="shared" si="225"/>
        <v>0</v>
      </c>
      <c r="AF1293">
        <f t="shared" si="221"/>
        <v>1</v>
      </c>
      <c r="AG1293">
        <f t="shared" si="226"/>
        <v>0</v>
      </c>
      <c r="AH1293">
        <f t="shared" si="227"/>
        <v>1</v>
      </c>
      <c r="AI1293">
        <f t="shared" si="228"/>
        <v>0</v>
      </c>
      <c r="AJ1293">
        <f t="shared" si="229"/>
        <v>0</v>
      </c>
      <c r="AK1293">
        <f t="shared" si="222"/>
        <v>0</v>
      </c>
      <c r="AL1293">
        <f t="shared" si="230"/>
        <v>0</v>
      </c>
    </row>
    <row r="1294" spans="1:38">
      <c r="A1294" t="s">
        <v>4009</v>
      </c>
      <c r="B1294" t="s">
        <v>4010</v>
      </c>
      <c r="C1294" s="1">
        <f t="shared" si="223"/>
        <v>45383</v>
      </c>
      <c r="D1294" t="s">
        <v>4011</v>
      </c>
      <c r="E1294">
        <v>621.1</v>
      </c>
      <c r="F1294">
        <v>25.9</v>
      </c>
      <c r="G1294" t="s">
        <v>93</v>
      </c>
      <c r="H1294" t="s">
        <v>163</v>
      </c>
      <c r="I1294" t="s">
        <v>32</v>
      </c>
      <c r="J1294">
        <v>240</v>
      </c>
      <c r="K1294" t="s">
        <v>33</v>
      </c>
      <c r="L1294" t="s">
        <v>96</v>
      </c>
      <c r="M1294" t="s">
        <v>71</v>
      </c>
      <c r="N1294" t="s">
        <v>188</v>
      </c>
      <c r="O1294" t="s">
        <v>37</v>
      </c>
      <c r="P1294" t="s">
        <v>38</v>
      </c>
      <c r="Q1294" t="s">
        <v>39</v>
      </c>
      <c r="R1294">
        <v>4</v>
      </c>
      <c r="S1294" t="s">
        <v>38</v>
      </c>
      <c r="T1294">
        <v>6</v>
      </c>
      <c r="U1294">
        <v>4.5999999999999996</v>
      </c>
      <c r="V1294">
        <v>7.8</v>
      </c>
      <c r="W1294" t="s">
        <v>39</v>
      </c>
      <c r="X1294" t="s">
        <v>63</v>
      </c>
      <c r="Y1294" t="s">
        <v>38</v>
      </c>
      <c r="Z1294" t="s">
        <v>41</v>
      </c>
      <c r="AA1294" t="s">
        <v>42</v>
      </c>
      <c r="AB1294" t="s">
        <v>55</v>
      </c>
      <c r="AC1294">
        <f t="shared" si="220"/>
        <v>0</v>
      </c>
      <c r="AD1294" s="12">
        <f t="shared" si="224"/>
        <v>1</v>
      </c>
      <c r="AE1294" s="12">
        <f t="shared" si="225"/>
        <v>0</v>
      </c>
      <c r="AF1294">
        <f t="shared" si="221"/>
        <v>0</v>
      </c>
      <c r="AG1294">
        <f t="shared" si="226"/>
        <v>0</v>
      </c>
      <c r="AH1294">
        <f t="shared" si="227"/>
        <v>0</v>
      </c>
      <c r="AI1294">
        <f t="shared" si="228"/>
        <v>0</v>
      </c>
      <c r="AJ1294">
        <f t="shared" si="229"/>
        <v>1</v>
      </c>
      <c r="AK1294">
        <f t="shared" si="222"/>
        <v>0</v>
      </c>
      <c r="AL1294">
        <f t="shared" si="230"/>
        <v>1</v>
      </c>
    </row>
    <row r="1295" spans="1:38">
      <c r="A1295" t="s">
        <v>4012</v>
      </c>
      <c r="B1295" t="s">
        <v>4013</v>
      </c>
      <c r="C1295" s="1">
        <f t="shared" si="223"/>
        <v>45383</v>
      </c>
      <c r="D1295" t="s">
        <v>4014</v>
      </c>
      <c r="E1295">
        <v>142.80000000000001</v>
      </c>
      <c r="F1295">
        <v>6</v>
      </c>
      <c r="G1295" t="s">
        <v>87</v>
      </c>
      <c r="H1295" t="s">
        <v>183</v>
      </c>
      <c r="I1295" t="s">
        <v>48</v>
      </c>
      <c r="J1295">
        <v>120</v>
      </c>
      <c r="K1295" t="s">
        <v>33</v>
      </c>
      <c r="L1295" t="s">
        <v>34</v>
      </c>
      <c r="M1295" t="s">
        <v>71</v>
      </c>
      <c r="N1295" t="s">
        <v>414</v>
      </c>
      <c r="O1295" t="s">
        <v>37</v>
      </c>
      <c r="P1295" t="s">
        <v>38</v>
      </c>
      <c r="Q1295" t="s">
        <v>39</v>
      </c>
      <c r="R1295">
        <v>2</v>
      </c>
      <c r="S1295" t="s">
        <v>38</v>
      </c>
      <c r="T1295">
        <v>3</v>
      </c>
      <c r="U1295">
        <v>0.7</v>
      </c>
      <c r="V1295">
        <v>26.8</v>
      </c>
      <c r="W1295" t="s">
        <v>38</v>
      </c>
      <c r="X1295" t="s">
        <v>123</v>
      </c>
      <c r="Y1295" t="s">
        <v>39</v>
      </c>
      <c r="Z1295" t="s">
        <v>53</v>
      </c>
      <c r="AA1295" t="s">
        <v>54</v>
      </c>
      <c r="AB1295" t="s">
        <v>83</v>
      </c>
      <c r="AC1295">
        <f t="shared" si="220"/>
        <v>0</v>
      </c>
      <c r="AD1295" s="12">
        <f t="shared" si="224"/>
        <v>0</v>
      </c>
      <c r="AE1295" s="12">
        <f t="shared" si="225"/>
        <v>1</v>
      </c>
      <c r="AF1295">
        <f t="shared" si="221"/>
        <v>0</v>
      </c>
      <c r="AG1295">
        <f t="shared" si="226"/>
        <v>0</v>
      </c>
      <c r="AH1295">
        <f t="shared" si="227"/>
        <v>1</v>
      </c>
      <c r="AI1295">
        <f t="shared" si="228"/>
        <v>0</v>
      </c>
      <c r="AJ1295">
        <f t="shared" si="229"/>
        <v>0</v>
      </c>
      <c r="AK1295">
        <f t="shared" si="222"/>
        <v>0</v>
      </c>
      <c r="AL1295">
        <f t="shared" si="230"/>
        <v>0</v>
      </c>
    </row>
    <row r="1296" spans="1:38">
      <c r="A1296" t="s">
        <v>4015</v>
      </c>
      <c r="B1296" t="s">
        <v>4016</v>
      </c>
      <c r="C1296" s="1">
        <f t="shared" si="223"/>
        <v>45444</v>
      </c>
      <c r="D1296" t="s">
        <v>4017</v>
      </c>
      <c r="E1296">
        <v>261</v>
      </c>
      <c r="F1296">
        <v>10.9</v>
      </c>
      <c r="G1296" t="s">
        <v>77</v>
      </c>
      <c r="H1296" t="s">
        <v>244</v>
      </c>
      <c r="I1296" t="s">
        <v>79</v>
      </c>
      <c r="J1296">
        <v>360</v>
      </c>
      <c r="K1296" t="s">
        <v>49</v>
      </c>
      <c r="L1296" t="s">
        <v>70</v>
      </c>
      <c r="M1296" t="s">
        <v>35</v>
      </c>
      <c r="N1296" t="s">
        <v>299</v>
      </c>
      <c r="O1296" t="s">
        <v>7232</v>
      </c>
      <c r="P1296" t="s">
        <v>39</v>
      </c>
      <c r="Q1296" t="s">
        <v>38</v>
      </c>
      <c r="R1296">
        <v>0</v>
      </c>
      <c r="S1296" t="s">
        <v>38</v>
      </c>
      <c r="T1296">
        <v>8</v>
      </c>
      <c r="U1296">
        <v>0.8</v>
      </c>
      <c r="V1296">
        <v>18.100000000000001</v>
      </c>
      <c r="W1296" t="s">
        <v>39</v>
      </c>
      <c r="X1296" t="s">
        <v>40</v>
      </c>
      <c r="Y1296" t="s">
        <v>38</v>
      </c>
      <c r="Z1296" t="s">
        <v>81</v>
      </c>
      <c r="AA1296" t="s">
        <v>109</v>
      </c>
      <c r="AB1296" t="s">
        <v>55</v>
      </c>
      <c r="AC1296">
        <f t="shared" si="220"/>
        <v>0</v>
      </c>
      <c r="AD1296" s="12">
        <f t="shared" si="224"/>
        <v>0</v>
      </c>
      <c r="AE1296" s="12">
        <f t="shared" si="225"/>
        <v>0</v>
      </c>
      <c r="AF1296">
        <f t="shared" si="221"/>
        <v>0</v>
      </c>
      <c r="AG1296">
        <f t="shared" si="226"/>
        <v>1</v>
      </c>
      <c r="AH1296">
        <f t="shared" si="227"/>
        <v>0</v>
      </c>
      <c r="AI1296">
        <f t="shared" si="228"/>
        <v>0</v>
      </c>
      <c r="AJ1296">
        <f t="shared" si="229"/>
        <v>0</v>
      </c>
      <c r="AK1296">
        <f t="shared" si="222"/>
        <v>0</v>
      </c>
      <c r="AL1296">
        <f t="shared" si="230"/>
        <v>1</v>
      </c>
    </row>
    <row r="1297" spans="1:38">
      <c r="A1297" t="s">
        <v>4018</v>
      </c>
      <c r="B1297" t="s">
        <v>4019</v>
      </c>
      <c r="C1297" s="1">
        <f t="shared" si="223"/>
        <v>45566</v>
      </c>
      <c r="D1297" t="s">
        <v>4020</v>
      </c>
      <c r="E1297">
        <v>315.39999999999998</v>
      </c>
      <c r="F1297">
        <v>13.1</v>
      </c>
      <c r="G1297" t="s">
        <v>77</v>
      </c>
      <c r="H1297" t="s">
        <v>78</v>
      </c>
      <c r="I1297" t="s">
        <v>79</v>
      </c>
      <c r="J1297">
        <v>360</v>
      </c>
      <c r="K1297" t="s">
        <v>49</v>
      </c>
      <c r="L1297" t="s">
        <v>70</v>
      </c>
      <c r="M1297" t="s">
        <v>35</v>
      </c>
      <c r="N1297" t="s">
        <v>36</v>
      </c>
      <c r="O1297" t="s">
        <v>7232</v>
      </c>
      <c r="P1297" t="s">
        <v>39</v>
      </c>
      <c r="Q1297" t="s">
        <v>38</v>
      </c>
      <c r="R1297">
        <v>0</v>
      </c>
      <c r="S1297" t="s">
        <v>38</v>
      </c>
      <c r="T1297">
        <v>10</v>
      </c>
      <c r="U1297">
        <v>0.8</v>
      </c>
      <c r="V1297">
        <v>18</v>
      </c>
      <c r="W1297" t="s">
        <v>39</v>
      </c>
      <c r="X1297" t="s">
        <v>52</v>
      </c>
      <c r="Y1297" t="s">
        <v>38</v>
      </c>
      <c r="Z1297" t="s">
        <v>115</v>
      </c>
      <c r="AA1297" t="s">
        <v>109</v>
      </c>
      <c r="AB1297" t="s">
        <v>83</v>
      </c>
      <c r="AC1297">
        <f t="shared" si="220"/>
        <v>1</v>
      </c>
      <c r="AD1297" s="12">
        <f t="shared" si="224"/>
        <v>0</v>
      </c>
      <c r="AE1297" s="12">
        <f t="shared" si="225"/>
        <v>0</v>
      </c>
      <c r="AF1297">
        <f t="shared" si="221"/>
        <v>0</v>
      </c>
      <c r="AG1297">
        <f t="shared" si="226"/>
        <v>1</v>
      </c>
      <c r="AH1297">
        <f t="shared" si="227"/>
        <v>0</v>
      </c>
      <c r="AI1297">
        <f t="shared" si="228"/>
        <v>0</v>
      </c>
      <c r="AJ1297">
        <f t="shared" si="229"/>
        <v>0</v>
      </c>
      <c r="AK1297">
        <f t="shared" si="222"/>
        <v>0</v>
      </c>
      <c r="AL1297">
        <f t="shared" si="230"/>
        <v>1</v>
      </c>
    </row>
    <row r="1298" spans="1:38">
      <c r="A1298" t="s">
        <v>4021</v>
      </c>
      <c r="B1298" t="s">
        <v>4022</v>
      </c>
      <c r="C1298" s="1">
        <f t="shared" si="223"/>
        <v>45292</v>
      </c>
      <c r="D1298" t="s">
        <v>4023</v>
      </c>
      <c r="E1298">
        <v>100.8</v>
      </c>
      <c r="F1298">
        <v>4.2</v>
      </c>
      <c r="G1298" t="s">
        <v>87</v>
      </c>
      <c r="H1298" t="s">
        <v>183</v>
      </c>
      <c r="I1298" t="s">
        <v>48</v>
      </c>
      <c r="J1298">
        <v>120</v>
      </c>
      <c r="K1298" t="s">
        <v>49</v>
      </c>
      <c r="L1298" t="s">
        <v>113</v>
      </c>
      <c r="M1298" t="s">
        <v>35</v>
      </c>
      <c r="N1298" t="s">
        <v>134</v>
      </c>
      <c r="O1298" t="s">
        <v>51</v>
      </c>
      <c r="P1298" t="s">
        <v>39</v>
      </c>
      <c r="Q1298" t="s">
        <v>38</v>
      </c>
      <c r="R1298">
        <v>0</v>
      </c>
      <c r="S1298" t="s">
        <v>38</v>
      </c>
      <c r="T1298">
        <v>10</v>
      </c>
      <c r="U1298">
        <v>4.8</v>
      </c>
      <c r="V1298">
        <v>13.2</v>
      </c>
      <c r="W1298" t="s">
        <v>39</v>
      </c>
      <c r="X1298" t="s">
        <v>123</v>
      </c>
      <c r="Y1298" t="s">
        <v>38</v>
      </c>
      <c r="Z1298" t="s">
        <v>179</v>
      </c>
      <c r="AA1298" t="s">
        <v>42</v>
      </c>
      <c r="AB1298" t="s">
        <v>83</v>
      </c>
      <c r="AC1298">
        <f t="shared" si="220"/>
        <v>0</v>
      </c>
      <c r="AD1298" s="12">
        <f t="shared" si="224"/>
        <v>0</v>
      </c>
      <c r="AE1298" s="12">
        <f t="shared" si="225"/>
        <v>1</v>
      </c>
      <c r="AF1298">
        <f t="shared" si="221"/>
        <v>1</v>
      </c>
      <c r="AG1298">
        <f t="shared" si="226"/>
        <v>0</v>
      </c>
      <c r="AH1298">
        <f t="shared" si="227"/>
        <v>1</v>
      </c>
      <c r="AI1298">
        <f t="shared" si="228"/>
        <v>0</v>
      </c>
      <c r="AJ1298">
        <f t="shared" si="229"/>
        <v>0</v>
      </c>
      <c r="AK1298">
        <f t="shared" si="222"/>
        <v>0</v>
      </c>
      <c r="AL1298">
        <f t="shared" si="230"/>
        <v>1</v>
      </c>
    </row>
    <row r="1299" spans="1:38">
      <c r="A1299" t="s">
        <v>4024</v>
      </c>
      <c r="B1299" t="s">
        <v>4025</v>
      </c>
      <c r="C1299" s="1">
        <f t="shared" si="223"/>
        <v>45566</v>
      </c>
      <c r="D1299" t="s">
        <v>4026</v>
      </c>
      <c r="E1299">
        <v>621.6</v>
      </c>
      <c r="F1299">
        <v>25.9</v>
      </c>
      <c r="G1299" t="s">
        <v>142</v>
      </c>
      <c r="H1299" t="s">
        <v>319</v>
      </c>
      <c r="I1299" t="s">
        <v>32</v>
      </c>
      <c r="J1299">
        <v>240</v>
      </c>
      <c r="K1299" t="s">
        <v>33</v>
      </c>
      <c r="L1299" t="s">
        <v>34</v>
      </c>
      <c r="M1299" t="s">
        <v>35</v>
      </c>
      <c r="N1299" t="s">
        <v>164</v>
      </c>
      <c r="O1299" t="s">
        <v>7232</v>
      </c>
      <c r="P1299" t="s">
        <v>39</v>
      </c>
      <c r="Q1299" t="s">
        <v>38</v>
      </c>
      <c r="R1299">
        <v>0</v>
      </c>
      <c r="S1299" t="s">
        <v>39</v>
      </c>
      <c r="T1299">
        <v>4</v>
      </c>
      <c r="U1299">
        <v>2.8</v>
      </c>
      <c r="V1299">
        <v>0</v>
      </c>
      <c r="W1299" t="s">
        <v>39</v>
      </c>
      <c r="X1299" t="s">
        <v>123</v>
      </c>
      <c r="Y1299" t="s">
        <v>39</v>
      </c>
      <c r="Z1299" t="s">
        <v>81</v>
      </c>
      <c r="AA1299" t="s">
        <v>82</v>
      </c>
      <c r="AB1299" t="s">
        <v>83</v>
      </c>
      <c r="AC1299">
        <f t="shared" si="220"/>
        <v>0</v>
      </c>
      <c r="AD1299" s="12">
        <f t="shared" si="224"/>
        <v>0</v>
      </c>
      <c r="AE1299" s="12">
        <f t="shared" si="225"/>
        <v>1</v>
      </c>
      <c r="AF1299">
        <f t="shared" si="221"/>
        <v>0</v>
      </c>
      <c r="AG1299">
        <f t="shared" si="226"/>
        <v>1</v>
      </c>
      <c r="AH1299">
        <f t="shared" si="227"/>
        <v>0</v>
      </c>
      <c r="AI1299">
        <f t="shared" si="228"/>
        <v>0</v>
      </c>
      <c r="AJ1299">
        <f t="shared" si="229"/>
        <v>1</v>
      </c>
      <c r="AK1299">
        <f t="shared" si="222"/>
        <v>0</v>
      </c>
      <c r="AL1299">
        <f t="shared" si="230"/>
        <v>0</v>
      </c>
    </row>
    <row r="1300" spans="1:38">
      <c r="A1300" t="s">
        <v>4027</v>
      </c>
      <c r="B1300" t="s">
        <v>4028</v>
      </c>
      <c r="C1300" s="1">
        <f t="shared" si="223"/>
        <v>45505</v>
      </c>
      <c r="D1300" t="s">
        <v>4029</v>
      </c>
      <c r="E1300">
        <v>175.2</v>
      </c>
      <c r="F1300">
        <v>7.3</v>
      </c>
      <c r="G1300" t="s">
        <v>30</v>
      </c>
      <c r="H1300" t="s">
        <v>47</v>
      </c>
      <c r="I1300" t="s">
        <v>48</v>
      </c>
      <c r="J1300">
        <v>120</v>
      </c>
      <c r="K1300" t="s">
        <v>33</v>
      </c>
      <c r="L1300" t="s">
        <v>34</v>
      </c>
      <c r="M1300" t="s">
        <v>35</v>
      </c>
      <c r="N1300" t="s">
        <v>144</v>
      </c>
      <c r="O1300" t="s">
        <v>51</v>
      </c>
      <c r="P1300" t="s">
        <v>39</v>
      </c>
      <c r="Q1300" t="s">
        <v>38</v>
      </c>
      <c r="R1300">
        <v>0</v>
      </c>
      <c r="S1300" t="s">
        <v>39</v>
      </c>
      <c r="T1300">
        <v>6</v>
      </c>
      <c r="U1300">
        <v>3</v>
      </c>
      <c r="V1300">
        <v>19.3</v>
      </c>
      <c r="W1300" t="s">
        <v>39</v>
      </c>
      <c r="X1300" t="s">
        <v>52</v>
      </c>
      <c r="Y1300" t="s">
        <v>38</v>
      </c>
      <c r="Z1300" t="s">
        <v>108</v>
      </c>
      <c r="AA1300" t="s">
        <v>82</v>
      </c>
      <c r="AB1300" t="s">
        <v>83</v>
      </c>
      <c r="AC1300">
        <f t="shared" si="220"/>
        <v>1</v>
      </c>
      <c r="AD1300" s="12">
        <f t="shared" si="224"/>
        <v>0</v>
      </c>
      <c r="AE1300" s="12">
        <f t="shared" si="225"/>
        <v>0</v>
      </c>
      <c r="AF1300">
        <f t="shared" si="221"/>
        <v>1</v>
      </c>
      <c r="AG1300">
        <f t="shared" si="226"/>
        <v>0</v>
      </c>
      <c r="AH1300">
        <f t="shared" si="227"/>
        <v>1</v>
      </c>
      <c r="AI1300">
        <f t="shared" si="228"/>
        <v>0</v>
      </c>
      <c r="AJ1300">
        <f t="shared" si="229"/>
        <v>0</v>
      </c>
      <c r="AK1300">
        <f t="shared" si="222"/>
        <v>1</v>
      </c>
      <c r="AL1300">
        <f t="shared" si="230"/>
        <v>1</v>
      </c>
    </row>
    <row r="1301" spans="1:38">
      <c r="A1301" t="s">
        <v>4030</v>
      </c>
      <c r="B1301" t="s">
        <v>4031</v>
      </c>
      <c r="C1301" s="1">
        <f t="shared" si="223"/>
        <v>45536</v>
      </c>
      <c r="D1301" t="s">
        <v>4032</v>
      </c>
      <c r="E1301">
        <v>239.2</v>
      </c>
      <c r="F1301">
        <v>10</v>
      </c>
      <c r="G1301" t="s">
        <v>77</v>
      </c>
      <c r="H1301" t="s">
        <v>244</v>
      </c>
      <c r="I1301" t="s">
        <v>79</v>
      </c>
      <c r="J1301">
        <v>360</v>
      </c>
      <c r="K1301" t="s">
        <v>49</v>
      </c>
      <c r="L1301" t="s">
        <v>133</v>
      </c>
      <c r="M1301" t="s">
        <v>35</v>
      </c>
      <c r="N1301" t="s">
        <v>188</v>
      </c>
      <c r="O1301" t="s">
        <v>7232</v>
      </c>
      <c r="P1301" t="s">
        <v>38</v>
      </c>
      <c r="Q1301" t="s">
        <v>38</v>
      </c>
      <c r="R1301">
        <v>1</v>
      </c>
      <c r="S1301" t="s">
        <v>38</v>
      </c>
      <c r="T1301">
        <v>8</v>
      </c>
      <c r="U1301">
        <v>2.7</v>
      </c>
      <c r="V1301">
        <v>26.2</v>
      </c>
      <c r="W1301" t="s">
        <v>38</v>
      </c>
      <c r="X1301" t="s">
        <v>40</v>
      </c>
      <c r="Y1301" t="s">
        <v>39</v>
      </c>
      <c r="Z1301" t="s">
        <v>73</v>
      </c>
      <c r="AA1301" t="s">
        <v>42</v>
      </c>
      <c r="AB1301" t="s">
        <v>55</v>
      </c>
      <c r="AC1301">
        <f t="shared" si="220"/>
        <v>0</v>
      </c>
      <c r="AD1301" s="12">
        <f t="shared" si="224"/>
        <v>0</v>
      </c>
      <c r="AE1301" s="12">
        <f t="shared" si="225"/>
        <v>0</v>
      </c>
      <c r="AF1301">
        <f t="shared" si="221"/>
        <v>0</v>
      </c>
      <c r="AG1301">
        <f t="shared" si="226"/>
        <v>1</v>
      </c>
      <c r="AH1301">
        <f t="shared" si="227"/>
        <v>0</v>
      </c>
      <c r="AI1301">
        <f t="shared" si="228"/>
        <v>0</v>
      </c>
      <c r="AJ1301">
        <f t="shared" si="229"/>
        <v>0</v>
      </c>
      <c r="AK1301">
        <f t="shared" si="222"/>
        <v>0</v>
      </c>
      <c r="AL1301">
        <f t="shared" si="230"/>
        <v>0</v>
      </c>
    </row>
    <row r="1302" spans="1:38">
      <c r="A1302" t="s">
        <v>4033</v>
      </c>
      <c r="B1302" t="s">
        <v>4034</v>
      </c>
      <c r="C1302" s="1">
        <f t="shared" si="223"/>
        <v>45597</v>
      </c>
      <c r="D1302" t="s">
        <v>4035</v>
      </c>
      <c r="E1302">
        <v>157.6</v>
      </c>
      <c r="F1302">
        <v>6.6</v>
      </c>
      <c r="G1302" t="s">
        <v>68</v>
      </c>
      <c r="H1302" t="s">
        <v>69</v>
      </c>
      <c r="I1302" t="s">
        <v>48</v>
      </c>
      <c r="J1302">
        <v>120</v>
      </c>
      <c r="K1302" t="s">
        <v>33</v>
      </c>
      <c r="L1302" t="s">
        <v>96</v>
      </c>
      <c r="M1302" t="s">
        <v>71</v>
      </c>
      <c r="N1302" t="s">
        <v>299</v>
      </c>
      <c r="O1302" t="s">
        <v>51</v>
      </c>
      <c r="P1302" t="s">
        <v>38</v>
      </c>
      <c r="Q1302" t="s">
        <v>39</v>
      </c>
      <c r="R1302">
        <v>3</v>
      </c>
      <c r="S1302" t="s">
        <v>38</v>
      </c>
      <c r="T1302">
        <v>5</v>
      </c>
      <c r="U1302">
        <v>4.5</v>
      </c>
      <c r="V1302">
        <v>19.600000000000001</v>
      </c>
      <c r="W1302" t="s">
        <v>39</v>
      </c>
      <c r="X1302" t="s">
        <v>63</v>
      </c>
      <c r="Y1302" t="s">
        <v>38</v>
      </c>
      <c r="Z1302" t="s">
        <v>108</v>
      </c>
      <c r="AA1302" t="s">
        <v>42</v>
      </c>
      <c r="AB1302" t="s">
        <v>83</v>
      </c>
      <c r="AC1302">
        <f t="shared" si="220"/>
        <v>0</v>
      </c>
      <c r="AD1302" s="12">
        <f t="shared" si="224"/>
        <v>1</v>
      </c>
      <c r="AE1302" s="12">
        <f t="shared" si="225"/>
        <v>0</v>
      </c>
      <c r="AF1302">
        <f t="shared" si="221"/>
        <v>1</v>
      </c>
      <c r="AG1302">
        <f t="shared" si="226"/>
        <v>0</v>
      </c>
      <c r="AH1302">
        <f t="shared" si="227"/>
        <v>1</v>
      </c>
      <c r="AI1302">
        <f t="shared" si="228"/>
        <v>0</v>
      </c>
      <c r="AJ1302">
        <f t="shared" si="229"/>
        <v>0</v>
      </c>
      <c r="AK1302">
        <f t="shared" si="222"/>
        <v>0</v>
      </c>
      <c r="AL1302">
        <f t="shared" si="230"/>
        <v>1</v>
      </c>
    </row>
    <row r="1303" spans="1:38">
      <c r="A1303" t="s">
        <v>4036</v>
      </c>
      <c r="B1303" t="s">
        <v>4037</v>
      </c>
      <c r="C1303" s="1">
        <f t="shared" si="223"/>
        <v>45597</v>
      </c>
      <c r="D1303" t="s">
        <v>4038</v>
      </c>
      <c r="E1303">
        <v>341.6</v>
      </c>
      <c r="F1303">
        <v>14.2</v>
      </c>
      <c r="G1303" t="s">
        <v>59</v>
      </c>
      <c r="H1303" t="s">
        <v>127</v>
      </c>
      <c r="I1303" t="s">
        <v>32</v>
      </c>
      <c r="J1303">
        <v>240</v>
      </c>
      <c r="K1303" t="s">
        <v>33</v>
      </c>
      <c r="L1303" t="s">
        <v>34</v>
      </c>
      <c r="M1303" t="s">
        <v>35</v>
      </c>
      <c r="N1303" t="s">
        <v>506</v>
      </c>
      <c r="O1303" t="s">
        <v>7232</v>
      </c>
      <c r="P1303" t="s">
        <v>38</v>
      </c>
      <c r="Q1303" t="s">
        <v>38</v>
      </c>
      <c r="R1303">
        <v>1</v>
      </c>
      <c r="S1303" t="s">
        <v>38</v>
      </c>
      <c r="T1303">
        <v>7</v>
      </c>
      <c r="U1303">
        <v>4.4000000000000004</v>
      </c>
      <c r="V1303">
        <v>4.4000000000000004</v>
      </c>
      <c r="W1303" t="s">
        <v>39</v>
      </c>
      <c r="X1303" t="s">
        <v>63</v>
      </c>
      <c r="Y1303" t="s">
        <v>39</v>
      </c>
      <c r="Z1303" t="s">
        <v>53</v>
      </c>
      <c r="AA1303" t="s">
        <v>109</v>
      </c>
      <c r="AB1303" t="s">
        <v>83</v>
      </c>
      <c r="AC1303">
        <f t="shared" si="220"/>
        <v>0</v>
      </c>
      <c r="AD1303" s="12">
        <f t="shared" si="224"/>
        <v>1</v>
      </c>
      <c r="AE1303" s="12">
        <f t="shared" si="225"/>
        <v>0</v>
      </c>
      <c r="AF1303">
        <f t="shared" si="221"/>
        <v>0</v>
      </c>
      <c r="AG1303">
        <f t="shared" si="226"/>
        <v>1</v>
      </c>
      <c r="AH1303">
        <f t="shared" si="227"/>
        <v>0</v>
      </c>
      <c r="AI1303">
        <f t="shared" si="228"/>
        <v>0</v>
      </c>
      <c r="AJ1303">
        <f t="shared" si="229"/>
        <v>1</v>
      </c>
      <c r="AK1303">
        <f t="shared" si="222"/>
        <v>0</v>
      </c>
      <c r="AL1303">
        <f t="shared" si="230"/>
        <v>0</v>
      </c>
    </row>
    <row r="1304" spans="1:38">
      <c r="A1304" t="s">
        <v>4039</v>
      </c>
      <c r="B1304" t="s">
        <v>4040</v>
      </c>
      <c r="C1304" s="1">
        <f t="shared" si="223"/>
        <v>45383</v>
      </c>
      <c r="D1304" t="s">
        <v>4041</v>
      </c>
      <c r="E1304">
        <v>148.1</v>
      </c>
      <c r="F1304">
        <v>6.2</v>
      </c>
      <c r="G1304" t="s">
        <v>87</v>
      </c>
      <c r="H1304" t="s">
        <v>151</v>
      </c>
      <c r="I1304" t="s">
        <v>32</v>
      </c>
      <c r="J1304">
        <v>240</v>
      </c>
      <c r="K1304" t="s">
        <v>49</v>
      </c>
      <c r="L1304" t="s">
        <v>96</v>
      </c>
      <c r="M1304" t="s">
        <v>71</v>
      </c>
      <c r="N1304" t="s">
        <v>299</v>
      </c>
      <c r="O1304" t="s">
        <v>37</v>
      </c>
      <c r="P1304" t="s">
        <v>38</v>
      </c>
      <c r="Q1304" t="s">
        <v>39</v>
      </c>
      <c r="R1304">
        <v>3</v>
      </c>
      <c r="S1304" t="s">
        <v>38</v>
      </c>
      <c r="T1304">
        <v>9</v>
      </c>
      <c r="U1304">
        <v>3.4</v>
      </c>
      <c r="V1304">
        <v>20.3</v>
      </c>
      <c r="W1304" t="s">
        <v>38</v>
      </c>
      <c r="X1304" t="s">
        <v>63</v>
      </c>
      <c r="Y1304" t="s">
        <v>38</v>
      </c>
      <c r="Z1304" t="s">
        <v>73</v>
      </c>
      <c r="AA1304" t="s">
        <v>54</v>
      </c>
      <c r="AB1304" t="s">
        <v>43</v>
      </c>
      <c r="AC1304">
        <f t="shared" si="220"/>
        <v>0</v>
      </c>
      <c r="AD1304" s="12">
        <f t="shared" si="224"/>
        <v>1</v>
      </c>
      <c r="AE1304" s="12">
        <f t="shared" si="225"/>
        <v>0</v>
      </c>
      <c r="AF1304">
        <f t="shared" si="221"/>
        <v>0</v>
      </c>
      <c r="AG1304">
        <f t="shared" si="226"/>
        <v>0</v>
      </c>
      <c r="AH1304">
        <f t="shared" si="227"/>
        <v>0</v>
      </c>
      <c r="AI1304">
        <f t="shared" si="228"/>
        <v>0</v>
      </c>
      <c r="AJ1304">
        <f t="shared" si="229"/>
        <v>1</v>
      </c>
      <c r="AK1304">
        <f t="shared" si="222"/>
        <v>0</v>
      </c>
      <c r="AL1304">
        <f t="shared" si="230"/>
        <v>1</v>
      </c>
    </row>
    <row r="1305" spans="1:38">
      <c r="A1305" t="s">
        <v>4042</v>
      </c>
      <c r="B1305" t="s">
        <v>4043</v>
      </c>
      <c r="C1305" s="1">
        <f t="shared" si="223"/>
        <v>45352</v>
      </c>
      <c r="D1305" t="s">
        <v>4044</v>
      </c>
      <c r="E1305">
        <v>148.30000000000001</v>
      </c>
      <c r="F1305">
        <v>6.2</v>
      </c>
      <c r="G1305" t="s">
        <v>142</v>
      </c>
      <c r="H1305" t="s">
        <v>729</v>
      </c>
      <c r="I1305" t="s">
        <v>32</v>
      </c>
      <c r="J1305">
        <v>240</v>
      </c>
      <c r="K1305" t="s">
        <v>49</v>
      </c>
      <c r="L1305" t="s">
        <v>96</v>
      </c>
      <c r="M1305" t="s">
        <v>35</v>
      </c>
      <c r="N1305" t="s">
        <v>414</v>
      </c>
      <c r="O1305" t="s">
        <v>51</v>
      </c>
      <c r="P1305" t="s">
        <v>39</v>
      </c>
      <c r="Q1305" t="s">
        <v>38</v>
      </c>
      <c r="R1305">
        <v>0</v>
      </c>
      <c r="S1305" t="s">
        <v>39</v>
      </c>
      <c r="T1305">
        <v>10</v>
      </c>
      <c r="U1305">
        <v>0.1</v>
      </c>
      <c r="V1305">
        <v>10</v>
      </c>
      <c r="W1305" t="s">
        <v>39</v>
      </c>
      <c r="X1305" t="s">
        <v>123</v>
      </c>
      <c r="Y1305" t="s">
        <v>39</v>
      </c>
      <c r="Z1305" t="s">
        <v>108</v>
      </c>
      <c r="AA1305" t="s">
        <v>109</v>
      </c>
      <c r="AB1305" t="s">
        <v>43</v>
      </c>
      <c r="AC1305">
        <f t="shared" si="220"/>
        <v>0</v>
      </c>
      <c r="AD1305" s="12">
        <f t="shared" si="224"/>
        <v>0</v>
      </c>
      <c r="AE1305" s="12">
        <f t="shared" si="225"/>
        <v>1</v>
      </c>
      <c r="AF1305">
        <f t="shared" si="221"/>
        <v>1</v>
      </c>
      <c r="AG1305">
        <f t="shared" si="226"/>
        <v>0</v>
      </c>
      <c r="AH1305">
        <f t="shared" si="227"/>
        <v>0</v>
      </c>
      <c r="AI1305">
        <f t="shared" si="228"/>
        <v>0</v>
      </c>
      <c r="AJ1305">
        <f t="shared" si="229"/>
        <v>1</v>
      </c>
      <c r="AK1305">
        <f t="shared" si="222"/>
        <v>0</v>
      </c>
      <c r="AL1305">
        <f t="shared" si="230"/>
        <v>0</v>
      </c>
    </row>
    <row r="1306" spans="1:38">
      <c r="A1306" t="s">
        <v>4045</v>
      </c>
      <c r="B1306" t="s">
        <v>4046</v>
      </c>
      <c r="C1306" s="1">
        <f t="shared" si="223"/>
        <v>45474</v>
      </c>
      <c r="D1306" t="s">
        <v>4047</v>
      </c>
      <c r="E1306">
        <v>112.5</v>
      </c>
      <c r="F1306">
        <v>4.7</v>
      </c>
      <c r="G1306" t="s">
        <v>68</v>
      </c>
      <c r="H1306" t="s">
        <v>219</v>
      </c>
      <c r="I1306" t="s">
        <v>48</v>
      </c>
      <c r="J1306">
        <v>120</v>
      </c>
      <c r="K1306" t="s">
        <v>49</v>
      </c>
      <c r="L1306" t="s">
        <v>70</v>
      </c>
      <c r="M1306" t="s">
        <v>71</v>
      </c>
      <c r="N1306" t="s">
        <v>188</v>
      </c>
      <c r="O1306" t="s">
        <v>51</v>
      </c>
      <c r="P1306" t="s">
        <v>38</v>
      </c>
      <c r="Q1306" t="s">
        <v>39</v>
      </c>
      <c r="R1306">
        <v>1</v>
      </c>
      <c r="S1306" t="s">
        <v>38</v>
      </c>
      <c r="T1306">
        <v>10</v>
      </c>
      <c r="U1306">
        <v>1.6</v>
      </c>
      <c r="V1306">
        <v>15.5</v>
      </c>
      <c r="W1306" t="s">
        <v>39</v>
      </c>
      <c r="X1306" t="s">
        <v>123</v>
      </c>
      <c r="Y1306" t="s">
        <v>38</v>
      </c>
      <c r="Z1306" t="s">
        <v>108</v>
      </c>
      <c r="AA1306" t="s">
        <v>103</v>
      </c>
      <c r="AB1306" t="s">
        <v>83</v>
      </c>
      <c r="AC1306">
        <f t="shared" si="220"/>
        <v>0</v>
      </c>
      <c r="AD1306" s="12">
        <f t="shared" si="224"/>
        <v>0</v>
      </c>
      <c r="AE1306" s="12">
        <f t="shared" si="225"/>
        <v>1</v>
      </c>
      <c r="AF1306">
        <f t="shared" si="221"/>
        <v>1</v>
      </c>
      <c r="AG1306">
        <f t="shared" si="226"/>
        <v>0</v>
      </c>
      <c r="AH1306">
        <f t="shared" si="227"/>
        <v>1</v>
      </c>
      <c r="AI1306">
        <f t="shared" si="228"/>
        <v>0</v>
      </c>
      <c r="AJ1306">
        <f t="shared" si="229"/>
        <v>0</v>
      </c>
      <c r="AK1306">
        <f t="shared" si="222"/>
        <v>0</v>
      </c>
      <c r="AL1306">
        <f t="shared" si="230"/>
        <v>1</v>
      </c>
    </row>
    <row r="1307" spans="1:38">
      <c r="A1307" t="s">
        <v>4048</v>
      </c>
      <c r="B1307" t="s">
        <v>4049</v>
      </c>
      <c r="C1307" s="1">
        <f t="shared" si="223"/>
        <v>45474</v>
      </c>
      <c r="D1307" t="s">
        <v>4050</v>
      </c>
      <c r="E1307">
        <v>217.4</v>
      </c>
      <c r="F1307">
        <v>9.1</v>
      </c>
      <c r="G1307" t="s">
        <v>77</v>
      </c>
      <c r="H1307" t="s">
        <v>187</v>
      </c>
      <c r="I1307" t="s">
        <v>79</v>
      </c>
      <c r="J1307">
        <v>360</v>
      </c>
      <c r="K1307" t="s">
        <v>49</v>
      </c>
      <c r="L1307" t="s">
        <v>70</v>
      </c>
      <c r="M1307" t="s">
        <v>35</v>
      </c>
      <c r="N1307" t="s">
        <v>220</v>
      </c>
      <c r="O1307" t="s">
        <v>7232</v>
      </c>
      <c r="P1307" t="s">
        <v>39</v>
      </c>
      <c r="Q1307" t="s">
        <v>38</v>
      </c>
      <c r="R1307">
        <v>0</v>
      </c>
      <c r="S1307" t="s">
        <v>38</v>
      </c>
      <c r="T1307">
        <v>9</v>
      </c>
      <c r="U1307">
        <v>2.2000000000000002</v>
      </c>
      <c r="V1307">
        <v>3.6</v>
      </c>
      <c r="W1307" t="s">
        <v>39</v>
      </c>
      <c r="X1307" t="s">
        <v>63</v>
      </c>
      <c r="Y1307" t="s">
        <v>39</v>
      </c>
      <c r="Z1307" t="s">
        <v>64</v>
      </c>
      <c r="AA1307" t="s">
        <v>82</v>
      </c>
      <c r="AB1307" t="s">
        <v>83</v>
      </c>
      <c r="AC1307">
        <f t="shared" si="220"/>
        <v>0</v>
      </c>
      <c r="AD1307" s="12">
        <f t="shared" si="224"/>
        <v>1</v>
      </c>
      <c r="AE1307" s="12">
        <f t="shared" si="225"/>
        <v>0</v>
      </c>
      <c r="AF1307">
        <f t="shared" si="221"/>
        <v>0</v>
      </c>
      <c r="AG1307">
        <f t="shared" si="226"/>
        <v>1</v>
      </c>
      <c r="AH1307">
        <f t="shared" si="227"/>
        <v>0</v>
      </c>
      <c r="AI1307">
        <f t="shared" si="228"/>
        <v>0</v>
      </c>
      <c r="AJ1307">
        <f t="shared" si="229"/>
        <v>0</v>
      </c>
      <c r="AK1307">
        <f t="shared" si="222"/>
        <v>0</v>
      </c>
      <c r="AL1307">
        <f t="shared" si="230"/>
        <v>0</v>
      </c>
    </row>
    <row r="1308" spans="1:38">
      <c r="A1308" t="s">
        <v>4051</v>
      </c>
      <c r="B1308" t="s">
        <v>4052</v>
      </c>
      <c r="C1308" s="1">
        <f t="shared" si="223"/>
        <v>45413</v>
      </c>
      <c r="D1308" t="s">
        <v>4053</v>
      </c>
      <c r="E1308">
        <v>110.1</v>
      </c>
      <c r="F1308">
        <v>4.5999999999999996</v>
      </c>
      <c r="G1308" t="s">
        <v>87</v>
      </c>
      <c r="H1308" t="s">
        <v>151</v>
      </c>
      <c r="I1308" t="s">
        <v>48</v>
      </c>
      <c r="J1308">
        <v>120</v>
      </c>
      <c r="K1308" t="s">
        <v>49</v>
      </c>
      <c r="L1308" t="s">
        <v>70</v>
      </c>
      <c r="M1308" t="s">
        <v>35</v>
      </c>
      <c r="N1308" t="s">
        <v>220</v>
      </c>
      <c r="O1308" t="s">
        <v>51</v>
      </c>
      <c r="P1308" t="s">
        <v>38</v>
      </c>
      <c r="Q1308" t="s">
        <v>38</v>
      </c>
      <c r="R1308">
        <v>1</v>
      </c>
      <c r="S1308" t="s">
        <v>38</v>
      </c>
      <c r="T1308">
        <v>9</v>
      </c>
      <c r="U1308">
        <v>0.5</v>
      </c>
      <c r="V1308">
        <v>21</v>
      </c>
      <c r="W1308" t="s">
        <v>39</v>
      </c>
      <c r="X1308" t="s">
        <v>123</v>
      </c>
      <c r="Y1308" t="s">
        <v>39</v>
      </c>
      <c r="Z1308" t="s">
        <v>41</v>
      </c>
      <c r="AA1308" t="s">
        <v>54</v>
      </c>
      <c r="AB1308" t="s">
        <v>83</v>
      </c>
      <c r="AC1308">
        <f t="shared" si="220"/>
        <v>0</v>
      </c>
      <c r="AD1308" s="12">
        <f t="shared" si="224"/>
        <v>0</v>
      </c>
      <c r="AE1308" s="12">
        <f t="shared" si="225"/>
        <v>1</v>
      </c>
      <c r="AF1308">
        <f t="shared" si="221"/>
        <v>1</v>
      </c>
      <c r="AG1308">
        <f t="shared" si="226"/>
        <v>0</v>
      </c>
      <c r="AH1308">
        <f t="shared" si="227"/>
        <v>1</v>
      </c>
      <c r="AI1308">
        <f t="shared" si="228"/>
        <v>0</v>
      </c>
      <c r="AJ1308">
        <f t="shared" si="229"/>
        <v>0</v>
      </c>
      <c r="AK1308">
        <f t="shared" si="222"/>
        <v>0</v>
      </c>
      <c r="AL1308">
        <f t="shared" si="230"/>
        <v>0</v>
      </c>
    </row>
    <row r="1309" spans="1:38">
      <c r="A1309" t="s">
        <v>4054</v>
      </c>
      <c r="B1309" t="s">
        <v>4055</v>
      </c>
      <c r="C1309" s="1">
        <f t="shared" si="223"/>
        <v>45352</v>
      </c>
      <c r="D1309" t="s">
        <v>4056</v>
      </c>
      <c r="E1309">
        <v>125.3</v>
      </c>
      <c r="F1309">
        <v>5.2</v>
      </c>
      <c r="G1309" t="s">
        <v>93</v>
      </c>
      <c r="H1309" t="s">
        <v>449</v>
      </c>
      <c r="I1309" t="s">
        <v>48</v>
      </c>
      <c r="J1309">
        <v>120</v>
      </c>
      <c r="K1309" t="s">
        <v>33</v>
      </c>
      <c r="L1309" t="s">
        <v>70</v>
      </c>
      <c r="M1309" t="s">
        <v>71</v>
      </c>
      <c r="N1309" t="s">
        <v>299</v>
      </c>
      <c r="O1309" t="s">
        <v>7232</v>
      </c>
      <c r="P1309" t="s">
        <v>38</v>
      </c>
      <c r="Q1309" t="s">
        <v>39</v>
      </c>
      <c r="R1309">
        <v>4</v>
      </c>
      <c r="S1309" t="s">
        <v>39</v>
      </c>
      <c r="T1309">
        <v>4</v>
      </c>
      <c r="U1309">
        <v>2.9</v>
      </c>
      <c r="V1309">
        <v>2.2000000000000002</v>
      </c>
      <c r="W1309" t="s">
        <v>38</v>
      </c>
      <c r="X1309" t="s">
        <v>123</v>
      </c>
      <c r="Y1309" t="s">
        <v>38</v>
      </c>
      <c r="Z1309" t="s">
        <v>81</v>
      </c>
      <c r="AA1309" t="s">
        <v>54</v>
      </c>
      <c r="AB1309" t="s">
        <v>55</v>
      </c>
      <c r="AC1309">
        <f t="shared" si="220"/>
        <v>0</v>
      </c>
      <c r="AD1309" s="12">
        <f t="shared" si="224"/>
        <v>0</v>
      </c>
      <c r="AE1309" s="12">
        <f t="shared" si="225"/>
        <v>1</v>
      </c>
      <c r="AF1309">
        <f t="shared" si="221"/>
        <v>0</v>
      </c>
      <c r="AG1309">
        <f t="shared" si="226"/>
        <v>1</v>
      </c>
      <c r="AH1309">
        <f t="shared" si="227"/>
        <v>1</v>
      </c>
      <c r="AI1309">
        <f t="shared" si="228"/>
        <v>0</v>
      </c>
      <c r="AJ1309">
        <f t="shared" si="229"/>
        <v>0</v>
      </c>
      <c r="AK1309">
        <f t="shared" si="222"/>
        <v>0</v>
      </c>
      <c r="AL1309">
        <f t="shared" si="230"/>
        <v>1</v>
      </c>
    </row>
    <row r="1310" spans="1:38">
      <c r="A1310" t="s">
        <v>4057</v>
      </c>
      <c r="B1310" t="s">
        <v>4058</v>
      </c>
      <c r="C1310" s="1">
        <f t="shared" si="223"/>
        <v>45323</v>
      </c>
      <c r="D1310" t="s">
        <v>4059</v>
      </c>
      <c r="E1310">
        <v>173.5</v>
      </c>
      <c r="F1310">
        <v>7.2</v>
      </c>
      <c r="G1310" t="s">
        <v>59</v>
      </c>
      <c r="H1310" t="s">
        <v>60</v>
      </c>
      <c r="I1310" t="s">
        <v>48</v>
      </c>
      <c r="J1310">
        <v>120</v>
      </c>
      <c r="K1310" t="s">
        <v>33</v>
      </c>
      <c r="L1310" t="s">
        <v>96</v>
      </c>
      <c r="M1310" t="s">
        <v>35</v>
      </c>
      <c r="N1310" t="s">
        <v>138</v>
      </c>
      <c r="O1310" t="s">
        <v>51</v>
      </c>
      <c r="P1310" t="s">
        <v>38</v>
      </c>
      <c r="Q1310" t="s">
        <v>38</v>
      </c>
      <c r="R1310">
        <v>1</v>
      </c>
      <c r="S1310" t="s">
        <v>38</v>
      </c>
      <c r="T1310">
        <v>3</v>
      </c>
      <c r="U1310">
        <v>0.1</v>
      </c>
      <c r="V1310">
        <v>6.6</v>
      </c>
      <c r="W1310" t="s">
        <v>39</v>
      </c>
      <c r="X1310" t="s">
        <v>123</v>
      </c>
      <c r="Y1310" t="s">
        <v>38</v>
      </c>
      <c r="Z1310" t="s">
        <v>81</v>
      </c>
      <c r="AA1310" t="s">
        <v>103</v>
      </c>
      <c r="AB1310" t="s">
        <v>55</v>
      </c>
      <c r="AC1310">
        <f t="shared" si="220"/>
        <v>0</v>
      </c>
      <c r="AD1310" s="12">
        <f t="shared" si="224"/>
        <v>0</v>
      </c>
      <c r="AE1310" s="12">
        <f t="shared" si="225"/>
        <v>1</v>
      </c>
      <c r="AF1310">
        <f t="shared" si="221"/>
        <v>1</v>
      </c>
      <c r="AG1310">
        <f t="shared" si="226"/>
        <v>0</v>
      </c>
      <c r="AH1310">
        <f t="shared" si="227"/>
        <v>1</v>
      </c>
      <c r="AI1310">
        <f t="shared" si="228"/>
        <v>0</v>
      </c>
      <c r="AJ1310">
        <f t="shared" si="229"/>
        <v>0</v>
      </c>
      <c r="AK1310">
        <f t="shared" si="222"/>
        <v>0</v>
      </c>
      <c r="AL1310">
        <f t="shared" si="230"/>
        <v>1</v>
      </c>
    </row>
    <row r="1311" spans="1:38">
      <c r="A1311" t="s">
        <v>4060</v>
      </c>
      <c r="B1311" t="s">
        <v>4061</v>
      </c>
      <c r="C1311" s="1">
        <f t="shared" si="223"/>
        <v>45566</v>
      </c>
      <c r="D1311" t="s">
        <v>4062</v>
      </c>
      <c r="E1311">
        <v>157.69999999999999</v>
      </c>
      <c r="F1311">
        <v>6.6</v>
      </c>
      <c r="G1311" t="s">
        <v>142</v>
      </c>
      <c r="H1311" t="s">
        <v>260</v>
      </c>
      <c r="I1311" t="s">
        <v>32</v>
      </c>
      <c r="J1311">
        <v>240</v>
      </c>
      <c r="K1311" t="s">
        <v>49</v>
      </c>
      <c r="L1311" t="s">
        <v>70</v>
      </c>
      <c r="M1311" t="s">
        <v>71</v>
      </c>
      <c r="N1311" t="s">
        <v>114</v>
      </c>
      <c r="O1311" t="s">
        <v>7232</v>
      </c>
      <c r="P1311" t="s">
        <v>38</v>
      </c>
      <c r="Q1311" t="s">
        <v>39</v>
      </c>
      <c r="R1311">
        <v>4</v>
      </c>
      <c r="S1311" t="s">
        <v>38</v>
      </c>
      <c r="T1311">
        <v>8</v>
      </c>
      <c r="U1311">
        <v>2</v>
      </c>
      <c r="V1311">
        <v>0</v>
      </c>
      <c r="W1311" t="s">
        <v>38</v>
      </c>
      <c r="X1311" t="s">
        <v>63</v>
      </c>
      <c r="Y1311" t="s">
        <v>39</v>
      </c>
      <c r="Z1311" t="s">
        <v>81</v>
      </c>
      <c r="AA1311" t="s">
        <v>109</v>
      </c>
      <c r="AB1311" t="s">
        <v>55</v>
      </c>
      <c r="AC1311">
        <f t="shared" si="220"/>
        <v>0</v>
      </c>
      <c r="AD1311" s="12">
        <f t="shared" si="224"/>
        <v>1</v>
      </c>
      <c r="AE1311" s="12">
        <f t="shared" si="225"/>
        <v>0</v>
      </c>
      <c r="AF1311">
        <f t="shared" si="221"/>
        <v>0</v>
      </c>
      <c r="AG1311">
        <f t="shared" si="226"/>
        <v>1</v>
      </c>
      <c r="AH1311">
        <f t="shared" si="227"/>
        <v>0</v>
      </c>
      <c r="AI1311">
        <f t="shared" si="228"/>
        <v>0</v>
      </c>
      <c r="AJ1311">
        <f t="shared" si="229"/>
        <v>1</v>
      </c>
      <c r="AK1311">
        <f t="shared" si="222"/>
        <v>0</v>
      </c>
      <c r="AL1311">
        <f t="shared" si="230"/>
        <v>0</v>
      </c>
    </row>
    <row r="1312" spans="1:38">
      <c r="A1312" t="s">
        <v>4063</v>
      </c>
      <c r="B1312" t="s">
        <v>4064</v>
      </c>
      <c r="C1312" s="1">
        <f t="shared" si="223"/>
        <v>45474</v>
      </c>
      <c r="D1312" t="s">
        <v>4065</v>
      </c>
      <c r="E1312">
        <v>169</v>
      </c>
      <c r="F1312">
        <v>7</v>
      </c>
      <c r="G1312" t="s">
        <v>87</v>
      </c>
      <c r="H1312" t="s">
        <v>183</v>
      </c>
      <c r="I1312" t="s">
        <v>48</v>
      </c>
      <c r="J1312">
        <v>120</v>
      </c>
      <c r="K1312" t="s">
        <v>33</v>
      </c>
      <c r="L1312" t="s">
        <v>70</v>
      </c>
      <c r="M1312" t="s">
        <v>35</v>
      </c>
      <c r="N1312" t="s">
        <v>61</v>
      </c>
      <c r="O1312" t="s">
        <v>37</v>
      </c>
      <c r="P1312" t="s">
        <v>38</v>
      </c>
      <c r="Q1312" t="s">
        <v>38</v>
      </c>
      <c r="R1312">
        <v>1</v>
      </c>
      <c r="S1312" t="s">
        <v>38</v>
      </c>
      <c r="T1312">
        <v>6</v>
      </c>
      <c r="U1312">
        <v>4.4000000000000004</v>
      </c>
      <c r="V1312">
        <v>2.7</v>
      </c>
      <c r="W1312" t="s">
        <v>38</v>
      </c>
      <c r="X1312" t="s">
        <v>52</v>
      </c>
      <c r="Y1312" t="s">
        <v>39</v>
      </c>
      <c r="Z1312" t="s">
        <v>179</v>
      </c>
      <c r="AA1312" t="s">
        <v>103</v>
      </c>
      <c r="AB1312" t="s">
        <v>55</v>
      </c>
      <c r="AC1312">
        <f t="shared" si="220"/>
        <v>1</v>
      </c>
      <c r="AD1312" s="12">
        <f t="shared" si="224"/>
        <v>0</v>
      </c>
      <c r="AE1312" s="12">
        <f t="shared" si="225"/>
        <v>0</v>
      </c>
      <c r="AF1312">
        <f t="shared" si="221"/>
        <v>0</v>
      </c>
      <c r="AG1312">
        <f t="shared" si="226"/>
        <v>0</v>
      </c>
      <c r="AH1312">
        <f t="shared" si="227"/>
        <v>1</v>
      </c>
      <c r="AI1312">
        <f t="shared" si="228"/>
        <v>0</v>
      </c>
      <c r="AJ1312">
        <f t="shared" si="229"/>
        <v>0</v>
      </c>
      <c r="AK1312">
        <f t="shared" si="222"/>
        <v>0</v>
      </c>
      <c r="AL1312">
        <f t="shared" si="230"/>
        <v>0</v>
      </c>
    </row>
    <row r="1313" spans="1:38">
      <c r="A1313" t="s">
        <v>4066</v>
      </c>
      <c r="B1313" t="s">
        <v>4067</v>
      </c>
      <c r="C1313" s="1">
        <f t="shared" si="223"/>
        <v>45292</v>
      </c>
      <c r="D1313" t="s">
        <v>4068</v>
      </c>
      <c r="E1313">
        <v>221.3</v>
      </c>
      <c r="F1313">
        <v>9.1999999999999993</v>
      </c>
      <c r="G1313" t="s">
        <v>101</v>
      </c>
      <c r="H1313" t="s">
        <v>102</v>
      </c>
      <c r="I1313" t="s">
        <v>32</v>
      </c>
      <c r="J1313">
        <v>240</v>
      </c>
      <c r="K1313" t="s">
        <v>49</v>
      </c>
      <c r="L1313" t="s">
        <v>34</v>
      </c>
      <c r="M1313" t="s">
        <v>71</v>
      </c>
      <c r="N1313" t="s">
        <v>80</v>
      </c>
      <c r="O1313" t="s">
        <v>37</v>
      </c>
      <c r="P1313" t="s">
        <v>38</v>
      </c>
      <c r="Q1313" t="s">
        <v>39</v>
      </c>
      <c r="R1313">
        <v>3</v>
      </c>
      <c r="S1313" t="s">
        <v>38</v>
      </c>
      <c r="T1313">
        <v>7</v>
      </c>
      <c r="U1313">
        <v>0.1</v>
      </c>
      <c r="V1313">
        <v>0</v>
      </c>
      <c r="W1313" t="s">
        <v>39</v>
      </c>
      <c r="X1313" t="s">
        <v>63</v>
      </c>
      <c r="Y1313" t="s">
        <v>38</v>
      </c>
      <c r="Z1313" t="s">
        <v>41</v>
      </c>
      <c r="AA1313" t="s">
        <v>82</v>
      </c>
      <c r="AB1313" t="s">
        <v>43</v>
      </c>
      <c r="AC1313">
        <f t="shared" si="220"/>
        <v>0</v>
      </c>
      <c r="AD1313" s="12">
        <f t="shared" si="224"/>
        <v>1</v>
      </c>
      <c r="AE1313" s="12">
        <f t="shared" si="225"/>
        <v>0</v>
      </c>
      <c r="AF1313">
        <f t="shared" si="221"/>
        <v>0</v>
      </c>
      <c r="AG1313">
        <f t="shared" si="226"/>
        <v>0</v>
      </c>
      <c r="AH1313">
        <f t="shared" si="227"/>
        <v>0</v>
      </c>
      <c r="AI1313">
        <f t="shared" si="228"/>
        <v>0</v>
      </c>
      <c r="AJ1313">
        <f t="shared" si="229"/>
        <v>1</v>
      </c>
      <c r="AK1313">
        <f t="shared" si="222"/>
        <v>0</v>
      </c>
      <c r="AL1313">
        <f t="shared" si="230"/>
        <v>1</v>
      </c>
    </row>
    <row r="1314" spans="1:38">
      <c r="A1314" t="s">
        <v>4069</v>
      </c>
      <c r="B1314" t="s">
        <v>4070</v>
      </c>
      <c r="C1314" s="1">
        <f t="shared" si="223"/>
        <v>45444</v>
      </c>
      <c r="D1314" t="s">
        <v>4071</v>
      </c>
      <c r="E1314">
        <v>162.69999999999999</v>
      </c>
      <c r="F1314">
        <v>6.8</v>
      </c>
      <c r="G1314" t="s">
        <v>101</v>
      </c>
      <c r="H1314" t="s">
        <v>368</v>
      </c>
      <c r="I1314" t="s">
        <v>32</v>
      </c>
      <c r="J1314">
        <v>240</v>
      </c>
      <c r="K1314" t="s">
        <v>49</v>
      </c>
      <c r="L1314" t="s">
        <v>96</v>
      </c>
      <c r="M1314" t="s">
        <v>35</v>
      </c>
      <c r="N1314" t="s">
        <v>299</v>
      </c>
      <c r="O1314" t="s">
        <v>7232</v>
      </c>
      <c r="P1314" t="s">
        <v>39</v>
      </c>
      <c r="Q1314" t="s">
        <v>38</v>
      </c>
      <c r="R1314">
        <v>0</v>
      </c>
      <c r="S1314" t="s">
        <v>39</v>
      </c>
      <c r="T1314">
        <v>10</v>
      </c>
      <c r="U1314">
        <v>1.6</v>
      </c>
      <c r="V1314">
        <v>9.1999999999999993</v>
      </c>
      <c r="W1314" t="s">
        <v>39</v>
      </c>
      <c r="X1314" t="s">
        <v>123</v>
      </c>
      <c r="Y1314" t="s">
        <v>39</v>
      </c>
      <c r="Z1314" t="s">
        <v>81</v>
      </c>
      <c r="AA1314" t="s">
        <v>54</v>
      </c>
      <c r="AB1314" t="s">
        <v>55</v>
      </c>
      <c r="AC1314">
        <f t="shared" si="220"/>
        <v>0</v>
      </c>
      <c r="AD1314" s="12">
        <f t="shared" si="224"/>
        <v>0</v>
      </c>
      <c r="AE1314" s="12">
        <f t="shared" si="225"/>
        <v>1</v>
      </c>
      <c r="AF1314">
        <f t="shared" si="221"/>
        <v>0</v>
      </c>
      <c r="AG1314">
        <f t="shared" si="226"/>
        <v>1</v>
      </c>
      <c r="AH1314">
        <f t="shared" si="227"/>
        <v>0</v>
      </c>
      <c r="AI1314">
        <f t="shared" si="228"/>
        <v>0</v>
      </c>
      <c r="AJ1314">
        <f t="shared" si="229"/>
        <v>1</v>
      </c>
      <c r="AK1314">
        <f t="shared" si="222"/>
        <v>0</v>
      </c>
      <c r="AL1314">
        <f t="shared" si="230"/>
        <v>0</v>
      </c>
    </row>
    <row r="1315" spans="1:38">
      <c r="A1315" t="s">
        <v>4072</v>
      </c>
      <c r="B1315" t="s">
        <v>4073</v>
      </c>
      <c r="C1315" s="1">
        <f t="shared" si="223"/>
        <v>45474</v>
      </c>
      <c r="D1315" t="s">
        <v>4074</v>
      </c>
      <c r="E1315">
        <v>200.4</v>
      </c>
      <c r="F1315">
        <v>8.4</v>
      </c>
      <c r="G1315" t="s">
        <v>77</v>
      </c>
      <c r="H1315" t="s">
        <v>187</v>
      </c>
      <c r="I1315" t="s">
        <v>32</v>
      </c>
      <c r="J1315">
        <v>240</v>
      </c>
      <c r="K1315" t="s">
        <v>49</v>
      </c>
      <c r="L1315" t="s">
        <v>70</v>
      </c>
      <c r="M1315" t="s">
        <v>35</v>
      </c>
      <c r="N1315" t="s">
        <v>36</v>
      </c>
      <c r="O1315" t="s">
        <v>51</v>
      </c>
      <c r="P1315" t="s">
        <v>39</v>
      </c>
      <c r="Q1315" t="s">
        <v>38</v>
      </c>
      <c r="R1315">
        <v>0</v>
      </c>
      <c r="S1315" t="s">
        <v>38</v>
      </c>
      <c r="T1315">
        <v>10</v>
      </c>
      <c r="U1315">
        <v>0.5</v>
      </c>
      <c r="V1315">
        <v>23.8</v>
      </c>
      <c r="W1315" t="s">
        <v>39</v>
      </c>
      <c r="X1315" t="s">
        <v>52</v>
      </c>
      <c r="Y1315" t="s">
        <v>39</v>
      </c>
      <c r="Z1315" t="s">
        <v>108</v>
      </c>
      <c r="AA1315" t="s">
        <v>54</v>
      </c>
      <c r="AB1315" t="s">
        <v>55</v>
      </c>
      <c r="AC1315">
        <f t="shared" si="220"/>
        <v>1</v>
      </c>
      <c r="AD1315" s="12">
        <f t="shared" si="224"/>
        <v>0</v>
      </c>
      <c r="AE1315" s="12">
        <f t="shared" si="225"/>
        <v>0</v>
      </c>
      <c r="AF1315">
        <f t="shared" si="221"/>
        <v>1</v>
      </c>
      <c r="AG1315">
        <f t="shared" si="226"/>
        <v>0</v>
      </c>
      <c r="AH1315">
        <f t="shared" si="227"/>
        <v>0</v>
      </c>
      <c r="AI1315">
        <f t="shared" si="228"/>
        <v>0</v>
      </c>
      <c r="AJ1315">
        <f t="shared" si="229"/>
        <v>1</v>
      </c>
      <c r="AK1315">
        <f t="shared" si="222"/>
        <v>0</v>
      </c>
      <c r="AL1315">
        <f t="shared" si="230"/>
        <v>0</v>
      </c>
    </row>
    <row r="1316" spans="1:38">
      <c r="A1316" t="s">
        <v>4075</v>
      </c>
      <c r="B1316" t="s">
        <v>4076</v>
      </c>
      <c r="C1316" s="1">
        <f t="shared" si="223"/>
        <v>45597</v>
      </c>
      <c r="D1316" t="s">
        <v>4077</v>
      </c>
      <c r="E1316">
        <v>298.10000000000002</v>
      </c>
      <c r="F1316">
        <v>12.4</v>
      </c>
      <c r="G1316" t="s">
        <v>93</v>
      </c>
      <c r="H1316" t="s">
        <v>163</v>
      </c>
      <c r="I1316" t="s">
        <v>79</v>
      </c>
      <c r="J1316">
        <v>360</v>
      </c>
      <c r="K1316" t="s">
        <v>49</v>
      </c>
      <c r="L1316" t="s">
        <v>70</v>
      </c>
      <c r="M1316" t="s">
        <v>35</v>
      </c>
      <c r="N1316" t="s">
        <v>168</v>
      </c>
      <c r="O1316" t="s">
        <v>7232</v>
      </c>
      <c r="P1316" t="s">
        <v>38</v>
      </c>
      <c r="Q1316" t="s">
        <v>38</v>
      </c>
      <c r="R1316">
        <v>1</v>
      </c>
      <c r="S1316" t="s">
        <v>38</v>
      </c>
      <c r="T1316">
        <v>7</v>
      </c>
      <c r="U1316">
        <v>4.4000000000000004</v>
      </c>
      <c r="V1316">
        <v>8.1999999999999993</v>
      </c>
      <c r="W1316" t="s">
        <v>38</v>
      </c>
      <c r="X1316" t="s">
        <v>40</v>
      </c>
      <c r="Y1316" t="s">
        <v>39</v>
      </c>
      <c r="Z1316" t="s">
        <v>179</v>
      </c>
      <c r="AA1316" t="s">
        <v>54</v>
      </c>
      <c r="AB1316" t="s">
        <v>83</v>
      </c>
      <c r="AC1316">
        <f t="shared" si="220"/>
        <v>0</v>
      </c>
      <c r="AD1316" s="12">
        <f t="shared" si="224"/>
        <v>0</v>
      </c>
      <c r="AE1316" s="12">
        <f t="shared" si="225"/>
        <v>0</v>
      </c>
      <c r="AF1316">
        <f t="shared" si="221"/>
        <v>0</v>
      </c>
      <c r="AG1316">
        <f t="shared" si="226"/>
        <v>1</v>
      </c>
      <c r="AH1316">
        <f t="shared" si="227"/>
        <v>0</v>
      </c>
      <c r="AI1316">
        <f t="shared" si="228"/>
        <v>0</v>
      </c>
      <c r="AJ1316">
        <f t="shared" si="229"/>
        <v>0</v>
      </c>
      <c r="AK1316">
        <f t="shared" si="222"/>
        <v>0</v>
      </c>
      <c r="AL1316">
        <f t="shared" si="230"/>
        <v>0</v>
      </c>
    </row>
    <row r="1317" spans="1:38">
      <c r="A1317" t="s">
        <v>4078</v>
      </c>
      <c r="B1317" t="s">
        <v>4079</v>
      </c>
      <c r="C1317" s="1">
        <f t="shared" si="223"/>
        <v>45383</v>
      </c>
      <c r="D1317" t="s">
        <v>4080</v>
      </c>
      <c r="E1317">
        <v>93.5</v>
      </c>
      <c r="F1317">
        <v>3.9</v>
      </c>
      <c r="G1317" t="s">
        <v>59</v>
      </c>
      <c r="H1317" t="s">
        <v>132</v>
      </c>
      <c r="I1317" t="s">
        <v>48</v>
      </c>
      <c r="J1317">
        <v>120</v>
      </c>
      <c r="K1317" t="s">
        <v>49</v>
      </c>
      <c r="L1317" t="s">
        <v>96</v>
      </c>
      <c r="M1317" t="s">
        <v>35</v>
      </c>
      <c r="N1317" t="s">
        <v>50</v>
      </c>
      <c r="O1317" t="s">
        <v>51</v>
      </c>
      <c r="P1317" t="s">
        <v>39</v>
      </c>
      <c r="Q1317" t="s">
        <v>38</v>
      </c>
      <c r="R1317">
        <v>0</v>
      </c>
      <c r="S1317" t="s">
        <v>38</v>
      </c>
      <c r="T1317">
        <v>10</v>
      </c>
      <c r="U1317">
        <v>1.2</v>
      </c>
      <c r="V1317">
        <v>28.1</v>
      </c>
      <c r="W1317" t="s">
        <v>39</v>
      </c>
      <c r="X1317" t="s">
        <v>63</v>
      </c>
      <c r="Y1317" t="s">
        <v>39</v>
      </c>
      <c r="Z1317" t="s">
        <v>41</v>
      </c>
      <c r="AA1317" t="s">
        <v>42</v>
      </c>
      <c r="AB1317" t="s">
        <v>83</v>
      </c>
      <c r="AC1317">
        <f t="shared" si="220"/>
        <v>0</v>
      </c>
      <c r="AD1317" s="12">
        <f t="shared" si="224"/>
        <v>1</v>
      </c>
      <c r="AE1317" s="12">
        <f t="shared" si="225"/>
        <v>0</v>
      </c>
      <c r="AF1317">
        <f t="shared" si="221"/>
        <v>1</v>
      </c>
      <c r="AG1317">
        <f t="shared" si="226"/>
        <v>0</v>
      </c>
      <c r="AH1317">
        <f t="shared" si="227"/>
        <v>1</v>
      </c>
      <c r="AI1317">
        <f t="shared" si="228"/>
        <v>0</v>
      </c>
      <c r="AJ1317">
        <f t="shared" si="229"/>
        <v>0</v>
      </c>
      <c r="AK1317">
        <f t="shared" si="222"/>
        <v>0</v>
      </c>
      <c r="AL1317">
        <f t="shared" si="230"/>
        <v>0</v>
      </c>
    </row>
    <row r="1318" spans="1:38">
      <c r="A1318" t="s">
        <v>4081</v>
      </c>
      <c r="B1318" t="s">
        <v>4082</v>
      </c>
      <c r="C1318" s="1">
        <f t="shared" si="223"/>
        <v>45536</v>
      </c>
      <c r="D1318" t="s">
        <v>4083</v>
      </c>
      <c r="E1318">
        <v>233.5</v>
      </c>
      <c r="F1318">
        <v>9.6999999999999993</v>
      </c>
      <c r="G1318" t="s">
        <v>68</v>
      </c>
      <c r="H1318" t="s">
        <v>456</v>
      </c>
      <c r="I1318" t="s">
        <v>79</v>
      </c>
      <c r="J1318">
        <v>360</v>
      </c>
      <c r="K1318" t="s">
        <v>49</v>
      </c>
      <c r="L1318" t="s">
        <v>34</v>
      </c>
      <c r="M1318" t="s">
        <v>35</v>
      </c>
      <c r="N1318" t="s">
        <v>128</v>
      </c>
      <c r="O1318" t="s">
        <v>37</v>
      </c>
      <c r="P1318" t="s">
        <v>38</v>
      </c>
      <c r="Q1318" t="s">
        <v>38</v>
      </c>
      <c r="R1318">
        <v>1</v>
      </c>
      <c r="S1318" t="s">
        <v>38</v>
      </c>
      <c r="T1318">
        <v>7</v>
      </c>
      <c r="U1318">
        <v>0.1</v>
      </c>
      <c r="V1318">
        <v>19.899999999999999</v>
      </c>
      <c r="W1318" t="s">
        <v>39</v>
      </c>
      <c r="X1318" t="s">
        <v>63</v>
      </c>
      <c r="Y1318" t="s">
        <v>38</v>
      </c>
      <c r="Z1318" t="s">
        <v>64</v>
      </c>
      <c r="AA1318" t="s">
        <v>42</v>
      </c>
      <c r="AB1318" t="s">
        <v>83</v>
      </c>
      <c r="AC1318">
        <f t="shared" si="220"/>
        <v>0</v>
      </c>
      <c r="AD1318" s="12">
        <f t="shared" si="224"/>
        <v>1</v>
      </c>
      <c r="AE1318" s="12">
        <f t="shared" si="225"/>
        <v>0</v>
      </c>
      <c r="AF1318">
        <f t="shared" si="221"/>
        <v>0</v>
      </c>
      <c r="AG1318">
        <f t="shared" si="226"/>
        <v>0</v>
      </c>
      <c r="AH1318">
        <f t="shared" si="227"/>
        <v>0</v>
      </c>
      <c r="AI1318">
        <f t="shared" si="228"/>
        <v>0</v>
      </c>
      <c r="AJ1318">
        <f t="shared" si="229"/>
        <v>0</v>
      </c>
      <c r="AK1318">
        <f t="shared" si="222"/>
        <v>0</v>
      </c>
      <c r="AL1318">
        <f t="shared" si="230"/>
        <v>1</v>
      </c>
    </row>
    <row r="1319" spans="1:38">
      <c r="A1319" t="s">
        <v>4084</v>
      </c>
      <c r="B1319" t="s">
        <v>4085</v>
      </c>
      <c r="C1319" s="1">
        <f t="shared" si="223"/>
        <v>45474</v>
      </c>
      <c r="D1319" t="s">
        <v>4086</v>
      </c>
      <c r="E1319">
        <v>107.7</v>
      </c>
      <c r="F1319">
        <v>4.5</v>
      </c>
      <c r="G1319" t="s">
        <v>101</v>
      </c>
      <c r="H1319" t="s">
        <v>295</v>
      </c>
      <c r="I1319" t="s">
        <v>48</v>
      </c>
      <c r="J1319">
        <v>120</v>
      </c>
      <c r="K1319" t="s">
        <v>49</v>
      </c>
      <c r="L1319" t="s">
        <v>34</v>
      </c>
      <c r="M1319" t="s">
        <v>35</v>
      </c>
      <c r="N1319" t="s">
        <v>202</v>
      </c>
      <c r="O1319" t="s">
        <v>51</v>
      </c>
      <c r="P1319" t="s">
        <v>38</v>
      </c>
      <c r="Q1319" t="s">
        <v>38</v>
      </c>
      <c r="R1319">
        <v>1</v>
      </c>
      <c r="S1319" t="s">
        <v>38</v>
      </c>
      <c r="T1319">
        <v>8</v>
      </c>
      <c r="U1319">
        <v>0.7</v>
      </c>
      <c r="V1319">
        <v>21.5</v>
      </c>
      <c r="W1319" t="s">
        <v>38</v>
      </c>
      <c r="X1319" t="s">
        <v>63</v>
      </c>
      <c r="Y1319" t="s">
        <v>39</v>
      </c>
      <c r="Z1319" t="s">
        <v>81</v>
      </c>
      <c r="AA1319" t="s">
        <v>103</v>
      </c>
      <c r="AB1319" t="s">
        <v>83</v>
      </c>
      <c r="AC1319">
        <f t="shared" si="220"/>
        <v>0</v>
      </c>
      <c r="AD1319" s="12">
        <f t="shared" si="224"/>
        <v>1</v>
      </c>
      <c r="AE1319" s="12">
        <f t="shared" si="225"/>
        <v>0</v>
      </c>
      <c r="AF1319">
        <f t="shared" si="221"/>
        <v>1</v>
      </c>
      <c r="AG1319">
        <f t="shared" si="226"/>
        <v>0</v>
      </c>
      <c r="AH1319">
        <f t="shared" si="227"/>
        <v>1</v>
      </c>
      <c r="AI1319">
        <f t="shared" si="228"/>
        <v>0</v>
      </c>
      <c r="AJ1319">
        <f t="shared" si="229"/>
        <v>0</v>
      </c>
      <c r="AK1319">
        <f t="shared" si="222"/>
        <v>0</v>
      </c>
      <c r="AL1319">
        <f t="shared" si="230"/>
        <v>0</v>
      </c>
    </row>
    <row r="1320" spans="1:38">
      <c r="A1320" t="s">
        <v>4087</v>
      </c>
      <c r="B1320" t="s">
        <v>4088</v>
      </c>
      <c r="C1320" s="1">
        <f t="shared" si="223"/>
        <v>45413</v>
      </c>
      <c r="D1320" t="s">
        <v>4089</v>
      </c>
      <c r="E1320">
        <v>75.099999999999994</v>
      </c>
      <c r="F1320">
        <v>3.1</v>
      </c>
      <c r="G1320" t="s">
        <v>68</v>
      </c>
      <c r="H1320" t="s">
        <v>212</v>
      </c>
      <c r="I1320" t="s">
        <v>48</v>
      </c>
      <c r="J1320">
        <v>120</v>
      </c>
      <c r="K1320" t="s">
        <v>49</v>
      </c>
      <c r="L1320" t="s">
        <v>96</v>
      </c>
      <c r="M1320" t="s">
        <v>35</v>
      </c>
      <c r="N1320" t="s">
        <v>119</v>
      </c>
      <c r="O1320" t="s">
        <v>7232</v>
      </c>
      <c r="P1320" t="s">
        <v>39</v>
      </c>
      <c r="Q1320" t="s">
        <v>38</v>
      </c>
      <c r="R1320">
        <v>0</v>
      </c>
      <c r="S1320" t="s">
        <v>38</v>
      </c>
      <c r="T1320">
        <v>10</v>
      </c>
      <c r="U1320">
        <v>1.1000000000000001</v>
      </c>
      <c r="V1320">
        <v>0.4</v>
      </c>
      <c r="W1320" t="s">
        <v>39</v>
      </c>
      <c r="X1320" t="s">
        <v>63</v>
      </c>
      <c r="Y1320" t="s">
        <v>38</v>
      </c>
      <c r="Z1320" t="s">
        <v>115</v>
      </c>
      <c r="AA1320" t="s">
        <v>54</v>
      </c>
      <c r="AB1320" t="s">
        <v>83</v>
      </c>
      <c r="AC1320">
        <f t="shared" si="220"/>
        <v>0</v>
      </c>
      <c r="AD1320" s="12">
        <f t="shared" si="224"/>
        <v>1</v>
      </c>
      <c r="AE1320" s="12">
        <f t="shared" si="225"/>
        <v>0</v>
      </c>
      <c r="AF1320">
        <f t="shared" si="221"/>
        <v>0</v>
      </c>
      <c r="AG1320">
        <f t="shared" si="226"/>
        <v>1</v>
      </c>
      <c r="AH1320">
        <f t="shared" si="227"/>
        <v>1</v>
      </c>
      <c r="AI1320">
        <f t="shared" si="228"/>
        <v>0</v>
      </c>
      <c r="AJ1320">
        <f t="shared" si="229"/>
        <v>0</v>
      </c>
      <c r="AK1320">
        <f t="shared" si="222"/>
        <v>0</v>
      </c>
      <c r="AL1320">
        <f t="shared" si="230"/>
        <v>1</v>
      </c>
    </row>
    <row r="1321" spans="1:38">
      <c r="A1321" t="s">
        <v>4090</v>
      </c>
      <c r="B1321" t="s">
        <v>4091</v>
      </c>
      <c r="C1321" s="1">
        <f t="shared" si="223"/>
        <v>45597</v>
      </c>
      <c r="D1321" t="s">
        <v>4092</v>
      </c>
      <c r="E1321">
        <v>80</v>
      </c>
      <c r="F1321">
        <v>3.3</v>
      </c>
      <c r="G1321" t="s">
        <v>142</v>
      </c>
      <c r="H1321" t="s">
        <v>260</v>
      </c>
      <c r="I1321" t="s">
        <v>48</v>
      </c>
      <c r="J1321">
        <v>120</v>
      </c>
      <c r="K1321" t="s">
        <v>49</v>
      </c>
      <c r="L1321" t="s">
        <v>96</v>
      </c>
      <c r="M1321" t="s">
        <v>35</v>
      </c>
      <c r="N1321" t="s">
        <v>220</v>
      </c>
      <c r="O1321" t="s">
        <v>51</v>
      </c>
      <c r="P1321" t="s">
        <v>38</v>
      </c>
      <c r="Q1321" t="s">
        <v>38</v>
      </c>
      <c r="R1321">
        <v>1</v>
      </c>
      <c r="S1321" t="s">
        <v>38</v>
      </c>
      <c r="T1321">
        <v>10</v>
      </c>
      <c r="U1321">
        <v>0.9</v>
      </c>
      <c r="V1321">
        <v>15.2</v>
      </c>
      <c r="W1321" t="s">
        <v>39</v>
      </c>
      <c r="X1321" t="s">
        <v>123</v>
      </c>
      <c r="Y1321" t="s">
        <v>38</v>
      </c>
      <c r="Z1321" t="s">
        <v>81</v>
      </c>
      <c r="AA1321" t="s">
        <v>42</v>
      </c>
      <c r="AB1321" t="s">
        <v>83</v>
      </c>
      <c r="AC1321">
        <f t="shared" si="220"/>
        <v>0</v>
      </c>
      <c r="AD1321" s="12">
        <f t="shared" si="224"/>
        <v>0</v>
      </c>
      <c r="AE1321" s="12">
        <f t="shared" si="225"/>
        <v>1</v>
      </c>
      <c r="AF1321">
        <f t="shared" si="221"/>
        <v>1</v>
      </c>
      <c r="AG1321">
        <f t="shared" si="226"/>
        <v>0</v>
      </c>
      <c r="AH1321">
        <f t="shared" si="227"/>
        <v>1</v>
      </c>
      <c r="AI1321">
        <f t="shared" si="228"/>
        <v>0</v>
      </c>
      <c r="AJ1321">
        <f t="shared" si="229"/>
        <v>0</v>
      </c>
      <c r="AK1321">
        <f t="shared" si="222"/>
        <v>0</v>
      </c>
      <c r="AL1321">
        <f t="shared" si="230"/>
        <v>1</v>
      </c>
    </row>
    <row r="1322" spans="1:38">
      <c r="A1322" t="s">
        <v>4093</v>
      </c>
      <c r="B1322" t="s">
        <v>4094</v>
      </c>
      <c r="C1322" s="1">
        <f t="shared" si="223"/>
        <v>45383</v>
      </c>
      <c r="D1322" t="s">
        <v>4095</v>
      </c>
      <c r="E1322">
        <v>106</v>
      </c>
      <c r="F1322">
        <v>4.4000000000000004</v>
      </c>
      <c r="G1322" t="s">
        <v>59</v>
      </c>
      <c r="H1322" t="s">
        <v>227</v>
      </c>
      <c r="I1322" t="s">
        <v>48</v>
      </c>
      <c r="J1322">
        <v>120</v>
      </c>
      <c r="K1322" t="s">
        <v>49</v>
      </c>
      <c r="L1322" t="s">
        <v>96</v>
      </c>
      <c r="M1322" t="s">
        <v>71</v>
      </c>
      <c r="N1322" t="s">
        <v>188</v>
      </c>
      <c r="O1322" t="s">
        <v>51</v>
      </c>
      <c r="P1322" t="s">
        <v>38</v>
      </c>
      <c r="Q1322" t="s">
        <v>39</v>
      </c>
      <c r="R1322">
        <v>3</v>
      </c>
      <c r="S1322" t="s">
        <v>38</v>
      </c>
      <c r="T1322">
        <v>9</v>
      </c>
      <c r="U1322">
        <v>3</v>
      </c>
      <c r="V1322">
        <v>15</v>
      </c>
      <c r="W1322" t="s">
        <v>39</v>
      </c>
      <c r="X1322" t="s">
        <v>123</v>
      </c>
      <c r="Y1322" t="s">
        <v>39</v>
      </c>
      <c r="Z1322" t="s">
        <v>115</v>
      </c>
      <c r="AA1322" t="s">
        <v>82</v>
      </c>
      <c r="AB1322" t="s">
        <v>55</v>
      </c>
      <c r="AC1322">
        <f t="shared" si="220"/>
        <v>0</v>
      </c>
      <c r="AD1322" s="12">
        <f t="shared" si="224"/>
        <v>0</v>
      </c>
      <c r="AE1322" s="12">
        <f t="shared" si="225"/>
        <v>1</v>
      </c>
      <c r="AF1322">
        <f t="shared" si="221"/>
        <v>1</v>
      </c>
      <c r="AG1322">
        <f t="shared" si="226"/>
        <v>0</v>
      </c>
      <c r="AH1322">
        <f t="shared" si="227"/>
        <v>1</v>
      </c>
      <c r="AI1322">
        <f t="shared" si="228"/>
        <v>0</v>
      </c>
      <c r="AJ1322">
        <f t="shared" si="229"/>
        <v>0</v>
      </c>
      <c r="AK1322">
        <f t="shared" si="222"/>
        <v>0</v>
      </c>
      <c r="AL1322">
        <f t="shared" si="230"/>
        <v>0</v>
      </c>
    </row>
    <row r="1323" spans="1:38">
      <c r="A1323" t="s">
        <v>4096</v>
      </c>
      <c r="B1323" t="s">
        <v>4097</v>
      </c>
      <c r="C1323" s="1">
        <f t="shared" si="223"/>
        <v>45383</v>
      </c>
      <c r="D1323" t="s">
        <v>4098</v>
      </c>
      <c r="E1323">
        <v>102.1</v>
      </c>
      <c r="F1323">
        <v>4.3</v>
      </c>
      <c r="G1323" t="s">
        <v>87</v>
      </c>
      <c r="H1323" t="s">
        <v>309</v>
      </c>
      <c r="I1323" t="s">
        <v>48</v>
      </c>
      <c r="J1323">
        <v>120</v>
      </c>
      <c r="K1323" t="s">
        <v>49</v>
      </c>
      <c r="L1323" t="s">
        <v>34</v>
      </c>
      <c r="M1323" t="s">
        <v>35</v>
      </c>
      <c r="N1323" t="s">
        <v>114</v>
      </c>
      <c r="O1323" t="s">
        <v>37</v>
      </c>
      <c r="P1323" t="s">
        <v>38</v>
      </c>
      <c r="Q1323" t="s">
        <v>38</v>
      </c>
      <c r="R1323">
        <v>1</v>
      </c>
      <c r="S1323" t="s">
        <v>38</v>
      </c>
      <c r="T1323">
        <v>9</v>
      </c>
      <c r="U1323">
        <v>3</v>
      </c>
      <c r="V1323">
        <v>26</v>
      </c>
      <c r="W1323" t="s">
        <v>38</v>
      </c>
      <c r="X1323" t="s">
        <v>52</v>
      </c>
      <c r="Y1323" t="s">
        <v>39</v>
      </c>
      <c r="Z1323" t="s">
        <v>81</v>
      </c>
      <c r="AA1323" t="s">
        <v>109</v>
      </c>
      <c r="AB1323" t="s">
        <v>43</v>
      </c>
      <c r="AC1323">
        <f t="shared" si="220"/>
        <v>1</v>
      </c>
      <c r="AD1323" s="12">
        <f t="shared" si="224"/>
        <v>0</v>
      </c>
      <c r="AE1323" s="12">
        <f t="shared" si="225"/>
        <v>0</v>
      </c>
      <c r="AF1323">
        <f t="shared" si="221"/>
        <v>0</v>
      </c>
      <c r="AG1323">
        <f t="shared" si="226"/>
        <v>0</v>
      </c>
      <c r="AH1323">
        <f t="shared" si="227"/>
        <v>1</v>
      </c>
      <c r="AI1323">
        <f t="shared" si="228"/>
        <v>0</v>
      </c>
      <c r="AJ1323">
        <f t="shared" si="229"/>
        <v>0</v>
      </c>
      <c r="AK1323">
        <f t="shared" si="222"/>
        <v>0</v>
      </c>
      <c r="AL1323">
        <f t="shared" si="230"/>
        <v>0</v>
      </c>
    </row>
    <row r="1324" spans="1:38">
      <c r="A1324" t="s">
        <v>4099</v>
      </c>
      <c r="B1324" t="s">
        <v>4100</v>
      </c>
      <c r="C1324" s="1">
        <f t="shared" si="223"/>
        <v>45352</v>
      </c>
      <c r="D1324" t="s">
        <v>4101</v>
      </c>
      <c r="E1324">
        <v>111.3</v>
      </c>
      <c r="F1324">
        <v>4.5999999999999996</v>
      </c>
      <c r="G1324" t="s">
        <v>68</v>
      </c>
      <c r="H1324" t="s">
        <v>219</v>
      </c>
      <c r="I1324" t="s">
        <v>48</v>
      </c>
      <c r="J1324">
        <v>120</v>
      </c>
      <c r="K1324" t="s">
        <v>49</v>
      </c>
      <c r="L1324" t="s">
        <v>96</v>
      </c>
      <c r="M1324" t="s">
        <v>35</v>
      </c>
      <c r="N1324" t="s">
        <v>97</v>
      </c>
      <c r="O1324" t="s">
        <v>7232</v>
      </c>
      <c r="P1324" t="s">
        <v>38</v>
      </c>
      <c r="Q1324" t="s">
        <v>38</v>
      </c>
      <c r="R1324">
        <v>1</v>
      </c>
      <c r="S1324" t="s">
        <v>38</v>
      </c>
      <c r="T1324">
        <v>8</v>
      </c>
      <c r="U1324">
        <v>0.5</v>
      </c>
      <c r="V1324">
        <v>30.5</v>
      </c>
      <c r="W1324" t="s">
        <v>39</v>
      </c>
      <c r="X1324" t="s">
        <v>63</v>
      </c>
      <c r="Y1324" t="s">
        <v>38</v>
      </c>
      <c r="Z1324" t="s">
        <v>53</v>
      </c>
      <c r="AA1324" t="s">
        <v>82</v>
      </c>
      <c r="AB1324" t="s">
        <v>43</v>
      </c>
      <c r="AC1324">
        <f t="shared" si="220"/>
        <v>0</v>
      </c>
      <c r="AD1324" s="12">
        <f t="shared" si="224"/>
        <v>1</v>
      </c>
      <c r="AE1324" s="12">
        <f t="shared" si="225"/>
        <v>0</v>
      </c>
      <c r="AF1324">
        <f t="shared" si="221"/>
        <v>0</v>
      </c>
      <c r="AG1324">
        <f t="shared" si="226"/>
        <v>1</v>
      </c>
      <c r="AH1324">
        <f t="shared" si="227"/>
        <v>1</v>
      </c>
      <c r="AI1324">
        <f t="shared" si="228"/>
        <v>0</v>
      </c>
      <c r="AJ1324">
        <f t="shared" si="229"/>
        <v>0</v>
      </c>
      <c r="AK1324">
        <f t="shared" si="222"/>
        <v>0</v>
      </c>
      <c r="AL1324">
        <f t="shared" si="230"/>
        <v>1</v>
      </c>
    </row>
    <row r="1325" spans="1:38">
      <c r="A1325" t="s">
        <v>4102</v>
      </c>
      <c r="B1325" t="s">
        <v>4103</v>
      </c>
      <c r="C1325" s="1">
        <f t="shared" si="223"/>
        <v>45597</v>
      </c>
      <c r="D1325" t="s">
        <v>4104</v>
      </c>
      <c r="E1325">
        <v>183.9</v>
      </c>
      <c r="F1325">
        <v>7.7</v>
      </c>
      <c r="G1325" t="s">
        <v>142</v>
      </c>
      <c r="H1325" t="s">
        <v>729</v>
      </c>
      <c r="I1325" t="s">
        <v>32</v>
      </c>
      <c r="J1325">
        <v>240</v>
      </c>
      <c r="K1325" t="s">
        <v>49</v>
      </c>
      <c r="L1325" t="s">
        <v>96</v>
      </c>
      <c r="M1325" t="s">
        <v>35</v>
      </c>
      <c r="N1325" t="s">
        <v>144</v>
      </c>
      <c r="O1325" t="s">
        <v>7232</v>
      </c>
      <c r="P1325" t="s">
        <v>38</v>
      </c>
      <c r="Q1325" t="s">
        <v>38</v>
      </c>
      <c r="R1325">
        <v>1</v>
      </c>
      <c r="S1325" t="s">
        <v>38</v>
      </c>
      <c r="T1325">
        <v>8</v>
      </c>
      <c r="U1325">
        <v>2.9</v>
      </c>
      <c r="V1325">
        <v>23.7</v>
      </c>
      <c r="W1325" t="s">
        <v>38</v>
      </c>
      <c r="X1325" t="s">
        <v>40</v>
      </c>
      <c r="Y1325" t="s">
        <v>38</v>
      </c>
      <c r="Z1325" t="s">
        <v>108</v>
      </c>
      <c r="AA1325" t="s">
        <v>109</v>
      </c>
      <c r="AB1325" t="s">
        <v>83</v>
      </c>
      <c r="AC1325">
        <f t="shared" si="220"/>
        <v>0</v>
      </c>
      <c r="AD1325" s="12">
        <f t="shared" si="224"/>
        <v>0</v>
      </c>
      <c r="AE1325" s="12">
        <f t="shared" si="225"/>
        <v>0</v>
      </c>
      <c r="AF1325">
        <f t="shared" si="221"/>
        <v>0</v>
      </c>
      <c r="AG1325">
        <f t="shared" si="226"/>
        <v>1</v>
      </c>
      <c r="AH1325">
        <f t="shared" si="227"/>
        <v>0</v>
      </c>
      <c r="AI1325">
        <f t="shared" si="228"/>
        <v>0</v>
      </c>
      <c r="AJ1325">
        <f t="shared" si="229"/>
        <v>1</v>
      </c>
      <c r="AK1325">
        <f t="shared" si="222"/>
        <v>0</v>
      </c>
      <c r="AL1325">
        <f t="shared" si="230"/>
        <v>1</v>
      </c>
    </row>
    <row r="1326" spans="1:38">
      <c r="A1326" t="s">
        <v>4105</v>
      </c>
      <c r="B1326" t="s">
        <v>4106</v>
      </c>
      <c r="C1326" s="1">
        <f t="shared" si="223"/>
        <v>45505</v>
      </c>
      <c r="D1326" t="s">
        <v>4107</v>
      </c>
      <c r="E1326">
        <v>113.3</v>
      </c>
      <c r="F1326">
        <v>4.7</v>
      </c>
      <c r="G1326" t="s">
        <v>87</v>
      </c>
      <c r="H1326" t="s">
        <v>183</v>
      </c>
      <c r="I1326" t="s">
        <v>48</v>
      </c>
      <c r="J1326">
        <v>120</v>
      </c>
      <c r="K1326" t="s">
        <v>49</v>
      </c>
      <c r="L1326" t="s">
        <v>70</v>
      </c>
      <c r="M1326" t="s">
        <v>71</v>
      </c>
      <c r="N1326" t="s">
        <v>506</v>
      </c>
      <c r="O1326" t="s">
        <v>7232</v>
      </c>
      <c r="P1326" t="s">
        <v>38</v>
      </c>
      <c r="Q1326" t="s">
        <v>39</v>
      </c>
      <c r="R1326">
        <v>1</v>
      </c>
      <c r="S1326" t="s">
        <v>38</v>
      </c>
      <c r="T1326">
        <v>7</v>
      </c>
      <c r="U1326">
        <v>1.3</v>
      </c>
      <c r="V1326">
        <v>21.4</v>
      </c>
      <c r="W1326" t="s">
        <v>39</v>
      </c>
      <c r="X1326" t="s">
        <v>63</v>
      </c>
      <c r="Y1326" t="s">
        <v>39</v>
      </c>
      <c r="Z1326" t="s">
        <v>81</v>
      </c>
      <c r="AA1326" t="s">
        <v>42</v>
      </c>
      <c r="AB1326" t="s">
        <v>83</v>
      </c>
      <c r="AC1326">
        <f t="shared" si="220"/>
        <v>0</v>
      </c>
      <c r="AD1326" s="12">
        <f t="shared" si="224"/>
        <v>1</v>
      </c>
      <c r="AE1326" s="12">
        <f t="shared" si="225"/>
        <v>0</v>
      </c>
      <c r="AF1326">
        <f t="shared" si="221"/>
        <v>0</v>
      </c>
      <c r="AG1326">
        <f t="shared" si="226"/>
        <v>1</v>
      </c>
      <c r="AH1326">
        <f t="shared" si="227"/>
        <v>1</v>
      </c>
      <c r="AI1326">
        <f t="shared" si="228"/>
        <v>0</v>
      </c>
      <c r="AJ1326">
        <f t="shared" si="229"/>
        <v>0</v>
      </c>
      <c r="AK1326">
        <f t="shared" si="222"/>
        <v>0</v>
      </c>
      <c r="AL1326">
        <f t="shared" si="230"/>
        <v>0</v>
      </c>
    </row>
    <row r="1327" spans="1:38">
      <c r="A1327" t="s">
        <v>4108</v>
      </c>
      <c r="B1327" t="s">
        <v>4109</v>
      </c>
      <c r="C1327" s="1">
        <f t="shared" si="223"/>
        <v>45474</v>
      </c>
      <c r="D1327" t="s">
        <v>4110</v>
      </c>
      <c r="E1327">
        <v>37.299999999999997</v>
      </c>
      <c r="F1327">
        <v>1.6</v>
      </c>
      <c r="G1327" t="s">
        <v>59</v>
      </c>
      <c r="H1327" t="s">
        <v>281</v>
      </c>
      <c r="I1327" t="s">
        <v>95</v>
      </c>
      <c r="J1327">
        <v>48</v>
      </c>
      <c r="K1327" t="s">
        <v>49</v>
      </c>
      <c r="L1327" t="s">
        <v>96</v>
      </c>
      <c r="M1327" t="s">
        <v>35</v>
      </c>
      <c r="N1327" t="s">
        <v>80</v>
      </c>
      <c r="O1327" t="s">
        <v>37</v>
      </c>
      <c r="P1327" t="s">
        <v>38</v>
      </c>
      <c r="Q1327" t="s">
        <v>38</v>
      </c>
      <c r="R1327">
        <v>1</v>
      </c>
      <c r="S1327" t="s">
        <v>38</v>
      </c>
      <c r="T1327">
        <v>9</v>
      </c>
      <c r="U1327">
        <v>4.9000000000000004</v>
      </c>
      <c r="V1327">
        <v>32.5</v>
      </c>
      <c r="W1327" t="s">
        <v>39</v>
      </c>
      <c r="X1327" t="s">
        <v>52</v>
      </c>
      <c r="Y1327" t="s">
        <v>39</v>
      </c>
      <c r="Z1327" t="s">
        <v>53</v>
      </c>
      <c r="AA1327" t="s">
        <v>109</v>
      </c>
      <c r="AB1327" t="s">
        <v>55</v>
      </c>
      <c r="AC1327">
        <f t="shared" si="220"/>
        <v>1</v>
      </c>
      <c r="AD1327" s="12">
        <f t="shared" si="224"/>
        <v>0</v>
      </c>
      <c r="AE1327" s="12">
        <f t="shared" si="225"/>
        <v>0</v>
      </c>
      <c r="AF1327">
        <f t="shared" si="221"/>
        <v>0</v>
      </c>
      <c r="AG1327">
        <f t="shared" si="226"/>
        <v>0</v>
      </c>
      <c r="AH1327">
        <f t="shared" si="227"/>
        <v>0</v>
      </c>
      <c r="AI1327">
        <f t="shared" si="228"/>
        <v>1</v>
      </c>
      <c r="AJ1327">
        <f t="shared" si="229"/>
        <v>0</v>
      </c>
      <c r="AK1327">
        <f t="shared" si="222"/>
        <v>0</v>
      </c>
      <c r="AL1327">
        <f t="shared" si="230"/>
        <v>0</v>
      </c>
    </row>
    <row r="1328" spans="1:38">
      <c r="A1328" t="s">
        <v>4111</v>
      </c>
      <c r="B1328" t="s">
        <v>4112</v>
      </c>
      <c r="C1328" s="1">
        <f t="shared" si="223"/>
        <v>45505</v>
      </c>
      <c r="D1328" t="s">
        <v>4113</v>
      </c>
      <c r="E1328">
        <v>888.1</v>
      </c>
      <c r="F1328">
        <v>37</v>
      </c>
      <c r="G1328" t="s">
        <v>93</v>
      </c>
      <c r="H1328" t="s">
        <v>94</v>
      </c>
      <c r="I1328" t="s">
        <v>79</v>
      </c>
      <c r="J1328">
        <v>360</v>
      </c>
      <c r="K1328" t="s">
        <v>33</v>
      </c>
      <c r="L1328" t="s">
        <v>96</v>
      </c>
      <c r="M1328" t="s">
        <v>35</v>
      </c>
      <c r="N1328" t="s">
        <v>61</v>
      </c>
      <c r="O1328" t="s">
        <v>7232</v>
      </c>
      <c r="P1328" t="s">
        <v>39</v>
      </c>
      <c r="Q1328" t="s">
        <v>38</v>
      </c>
      <c r="R1328">
        <v>0</v>
      </c>
      <c r="S1328" t="s">
        <v>38</v>
      </c>
      <c r="T1328">
        <v>5</v>
      </c>
      <c r="U1328">
        <v>0.5</v>
      </c>
      <c r="V1328">
        <v>32.299999999999997</v>
      </c>
      <c r="W1328" t="s">
        <v>39</v>
      </c>
      <c r="X1328" t="s">
        <v>63</v>
      </c>
      <c r="Y1328" t="s">
        <v>39</v>
      </c>
      <c r="Z1328" t="s">
        <v>179</v>
      </c>
      <c r="AA1328" t="s">
        <v>42</v>
      </c>
      <c r="AB1328" t="s">
        <v>83</v>
      </c>
      <c r="AC1328">
        <f t="shared" si="220"/>
        <v>0</v>
      </c>
      <c r="AD1328" s="12">
        <f t="shared" si="224"/>
        <v>1</v>
      </c>
      <c r="AE1328" s="12">
        <f t="shared" si="225"/>
        <v>0</v>
      </c>
      <c r="AF1328">
        <f t="shared" si="221"/>
        <v>0</v>
      </c>
      <c r="AG1328">
        <f t="shared" si="226"/>
        <v>1</v>
      </c>
      <c r="AH1328">
        <f t="shared" si="227"/>
        <v>0</v>
      </c>
      <c r="AI1328">
        <f t="shared" si="228"/>
        <v>0</v>
      </c>
      <c r="AJ1328">
        <f t="shared" si="229"/>
        <v>0</v>
      </c>
      <c r="AK1328">
        <f t="shared" si="222"/>
        <v>0</v>
      </c>
      <c r="AL1328">
        <f t="shared" si="230"/>
        <v>0</v>
      </c>
    </row>
    <row r="1329" spans="1:38">
      <c r="A1329" t="s">
        <v>4114</v>
      </c>
      <c r="B1329" t="s">
        <v>4115</v>
      </c>
      <c r="C1329" s="1">
        <f t="shared" si="223"/>
        <v>45352</v>
      </c>
      <c r="D1329" t="s">
        <v>4116</v>
      </c>
      <c r="E1329">
        <v>130.19999999999999</v>
      </c>
      <c r="F1329">
        <v>5.4</v>
      </c>
      <c r="G1329" t="s">
        <v>87</v>
      </c>
      <c r="H1329" t="s">
        <v>88</v>
      </c>
      <c r="I1329" t="s">
        <v>95</v>
      </c>
      <c r="J1329">
        <v>48</v>
      </c>
      <c r="K1329" t="s">
        <v>33</v>
      </c>
      <c r="L1329" t="s">
        <v>70</v>
      </c>
      <c r="M1329" t="s">
        <v>35</v>
      </c>
      <c r="N1329" t="s">
        <v>168</v>
      </c>
      <c r="O1329" t="s">
        <v>7232</v>
      </c>
      <c r="P1329" t="s">
        <v>38</v>
      </c>
      <c r="Q1329" t="s">
        <v>38</v>
      </c>
      <c r="R1329">
        <v>1</v>
      </c>
      <c r="S1329" t="s">
        <v>38</v>
      </c>
      <c r="T1329">
        <v>6</v>
      </c>
      <c r="U1329">
        <v>2.1</v>
      </c>
      <c r="V1329">
        <v>30.8</v>
      </c>
      <c r="W1329" t="s">
        <v>38</v>
      </c>
      <c r="X1329" t="s">
        <v>52</v>
      </c>
      <c r="Y1329" t="s">
        <v>39</v>
      </c>
      <c r="Z1329" t="s">
        <v>53</v>
      </c>
      <c r="AA1329" t="s">
        <v>109</v>
      </c>
      <c r="AB1329" t="s">
        <v>83</v>
      </c>
      <c r="AC1329">
        <f t="shared" si="220"/>
        <v>1</v>
      </c>
      <c r="AD1329" s="12">
        <f t="shared" si="224"/>
        <v>0</v>
      </c>
      <c r="AE1329" s="12">
        <f t="shared" si="225"/>
        <v>0</v>
      </c>
      <c r="AF1329">
        <f t="shared" si="221"/>
        <v>0</v>
      </c>
      <c r="AG1329">
        <f t="shared" si="226"/>
        <v>1</v>
      </c>
      <c r="AH1329">
        <f t="shared" si="227"/>
        <v>0</v>
      </c>
      <c r="AI1329">
        <f t="shared" si="228"/>
        <v>1</v>
      </c>
      <c r="AJ1329">
        <f t="shared" si="229"/>
        <v>0</v>
      </c>
      <c r="AK1329">
        <f t="shared" si="222"/>
        <v>0</v>
      </c>
      <c r="AL1329">
        <f t="shared" si="230"/>
        <v>0</v>
      </c>
    </row>
    <row r="1330" spans="1:38">
      <c r="A1330" t="s">
        <v>4117</v>
      </c>
      <c r="B1330" t="s">
        <v>4118</v>
      </c>
      <c r="C1330" s="1">
        <f t="shared" si="223"/>
        <v>45597</v>
      </c>
      <c r="D1330" t="s">
        <v>4119</v>
      </c>
      <c r="E1330">
        <v>398.5</v>
      </c>
      <c r="F1330">
        <v>16.600000000000001</v>
      </c>
      <c r="G1330" t="s">
        <v>77</v>
      </c>
      <c r="H1330" t="s">
        <v>267</v>
      </c>
      <c r="I1330" t="s">
        <v>79</v>
      </c>
      <c r="J1330">
        <v>360</v>
      </c>
      <c r="K1330" t="s">
        <v>33</v>
      </c>
      <c r="L1330" t="s">
        <v>70</v>
      </c>
      <c r="M1330" t="s">
        <v>35</v>
      </c>
      <c r="N1330" t="s">
        <v>50</v>
      </c>
      <c r="O1330" t="s">
        <v>51</v>
      </c>
      <c r="P1330" t="s">
        <v>38</v>
      </c>
      <c r="Q1330" t="s">
        <v>38</v>
      </c>
      <c r="R1330">
        <v>1</v>
      </c>
      <c r="S1330" t="s">
        <v>38</v>
      </c>
      <c r="T1330">
        <v>7</v>
      </c>
      <c r="U1330">
        <v>4.2</v>
      </c>
      <c r="V1330">
        <v>11.1</v>
      </c>
      <c r="W1330" t="s">
        <v>38</v>
      </c>
      <c r="X1330" t="s">
        <v>52</v>
      </c>
      <c r="Y1330" t="s">
        <v>38</v>
      </c>
      <c r="Z1330" t="s">
        <v>41</v>
      </c>
      <c r="AA1330" t="s">
        <v>54</v>
      </c>
      <c r="AB1330" t="s">
        <v>83</v>
      </c>
      <c r="AC1330">
        <f t="shared" si="220"/>
        <v>1</v>
      </c>
      <c r="AD1330" s="12">
        <f t="shared" si="224"/>
        <v>0</v>
      </c>
      <c r="AE1330" s="12">
        <f t="shared" si="225"/>
        <v>0</v>
      </c>
      <c r="AF1330">
        <f t="shared" si="221"/>
        <v>1</v>
      </c>
      <c r="AG1330">
        <f t="shared" si="226"/>
        <v>0</v>
      </c>
      <c r="AH1330">
        <f t="shared" si="227"/>
        <v>0</v>
      </c>
      <c r="AI1330">
        <f t="shared" si="228"/>
        <v>0</v>
      </c>
      <c r="AJ1330">
        <f t="shared" si="229"/>
        <v>0</v>
      </c>
      <c r="AK1330">
        <f t="shared" si="222"/>
        <v>0</v>
      </c>
      <c r="AL1330">
        <f t="shared" si="230"/>
        <v>1</v>
      </c>
    </row>
    <row r="1331" spans="1:38">
      <c r="A1331" t="s">
        <v>4120</v>
      </c>
      <c r="B1331" t="s">
        <v>4121</v>
      </c>
      <c r="C1331" s="1">
        <f t="shared" si="223"/>
        <v>45566</v>
      </c>
      <c r="D1331" t="s">
        <v>4122</v>
      </c>
      <c r="E1331">
        <v>253.8</v>
      </c>
      <c r="F1331">
        <v>10.6</v>
      </c>
      <c r="G1331" t="s">
        <v>77</v>
      </c>
      <c r="H1331" t="s">
        <v>78</v>
      </c>
      <c r="I1331" t="s">
        <v>79</v>
      </c>
      <c r="J1331">
        <v>360</v>
      </c>
      <c r="K1331" t="s">
        <v>49</v>
      </c>
      <c r="L1331" t="s">
        <v>70</v>
      </c>
      <c r="M1331" t="s">
        <v>35</v>
      </c>
      <c r="N1331" t="s">
        <v>144</v>
      </c>
      <c r="O1331" t="s">
        <v>7232</v>
      </c>
      <c r="P1331" t="s">
        <v>39</v>
      </c>
      <c r="Q1331" t="s">
        <v>38</v>
      </c>
      <c r="R1331">
        <v>0</v>
      </c>
      <c r="S1331" t="s">
        <v>38</v>
      </c>
      <c r="T1331">
        <v>8</v>
      </c>
      <c r="U1331">
        <v>3.6</v>
      </c>
      <c r="V1331">
        <v>11</v>
      </c>
      <c r="W1331" t="s">
        <v>38</v>
      </c>
      <c r="X1331" t="s">
        <v>63</v>
      </c>
      <c r="Y1331" t="s">
        <v>39</v>
      </c>
      <c r="Z1331" t="s">
        <v>53</v>
      </c>
      <c r="AA1331" t="s">
        <v>82</v>
      </c>
      <c r="AB1331" t="s">
        <v>83</v>
      </c>
      <c r="AC1331">
        <f t="shared" si="220"/>
        <v>0</v>
      </c>
      <c r="AD1331" s="12">
        <f t="shared" si="224"/>
        <v>1</v>
      </c>
      <c r="AE1331" s="12">
        <f t="shared" si="225"/>
        <v>0</v>
      </c>
      <c r="AF1331">
        <f t="shared" si="221"/>
        <v>0</v>
      </c>
      <c r="AG1331">
        <f t="shared" si="226"/>
        <v>1</v>
      </c>
      <c r="AH1331">
        <f t="shared" si="227"/>
        <v>0</v>
      </c>
      <c r="AI1331">
        <f t="shared" si="228"/>
        <v>0</v>
      </c>
      <c r="AJ1331">
        <f t="shared" si="229"/>
        <v>0</v>
      </c>
      <c r="AK1331">
        <f t="shared" si="222"/>
        <v>0</v>
      </c>
      <c r="AL1331">
        <f t="shared" si="230"/>
        <v>0</v>
      </c>
    </row>
    <row r="1332" spans="1:38">
      <c r="A1332" t="s">
        <v>4123</v>
      </c>
      <c r="B1332" t="s">
        <v>4124</v>
      </c>
      <c r="C1332" s="1">
        <f t="shared" si="223"/>
        <v>45352</v>
      </c>
      <c r="D1332" t="s">
        <v>4125</v>
      </c>
      <c r="E1332">
        <v>223.3</v>
      </c>
      <c r="F1332">
        <v>9.3000000000000007</v>
      </c>
      <c r="G1332" t="s">
        <v>142</v>
      </c>
      <c r="H1332" t="s">
        <v>240</v>
      </c>
      <c r="I1332" t="s">
        <v>32</v>
      </c>
      <c r="J1332">
        <v>240</v>
      </c>
      <c r="K1332" t="s">
        <v>49</v>
      </c>
      <c r="L1332" t="s">
        <v>133</v>
      </c>
      <c r="M1332" t="s">
        <v>71</v>
      </c>
      <c r="N1332" t="s">
        <v>80</v>
      </c>
      <c r="O1332" t="s">
        <v>7232</v>
      </c>
      <c r="P1332" t="s">
        <v>38</v>
      </c>
      <c r="Q1332" t="s">
        <v>39</v>
      </c>
      <c r="R1332">
        <v>1</v>
      </c>
      <c r="S1332" t="s">
        <v>38</v>
      </c>
      <c r="T1332">
        <v>7</v>
      </c>
      <c r="U1332">
        <v>0.1</v>
      </c>
      <c r="V1332">
        <v>8.4</v>
      </c>
      <c r="W1332" t="s">
        <v>38</v>
      </c>
      <c r="X1332" t="s">
        <v>123</v>
      </c>
      <c r="Y1332" t="s">
        <v>38</v>
      </c>
      <c r="Z1332" t="s">
        <v>41</v>
      </c>
      <c r="AA1332" t="s">
        <v>109</v>
      </c>
      <c r="AB1332" t="s">
        <v>43</v>
      </c>
      <c r="AC1332">
        <f t="shared" si="220"/>
        <v>0</v>
      </c>
      <c r="AD1332" s="12">
        <f t="shared" si="224"/>
        <v>0</v>
      </c>
      <c r="AE1332" s="12">
        <f t="shared" si="225"/>
        <v>1</v>
      </c>
      <c r="AF1332">
        <f t="shared" si="221"/>
        <v>0</v>
      </c>
      <c r="AG1332">
        <f t="shared" si="226"/>
        <v>1</v>
      </c>
      <c r="AH1332">
        <f t="shared" si="227"/>
        <v>0</v>
      </c>
      <c r="AI1332">
        <f t="shared" si="228"/>
        <v>0</v>
      </c>
      <c r="AJ1332">
        <f t="shared" si="229"/>
        <v>1</v>
      </c>
      <c r="AK1332">
        <f t="shared" si="222"/>
        <v>0</v>
      </c>
      <c r="AL1332">
        <f t="shared" si="230"/>
        <v>1</v>
      </c>
    </row>
    <row r="1333" spans="1:38">
      <c r="A1333" t="s">
        <v>4126</v>
      </c>
      <c r="B1333" t="s">
        <v>4127</v>
      </c>
      <c r="C1333" s="1">
        <f t="shared" si="223"/>
        <v>45627</v>
      </c>
      <c r="D1333" t="s">
        <v>4128</v>
      </c>
      <c r="E1333">
        <v>103.5</v>
      </c>
      <c r="F1333">
        <v>4.3</v>
      </c>
      <c r="G1333" t="s">
        <v>142</v>
      </c>
      <c r="H1333" t="s">
        <v>729</v>
      </c>
      <c r="I1333" t="s">
        <v>48</v>
      </c>
      <c r="J1333">
        <v>120</v>
      </c>
      <c r="K1333" t="s">
        <v>49</v>
      </c>
      <c r="L1333" t="s">
        <v>113</v>
      </c>
      <c r="M1333" t="s">
        <v>35</v>
      </c>
      <c r="N1333" t="s">
        <v>155</v>
      </c>
      <c r="O1333" t="s">
        <v>7232</v>
      </c>
      <c r="P1333" t="s">
        <v>38</v>
      </c>
      <c r="Q1333" t="s">
        <v>38</v>
      </c>
      <c r="R1333">
        <v>1</v>
      </c>
      <c r="S1333" t="s">
        <v>38</v>
      </c>
      <c r="T1333">
        <v>6</v>
      </c>
      <c r="U1333">
        <v>3.3</v>
      </c>
      <c r="V1333">
        <v>30.5</v>
      </c>
      <c r="W1333" t="s">
        <v>38</v>
      </c>
      <c r="X1333" t="s">
        <v>63</v>
      </c>
      <c r="Y1333" t="s">
        <v>39</v>
      </c>
      <c r="Z1333" t="s">
        <v>179</v>
      </c>
      <c r="AA1333" t="s">
        <v>82</v>
      </c>
      <c r="AB1333" t="s">
        <v>43</v>
      </c>
      <c r="AC1333">
        <f t="shared" si="220"/>
        <v>0</v>
      </c>
      <c r="AD1333" s="12">
        <f t="shared" si="224"/>
        <v>1</v>
      </c>
      <c r="AE1333" s="12">
        <f t="shared" si="225"/>
        <v>0</v>
      </c>
      <c r="AF1333">
        <f t="shared" si="221"/>
        <v>0</v>
      </c>
      <c r="AG1333">
        <f t="shared" si="226"/>
        <v>1</v>
      </c>
      <c r="AH1333">
        <f t="shared" si="227"/>
        <v>1</v>
      </c>
      <c r="AI1333">
        <f t="shared" si="228"/>
        <v>0</v>
      </c>
      <c r="AJ1333">
        <f t="shared" si="229"/>
        <v>0</v>
      </c>
      <c r="AK1333">
        <f t="shared" si="222"/>
        <v>0</v>
      </c>
      <c r="AL1333">
        <f t="shared" si="230"/>
        <v>0</v>
      </c>
    </row>
    <row r="1334" spans="1:38">
      <c r="A1334" t="s">
        <v>4129</v>
      </c>
      <c r="B1334" t="s">
        <v>4130</v>
      </c>
      <c r="C1334" s="1">
        <f t="shared" si="223"/>
        <v>45536</v>
      </c>
      <c r="D1334" t="s">
        <v>4131</v>
      </c>
      <c r="E1334">
        <v>492.7</v>
      </c>
      <c r="F1334">
        <v>20.5</v>
      </c>
      <c r="G1334" t="s">
        <v>30</v>
      </c>
      <c r="H1334" t="s">
        <v>47</v>
      </c>
      <c r="I1334" t="s">
        <v>79</v>
      </c>
      <c r="J1334">
        <v>360</v>
      </c>
      <c r="K1334" t="s">
        <v>33</v>
      </c>
      <c r="L1334" t="s">
        <v>34</v>
      </c>
      <c r="M1334" t="s">
        <v>35</v>
      </c>
      <c r="N1334" t="s">
        <v>134</v>
      </c>
      <c r="O1334" t="s">
        <v>7232</v>
      </c>
      <c r="P1334" t="s">
        <v>38</v>
      </c>
      <c r="Q1334" t="s">
        <v>38</v>
      </c>
      <c r="R1334">
        <v>1</v>
      </c>
      <c r="S1334" t="s">
        <v>38</v>
      </c>
      <c r="T1334">
        <v>4</v>
      </c>
      <c r="U1334">
        <v>3.6</v>
      </c>
      <c r="V1334">
        <v>17.5</v>
      </c>
      <c r="W1334" t="s">
        <v>38</v>
      </c>
      <c r="X1334" t="s">
        <v>63</v>
      </c>
      <c r="Y1334" t="s">
        <v>39</v>
      </c>
      <c r="Z1334" t="s">
        <v>41</v>
      </c>
      <c r="AA1334" t="s">
        <v>109</v>
      </c>
      <c r="AB1334" t="s">
        <v>55</v>
      </c>
      <c r="AC1334">
        <f t="shared" si="220"/>
        <v>0</v>
      </c>
      <c r="AD1334" s="12">
        <f t="shared" si="224"/>
        <v>1</v>
      </c>
      <c r="AE1334" s="12">
        <f t="shared" si="225"/>
        <v>0</v>
      </c>
      <c r="AF1334">
        <f t="shared" si="221"/>
        <v>0</v>
      </c>
      <c r="AG1334">
        <f t="shared" si="226"/>
        <v>1</v>
      </c>
      <c r="AH1334">
        <f t="shared" si="227"/>
        <v>0</v>
      </c>
      <c r="AI1334">
        <f t="shared" si="228"/>
        <v>0</v>
      </c>
      <c r="AJ1334">
        <f t="shared" si="229"/>
        <v>0</v>
      </c>
      <c r="AK1334">
        <f t="shared" si="222"/>
        <v>1</v>
      </c>
      <c r="AL1334">
        <f t="shared" si="230"/>
        <v>0</v>
      </c>
    </row>
    <row r="1335" spans="1:38">
      <c r="A1335" t="s">
        <v>4132</v>
      </c>
      <c r="B1335" t="s">
        <v>4133</v>
      </c>
      <c r="C1335" s="1">
        <f t="shared" si="223"/>
        <v>45292</v>
      </c>
      <c r="D1335" t="s">
        <v>4134</v>
      </c>
      <c r="E1335">
        <v>242.4</v>
      </c>
      <c r="F1335">
        <v>10.1</v>
      </c>
      <c r="G1335" t="s">
        <v>93</v>
      </c>
      <c r="H1335" t="s">
        <v>163</v>
      </c>
      <c r="I1335" t="s">
        <v>32</v>
      </c>
      <c r="J1335">
        <v>240</v>
      </c>
      <c r="K1335" t="s">
        <v>33</v>
      </c>
      <c r="L1335" t="s">
        <v>96</v>
      </c>
      <c r="M1335" t="s">
        <v>71</v>
      </c>
      <c r="N1335" t="s">
        <v>144</v>
      </c>
      <c r="O1335" t="s">
        <v>37</v>
      </c>
      <c r="P1335" t="s">
        <v>38</v>
      </c>
      <c r="Q1335" t="s">
        <v>39</v>
      </c>
      <c r="R1335">
        <v>2</v>
      </c>
      <c r="S1335" t="s">
        <v>38</v>
      </c>
      <c r="T1335">
        <v>2</v>
      </c>
      <c r="U1335">
        <v>2.6</v>
      </c>
      <c r="V1335">
        <v>32.1</v>
      </c>
      <c r="W1335" t="s">
        <v>39</v>
      </c>
      <c r="X1335" t="s">
        <v>40</v>
      </c>
      <c r="Y1335" t="s">
        <v>39</v>
      </c>
      <c r="Z1335" t="s">
        <v>41</v>
      </c>
      <c r="AA1335" t="s">
        <v>82</v>
      </c>
      <c r="AB1335" t="s">
        <v>83</v>
      </c>
      <c r="AC1335">
        <f t="shared" si="220"/>
        <v>0</v>
      </c>
      <c r="AD1335" s="12">
        <f t="shared" si="224"/>
        <v>0</v>
      </c>
      <c r="AE1335" s="12">
        <f t="shared" si="225"/>
        <v>0</v>
      </c>
      <c r="AF1335">
        <f t="shared" si="221"/>
        <v>0</v>
      </c>
      <c r="AG1335">
        <f t="shared" si="226"/>
        <v>0</v>
      </c>
      <c r="AH1335">
        <f t="shared" si="227"/>
        <v>0</v>
      </c>
      <c r="AI1335">
        <f t="shared" si="228"/>
        <v>0</v>
      </c>
      <c r="AJ1335">
        <f t="shared" si="229"/>
        <v>1</v>
      </c>
      <c r="AK1335">
        <f t="shared" si="222"/>
        <v>0</v>
      </c>
      <c r="AL1335">
        <f t="shared" si="230"/>
        <v>0</v>
      </c>
    </row>
    <row r="1336" spans="1:38">
      <c r="A1336" t="s">
        <v>4135</v>
      </c>
      <c r="B1336" t="s">
        <v>4136</v>
      </c>
      <c r="C1336" s="1">
        <f t="shared" si="223"/>
        <v>45413</v>
      </c>
      <c r="D1336" t="s">
        <v>4137</v>
      </c>
      <c r="E1336">
        <v>319.10000000000002</v>
      </c>
      <c r="F1336">
        <v>13.3</v>
      </c>
      <c r="G1336" t="s">
        <v>93</v>
      </c>
      <c r="H1336" t="s">
        <v>449</v>
      </c>
      <c r="I1336" t="s">
        <v>79</v>
      </c>
      <c r="J1336">
        <v>360</v>
      </c>
      <c r="K1336" t="s">
        <v>49</v>
      </c>
      <c r="L1336" t="s">
        <v>70</v>
      </c>
      <c r="M1336" t="s">
        <v>71</v>
      </c>
      <c r="N1336" t="s">
        <v>220</v>
      </c>
      <c r="O1336" t="s">
        <v>7232</v>
      </c>
      <c r="P1336" t="s">
        <v>38</v>
      </c>
      <c r="Q1336" t="s">
        <v>39</v>
      </c>
      <c r="R1336">
        <v>1</v>
      </c>
      <c r="S1336" t="s">
        <v>38</v>
      </c>
      <c r="T1336">
        <v>5</v>
      </c>
      <c r="U1336">
        <v>2.4</v>
      </c>
      <c r="V1336">
        <v>7.3</v>
      </c>
      <c r="W1336" t="s">
        <v>38</v>
      </c>
      <c r="X1336" t="s">
        <v>123</v>
      </c>
      <c r="Y1336" t="s">
        <v>39</v>
      </c>
      <c r="Z1336" t="s">
        <v>115</v>
      </c>
      <c r="AA1336" t="s">
        <v>82</v>
      </c>
      <c r="AB1336" t="s">
        <v>83</v>
      </c>
      <c r="AC1336">
        <f t="shared" si="220"/>
        <v>0</v>
      </c>
      <c r="AD1336" s="12">
        <f t="shared" si="224"/>
        <v>0</v>
      </c>
      <c r="AE1336" s="12">
        <f t="shared" si="225"/>
        <v>1</v>
      </c>
      <c r="AF1336">
        <f t="shared" si="221"/>
        <v>0</v>
      </c>
      <c r="AG1336">
        <f t="shared" si="226"/>
        <v>1</v>
      </c>
      <c r="AH1336">
        <f t="shared" si="227"/>
        <v>0</v>
      </c>
      <c r="AI1336">
        <f t="shared" si="228"/>
        <v>0</v>
      </c>
      <c r="AJ1336">
        <f t="shared" si="229"/>
        <v>0</v>
      </c>
      <c r="AK1336">
        <f t="shared" si="222"/>
        <v>0</v>
      </c>
      <c r="AL1336">
        <f t="shared" si="230"/>
        <v>0</v>
      </c>
    </row>
    <row r="1337" spans="1:38">
      <c r="A1337" t="s">
        <v>4138</v>
      </c>
      <c r="B1337" t="s">
        <v>4139</v>
      </c>
      <c r="C1337" s="1">
        <f t="shared" si="223"/>
        <v>45566</v>
      </c>
      <c r="D1337" t="s">
        <v>4140</v>
      </c>
      <c r="E1337">
        <v>296.2</v>
      </c>
      <c r="F1337">
        <v>12.3</v>
      </c>
      <c r="G1337" t="s">
        <v>77</v>
      </c>
      <c r="H1337" t="s">
        <v>267</v>
      </c>
      <c r="I1337" t="s">
        <v>79</v>
      </c>
      <c r="J1337">
        <v>360</v>
      </c>
      <c r="K1337" t="s">
        <v>49</v>
      </c>
      <c r="L1337" t="s">
        <v>113</v>
      </c>
      <c r="M1337" t="s">
        <v>35</v>
      </c>
      <c r="N1337" t="s">
        <v>128</v>
      </c>
      <c r="O1337" t="s">
        <v>37</v>
      </c>
      <c r="P1337" t="s">
        <v>39</v>
      </c>
      <c r="Q1337" t="s">
        <v>38</v>
      </c>
      <c r="R1337">
        <v>0</v>
      </c>
      <c r="S1337" t="s">
        <v>38</v>
      </c>
      <c r="T1337">
        <v>10</v>
      </c>
      <c r="U1337">
        <v>3.7</v>
      </c>
      <c r="V1337">
        <v>11.6</v>
      </c>
      <c r="W1337" t="s">
        <v>38</v>
      </c>
      <c r="X1337" t="s">
        <v>40</v>
      </c>
      <c r="Y1337" t="s">
        <v>38</v>
      </c>
      <c r="Z1337" t="s">
        <v>108</v>
      </c>
      <c r="AA1337" t="s">
        <v>109</v>
      </c>
      <c r="AB1337" t="s">
        <v>83</v>
      </c>
      <c r="AC1337">
        <f t="shared" si="220"/>
        <v>0</v>
      </c>
      <c r="AD1337" s="12">
        <f t="shared" si="224"/>
        <v>0</v>
      </c>
      <c r="AE1337" s="12">
        <f t="shared" si="225"/>
        <v>0</v>
      </c>
      <c r="AF1337">
        <f t="shared" si="221"/>
        <v>0</v>
      </c>
      <c r="AG1337">
        <f t="shared" si="226"/>
        <v>0</v>
      </c>
      <c r="AH1337">
        <f t="shared" si="227"/>
        <v>0</v>
      </c>
      <c r="AI1337">
        <f t="shared" si="228"/>
        <v>0</v>
      </c>
      <c r="AJ1337">
        <f t="shared" si="229"/>
        <v>0</v>
      </c>
      <c r="AK1337">
        <f t="shared" si="222"/>
        <v>0</v>
      </c>
      <c r="AL1337">
        <f t="shared" si="230"/>
        <v>1</v>
      </c>
    </row>
    <row r="1338" spans="1:38">
      <c r="A1338" t="s">
        <v>4141</v>
      </c>
      <c r="B1338" t="s">
        <v>4142</v>
      </c>
      <c r="C1338" s="1">
        <f t="shared" si="223"/>
        <v>45413</v>
      </c>
      <c r="D1338" t="s">
        <v>4143</v>
      </c>
      <c r="E1338">
        <v>171.6</v>
      </c>
      <c r="F1338">
        <v>7.2</v>
      </c>
      <c r="G1338" t="s">
        <v>30</v>
      </c>
      <c r="H1338" t="s">
        <v>159</v>
      </c>
      <c r="I1338" t="s">
        <v>32</v>
      </c>
      <c r="J1338">
        <v>240</v>
      </c>
      <c r="K1338" t="s">
        <v>49</v>
      </c>
      <c r="L1338" t="s">
        <v>34</v>
      </c>
      <c r="M1338" t="s">
        <v>35</v>
      </c>
      <c r="N1338" t="s">
        <v>114</v>
      </c>
      <c r="O1338" t="s">
        <v>7232</v>
      </c>
      <c r="P1338" t="s">
        <v>39</v>
      </c>
      <c r="Q1338" t="s">
        <v>38</v>
      </c>
      <c r="R1338">
        <v>0</v>
      </c>
      <c r="S1338" t="s">
        <v>38</v>
      </c>
      <c r="T1338">
        <v>10</v>
      </c>
      <c r="U1338">
        <v>1.8</v>
      </c>
      <c r="V1338">
        <v>30.3</v>
      </c>
      <c r="W1338" t="s">
        <v>38</v>
      </c>
      <c r="X1338" t="s">
        <v>40</v>
      </c>
      <c r="Y1338" t="s">
        <v>39</v>
      </c>
      <c r="Z1338" t="s">
        <v>179</v>
      </c>
      <c r="AA1338" t="s">
        <v>42</v>
      </c>
      <c r="AB1338" t="s">
        <v>55</v>
      </c>
      <c r="AC1338">
        <f t="shared" si="220"/>
        <v>0</v>
      </c>
      <c r="AD1338" s="12">
        <f t="shared" si="224"/>
        <v>0</v>
      </c>
      <c r="AE1338" s="12">
        <f t="shared" si="225"/>
        <v>0</v>
      </c>
      <c r="AF1338">
        <f t="shared" si="221"/>
        <v>0</v>
      </c>
      <c r="AG1338">
        <f t="shared" si="226"/>
        <v>1</v>
      </c>
      <c r="AH1338">
        <f t="shared" si="227"/>
        <v>0</v>
      </c>
      <c r="AI1338">
        <f t="shared" si="228"/>
        <v>0</v>
      </c>
      <c r="AJ1338">
        <f t="shared" si="229"/>
        <v>1</v>
      </c>
      <c r="AK1338">
        <f t="shared" si="222"/>
        <v>1</v>
      </c>
      <c r="AL1338">
        <f t="shared" si="230"/>
        <v>0</v>
      </c>
    </row>
    <row r="1339" spans="1:38">
      <c r="A1339" t="s">
        <v>4144</v>
      </c>
      <c r="B1339" t="s">
        <v>4145</v>
      </c>
      <c r="C1339" s="1">
        <f t="shared" si="223"/>
        <v>45505</v>
      </c>
      <c r="D1339" t="s">
        <v>4146</v>
      </c>
      <c r="E1339">
        <v>256.89999999999998</v>
      </c>
      <c r="F1339">
        <v>10.7</v>
      </c>
      <c r="G1339" t="s">
        <v>77</v>
      </c>
      <c r="H1339" t="s">
        <v>187</v>
      </c>
      <c r="I1339" t="s">
        <v>79</v>
      </c>
      <c r="J1339">
        <v>360</v>
      </c>
      <c r="K1339" t="s">
        <v>49</v>
      </c>
      <c r="L1339" t="s">
        <v>70</v>
      </c>
      <c r="M1339" t="s">
        <v>35</v>
      </c>
      <c r="N1339" t="s">
        <v>414</v>
      </c>
      <c r="O1339" t="s">
        <v>7232</v>
      </c>
      <c r="P1339" t="s">
        <v>39</v>
      </c>
      <c r="Q1339" t="s">
        <v>38</v>
      </c>
      <c r="R1339">
        <v>0</v>
      </c>
      <c r="S1339" t="s">
        <v>38</v>
      </c>
      <c r="T1339">
        <v>9</v>
      </c>
      <c r="U1339">
        <v>5.6</v>
      </c>
      <c r="V1339">
        <v>23.2</v>
      </c>
      <c r="W1339" t="s">
        <v>39</v>
      </c>
      <c r="X1339" t="s">
        <v>52</v>
      </c>
      <c r="Y1339" t="s">
        <v>39</v>
      </c>
      <c r="Z1339" t="s">
        <v>41</v>
      </c>
      <c r="AA1339" t="s">
        <v>109</v>
      </c>
      <c r="AB1339" t="s">
        <v>55</v>
      </c>
      <c r="AC1339">
        <f t="shared" si="220"/>
        <v>1</v>
      </c>
      <c r="AD1339" s="12">
        <f t="shared" si="224"/>
        <v>0</v>
      </c>
      <c r="AE1339" s="12">
        <f t="shared" si="225"/>
        <v>0</v>
      </c>
      <c r="AF1339">
        <f t="shared" si="221"/>
        <v>0</v>
      </c>
      <c r="AG1339">
        <f t="shared" si="226"/>
        <v>1</v>
      </c>
      <c r="AH1339">
        <f t="shared" si="227"/>
        <v>0</v>
      </c>
      <c r="AI1339">
        <f t="shared" si="228"/>
        <v>0</v>
      </c>
      <c r="AJ1339">
        <f t="shared" si="229"/>
        <v>0</v>
      </c>
      <c r="AK1339">
        <f t="shared" si="222"/>
        <v>0</v>
      </c>
      <c r="AL1339">
        <f t="shared" si="230"/>
        <v>0</v>
      </c>
    </row>
    <row r="1340" spans="1:38">
      <c r="A1340" t="s">
        <v>4147</v>
      </c>
      <c r="B1340" t="s">
        <v>4148</v>
      </c>
      <c r="C1340" s="1">
        <f t="shared" si="223"/>
        <v>45505</v>
      </c>
      <c r="D1340" t="s">
        <v>4149</v>
      </c>
      <c r="E1340">
        <v>35.700000000000003</v>
      </c>
      <c r="F1340">
        <v>1.5</v>
      </c>
      <c r="G1340" t="s">
        <v>87</v>
      </c>
      <c r="H1340" t="s">
        <v>88</v>
      </c>
      <c r="I1340" t="s">
        <v>95</v>
      </c>
      <c r="J1340">
        <v>48</v>
      </c>
      <c r="K1340" t="s">
        <v>49</v>
      </c>
      <c r="L1340" t="s">
        <v>96</v>
      </c>
      <c r="M1340" t="s">
        <v>35</v>
      </c>
      <c r="N1340" t="s">
        <v>61</v>
      </c>
      <c r="O1340" t="s">
        <v>51</v>
      </c>
      <c r="P1340" t="s">
        <v>38</v>
      </c>
      <c r="Q1340" t="s">
        <v>38</v>
      </c>
      <c r="R1340">
        <v>1</v>
      </c>
      <c r="S1340" t="s">
        <v>38</v>
      </c>
      <c r="T1340">
        <v>7</v>
      </c>
      <c r="U1340">
        <v>5</v>
      </c>
      <c r="V1340">
        <v>11.9</v>
      </c>
      <c r="W1340" t="s">
        <v>38</v>
      </c>
      <c r="X1340" t="s">
        <v>52</v>
      </c>
      <c r="Y1340" t="s">
        <v>39</v>
      </c>
      <c r="Z1340" t="s">
        <v>73</v>
      </c>
      <c r="AA1340" t="s">
        <v>103</v>
      </c>
      <c r="AB1340" t="s">
        <v>83</v>
      </c>
      <c r="AC1340">
        <f t="shared" si="220"/>
        <v>1</v>
      </c>
      <c r="AD1340" s="12">
        <f t="shared" si="224"/>
        <v>0</v>
      </c>
      <c r="AE1340" s="12">
        <f t="shared" si="225"/>
        <v>0</v>
      </c>
      <c r="AF1340">
        <f t="shared" si="221"/>
        <v>1</v>
      </c>
      <c r="AG1340">
        <f t="shared" si="226"/>
        <v>0</v>
      </c>
      <c r="AH1340">
        <f t="shared" si="227"/>
        <v>0</v>
      </c>
      <c r="AI1340">
        <f t="shared" si="228"/>
        <v>1</v>
      </c>
      <c r="AJ1340">
        <f t="shared" si="229"/>
        <v>0</v>
      </c>
      <c r="AK1340">
        <f t="shared" si="222"/>
        <v>0</v>
      </c>
      <c r="AL1340">
        <f t="shared" si="230"/>
        <v>0</v>
      </c>
    </row>
    <row r="1341" spans="1:38">
      <c r="A1341" t="s">
        <v>4150</v>
      </c>
      <c r="B1341" t="s">
        <v>4151</v>
      </c>
      <c r="C1341" s="1">
        <f t="shared" si="223"/>
        <v>45352</v>
      </c>
      <c r="D1341" t="s">
        <v>4152</v>
      </c>
      <c r="E1341">
        <v>181.6</v>
      </c>
      <c r="F1341">
        <v>7.6</v>
      </c>
      <c r="G1341" t="s">
        <v>87</v>
      </c>
      <c r="H1341" t="s">
        <v>183</v>
      </c>
      <c r="I1341" t="s">
        <v>32</v>
      </c>
      <c r="J1341">
        <v>240</v>
      </c>
      <c r="K1341" t="s">
        <v>49</v>
      </c>
      <c r="L1341" t="s">
        <v>70</v>
      </c>
      <c r="M1341" t="s">
        <v>35</v>
      </c>
      <c r="N1341" t="s">
        <v>220</v>
      </c>
      <c r="O1341" t="s">
        <v>7232</v>
      </c>
      <c r="P1341" t="s">
        <v>38</v>
      </c>
      <c r="Q1341" t="s">
        <v>38</v>
      </c>
      <c r="R1341">
        <v>1</v>
      </c>
      <c r="S1341" t="s">
        <v>39</v>
      </c>
      <c r="T1341">
        <v>8</v>
      </c>
      <c r="U1341">
        <v>4.5999999999999996</v>
      </c>
      <c r="V1341">
        <v>27.4</v>
      </c>
      <c r="W1341" t="s">
        <v>39</v>
      </c>
      <c r="X1341" t="s">
        <v>123</v>
      </c>
      <c r="Y1341" t="s">
        <v>38</v>
      </c>
      <c r="Z1341" t="s">
        <v>179</v>
      </c>
      <c r="AA1341" t="s">
        <v>82</v>
      </c>
      <c r="AB1341" t="s">
        <v>55</v>
      </c>
      <c r="AC1341">
        <f t="shared" si="220"/>
        <v>0</v>
      </c>
      <c r="AD1341" s="12">
        <f t="shared" si="224"/>
        <v>0</v>
      </c>
      <c r="AE1341" s="12">
        <f t="shared" si="225"/>
        <v>1</v>
      </c>
      <c r="AF1341">
        <f t="shared" si="221"/>
        <v>0</v>
      </c>
      <c r="AG1341">
        <f t="shared" si="226"/>
        <v>1</v>
      </c>
      <c r="AH1341">
        <f t="shared" si="227"/>
        <v>0</v>
      </c>
      <c r="AI1341">
        <f t="shared" si="228"/>
        <v>0</v>
      </c>
      <c r="AJ1341">
        <f t="shared" si="229"/>
        <v>1</v>
      </c>
      <c r="AK1341">
        <f t="shared" si="222"/>
        <v>0</v>
      </c>
      <c r="AL1341">
        <f t="shared" si="230"/>
        <v>1</v>
      </c>
    </row>
    <row r="1342" spans="1:38">
      <c r="A1342" t="s">
        <v>4153</v>
      </c>
      <c r="B1342" t="s">
        <v>4154</v>
      </c>
      <c r="C1342" s="1">
        <f t="shared" si="223"/>
        <v>45323</v>
      </c>
      <c r="D1342" t="s">
        <v>4155</v>
      </c>
      <c r="E1342">
        <v>219.8</v>
      </c>
      <c r="F1342">
        <v>9.1999999999999993</v>
      </c>
      <c r="G1342" t="s">
        <v>30</v>
      </c>
      <c r="H1342" t="s">
        <v>172</v>
      </c>
      <c r="I1342" t="s">
        <v>32</v>
      </c>
      <c r="J1342">
        <v>240</v>
      </c>
      <c r="K1342" t="s">
        <v>49</v>
      </c>
      <c r="L1342" t="s">
        <v>96</v>
      </c>
      <c r="M1342" t="s">
        <v>35</v>
      </c>
      <c r="N1342" t="s">
        <v>61</v>
      </c>
      <c r="O1342" t="s">
        <v>7232</v>
      </c>
      <c r="P1342" t="s">
        <v>39</v>
      </c>
      <c r="Q1342" t="s">
        <v>38</v>
      </c>
      <c r="R1342">
        <v>0</v>
      </c>
      <c r="S1342" t="s">
        <v>38</v>
      </c>
      <c r="T1342">
        <v>8</v>
      </c>
      <c r="U1342">
        <v>4.2</v>
      </c>
      <c r="V1342">
        <v>11.8</v>
      </c>
      <c r="W1342" t="s">
        <v>39</v>
      </c>
      <c r="X1342" t="s">
        <v>63</v>
      </c>
      <c r="Y1342" t="s">
        <v>39</v>
      </c>
      <c r="Z1342" t="s">
        <v>41</v>
      </c>
      <c r="AA1342" t="s">
        <v>82</v>
      </c>
      <c r="AB1342" t="s">
        <v>55</v>
      </c>
      <c r="AC1342">
        <f t="shared" si="220"/>
        <v>0</v>
      </c>
      <c r="AD1342" s="12">
        <f t="shared" si="224"/>
        <v>1</v>
      </c>
      <c r="AE1342" s="12">
        <f t="shared" si="225"/>
        <v>0</v>
      </c>
      <c r="AF1342">
        <f t="shared" si="221"/>
        <v>0</v>
      </c>
      <c r="AG1342">
        <f t="shared" si="226"/>
        <v>1</v>
      </c>
      <c r="AH1342">
        <f t="shared" si="227"/>
        <v>0</v>
      </c>
      <c r="AI1342">
        <f t="shared" si="228"/>
        <v>0</v>
      </c>
      <c r="AJ1342">
        <f t="shared" si="229"/>
        <v>1</v>
      </c>
      <c r="AK1342">
        <f t="shared" si="222"/>
        <v>1</v>
      </c>
      <c r="AL1342">
        <f t="shared" si="230"/>
        <v>0</v>
      </c>
    </row>
    <row r="1343" spans="1:38">
      <c r="A1343" t="s">
        <v>4156</v>
      </c>
      <c r="B1343" t="s">
        <v>4157</v>
      </c>
      <c r="C1343" s="1">
        <f t="shared" si="223"/>
        <v>45413</v>
      </c>
      <c r="D1343" t="s">
        <v>4158</v>
      </c>
      <c r="E1343">
        <v>550.79999999999995</v>
      </c>
      <c r="F1343">
        <v>23</v>
      </c>
      <c r="G1343" t="s">
        <v>87</v>
      </c>
      <c r="H1343" t="s">
        <v>151</v>
      </c>
      <c r="I1343" t="s">
        <v>32</v>
      </c>
      <c r="J1343">
        <v>240</v>
      </c>
      <c r="K1343" t="s">
        <v>33</v>
      </c>
      <c r="L1343" t="s">
        <v>34</v>
      </c>
      <c r="M1343" t="s">
        <v>35</v>
      </c>
      <c r="N1343" t="s">
        <v>192</v>
      </c>
      <c r="O1343" t="s">
        <v>7232</v>
      </c>
      <c r="P1343" t="s">
        <v>38</v>
      </c>
      <c r="Q1343" t="s">
        <v>38</v>
      </c>
      <c r="R1343">
        <v>1</v>
      </c>
      <c r="S1343" t="s">
        <v>38</v>
      </c>
      <c r="T1343">
        <v>7</v>
      </c>
      <c r="U1343">
        <v>1.5</v>
      </c>
      <c r="V1343">
        <v>7.2</v>
      </c>
      <c r="W1343" t="s">
        <v>39</v>
      </c>
      <c r="X1343" t="s">
        <v>123</v>
      </c>
      <c r="Y1343" t="s">
        <v>39</v>
      </c>
      <c r="Z1343" t="s">
        <v>108</v>
      </c>
      <c r="AA1343" t="s">
        <v>109</v>
      </c>
      <c r="AB1343" t="s">
        <v>55</v>
      </c>
      <c r="AC1343">
        <f t="shared" si="220"/>
        <v>0</v>
      </c>
      <c r="AD1343" s="12">
        <f t="shared" si="224"/>
        <v>0</v>
      </c>
      <c r="AE1343" s="12">
        <f t="shared" si="225"/>
        <v>1</v>
      </c>
      <c r="AF1343">
        <f t="shared" si="221"/>
        <v>0</v>
      </c>
      <c r="AG1343">
        <f t="shared" si="226"/>
        <v>1</v>
      </c>
      <c r="AH1343">
        <f t="shared" si="227"/>
        <v>0</v>
      </c>
      <c r="AI1343">
        <f t="shared" si="228"/>
        <v>0</v>
      </c>
      <c r="AJ1343">
        <f t="shared" si="229"/>
        <v>1</v>
      </c>
      <c r="AK1343">
        <f t="shared" si="222"/>
        <v>0</v>
      </c>
      <c r="AL1343">
        <f t="shared" si="230"/>
        <v>0</v>
      </c>
    </row>
    <row r="1344" spans="1:38">
      <c r="A1344" t="s">
        <v>4159</v>
      </c>
      <c r="B1344" t="s">
        <v>4160</v>
      </c>
      <c r="C1344" s="1">
        <f t="shared" si="223"/>
        <v>45536</v>
      </c>
      <c r="D1344" t="s">
        <v>4161</v>
      </c>
      <c r="E1344">
        <v>488.5</v>
      </c>
      <c r="F1344">
        <v>20.399999999999999</v>
      </c>
      <c r="G1344" t="s">
        <v>77</v>
      </c>
      <c r="H1344" t="s">
        <v>244</v>
      </c>
      <c r="I1344" t="s">
        <v>79</v>
      </c>
      <c r="J1344">
        <v>360</v>
      </c>
      <c r="K1344" t="s">
        <v>33</v>
      </c>
      <c r="L1344" t="s">
        <v>70</v>
      </c>
      <c r="M1344" t="s">
        <v>35</v>
      </c>
      <c r="N1344" t="s">
        <v>119</v>
      </c>
      <c r="O1344" t="s">
        <v>51</v>
      </c>
      <c r="P1344" t="s">
        <v>39</v>
      </c>
      <c r="Q1344" t="s">
        <v>38</v>
      </c>
      <c r="R1344">
        <v>0</v>
      </c>
      <c r="S1344" t="s">
        <v>38</v>
      </c>
      <c r="T1344">
        <v>6</v>
      </c>
      <c r="U1344">
        <v>2</v>
      </c>
      <c r="V1344">
        <v>14.7</v>
      </c>
      <c r="W1344" t="s">
        <v>39</v>
      </c>
      <c r="X1344" t="s">
        <v>63</v>
      </c>
      <c r="Y1344" t="s">
        <v>38</v>
      </c>
      <c r="Z1344" t="s">
        <v>64</v>
      </c>
      <c r="AA1344" t="s">
        <v>42</v>
      </c>
      <c r="AB1344" t="s">
        <v>83</v>
      </c>
      <c r="AC1344">
        <f t="shared" si="220"/>
        <v>0</v>
      </c>
      <c r="AD1344" s="12">
        <f t="shared" si="224"/>
        <v>1</v>
      </c>
      <c r="AE1344" s="12">
        <f t="shared" si="225"/>
        <v>0</v>
      </c>
      <c r="AF1344">
        <f t="shared" si="221"/>
        <v>1</v>
      </c>
      <c r="AG1344">
        <f t="shared" si="226"/>
        <v>0</v>
      </c>
      <c r="AH1344">
        <f t="shared" si="227"/>
        <v>0</v>
      </c>
      <c r="AI1344">
        <f t="shared" si="228"/>
        <v>0</v>
      </c>
      <c r="AJ1344">
        <f t="shared" si="229"/>
        <v>0</v>
      </c>
      <c r="AK1344">
        <f t="shared" si="222"/>
        <v>0</v>
      </c>
      <c r="AL1344">
        <f t="shared" si="230"/>
        <v>1</v>
      </c>
    </row>
    <row r="1345" spans="1:38">
      <c r="A1345" t="s">
        <v>4162</v>
      </c>
      <c r="B1345" t="s">
        <v>4163</v>
      </c>
      <c r="C1345" s="1">
        <f t="shared" si="223"/>
        <v>45383</v>
      </c>
      <c r="D1345" t="s">
        <v>4164</v>
      </c>
      <c r="E1345">
        <v>146.4</v>
      </c>
      <c r="F1345">
        <v>6.1</v>
      </c>
      <c r="G1345" t="s">
        <v>101</v>
      </c>
      <c r="H1345" t="s">
        <v>442</v>
      </c>
      <c r="I1345" t="s">
        <v>32</v>
      </c>
      <c r="J1345">
        <v>240</v>
      </c>
      <c r="K1345" t="s">
        <v>49</v>
      </c>
      <c r="L1345" t="s">
        <v>96</v>
      </c>
      <c r="M1345" t="s">
        <v>35</v>
      </c>
      <c r="N1345" t="s">
        <v>128</v>
      </c>
      <c r="O1345" t="s">
        <v>51</v>
      </c>
      <c r="P1345" t="s">
        <v>38</v>
      </c>
      <c r="Q1345" t="s">
        <v>38</v>
      </c>
      <c r="R1345">
        <v>1</v>
      </c>
      <c r="S1345" t="s">
        <v>38</v>
      </c>
      <c r="T1345">
        <v>8</v>
      </c>
      <c r="U1345">
        <v>1.1000000000000001</v>
      </c>
      <c r="V1345">
        <v>19</v>
      </c>
      <c r="W1345" t="s">
        <v>38</v>
      </c>
      <c r="X1345" t="s">
        <v>63</v>
      </c>
      <c r="Y1345" t="s">
        <v>39</v>
      </c>
      <c r="Z1345" t="s">
        <v>73</v>
      </c>
      <c r="AA1345" t="s">
        <v>42</v>
      </c>
      <c r="AB1345" t="s">
        <v>43</v>
      </c>
      <c r="AC1345">
        <f t="shared" si="220"/>
        <v>0</v>
      </c>
      <c r="AD1345" s="12">
        <f t="shared" si="224"/>
        <v>1</v>
      </c>
      <c r="AE1345" s="12">
        <f t="shared" si="225"/>
        <v>0</v>
      </c>
      <c r="AF1345">
        <f t="shared" si="221"/>
        <v>1</v>
      </c>
      <c r="AG1345">
        <f t="shared" si="226"/>
        <v>0</v>
      </c>
      <c r="AH1345">
        <f t="shared" si="227"/>
        <v>0</v>
      </c>
      <c r="AI1345">
        <f t="shared" si="228"/>
        <v>0</v>
      </c>
      <c r="AJ1345">
        <f t="shared" si="229"/>
        <v>1</v>
      </c>
      <c r="AK1345">
        <f t="shared" si="222"/>
        <v>0</v>
      </c>
      <c r="AL1345">
        <f t="shared" si="230"/>
        <v>0</v>
      </c>
    </row>
    <row r="1346" spans="1:38">
      <c r="A1346" t="s">
        <v>4165</v>
      </c>
      <c r="B1346" t="s">
        <v>4166</v>
      </c>
      <c r="C1346" s="1">
        <f t="shared" si="223"/>
        <v>45352</v>
      </c>
      <c r="D1346" t="s">
        <v>4167</v>
      </c>
      <c r="E1346">
        <v>173.1</v>
      </c>
      <c r="F1346">
        <v>7.2</v>
      </c>
      <c r="G1346" t="s">
        <v>30</v>
      </c>
      <c r="H1346" t="s">
        <v>31</v>
      </c>
      <c r="I1346" t="s">
        <v>32</v>
      </c>
      <c r="J1346">
        <v>240</v>
      </c>
      <c r="K1346" t="s">
        <v>49</v>
      </c>
      <c r="L1346" t="s">
        <v>70</v>
      </c>
      <c r="M1346" t="s">
        <v>35</v>
      </c>
      <c r="N1346" t="s">
        <v>128</v>
      </c>
      <c r="O1346" t="s">
        <v>7232</v>
      </c>
      <c r="P1346" t="s">
        <v>38</v>
      </c>
      <c r="Q1346" t="s">
        <v>38</v>
      </c>
      <c r="R1346">
        <v>1</v>
      </c>
      <c r="S1346" t="s">
        <v>38</v>
      </c>
      <c r="T1346">
        <v>10</v>
      </c>
      <c r="U1346">
        <v>2.2000000000000002</v>
      </c>
      <c r="V1346">
        <v>2.8</v>
      </c>
      <c r="W1346" t="s">
        <v>39</v>
      </c>
      <c r="X1346" t="s">
        <v>63</v>
      </c>
      <c r="Y1346" t="s">
        <v>39</v>
      </c>
      <c r="Z1346" t="s">
        <v>115</v>
      </c>
      <c r="AA1346" t="s">
        <v>42</v>
      </c>
      <c r="AB1346" t="s">
        <v>43</v>
      </c>
      <c r="AC1346">
        <f t="shared" ref="AC1346:AC1409" si="231">IF(X1346="Poor", 1, 0)</f>
        <v>0</v>
      </c>
      <c r="AD1346" s="12">
        <f t="shared" si="224"/>
        <v>1</v>
      </c>
      <c r="AE1346" s="12">
        <f t="shared" si="225"/>
        <v>0</v>
      </c>
      <c r="AF1346">
        <f t="shared" ref="AF1346:AF1409" si="232">IF(O1346="Junior", 1, 0)</f>
        <v>0</v>
      </c>
      <c r="AG1346">
        <f t="shared" si="226"/>
        <v>1</v>
      </c>
      <c r="AH1346">
        <f t="shared" si="227"/>
        <v>0</v>
      </c>
      <c r="AI1346">
        <f t="shared" si="228"/>
        <v>0</v>
      </c>
      <c r="AJ1346">
        <f t="shared" si="229"/>
        <v>1</v>
      </c>
      <c r="AK1346">
        <f t="shared" ref="AK1346:AK1409" si="233">IF(G1346="Access Requests", 1, 0)</f>
        <v>1</v>
      </c>
      <c r="AL1346">
        <f t="shared" si="230"/>
        <v>0</v>
      </c>
    </row>
    <row r="1347" spans="1:38">
      <c r="A1347" t="s">
        <v>4168</v>
      </c>
      <c r="B1347" t="s">
        <v>4169</v>
      </c>
      <c r="C1347" s="1">
        <f t="shared" ref="C1347:C1410" si="234">DATE(YEAR(B1347),MONTH(B1347),1)</f>
        <v>45383</v>
      </c>
      <c r="D1347" t="s">
        <v>4170</v>
      </c>
      <c r="E1347">
        <v>72.8</v>
      </c>
      <c r="F1347">
        <v>3</v>
      </c>
      <c r="G1347" t="s">
        <v>68</v>
      </c>
      <c r="H1347" t="s">
        <v>456</v>
      </c>
      <c r="I1347" t="s">
        <v>48</v>
      </c>
      <c r="J1347">
        <v>120</v>
      </c>
      <c r="K1347" t="s">
        <v>49</v>
      </c>
      <c r="L1347" t="s">
        <v>96</v>
      </c>
      <c r="M1347" t="s">
        <v>71</v>
      </c>
      <c r="N1347" t="s">
        <v>506</v>
      </c>
      <c r="O1347" t="s">
        <v>7232</v>
      </c>
      <c r="P1347" t="s">
        <v>38</v>
      </c>
      <c r="Q1347" t="s">
        <v>39</v>
      </c>
      <c r="R1347">
        <v>4</v>
      </c>
      <c r="S1347" t="s">
        <v>38</v>
      </c>
      <c r="T1347">
        <v>7</v>
      </c>
      <c r="U1347">
        <v>1.3</v>
      </c>
      <c r="V1347">
        <v>1.9</v>
      </c>
      <c r="W1347" t="s">
        <v>39</v>
      </c>
      <c r="X1347" t="s">
        <v>40</v>
      </c>
      <c r="Y1347" t="s">
        <v>39</v>
      </c>
      <c r="Z1347" t="s">
        <v>41</v>
      </c>
      <c r="AA1347" t="s">
        <v>42</v>
      </c>
      <c r="AB1347" t="s">
        <v>83</v>
      </c>
      <c r="AC1347">
        <f t="shared" si="231"/>
        <v>0</v>
      </c>
      <c r="AD1347" s="12">
        <f t="shared" ref="AD1347:AD1410" si="235">IF(X1347="Fair", 1, 0)</f>
        <v>0</v>
      </c>
      <c r="AE1347" s="12">
        <f t="shared" ref="AE1347:AE1410" si="236">IF(X1347="Good", 1, 0)</f>
        <v>0</v>
      </c>
      <c r="AF1347">
        <f t="shared" si="232"/>
        <v>0</v>
      </c>
      <c r="AG1347">
        <f t="shared" ref="AG1347:AG1410" si="237">IF(O1347="Mid", 1, 0)</f>
        <v>1</v>
      </c>
      <c r="AH1347">
        <f t="shared" ref="AH1347:AH1410" si="238">IF(I1347="High", 1, 0)</f>
        <v>1</v>
      </c>
      <c r="AI1347">
        <f t="shared" ref="AI1347:AI1410" si="239">IF(I1347="Critical", 1, 0)</f>
        <v>0</v>
      </c>
      <c r="AJ1347">
        <f t="shared" ref="AJ1347:AJ1410" si="240">IF(I1347="Medium", 1, 0)</f>
        <v>0</v>
      </c>
      <c r="AK1347">
        <f t="shared" si="233"/>
        <v>0</v>
      </c>
      <c r="AL1347">
        <f t="shared" ref="AL1347:AL1410" si="241">IF(Y1347="No", 1, 0)</f>
        <v>0</v>
      </c>
    </row>
    <row r="1348" spans="1:38">
      <c r="A1348" t="s">
        <v>4171</v>
      </c>
      <c r="B1348" t="s">
        <v>4172</v>
      </c>
      <c r="C1348" s="1">
        <f t="shared" si="234"/>
        <v>45352</v>
      </c>
      <c r="D1348" t="s">
        <v>4173</v>
      </c>
      <c r="E1348">
        <v>327.5</v>
      </c>
      <c r="F1348">
        <v>13.6</v>
      </c>
      <c r="G1348" t="s">
        <v>77</v>
      </c>
      <c r="H1348" t="s">
        <v>78</v>
      </c>
      <c r="I1348" t="s">
        <v>32</v>
      </c>
      <c r="J1348">
        <v>240</v>
      </c>
      <c r="K1348" t="s">
        <v>33</v>
      </c>
      <c r="L1348" t="s">
        <v>96</v>
      </c>
      <c r="M1348" t="s">
        <v>35</v>
      </c>
      <c r="N1348" t="s">
        <v>80</v>
      </c>
      <c r="O1348" t="s">
        <v>37</v>
      </c>
      <c r="P1348" t="s">
        <v>39</v>
      </c>
      <c r="Q1348" t="s">
        <v>38</v>
      </c>
      <c r="R1348">
        <v>0</v>
      </c>
      <c r="S1348" t="s">
        <v>38</v>
      </c>
      <c r="T1348">
        <v>8</v>
      </c>
      <c r="U1348">
        <v>2.7</v>
      </c>
      <c r="V1348">
        <v>27.6</v>
      </c>
      <c r="W1348" t="s">
        <v>39</v>
      </c>
      <c r="X1348" t="s">
        <v>63</v>
      </c>
      <c r="Y1348" t="s">
        <v>38</v>
      </c>
      <c r="Z1348" t="s">
        <v>115</v>
      </c>
      <c r="AA1348" t="s">
        <v>103</v>
      </c>
      <c r="AB1348" t="s">
        <v>55</v>
      </c>
      <c r="AC1348">
        <f t="shared" si="231"/>
        <v>0</v>
      </c>
      <c r="AD1348" s="12">
        <f t="shared" si="235"/>
        <v>1</v>
      </c>
      <c r="AE1348" s="12">
        <f t="shared" si="236"/>
        <v>0</v>
      </c>
      <c r="AF1348">
        <f t="shared" si="232"/>
        <v>0</v>
      </c>
      <c r="AG1348">
        <f t="shared" si="237"/>
        <v>0</v>
      </c>
      <c r="AH1348">
        <f t="shared" si="238"/>
        <v>0</v>
      </c>
      <c r="AI1348">
        <f t="shared" si="239"/>
        <v>0</v>
      </c>
      <c r="AJ1348">
        <f t="shared" si="240"/>
        <v>1</v>
      </c>
      <c r="AK1348">
        <f t="shared" si="233"/>
        <v>0</v>
      </c>
      <c r="AL1348">
        <f t="shared" si="241"/>
        <v>1</v>
      </c>
    </row>
    <row r="1349" spans="1:38">
      <c r="A1349" t="s">
        <v>4174</v>
      </c>
      <c r="B1349" t="s">
        <v>4175</v>
      </c>
      <c r="C1349" s="1">
        <f t="shared" si="234"/>
        <v>45323</v>
      </c>
      <c r="D1349" t="s">
        <v>4176</v>
      </c>
      <c r="E1349">
        <v>180</v>
      </c>
      <c r="F1349">
        <v>7.5</v>
      </c>
      <c r="G1349" t="s">
        <v>101</v>
      </c>
      <c r="H1349" t="s">
        <v>368</v>
      </c>
      <c r="I1349" t="s">
        <v>48</v>
      </c>
      <c r="J1349">
        <v>120</v>
      </c>
      <c r="K1349" t="s">
        <v>33</v>
      </c>
      <c r="L1349" t="s">
        <v>113</v>
      </c>
      <c r="M1349" t="s">
        <v>35</v>
      </c>
      <c r="N1349" t="s">
        <v>188</v>
      </c>
      <c r="O1349" t="s">
        <v>51</v>
      </c>
      <c r="P1349" t="s">
        <v>38</v>
      </c>
      <c r="Q1349" t="s">
        <v>38</v>
      </c>
      <c r="R1349">
        <v>1</v>
      </c>
      <c r="S1349" t="s">
        <v>39</v>
      </c>
      <c r="T1349">
        <v>6</v>
      </c>
      <c r="U1349">
        <v>0.1</v>
      </c>
      <c r="V1349">
        <v>26.4</v>
      </c>
      <c r="W1349" t="s">
        <v>39</v>
      </c>
      <c r="X1349" t="s">
        <v>63</v>
      </c>
      <c r="Y1349" t="s">
        <v>39</v>
      </c>
      <c r="Z1349" t="s">
        <v>73</v>
      </c>
      <c r="AA1349" t="s">
        <v>42</v>
      </c>
      <c r="AB1349" t="s">
        <v>55</v>
      </c>
      <c r="AC1349">
        <f t="shared" si="231"/>
        <v>0</v>
      </c>
      <c r="AD1349" s="12">
        <f t="shared" si="235"/>
        <v>1</v>
      </c>
      <c r="AE1349" s="12">
        <f t="shared" si="236"/>
        <v>0</v>
      </c>
      <c r="AF1349">
        <f t="shared" si="232"/>
        <v>1</v>
      </c>
      <c r="AG1349">
        <f t="shared" si="237"/>
        <v>0</v>
      </c>
      <c r="AH1349">
        <f t="shared" si="238"/>
        <v>1</v>
      </c>
      <c r="AI1349">
        <f t="shared" si="239"/>
        <v>0</v>
      </c>
      <c r="AJ1349">
        <f t="shared" si="240"/>
        <v>0</v>
      </c>
      <c r="AK1349">
        <f t="shared" si="233"/>
        <v>0</v>
      </c>
      <c r="AL1349">
        <f t="shared" si="241"/>
        <v>0</v>
      </c>
    </row>
    <row r="1350" spans="1:38">
      <c r="A1350" t="s">
        <v>4177</v>
      </c>
      <c r="B1350" t="s">
        <v>4178</v>
      </c>
      <c r="C1350" s="1">
        <f t="shared" si="234"/>
        <v>45444</v>
      </c>
      <c r="D1350" t="s">
        <v>4179</v>
      </c>
      <c r="E1350">
        <v>169.9</v>
      </c>
      <c r="F1350">
        <v>7.1</v>
      </c>
      <c r="G1350" t="s">
        <v>68</v>
      </c>
      <c r="H1350" t="s">
        <v>456</v>
      </c>
      <c r="I1350" t="s">
        <v>48</v>
      </c>
      <c r="J1350">
        <v>120</v>
      </c>
      <c r="K1350" t="s">
        <v>33</v>
      </c>
      <c r="L1350" t="s">
        <v>133</v>
      </c>
      <c r="M1350" t="s">
        <v>35</v>
      </c>
      <c r="N1350" t="s">
        <v>164</v>
      </c>
      <c r="O1350" t="s">
        <v>7232</v>
      </c>
      <c r="P1350" t="s">
        <v>38</v>
      </c>
      <c r="Q1350" t="s">
        <v>38</v>
      </c>
      <c r="R1350">
        <v>1</v>
      </c>
      <c r="S1350" t="s">
        <v>38</v>
      </c>
      <c r="T1350">
        <v>9</v>
      </c>
      <c r="U1350">
        <v>2.6</v>
      </c>
      <c r="V1350">
        <v>32.5</v>
      </c>
      <c r="W1350" t="s">
        <v>38</v>
      </c>
      <c r="X1350" t="s">
        <v>63</v>
      </c>
      <c r="Y1350" t="s">
        <v>39</v>
      </c>
      <c r="Z1350" t="s">
        <v>115</v>
      </c>
      <c r="AA1350" t="s">
        <v>82</v>
      </c>
      <c r="AB1350" t="s">
        <v>55</v>
      </c>
      <c r="AC1350">
        <f t="shared" si="231"/>
        <v>0</v>
      </c>
      <c r="AD1350" s="12">
        <f t="shared" si="235"/>
        <v>1</v>
      </c>
      <c r="AE1350" s="12">
        <f t="shared" si="236"/>
        <v>0</v>
      </c>
      <c r="AF1350">
        <f t="shared" si="232"/>
        <v>0</v>
      </c>
      <c r="AG1350">
        <f t="shared" si="237"/>
        <v>1</v>
      </c>
      <c r="AH1350">
        <f t="shared" si="238"/>
        <v>1</v>
      </c>
      <c r="AI1350">
        <f t="shared" si="239"/>
        <v>0</v>
      </c>
      <c r="AJ1350">
        <f t="shared" si="240"/>
        <v>0</v>
      </c>
      <c r="AK1350">
        <f t="shared" si="233"/>
        <v>0</v>
      </c>
      <c r="AL1350">
        <f t="shared" si="241"/>
        <v>0</v>
      </c>
    </row>
    <row r="1351" spans="1:38">
      <c r="A1351" t="s">
        <v>4180</v>
      </c>
      <c r="B1351" t="s">
        <v>4181</v>
      </c>
      <c r="C1351" s="1">
        <f t="shared" si="234"/>
        <v>45505</v>
      </c>
      <c r="D1351" t="s">
        <v>4182</v>
      </c>
      <c r="E1351">
        <v>267.60000000000002</v>
      </c>
      <c r="F1351">
        <v>11.2</v>
      </c>
      <c r="G1351" t="s">
        <v>142</v>
      </c>
      <c r="H1351" t="s">
        <v>143</v>
      </c>
      <c r="I1351" t="s">
        <v>32</v>
      </c>
      <c r="J1351">
        <v>240</v>
      </c>
      <c r="K1351" t="s">
        <v>33</v>
      </c>
      <c r="L1351" t="s">
        <v>96</v>
      </c>
      <c r="M1351" t="s">
        <v>35</v>
      </c>
      <c r="N1351" t="s">
        <v>220</v>
      </c>
      <c r="O1351" t="s">
        <v>51</v>
      </c>
      <c r="P1351" t="s">
        <v>38</v>
      </c>
      <c r="Q1351" t="s">
        <v>38</v>
      </c>
      <c r="R1351">
        <v>1</v>
      </c>
      <c r="S1351" t="s">
        <v>38</v>
      </c>
      <c r="T1351">
        <v>4</v>
      </c>
      <c r="U1351">
        <v>4.9000000000000004</v>
      </c>
      <c r="V1351">
        <v>24.5</v>
      </c>
      <c r="W1351" t="s">
        <v>38</v>
      </c>
      <c r="X1351" t="s">
        <v>63</v>
      </c>
      <c r="Y1351" t="s">
        <v>38</v>
      </c>
      <c r="Z1351" t="s">
        <v>64</v>
      </c>
      <c r="AA1351" t="s">
        <v>82</v>
      </c>
      <c r="AB1351" t="s">
        <v>83</v>
      </c>
      <c r="AC1351">
        <f t="shared" si="231"/>
        <v>0</v>
      </c>
      <c r="AD1351" s="12">
        <f t="shared" si="235"/>
        <v>1</v>
      </c>
      <c r="AE1351" s="12">
        <f t="shared" si="236"/>
        <v>0</v>
      </c>
      <c r="AF1351">
        <f t="shared" si="232"/>
        <v>1</v>
      </c>
      <c r="AG1351">
        <f t="shared" si="237"/>
        <v>0</v>
      </c>
      <c r="AH1351">
        <f t="shared" si="238"/>
        <v>0</v>
      </c>
      <c r="AI1351">
        <f t="shared" si="239"/>
        <v>0</v>
      </c>
      <c r="AJ1351">
        <f t="shared" si="240"/>
        <v>1</v>
      </c>
      <c r="AK1351">
        <f t="shared" si="233"/>
        <v>0</v>
      </c>
      <c r="AL1351">
        <f t="shared" si="241"/>
        <v>1</v>
      </c>
    </row>
    <row r="1352" spans="1:38">
      <c r="A1352" t="s">
        <v>4183</v>
      </c>
      <c r="B1352" t="s">
        <v>4184</v>
      </c>
      <c r="C1352" s="1">
        <f t="shared" si="234"/>
        <v>45383</v>
      </c>
      <c r="D1352" t="s">
        <v>4185</v>
      </c>
      <c r="E1352">
        <v>227.7</v>
      </c>
      <c r="F1352">
        <v>9.5</v>
      </c>
      <c r="G1352" t="s">
        <v>77</v>
      </c>
      <c r="H1352" t="s">
        <v>187</v>
      </c>
      <c r="I1352" t="s">
        <v>79</v>
      </c>
      <c r="J1352">
        <v>360</v>
      </c>
      <c r="K1352" t="s">
        <v>49</v>
      </c>
      <c r="L1352" t="s">
        <v>133</v>
      </c>
      <c r="M1352" t="s">
        <v>35</v>
      </c>
      <c r="N1352" t="s">
        <v>138</v>
      </c>
      <c r="O1352" t="s">
        <v>7232</v>
      </c>
      <c r="P1352" t="s">
        <v>39</v>
      </c>
      <c r="Q1352" t="s">
        <v>38</v>
      </c>
      <c r="R1352">
        <v>0</v>
      </c>
      <c r="S1352" t="s">
        <v>38</v>
      </c>
      <c r="T1352">
        <v>7</v>
      </c>
      <c r="U1352">
        <v>2.8</v>
      </c>
      <c r="V1352">
        <v>20.3</v>
      </c>
      <c r="W1352" t="s">
        <v>39</v>
      </c>
      <c r="X1352" t="s">
        <v>52</v>
      </c>
      <c r="Y1352" t="s">
        <v>39</v>
      </c>
      <c r="Z1352" t="s">
        <v>41</v>
      </c>
      <c r="AA1352" t="s">
        <v>103</v>
      </c>
      <c r="AB1352" t="s">
        <v>55</v>
      </c>
      <c r="AC1352">
        <f t="shared" si="231"/>
        <v>1</v>
      </c>
      <c r="AD1352" s="12">
        <f t="shared" si="235"/>
        <v>0</v>
      </c>
      <c r="AE1352" s="12">
        <f t="shared" si="236"/>
        <v>0</v>
      </c>
      <c r="AF1352">
        <f t="shared" si="232"/>
        <v>0</v>
      </c>
      <c r="AG1352">
        <f t="shared" si="237"/>
        <v>1</v>
      </c>
      <c r="AH1352">
        <f t="shared" si="238"/>
        <v>0</v>
      </c>
      <c r="AI1352">
        <f t="shared" si="239"/>
        <v>0</v>
      </c>
      <c r="AJ1352">
        <f t="shared" si="240"/>
        <v>0</v>
      </c>
      <c r="AK1352">
        <f t="shared" si="233"/>
        <v>0</v>
      </c>
      <c r="AL1352">
        <f t="shared" si="241"/>
        <v>0</v>
      </c>
    </row>
    <row r="1353" spans="1:38">
      <c r="A1353" t="s">
        <v>4186</v>
      </c>
      <c r="B1353" t="s">
        <v>4187</v>
      </c>
      <c r="C1353" s="1">
        <f t="shared" si="234"/>
        <v>45505</v>
      </c>
      <c r="D1353" t="s">
        <v>4188</v>
      </c>
      <c r="E1353">
        <v>473.4</v>
      </c>
      <c r="F1353">
        <v>19.7</v>
      </c>
      <c r="G1353" t="s">
        <v>142</v>
      </c>
      <c r="H1353" t="s">
        <v>143</v>
      </c>
      <c r="I1353" t="s">
        <v>32</v>
      </c>
      <c r="J1353">
        <v>240</v>
      </c>
      <c r="K1353" t="s">
        <v>33</v>
      </c>
      <c r="L1353" t="s">
        <v>70</v>
      </c>
      <c r="M1353" t="s">
        <v>35</v>
      </c>
      <c r="N1353" t="s">
        <v>277</v>
      </c>
      <c r="O1353" t="s">
        <v>7232</v>
      </c>
      <c r="P1353" t="s">
        <v>38</v>
      </c>
      <c r="Q1353" t="s">
        <v>38</v>
      </c>
      <c r="R1353">
        <v>1</v>
      </c>
      <c r="S1353" t="s">
        <v>38</v>
      </c>
      <c r="T1353">
        <v>5</v>
      </c>
      <c r="U1353">
        <v>2.1</v>
      </c>
      <c r="V1353">
        <v>29</v>
      </c>
      <c r="W1353" t="s">
        <v>38</v>
      </c>
      <c r="X1353" t="s">
        <v>40</v>
      </c>
      <c r="Y1353" t="s">
        <v>39</v>
      </c>
      <c r="Z1353" t="s">
        <v>73</v>
      </c>
      <c r="AA1353" t="s">
        <v>82</v>
      </c>
      <c r="AB1353" t="s">
        <v>83</v>
      </c>
      <c r="AC1353">
        <f t="shared" si="231"/>
        <v>0</v>
      </c>
      <c r="AD1353" s="12">
        <f t="shared" si="235"/>
        <v>0</v>
      </c>
      <c r="AE1353" s="12">
        <f t="shared" si="236"/>
        <v>0</v>
      </c>
      <c r="AF1353">
        <f t="shared" si="232"/>
        <v>0</v>
      </c>
      <c r="AG1353">
        <f t="shared" si="237"/>
        <v>1</v>
      </c>
      <c r="AH1353">
        <f t="shared" si="238"/>
        <v>0</v>
      </c>
      <c r="AI1353">
        <f t="shared" si="239"/>
        <v>0</v>
      </c>
      <c r="AJ1353">
        <f t="shared" si="240"/>
        <v>1</v>
      </c>
      <c r="AK1353">
        <f t="shared" si="233"/>
        <v>0</v>
      </c>
      <c r="AL1353">
        <f t="shared" si="241"/>
        <v>0</v>
      </c>
    </row>
    <row r="1354" spans="1:38">
      <c r="A1354" t="s">
        <v>4189</v>
      </c>
      <c r="B1354" t="s">
        <v>4190</v>
      </c>
      <c r="C1354" s="1">
        <f t="shared" si="234"/>
        <v>45323</v>
      </c>
      <c r="D1354" t="s">
        <v>4191</v>
      </c>
      <c r="E1354">
        <v>194.4</v>
      </c>
      <c r="F1354">
        <v>8.1</v>
      </c>
      <c r="G1354" t="s">
        <v>68</v>
      </c>
      <c r="H1354" t="s">
        <v>219</v>
      </c>
      <c r="I1354" t="s">
        <v>32</v>
      </c>
      <c r="J1354">
        <v>240</v>
      </c>
      <c r="K1354" t="s">
        <v>49</v>
      </c>
      <c r="L1354" t="s">
        <v>70</v>
      </c>
      <c r="M1354" t="s">
        <v>35</v>
      </c>
      <c r="N1354" t="s">
        <v>119</v>
      </c>
      <c r="O1354" t="s">
        <v>7232</v>
      </c>
      <c r="P1354" t="s">
        <v>38</v>
      </c>
      <c r="Q1354" t="s">
        <v>38</v>
      </c>
      <c r="R1354">
        <v>1</v>
      </c>
      <c r="S1354" t="s">
        <v>38</v>
      </c>
      <c r="T1354">
        <v>10</v>
      </c>
      <c r="U1354">
        <v>0.4</v>
      </c>
      <c r="V1354">
        <v>0</v>
      </c>
      <c r="W1354" t="s">
        <v>38</v>
      </c>
      <c r="X1354" t="s">
        <v>123</v>
      </c>
      <c r="Y1354" t="s">
        <v>39</v>
      </c>
      <c r="Z1354" t="s">
        <v>81</v>
      </c>
      <c r="AA1354" t="s">
        <v>82</v>
      </c>
      <c r="AB1354" t="s">
        <v>55</v>
      </c>
      <c r="AC1354">
        <f t="shared" si="231"/>
        <v>0</v>
      </c>
      <c r="AD1354" s="12">
        <f t="shared" si="235"/>
        <v>0</v>
      </c>
      <c r="AE1354" s="12">
        <f t="shared" si="236"/>
        <v>1</v>
      </c>
      <c r="AF1354">
        <f t="shared" si="232"/>
        <v>0</v>
      </c>
      <c r="AG1354">
        <f t="shared" si="237"/>
        <v>1</v>
      </c>
      <c r="AH1354">
        <f t="shared" si="238"/>
        <v>0</v>
      </c>
      <c r="AI1354">
        <f t="shared" si="239"/>
        <v>0</v>
      </c>
      <c r="AJ1354">
        <f t="shared" si="240"/>
        <v>1</v>
      </c>
      <c r="AK1354">
        <f t="shared" si="233"/>
        <v>0</v>
      </c>
      <c r="AL1354">
        <f t="shared" si="241"/>
        <v>0</v>
      </c>
    </row>
    <row r="1355" spans="1:38">
      <c r="A1355" t="s">
        <v>4192</v>
      </c>
      <c r="B1355" t="s">
        <v>4193</v>
      </c>
      <c r="C1355" s="1">
        <f t="shared" si="234"/>
        <v>45474</v>
      </c>
      <c r="D1355" t="s">
        <v>4194</v>
      </c>
      <c r="E1355">
        <v>86.3</v>
      </c>
      <c r="F1355">
        <v>3.6</v>
      </c>
      <c r="G1355" t="s">
        <v>87</v>
      </c>
      <c r="H1355" t="s">
        <v>183</v>
      </c>
      <c r="I1355" t="s">
        <v>48</v>
      </c>
      <c r="J1355">
        <v>120</v>
      </c>
      <c r="K1355" t="s">
        <v>49</v>
      </c>
      <c r="L1355" t="s">
        <v>70</v>
      </c>
      <c r="M1355" t="s">
        <v>71</v>
      </c>
      <c r="N1355" t="s">
        <v>80</v>
      </c>
      <c r="O1355" t="s">
        <v>7232</v>
      </c>
      <c r="P1355" t="s">
        <v>38</v>
      </c>
      <c r="Q1355" t="s">
        <v>39</v>
      </c>
      <c r="R1355">
        <v>2</v>
      </c>
      <c r="S1355" t="s">
        <v>38</v>
      </c>
      <c r="T1355">
        <v>8</v>
      </c>
      <c r="U1355">
        <v>2</v>
      </c>
      <c r="V1355">
        <v>15.3</v>
      </c>
      <c r="W1355" t="s">
        <v>38</v>
      </c>
      <c r="X1355" t="s">
        <v>123</v>
      </c>
      <c r="Y1355" t="s">
        <v>38</v>
      </c>
      <c r="Z1355" t="s">
        <v>73</v>
      </c>
      <c r="AA1355" t="s">
        <v>42</v>
      </c>
      <c r="AB1355" t="s">
        <v>83</v>
      </c>
      <c r="AC1355">
        <f t="shared" si="231"/>
        <v>0</v>
      </c>
      <c r="AD1355" s="12">
        <f t="shared" si="235"/>
        <v>0</v>
      </c>
      <c r="AE1355" s="12">
        <f t="shared" si="236"/>
        <v>1</v>
      </c>
      <c r="AF1355">
        <f t="shared" si="232"/>
        <v>0</v>
      </c>
      <c r="AG1355">
        <f t="shared" si="237"/>
        <v>1</v>
      </c>
      <c r="AH1355">
        <f t="shared" si="238"/>
        <v>1</v>
      </c>
      <c r="AI1355">
        <f t="shared" si="239"/>
        <v>0</v>
      </c>
      <c r="AJ1355">
        <f t="shared" si="240"/>
        <v>0</v>
      </c>
      <c r="AK1355">
        <f t="shared" si="233"/>
        <v>0</v>
      </c>
      <c r="AL1355">
        <f t="shared" si="241"/>
        <v>1</v>
      </c>
    </row>
    <row r="1356" spans="1:38">
      <c r="A1356" t="s">
        <v>4195</v>
      </c>
      <c r="B1356" t="s">
        <v>4196</v>
      </c>
      <c r="C1356" s="1">
        <f t="shared" si="234"/>
        <v>45352</v>
      </c>
      <c r="D1356" t="s">
        <v>4197</v>
      </c>
      <c r="E1356">
        <v>220.9</v>
      </c>
      <c r="F1356">
        <v>9.1999999999999993</v>
      </c>
      <c r="G1356" t="s">
        <v>30</v>
      </c>
      <c r="H1356" t="s">
        <v>159</v>
      </c>
      <c r="I1356" t="s">
        <v>32</v>
      </c>
      <c r="J1356">
        <v>240</v>
      </c>
      <c r="K1356" t="s">
        <v>49</v>
      </c>
      <c r="L1356" t="s">
        <v>70</v>
      </c>
      <c r="M1356" t="s">
        <v>35</v>
      </c>
      <c r="N1356" t="s">
        <v>277</v>
      </c>
      <c r="O1356" t="s">
        <v>7232</v>
      </c>
      <c r="P1356" t="s">
        <v>39</v>
      </c>
      <c r="Q1356" t="s">
        <v>38</v>
      </c>
      <c r="R1356">
        <v>0</v>
      </c>
      <c r="S1356" t="s">
        <v>39</v>
      </c>
      <c r="T1356">
        <v>9</v>
      </c>
      <c r="U1356">
        <v>1.2</v>
      </c>
      <c r="V1356">
        <v>44.4</v>
      </c>
      <c r="W1356" t="s">
        <v>39</v>
      </c>
      <c r="X1356" t="s">
        <v>63</v>
      </c>
      <c r="Y1356" t="s">
        <v>39</v>
      </c>
      <c r="Z1356" t="s">
        <v>73</v>
      </c>
      <c r="AA1356" t="s">
        <v>54</v>
      </c>
      <c r="AB1356" t="s">
        <v>83</v>
      </c>
      <c r="AC1356">
        <f t="shared" si="231"/>
        <v>0</v>
      </c>
      <c r="AD1356" s="12">
        <f t="shared" si="235"/>
        <v>1</v>
      </c>
      <c r="AE1356" s="12">
        <f t="shared" si="236"/>
        <v>0</v>
      </c>
      <c r="AF1356">
        <f t="shared" si="232"/>
        <v>0</v>
      </c>
      <c r="AG1356">
        <f t="shared" si="237"/>
        <v>1</v>
      </c>
      <c r="AH1356">
        <f t="shared" si="238"/>
        <v>0</v>
      </c>
      <c r="AI1356">
        <f t="shared" si="239"/>
        <v>0</v>
      </c>
      <c r="AJ1356">
        <f t="shared" si="240"/>
        <v>1</v>
      </c>
      <c r="AK1356">
        <f t="shared" si="233"/>
        <v>1</v>
      </c>
      <c r="AL1356">
        <f t="shared" si="241"/>
        <v>0</v>
      </c>
    </row>
    <row r="1357" spans="1:38">
      <c r="A1357" t="s">
        <v>4198</v>
      </c>
      <c r="B1357" t="s">
        <v>4199</v>
      </c>
      <c r="C1357" s="1">
        <f t="shared" si="234"/>
        <v>45597</v>
      </c>
      <c r="D1357" t="s">
        <v>4200</v>
      </c>
      <c r="E1357">
        <v>213.1</v>
      </c>
      <c r="F1357">
        <v>8.9</v>
      </c>
      <c r="G1357" t="s">
        <v>142</v>
      </c>
      <c r="H1357" t="s">
        <v>729</v>
      </c>
      <c r="I1357" t="s">
        <v>32</v>
      </c>
      <c r="J1357">
        <v>240</v>
      </c>
      <c r="K1357" t="s">
        <v>49</v>
      </c>
      <c r="L1357" t="s">
        <v>113</v>
      </c>
      <c r="M1357" t="s">
        <v>71</v>
      </c>
      <c r="N1357" t="s">
        <v>80</v>
      </c>
      <c r="O1357" t="s">
        <v>51</v>
      </c>
      <c r="P1357" t="s">
        <v>38</v>
      </c>
      <c r="Q1357" t="s">
        <v>39</v>
      </c>
      <c r="R1357">
        <v>4</v>
      </c>
      <c r="S1357" t="s">
        <v>39</v>
      </c>
      <c r="T1357">
        <v>7</v>
      </c>
      <c r="U1357">
        <v>4.4000000000000004</v>
      </c>
      <c r="V1357">
        <v>9.6</v>
      </c>
      <c r="W1357" t="s">
        <v>38</v>
      </c>
      <c r="X1357" t="s">
        <v>63</v>
      </c>
      <c r="Y1357" t="s">
        <v>39</v>
      </c>
      <c r="Z1357" t="s">
        <v>108</v>
      </c>
      <c r="AA1357" t="s">
        <v>103</v>
      </c>
      <c r="AB1357" t="s">
        <v>83</v>
      </c>
      <c r="AC1357">
        <f t="shared" si="231"/>
        <v>0</v>
      </c>
      <c r="AD1357" s="12">
        <f t="shared" si="235"/>
        <v>1</v>
      </c>
      <c r="AE1357" s="12">
        <f t="shared" si="236"/>
        <v>0</v>
      </c>
      <c r="AF1357">
        <f t="shared" si="232"/>
        <v>1</v>
      </c>
      <c r="AG1357">
        <f t="shared" si="237"/>
        <v>0</v>
      </c>
      <c r="AH1357">
        <f t="shared" si="238"/>
        <v>0</v>
      </c>
      <c r="AI1357">
        <f t="shared" si="239"/>
        <v>0</v>
      </c>
      <c r="AJ1357">
        <f t="shared" si="240"/>
        <v>1</v>
      </c>
      <c r="AK1357">
        <f t="shared" si="233"/>
        <v>0</v>
      </c>
      <c r="AL1357">
        <f t="shared" si="241"/>
        <v>0</v>
      </c>
    </row>
    <row r="1358" spans="1:38">
      <c r="A1358" t="s">
        <v>4201</v>
      </c>
      <c r="B1358" t="s">
        <v>4202</v>
      </c>
      <c r="C1358" s="1">
        <f t="shared" si="234"/>
        <v>45536</v>
      </c>
      <c r="D1358" t="s">
        <v>4203</v>
      </c>
      <c r="E1358">
        <v>321.10000000000002</v>
      </c>
      <c r="F1358">
        <v>13.4</v>
      </c>
      <c r="G1358" t="s">
        <v>77</v>
      </c>
      <c r="H1358" t="s">
        <v>244</v>
      </c>
      <c r="I1358" t="s">
        <v>79</v>
      </c>
      <c r="J1358">
        <v>360</v>
      </c>
      <c r="K1358" t="s">
        <v>49</v>
      </c>
      <c r="L1358" t="s">
        <v>133</v>
      </c>
      <c r="M1358" t="s">
        <v>35</v>
      </c>
      <c r="N1358" t="s">
        <v>61</v>
      </c>
      <c r="O1358" t="s">
        <v>51</v>
      </c>
      <c r="P1358" t="s">
        <v>39</v>
      </c>
      <c r="Q1358" t="s">
        <v>38</v>
      </c>
      <c r="R1358">
        <v>0</v>
      </c>
      <c r="S1358" t="s">
        <v>38</v>
      </c>
      <c r="T1358">
        <v>9</v>
      </c>
      <c r="U1358">
        <v>2.2999999999999998</v>
      </c>
      <c r="V1358">
        <v>22</v>
      </c>
      <c r="W1358" t="s">
        <v>39</v>
      </c>
      <c r="X1358" t="s">
        <v>63</v>
      </c>
      <c r="Y1358" t="s">
        <v>38</v>
      </c>
      <c r="Z1358" t="s">
        <v>81</v>
      </c>
      <c r="AA1358" t="s">
        <v>109</v>
      </c>
      <c r="AB1358" t="s">
        <v>55</v>
      </c>
      <c r="AC1358">
        <f t="shared" si="231"/>
        <v>0</v>
      </c>
      <c r="AD1358" s="12">
        <f t="shared" si="235"/>
        <v>1</v>
      </c>
      <c r="AE1358" s="12">
        <f t="shared" si="236"/>
        <v>0</v>
      </c>
      <c r="AF1358">
        <f t="shared" si="232"/>
        <v>1</v>
      </c>
      <c r="AG1358">
        <f t="shared" si="237"/>
        <v>0</v>
      </c>
      <c r="AH1358">
        <f t="shared" si="238"/>
        <v>0</v>
      </c>
      <c r="AI1358">
        <f t="shared" si="239"/>
        <v>0</v>
      </c>
      <c r="AJ1358">
        <f t="shared" si="240"/>
        <v>0</v>
      </c>
      <c r="AK1358">
        <f t="shared" si="233"/>
        <v>0</v>
      </c>
      <c r="AL1358">
        <f t="shared" si="241"/>
        <v>1</v>
      </c>
    </row>
    <row r="1359" spans="1:38">
      <c r="A1359" t="s">
        <v>4204</v>
      </c>
      <c r="B1359" t="s">
        <v>4205</v>
      </c>
      <c r="C1359" s="1">
        <f t="shared" si="234"/>
        <v>45597</v>
      </c>
      <c r="D1359" t="s">
        <v>4206</v>
      </c>
      <c r="E1359">
        <v>136</v>
      </c>
      <c r="F1359">
        <v>5.7</v>
      </c>
      <c r="G1359" t="s">
        <v>68</v>
      </c>
      <c r="H1359" t="s">
        <v>456</v>
      </c>
      <c r="I1359" t="s">
        <v>48</v>
      </c>
      <c r="J1359">
        <v>120</v>
      </c>
      <c r="K1359" t="s">
        <v>33</v>
      </c>
      <c r="L1359" t="s">
        <v>34</v>
      </c>
      <c r="M1359" t="s">
        <v>71</v>
      </c>
      <c r="N1359" t="s">
        <v>80</v>
      </c>
      <c r="O1359" t="s">
        <v>51</v>
      </c>
      <c r="P1359" t="s">
        <v>38</v>
      </c>
      <c r="Q1359" t="s">
        <v>39</v>
      </c>
      <c r="R1359">
        <v>3</v>
      </c>
      <c r="S1359" t="s">
        <v>38</v>
      </c>
      <c r="T1359">
        <v>7</v>
      </c>
      <c r="U1359">
        <v>0.1</v>
      </c>
      <c r="V1359">
        <v>18.399999999999999</v>
      </c>
      <c r="W1359" t="s">
        <v>39</v>
      </c>
      <c r="X1359" t="s">
        <v>123</v>
      </c>
      <c r="Y1359" t="s">
        <v>39</v>
      </c>
      <c r="Z1359" t="s">
        <v>73</v>
      </c>
      <c r="AA1359" t="s">
        <v>42</v>
      </c>
      <c r="AB1359" t="s">
        <v>83</v>
      </c>
      <c r="AC1359">
        <f t="shared" si="231"/>
        <v>0</v>
      </c>
      <c r="AD1359" s="12">
        <f t="shared" si="235"/>
        <v>0</v>
      </c>
      <c r="AE1359" s="12">
        <f t="shared" si="236"/>
        <v>1</v>
      </c>
      <c r="AF1359">
        <f t="shared" si="232"/>
        <v>1</v>
      </c>
      <c r="AG1359">
        <f t="shared" si="237"/>
        <v>0</v>
      </c>
      <c r="AH1359">
        <f t="shared" si="238"/>
        <v>1</v>
      </c>
      <c r="AI1359">
        <f t="shared" si="239"/>
        <v>0</v>
      </c>
      <c r="AJ1359">
        <f t="shared" si="240"/>
        <v>0</v>
      </c>
      <c r="AK1359">
        <f t="shared" si="233"/>
        <v>0</v>
      </c>
      <c r="AL1359">
        <f t="shared" si="241"/>
        <v>0</v>
      </c>
    </row>
    <row r="1360" spans="1:38">
      <c r="A1360" t="s">
        <v>4207</v>
      </c>
      <c r="B1360" t="s">
        <v>4208</v>
      </c>
      <c r="C1360" s="1">
        <f t="shared" si="234"/>
        <v>45505</v>
      </c>
      <c r="D1360" t="s">
        <v>4209</v>
      </c>
      <c r="E1360">
        <v>151.6</v>
      </c>
      <c r="F1360">
        <v>6.3</v>
      </c>
      <c r="G1360" t="s">
        <v>142</v>
      </c>
      <c r="H1360" t="s">
        <v>319</v>
      </c>
      <c r="I1360" t="s">
        <v>32</v>
      </c>
      <c r="J1360">
        <v>240</v>
      </c>
      <c r="K1360" t="s">
        <v>49</v>
      </c>
      <c r="L1360" t="s">
        <v>70</v>
      </c>
      <c r="M1360" t="s">
        <v>71</v>
      </c>
      <c r="N1360" t="s">
        <v>168</v>
      </c>
      <c r="O1360" t="s">
        <v>7232</v>
      </c>
      <c r="P1360" t="s">
        <v>38</v>
      </c>
      <c r="Q1360" t="s">
        <v>39</v>
      </c>
      <c r="R1360">
        <v>1</v>
      </c>
      <c r="S1360" t="s">
        <v>38</v>
      </c>
      <c r="T1360">
        <v>10</v>
      </c>
      <c r="U1360">
        <v>3.8</v>
      </c>
      <c r="V1360">
        <v>44</v>
      </c>
      <c r="W1360" t="s">
        <v>38</v>
      </c>
      <c r="X1360" t="s">
        <v>123</v>
      </c>
      <c r="Y1360" t="s">
        <v>39</v>
      </c>
      <c r="Z1360" t="s">
        <v>53</v>
      </c>
      <c r="AA1360" t="s">
        <v>42</v>
      </c>
      <c r="AB1360" t="s">
        <v>83</v>
      </c>
      <c r="AC1360">
        <f t="shared" si="231"/>
        <v>0</v>
      </c>
      <c r="AD1360" s="12">
        <f t="shared" si="235"/>
        <v>0</v>
      </c>
      <c r="AE1360" s="12">
        <f t="shared" si="236"/>
        <v>1</v>
      </c>
      <c r="AF1360">
        <f t="shared" si="232"/>
        <v>0</v>
      </c>
      <c r="AG1360">
        <f t="shared" si="237"/>
        <v>1</v>
      </c>
      <c r="AH1360">
        <f t="shared" si="238"/>
        <v>0</v>
      </c>
      <c r="AI1360">
        <f t="shared" si="239"/>
        <v>0</v>
      </c>
      <c r="AJ1360">
        <f t="shared" si="240"/>
        <v>1</v>
      </c>
      <c r="AK1360">
        <f t="shared" si="233"/>
        <v>0</v>
      </c>
      <c r="AL1360">
        <f t="shared" si="241"/>
        <v>0</v>
      </c>
    </row>
    <row r="1361" spans="1:38">
      <c r="A1361" t="s">
        <v>4210</v>
      </c>
      <c r="B1361" t="s">
        <v>4211</v>
      </c>
      <c r="C1361" s="1">
        <f t="shared" si="234"/>
        <v>45597</v>
      </c>
      <c r="D1361" t="s">
        <v>4212</v>
      </c>
      <c r="E1361">
        <v>195.9</v>
      </c>
      <c r="F1361">
        <v>8.1999999999999993</v>
      </c>
      <c r="G1361" t="s">
        <v>77</v>
      </c>
      <c r="H1361" t="s">
        <v>187</v>
      </c>
      <c r="I1361" t="s">
        <v>32</v>
      </c>
      <c r="J1361">
        <v>240</v>
      </c>
      <c r="K1361" t="s">
        <v>49</v>
      </c>
      <c r="L1361" t="s">
        <v>113</v>
      </c>
      <c r="M1361" t="s">
        <v>35</v>
      </c>
      <c r="N1361" t="s">
        <v>506</v>
      </c>
      <c r="O1361" t="s">
        <v>7232</v>
      </c>
      <c r="P1361" t="s">
        <v>39</v>
      </c>
      <c r="Q1361" t="s">
        <v>38</v>
      </c>
      <c r="R1361">
        <v>0</v>
      </c>
      <c r="S1361" t="s">
        <v>38</v>
      </c>
      <c r="T1361">
        <v>9</v>
      </c>
      <c r="U1361">
        <v>2.4</v>
      </c>
      <c r="V1361">
        <v>49.4</v>
      </c>
      <c r="W1361" t="s">
        <v>39</v>
      </c>
      <c r="X1361" t="s">
        <v>63</v>
      </c>
      <c r="Y1361" t="s">
        <v>38</v>
      </c>
      <c r="Z1361" t="s">
        <v>108</v>
      </c>
      <c r="AA1361" t="s">
        <v>42</v>
      </c>
      <c r="AB1361" t="s">
        <v>83</v>
      </c>
      <c r="AC1361">
        <f t="shared" si="231"/>
        <v>0</v>
      </c>
      <c r="AD1361" s="12">
        <f t="shared" si="235"/>
        <v>1</v>
      </c>
      <c r="AE1361" s="12">
        <f t="shared" si="236"/>
        <v>0</v>
      </c>
      <c r="AF1361">
        <f t="shared" si="232"/>
        <v>0</v>
      </c>
      <c r="AG1361">
        <f t="shared" si="237"/>
        <v>1</v>
      </c>
      <c r="AH1361">
        <f t="shared" si="238"/>
        <v>0</v>
      </c>
      <c r="AI1361">
        <f t="shared" si="239"/>
        <v>0</v>
      </c>
      <c r="AJ1361">
        <f t="shared" si="240"/>
        <v>1</v>
      </c>
      <c r="AK1361">
        <f t="shared" si="233"/>
        <v>0</v>
      </c>
      <c r="AL1361">
        <f t="shared" si="241"/>
        <v>1</v>
      </c>
    </row>
    <row r="1362" spans="1:38">
      <c r="A1362" t="s">
        <v>4213</v>
      </c>
      <c r="B1362" t="s">
        <v>4214</v>
      </c>
      <c r="C1362" s="1">
        <f t="shared" si="234"/>
        <v>45505</v>
      </c>
      <c r="D1362" t="s">
        <v>4215</v>
      </c>
      <c r="E1362">
        <v>100.4</v>
      </c>
      <c r="F1362">
        <v>4.2</v>
      </c>
      <c r="G1362" t="s">
        <v>87</v>
      </c>
      <c r="H1362" t="s">
        <v>151</v>
      </c>
      <c r="I1362" t="s">
        <v>48</v>
      </c>
      <c r="J1362">
        <v>120</v>
      </c>
      <c r="K1362" t="s">
        <v>49</v>
      </c>
      <c r="L1362" t="s">
        <v>96</v>
      </c>
      <c r="M1362" t="s">
        <v>35</v>
      </c>
      <c r="N1362" t="s">
        <v>144</v>
      </c>
      <c r="O1362" t="s">
        <v>37</v>
      </c>
      <c r="P1362" t="s">
        <v>38</v>
      </c>
      <c r="Q1362" t="s">
        <v>38</v>
      </c>
      <c r="R1362">
        <v>1</v>
      </c>
      <c r="S1362" t="s">
        <v>38</v>
      </c>
      <c r="T1362">
        <v>8</v>
      </c>
      <c r="U1362">
        <v>0.1</v>
      </c>
      <c r="V1362">
        <v>24.1</v>
      </c>
      <c r="W1362" t="s">
        <v>39</v>
      </c>
      <c r="X1362" t="s">
        <v>40</v>
      </c>
      <c r="Y1362" t="s">
        <v>38</v>
      </c>
      <c r="Z1362" t="s">
        <v>41</v>
      </c>
      <c r="AA1362" t="s">
        <v>42</v>
      </c>
      <c r="AB1362" t="s">
        <v>83</v>
      </c>
      <c r="AC1362">
        <f t="shared" si="231"/>
        <v>0</v>
      </c>
      <c r="AD1362" s="12">
        <f t="shared" si="235"/>
        <v>0</v>
      </c>
      <c r="AE1362" s="12">
        <f t="shared" si="236"/>
        <v>0</v>
      </c>
      <c r="AF1362">
        <f t="shared" si="232"/>
        <v>0</v>
      </c>
      <c r="AG1362">
        <f t="shared" si="237"/>
        <v>0</v>
      </c>
      <c r="AH1362">
        <f t="shared" si="238"/>
        <v>1</v>
      </c>
      <c r="AI1362">
        <f t="shared" si="239"/>
        <v>0</v>
      </c>
      <c r="AJ1362">
        <f t="shared" si="240"/>
        <v>0</v>
      </c>
      <c r="AK1362">
        <f t="shared" si="233"/>
        <v>0</v>
      </c>
      <c r="AL1362">
        <f t="shared" si="241"/>
        <v>1</v>
      </c>
    </row>
    <row r="1363" spans="1:38">
      <c r="A1363" t="s">
        <v>4216</v>
      </c>
      <c r="B1363" t="s">
        <v>4217</v>
      </c>
      <c r="C1363" s="1">
        <f t="shared" si="234"/>
        <v>45444</v>
      </c>
      <c r="D1363" t="s">
        <v>4218</v>
      </c>
      <c r="E1363">
        <v>314</v>
      </c>
      <c r="F1363">
        <v>13.1</v>
      </c>
      <c r="G1363" t="s">
        <v>77</v>
      </c>
      <c r="H1363" t="s">
        <v>244</v>
      </c>
      <c r="I1363" t="s">
        <v>79</v>
      </c>
      <c r="J1363">
        <v>360</v>
      </c>
      <c r="K1363" t="s">
        <v>49</v>
      </c>
      <c r="L1363" t="s">
        <v>34</v>
      </c>
      <c r="M1363" t="s">
        <v>35</v>
      </c>
      <c r="N1363" t="s">
        <v>299</v>
      </c>
      <c r="O1363" t="s">
        <v>7232</v>
      </c>
      <c r="P1363" t="s">
        <v>38</v>
      </c>
      <c r="Q1363" t="s">
        <v>38</v>
      </c>
      <c r="R1363">
        <v>1</v>
      </c>
      <c r="S1363" t="s">
        <v>39</v>
      </c>
      <c r="T1363">
        <v>7</v>
      </c>
      <c r="U1363">
        <v>0.1</v>
      </c>
      <c r="V1363">
        <v>18.5</v>
      </c>
      <c r="W1363" t="s">
        <v>38</v>
      </c>
      <c r="X1363" t="s">
        <v>63</v>
      </c>
      <c r="Y1363" t="s">
        <v>39</v>
      </c>
      <c r="Z1363" t="s">
        <v>179</v>
      </c>
      <c r="AA1363" t="s">
        <v>54</v>
      </c>
      <c r="AB1363" t="s">
        <v>55</v>
      </c>
      <c r="AC1363">
        <f t="shared" si="231"/>
        <v>0</v>
      </c>
      <c r="AD1363" s="12">
        <f t="shared" si="235"/>
        <v>1</v>
      </c>
      <c r="AE1363" s="12">
        <f t="shared" si="236"/>
        <v>0</v>
      </c>
      <c r="AF1363">
        <f t="shared" si="232"/>
        <v>0</v>
      </c>
      <c r="AG1363">
        <f t="shared" si="237"/>
        <v>1</v>
      </c>
      <c r="AH1363">
        <f t="shared" si="238"/>
        <v>0</v>
      </c>
      <c r="AI1363">
        <f t="shared" si="239"/>
        <v>0</v>
      </c>
      <c r="AJ1363">
        <f t="shared" si="240"/>
        <v>0</v>
      </c>
      <c r="AK1363">
        <f t="shared" si="233"/>
        <v>0</v>
      </c>
      <c r="AL1363">
        <f t="shared" si="241"/>
        <v>0</v>
      </c>
    </row>
    <row r="1364" spans="1:38">
      <c r="A1364" t="s">
        <v>4219</v>
      </c>
      <c r="B1364" t="s">
        <v>4220</v>
      </c>
      <c r="C1364" s="1">
        <f t="shared" si="234"/>
        <v>45627</v>
      </c>
      <c r="D1364" t="s">
        <v>4221</v>
      </c>
      <c r="E1364">
        <v>653.70000000000005</v>
      </c>
      <c r="F1364">
        <v>27.2</v>
      </c>
      <c r="G1364" t="s">
        <v>77</v>
      </c>
      <c r="H1364" t="s">
        <v>78</v>
      </c>
      <c r="I1364" t="s">
        <v>79</v>
      </c>
      <c r="J1364">
        <v>360</v>
      </c>
      <c r="K1364" t="s">
        <v>33</v>
      </c>
      <c r="L1364" t="s">
        <v>96</v>
      </c>
      <c r="M1364" t="s">
        <v>71</v>
      </c>
      <c r="N1364" t="s">
        <v>202</v>
      </c>
      <c r="O1364" t="s">
        <v>7232</v>
      </c>
      <c r="P1364" t="s">
        <v>38</v>
      </c>
      <c r="Q1364" t="s">
        <v>39</v>
      </c>
      <c r="R1364">
        <v>3</v>
      </c>
      <c r="S1364" t="s">
        <v>38</v>
      </c>
      <c r="T1364">
        <v>4</v>
      </c>
      <c r="U1364">
        <v>6</v>
      </c>
      <c r="V1364">
        <v>0</v>
      </c>
      <c r="W1364" t="s">
        <v>39</v>
      </c>
      <c r="X1364" t="s">
        <v>52</v>
      </c>
      <c r="Y1364" t="s">
        <v>39</v>
      </c>
      <c r="Z1364" t="s">
        <v>108</v>
      </c>
      <c r="AA1364" t="s">
        <v>82</v>
      </c>
      <c r="AB1364" t="s">
        <v>83</v>
      </c>
      <c r="AC1364">
        <f t="shared" si="231"/>
        <v>1</v>
      </c>
      <c r="AD1364" s="12">
        <f t="shared" si="235"/>
        <v>0</v>
      </c>
      <c r="AE1364" s="12">
        <f t="shared" si="236"/>
        <v>0</v>
      </c>
      <c r="AF1364">
        <f t="shared" si="232"/>
        <v>0</v>
      </c>
      <c r="AG1364">
        <f t="shared" si="237"/>
        <v>1</v>
      </c>
      <c r="AH1364">
        <f t="shared" si="238"/>
        <v>0</v>
      </c>
      <c r="AI1364">
        <f t="shared" si="239"/>
        <v>0</v>
      </c>
      <c r="AJ1364">
        <f t="shared" si="240"/>
        <v>0</v>
      </c>
      <c r="AK1364">
        <f t="shared" si="233"/>
        <v>0</v>
      </c>
      <c r="AL1364">
        <f t="shared" si="241"/>
        <v>0</v>
      </c>
    </row>
    <row r="1365" spans="1:38">
      <c r="A1365" t="s">
        <v>4222</v>
      </c>
      <c r="B1365" t="s">
        <v>4223</v>
      </c>
      <c r="C1365" s="1">
        <f t="shared" si="234"/>
        <v>45444</v>
      </c>
      <c r="D1365" t="s">
        <v>4224</v>
      </c>
      <c r="E1365">
        <v>202.1</v>
      </c>
      <c r="F1365">
        <v>8.4</v>
      </c>
      <c r="G1365" t="s">
        <v>68</v>
      </c>
      <c r="H1365" t="s">
        <v>69</v>
      </c>
      <c r="I1365" t="s">
        <v>32</v>
      </c>
      <c r="J1365">
        <v>240</v>
      </c>
      <c r="K1365" t="s">
        <v>49</v>
      </c>
      <c r="L1365" t="s">
        <v>96</v>
      </c>
      <c r="M1365" t="s">
        <v>71</v>
      </c>
      <c r="N1365" t="s">
        <v>114</v>
      </c>
      <c r="O1365" t="s">
        <v>51</v>
      </c>
      <c r="P1365" t="s">
        <v>38</v>
      </c>
      <c r="Q1365" t="s">
        <v>39</v>
      </c>
      <c r="R1365">
        <v>3</v>
      </c>
      <c r="S1365" t="s">
        <v>39</v>
      </c>
      <c r="T1365">
        <v>9</v>
      </c>
      <c r="U1365">
        <v>3</v>
      </c>
      <c r="V1365">
        <v>2.2000000000000002</v>
      </c>
      <c r="W1365" t="s">
        <v>39</v>
      </c>
      <c r="X1365" t="s">
        <v>52</v>
      </c>
      <c r="Y1365" t="s">
        <v>39</v>
      </c>
      <c r="Z1365" t="s">
        <v>73</v>
      </c>
      <c r="AA1365" t="s">
        <v>82</v>
      </c>
      <c r="AB1365" t="s">
        <v>55</v>
      </c>
      <c r="AC1365">
        <f t="shared" si="231"/>
        <v>1</v>
      </c>
      <c r="AD1365" s="12">
        <f t="shared" si="235"/>
        <v>0</v>
      </c>
      <c r="AE1365" s="12">
        <f t="shared" si="236"/>
        <v>0</v>
      </c>
      <c r="AF1365">
        <f t="shared" si="232"/>
        <v>1</v>
      </c>
      <c r="AG1365">
        <f t="shared" si="237"/>
        <v>0</v>
      </c>
      <c r="AH1365">
        <f t="shared" si="238"/>
        <v>0</v>
      </c>
      <c r="AI1365">
        <f t="shared" si="239"/>
        <v>0</v>
      </c>
      <c r="AJ1365">
        <f t="shared" si="240"/>
        <v>1</v>
      </c>
      <c r="AK1365">
        <f t="shared" si="233"/>
        <v>0</v>
      </c>
      <c r="AL1365">
        <f t="shared" si="241"/>
        <v>0</v>
      </c>
    </row>
    <row r="1366" spans="1:38">
      <c r="A1366" t="s">
        <v>4225</v>
      </c>
      <c r="B1366" t="s">
        <v>4226</v>
      </c>
      <c r="C1366" s="1">
        <f t="shared" si="234"/>
        <v>45505</v>
      </c>
      <c r="D1366" t="s">
        <v>4227</v>
      </c>
      <c r="E1366">
        <v>78.3</v>
      </c>
      <c r="F1366">
        <v>3.3</v>
      </c>
      <c r="G1366" t="s">
        <v>87</v>
      </c>
      <c r="H1366" t="s">
        <v>183</v>
      </c>
      <c r="I1366" t="s">
        <v>48</v>
      </c>
      <c r="J1366">
        <v>120</v>
      </c>
      <c r="K1366" t="s">
        <v>49</v>
      </c>
      <c r="L1366" t="s">
        <v>113</v>
      </c>
      <c r="M1366" t="s">
        <v>35</v>
      </c>
      <c r="N1366" t="s">
        <v>138</v>
      </c>
      <c r="O1366" t="s">
        <v>51</v>
      </c>
      <c r="P1366" t="s">
        <v>38</v>
      </c>
      <c r="Q1366" t="s">
        <v>38</v>
      </c>
      <c r="R1366">
        <v>1</v>
      </c>
      <c r="S1366" t="s">
        <v>39</v>
      </c>
      <c r="T1366">
        <v>10</v>
      </c>
      <c r="U1366">
        <v>3.5</v>
      </c>
      <c r="V1366">
        <v>37.700000000000003</v>
      </c>
      <c r="W1366" t="s">
        <v>38</v>
      </c>
      <c r="X1366" t="s">
        <v>40</v>
      </c>
      <c r="Y1366" t="s">
        <v>38</v>
      </c>
      <c r="Z1366" t="s">
        <v>64</v>
      </c>
      <c r="AA1366" t="s">
        <v>103</v>
      </c>
      <c r="AB1366" t="s">
        <v>43</v>
      </c>
      <c r="AC1366">
        <f t="shared" si="231"/>
        <v>0</v>
      </c>
      <c r="AD1366" s="12">
        <f t="shared" si="235"/>
        <v>0</v>
      </c>
      <c r="AE1366" s="12">
        <f t="shared" si="236"/>
        <v>0</v>
      </c>
      <c r="AF1366">
        <f t="shared" si="232"/>
        <v>1</v>
      </c>
      <c r="AG1366">
        <f t="shared" si="237"/>
        <v>0</v>
      </c>
      <c r="AH1366">
        <f t="shared" si="238"/>
        <v>1</v>
      </c>
      <c r="AI1366">
        <f t="shared" si="239"/>
        <v>0</v>
      </c>
      <c r="AJ1366">
        <f t="shared" si="240"/>
        <v>0</v>
      </c>
      <c r="AK1366">
        <f t="shared" si="233"/>
        <v>0</v>
      </c>
      <c r="AL1366">
        <f t="shared" si="241"/>
        <v>1</v>
      </c>
    </row>
    <row r="1367" spans="1:38">
      <c r="A1367" t="s">
        <v>4228</v>
      </c>
      <c r="B1367" t="s">
        <v>4229</v>
      </c>
      <c r="C1367" s="1">
        <f t="shared" si="234"/>
        <v>45383</v>
      </c>
      <c r="D1367" t="s">
        <v>4230</v>
      </c>
      <c r="E1367">
        <v>271.60000000000002</v>
      </c>
      <c r="F1367">
        <v>11.3</v>
      </c>
      <c r="G1367" t="s">
        <v>93</v>
      </c>
      <c r="H1367" t="s">
        <v>291</v>
      </c>
      <c r="I1367" t="s">
        <v>32</v>
      </c>
      <c r="J1367">
        <v>240</v>
      </c>
      <c r="K1367" t="s">
        <v>33</v>
      </c>
      <c r="L1367" t="s">
        <v>113</v>
      </c>
      <c r="M1367" t="s">
        <v>35</v>
      </c>
      <c r="N1367" t="s">
        <v>144</v>
      </c>
      <c r="O1367" t="s">
        <v>51</v>
      </c>
      <c r="P1367" t="s">
        <v>38</v>
      </c>
      <c r="Q1367" t="s">
        <v>38</v>
      </c>
      <c r="R1367">
        <v>1</v>
      </c>
      <c r="S1367" t="s">
        <v>38</v>
      </c>
      <c r="T1367">
        <v>5</v>
      </c>
      <c r="U1367">
        <v>5.6</v>
      </c>
      <c r="V1367">
        <v>2.2000000000000002</v>
      </c>
      <c r="W1367" t="s">
        <v>39</v>
      </c>
      <c r="X1367" t="s">
        <v>123</v>
      </c>
      <c r="Y1367" t="s">
        <v>39</v>
      </c>
      <c r="Z1367" t="s">
        <v>64</v>
      </c>
      <c r="AA1367" t="s">
        <v>109</v>
      </c>
      <c r="AB1367" t="s">
        <v>83</v>
      </c>
      <c r="AC1367">
        <f t="shared" si="231"/>
        <v>0</v>
      </c>
      <c r="AD1367" s="12">
        <f t="shared" si="235"/>
        <v>0</v>
      </c>
      <c r="AE1367" s="12">
        <f t="shared" si="236"/>
        <v>1</v>
      </c>
      <c r="AF1367">
        <f t="shared" si="232"/>
        <v>1</v>
      </c>
      <c r="AG1367">
        <f t="shared" si="237"/>
        <v>0</v>
      </c>
      <c r="AH1367">
        <f t="shared" si="238"/>
        <v>0</v>
      </c>
      <c r="AI1367">
        <f t="shared" si="239"/>
        <v>0</v>
      </c>
      <c r="AJ1367">
        <f t="shared" si="240"/>
        <v>1</v>
      </c>
      <c r="AK1367">
        <f t="shared" si="233"/>
        <v>0</v>
      </c>
      <c r="AL1367">
        <f t="shared" si="241"/>
        <v>0</v>
      </c>
    </row>
    <row r="1368" spans="1:38">
      <c r="A1368" t="s">
        <v>4231</v>
      </c>
      <c r="B1368" t="s">
        <v>4232</v>
      </c>
      <c r="C1368" s="1">
        <f t="shared" si="234"/>
        <v>45597</v>
      </c>
      <c r="D1368" t="s">
        <v>4233</v>
      </c>
      <c r="E1368">
        <v>113.1</v>
      </c>
      <c r="F1368">
        <v>4.7</v>
      </c>
      <c r="G1368" t="s">
        <v>59</v>
      </c>
      <c r="H1368" t="s">
        <v>60</v>
      </c>
      <c r="I1368" t="s">
        <v>48</v>
      </c>
      <c r="J1368">
        <v>120</v>
      </c>
      <c r="K1368" t="s">
        <v>49</v>
      </c>
      <c r="L1368" t="s">
        <v>70</v>
      </c>
      <c r="M1368" t="s">
        <v>35</v>
      </c>
      <c r="N1368" t="s">
        <v>50</v>
      </c>
      <c r="O1368" t="s">
        <v>37</v>
      </c>
      <c r="P1368" t="s">
        <v>38</v>
      </c>
      <c r="Q1368" t="s">
        <v>38</v>
      </c>
      <c r="R1368">
        <v>1</v>
      </c>
      <c r="S1368" t="s">
        <v>38</v>
      </c>
      <c r="T1368">
        <v>6</v>
      </c>
      <c r="U1368">
        <v>2.8</v>
      </c>
      <c r="V1368">
        <v>11.1</v>
      </c>
      <c r="W1368" t="s">
        <v>39</v>
      </c>
      <c r="X1368" t="s">
        <v>63</v>
      </c>
      <c r="Y1368" t="s">
        <v>38</v>
      </c>
      <c r="Z1368" t="s">
        <v>53</v>
      </c>
      <c r="AA1368" t="s">
        <v>42</v>
      </c>
      <c r="AB1368" t="s">
        <v>83</v>
      </c>
      <c r="AC1368">
        <f t="shared" si="231"/>
        <v>0</v>
      </c>
      <c r="AD1368" s="12">
        <f t="shared" si="235"/>
        <v>1</v>
      </c>
      <c r="AE1368" s="12">
        <f t="shared" si="236"/>
        <v>0</v>
      </c>
      <c r="AF1368">
        <f t="shared" si="232"/>
        <v>0</v>
      </c>
      <c r="AG1368">
        <f t="shared" si="237"/>
        <v>0</v>
      </c>
      <c r="AH1368">
        <f t="shared" si="238"/>
        <v>1</v>
      </c>
      <c r="AI1368">
        <f t="shared" si="239"/>
        <v>0</v>
      </c>
      <c r="AJ1368">
        <f t="shared" si="240"/>
        <v>0</v>
      </c>
      <c r="AK1368">
        <f t="shared" si="233"/>
        <v>0</v>
      </c>
      <c r="AL1368">
        <f t="shared" si="241"/>
        <v>1</v>
      </c>
    </row>
    <row r="1369" spans="1:38">
      <c r="A1369" t="s">
        <v>4234</v>
      </c>
      <c r="B1369" t="s">
        <v>4235</v>
      </c>
      <c r="C1369" s="1">
        <f t="shared" si="234"/>
        <v>45566</v>
      </c>
      <c r="D1369" t="s">
        <v>4236</v>
      </c>
      <c r="E1369">
        <v>219.6</v>
      </c>
      <c r="F1369">
        <v>9.1999999999999993</v>
      </c>
      <c r="G1369" t="s">
        <v>142</v>
      </c>
      <c r="H1369" t="s">
        <v>143</v>
      </c>
      <c r="I1369" t="s">
        <v>32</v>
      </c>
      <c r="J1369">
        <v>240</v>
      </c>
      <c r="K1369" t="s">
        <v>49</v>
      </c>
      <c r="L1369" t="s">
        <v>34</v>
      </c>
      <c r="M1369" t="s">
        <v>35</v>
      </c>
      <c r="N1369" t="s">
        <v>138</v>
      </c>
      <c r="O1369" t="s">
        <v>51</v>
      </c>
      <c r="P1369" t="s">
        <v>38</v>
      </c>
      <c r="Q1369" t="s">
        <v>38</v>
      </c>
      <c r="R1369">
        <v>1</v>
      </c>
      <c r="S1369" t="s">
        <v>39</v>
      </c>
      <c r="T1369">
        <v>7</v>
      </c>
      <c r="U1369">
        <v>2.6</v>
      </c>
      <c r="V1369">
        <v>29</v>
      </c>
      <c r="W1369" t="s">
        <v>39</v>
      </c>
      <c r="X1369" t="s">
        <v>123</v>
      </c>
      <c r="Y1369" t="s">
        <v>39</v>
      </c>
      <c r="Z1369" t="s">
        <v>179</v>
      </c>
      <c r="AA1369" t="s">
        <v>42</v>
      </c>
      <c r="AB1369" t="s">
        <v>83</v>
      </c>
      <c r="AC1369">
        <f t="shared" si="231"/>
        <v>0</v>
      </c>
      <c r="AD1369" s="12">
        <f t="shared" si="235"/>
        <v>0</v>
      </c>
      <c r="AE1369" s="12">
        <f t="shared" si="236"/>
        <v>1</v>
      </c>
      <c r="AF1369">
        <f t="shared" si="232"/>
        <v>1</v>
      </c>
      <c r="AG1369">
        <f t="shared" si="237"/>
        <v>0</v>
      </c>
      <c r="AH1369">
        <f t="shared" si="238"/>
        <v>0</v>
      </c>
      <c r="AI1369">
        <f t="shared" si="239"/>
        <v>0</v>
      </c>
      <c r="AJ1369">
        <f t="shared" si="240"/>
        <v>1</v>
      </c>
      <c r="AK1369">
        <f t="shared" si="233"/>
        <v>0</v>
      </c>
      <c r="AL1369">
        <f t="shared" si="241"/>
        <v>0</v>
      </c>
    </row>
    <row r="1370" spans="1:38">
      <c r="A1370" t="s">
        <v>4237</v>
      </c>
      <c r="B1370" t="s">
        <v>4238</v>
      </c>
      <c r="C1370" s="1">
        <f t="shared" si="234"/>
        <v>45597</v>
      </c>
      <c r="D1370" t="s">
        <v>4239</v>
      </c>
      <c r="E1370">
        <v>287.60000000000002</v>
      </c>
      <c r="F1370">
        <v>12</v>
      </c>
      <c r="G1370" t="s">
        <v>93</v>
      </c>
      <c r="H1370" t="s">
        <v>291</v>
      </c>
      <c r="I1370" t="s">
        <v>79</v>
      </c>
      <c r="J1370">
        <v>360</v>
      </c>
      <c r="K1370" t="s">
        <v>49</v>
      </c>
      <c r="L1370" t="s">
        <v>70</v>
      </c>
      <c r="M1370" t="s">
        <v>35</v>
      </c>
      <c r="N1370" t="s">
        <v>299</v>
      </c>
      <c r="O1370" t="s">
        <v>51</v>
      </c>
      <c r="P1370" t="s">
        <v>38</v>
      </c>
      <c r="Q1370" t="s">
        <v>38</v>
      </c>
      <c r="R1370">
        <v>1</v>
      </c>
      <c r="S1370" t="s">
        <v>38</v>
      </c>
      <c r="T1370">
        <v>5</v>
      </c>
      <c r="U1370">
        <v>1.2</v>
      </c>
      <c r="V1370">
        <v>27.4</v>
      </c>
      <c r="W1370" t="s">
        <v>39</v>
      </c>
      <c r="X1370" t="s">
        <v>52</v>
      </c>
      <c r="Y1370" t="s">
        <v>38</v>
      </c>
      <c r="Z1370" t="s">
        <v>64</v>
      </c>
      <c r="AA1370" t="s">
        <v>54</v>
      </c>
      <c r="AB1370" t="s">
        <v>83</v>
      </c>
      <c r="AC1370">
        <f t="shared" si="231"/>
        <v>1</v>
      </c>
      <c r="AD1370" s="12">
        <f t="shared" si="235"/>
        <v>0</v>
      </c>
      <c r="AE1370" s="12">
        <f t="shared" si="236"/>
        <v>0</v>
      </c>
      <c r="AF1370">
        <f t="shared" si="232"/>
        <v>1</v>
      </c>
      <c r="AG1370">
        <f t="shared" si="237"/>
        <v>0</v>
      </c>
      <c r="AH1370">
        <f t="shared" si="238"/>
        <v>0</v>
      </c>
      <c r="AI1370">
        <f t="shared" si="239"/>
        <v>0</v>
      </c>
      <c r="AJ1370">
        <f t="shared" si="240"/>
        <v>0</v>
      </c>
      <c r="AK1370">
        <f t="shared" si="233"/>
        <v>0</v>
      </c>
      <c r="AL1370">
        <f t="shared" si="241"/>
        <v>1</v>
      </c>
    </row>
    <row r="1371" spans="1:38">
      <c r="A1371" t="s">
        <v>4240</v>
      </c>
      <c r="B1371" t="s">
        <v>4241</v>
      </c>
      <c r="C1371" s="1">
        <f t="shared" si="234"/>
        <v>45444</v>
      </c>
      <c r="D1371" t="s">
        <v>4242</v>
      </c>
      <c r="E1371">
        <v>204.1</v>
      </c>
      <c r="F1371">
        <v>8.5</v>
      </c>
      <c r="G1371" t="s">
        <v>30</v>
      </c>
      <c r="H1371" t="s">
        <v>172</v>
      </c>
      <c r="I1371" t="s">
        <v>32</v>
      </c>
      <c r="J1371">
        <v>240</v>
      </c>
      <c r="K1371" t="s">
        <v>49</v>
      </c>
      <c r="L1371" t="s">
        <v>70</v>
      </c>
      <c r="M1371" t="s">
        <v>35</v>
      </c>
      <c r="N1371" t="s">
        <v>202</v>
      </c>
      <c r="O1371" t="s">
        <v>7232</v>
      </c>
      <c r="P1371" t="s">
        <v>38</v>
      </c>
      <c r="Q1371" t="s">
        <v>38</v>
      </c>
      <c r="R1371">
        <v>1</v>
      </c>
      <c r="S1371" t="s">
        <v>38</v>
      </c>
      <c r="T1371">
        <v>7</v>
      </c>
      <c r="U1371">
        <v>3.5</v>
      </c>
      <c r="V1371">
        <v>12.2</v>
      </c>
      <c r="W1371" t="s">
        <v>39</v>
      </c>
      <c r="X1371" t="s">
        <v>52</v>
      </c>
      <c r="Y1371" t="s">
        <v>39</v>
      </c>
      <c r="Z1371" t="s">
        <v>81</v>
      </c>
      <c r="AA1371" t="s">
        <v>103</v>
      </c>
      <c r="AB1371" t="s">
        <v>83</v>
      </c>
      <c r="AC1371">
        <f t="shared" si="231"/>
        <v>1</v>
      </c>
      <c r="AD1371" s="12">
        <f t="shared" si="235"/>
        <v>0</v>
      </c>
      <c r="AE1371" s="12">
        <f t="shared" si="236"/>
        <v>0</v>
      </c>
      <c r="AF1371">
        <f t="shared" si="232"/>
        <v>0</v>
      </c>
      <c r="AG1371">
        <f t="shared" si="237"/>
        <v>1</v>
      </c>
      <c r="AH1371">
        <f t="shared" si="238"/>
        <v>0</v>
      </c>
      <c r="AI1371">
        <f t="shared" si="239"/>
        <v>0</v>
      </c>
      <c r="AJ1371">
        <f t="shared" si="240"/>
        <v>1</v>
      </c>
      <c r="AK1371">
        <f t="shared" si="233"/>
        <v>1</v>
      </c>
      <c r="AL1371">
        <f t="shared" si="241"/>
        <v>0</v>
      </c>
    </row>
    <row r="1372" spans="1:38">
      <c r="A1372" t="s">
        <v>4243</v>
      </c>
      <c r="B1372" t="s">
        <v>4244</v>
      </c>
      <c r="C1372" s="1">
        <f t="shared" si="234"/>
        <v>45444</v>
      </c>
      <c r="D1372" t="s">
        <v>4245</v>
      </c>
      <c r="E1372">
        <v>636.9</v>
      </c>
      <c r="F1372">
        <v>26.5</v>
      </c>
      <c r="G1372" t="s">
        <v>87</v>
      </c>
      <c r="H1372" t="s">
        <v>88</v>
      </c>
      <c r="I1372" t="s">
        <v>32</v>
      </c>
      <c r="J1372">
        <v>240</v>
      </c>
      <c r="K1372" t="s">
        <v>33</v>
      </c>
      <c r="L1372" t="s">
        <v>70</v>
      </c>
      <c r="M1372" t="s">
        <v>35</v>
      </c>
      <c r="N1372" t="s">
        <v>202</v>
      </c>
      <c r="O1372" t="s">
        <v>51</v>
      </c>
      <c r="P1372" t="s">
        <v>38</v>
      </c>
      <c r="Q1372" t="s">
        <v>38</v>
      </c>
      <c r="R1372">
        <v>1</v>
      </c>
      <c r="S1372" t="s">
        <v>38</v>
      </c>
      <c r="T1372">
        <v>6</v>
      </c>
      <c r="U1372">
        <v>0.4</v>
      </c>
      <c r="V1372">
        <v>43.8</v>
      </c>
      <c r="W1372" t="s">
        <v>39</v>
      </c>
      <c r="X1372" t="s">
        <v>123</v>
      </c>
      <c r="Y1372" t="s">
        <v>38</v>
      </c>
      <c r="Z1372" t="s">
        <v>41</v>
      </c>
      <c r="AA1372" t="s">
        <v>109</v>
      </c>
      <c r="AB1372" t="s">
        <v>55</v>
      </c>
      <c r="AC1372">
        <f t="shared" si="231"/>
        <v>0</v>
      </c>
      <c r="AD1372" s="12">
        <f t="shared" si="235"/>
        <v>0</v>
      </c>
      <c r="AE1372" s="12">
        <f t="shared" si="236"/>
        <v>1</v>
      </c>
      <c r="AF1372">
        <f t="shared" si="232"/>
        <v>1</v>
      </c>
      <c r="AG1372">
        <f t="shared" si="237"/>
        <v>0</v>
      </c>
      <c r="AH1372">
        <f t="shared" si="238"/>
        <v>0</v>
      </c>
      <c r="AI1372">
        <f t="shared" si="239"/>
        <v>0</v>
      </c>
      <c r="AJ1372">
        <f t="shared" si="240"/>
        <v>1</v>
      </c>
      <c r="AK1372">
        <f t="shared" si="233"/>
        <v>0</v>
      </c>
      <c r="AL1372">
        <f t="shared" si="241"/>
        <v>1</v>
      </c>
    </row>
    <row r="1373" spans="1:38">
      <c r="A1373" t="s">
        <v>4246</v>
      </c>
      <c r="B1373" t="s">
        <v>4247</v>
      </c>
      <c r="C1373" s="1">
        <f t="shared" si="234"/>
        <v>45444</v>
      </c>
      <c r="D1373" t="s">
        <v>4248</v>
      </c>
      <c r="E1373">
        <v>113.9</v>
      </c>
      <c r="F1373">
        <v>4.7</v>
      </c>
      <c r="G1373" t="s">
        <v>30</v>
      </c>
      <c r="H1373" t="s">
        <v>172</v>
      </c>
      <c r="I1373" t="s">
        <v>48</v>
      </c>
      <c r="J1373">
        <v>120</v>
      </c>
      <c r="K1373" t="s">
        <v>49</v>
      </c>
      <c r="L1373" t="s">
        <v>70</v>
      </c>
      <c r="M1373" t="s">
        <v>35</v>
      </c>
      <c r="N1373" t="s">
        <v>128</v>
      </c>
      <c r="O1373" t="s">
        <v>37</v>
      </c>
      <c r="P1373" t="s">
        <v>38</v>
      </c>
      <c r="Q1373" t="s">
        <v>38</v>
      </c>
      <c r="R1373">
        <v>1</v>
      </c>
      <c r="S1373" t="s">
        <v>39</v>
      </c>
      <c r="T1373">
        <v>7</v>
      </c>
      <c r="U1373">
        <v>0.7</v>
      </c>
      <c r="V1373">
        <v>9.6</v>
      </c>
      <c r="W1373" t="s">
        <v>39</v>
      </c>
      <c r="X1373" t="s">
        <v>63</v>
      </c>
      <c r="Y1373" t="s">
        <v>39</v>
      </c>
      <c r="Z1373" t="s">
        <v>115</v>
      </c>
      <c r="AA1373" t="s">
        <v>54</v>
      </c>
      <c r="AB1373" t="s">
        <v>55</v>
      </c>
      <c r="AC1373">
        <f t="shared" si="231"/>
        <v>0</v>
      </c>
      <c r="AD1373" s="12">
        <f t="shared" si="235"/>
        <v>1</v>
      </c>
      <c r="AE1373" s="12">
        <f t="shared" si="236"/>
        <v>0</v>
      </c>
      <c r="AF1373">
        <f t="shared" si="232"/>
        <v>0</v>
      </c>
      <c r="AG1373">
        <f t="shared" si="237"/>
        <v>0</v>
      </c>
      <c r="AH1373">
        <f t="shared" si="238"/>
        <v>1</v>
      </c>
      <c r="AI1373">
        <f t="shared" si="239"/>
        <v>0</v>
      </c>
      <c r="AJ1373">
        <f t="shared" si="240"/>
        <v>0</v>
      </c>
      <c r="AK1373">
        <f t="shared" si="233"/>
        <v>1</v>
      </c>
      <c r="AL1373">
        <f t="shared" si="241"/>
        <v>0</v>
      </c>
    </row>
    <row r="1374" spans="1:38">
      <c r="A1374" t="s">
        <v>4249</v>
      </c>
      <c r="B1374" t="s">
        <v>4250</v>
      </c>
      <c r="C1374" s="1">
        <f t="shared" si="234"/>
        <v>45536</v>
      </c>
      <c r="D1374" t="s">
        <v>4251</v>
      </c>
      <c r="E1374">
        <v>184.6</v>
      </c>
      <c r="F1374">
        <v>7.7</v>
      </c>
      <c r="G1374" t="s">
        <v>59</v>
      </c>
      <c r="H1374" t="s">
        <v>132</v>
      </c>
      <c r="I1374" t="s">
        <v>32</v>
      </c>
      <c r="J1374">
        <v>240</v>
      </c>
      <c r="K1374" t="s">
        <v>49</v>
      </c>
      <c r="L1374" t="s">
        <v>70</v>
      </c>
      <c r="M1374" t="s">
        <v>71</v>
      </c>
      <c r="N1374" t="s">
        <v>168</v>
      </c>
      <c r="O1374" t="s">
        <v>7232</v>
      </c>
      <c r="P1374" t="s">
        <v>38</v>
      </c>
      <c r="Q1374" t="s">
        <v>39</v>
      </c>
      <c r="R1374">
        <v>1</v>
      </c>
      <c r="S1374" t="s">
        <v>38</v>
      </c>
      <c r="T1374">
        <v>9</v>
      </c>
      <c r="U1374">
        <v>0.8</v>
      </c>
      <c r="V1374">
        <v>14.3</v>
      </c>
      <c r="W1374" t="s">
        <v>39</v>
      </c>
      <c r="X1374" t="s">
        <v>52</v>
      </c>
      <c r="Y1374" t="s">
        <v>39</v>
      </c>
      <c r="Z1374" t="s">
        <v>41</v>
      </c>
      <c r="AA1374" t="s">
        <v>54</v>
      </c>
      <c r="AB1374" t="s">
        <v>83</v>
      </c>
      <c r="AC1374">
        <f t="shared" si="231"/>
        <v>1</v>
      </c>
      <c r="AD1374" s="12">
        <f t="shared" si="235"/>
        <v>0</v>
      </c>
      <c r="AE1374" s="12">
        <f t="shared" si="236"/>
        <v>0</v>
      </c>
      <c r="AF1374">
        <f t="shared" si="232"/>
        <v>0</v>
      </c>
      <c r="AG1374">
        <f t="shared" si="237"/>
        <v>1</v>
      </c>
      <c r="AH1374">
        <f t="shared" si="238"/>
        <v>0</v>
      </c>
      <c r="AI1374">
        <f t="shared" si="239"/>
        <v>0</v>
      </c>
      <c r="AJ1374">
        <f t="shared" si="240"/>
        <v>1</v>
      </c>
      <c r="AK1374">
        <f t="shared" si="233"/>
        <v>0</v>
      </c>
      <c r="AL1374">
        <f t="shared" si="241"/>
        <v>0</v>
      </c>
    </row>
    <row r="1375" spans="1:38">
      <c r="A1375" t="s">
        <v>4252</v>
      </c>
      <c r="B1375" t="s">
        <v>4253</v>
      </c>
      <c r="C1375" s="1">
        <f t="shared" si="234"/>
        <v>45597</v>
      </c>
      <c r="D1375" t="s">
        <v>4254</v>
      </c>
      <c r="E1375">
        <v>112.1</v>
      </c>
      <c r="F1375">
        <v>4.7</v>
      </c>
      <c r="G1375" t="s">
        <v>59</v>
      </c>
      <c r="H1375" t="s">
        <v>60</v>
      </c>
      <c r="I1375" t="s">
        <v>48</v>
      </c>
      <c r="J1375">
        <v>120</v>
      </c>
      <c r="K1375" t="s">
        <v>49</v>
      </c>
      <c r="L1375" t="s">
        <v>70</v>
      </c>
      <c r="M1375" t="s">
        <v>71</v>
      </c>
      <c r="N1375" t="s">
        <v>119</v>
      </c>
      <c r="O1375" t="s">
        <v>37</v>
      </c>
      <c r="P1375" t="s">
        <v>38</v>
      </c>
      <c r="Q1375" t="s">
        <v>39</v>
      </c>
      <c r="R1375">
        <v>3</v>
      </c>
      <c r="S1375" t="s">
        <v>38</v>
      </c>
      <c r="T1375">
        <v>8</v>
      </c>
      <c r="U1375">
        <v>1.5</v>
      </c>
      <c r="V1375">
        <v>3.4</v>
      </c>
      <c r="W1375" t="s">
        <v>39</v>
      </c>
      <c r="X1375" t="s">
        <v>63</v>
      </c>
      <c r="Y1375" t="s">
        <v>38</v>
      </c>
      <c r="Z1375" t="s">
        <v>81</v>
      </c>
      <c r="AA1375" t="s">
        <v>103</v>
      </c>
      <c r="AB1375" t="s">
        <v>83</v>
      </c>
      <c r="AC1375">
        <f t="shared" si="231"/>
        <v>0</v>
      </c>
      <c r="AD1375" s="12">
        <f t="shared" si="235"/>
        <v>1</v>
      </c>
      <c r="AE1375" s="12">
        <f t="shared" si="236"/>
        <v>0</v>
      </c>
      <c r="AF1375">
        <f t="shared" si="232"/>
        <v>0</v>
      </c>
      <c r="AG1375">
        <f t="shared" si="237"/>
        <v>0</v>
      </c>
      <c r="AH1375">
        <f t="shared" si="238"/>
        <v>1</v>
      </c>
      <c r="AI1375">
        <f t="shared" si="239"/>
        <v>0</v>
      </c>
      <c r="AJ1375">
        <f t="shared" si="240"/>
        <v>0</v>
      </c>
      <c r="AK1375">
        <f t="shared" si="233"/>
        <v>0</v>
      </c>
      <c r="AL1375">
        <f t="shared" si="241"/>
        <v>1</v>
      </c>
    </row>
    <row r="1376" spans="1:38">
      <c r="A1376" t="s">
        <v>4255</v>
      </c>
      <c r="B1376" t="s">
        <v>4256</v>
      </c>
      <c r="C1376" s="1">
        <f t="shared" si="234"/>
        <v>45383</v>
      </c>
      <c r="D1376" t="s">
        <v>4257</v>
      </c>
      <c r="E1376">
        <v>291</v>
      </c>
      <c r="F1376">
        <v>12.1</v>
      </c>
      <c r="G1376" t="s">
        <v>101</v>
      </c>
      <c r="H1376" t="s">
        <v>102</v>
      </c>
      <c r="I1376" t="s">
        <v>32</v>
      </c>
      <c r="J1376">
        <v>240</v>
      </c>
      <c r="K1376" t="s">
        <v>33</v>
      </c>
      <c r="L1376" t="s">
        <v>113</v>
      </c>
      <c r="M1376" t="s">
        <v>35</v>
      </c>
      <c r="N1376" t="s">
        <v>128</v>
      </c>
      <c r="O1376" t="s">
        <v>7232</v>
      </c>
      <c r="P1376" t="s">
        <v>38</v>
      </c>
      <c r="Q1376" t="s">
        <v>38</v>
      </c>
      <c r="R1376">
        <v>1</v>
      </c>
      <c r="S1376" t="s">
        <v>38</v>
      </c>
      <c r="T1376">
        <v>5</v>
      </c>
      <c r="U1376">
        <v>5</v>
      </c>
      <c r="V1376">
        <v>0.6</v>
      </c>
      <c r="W1376" t="s">
        <v>39</v>
      </c>
      <c r="X1376" t="s">
        <v>123</v>
      </c>
      <c r="Y1376" t="s">
        <v>39</v>
      </c>
      <c r="Z1376" t="s">
        <v>108</v>
      </c>
      <c r="AA1376" t="s">
        <v>54</v>
      </c>
      <c r="AB1376" t="s">
        <v>83</v>
      </c>
      <c r="AC1376">
        <f t="shared" si="231"/>
        <v>0</v>
      </c>
      <c r="AD1376" s="12">
        <f t="shared" si="235"/>
        <v>0</v>
      </c>
      <c r="AE1376" s="12">
        <f t="shared" si="236"/>
        <v>1</v>
      </c>
      <c r="AF1376">
        <f t="shared" si="232"/>
        <v>0</v>
      </c>
      <c r="AG1376">
        <f t="shared" si="237"/>
        <v>1</v>
      </c>
      <c r="AH1376">
        <f t="shared" si="238"/>
        <v>0</v>
      </c>
      <c r="AI1376">
        <f t="shared" si="239"/>
        <v>0</v>
      </c>
      <c r="AJ1376">
        <f t="shared" si="240"/>
        <v>1</v>
      </c>
      <c r="AK1376">
        <f t="shared" si="233"/>
        <v>0</v>
      </c>
      <c r="AL1376">
        <f t="shared" si="241"/>
        <v>0</v>
      </c>
    </row>
    <row r="1377" spans="1:38">
      <c r="A1377" t="s">
        <v>4258</v>
      </c>
      <c r="B1377" t="s">
        <v>4259</v>
      </c>
      <c r="C1377" s="1">
        <f t="shared" si="234"/>
        <v>45413</v>
      </c>
      <c r="D1377" t="s">
        <v>4260</v>
      </c>
      <c r="E1377">
        <v>108.2</v>
      </c>
      <c r="F1377">
        <v>4.5</v>
      </c>
      <c r="G1377" t="s">
        <v>68</v>
      </c>
      <c r="H1377" t="s">
        <v>212</v>
      </c>
      <c r="I1377" t="s">
        <v>48</v>
      </c>
      <c r="J1377">
        <v>120</v>
      </c>
      <c r="K1377" t="s">
        <v>49</v>
      </c>
      <c r="L1377" t="s">
        <v>96</v>
      </c>
      <c r="M1377" t="s">
        <v>71</v>
      </c>
      <c r="N1377" t="s">
        <v>61</v>
      </c>
      <c r="O1377" t="s">
        <v>37</v>
      </c>
      <c r="P1377" t="s">
        <v>38</v>
      </c>
      <c r="Q1377" t="s">
        <v>39</v>
      </c>
      <c r="R1377">
        <v>1</v>
      </c>
      <c r="S1377" t="s">
        <v>38</v>
      </c>
      <c r="T1377">
        <v>9</v>
      </c>
      <c r="U1377">
        <v>0.9</v>
      </c>
      <c r="V1377">
        <v>0</v>
      </c>
      <c r="W1377" t="s">
        <v>38</v>
      </c>
      <c r="X1377" t="s">
        <v>123</v>
      </c>
      <c r="Y1377" t="s">
        <v>38</v>
      </c>
      <c r="Z1377" t="s">
        <v>115</v>
      </c>
      <c r="AA1377" t="s">
        <v>109</v>
      </c>
      <c r="AB1377" t="s">
        <v>83</v>
      </c>
      <c r="AC1377">
        <f t="shared" si="231"/>
        <v>0</v>
      </c>
      <c r="AD1377" s="12">
        <f t="shared" si="235"/>
        <v>0</v>
      </c>
      <c r="AE1377" s="12">
        <f t="shared" si="236"/>
        <v>1</v>
      </c>
      <c r="AF1377">
        <f t="shared" si="232"/>
        <v>0</v>
      </c>
      <c r="AG1377">
        <f t="shared" si="237"/>
        <v>0</v>
      </c>
      <c r="AH1377">
        <f t="shared" si="238"/>
        <v>1</v>
      </c>
      <c r="AI1377">
        <f t="shared" si="239"/>
        <v>0</v>
      </c>
      <c r="AJ1377">
        <f t="shared" si="240"/>
        <v>0</v>
      </c>
      <c r="AK1377">
        <f t="shared" si="233"/>
        <v>0</v>
      </c>
      <c r="AL1377">
        <f t="shared" si="241"/>
        <v>1</v>
      </c>
    </row>
    <row r="1378" spans="1:38">
      <c r="A1378" t="s">
        <v>4261</v>
      </c>
      <c r="B1378" t="s">
        <v>4262</v>
      </c>
      <c r="C1378" s="1">
        <f t="shared" si="234"/>
        <v>45505</v>
      </c>
      <c r="D1378" t="s">
        <v>4263</v>
      </c>
      <c r="E1378">
        <v>160.6</v>
      </c>
      <c r="F1378">
        <v>6.7</v>
      </c>
      <c r="G1378" t="s">
        <v>30</v>
      </c>
      <c r="H1378" t="s">
        <v>47</v>
      </c>
      <c r="I1378" t="s">
        <v>32</v>
      </c>
      <c r="J1378">
        <v>240</v>
      </c>
      <c r="K1378" t="s">
        <v>49</v>
      </c>
      <c r="L1378" t="s">
        <v>70</v>
      </c>
      <c r="M1378" t="s">
        <v>35</v>
      </c>
      <c r="N1378" t="s">
        <v>119</v>
      </c>
      <c r="O1378" t="s">
        <v>7232</v>
      </c>
      <c r="P1378" t="s">
        <v>39</v>
      </c>
      <c r="Q1378" t="s">
        <v>38</v>
      </c>
      <c r="R1378">
        <v>0</v>
      </c>
      <c r="S1378" t="s">
        <v>38</v>
      </c>
      <c r="T1378">
        <v>10</v>
      </c>
      <c r="U1378">
        <v>3.1</v>
      </c>
      <c r="V1378">
        <v>0</v>
      </c>
      <c r="W1378" t="s">
        <v>38</v>
      </c>
      <c r="X1378" t="s">
        <v>123</v>
      </c>
      <c r="Y1378" t="s">
        <v>39</v>
      </c>
      <c r="Z1378" t="s">
        <v>41</v>
      </c>
      <c r="AA1378" t="s">
        <v>82</v>
      </c>
      <c r="AB1378" t="s">
        <v>55</v>
      </c>
      <c r="AC1378">
        <f t="shared" si="231"/>
        <v>0</v>
      </c>
      <c r="AD1378" s="12">
        <f t="shared" si="235"/>
        <v>0</v>
      </c>
      <c r="AE1378" s="12">
        <f t="shared" si="236"/>
        <v>1</v>
      </c>
      <c r="AF1378">
        <f t="shared" si="232"/>
        <v>0</v>
      </c>
      <c r="AG1378">
        <f t="shared" si="237"/>
        <v>1</v>
      </c>
      <c r="AH1378">
        <f t="shared" si="238"/>
        <v>0</v>
      </c>
      <c r="AI1378">
        <f t="shared" si="239"/>
        <v>0</v>
      </c>
      <c r="AJ1378">
        <f t="shared" si="240"/>
        <v>1</v>
      </c>
      <c r="AK1378">
        <f t="shared" si="233"/>
        <v>1</v>
      </c>
      <c r="AL1378">
        <f t="shared" si="241"/>
        <v>0</v>
      </c>
    </row>
    <row r="1379" spans="1:38">
      <c r="A1379" t="s">
        <v>4264</v>
      </c>
      <c r="B1379" t="s">
        <v>4265</v>
      </c>
      <c r="C1379" s="1">
        <f t="shared" si="234"/>
        <v>45627</v>
      </c>
      <c r="D1379" t="s">
        <v>4266</v>
      </c>
      <c r="E1379">
        <v>238</v>
      </c>
      <c r="F1379">
        <v>9.9</v>
      </c>
      <c r="G1379" t="s">
        <v>77</v>
      </c>
      <c r="H1379" t="s">
        <v>244</v>
      </c>
      <c r="I1379" t="s">
        <v>79</v>
      </c>
      <c r="J1379">
        <v>360</v>
      </c>
      <c r="K1379" t="s">
        <v>49</v>
      </c>
      <c r="L1379" t="s">
        <v>34</v>
      </c>
      <c r="M1379" t="s">
        <v>35</v>
      </c>
      <c r="N1379" t="s">
        <v>107</v>
      </c>
      <c r="O1379" t="s">
        <v>7232</v>
      </c>
      <c r="P1379" t="s">
        <v>39</v>
      </c>
      <c r="Q1379" t="s">
        <v>38</v>
      </c>
      <c r="R1379">
        <v>0</v>
      </c>
      <c r="S1379" t="s">
        <v>38</v>
      </c>
      <c r="T1379">
        <v>10</v>
      </c>
      <c r="U1379">
        <v>5.3</v>
      </c>
      <c r="V1379">
        <v>18.399999999999999</v>
      </c>
      <c r="W1379" t="s">
        <v>39</v>
      </c>
      <c r="X1379" t="s">
        <v>123</v>
      </c>
      <c r="Y1379" t="s">
        <v>38</v>
      </c>
      <c r="Z1379" t="s">
        <v>53</v>
      </c>
      <c r="AA1379" t="s">
        <v>82</v>
      </c>
      <c r="AB1379" t="s">
        <v>83</v>
      </c>
      <c r="AC1379">
        <f t="shared" si="231"/>
        <v>0</v>
      </c>
      <c r="AD1379" s="12">
        <f t="shared" si="235"/>
        <v>0</v>
      </c>
      <c r="AE1379" s="12">
        <f t="shared" si="236"/>
        <v>1</v>
      </c>
      <c r="AF1379">
        <f t="shared" si="232"/>
        <v>0</v>
      </c>
      <c r="AG1379">
        <f t="shared" si="237"/>
        <v>1</v>
      </c>
      <c r="AH1379">
        <f t="shared" si="238"/>
        <v>0</v>
      </c>
      <c r="AI1379">
        <f t="shared" si="239"/>
        <v>0</v>
      </c>
      <c r="AJ1379">
        <f t="shared" si="240"/>
        <v>0</v>
      </c>
      <c r="AK1379">
        <f t="shared" si="233"/>
        <v>0</v>
      </c>
      <c r="AL1379">
        <f t="shared" si="241"/>
        <v>1</v>
      </c>
    </row>
    <row r="1380" spans="1:38">
      <c r="A1380" t="s">
        <v>4267</v>
      </c>
      <c r="B1380" t="s">
        <v>4268</v>
      </c>
      <c r="C1380" s="1">
        <f t="shared" si="234"/>
        <v>45597</v>
      </c>
      <c r="D1380" t="s">
        <v>4269</v>
      </c>
      <c r="E1380">
        <v>146.6</v>
      </c>
      <c r="F1380">
        <v>6.1</v>
      </c>
      <c r="G1380" t="s">
        <v>142</v>
      </c>
      <c r="H1380" t="s">
        <v>729</v>
      </c>
      <c r="I1380" t="s">
        <v>48</v>
      </c>
      <c r="J1380">
        <v>120</v>
      </c>
      <c r="K1380" t="s">
        <v>33</v>
      </c>
      <c r="L1380" t="s">
        <v>133</v>
      </c>
      <c r="M1380" t="s">
        <v>35</v>
      </c>
      <c r="N1380" t="s">
        <v>36</v>
      </c>
      <c r="O1380" t="s">
        <v>37</v>
      </c>
      <c r="P1380" t="s">
        <v>39</v>
      </c>
      <c r="Q1380" t="s">
        <v>38</v>
      </c>
      <c r="R1380">
        <v>0</v>
      </c>
      <c r="S1380" t="s">
        <v>38</v>
      </c>
      <c r="T1380">
        <v>7</v>
      </c>
      <c r="U1380">
        <v>0.1</v>
      </c>
      <c r="V1380">
        <v>30.9</v>
      </c>
      <c r="W1380" t="s">
        <v>38</v>
      </c>
      <c r="X1380" t="s">
        <v>52</v>
      </c>
      <c r="Y1380" t="s">
        <v>39</v>
      </c>
      <c r="Z1380" t="s">
        <v>41</v>
      </c>
      <c r="AA1380" t="s">
        <v>54</v>
      </c>
      <c r="AB1380" t="s">
        <v>83</v>
      </c>
      <c r="AC1380">
        <f t="shared" si="231"/>
        <v>1</v>
      </c>
      <c r="AD1380" s="12">
        <f t="shared" si="235"/>
        <v>0</v>
      </c>
      <c r="AE1380" s="12">
        <f t="shared" si="236"/>
        <v>0</v>
      </c>
      <c r="AF1380">
        <f t="shared" si="232"/>
        <v>0</v>
      </c>
      <c r="AG1380">
        <f t="shared" si="237"/>
        <v>0</v>
      </c>
      <c r="AH1380">
        <f t="shared" si="238"/>
        <v>1</v>
      </c>
      <c r="AI1380">
        <f t="shared" si="239"/>
        <v>0</v>
      </c>
      <c r="AJ1380">
        <f t="shared" si="240"/>
        <v>0</v>
      </c>
      <c r="AK1380">
        <f t="shared" si="233"/>
        <v>0</v>
      </c>
      <c r="AL1380">
        <f t="shared" si="241"/>
        <v>0</v>
      </c>
    </row>
    <row r="1381" spans="1:38">
      <c r="A1381" t="s">
        <v>4270</v>
      </c>
      <c r="B1381" t="s">
        <v>4271</v>
      </c>
      <c r="C1381" s="1">
        <f t="shared" si="234"/>
        <v>45627</v>
      </c>
      <c r="D1381" t="s">
        <v>4272</v>
      </c>
      <c r="E1381">
        <v>669.2</v>
      </c>
      <c r="F1381">
        <v>27.9</v>
      </c>
      <c r="G1381" t="s">
        <v>142</v>
      </c>
      <c r="H1381" t="s">
        <v>260</v>
      </c>
      <c r="I1381" t="s">
        <v>32</v>
      </c>
      <c r="J1381">
        <v>240</v>
      </c>
      <c r="K1381" t="s">
        <v>33</v>
      </c>
      <c r="L1381" t="s">
        <v>70</v>
      </c>
      <c r="M1381" t="s">
        <v>35</v>
      </c>
      <c r="N1381" t="s">
        <v>144</v>
      </c>
      <c r="O1381" t="s">
        <v>7232</v>
      </c>
      <c r="P1381" t="s">
        <v>39</v>
      </c>
      <c r="Q1381" t="s">
        <v>38</v>
      </c>
      <c r="R1381">
        <v>0</v>
      </c>
      <c r="S1381" t="s">
        <v>38</v>
      </c>
      <c r="T1381">
        <v>8</v>
      </c>
      <c r="U1381">
        <v>4</v>
      </c>
      <c r="V1381">
        <v>29</v>
      </c>
      <c r="W1381" t="s">
        <v>39</v>
      </c>
      <c r="X1381" t="s">
        <v>63</v>
      </c>
      <c r="Y1381" t="s">
        <v>39</v>
      </c>
      <c r="Z1381" t="s">
        <v>64</v>
      </c>
      <c r="AA1381" t="s">
        <v>42</v>
      </c>
      <c r="AB1381" t="s">
        <v>83</v>
      </c>
      <c r="AC1381">
        <f t="shared" si="231"/>
        <v>0</v>
      </c>
      <c r="AD1381" s="12">
        <f t="shared" si="235"/>
        <v>1</v>
      </c>
      <c r="AE1381" s="12">
        <f t="shared" si="236"/>
        <v>0</v>
      </c>
      <c r="AF1381">
        <f t="shared" si="232"/>
        <v>0</v>
      </c>
      <c r="AG1381">
        <f t="shared" si="237"/>
        <v>1</v>
      </c>
      <c r="AH1381">
        <f t="shared" si="238"/>
        <v>0</v>
      </c>
      <c r="AI1381">
        <f t="shared" si="239"/>
        <v>0</v>
      </c>
      <c r="AJ1381">
        <f t="shared" si="240"/>
        <v>1</v>
      </c>
      <c r="AK1381">
        <f t="shared" si="233"/>
        <v>0</v>
      </c>
      <c r="AL1381">
        <f t="shared" si="241"/>
        <v>0</v>
      </c>
    </row>
    <row r="1382" spans="1:38">
      <c r="A1382" t="s">
        <v>4273</v>
      </c>
      <c r="B1382" t="s">
        <v>4274</v>
      </c>
      <c r="C1382" s="1">
        <f t="shared" si="234"/>
        <v>45505</v>
      </c>
      <c r="D1382" t="s">
        <v>4275</v>
      </c>
      <c r="E1382">
        <v>170.5</v>
      </c>
      <c r="F1382">
        <v>7.1</v>
      </c>
      <c r="G1382" t="s">
        <v>30</v>
      </c>
      <c r="H1382" t="s">
        <v>172</v>
      </c>
      <c r="I1382" t="s">
        <v>32</v>
      </c>
      <c r="J1382">
        <v>240</v>
      </c>
      <c r="K1382" t="s">
        <v>49</v>
      </c>
      <c r="L1382" t="s">
        <v>34</v>
      </c>
      <c r="M1382" t="s">
        <v>35</v>
      </c>
      <c r="N1382" t="s">
        <v>134</v>
      </c>
      <c r="O1382" t="s">
        <v>51</v>
      </c>
      <c r="P1382" t="s">
        <v>38</v>
      </c>
      <c r="Q1382" t="s">
        <v>38</v>
      </c>
      <c r="R1382">
        <v>1</v>
      </c>
      <c r="S1382" t="s">
        <v>38</v>
      </c>
      <c r="T1382">
        <v>8</v>
      </c>
      <c r="U1382">
        <v>2</v>
      </c>
      <c r="V1382">
        <v>19.8</v>
      </c>
      <c r="W1382" t="s">
        <v>39</v>
      </c>
      <c r="X1382" t="s">
        <v>63</v>
      </c>
      <c r="Y1382" t="s">
        <v>38</v>
      </c>
      <c r="Z1382" t="s">
        <v>64</v>
      </c>
      <c r="AA1382" t="s">
        <v>103</v>
      </c>
      <c r="AB1382" t="s">
        <v>55</v>
      </c>
      <c r="AC1382">
        <f t="shared" si="231"/>
        <v>0</v>
      </c>
      <c r="AD1382" s="12">
        <f t="shared" si="235"/>
        <v>1</v>
      </c>
      <c r="AE1382" s="12">
        <f t="shared" si="236"/>
        <v>0</v>
      </c>
      <c r="AF1382">
        <f t="shared" si="232"/>
        <v>1</v>
      </c>
      <c r="AG1382">
        <f t="shared" si="237"/>
        <v>0</v>
      </c>
      <c r="AH1382">
        <f t="shared" si="238"/>
        <v>0</v>
      </c>
      <c r="AI1382">
        <f t="shared" si="239"/>
        <v>0</v>
      </c>
      <c r="AJ1382">
        <f t="shared" si="240"/>
        <v>1</v>
      </c>
      <c r="AK1382">
        <f t="shared" si="233"/>
        <v>1</v>
      </c>
      <c r="AL1382">
        <f t="shared" si="241"/>
        <v>1</v>
      </c>
    </row>
    <row r="1383" spans="1:38">
      <c r="A1383" t="s">
        <v>4276</v>
      </c>
      <c r="B1383" t="s">
        <v>4277</v>
      </c>
      <c r="C1383" s="1">
        <f t="shared" si="234"/>
        <v>45627</v>
      </c>
      <c r="D1383" t="s">
        <v>4278</v>
      </c>
      <c r="E1383">
        <v>178</v>
      </c>
      <c r="F1383">
        <v>7.4</v>
      </c>
      <c r="G1383" t="s">
        <v>101</v>
      </c>
      <c r="H1383" t="s">
        <v>295</v>
      </c>
      <c r="I1383" t="s">
        <v>32</v>
      </c>
      <c r="J1383">
        <v>240</v>
      </c>
      <c r="K1383" t="s">
        <v>49</v>
      </c>
      <c r="L1383" t="s">
        <v>113</v>
      </c>
      <c r="M1383" t="s">
        <v>35</v>
      </c>
      <c r="N1383" t="s">
        <v>155</v>
      </c>
      <c r="O1383" t="s">
        <v>37</v>
      </c>
      <c r="P1383" t="s">
        <v>38</v>
      </c>
      <c r="Q1383" t="s">
        <v>38</v>
      </c>
      <c r="R1383">
        <v>1</v>
      </c>
      <c r="S1383" t="s">
        <v>39</v>
      </c>
      <c r="T1383">
        <v>7</v>
      </c>
      <c r="U1383">
        <v>3.9</v>
      </c>
      <c r="V1383">
        <v>20.6</v>
      </c>
      <c r="W1383" t="s">
        <v>39</v>
      </c>
      <c r="X1383" t="s">
        <v>63</v>
      </c>
      <c r="Y1383" t="s">
        <v>39</v>
      </c>
      <c r="Z1383" t="s">
        <v>115</v>
      </c>
      <c r="AA1383" t="s">
        <v>82</v>
      </c>
      <c r="AB1383" t="s">
        <v>55</v>
      </c>
      <c r="AC1383">
        <f t="shared" si="231"/>
        <v>0</v>
      </c>
      <c r="AD1383" s="12">
        <f t="shared" si="235"/>
        <v>1</v>
      </c>
      <c r="AE1383" s="12">
        <f t="shared" si="236"/>
        <v>0</v>
      </c>
      <c r="AF1383">
        <f t="shared" si="232"/>
        <v>0</v>
      </c>
      <c r="AG1383">
        <f t="shared" si="237"/>
        <v>0</v>
      </c>
      <c r="AH1383">
        <f t="shared" si="238"/>
        <v>0</v>
      </c>
      <c r="AI1383">
        <f t="shared" si="239"/>
        <v>0</v>
      </c>
      <c r="AJ1383">
        <f t="shared" si="240"/>
        <v>1</v>
      </c>
      <c r="AK1383">
        <f t="shared" si="233"/>
        <v>0</v>
      </c>
      <c r="AL1383">
        <f t="shared" si="241"/>
        <v>0</v>
      </c>
    </row>
    <row r="1384" spans="1:38">
      <c r="A1384" t="s">
        <v>4279</v>
      </c>
      <c r="B1384" t="s">
        <v>4280</v>
      </c>
      <c r="C1384" s="1">
        <f t="shared" si="234"/>
        <v>45444</v>
      </c>
      <c r="D1384" t="s">
        <v>4281</v>
      </c>
      <c r="E1384">
        <v>94.1</v>
      </c>
      <c r="F1384">
        <v>3.9</v>
      </c>
      <c r="G1384" t="s">
        <v>87</v>
      </c>
      <c r="H1384" t="s">
        <v>309</v>
      </c>
      <c r="I1384" t="s">
        <v>48</v>
      </c>
      <c r="J1384">
        <v>120</v>
      </c>
      <c r="K1384" t="s">
        <v>49</v>
      </c>
      <c r="L1384" t="s">
        <v>96</v>
      </c>
      <c r="M1384" t="s">
        <v>71</v>
      </c>
      <c r="N1384" t="s">
        <v>89</v>
      </c>
      <c r="O1384" t="s">
        <v>37</v>
      </c>
      <c r="P1384" t="s">
        <v>38</v>
      </c>
      <c r="Q1384" t="s">
        <v>39</v>
      </c>
      <c r="R1384">
        <v>4</v>
      </c>
      <c r="S1384" t="s">
        <v>39</v>
      </c>
      <c r="T1384">
        <v>10</v>
      </c>
      <c r="U1384">
        <v>1.1000000000000001</v>
      </c>
      <c r="V1384">
        <v>12.5</v>
      </c>
      <c r="W1384" t="s">
        <v>39</v>
      </c>
      <c r="X1384" t="s">
        <v>123</v>
      </c>
      <c r="Y1384" t="s">
        <v>39</v>
      </c>
      <c r="Z1384" t="s">
        <v>53</v>
      </c>
      <c r="AA1384" t="s">
        <v>42</v>
      </c>
      <c r="AB1384" t="s">
        <v>55</v>
      </c>
      <c r="AC1384">
        <f t="shared" si="231"/>
        <v>0</v>
      </c>
      <c r="AD1384" s="12">
        <f t="shared" si="235"/>
        <v>0</v>
      </c>
      <c r="AE1384" s="12">
        <f t="shared" si="236"/>
        <v>1</v>
      </c>
      <c r="AF1384">
        <f t="shared" si="232"/>
        <v>0</v>
      </c>
      <c r="AG1384">
        <f t="shared" si="237"/>
        <v>0</v>
      </c>
      <c r="AH1384">
        <f t="shared" si="238"/>
        <v>1</v>
      </c>
      <c r="AI1384">
        <f t="shared" si="239"/>
        <v>0</v>
      </c>
      <c r="AJ1384">
        <f t="shared" si="240"/>
        <v>0</v>
      </c>
      <c r="AK1384">
        <f t="shared" si="233"/>
        <v>0</v>
      </c>
      <c r="AL1384">
        <f t="shared" si="241"/>
        <v>0</v>
      </c>
    </row>
    <row r="1385" spans="1:38">
      <c r="A1385" t="s">
        <v>4282</v>
      </c>
      <c r="B1385" t="s">
        <v>4283</v>
      </c>
      <c r="C1385" s="1">
        <f t="shared" si="234"/>
        <v>45383</v>
      </c>
      <c r="D1385" t="s">
        <v>4284</v>
      </c>
      <c r="E1385">
        <v>389.2</v>
      </c>
      <c r="F1385">
        <v>16.2</v>
      </c>
      <c r="G1385" t="s">
        <v>77</v>
      </c>
      <c r="H1385" t="s">
        <v>267</v>
      </c>
      <c r="I1385" t="s">
        <v>79</v>
      </c>
      <c r="J1385">
        <v>360</v>
      </c>
      <c r="K1385" t="s">
        <v>33</v>
      </c>
      <c r="L1385" t="s">
        <v>70</v>
      </c>
      <c r="M1385" t="s">
        <v>35</v>
      </c>
      <c r="N1385" t="s">
        <v>414</v>
      </c>
      <c r="O1385" t="s">
        <v>51</v>
      </c>
      <c r="P1385" t="s">
        <v>39</v>
      </c>
      <c r="Q1385" t="s">
        <v>38</v>
      </c>
      <c r="R1385">
        <v>0</v>
      </c>
      <c r="S1385" t="s">
        <v>38</v>
      </c>
      <c r="T1385">
        <v>10</v>
      </c>
      <c r="U1385">
        <v>3.1</v>
      </c>
      <c r="V1385">
        <v>9</v>
      </c>
      <c r="W1385" t="s">
        <v>39</v>
      </c>
      <c r="X1385" t="s">
        <v>123</v>
      </c>
      <c r="Y1385" t="s">
        <v>39</v>
      </c>
      <c r="Z1385" t="s">
        <v>115</v>
      </c>
      <c r="AA1385" t="s">
        <v>82</v>
      </c>
      <c r="AB1385" t="s">
        <v>55</v>
      </c>
      <c r="AC1385">
        <f t="shared" si="231"/>
        <v>0</v>
      </c>
      <c r="AD1385" s="12">
        <f t="shared" si="235"/>
        <v>0</v>
      </c>
      <c r="AE1385" s="12">
        <f t="shared" si="236"/>
        <v>1</v>
      </c>
      <c r="AF1385">
        <f t="shared" si="232"/>
        <v>1</v>
      </c>
      <c r="AG1385">
        <f t="shared" si="237"/>
        <v>0</v>
      </c>
      <c r="AH1385">
        <f t="shared" si="238"/>
        <v>0</v>
      </c>
      <c r="AI1385">
        <f t="shared" si="239"/>
        <v>0</v>
      </c>
      <c r="AJ1385">
        <f t="shared" si="240"/>
        <v>0</v>
      </c>
      <c r="AK1385">
        <f t="shared" si="233"/>
        <v>0</v>
      </c>
      <c r="AL1385">
        <f t="shared" si="241"/>
        <v>0</v>
      </c>
    </row>
    <row r="1386" spans="1:38">
      <c r="A1386" t="s">
        <v>4285</v>
      </c>
      <c r="B1386" t="s">
        <v>4286</v>
      </c>
      <c r="C1386" s="1">
        <f t="shared" si="234"/>
        <v>45566</v>
      </c>
      <c r="D1386" t="s">
        <v>4287</v>
      </c>
      <c r="E1386">
        <v>93</v>
      </c>
      <c r="F1386">
        <v>3.9</v>
      </c>
      <c r="G1386" t="s">
        <v>59</v>
      </c>
      <c r="H1386" t="s">
        <v>227</v>
      </c>
      <c r="I1386" t="s">
        <v>48</v>
      </c>
      <c r="J1386">
        <v>120</v>
      </c>
      <c r="K1386" t="s">
        <v>49</v>
      </c>
      <c r="L1386" t="s">
        <v>96</v>
      </c>
      <c r="M1386" t="s">
        <v>35</v>
      </c>
      <c r="N1386" t="s">
        <v>138</v>
      </c>
      <c r="O1386" t="s">
        <v>51</v>
      </c>
      <c r="P1386" t="s">
        <v>38</v>
      </c>
      <c r="Q1386" t="s">
        <v>38</v>
      </c>
      <c r="R1386">
        <v>1</v>
      </c>
      <c r="S1386" t="s">
        <v>38</v>
      </c>
      <c r="T1386">
        <v>10</v>
      </c>
      <c r="U1386">
        <v>4.8</v>
      </c>
      <c r="V1386">
        <v>22.8</v>
      </c>
      <c r="W1386" t="s">
        <v>38</v>
      </c>
      <c r="X1386" t="s">
        <v>63</v>
      </c>
      <c r="Y1386" t="s">
        <v>38</v>
      </c>
      <c r="Z1386" t="s">
        <v>179</v>
      </c>
      <c r="AA1386" t="s">
        <v>103</v>
      </c>
      <c r="AB1386" t="s">
        <v>55</v>
      </c>
      <c r="AC1386">
        <f t="shared" si="231"/>
        <v>0</v>
      </c>
      <c r="AD1386" s="12">
        <f t="shared" si="235"/>
        <v>1</v>
      </c>
      <c r="AE1386" s="12">
        <f t="shared" si="236"/>
        <v>0</v>
      </c>
      <c r="AF1386">
        <f t="shared" si="232"/>
        <v>1</v>
      </c>
      <c r="AG1386">
        <f t="shared" si="237"/>
        <v>0</v>
      </c>
      <c r="AH1386">
        <f t="shared" si="238"/>
        <v>1</v>
      </c>
      <c r="AI1386">
        <f t="shared" si="239"/>
        <v>0</v>
      </c>
      <c r="AJ1386">
        <f t="shared" si="240"/>
        <v>0</v>
      </c>
      <c r="AK1386">
        <f t="shared" si="233"/>
        <v>0</v>
      </c>
      <c r="AL1386">
        <f t="shared" si="241"/>
        <v>1</v>
      </c>
    </row>
    <row r="1387" spans="1:38">
      <c r="A1387" t="s">
        <v>4288</v>
      </c>
      <c r="B1387" t="s">
        <v>4289</v>
      </c>
      <c r="C1387" s="1">
        <f t="shared" si="234"/>
        <v>45352</v>
      </c>
      <c r="D1387" t="s">
        <v>4290</v>
      </c>
      <c r="E1387">
        <v>251</v>
      </c>
      <c r="F1387">
        <v>10.5</v>
      </c>
      <c r="G1387" t="s">
        <v>77</v>
      </c>
      <c r="H1387" t="s">
        <v>78</v>
      </c>
      <c r="I1387" t="s">
        <v>79</v>
      </c>
      <c r="J1387">
        <v>360</v>
      </c>
      <c r="K1387" t="s">
        <v>49</v>
      </c>
      <c r="L1387" t="s">
        <v>70</v>
      </c>
      <c r="M1387" t="s">
        <v>35</v>
      </c>
      <c r="N1387" t="s">
        <v>128</v>
      </c>
      <c r="O1387" t="s">
        <v>37</v>
      </c>
      <c r="P1387" t="s">
        <v>39</v>
      </c>
      <c r="Q1387" t="s">
        <v>38</v>
      </c>
      <c r="R1387">
        <v>0</v>
      </c>
      <c r="S1387" t="s">
        <v>38</v>
      </c>
      <c r="T1387">
        <v>10</v>
      </c>
      <c r="U1387">
        <v>3.2</v>
      </c>
      <c r="V1387">
        <v>16.5</v>
      </c>
      <c r="W1387" t="s">
        <v>38</v>
      </c>
      <c r="X1387" t="s">
        <v>63</v>
      </c>
      <c r="Y1387" t="s">
        <v>38</v>
      </c>
      <c r="Z1387" t="s">
        <v>41</v>
      </c>
      <c r="AA1387" t="s">
        <v>109</v>
      </c>
      <c r="AB1387" t="s">
        <v>83</v>
      </c>
      <c r="AC1387">
        <f t="shared" si="231"/>
        <v>0</v>
      </c>
      <c r="AD1387" s="12">
        <f t="shared" si="235"/>
        <v>1</v>
      </c>
      <c r="AE1387" s="12">
        <f t="shared" si="236"/>
        <v>0</v>
      </c>
      <c r="AF1387">
        <f t="shared" si="232"/>
        <v>0</v>
      </c>
      <c r="AG1387">
        <f t="shared" si="237"/>
        <v>0</v>
      </c>
      <c r="AH1387">
        <f t="shared" si="238"/>
        <v>0</v>
      </c>
      <c r="AI1387">
        <f t="shared" si="239"/>
        <v>0</v>
      </c>
      <c r="AJ1387">
        <f t="shared" si="240"/>
        <v>0</v>
      </c>
      <c r="AK1387">
        <f t="shared" si="233"/>
        <v>0</v>
      </c>
      <c r="AL1387">
        <f t="shared" si="241"/>
        <v>1</v>
      </c>
    </row>
    <row r="1388" spans="1:38">
      <c r="A1388" t="s">
        <v>4291</v>
      </c>
      <c r="B1388" t="s">
        <v>4292</v>
      </c>
      <c r="C1388" s="1">
        <f t="shared" si="234"/>
        <v>45323</v>
      </c>
      <c r="D1388" t="s">
        <v>4293</v>
      </c>
      <c r="E1388">
        <v>184.4</v>
      </c>
      <c r="F1388">
        <v>7.7</v>
      </c>
      <c r="G1388" t="s">
        <v>142</v>
      </c>
      <c r="H1388" t="s">
        <v>729</v>
      </c>
      <c r="I1388" t="s">
        <v>32</v>
      </c>
      <c r="J1388">
        <v>240</v>
      </c>
      <c r="K1388" t="s">
        <v>49</v>
      </c>
      <c r="L1388" t="s">
        <v>96</v>
      </c>
      <c r="M1388" t="s">
        <v>35</v>
      </c>
      <c r="N1388" t="s">
        <v>134</v>
      </c>
      <c r="O1388" t="s">
        <v>7232</v>
      </c>
      <c r="P1388" t="s">
        <v>39</v>
      </c>
      <c r="Q1388" t="s">
        <v>38</v>
      </c>
      <c r="R1388">
        <v>0</v>
      </c>
      <c r="S1388" t="s">
        <v>38</v>
      </c>
      <c r="T1388">
        <v>10</v>
      </c>
      <c r="U1388">
        <v>0.1</v>
      </c>
      <c r="V1388">
        <v>1.9</v>
      </c>
      <c r="W1388" t="s">
        <v>39</v>
      </c>
      <c r="X1388" t="s">
        <v>123</v>
      </c>
      <c r="Y1388" t="s">
        <v>39</v>
      </c>
      <c r="Z1388" t="s">
        <v>179</v>
      </c>
      <c r="AA1388" t="s">
        <v>42</v>
      </c>
      <c r="AB1388" t="s">
        <v>83</v>
      </c>
      <c r="AC1388">
        <f t="shared" si="231"/>
        <v>0</v>
      </c>
      <c r="AD1388" s="12">
        <f t="shared" si="235"/>
        <v>0</v>
      </c>
      <c r="AE1388" s="12">
        <f t="shared" si="236"/>
        <v>1</v>
      </c>
      <c r="AF1388">
        <f t="shared" si="232"/>
        <v>0</v>
      </c>
      <c r="AG1388">
        <f t="shared" si="237"/>
        <v>1</v>
      </c>
      <c r="AH1388">
        <f t="shared" si="238"/>
        <v>0</v>
      </c>
      <c r="AI1388">
        <f t="shared" si="239"/>
        <v>0</v>
      </c>
      <c r="AJ1388">
        <f t="shared" si="240"/>
        <v>1</v>
      </c>
      <c r="AK1388">
        <f t="shared" si="233"/>
        <v>0</v>
      </c>
      <c r="AL1388">
        <f t="shared" si="241"/>
        <v>0</v>
      </c>
    </row>
    <row r="1389" spans="1:38">
      <c r="A1389" t="s">
        <v>4294</v>
      </c>
      <c r="B1389" t="s">
        <v>4295</v>
      </c>
      <c r="C1389" s="1">
        <f t="shared" si="234"/>
        <v>45444</v>
      </c>
      <c r="D1389" t="s">
        <v>4296</v>
      </c>
      <c r="E1389">
        <v>164.5</v>
      </c>
      <c r="F1389">
        <v>6.9</v>
      </c>
      <c r="G1389" t="s">
        <v>142</v>
      </c>
      <c r="H1389" t="s">
        <v>729</v>
      </c>
      <c r="I1389" t="s">
        <v>32</v>
      </c>
      <c r="J1389">
        <v>240</v>
      </c>
      <c r="K1389" t="s">
        <v>49</v>
      </c>
      <c r="L1389" t="s">
        <v>70</v>
      </c>
      <c r="M1389" t="s">
        <v>35</v>
      </c>
      <c r="N1389" t="s">
        <v>220</v>
      </c>
      <c r="O1389" t="s">
        <v>51</v>
      </c>
      <c r="P1389" t="s">
        <v>39</v>
      </c>
      <c r="Q1389" t="s">
        <v>38</v>
      </c>
      <c r="R1389">
        <v>0</v>
      </c>
      <c r="S1389" t="s">
        <v>38</v>
      </c>
      <c r="T1389">
        <v>8</v>
      </c>
      <c r="U1389">
        <v>3.5</v>
      </c>
      <c r="V1389">
        <v>15.3</v>
      </c>
      <c r="W1389" t="s">
        <v>38</v>
      </c>
      <c r="X1389" t="s">
        <v>63</v>
      </c>
      <c r="Y1389" t="s">
        <v>39</v>
      </c>
      <c r="Z1389" t="s">
        <v>73</v>
      </c>
      <c r="AA1389" t="s">
        <v>54</v>
      </c>
      <c r="AB1389" t="s">
        <v>83</v>
      </c>
      <c r="AC1389">
        <f t="shared" si="231"/>
        <v>0</v>
      </c>
      <c r="AD1389" s="12">
        <f t="shared" si="235"/>
        <v>1</v>
      </c>
      <c r="AE1389" s="12">
        <f t="shared" si="236"/>
        <v>0</v>
      </c>
      <c r="AF1389">
        <f t="shared" si="232"/>
        <v>1</v>
      </c>
      <c r="AG1389">
        <f t="shared" si="237"/>
        <v>0</v>
      </c>
      <c r="AH1389">
        <f t="shared" si="238"/>
        <v>0</v>
      </c>
      <c r="AI1389">
        <f t="shared" si="239"/>
        <v>0</v>
      </c>
      <c r="AJ1389">
        <f t="shared" si="240"/>
        <v>1</v>
      </c>
      <c r="AK1389">
        <f t="shared" si="233"/>
        <v>0</v>
      </c>
      <c r="AL1389">
        <f t="shared" si="241"/>
        <v>0</v>
      </c>
    </row>
    <row r="1390" spans="1:38">
      <c r="A1390" t="s">
        <v>4297</v>
      </c>
      <c r="B1390" t="s">
        <v>4298</v>
      </c>
      <c r="C1390" s="1">
        <f t="shared" si="234"/>
        <v>45444</v>
      </c>
      <c r="D1390" t="s">
        <v>4299</v>
      </c>
      <c r="E1390">
        <v>305.2</v>
      </c>
      <c r="F1390">
        <v>12.7</v>
      </c>
      <c r="G1390" t="s">
        <v>77</v>
      </c>
      <c r="H1390" t="s">
        <v>187</v>
      </c>
      <c r="I1390" t="s">
        <v>79</v>
      </c>
      <c r="J1390">
        <v>360</v>
      </c>
      <c r="K1390" t="s">
        <v>49</v>
      </c>
      <c r="L1390" t="s">
        <v>70</v>
      </c>
      <c r="M1390" t="s">
        <v>35</v>
      </c>
      <c r="N1390" t="s">
        <v>506</v>
      </c>
      <c r="O1390" t="s">
        <v>7232</v>
      </c>
      <c r="P1390" t="s">
        <v>38</v>
      </c>
      <c r="Q1390" t="s">
        <v>38</v>
      </c>
      <c r="R1390">
        <v>1</v>
      </c>
      <c r="S1390" t="s">
        <v>38</v>
      </c>
      <c r="T1390">
        <v>8</v>
      </c>
      <c r="U1390">
        <v>2.8</v>
      </c>
      <c r="V1390">
        <v>5.5</v>
      </c>
      <c r="W1390" t="s">
        <v>38</v>
      </c>
      <c r="X1390" t="s">
        <v>123</v>
      </c>
      <c r="Y1390" t="s">
        <v>38</v>
      </c>
      <c r="Z1390" t="s">
        <v>53</v>
      </c>
      <c r="AA1390" t="s">
        <v>103</v>
      </c>
      <c r="AB1390" t="s">
        <v>55</v>
      </c>
      <c r="AC1390">
        <f t="shared" si="231"/>
        <v>0</v>
      </c>
      <c r="AD1390" s="12">
        <f t="shared" si="235"/>
        <v>0</v>
      </c>
      <c r="AE1390" s="12">
        <f t="shared" si="236"/>
        <v>1</v>
      </c>
      <c r="AF1390">
        <f t="shared" si="232"/>
        <v>0</v>
      </c>
      <c r="AG1390">
        <f t="shared" si="237"/>
        <v>1</v>
      </c>
      <c r="AH1390">
        <f t="shared" si="238"/>
        <v>0</v>
      </c>
      <c r="AI1390">
        <f t="shared" si="239"/>
        <v>0</v>
      </c>
      <c r="AJ1390">
        <f t="shared" si="240"/>
        <v>0</v>
      </c>
      <c r="AK1390">
        <f t="shared" si="233"/>
        <v>0</v>
      </c>
      <c r="AL1390">
        <f t="shared" si="241"/>
        <v>1</v>
      </c>
    </row>
    <row r="1391" spans="1:38">
      <c r="A1391" t="s">
        <v>4300</v>
      </c>
      <c r="B1391" t="s">
        <v>4301</v>
      </c>
      <c r="C1391" s="1">
        <f t="shared" si="234"/>
        <v>45292</v>
      </c>
      <c r="D1391" t="s">
        <v>4302</v>
      </c>
      <c r="E1391">
        <v>161.69999999999999</v>
      </c>
      <c r="F1391">
        <v>6.7</v>
      </c>
      <c r="G1391" t="s">
        <v>93</v>
      </c>
      <c r="H1391" t="s">
        <v>163</v>
      </c>
      <c r="I1391" t="s">
        <v>32</v>
      </c>
      <c r="J1391">
        <v>240</v>
      </c>
      <c r="K1391" t="s">
        <v>49</v>
      </c>
      <c r="L1391" t="s">
        <v>70</v>
      </c>
      <c r="M1391" t="s">
        <v>35</v>
      </c>
      <c r="N1391" t="s">
        <v>155</v>
      </c>
      <c r="O1391" t="s">
        <v>7232</v>
      </c>
      <c r="P1391" t="s">
        <v>38</v>
      </c>
      <c r="Q1391" t="s">
        <v>38</v>
      </c>
      <c r="R1391">
        <v>1</v>
      </c>
      <c r="S1391" t="s">
        <v>38</v>
      </c>
      <c r="T1391">
        <v>9</v>
      </c>
      <c r="U1391">
        <v>2.8</v>
      </c>
      <c r="V1391">
        <v>18.100000000000001</v>
      </c>
      <c r="W1391" t="s">
        <v>38</v>
      </c>
      <c r="X1391" t="s">
        <v>63</v>
      </c>
      <c r="Y1391" t="s">
        <v>39</v>
      </c>
      <c r="Z1391" t="s">
        <v>115</v>
      </c>
      <c r="AA1391" t="s">
        <v>109</v>
      </c>
      <c r="AB1391" t="s">
        <v>83</v>
      </c>
      <c r="AC1391">
        <f t="shared" si="231"/>
        <v>0</v>
      </c>
      <c r="AD1391" s="12">
        <f t="shared" si="235"/>
        <v>1</v>
      </c>
      <c r="AE1391" s="12">
        <f t="shared" si="236"/>
        <v>0</v>
      </c>
      <c r="AF1391">
        <f t="shared" si="232"/>
        <v>0</v>
      </c>
      <c r="AG1391">
        <f t="shared" si="237"/>
        <v>1</v>
      </c>
      <c r="AH1391">
        <f t="shared" si="238"/>
        <v>0</v>
      </c>
      <c r="AI1391">
        <f t="shared" si="239"/>
        <v>0</v>
      </c>
      <c r="AJ1391">
        <f t="shared" si="240"/>
        <v>1</v>
      </c>
      <c r="AK1391">
        <f t="shared" si="233"/>
        <v>0</v>
      </c>
      <c r="AL1391">
        <f t="shared" si="241"/>
        <v>0</v>
      </c>
    </row>
    <row r="1392" spans="1:38">
      <c r="A1392" t="s">
        <v>4303</v>
      </c>
      <c r="B1392" t="s">
        <v>4304</v>
      </c>
      <c r="C1392" s="1">
        <f t="shared" si="234"/>
        <v>45566</v>
      </c>
      <c r="D1392" t="s">
        <v>4305</v>
      </c>
      <c r="E1392">
        <v>218.6</v>
      </c>
      <c r="F1392">
        <v>9.1</v>
      </c>
      <c r="G1392" t="s">
        <v>142</v>
      </c>
      <c r="H1392" t="s">
        <v>143</v>
      </c>
      <c r="I1392" t="s">
        <v>79</v>
      </c>
      <c r="J1392">
        <v>360</v>
      </c>
      <c r="K1392" t="s">
        <v>49</v>
      </c>
      <c r="L1392" t="s">
        <v>96</v>
      </c>
      <c r="M1392" t="s">
        <v>35</v>
      </c>
      <c r="N1392" t="s">
        <v>506</v>
      </c>
      <c r="O1392" t="s">
        <v>51</v>
      </c>
      <c r="P1392" t="s">
        <v>39</v>
      </c>
      <c r="Q1392" t="s">
        <v>38</v>
      </c>
      <c r="R1392">
        <v>0</v>
      </c>
      <c r="S1392" t="s">
        <v>38</v>
      </c>
      <c r="T1392">
        <v>7</v>
      </c>
      <c r="U1392">
        <v>2.2999999999999998</v>
      </c>
      <c r="V1392">
        <v>30.3</v>
      </c>
      <c r="W1392" t="s">
        <v>39</v>
      </c>
      <c r="X1392" t="s">
        <v>40</v>
      </c>
      <c r="Y1392" t="s">
        <v>38</v>
      </c>
      <c r="Z1392" t="s">
        <v>115</v>
      </c>
      <c r="AA1392" t="s">
        <v>54</v>
      </c>
      <c r="AB1392" t="s">
        <v>43</v>
      </c>
      <c r="AC1392">
        <f t="shared" si="231"/>
        <v>0</v>
      </c>
      <c r="AD1392" s="12">
        <f t="shared" si="235"/>
        <v>0</v>
      </c>
      <c r="AE1392" s="12">
        <f t="shared" si="236"/>
        <v>0</v>
      </c>
      <c r="AF1392">
        <f t="shared" si="232"/>
        <v>1</v>
      </c>
      <c r="AG1392">
        <f t="shared" si="237"/>
        <v>0</v>
      </c>
      <c r="AH1392">
        <f t="shared" si="238"/>
        <v>0</v>
      </c>
      <c r="AI1392">
        <f t="shared" si="239"/>
        <v>0</v>
      </c>
      <c r="AJ1392">
        <f t="shared" si="240"/>
        <v>0</v>
      </c>
      <c r="AK1392">
        <f t="shared" si="233"/>
        <v>0</v>
      </c>
      <c r="AL1392">
        <f t="shared" si="241"/>
        <v>1</v>
      </c>
    </row>
    <row r="1393" spans="1:38">
      <c r="A1393" t="s">
        <v>4306</v>
      </c>
      <c r="B1393" t="s">
        <v>4307</v>
      </c>
      <c r="C1393" s="1">
        <f t="shared" si="234"/>
        <v>45383</v>
      </c>
      <c r="D1393" t="s">
        <v>4308</v>
      </c>
      <c r="E1393">
        <v>316.39999999999998</v>
      </c>
      <c r="F1393">
        <v>13.2</v>
      </c>
      <c r="G1393" t="s">
        <v>87</v>
      </c>
      <c r="H1393" t="s">
        <v>88</v>
      </c>
      <c r="I1393" t="s">
        <v>32</v>
      </c>
      <c r="J1393">
        <v>240</v>
      </c>
      <c r="K1393" t="s">
        <v>33</v>
      </c>
      <c r="L1393" t="s">
        <v>70</v>
      </c>
      <c r="M1393" t="s">
        <v>71</v>
      </c>
      <c r="N1393" t="s">
        <v>168</v>
      </c>
      <c r="O1393" t="s">
        <v>37</v>
      </c>
      <c r="P1393" t="s">
        <v>38</v>
      </c>
      <c r="Q1393" t="s">
        <v>39</v>
      </c>
      <c r="R1393">
        <v>1</v>
      </c>
      <c r="S1393" t="s">
        <v>38</v>
      </c>
      <c r="T1393">
        <v>4</v>
      </c>
      <c r="U1393">
        <v>2.6</v>
      </c>
      <c r="V1393">
        <v>5.4</v>
      </c>
      <c r="W1393" t="s">
        <v>39</v>
      </c>
      <c r="X1393" t="s">
        <v>52</v>
      </c>
      <c r="Y1393" t="s">
        <v>39</v>
      </c>
      <c r="Z1393" t="s">
        <v>53</v>
      </c>
      <c r="AA1393" t="s">
        <v>109</v>
      </c>
      <c r="AB1393" t="s">
        <v>55</v>
      </c>
      <c r="AC1393">
        <f t="shared" si="231"/>
        <v>1</v>
      </c>
      <c r="AD1393" s="12">
        <f t="shared" si="235"/>
        <v>0</v>
      </c>
      <c r="AE1393" s="12">
        <f t="shared" si="236"/>
        <v>0</v>
      </c>
      <c r="AF1393">
        <f t="shared" si="232"/>
        <v>0</v>
      </c>
      <c r="AG1393">
        <f t="shared" si="237"/>
        <v>0</v>
      </c>
      <c r="AH1393">
        <f t="shared" si="238"/>
        <v>0</v>
      </c>
      <c r="AI1393">
        <f t="shared" si="239"/>
        <v>0</v>
      </c>
      <c r="AJ1393">
        <f t="shared" si="240"/>
        <v>1</v>
      </c>
      <c r="AK1393">
        <f t="shared" si="233"/>
        <v>0</v>
      </c>
      <c r="AL1393">
        <f t="shared" si="241"/>
        <v>0</v>
      </c>
    </row>
    <row r="1394" spans="1:38">
      <c r="A1394" t="s">
        <v>4309</v>
      </c>
      <c r="B1394" t="s">
        <v>4310</v>
      </c>
      <c r="C1394" s="1">
        <f t="shared" si="234"/>
        <v>45597</v>
      </c>
      <c r="D1394" t="s">
        <v>4311</v>
      </c>
      <c r="E1394">
        <v>210.9</v>
      </c>
      <c r="F1394">
        <v>8.8000000000000007</v>
      </c>
      <c r="G1394" t="s">
        <v>93</v>
      </c>
      <c r="H1394" t="s">
        <v>291</v>
      </c>
      <c r="I1394" t="s">
        <v>32</v>
      </c>
      <c r="J1394">
        <v>240</v>
      </c>
      <c r="K1394" t="s">
        <v>49</v>
      </c>
      <c r="L1394" t="s">
        <v>70</v>
      </c>
      <c r="M1394" t="s">
        <v>35</v>
      </c>
      <c r="N1394" t="s">
        <v>164</v>
      </c>
      <c r="O1394" t="s">
        <v>37</v>
      </c>
      <c r="P1394" t="s">
        <v>39</v>
      </c>
      <c r="Q1394" t="s">
        <v>38</v>
      </c>
      <c r="R1394">
        <v>0</v>
      </c>
      <c r="S1394" t="s">
        <v>38</v>
      </c>
      <c r="T1394">
        <v>10</v>
      </c>
      <c r="U1394">
        <v>4.8</v>
      </c>
      <c r="V1394">
        <v>13.4</v>
      </c>
      <c r="W1394" t="s">
        <v>38</v>
      </c>
      <c r="X1394" t="s">
        <v>40</v>
      </c>
      <c r="Y1394" t="s">
        <v>38</v>
      </c>
      <c r="Z1394" t="s">
        <v>81</v>
      </c>
      <c r="AA1394" t="s">
        <v>109</v>
      </c>
      <c r="AB1394" t="s">
        <v>43</v>
      </c>
      <c r="AC1394">
        <f t="shared" si="231"/>
        <v>0</v>
      </c>
      <c r="AD1394" s="12">
        <f t="shared" si="235"/>
        <v>0</v>
      </c>
      <c r="AE1394" s="12">
        <f t="shared" si="236"/>
        <v>0</v>
      </c>
      <c r="AF1394">
        <f t="shared" si="232"/>
        <v>0</v>
      </c>
      <c r="AG1394">
        <f t="shared" si="237"/>
        <v>0</v>
      </c>
      <c r="AH1394">
        <f t="shared" si="238"/>
        <v>0</v>
      </c>
      <c r="AI1394">
        <f t="shared" si="239"/>
        <v>0</v>
      </c>
      <c r="AJ1394">
        <f t="shared" si="240"/>
        <v>1</v>
      </c>
      <c r="AK1394">
        <f t="shared" si="233"/>
        <v>0</v>
      </c>
      <c r="AL1394">
        <f t="shared" si="241"/>
        <v>1</v>
      </c>
    </row>
    <row r="1395" spans="1:38">
      <c r="A1395" t="s">
        <v>4312</v>
      </c>
      <c r="B1395" t="s">
        <v>4313</v>
      </c>
      <c r="C1395" s="1">
        <f t="shared" si="234"/>
        <v>45383</v>
      </c>
      <c r="D1395" t="s">
        <v>4314</v>
      </c>
      <c r="E1395">
        <v>227.8</v>
      </c>
      <c r="F1395">
        <v>9.5</v>
      </c>
      <c r="G1395" t="s">
        <v>30</v>
      </c>
      <c r="H1395" t="s">
        <v>31</v>
      </c>
      <c r="I1395" t="s">
        <v>32</v>
      </c>
      <c r="J1395">
        <v>240</v>
      </c>
      <c r="K1395" t="s">
        <v>49</v>
      </c>
      <c r="L1395" t="s">
        <v>70</v>
      </c>
      <c r="M1395" t="s">
        <v>35</v>
      </c>
      <c r="N1395" t="s">
        <v>202</v>
      </c>
      <c r="O1395" t="s">
        <v>7232</v>
      </c>
      <c r="P1395" t="s">
        <v>38</v>
      </c>
      <c r="Q1395" t="s">
        <v>38</v>
      </c>
      <c r="R1395">
        <v>1</v>
      </c>
      <c r="S1395" t="s">
        <v>38</v>
      </c>
      <c r="T1395">
        <v>9</v>
      </c>
      <c r="U1395">
        <v>3.2</v>
      </c>
      <c r="V1395">
        <v>21.7</v>
      </c>
      <c r="W1395" t="s">
        <v>38</v>
      </c>
      <c r="X1395" t="s">
        <v>63</v>
      </c>
      <c r="Y1395" t="s">
        <v>38</v>
      </c>
      <c r="Z1395" t="s">
        <v>108</v>
      </c>
      <c r="AA1395" t="s">
        <v>103</v>
      </c>
      <c r="AB1395" t="s">
        <v>83</v>
      </c>
      <c r="AC1395">
        <f t="shared" si="231"/>
        <v>0</v>
      </c>
      <c r="AD1395" s="12">
        <f t="shared" si="235"/>
        <v>1</v>
      </c>
      <c r="AE1395" s="12">
        <f t="shared" si="236"/>
        <v>0</v>
      </c>
      <c r="AF1395">
        <f t="shared" si="232"/>
        <v>0</v>
      </c>
      <c r="AG1395">
        <f t="shared" si="237"/>
        <v>1</v>
      </c>
      <c r="AH1395">
        <f t="shared" si="238"/>
        <v>0</v>
      </c>
      <c r="AI1395">
        <f t="shared" si="239"/>
        <v>0</v>
      </c>
      <c r="AJ1395">
        <f t="shared" si="240"/>
        <v>1</v>
      </c>
      <c r="AK1395">
        <f t="shared" si="233"/>
        <v>1</v>
      </c>
      <c r="AL1395">
        <f t="shared" si="241"/>
        <v>1</v>
      </c>
    </row>
    <row r="1396" spans="1:38">
      <c r="A1396" t="s">
        <v>4315</v>
      </c>
      <c r="B1396" t="s">
        <v>4316</v>
      </c>
      <c r="C1396" s="1">
        <f t="shared" si="234"/>
        <v>45627</v>
      </c>
      <c r="D1396" t="s">
        <v>4317</v>
      </c>
      <c r="E1396">
        <v>83</v>
      </c>
      <c r="F1396">
        <v>3.5</v>
      </c>
      <c r="G1396" t="s">
        <v>87</v>
      </c>
      <c r="H1396" t="s">
        <v>309</v>
      </c>
      <c r="I1396" t="s">
        <v>48</v>
      </c>
      <c r="J1396">
        <v>120</v>
      </c>
      <c r="K1396" t="s">
        <v>49</v>
      </c>
      <c r="L1396" t="s">
        <v>113</v>
      </c>
      <c r="M1396" t="s">
        <v>35</v>
      </c>
      <c r="N1396" t="s">
        <v>89</v>
      </c>
      <c r="O1396" t="s">
        <v>7232</v>
      </c>
      <c r="P1396" t="s">
        <v>38</v>
      </c>
      <c r="Q1396" t="s">
        <v>38</v>
      </c>
      <c r="R1396">
        <v>1</v>
      </c>
      <c r="S1396" t="s">
        <v>39</v>
      </c>
      <c r="T1396">
        <v>7</v>
      </c>
      <c r="U1396">
        <v>2.6</v>
      </c>
      <c r="V1396">
        <v>45.5</v>
      </c>
      <c r="W1396" t="s">
        <v>39</v>
      </c>
      <c r="X1396" t="s">
        <v>123</v>
      </c>
      <c r="Y1396" t="s">
        <v>38</v>
      </c>
      <c r="Z1396" t="s">
        <v>64</v>
      </c>
      <c r="AA1396" t="s">
        <v>103</v>
      </c>
      <c r="AB1396" t="s">
        <v>55</v>
      </c>
      <c r="AC1396">
        <f t="shared" si="231"/>
        <v>0</v>
      </c>
      <c r="AD1396" s="12">
        <f t="shared" si="235"/>
        <v>0</v>
      </c>
      <c r="AE1396" s="12">
        <f t="shared" si="236"/>
        <v>1</v>
      </c>
      <c r="AF1396">
        <f t="shared" si="232"/>
        <v>0</v>
      </c>
      <c r="AG1396">
        <f t="shared" si="237"/>
        <v>1</v>
      </c>
      <c r="AH1396">
        <f t="shared" si="238"/>
        <v>1</v>
      </c>
      <c r="AI1396">
        <f t="shared" si="239"/>
        <v>0</v>
      </c>
      <c r="AJ1396">
        <f t="shared" si="240"/>
        <v>0</v>
      </c>
      <c r="AK1396">
        <f t="shared" si="233"/>
        <v>0</v>
      </c>
      <c r="AL1396">
        <f t="shared" si="241"/>
        <v>1</v>
      </c>
    </row>
    <row r="1397" spans="1:38">
      <c r="A1397" t="s">
        <v>4318</v>
      </c>
      <c r="B1397" t="s">
        <v>4319</v>
      </c>
      <c r="C1397" s="1">
        <f t="shared" si="234"/>
        <v>45383</v>
      </c>
      <c r="D1397" t="s">
        <v>4320</v>
      </c>
      <c r="E1397">
        <v>252.7</v>
      </c>
      <c r="F1397">
        <v>10.5</v>
      </c>
      <c r="G1397" t="s">
        <v>142</v>
      </c>
      <c r="H1397" t="s">
        <v>319</v>
      </c>
      <c r="I1397" t="s">
        <v>32</v>
      </c>
      <c r="J1397">
        <v>240</v>
      </c>
      <c r="K1397" t="s">
        <v>33</v>
      </c>
      <c r="L1397" t="s">
        <v>96</v>
      </c>
      <c r="M1397" t="s">
        <v>35</v>
      </c>
      <c r="N1397" t="s">
        <v>144</v>
      </c>
      <c r="O1397" t="s">
        <v>51</v>
      </c>
      <c r="P1397" t="s">
        <v>38</v>
      </c>
      <c r="Q1397" t="s">
        <v>38</v>
      </c>
      <c r="R1397">
        <v>1</v>
      </c>
      <c r="S1397" t="s">
        <v>38</v>
      </c>
      <c r="T1397">
        <v>7</v>
      </c>
      <c r="U1397">
        <v>3.1</v>
      </c>
      <c r="V1397">
        <v>25.6</v>
      </c>
      <c r="W1397" t="s">
        <v>39</v>
      </c>
      <c r="X1397" t="s">
        <v>63</v>
      </c>
      <c r="Y1397" t="s">
        <v>39</v>
      </c>
      <c r="Z1397" t="s">
        <v>81</v>
      </c>
      <c r="AA1397" t="s">
        <v>42</v>
      </c>
      <c r="AB1397" t="s">
        <v>55</v>
      </c>
      <c r="AC1397">
        <f t="shared" si="231"/>
        <v>0</v>
      </c>
      <c r="AD1397" s="12">
        <f t="shared" si="235"/>
        <v>1</v>
      </c>
      <c r="AE1397" s="12">
        <f t="shared" si="236"/>
        <v>0</v>
      </c>
      <c r="AF1397">
        <f t="shared" si="232"/>
        <v>1</v>
      </c>
      <c r="AG1397">
        <f t="shared" si="237"/>
        <v>0</v>
      </c>
      <c r="AH1397">
        <f t="shared" si="238"/>
        <v>0</v>
      </c>
      <c r="AI1397">
        <f t="shared" si="239"/>
        <v>0</v>
      </c>
      <c r="AJ1397">
        <f t="shared" si="240"/>
        <v>1</v>
      </c>
      <c r="AK1397">
        <f t="shared" si="233"/>
        <v>0</v>
      </c>
      <c r="AL1397">
        <f t="shared" si="241"/>
        <v>0</v>
      </c>
    </row>
    <row r="1398" spans="1:38">
      <c r="A1398" t="s">
        <v>4321</v>
      </c>
      <c r="B1398" t="s">
        <v>4322</v>
      </c>
      <c r="C1398" s="1">
        <f t="shared" si="234"/>
        <v>45627</v>
      </c>
      <c r="D1398" t="s">
        <v>4323</v>
      </c>
      <c r="E1398">
        <v>213.7</v>
      </c>
      <c r="F1398">
        <v>8.9</v>
      </c>
      <c r="G1398" t="s">
        <v>142</v>
      </c>
      <c r="H1398" t="s">
        <v>729</v>
      </c>
      <c r="I1398" t="s">
        <v>32</v>
      </c>
      <c r="J1398">
        <v>240</v>
      </c>
      <c r="K1398" t="s">
        <v>49</v>
      </c>
      <c r="L1398" t="s">
        <v>34</v>
      </c>
      <c r="M1398" t="s">
        <v>35</v>
      </c>
      <c r="N1398" t="s">
        <v>506</v>
      </c>
      <c r="O1398" t="s">
        <v>51</v>
      </c>
      <c r="P1398" t="s">
        <v>38</v>
      </c>
      <c r="Q1398" t="s">
        <v>38</v>
      </c>
      <c r="R1398">
        <v>1</v>
      </c>
      <c r="S1398" t="s">
        <v>38</v>
      </c>
      <c r="T1398">
        <v>9</v>
      </c>
      <c r="U1398">
        <v>2.2999999999999998</v>
      </c>
      <c r="V1398">
        <v>30</v>
      </c>
      <c r="W1398" t="s">
        <v>38</v>
      </c>
      <c r="X1398" t="s">
        <v>63</v>
      </c>
      <c r="Y1398" t="s">
        <v>38</v>
      </c>
      <c r="Z1398" t="s">
        <v>64</v>
      </c>
      <c r="AA1398" t="s">
        <v>54</v>
      </c>
      <c r="AB1398" t="s">
        <v>83</v>
      </c>
      <c r="AC1398">
        <f t="shared" si="231"/>
        <v>0</v>
      </c>
      <c r="AD1398" s="12">
        <f t="shared" si="235"/>
        <v>1</v>
      </c>
      <c r="AE1398" s="12">
        <f t="shared" si="236"/>
        <v>0</v>
      </c>
      <c r="AF1398">
        <f t="shared" si="232"/>
        <v>1</v>
      </c>
      <c r="AG1398">
        <f t="shared" si="237"/>
        <v>0</v>
      </c>
      <c r="AH1398">
        <f t="shared" si="238"/>
        <v>0</v>
      </c>
      <c r="AI1398">
        <f t="shared" si="239"/>
        <v>0</v>
      </c>
      <c r="AJ1398">
        <f t="shared" si="240"/>
        <v>1</v>
      </c>
      <c r="AK1398">
        <f t="shared" si="233"/>
        <v>0</v>
      </c>
      <c r="AL1398">
        <f t="shared" si="241"/>
        <v>1</v>
      </c>
    </row>
    <row r="1399" spans="1:38">
      <c r="A1399" t="s">
        <v>4324</v>
      </c>
      <c r="B1399" t="s">
        <v>4325</v>
      </c>
      <c r="C1399" s="1">
        <f t="shared" si="234"/>
        <v>45627</v>
      </c>
      <c r="D1399" t="s">
        <v>4326</v>
      </c>
      <c r="E1399">
        <v>202.6</v>
      </c>
      <c r="F1399">
        <v>8.4</v>
      </c>
      <c r="G1399" t="s">
        <v>30</v>
      </c>
      <c r="H1399" t="s">
        <v>31</v>
      </c>
      <c r="I1399" t="s">
        <v>32</v>
      </c>
      <c r="J1399">
        <v>240</v>
      </c>
      <c r="K1399" t="s">
        <v>49</v>
      </c>
      <c r="L1399" t="s">
        <v>70</v>
      </c>
      <c r="M1399" t="s">
        <v>35</v>
      </c>
      <c r="N1399" t="s">
        <v>164</v>
      </c>
      <c r="O1399" t="s">
        <v>37</v>
      </c>
      <c r="P1399" t="s">
        <v>38</v>
      </c>
      <c r="Q1399" t="s">
        <v>38</v>
      </c>
      <c r="R1399">
        <v>1</v>
      </c>
      <c r="S1399" t="s">
        <v>38</v>
      </c>
      <c r="T1399">
        <v>5</v>
      </c>
      <c r="U1399">
        <v>3.6</v>
      </c>
      <c r="V1399">
        <v>20.8</v>
      </c>
      <c r="W1399" t="s">
        <v>39</v>
      </c>
      <c r="X1399" t="s">
        <v>123</v>
      </c>
      <c r="Y1399" t="s">
        <v>39</v>
      </c>
      <c r="Z1399" t="s">
        <v>115</v>
      </c>
      <c r="AA1399" t="s">
        <v>109</v>
      </c>
      <c r="AB1399" t="s">
        <v>83</v>
      </c>
      <c r="AC1399">
        <f t="shared" si="231"/>
        <v>0</v>
      </c>
      <c r="AD1399" s="12">
        <f t="shared" si="235"/>
        <v>0</v>
      </c>
      <c r="AE1399" s="12">
        <f t="shared" si="236"/>
        <v>1</v>
      </c>
      <c r="AF1399">
        <f t="shared" si="232"/>
        <v>0</v>
      </c>
      <c r="AG1399">
        <f t="shared" si="237"/>
        <v>0</v>
      </c>
      <c r="AH1399">
        <f t="shared" si="238"/>
        <v>0</v>
      </c>
      <c r="AI1399">
        <f t="shared" si="239"/>
        <v>0</v>
      </c>
      <c r="AJ1399">
        <f t="shared" si="240"/>
        <v>1</v>
      </c>
      <c r="AK1399">
        <f t="shared" si="233"/>
        <v>1</v>
      </c>
      <c r="AL1399">
        <f t="shared" si="241"/>
        <v>0</v>
      </c>
    </row>
    <row r="1400" spans="1:38">
      <c r="A1400" t="s">
        <v>4327</v>
      </c>
      <c r="B1400" t="s">
        <v>4328</v>
      </c>
      <c r="C1400" s="1">
        <f t="shared" si="234"/>
        <v>45292</v>
      </c>
      <c r="D1400" t="s">
        <v>4329</v>
      </c>
      <c r="E1400">
        <v>96.5</v>
      </c>
      <c r="F1400">
        <v>4</v>
      </c>
      <c r="G1400" t="s">
        <v>87</v>
      </c>
      <c r="H1400" t="s">
        <v>183</v>
      </c>
      <c r="I1400" t="s">
        <v>48</v>
      </c>
      <c r="J1400">
        <v>120</v>
      </c>
      <c r="K1400" t="s">
        <v>49</v>
      </c>
      <c r="L1400" t="s">
        <v>34</v>
      </c>
      <c r="M1400" t="s">
        <v>35</v>
      </c>
      <c r="N1400" t="s">
        <v>188</v>
      </c>
      <c r="O1400" t="s">
        <v>51</v>
      </c>
      <c r="P1400" t="s">
        <v>38</v>
      </c>
      <c r="Q1400" t="s">
        <v>38</v>
      </c>
      <c r="R1400">
        <v>1</v>
      </c>
      <c r="S1400" t="s">
        <v>39</v>
      </c>
      <c r="T1400">
        <v>8</v>
      </c>
      <c r="U1400">
        <v>5.8</v>
      </c>
      <c r="V1400">
        <v>4</v>
      </c>
      <c r="W1400" t="s">
        <v>38</v>
      </c>
      <c r="X1400" t="s">
        <v>40</v>
      </c>
      <c r="Y1400" t="s">
        <v>38</v>
      </c>
      <c r="Z1400" t="s">
        <v>108</v>
      </c>
      <c r="AA1400" t="s">
        <v>103</v>
      </c>
      <c r="AB1400" t="s">
        <v>55</v>
      </c>
      <c r="AC1400">
        <f t="shared" si="231"/>
        <v>0</v>
      </c>
      <c r="AD1400" s="12">
        <f t="shared" si="235"/>
        <v>0</v>
      </c>
      <c r="AE1400" s="12">
        <f t="shared" si="236"/>
        <v>0</v>
      </c>
      <c r="AF1400">
        <f t="shared" si="232"/>
        <v>1</v>
      </c>
      <c r="AG1400">
        <f t="shared" si="237"/>
        <v>0</v>
      </c>
      <c r="AH1400">
        <f t="shared" si="238"/>
        <v>1</v>
      </c>
      <c r="AI1400">
        <f t="shared" si="239"/>
        <v>0</v>
      </c>
      <c r="AJ1400">
        <f t="shared" si="240"/>
        <v>0</v>
      </c>
      <c r="AK1400">
        <f t="shared" si="233"/>
        <v>0</v>
      </c>
      <c r="AL1400">
        <f t="shared" si="241"/>
        <v>1</v>
      </c>
    </row>
    <row r="1401" spans="1:38">
      <c r="A1401" t="s">
        <v>4330</v>
      </c>
      <c r="B1401" t="s">
        <v>4331</v>
      </c>
      <c r="C1401" s="1">
        <f t="shared" si="234"/>
        <v>45383</v>
      </c>
      <c r="D1401" t="s">
        <v>4332</v>
      </c>
      <c r="E1401">
        <v>211.7</v>
      </c>
      <c r="F1401">
        <v>8.8000000000000007</v>
      </c>
      <c r="G1401" t="s">
        <v>68</v>
      </c>
      <c r="H1401" t="s">
        <v>212</v>
      </c>
      <c r="I1401" t="s">
        <v>32</v>
      </c>
      <c r="J1401">
        <v>240</v>
      </c>
      <c r="K1401" t="s">
        <v>49</v>
      </c>
      <c r="L1401" t="s">
        <v>96</v>
      </c>
      <c r="M1401" t="s">
        <v>71</v>
      </c>
      <c r="N1401" t="s">
        <v>192</v>
      </c>
      <c r="O1401" t="s">
        <v>37</v>
      </c>
      <c r="P1401" t="s">
        <v>38</v>
      </c>
      <c r="Q1401" t="s">
        <v>39</v>
      </c>
      <c r="R1401">
        <v>2</v>
      </c>
      <c r="S1401" t="s">
        <v>38</v>
      </c>
      <c r="T1401">
        <v>9</v>
      </c>
      <c r="U1401">
        <v>2.5</v>
      </c>
      <c r="V1401">
        <v>35.1</v>
      </c>
      <c r="W1401" t="s">
        <v>38</v>
      </c>
      <c r="X1401" t="s">
        <v>52</v>
      </c>
      <c r="Y1401" t="s">
        <v>39</v>
      </c>
      <c r="Z1401" t="s">
        <v>41</v>
      </c>
      <c r="AA1401" t="s">
        <v>109</v>
      </c>
      <c r="AB1401" t="s">
        <v>55</v>
      </c>
      <c r="AC1401">
        <f t="shared" si="231"/>
        <v>1</v>
      </c>
      <c r="AD1401" s="12">
        <f t="shared" si="235"/>
        <v>0</v>
      </c>
      <c r="AE1401" s="12">
        <f t="shared" si="236"/>
        <v>0</v>
      </c>
      <c r="AF1401">
        <f t="shared" si="232"/>
        <v>0</v>
      </c>
      <c r="AG1401">
        <f t="shared" si="237"/>
        <v>0</v>
      </c>
      <c r="AH1401">
        <f t="shared" si="238"/>
        <v>0</v>
      </c>
      <c r="AI1401">
        <f t="shared" si="239"/>
        <v>0</v>
      </c>
      <c r="AJ1401">
        <f t="shared" si="240"/>
        <v>1</v>
      </c>
      <c r="AK1401">
        <f t="shared" si="233"/>
        <v>0</v>
      </c>
      <c r="AL1401">
        <f t="shared" si="241"/>
        <v>0</v>
      </c>
    </row>
    <row r="1402" spans="1:38">
      <c r="A1402" t="s">
        <v>4333</v>
      </c>
      <c r="B1402" t="s">
        <v>4334</v>
      </c>
      <c r="C1402" s="1">
        <f t="shared" si="234"/>
        <v>45292</v>
      </c>
      <c r="D1402" t="s">
        <v>4335</v>
      </c>
      <c r="E1402">
        <v>181.4</v>
      </c>
      <c r="F1402">
        <v>7.6</v>
      </c>
      <c r="G1402" t="s">
        <v>87</v>
      </c>
      <c r="H1402" t="s">
        <v>151</v>
      </c>
      <c r="I1402" t="s">
        <v>32</v>
      </c>
      <c r="J1402">
        <v>240</v>
      </c>
      <c r="K1402" t="s">
        <v>49</v>
      </c>
      <c r="L1402" t="s">
        <v>96</v>
      </c>
      <c r="M1402" t="s">
        <v>71</v>
      </c>
      <c r="N1402" t="s">
        <v>138</v>
      </c>
      <c r="O1402" t="s">
        <v>51</v>
      </c>
      <c r="P1402" t="s">
        <v>38</v>
      </c>
      <c r="Q1402" t="s">
        <v>39</v>
      </c>
      <c r="R1402">
        <v>4</v>
      </c>
      <c r="S1402" t="s">
        <v>38</v>
      </c>
      <c r="T1402">
        <v>9</v>
      </c>
      <c r="U1402">
        <v>0.1</v>
      </c>
      <c r="V1402">
        <v>29.6</v>
      </c>
      <c r="W1402" t="s">
        <v>38</v>
      </c>
      <c r="X1402" t="s">
        <v>40</v>
      </c>
      <c r="Y1402" t="s">
        <v>39</v>
      </c>
      <c r="Z1402" t="s">
        <v>53</v>
      </c>
      <c r="AA1402" t="s">
        <v>42</v>
      </c>
      <c r="AB1402" t="s">
        <v>83</v>
      </c>
      <c r="AC1402">
        <f t="shared" si="231"/>
        <v>0</v>
      </c>
      <c r="AD1402" s="12">
        <f t="shared" si="235"/>
        <v>0</v>
      </c>
      <c r="AE1402" s="12">
        <f t="shared" si="236"/>
        <v>0</v>
      </c>
      <c r="AF1402">
        <f t="shared" si="232"/>
        <v>1</v>
      </c>
      <c r="AG1402">
        <f t="shared" si="237"/>
        <v>0</v>
      </c>
      <c r="AH1402">
        <f t="shared" si="238"/>
        <v>0</v>
      </c>
      <c r="AI1402">
        <f t="shared" si="239"/>
        <v>0</v>
      </c>
      <c r="AJ1402">
        <f t="shared" si="240"/>
        <v>1</v>
      </c>
      <c r="AK1402">
        <f t="shared" si="233"/>
        <v>0</v>
      </c>
      <c r="AL1402">
        <f t="shared" si="241"/>
        <v>0</v>
      </c>
    </row>
    <row r="1403" spans="1:38">
      <c r="A1403" t="s">
        <v>4336</v>
      </c>
      <c r="B1403" t="s">
        <v>4337</v>
      </c>
      <c r="C1403" s="1">
        <f t="shared" si="234"/>
        <v>45444</v>
      </c>
      <c r="D1403" t="s">
        <v>4338</v>
      </c>
      <c r="E1403">
        <v>40.5</v>
      </c>
      <c r="F1403">
        <v>1.7</v>
      </c>
      <c r="G1403" t="s">
        <v>87</v>
      </c>
      <c r="H1403" t="s">
        <v>309</v>
      </c>
      <c r="I1403" t="s">
        <v>95</v>
      </c>
      <c r="J1403">
        <v>48</v>
      </c>
      <c r="K1403" t="s">
        <v>49</v>
      </c>
      <c r="L1403" t="s">
        <v>96</v>
      </c>
      <c r="M1403" t="s">
        <v>35</v>
      </c>
      <c r="N1403" t="s">
        <v>277</v>
      </c>
      <c r="O1403" t="s">
        <v>51</v>
      </c>
      <c r="P1403" t="s">
        <v>38</v>
      </c>
      <c r="Q1403" t="s">
        <v>38</v>
      </c>
      <c r="R1403">
        <v>1</v>
      </c>
      <c r="S1403" t="s">
        <v>38</v>
      </c>
      <c r="T1403">
        <v>5</v>
      </c>
      <c r="U1403">
        <v>5.0999999999999996</v>
      </c>
      <c r="V1403">
        <v>17.600000000000001</v>
      </c>
      <c r="W1403" t="s">
        <v>39</v>
      </c>
      <c r="X1403" t="s">
        <v>123</v>
      </c>
      <c r="Y1403" t="s">
        <v>39</v>
      </c>
      <c r="Z1403" t="s">
        <v>115</v>
      </c>
      <c r="AA1403" t="s">
        <v>82</v>
      </c>
      <c r="AB1403" t="s">
        <v>83</v>
      </c>
      <c r="AC1403">
        <f t="shared" si="231"/>
        <v>0</v>
      </c>
      <c r="AD1403" s="12">
        <f t="shared" si="235"/>
        <v>0</v>
      </c>
      <c r="AE1403" s="12">
        <f t="shared" si="236"/>
        <v>1</v>
      </c>
      <c r="AF1403">
        <f t="shared" si="232"/>
        <v>1</v>
      </c>
      <c r="AG1403">
        <f t="shared" si="237"/>
        <v>0</v>
      </c>
      <c r="AH1403">
        <f t="shared" si="238"/>
        <v>0</v>
      </c>
      <c r="AI1403">
        <f t="shared" si="239"/>
        <v>1</v>
      </c>
      <c r="AJ1403">
        <f t="shared" si="240"/>
        <v>0</v>
      </c>
      <c r="AK1403">
        <f t="shared" si="233"/>
        <v>0</v>
      </c>
      <c r="AL1403">
        <f t="shared" si="241"/>
        <v>0</v>
      </c>
    </row>
    <row r="1404" spans="1:38">
      <c r="A1404" t="s">
        <v>4339</v>
      </c>
      <c r="B1404" t="s">
        <v>4340</v>
      </c>
      <c r="C1404" s="1">
        <f t="shared" si="234"/>
        <v>45444</v>
      </c>
      <c r="D1404" t="s">
        <v>4341</v>
      </c>
      <c r="E1404">
        <v>164.2</v>
      </c>
      <c r="F1404">
        <v>6.8</v>
      </c>
      <c r="G1404" t="s">
        <v>30</v>
      </c>
      <c r="H1404" t="s">
        <v>159</v>
      </c>
      <c r="I1404" t="s">
        <v>32</v>
      </c>
      <c r="J1404">
        <v>240</v>
      </c>
      <c r="K1404" t="s">
        <v>49</v>
      </c>
      <c r="L1404" t="s">
        <v>70</v>
      </c>
      <c r="M1404" t="s">
        <v>35</v>
      </c>
      <c r="N1404" t="s">
        <v>119</v>
      </c>
      <c r="O1404" t="s">
        <v>7232</v>
      </c>
      <c r="P1404" t="s">
        <v>38</v>
      </c>
      <c r="Q1404" t="s">
        <v>38</v>
      </c>
      <c r="R1404">
        <v>1</v>
      </c>
      <c r="S1404" t="s">
        <v>38</v>
      </c>
      <c r="T1404">
        <v>9</v>
      </c>
      <c r="U1404">
        <v>1.7</v>
      </c>
      <c r="V1404">
        <v>23.8</v>
      </c>
      <c r="W1404" t="s">
        <v>38</v>
      </c>
      <c r="X1404" t="s">
        <v>63</v>
      </c>
      <c r="Y1404" t="s">
        <v>38</v>
      </c>
      <c r="Z1404" t="s">
        <v>73</v>
      </c>
      <c r="AA1404" t="s">
        <v>103</v>
      </c>
      <c r="AB1404" t="s">
        <v>55</v>
      </c>
      <c r="AC1404">
        <f t="shared" si="231"/>
        <v>0</v>
      </c>
      <c r="AD1404" s="12">
        <f t="shared" si="235"/>
        <v>1</v>
      </c>
      <c r="AE1404" s="12">
        <f t="shared" si="236"/>
        <v>0</v>
      </c>
      <c r="AF1404">
        <f t="shared" si="232"/>
        <v>0</v>
      </c>
      <c r="AG1404">
        <f t="shared" si="237"/>
        <v>1</v>
      </c>
      <c r="AH1404">
        <f t="shared" si="238"/>
        <v>0</v>
      </c>
      <c r="AI1404">
        <f t="shared" si="239"/>
        <v>0</v>
      </c>
      <c r="AJ1404">
        <f t="shared" si="240"/>
        <v>1</v>
      </c>
      <c r="AK1404">
        <f t="shared" si="233"/>
        <v>1</v>
      </c>
      <c r="AL1404">
        <f t="shared" si="241"/>
        <v>1</v>
      </c>
    </row>
    <row r="1405" spans="1:38">
      <c r="A1405" t="s">
        <v>4342</v>
      </c>
      <c r="B1405" t="s">
        <v>4343</v>
      </c>
      <c r="C1405" s="1">
        <f t="shared" si="234"/>
        <v>45292</v>
      </c>
      <c r="D1405" t="s">
        <v>4344</v>
      </c>
      <c r="E1405">
        <v>310</v>
      </c>
      <c r="F1405">
        <v>12.9</v>
      </c>
      <c r="G1405" t="s">
        <v>142</v>
      </c>
      <c r="H1405" t="s">
        <v>240</v>
      </c>
      <c r="I1405" t="s">
        <v>32</v>
      </c>
      <c r="J1405">
        <v>240</v>
      </c>
      <c r="K1405" t="s">
        <v>33</v>
      </c>
      <c r="L1405" t="s">
        <v>70</v>
      </c>
      <c r="M1405" t="s">
        <v>71</v>
      </c>
      <c r="N1405" t="s">
        <v>144</v>
      </c>
      <c r="O1405" t="s">
        <v>37</v>
      </c>
      <c r="P1405" t="s">
        <v>38</v>
      </c>
      <c r="Q1405" t="s">
        <v>39</v>
      </c>
      <c r="R1405">
        <v>4</v>
      </c>
      <c r="S1405" t="s">
        <v>38</v>
      </c>
      <c r="T1405">
        <v>7</v>
      </c>
      <c r="U1405">
        <v>3.9</v>
      </c>
      <c r="V1405">
        <v>43.3</v>
      </c>
      <c r="W1405" t="s">
        <v>39</v>
      </c>
      <c r="X1405" t="s">
        <v>63</v>
      </c>
      <c r="Y1405" t="s">
        <v>38</v>
      </c>
      <c r="Z1405" t="s">
        <v>108</v>
      </c>
      <c r="AA1405" t="s">
        <v>42</v>
      </c>
      <c r="AB1405" t="s">
        <v>55</v>
      </c>
      <c r="AC1405">
        <f t="shared" si="231"/>
        <v>0</v>
      </c>
      <c r="AD1405" s="12">
        <f t="shared" si="235"/>
        <v>1</v>
      </c>
      <c r="AE1405" s="12">
        <f t="shared" si="236"/>
        <v>0</v>
      </c>
      <c r="AF1405">
        <f t="shared" si="232"/>
        <v>0</v>
      </c>
      <c r="AG1405">
        <f t="shared" si="237"/>
        <v>0</v>
      </c>
      <c r="AH1405">
        <f t="shared" si="238"/>
        <v>0</v>
      </c>
      <c r="AI1405">
        <f t="shared" si="239"/>
        <v>0</v>
      </c>
      <c r="AJ1405">
        <f t="shared" si="240"/>
        <v>1</v>
      </c>
      <c r="AK1405">
        <f t="shared" si="233"/>
        <v>0</v>
      </c>
      <c r="AL1405">
        <f t="shared" si="241"/>
        <v>1</v>
      </c>
    </row>
    <row r="1406" spans="1:38">
      <c r="A1406" t="s">
        <v>4345</v>
      </c>
      <c r="B1406" t="s">
        <v>4346</v>
      </c>
      <c r="C1406" s="1">
        <f t="shared" si="234"/>
        <v>45383</v>
      </c>
      <c r="D1406" t="s">
        <v>4347</v>
      </c>
      <c r="E1406">
        <v>330.3</v>
      </c>
      <c r="F1406">
        <v>13.8</v>
      </c>
      <c r="G1406" t="s">
        <v>30</v>
      </c>
      <c r="H1406" t="s">
        <v>159</v>
      </c>
      <c r="I1406" t="s">
        <v>79</v>
      </c>
      <c r="J1406">
        <v>360</v>
      </c>
      <c r="K1406" t="s">
        <v>49</v>
      </c>
      <c r="L1406" t="s">
        <v>34</v>
      </c>
      <c r="M1406" t="s">
        <v>35</v>
      </c>
      <c r="N1406" t="s">
        <v>220</v>
      </c>
      <c r="O1406" t="s">
        <v>7232</v>
      </c>
      <c r="P1406" t="s">
        <v>38</v>
      </c>
      <c r="Q1406" t="s">
        <v>38</v>
      </c>
      <c r="R1406">
        <v>1</v>
      </c>
      <c r="S1406" t="s">
        <v>38</v>
      </c>
      <c r="T1406">
        <v>7</v>
      </c>
      <c r="U1406">
        <v>0.6</v>
      </c>
      <c r="V1406">
        <v>28.9</v>
      </c>
      <c r="W1406" t="s">
        <v>39</v>
      </c>
      <c r="X1406" t="s">
        <v>52</v>
      </c>
      <c r="Y1406" t="s">
        <v>39</v>
      </c>
      <c r="Z1406" t="s">
        <v>81</v>
      </c>
      <c r="AA1406" t="s">
        <v>109</v>
      </c>
      <c r="AB1406" t="s">
        <v>43</v>
      </c>
      <c r="AC1406">
        <f t="shared" si="231"/>
        <v>1</v>
      </c>
      <c r="AD1406" s="12">
        <f t="shared" si="235"/>
        <v>0</v>
      </c>
      <c r="AE1406" s="12">
        <f t="shared" si="236"/>
        <v>0</v>
      </c>
      <c r="AF1406">
        <f t="shared" si="232"/>
        <v>0</v>
      </c>
      <c r="AG1406">
        <f t="shared" si="237"/>
        <v>1</v>
      </c>
      <c r="AH1406">
        <f t="shared" si="238"/>
        <v>0</v>
      </c>
      <c r="AI1406">
        <f t="shared" si="239"/>
        <v>0</v>
      </c>
      <c r="AJ1406">
        <f t="shared" si="240"/>
        <v>0</v>
      </c>
      <c r="AK1406">
        <f t="shared" si="233"/>
        <v>1</v>
      </c>
      <c r="AL1406">
        <f t="shared" si="241"/>
        <v>0</v>
      </c>
    </row>
    <row r="1407" spans="1:38">
      <c r="A1407" t="s">
        <v>4348</v>
      </c>
      <c r="B1407" t="s">
        <v>4349</v>
      </c>
      <c r="C1407" s="1">
        <f t="shared" si="234"/>
        <v>45323</v>
      </c>
      <c r="D1407" t="s">
        <v>4350</v>
      </c>
      <c r="E1407">
        <v>234.3</v>
      </c>
      <c r="F1407">
        <v>9.8000000000000007</v>
      </c>
      <c r="G1407" t="s">
        <v>77</v>
      </c>
      <c r="H1407" t="s">
        <v>244</v>
      </c>
      <c r="I1407" t="s">
        <v>79</v>
      </c>
      <c r="J1407">
        <v>360</v>
      </c>
      <c r="K1407" t="s">
        <v>49</v>
      </c>
      <c r="L1407" t="s">
        <v>70</v>
      </c>
      <c r="M1407" t="s">
        <v>35</v>
      </c>
      <c r="N1407" t="s">
        <v>128</v>
      </c>
      <c r="O1407" t="s">
        <v>7232</v>
      </c>
      <c r="P1407" t="s">
        <v>39</v>
      </c>
      <c r="Q1407" t="s">
        <v>38</v>
      </c>
      <c r="R1407">
        <v>0</v>
      </c>
      <c r="S1407" t="s">
        <v>39</v>
      </c>
      <c r="T1407">
        <v>7</v>
      </c>
      <c r="U1407">
        <v>2.4</v>
      </c>
      <c r="V1407">
        <v>12.6</v>
      </c>
      <c r="W1407" t="s">
        <v>39</v>
      </c>
      <c r="X1407" t="s">
        <v>63</v>
      </c>
      <c r="Y1407" t="s">
        <v>39</v>
      </c>
      <c r="Z1407" t="s">
        <v>64</v>
      </c>
      <c r="AA1407" t="s">
        <v>109</v>
      </c>
      <c r="AB1407" t="s">
        <v>83</v>
      </c>
      <c r="AC1407">
        <f t="shared" si="231"/>
        <v>0</v>
      </c>
      <c r="AD1407" s="12">
        <f t="shared" si="235"/>
        <v>1</v>
      </c>
      <c r="AE1407" s="12">
        <f t="shared" si="236"/>
        <v>0</v>
      </c>
      <c r="AF1407">
        <f t="shared" si="232"/>
        <v>0</v>
      </c>
      <c r="AG1407">
        <f t="shared" si="237"/>
        <v>1</v>
      </c>
      <c r="AH1407">
        <f t="shared" si="238"/>
        <v>0</v>
      </c>
      <c r="AI1407">
        <f t="shared" si="239"/>
        <v>0</v>
      </c>
      <c r="AJ1407">
        <f t="shared" si="240"/>
        <v>0</v>
      </c>
      <c r="AK1407">
        <f t="shared" si="233"/>
        <v>0</v>
      </c>
      <c r="AL1407">
        <f t="shared" si="241"/>
        <v>0</v>
      </c>
    </row>
    <row r="1408" spans="1:38">
      <c r="A1408" t="s">
        <v>4351</v>
      </c>
      <c r="B1408" t="s">
        <v>4352</v>
      </c>
      <c r="C1408" s="1">
        <f t="shared" si="234"/>
        <v>45597</v>
      </c>
      <c r="D1408" t="s">
        <v>4353</v>
      </c>
      <c r="E1408">
        <v>292.89999999999998</v>
      </c>
      <c r="F1408">
        <v>12.2</v>
      </c>
      <c r="G1408" t="s">
        <v>77</v>
      </c>
      <c r="H1408" t="s">
        <v>187</v>
      </c>
      <c r="I1408" t="s">
        <v>79</v>
      </c>
      <c r="J1408">
        <v>360</v>
      </c>
      <c r="K1408" t="s">
        <v>49</v>
      </c>
      <c r="L1408" t="s">
        <v>96</v>
      </c>
      <c r="M1408" t="s">
        <v>35</v>
      </c>
      <c r="N1408" t="s">
        <v>80</v>
      </c>
      <c r="O1408" t="s">
        <v>37</v>
      </c>
      <c r="P1408" t="s">
        <v>39</v>
      </c>
      <c r="Q1408" t="s">
        <v>38</v>
      </c>
      <c r="R1408">
        <v>0</v>
      </c>
      <c r="S1408" t="s">
        <v>38</v>
      </c>
      <c r="T1408">
        <v>7</v>
      </c>
      <c r="U1408">
        <v>2.7</v>
      </c>
      <c r="V1408">
        <v>25.9</v>
      </c>
      <c r="W1408" t="s">
        <v>38</v>
      </c>
      <c r="X1408" t="s">
        <v>63</v>
      </c>
      <c r="Y1408" t="s">
        <v>39</v>
      </c>
      <c r="Z1408" t="s">
        <v>115</v>
      </c>
      <c r="AA1408" t="s">
        <v>42</v>
      </c>
      <c r="AB1408" t="s">
        <v>83</v>
      </c>
      <c r="AC1408">
        <f t="shared" si="231"/>
        <v>0</v>
      </c>
      <c r="AD1408" s="12">
        <f t="shared" si="235"/>
        <v>1</v>
      </c>
      <c r="AE1408" s="12">
        <f t="shared" si="236"/>
        <v>0</v>
      </c>
      <c r="AF1408">
        <f t="shared" si="232"/>
        <v>0</v>
      </c>
      <c r="AG1408">
        <f t="shared" si="237"/>
        <v>0</v>
      </c>
      <c r="AH1408">
        <f t="shared" si="238"/>
        <v>0</v>
      </c>
      <c r="AI1408">
        <f t="shared" si="239"/>
        <v>0</v>
      </c>
      <c r="AJ1408">
        <f t="shared" si="240"/>
        <v>0</v>
      </c>
      <c r="AK1408">
        <f t="shared" si="233"/>
        <v>0</v>
      </c>
      <c r="AL1408">
        <f t="shared" si="241"/>
        <v>0</v>
      </c>
    </row>
    <row r="1409" spans="1:38">
      <c r="A1409" t="s">
        <v>4354</v>
      </c>
      <c r="B1409" t="s">
        <v>4355</v>
      </c>
      <c r="C1409" s="1">
        <f t="shared" si="234"/>
        <v>45566</v>
      </c>
      <c r="D1409" t="s">
        <v>4356</v>
      </c>
      <c r="E1409">
        <v>251.2</v>
      </c>
      <c r="F1409">
        <v>10.5</v>
      </c>
      <c r="G1409" t="s">
        <v>142</v>
      </c>
      <c r="H1409" t="s">
        <v>240</v>
      </c>
      <c r="I1409" t="s">
        <v>79</v>
      </c>
      <c r="J1409">
        <v>360</v>
      </c>
      <c r="K1409" t="s">
        <v>49</v>
      </c>
      <c r="L1409" t="s">
        <v>70</v>
      </c>
      <c r="M1409" t="s">
        <v>35</v>
      </c>
      <c r="N1409" t="s">
        <v>61</v>
      </c>
      <c r="O1409" t="s">
        <v>7232</v>
      </c>
      <c r="P1409" t="s">
        <v>39</v>
      </c>
      <c r="Q1409" t="s">
        <v>38</v>
      </c>
      <c r="R1409">
        <v>0</v>
      </c>
      <c r="S1409" t="s">
        <v>38</v>
      </c>
      <c r="T1409">
        <v>10</v>
      </c>
      <c r="U1409">
        <v>0.1</v>
      </c>
      <c r="V1409">
        <v>40.700000000000003</v>
      </c>
      <c r="W1409" t="s">
        <v>38</v>
      </c>
      <c r="X1409" t="s">
        <v>52</v>
      </c>
      <c r="Y1409" t="s">
        <v>38</v>
      </c>
      <c r="Z1409" t="s">
        <v>179</v>
      </c>
      <c r="AA1409" t="s">
        <v>109</v>
      </c>
      <c r="AB1409" t="s">
        <v>43</v>
      </c>
      <c r="AC1409">
        <f t="shared" si="231"/>
        <v>1</v>
      </c>
      <c r="AD1409" s="12">
        <f t="shared" si="235"/>
        <v>0</v>
      </c>
      <c r="AE1409" s="12">
        <f t="shared" si="236"/>
        <v>0</v>
      </c>
      <c r="AF1409">
        <f t="shared" si="232"/>
        <v>0</v>
      </c>
      <c r="AG1409">
        <f t="shared" si="237"/>
        <v>1</v>
      </c>
      <c r="AH1409">
        <f t="shared" si="238"/>
        <v>0</v>
      </c>
      <c r="AI1409">
        <f t="shared" si="239"/>
        <v>0</v>
      </c>
      <c r="AJ1409">
        <f t="shared" si="240"/>
        <v>0</v>
      </c>
      <c r="AK1409">
        <f t="shared" si="233"/>
        <v>0</v>
      </c>
      <c r="AL1409">
        <f t="shared" si="241"/>
        <v>1</v>
      </c>
    </row>
    <row r="1410" spans="1:38">
      <c r="A1410" t="s">
        <v>4357</v>
      </c>
      <c r="B1410" t="s">
        <v>4358</v>
      </c>
      <c r="C1410" s="1">
        <f t="shared" si="234"/>
        <v>45627</v>
      </c>
      <c r="D1410" t="s">
        <v>4359</v>
      </c>
      <c r="E1410">
        <v>331.6</v>
      </c>
      <c r="F1410">
        <v>13.8</v>
      </c>
      <c r="G1410" t="s">
        <v>77</v>
      </c>
      <c r="H1410" t="s">
        <v>187</v>
      </c>
      <c r="I1410" t="s">
        <v>79</v>
      </c>
      <c r="J1410">
        <v>360</v>
      </c>
      <c r="K1410" t="s">
        <v>49</v>
      </c>
      <c r="L1410" t="s">
        <v>96</v>
      </c>
      <c r="M1410" t="s">
        <v>35</v>
      </c>
      <c r="N1410" t="s">
        <v>188</v>
      </c>
      <c r="O1410" t="s">
        <v>7232</v>
      </c>
      <c r="P1410" t="s">
        <v>39</v>
      </c>
      <c r="Q1410" t="s">
        <v>38</v>
      </c>
      <c r="R1410">
        <v>0</v>
      </c>
      <c r="S1410" t="s">
        <v>38</v>
      </c>
      <c r="T1410">
        <v>10</v>
      </c>
      <c r="U1410">
        <v>1.4</v>
      </c>
      <c r="V1410">
        <v>0</v>
      </c>
      <c r="W1410" t="s">
        <v>39</v>
      </c>
      <c r="X1410" t="s">
        <v>52</v>
      </c>
      <c r="Y1410" t="s">
        <v>38</v>
      </c>
      <c r="Z1410" t="s">
        <v>108</v>
      </c>
      <c r="AA1410" t="s">
        <v>42</v>
      </c>
      <c r="AB1410" t="s">
        <v>83</v>
      </c>
      <c r="AC1410">
        <f t="shared" ref="AC1410:AC1473" si="242">IF(X1410="Poor", 1, 0)</f>
        <v>1</v>
      </c>
      <c r="AD1410" s="12">
        <f t="shared" si="235"/>
        <v>0</v>
      </c>
      <c r="AE1410" s="12">
        <f t="shared" si="236"/>
        <v>0</v>
      </c>
      <c r="AF1410">
        <f t="shared" ref="AF1410:AF1473" si="243">IF(O1410="Junior", 1, 0)</f>
        <v>0</v>
      </c>
      <c r="AG1410">
        <f t="shared" si="237"/>
        <v>1</v>
      </c>
      <c r="AH1410">
        <f t="shared" si="238"/>
        <v>0</v>
      </c>
      <c r="AI1410">
        <f t="shared" si="239"/>
        <v>0</v>
      </c>
      <c r="AJ1410">
        <f t="shared" si="240"/>
        <v>0</v>
      </c>
      <c r="AK1410">
        <f t="shared" ref="AK1410:AK1473" si="244">IF(G1410="Access Requests", 1, 0)</f>
        <v>0</v>
      </c>
      <c r="AL1410">
        <f t="shared" si="241"/>
        <v>1</v>
      </c>
    </row>
    <row r="1411" spans="1:38">
      <c r="A1411" t="s">
        <v>4360</v>
      </c>
      <c r="B1411" t="s">
        <v>4361</v>
      </c>
      <c r="C1411" s="1">
        <f t="shared" ref="C1411:C1474" si="245">DATE(YEAR(B1411),MONTH(B1411),1)</f>
        <v>45323</v>
      </c>
      <c r="D1411" t="s">
        <v>4362</v>
      </c>
      <c r="E1411">
        <v>201.2</v>
      </c>
      <c r="F1411">
        <v>8.4</v>
      </c>
      <c r="G1411" t="s">
        <v>101</v>
      </c>
      <c r="H1411" t="s">
        <v>102</v>
      </c>
      <c r="I1411" t="s">
        <v>32</v>
      </c>
      <c r="J1411">
        <v>240</v>
      </c>
      <c r="K1411" t="s">
        <v>49</v>
      </c>
      <c r="L1411" t="s">
        <v>96</v>
      </c>
      <c r="M1411" t="s">
        <v>35</v>
      </c>
      <c r="N1411" t="s">
        <v>72</v>
      </c>
      <c r="O1411" t="s">
        <v>37</v>
      </c>
      <c r="P1411" t="s">
        <v>38</v>
      </c>
      <c r="Q1411" t="s">
        <v>38</v>
      </c>
      <c r="R1411">
        <v>1</v>
      </c>
      <c r="S1411" t="s">
        <v>38</v>
      </c>
      <c r="T1411">
        <v>10</v>
      </c>
      <c r="U1411">
        <v>1.8</v>
      </c>
      <c r="V1411">
        <v>16.8</v>
      </c>
      <c r="W1411" t="s">
        <v>38</v>
      </c>
      <c r="X1411" t="s">
        <v>63</v>
      </c>
      <c r="Y1411" t="s">
        <v>39</v>
      </c>
      <c r="Z1411" t="s">
        <v>179</v>
      </c>
      <c r="AA1411" t="s">
        <v>103</v>
      </c>
      <c r="AB1411" t="s">
        <v>55</v>
      </c>
      <c r="AC1411">
        <f t="shared" si="242"/>
        <v>0</v>
      </c>
      <c r="AD1411" s="12">
        <f t="shared" ref="AD1411:AD1474" si="246">IF(X1411="Fair", 1, 0)</f>
        <v>1</v>
      </c>
      <c r="AE1411" s="12">
        <f t="shared" ref="AE1411:AE1474" si="247">IF(X1411="Good", 1, 0)</f>
        <v>0</v>
      </c>
      <c r="AF1411">
        <f t="shared" si="243"/>
        <v>0</v>
      </c>
      <c r="AG1411">
        <f t="shared" ref="AG1411:AG1474" si="248">IF(O1411="Mid", 1, 0)</f>
        <v>0</v>
      </c>
      <c r="AH1411">
        <f t="shared" ref="AH1411:AH1474" si="249">IF(I1411="High", 1, 0)</f>
        <v>0</v>
      </c>
      <c r="AI1411">
        <f t="shared" ref="AI1411:AI1474" si="250">IF(I1411="Critical", 1, 0)</f>
        <v>0</v>
      </c>
      <c r="AJ1411">
        <f t="shared" ref="AJ1411:AJ1474" si="251">IF(I1411="Medium", 1, 0)</f>
        <v>1</v>
      </c>
      <c r="AK1411">
        <f t="shared" si="244"/>
        <v>0</v>
      </c>
      <c r="AL1411">
        <f t="shared" ref="AL1411:AL1474" si="252">IF(Y1411="No", 1, 0)</f>
        <v>0</v>
      </c>
    </row>
    <row r="1412" spans="1:38">
      <c r="A1412" t="s">
        <v>4363</v>
      </c>
      <c r="B1412" t="s">
        <v>4364</v>
      </c>
      <c r="C1412" s="1">
        <f t="shared" si="245"/>
        <v>45323</v>
      </c>
      <c r="D1412" t="s">
        <v>4365</v>
      </c>
      <c r="E1412">
        <v>105.2</v>
      </c>
      <c r="F1412">
        <v>4.4000000000000004</v>
      </c>
      <c r="G1412" t="s">
        <v>59</v>
      </c>
      <c r="H1412" t="s">
        <v>281</v>
      </c>
      <c r="I1412" t="s">
        <v>48</v>
      </c>
      <c r="J1412">
        <v>120</v>
      </c>
      <c r="K1412" t="s">
        <v>49</v>
      </c>
      <c r="L1412" t="s">
        <v>133</v>
      </c>
      <c r="M1412" t="s">
        <v>71</v>
      </c>
      <c r="N1412" t="s">
        <v>36</v>
      </c>
      <c r="O1412" t="s">
        <v>7232</v>
      </c>
      <c r="P1412" t="s">
        <v>38</v>
      </c>
      <c r="Q1412" t="s">
        <v>39</v>
      </c>
      <c r="R1412">
        <v>1</v>
      </c>
      <c r="S1412" t="s">
        <v>38</v>
      </c>
      <c r="T1412">
        <v>5</v>
      </c>
      <c r="U1412">
        <v>1</v>
      </c>
      <c r="V1412">
        <v>30.5</v>
      </c>
      <c r="W1412" t="s">
        <v>39</v>
      </c>
      <c r="X1412" t="s">
        <v>63</v>
      </c>
      <c r="Y1412" t="s">
        <v>39</v>
      </c>
      <c r="Z1412" t="s">
        <v>179</v>
      </c>
      <c r="AA1412" t="s">
        <v>82</v>
      </c>
      <c r="AB1412" t="s">
        <v>83</v>
      </c>
      <c r="AC1412">
        <f t="shared" si="242"/>
        <v>0</v>
      </c>
      <c r="AD1412" s="12">
        <f t="shared" si="246"/>
        <v>1</v>
      </c>
      <c r="AE1412" s="12">
        <f t="shared" si="247"/>
        <v>0</v>
      </c>
      <c r="AF1412">
        <f t="shared" si="243"/>
        <v>0</v>
      </c>
      <c r="AG1412">
        <f t="shared" si="248"/>
        <v>1</v>
      </c>
      <c r="AH1412">
        <f t="shared" si="249"/>
        <v>1</v>
      </c>
      <c r="AI1412">
        <f t="shared" si="250"/>
        <v>0</v>
      </c>
      <c r="AJ1412">
        <f t="shared" si="251"/>
        <v>0</v>
      </c>
      <c r="AK1412">
        <f t="shared" si="244"/>
        <v>0</v>
      </c>
      <c r="AL1412">
        <f t="shared" si="252"/>
        <v>0</v>
      </c>
    </row>
    <row r="1413" spans="1:38">
      <c r="A1413" t="s">
        <v>4366</v>
      </c>
      <c r="B1413" t="s">
        <v>4367</v>
      </c>
      <c r="C1413" s="1">
        <f t="shared" si="245"/>
        <v>45536</v>
      </c>
      <c r="D1413" t="s">
        <v>4368</v>
      </c>
      <c r="E1413">
        <v>120.2</v>
      </c>
      <c r="F1413">
        <v>5</v>
      </c>
      <c r="G1413" t="s">
        <v>77</v>
      </c>
      <c r="H1413" t="s">
        <v>267</v>
      </c>
      <c r="I1413" t="s">
        <v>48</v>
      </c>
      <c r="J1413">
        <v>120</v>
      </c>
      <c r="K1413" t="s">
        <v>33</v>
      </c>
      <c r="L1413" t="s">
        <v>96</v>
      </c>
      <c r="M1413" t="s">
        <v>35</v>
      </c>
      <c r="N1413" t="s">
        <v>80</v>
      </c>
      <c r="O1413" t="s">
        <v>51</v>
      </c>
      <c r="P1413" t="s">
        <v>39</v>
      </c>
      <c r="Q1413" t="s">
        <v>38</v>
      </c>
      <c r="R1413">
        <v>0</v>
      </c>
      <c r="S1413" t="s">
        <v>38</v>
      </c>
      <c r="T1413">
        <v>10</v>
      </c>
      <c r="U1413">
        <v>3.8</v>
      </c>
      <c r="V1413">
        <v>22.4</v>
      </c>
      <c r="W1413" t="s">
        <v>38</v>
      </c>
      <c r="X1413" t="s">
        <v>123</v>
      </c>
      <c r="Y1413" t="s">
        <v>39</v>
      </c>
      <c r="Z1413" t="s">
        <v>73</v>
      </c>
      <c r="AA1413" t="s">
        <v>109</v>
      </c>
      <c r="AB1413" t="s">
        <v>83</v>
      </c>
      <c r="AC1413">
        <f t="shared" si="242"/>
        <v>0</v>
      </c>
      <c r="AD1413" s="12">
        <f t="shared" si="246"/>
        <v>0</v>
      </c>
      <c r="AE1413" s="12">
        <f t="shared" si="247"/>
        <v>1</v>
      </c>
      <c r="AF1413">
        <f t="shared" si="243"/>
        <v>1</v>
      </c>
      <c r="AG1413">
        <f t="shared" si="248"/>
        <v>0</v>
      </c>
      <c r="AH1413">
        <f t="shared" si="249"/>
        <v>1</v>
      </c>
      <c r="AI1413">
        <f t="shared" si="250"/>
        <v>0</v>
      </c>
      <c r="AJ1413">
        <f t="shared" si="251"/>
        <v>0</v>
      </c>
      <c r="AK1413">
        <f t="shared" si="244"/>
        <v>0</v>
      </c>
      <c r="AL1413">
        <f t="shared" si="252"/>
        <v>0</v>
      </c>
    </row>
    <row r="1414" spans="1:38">
      <c r="A1414" t="s">
        <v>4369</v>
      </c>
      <c r="B1414" t="s">
        <v>4370</v>
      </c>
      <c r="C1414" s="1">
        <f t="shared" si="245"/>
        <v>45505</v>
      </c>
      <c r="D1414" t="s">
        <v>4371</v>
      </c>
      <c r="E1414">
        <v>87.7</v>
      </c>
      <c r="F1414">
        <v>3.7</v>
      </c>
      <c r="G1414" t="s">
        <v>59</v>
      </c>
      <c r="H1414" t="s">
        <v>281</v>
      </c>
      <c r="I1414" t="s">
        <v>48</v>
      </c>
      <c r="J1414">
        <v>120</v>
      </c>
      <c r="K1414" t="s">
        <v>49</v>
      </c>
      <c r="L1414" t="s">
        <v>34</v>
      </c>
      <c r="M1414" t="s">
        <v>71</v>
      </c>
      <c r="N1414" t="s">
        <v>134</v>
      </c>
      <c r="O1414" t="s">
        <v>7232</v>
      </c>
      <c r="P1414" t="s">
        <v>38</v>
      </c>
      <c r="Q1414" t="s">
        <v>39</v>
      </c>
      <c r="R1414">
        <v>1</v>
      </c>
      <c r="S1414" t="s">
        <v>38</v>
      </c>
      <c r="T1414">
        <v>8</v>
      </c>
      <c r="U1414">
        <v>1.9</v>
      </c>
      <c r="V1414">
        <v>27.4</v>
      </c>
      <c r="W1414" t="s">
        <v>39</v>
      </c>
      <c r="X1414" t="s">
        <v>52</v>
      </c>
      <c r="Y1414" t="s">
        <v>39</v>
      </c>
      <c r="Z1414" t="s">
        <v>179</v>
      </c>
      <c r="AA1414" t="s">
        <v>103</v>
      </c>
      <c r="AB1414" t="s">
        <v>83</v>
      </c>
      <c r="AC1414">
        <f t="shared" si="242"/>
        <v>1</v>
      </c>
      <c r="AD1414" s="12">
        <f t="shared" si="246"/>
        <v>0</v>
      </c>
      <c r="AE1414" s="12">
        <f t="shared" si="247"/>
        <v>0</v>
      </c>
      <c r="AF1414">
        <f t="shared" si="243"/>
        <v>0</v>
      </c>
      <c r="AG1414">
        <f t="shared" si="248"/>
        <v>1</v>
      </c>
      <c r="AH1414">
        <f t="shared" si="249"/>
        <v>1</v>
      </c>
      <c r="AI1414">
        <f t="shared" si="250"/>
        <v>0</v>
      </c>
      <c r="AJ1414">
        <f t="shared" si="251"/>
        <v>0</v>
      </c>
      <c r="AK1414">
        <f t="shared" si="244"/>
        <v>0</v>
      </c>
      <c r="AL1414">
        <f t="shared" si="252"/>
        <v>0</v>
      </c>
    </row>
    <row r="1415" spans="1:38">
      <c r="A1415" t="s">
        <v>4372</v>
      </c>
      <c r="B1415" t="s">
        <v>4373</v>
      </c>
      <c r="C1415" s="1">
        <f t="shared" si="245"/>
        <v>45474</v>
      </c>
      <c r="D1415" t="s">
        <v>4374</v>
      </c>
      <c r="E1415">
        <v>106.6</v>
      </c>
      <c r="F1415">
        <v>4.4000000000000004</v>
      </c>
      <c r="G1415" t="s">
        <v>68</v>
      </c>
      <c r="H1415" t="s">
        <v>212</v>
      </c>
      <c r="I1415" t="s">
        <v>48</v>
      </c>
      <c r="J1415">
        <v>120</v>
      </c>
      <c r="K1415" t="s">
        <v>49</v>
      </c>
      <c r="L1415" t="s">
        <v>34</v>
      </c>
      <c r="M1415" t="s">
        <v>35</v>
      </c>
      <c r="N1415" t="s">
        <v>61</v>
      </c>
      <c r="O1415" t="s">
        <v>51</v>
      </c>
      <c r="P1415" t="s">
        <v>38</v>
      </c>
      <c r="Q1415" t="s">
        <v>38</v>
      </c>
      <c r="R1415">
        <v>1</v>
      </c>
      <c r="S1415" t="s">
        <v>38</v>
      </c>
      <c r="T1415">
        <v>9</v>
      </c>
      <c r="U1415">
        <v>0.3</v>
      </c>
      <c r="V1415">
        <v>9.6999999999999993</v>
      </c>
      <c r="W1415" t="s">
        <v>39</v>
      </c>
      <c r="X1415" t="s">
        <v>123</v>
      </c>
      <c r="Y1415" t="s">
        <v>38</v>
      </c>
      <c r="Z1415" t="s">
        <v>108</v>
      </c>
      <c r="AA1415" t="s">
        <v>54</v>
      </c>
      <c r="AB1415" t="s">
        <v>83</v>
      </c>
      <c r="AC1415">
        <f t="shared" si="242"/>
        <v>0</v>
      </c>
      <c r="AD1415" s="12">
        <f t="shared" si="246"/>
        <v>0</v>
      </c>
      <c r="AE1415" s="12">
        <f t="shared" si="247"/>
        <v>1</v>
      </c>
      <c r="AF1415">
        <f t="shared" si="243"/>
        <v>1</v>
      </c>
      <c r="AG1415">
        <f t="shared" si="248"/>
        <v>0</v>
      </c>
      <c r="AH1415">
        <f t="shared" si="249"/>
        <v>1</v>
      </c>
      <c r="AI1415">
        <f t="shared" si="250"/>
        <v>0</v>
      </c>
      <c r="AJ1415">
        <f t="shared" si="251"/>
        <v>0</v>
      </c>
      <c r="AK1415">
        <f t="shared" si="244"/>
        <v>0</v>
      </c>
      <c r="AL1415">
        <f t="shared" si="252"/>
        <v>1</v>
      </c>
    </row>
    <row r="1416" spans="1:38">
      <c r="A1416" t="s">
        <v>4375</v>
      </c>
      <c r="B1416" t="s">
        <v>4376</v>
      </c>
      <c r="C1416" s="1">
        <f t="shared" si="245"/>
        <v>45505</v>
      </c>
      <c r="D1416" t="s">
        <v>4377</v>
      </c>
      <c r="E1416">
        <v>249.3</v>
      </c>
      <c r="F1416">
        <v>10.4</v>
      </c>
      <c r="G1416" t="s">
        <v>93</v>
      </c>
      <c r="H1416" t="s">
        <v>94</v>
      </c>
      <c r="I1416" t="s">
        <v>79</v>
      </c>
      <c r="J1416">
        <v>360</v>
      </c>
      <c r="K1416" t="s">
        <v>49</v>
      </c>
      <c r="L1416" t="s">
        <v>70</v>
      </c>
      <c r="M1416" t="s">
        <v>35</v>
      </c>
      <c r="N1416" t="s">
        <v>299</v>
      </c>
      <c r="O1416" t="s">
        <v>51</v>
      </c>
      <c r="P1416" t="s">
        <v>39</v>
      </c>
      <c r="Q1416" t="s">
        <v>38</v>
      </c>
      <c r="R1416">
        <v>0</v>
      </c>
      <c r="S1416" t="s">
        <v>38</v>
      </c>
      <c r="T1416">
        <v>9</v>
      </c>
      <c r="U1416">
        <v>3</v>
      </c>
      <c r="V1416">
        <v>47.5</v>
      </c>
      <c r="W1416" t="s">
        <v>39</v>
      </c>
      <c r="X1416" t="s">
        <v>63</v>
      </c>
      <c r="Y1416" t="s">
        <v>38</v>
      </c>
      <c r="Z1416" t="s">
        <v>64</v>
      </c>
      <c r="AA1416" t="s">
        <v>54</v>
      </c>
      <c r="AB1416" t="s">
        <v>55</v>
      </c>
      <c r="AC1416">
        <f t="shared" si="242"/>
        <v>0</v>
      </c>
      <c r="AD1416" s="12">
        <f t="shared" si="246"/>
        <v>1</v>
      </c>
      <c r="AE1416" s="12">
        <f t="shared" si="247"/>
        <v>0</v>
      </c>
      <c r="AF1416">
        <f t="shared" si="243"/>
        <v>1</v>
      </c>
      <c r="AG1416">
        <f t="shared" si="248"/>
        <v>0</v>
      </c>
      <c r="AH1416">
        <f t="shared" si="249"/>
        <v>0</v>
      </c>
      <c r="AI1416">
        <f t="shared" si="250"/>
        <v>0</v>
      </c>
      <c r="AJ1416">
        <f t="shared" si="251"/>
        <v>0</v>
      </c>
      <c r="AK1416">
        <f t="shared" si="244"/>
        <v>0</v>
      </c>
      <c r="AL1416">
        <f t="shared" si="252"/>
        <v>1</v>
      </c>
    </row>
    <row r="1417" spans="1:38">
      <c r="A1417" t="s">
        <v>4378</v>
      </c>
      <c r="B1417" t="s">
        <v>4379</v>
      </c>
      <c r="C1417" s="1">
        <f t="shared" si="245"/>
        <v>45505</v>
      </c>
      <c r="D1417" t="s">
        <v>4380</v>
      </c>
      <c r="E1417">
        <v>113.9</v>
      </c>
      <c r="F1417">
        <v>4.7</v>
      </c>
      <c r="G1417" t="s">
        <v>87</v>
      </c>
      <c r="H1417" t="s">
        <v>151</v>
      </c>
      <c r="I1417" t="s">
        <v>48</v>
      </c>
      <c r="J1417">
        <v>120</v>
      </c>
      <c r="K1417" t="s">
        <v>49</v>
      </c>
      <c r="L1417" t="s">
        <v>70</v>
      </c>
      <c r="M1417" t="s">
        <v>71</v>
      </c>
      <c r="N1417" t="s">
        <v>506</v>
      </c>
      <c r="O1417" t="s">
        <v>7232</v>
      </c>
      <c r="P1417" t="s">
        <v>38</v>
      </c>
      <c r="Q1417" t="s">
        <v>39</v>
      </c>
      <c r="R1417">
        <v>1</v>
      </c>
      <c r="S1417" t="s">
        <v>39</v>
      </c>
      <c r="T1417">
        <v>8</v>
      </c>
      <c r="U1417">
        <v>1.7</v>
      </c>
      <c r="V1417">
        <v>14.6</v>
      </c>
      <c r="W1417" t="s">
        <v>38</v>
      </c>
      <c r="X1417" t="s">
        <v>123</v>
      </c>
      <c r="Y1417" t="s">
        <v>39</v>
      </c>
      <c r="Z1417" t="s">
        <v>179</v>
      </c>
      <c r="AA1417" t="s">
        <v>109</v>
      </c>
      <c r="AB1417" t="s">
        <v>55</v>
      </c>
      <c r="AC1417">
        <f t="shared" si="242"/>
        <v>0</v>
      </c>
      <c r="AD1417" s="12">
        <f t="shared" si="246"/>
        <v>0</v>
      </c>
      <c r="AE1417" s="12">
        <f t="shared" si="247"/>
        <v>1</v>
      </c>
      <c r="AF1417">
        <f t="shared" si="243"/>
        <v>0</v>
      </c>
      <c r="AG1417">
        <f t="shared" si="248"/>
        <v>1</v>
      </c>
      <c r="AH1417">
        <f t="shared" si="249"/>
        <v>1</v>
      </c>
      <c r="AI1417">
        <f t="shared" si="250"/>
        <v>0</v>
      </c>
      <c r="AJ1417">
        <f t="shared" si="251"/>
        <v>0</v>
      </c>
      <c r="AK1417">
        <f t="shared" si="244"/>
        <v>0</v>
      </c>
      <c r="AL1417">
        <f t="shared" si="252"/>
        <v>0</v>
      </c>
    </row>
    <row r="1418" spans="1:38">
      <c r="A1418" t="s">
        <v>4381</v>
      </c>
      <c r="B1418" t="s">
        <v>4382</v>
      </c>
      <c r="C1418" s="1">
        <f t="shared" si="245"/>
        <v>45505</v>
      </c>
      <c r="D1418" t="s">
        <v>4383</v>
      </c>
      <c r="E1418">
        <v>294.89999999999998</v>
      </c>
      <c r="F1418">
        <v>12.3</v>
      </c>
      <c r="G1418" t="s">
        <v>87</v>
      </c>
      <c r="H1418" t="s">
        <v>151</v>
      </c>
      <c r="I1418" t="s">
        <v>32</v>
      </c>
      <c r="J1418">
        <v>240</v>
      </c>
      <c r="K1418" t="s">
        <v>33</v>
      </c>
      <c r="L1418" t="s">
        <v>96</v>
      </c>
      <c r="M1418" t="s">
        <v>35</v>
      </c>
      <c r="N1418" t="s">
        <v>202</v>
      </c>
      <c r="O1418" t="s">
        <v>51</v>
      </c>
      <c r="P1418" t="s">
        <v>38</v>
      </c>
      <c r="Q1418" t="s">
        <v>38</v>
      </c>
      <c r="R1418">
        <v>1</v>
      </c>
      <c r="S1418" t="s">
        <v>38</v>
      </c>
      <c r="T1418">
        <v>5</v>
      </c>
      <c r="U1418">
        <v>3.2</v>
      </c>
      <c r="V1418">
        <v>25.5</v>
      </c>
      <c r="W1418" t="s">
        <v>38</v>
      </c>
      <c r="X1418" t="s">
        <v>63</v>
      </c>
      <c r="Y1418" t="s">
        <v>39</v>
      </c>
      <c r="Z1418" t="s">
        <v>53</v>
      </c>
      <c r="AA1418" t="s">
        <v>109</v>
      </c>
      <c r="AB1418" t="s">
        <v>83</v>
      </c>
      <c r="AC1418">
        <f t="shared" si="242"/>
        <v>0</v>
      </c>
      <c r="AD1418" s="12">
        <f t="shared" si="246"/>
        <v>1</v>
      </c>
      <c r="AE1418" s="12">
        <f t="shared" si="247"/>
        <v>0</v>
      </c>
      <c r="AF1418">
        <f t="shared" si="243"/>
        <v>1</v>
      </c>
      <c r="AG1418">
        <f t="shared" si="248"/>
        <v>0</v>
      </c>
      <c r="AH1418">
        <f t="shared" si="249"/>
        <v>0</v>
      </c>
      <c r="AI1418">
        <f t="shared" si="250"/>
        <v>0</v>
      </c>
      <c r="AJ1418">
        <f t="shared" si="251"/>
        <v>1</v>
      </c>
      <c r="AK1418">
        <f t="shared" si="244"/>
        <v>0</v>
      </c>
      <c r="AL1418">
        <f t="shared" si="252"/>
        <v>0</v>
      </c>
    </row>
    <row r="1419" spans="1:38">
      <c r="A1419" t="s">
        <v>4384</v>
      </c>
      <c r="B1419" t="s">
        <v>4385</v>
      </c>
      <c r="C1419" s="1">
        <f t="shared" si="245"/>
        <v>45536</v>
      </c>
      <c r="D1419" t="s">
        <v>4386</v>
      </c>
      <c r="E1419">
        <v>77.400000000000006</v>
      </c>
      <c r="F1419">
        <v>3.2</v>
      </c>
      <c r="G1419" t="s">
        <v>59</v>
      </c>
      <c r="H1419" t="s">
        <v>60</v>
      </c>
      <c r="I1419" t="s">
        <v>48</v>
      </c>
      <c r="J1419">
        <v>120</v>
      </c>
      <c r="K1419" t="s">
        <v>49</v>
      </c>
      <c r="L1419" t="s">
        <v>34</v>
      </c>
      <c r="M1419" t="s">
        <v>71</v>
      </c>
      <c r="N1419" t="s">
        <v>164</v>
      </c>
      <c r="O1419" t="s">
        <v>51</v>
      </c>
      <c r="P1419" t="s">
        <v>38</v>
      </c>
      <c r="Q1419" t="s">
        <v>39</v>
      </c>
      <c r="R1419">
        <v>4</v>
      </c>
      <c r="S1419" t="s">
        <v>39</v>
      </c>
      <c r="T1419">
        <v>9</v>
      </c>
      <c r="U1419">
        <v>1.4</v>
      </c>
      <c r="V1419">
        <v>22.4</v>
      </c>
      <c r="W1419" t="s">
        <v>38</v>
      </c>
      <c r="X1419" t="s">
        <v>123</v>
      </c>
      <c r="Y1419" t="s">
        <v>38</v>
      </c>
      <c r="Z1419" t="s">
        <v>53</v>
      </c>
      <c r="AA1419" t="s">
        <v>109</v>
      </c>
      <c r="AB1419" t="s">
        <v>55</v>
      </c>
      <c r="AC1419">
        <f t="shared" si="242"/>
        <v>0</v>
      </c>
      <c r="AD1419" s="12">
        <f t="shared" si="246"/>
        <v>0</v>
      </c>
      <c r="AE1419" s="12">
        <f t="shared" si="247"/>
        <v>1</v>
      </c>
      <c r="AF1419">
        <f t="shared" si="243"/>
        <v>1</v>
      </c>
      <c r="AG1419">
        <f t="shared" si="248"/>
        <v>0</v>
      </c>
      <c r="AH1419">
        <f t="shared" si="249"/>
        <v>1</v>
      </c>
      <c r="AI1419">
        <f t="shared" si="250"/>
        <v>0</v>
      </c>
      <c r="AJ1419">
        <f t="shared" si="251"/>
        <v>0</v>
      </c>
      <c r="AK1419">
        <f t="shared" si="244"/>
        <v>0</v>
      </c>
      <c r="AL1419">
        <f t="shared" si="252"/>
        <v>1</v>
      </c>
    </row>
    <row r="1420" spans="1:38">
      <c r="A1420" t="s">
        <v>4387</v>
      </c>
      <c r="B1420" t="s">
        <v>4388</v>
      </c>
      <c r="C1420" s="1">
        <f t="shared" si="245"/>
        <v>45444</v>
      </c>
      <c r="D1420" t="s">
        <v>4389</v>
      </c>
      <c r="E1420">
        <v>100.4</v>
      </c>
      <c r="F1420">
        <v>4.2</v>
      </c>
      <c r="G1420" t="s">
        <v>87</v>
      </c>
      <c r="H1420" t="s">
        <v>88</v>
      </c>
      <c r="I1420" t="s">
        <v>95</v>
      </c>
      <c r="J1420">
        <v>48</v>
      </c>
      <c r="K1420" t="s">
        <v>33</v>
      </c>
      <c r="L1420" t="s">
        <v>96</v>
      </c>
      <c r="M1420" t="s">
        <v>35</v>
      </c>
      <c r="N1420" t="s">
        <v>80</v>
      </c>
      <c r="O1420" t="s">
        <v>7232</v>
      </c>
      <c r="P1420" t="s">
        <v>39</v>
      </c>
      <c r="Q1420" t="s">
        <v>38</v>
      </c>
      <c r="R1420">
        <v>0</v>
      </c>
      <c r="S1420" t="s">
        <v>38</v>
      </c>
      <c r="T1420">
        <v>5</v>
      </c>
      <c r="U1420">
        <v>2.6</v>
      </c>
      <c r="V1420">
        <v>16</v>
      </c>
      <c r="W1420" t="s">
        <v>38</v>
      </c>
      <c r="X1420" t="s">
        <v>63</v>
      </c>
      <c r="Y1420" t="s">
        <v>38</v>
      </c>
      <c r="Z1420" t="s">
        <v>73</v>
      </c>
      <c r="AA1420" t="s">
        <v>103</v>
      </c>
      <c r="AB1420" t="s">
        <v>43</v>
      </c>
      <c r="AC1420">
        <f t="shared" si="242"/>
        <v>0</v>
      </c>
      <c r="AD1420" s="12">
        <f t="shared" si="246"/>
        <v>1</v>
      </c>
      <c r="AE1420" s="12">
        <f t="shared" si="247"/>
        <v>0</v>
      </c>
      <c r="AF1420">
        <f t="shared" si="243"/>
        <v>0</v>
      </c>
      <c r="AG1420">
        <f t="shared" si="248"/>
        <v>1</v>
      </c>
      <c r="AH1420">
        <f t="shared" si="249"/>
        <v>0</v>
      </c>
      <c r="AI1420">
        <f t="shared" si="250"/>
        <v>1</v>
      </c>
      <c r="AJ1420">
        <f t="shared" si="251"/>
        <v>0</v>
      </c>
      <c r="AK1420">
        <f t="shared" si="244"/>
        <v>0</v>
      </c>
      <c r="AL1420">
        <f t="shared" si="252"/>
        <v>1</v>
      </c>
    </row>
    <row r="1421" spans="1:38">
      <c r="A1421" t="s">
        <v>4390</v>
      </c>
      <c r="B1421" t="s">
        <v>4391</v>
      </c>
      <c r="C1421" s="1">
        <f t="shared" si="245"/>
        <v>45597</v>
      </c>
      <c r="D1421" t="s">
        <v>4392</v>
      </c>
      <c r="E1421">
        <v>111.9</v>
      </c>
      <c r="F1421">
        <v>4.7</v>
      </c>
      <c r="G1421" t="s">
        <v>142</v>
      </c>
      <c r="H1421" t="s">
        <v>729</v>
      </c>
      <c r="I1421" t="s">
        <v>48</v>
      </c>
      <c r="J1421">
        <v>120</v>
      </c>
      <c r="K1421" t="s">
        <v>49</v>
      </c>
      <c r="L1421" t="s">
        <v>96</v>
      </c>
      <c r="M1421" t="s">
        <v>35</v>
      </c>
      <c r="N1421" t="s">
        <v>134</v>
      </c>
      <c r="O1421" t="s">
        <v>37</v>
      </c>
      <c r="P1421" t="s">
        <v>38</v>
      </c>
      <c r="Q1421" t="s">
        <v>38</v>
      </c>
      <c r="R1421">
        <v>1</v>
      </c>
      <c r="S1421" t="s">
        <v>38</v>
      </c>
      <c r="T1421">
        <v>8</v>
      </c>
      <c r="U1421">
        <v>0.1</v>
      </c>
      <c r="V1421">
        <v>28.2</v>
      </c>
      <c r="W1421" t="s">
        <v>38</v>
      </c>
      <c r="X1421" t="s">
        <v>52</v>
      </c>
      <c r="Y1421" t="s">
        <v>38</v>
      </c>
      <c r="Z1421" t="s">
        <v>41</v>
      </c>
      <c r="AA1421" t="s">
        <v>109</v>
      </c>
      <c r="AB1421" t="s">
        <v>43</v>
      </c>
      <c r="AC1421">
        <f t="shared" si="242"/>
        <v>1</v>
      </c>
      <c r="AD1421" s="12">
        <f t="shared" si="246"/>
        <v>0</v>
      </c>
      <c r="AE1421" s="12">
        <f t="shared" si="247"/>
        <v>0</v>
      </c>
      <c r="AF1421">
        <f t="shared" si="243"/>
        <v>0</v>
      </c>
      <c r="AG1421">
        <f t="shared" si="248"/>
        <v>0</v>
      </c>
      <c r="AH1421">
        <f t="shared" si="249"/>
        <v>1</v>
      </c>
      <c r="AI1421">
        <f t="shared" si="250"/>
        <v>0</v>
      </c>
      <c r="AJ1421">
        <f t="shared" si="251"/>
        <v>0</v>
      </c>
      <c r="AK1421">
        <f t="shared" si="244"/>
        <v>0</v>
      </c>
      <c r="AL1421">
        <f t="shared" si="252"/>
        <v>1</v>
      </c>
    </row>
    <row r="1422" spans="1:38">
      <c r="A1422" t="s">
        <v>4393</v>
      </c>
      <c r="B1422" t="s">
        <v>4394</v>
      </c>
      <c r="C1422" s="1">
        <f t="shared" si="245"/>
        <v>45627</v>
      </c>
      <c r="D1422" t="s">
        <v>4395</v>
      </c>
      <c r="E1422">
        <v>317.39999999999998</v>
      </c>
      <c r="F1422">
        <v>13.2</v>
      </c>
      <c r="G1422" t="s">
        <v>77</v>
      </c>
      <c r="H1422" t="s">
        <v>187</v>
      </c>
      <c r="I1422" t="s">
        <v>79</v>
      </c>
      <c r="J1422">
        <v>360</v>
      </c>
      <c r="K1422" t="s">
        <v>49</v>
      </c>
      <c r="L1422" t="s">
        <v>96</v>
      </c>
      <c r="M1422" t="s">
        <v>35</v>
      </c>
      <c r="N1422" t="s">
        <v>61</v>
      </c>
      <c r="O1422" t="s">
        <v>51</v>
      </c>
      <c r="P1422" t="s">
        <v>39</v>
      </c>
      <c r="Q1422" t="s">
        <v>38</v>
      </c>
      <c r="R1422">
        <v>0</v>
      </c>
      <c r="S1422" t="s">
        <v>38</v>
      </c>
      <c r="T1422">
        <v>10</v>
      </c>
      <c r="U1422">
        <v>4.3</v>
      </c>
      <c r="V1422">
        <v>17.2</v>
      </c>
      <c r="W1422" t="s">
        <v>39</v>
      </c>
      <c r="X1422" t="s">
        <v>63</v>
      </c>
      <c r="Y1422" t="s">
        <v>39</v>
      </c>
      <c r="Z1422" t="s">
        <v>64</v>
      </c>
      <c r="AA1422" t="s">
        <v>82</v>
      </c>
      <c r="AB1422" t="s">
        <v>83</v>
      </c>
      <c r="AC1422">
        <f t="shared" si="242"/>
        <v>0</v>
      </c>
      <c r="AD1422" s="12">
        <f t="shared" si="246"/>
        <v>1</v>
      </c>
      <c r="AE1422" s="12">
        <f t="shared" si="247"/>
        <v>0</v>
      </c>
      <c r="AF1422">
        <f t="shared" si="243"/>
        <v>1</v>
      </c>
      <c r="AG1422">
        <f t="shared" si="248"/>
        <v>0</v>
      </c>
      <c r="AH1422">
        <f t="shared" si="249"/>
        <v>0</v>
      </c>
      <c r="AI1422">
        <f t="shared" si="250"/>
        <v>0</v>
      </c>
      <c r="AJ1422">
        <f t="shared" si="251"/>
        <v>0</v>
      </c>
      <c r="AK1422">
        <f t="shared" si="244"/>
        <v>0</v>
      </c>
      <c r="AL1422">
        <f t="shared" si="252"/>
        <v>0</v>
      </c>
    </row>
    <row r="1423" spans="1:38">
      <c r="A1423" t="s">
        <v>4396</v>
      </c>
      <c r="B1423" t="s">
        <v>4397</v>
      </c>
      <c r="C1423" s="1">
        <f t="shared" si="245"/>
        <v>45323</v>
      </c>
      <c r="D1423" t="s">
        <v>4398</v>
      </c>
      <c r="E1423">
        <v>216.8</v>
      </c>
      <c r="F1423">
        <v>9</v>
      </c>
      <c r="G1423" t="s">
        <v>101</v>
      </c>
      <c r="H1423" t="s">
        <v>368</v>
      </c>
      <c r="I1423" t="s">
        <v>32</v>
      </c>
      <c r="J1423">
        <v>240</v>
      </c>
      <c r="K1423" t="s">
        <v>49</v>
      </c>
      <c r="L1423" t="s">
        <v>96</v>
      </c>
      <c r="M1423" t="s">
        <v>35</v>
      </c>
      <c r="N1423" t="s">
        <v>128</v>
      </c>
      <c r="O1423" t="s">
        <v>51</v>
      </c>
      <c r="P1423" t="s">
        <v>38</v>
      </c>
      <c r="Q1423" t="s">
        <v>38</v>
      </c>
      <c r="R1423">
        <v>1</v>
      </c>
      <c r="S1423" t="s">
        <v>39</v>
      </c>
      <c r="T1423">
        <v>9</v>
      </c>
      <c r="U1423">
        <v>3.6</v>
      </c>
      <c r="V1423">
        <v>39.6</v>
      </c>
      <c r="W1423" t="s">
        <v>39</v>
      </c>
      <c r="X1423" t="s">
        <v>40</v>
      </c>
      <c r="Y1423" t="s">
        <v>39</v>
      </c>
      <c r="Z1423" t="s">
        <v>73</v>
      </c>
      <c r="AA1423" t="s">
        <v>54</v>
      </c>
      <c r="AB1423" t="s">
        <v>55</v>
      </c>
      <c r="AC1423">
        <f t="shared" si="242"/>
        <v>0</v>
      </c>
      <c r="AD1423" s="12">
        <f t="shared" si="246"/>
        <v>0</v>
      </c>
      <c r="AE1423" s="12">
        <f t="shared" si="247"/>
        <v>0</v>
      </c>
      <c r="AF1423">
        <f t="shared" si="243"/>
        <v>1</v>
      </c>
      <c r="AG1423">
        <f t="shared" si="248"/>
        <v>0</v>
      </c>
      <c r="AH1423">
        <f t="shared" si="249"/>
        <v>0</v>
      </c>
      <c r="AI1423">
        <f t="shared" si="250"/>
        <v>0</v>
      </c>
      <c r="AJ1423">
        <f t="shared" si="251"/>
        <v>1</v>
      </c>
      <c r="AK1423">
        <f t="shared" si="244"/>
        <v>0</v>
      </c>
      <c r="AL1423">
        <f t="shared" si="252"/>
        <v>0</v>
      </c>
    </row>
    <row r="1424" spans="1:38">
      <c r="A1424" t="s">
        <v>4399</v>
      </c>
      <c r="B1424" t="s">
        <v>4400</v>
      </c>
      <c r="C1424" s="1">
        <f t="shared" si="245"/>
        <v>45597</v>
      </c>
      <c r="D1424" t="s">
        <v>4401</v>
      </c>
      <c r="E1424">
        <v>56.1</v>
      </c>
      <c r="F1424">
        <v>2.2999999999999998</v>
      </c>
      <c r="G1424" t="s">
        <v>87</v>
      </c>
      <c r="H1424" t="s">
        <v>309</v>
      </c>
      <c r="I1424" t="s">
        <v>95</v>
      </c>
      <c r="J1424">
        <v>48</v>
      </c>
      <c r="K1424" t="s">
        <v>33</v>
      </c>
      <c r="L1424" t="s">
        <v>96</v>
      </c>
      <c r="M1424" t="s">
        <v>71</v>
      </c>
      <c r="N1424" t="s">
        <v>89</v>
      </c>
      <c r="O1424" t="s">
        <v>7232</v>
      </c>
      <c r="P1424" t="s">
        <v>38</v>
      </c>
      <c r="Q1424" t="s">
        <v>39</v>
      </c>
      <c r="R1424">
        <v>2</v>
      </c>
      <c r="S1424" t="s">
        <v>38</v>
      </c>
      <c r="T1424">
        <v>1</v>
      </c>
      <c r="U1424">
        <v>0.7</v>
      </c>
      <c r="V1424">
        <v>0</v>
      </c>
      <c r="W1424" t="s">
        <v>39</v>
      </c>
      <c r="X1424" t="s">
        <v>52</v>
      </c>
      <c r="Y1424" t="s">
        <v>38</v>
      </c>
      <c r="Z1424" t="s">
        <v>53</v>
      </c>
      <c r="AA1424" t="s">
        <v>42</v>
      </c>
      <c r="AB1424" t="s">
        <v>83</v>
      </c>
      <c r="AC1424">
        <f t="shared" si="242"/>
        <v>1</v>
      </c>
      <c r="AD1424" s="12">
        <f t="shared" si="246"/>
        <v>0</v>
      </c>
      <c r="AE1424" s="12">
        <f t="shared" si="247"/>
        <v>0</v>
      </c>
      <c r="AF1424">
        <f t="shared" si="243"/>
        <v>0</v>
      </c>
      <c r="AG1424">
        <f t="shared" si="248"/>
        <v>1</v>
      </c>
      <c r="AH1424">
        <f t="shared" si="249"/>
        <v>0</v>
      </c>
      <c r="AI1424">
        <f t="shared" si="250"/>
        <v>1</v>
      </c>
      <c r="AJ1424">
        <f t="shared" si="251"/>
        <v>0</v>
      </c>
      <c r="AK1424">
        <f t="shared" si="244"/>
        <v>0</v>
      </c>
      <c r="AL1424">
        <f t="shared" si="252"/>
        <v>1</v>
      </c>
    </row>
    <row r="1425" spans="1:38">
      <c r="A1425" t="s">
        <v>4402</v>
      </c>
      <c r="B1425" t="s">
        <v>4403</v>
      </c>
      <c r="C1425" s="1">
        <f t="shared" si="245"/>
        <v>45413</v>
      </c>
      <c r="D1425" t="s">
        <v>4404</v>
      </c>
      <c r="E1425">
        <v>336</v>
      </c>
      <c r="F1425">
        <v>14</v>
      </c>
      <c r="G1425" t="s">
        <v>142</v>
      </c>
      <c r="H1425" t="s">
        <v>729</v>
      </c>
      <c r="I1425" t="s">
        <v>79</v>
      </c>
      <c r="J1425">
        <v>360</v>
      </c>
      <c r="K1425" t="s">
        <v>49</v>
      </c>
      <c r="L1425" t="s">
        <v>70</v>
      </c>
      <c r="M1425" t="s">
        <v>71</v>
      </c>
      <c r="N1425" t="s">
        <v>89</v>
      </c>
      <c r="O1425" t="s">
        <v>7232</v>
      </c>
      <c r="P1425" t="s">
        <v>38</v>
      </c>
      <c r="Q1425" t="s">
        <v>39</v>
      </c>
      <c r="R1425">
        <v>2</v>
      </c>
      <c r="S1425" t="s">
        <v>39</v>
      </c>
      <c r="T1425">
        <v>7</v>
      </c>
      <c r="U1425">
        <v>1</v>
      </c>
      <c r="V1425">
        <v>40.200000000000003</v>
      </c>
      <c r="W1425" t="s">
        <v>38</v>
      </c>
      <c r="X1425" t="s">
        <v>40</v>
      </c>
      <c r="Y1425" t="s">
        <v>39</v>
      </c>
      <c r="Z1425" t="s">
        <v>53</v>
      </c>
      <c r="AA1425" t="s">
        <v>109</v>
      </c>
      <c r="AB1425" t="s">
        <v>43</v>
      </c>
      <c r="AC1425">
        <f t="shared" si="242"/>
        <v>0</v>
      </c>
      <c r="AD1425" s="12">
        <f t="shared" si="246"/>
        <v>0</v>
      </c>
      <c r="AE1425" s="12">
        <f t="shared" si="247"/>
        <v>0</v>
      </c>
      <c r="AF1425">
        <f t="shared" si="243"/>
        <v>0</v>
      </c>
      <c r="AG1425">
        <f t="shared" si="248"/>
        <v>1</v>
      </c>
      <c r="AH1425">
        <f t="shared" si="249"/>
        <v>0</v>
      </c>
      <c r="AI1425">
        <f t="shared" si="250"/>
        <v>0</v>
      </c>
      <c r="AJ1425">
        <f t="shared" si="251"/>
        <v>0</v>
      </c>
      <c r="AK1425">
        <f t="shared" si="244"/>
        <v>0</v>
      </c>
      <c r="AL1425">
        <f t="shared" si="252"/>
        <v>0</v>
      </c>
    </row>
    <row r="1426" spans="1:38">
      <c r="A1426" t="s">
        <v>4405</v>
      </c>
      <c r="B1426" t="s">
        <v>4406</v>
      </c>
      <c r="C1426" s="1">
        <f t="shared" si="245"/>
        <v>45505</v>
      </c>
      <c r="D1426" t="s">
        <v>4407</v>
      </c>
      <c r="E1426">
        <v>74.599999999999994</v>
      </c>
      <c r="F1426">
        <v>3.1</v>
      </c>
      <c r="G1426" t="s">
        <v>30</v>
      </c>
      <c r="H1426" t="s">
        <v>159</v>
      </c>
      <c r="I1426" t="s">
        <v>48</v>
      </c>
      <c r="J1426">
        <v>120</v>
      </c>
      <c r="K1426" t="s">
        <v>49</v>
      </c>
      <c r="L1426" t="s">
        <v>70</v>
      </c>
      <c r="M1426" t="s">
        <v>35</v>
      </c>
      <c r="N1426" t="s">
        <v>299</v>
      </c>
      <c r="O1426" t="s">
        <v>7232</v>
      </c>
      <c r="P1426" t="s">
        <v>38</v>
      </c>
      <c r="Q1426" t="s">
        <v>38</v>
      </c>
      <c r="R1426">
        <v>1</v>
      </c>
      <c r="S1426" t="s">
        <v>38</v>
      </c>
      <c r="T1426">
        <v>7</v>
      </c>
      <c r="U1426">
        <v>3</v>
      </c>
      <c r="V1426">
        <v>40</v>
      </c>
      <c r="W1426" t="s">
        <v>38</v>
      </c>
      <c r="X1426" t="s">
        <v>123</v>
      </c>
      <c r="Y1426" t="s">
        <v>39</v>
      </c>
      <c r="Z1426" t="s">
        <v>179</v>
      </c>
      <c r="AA1426" t="s">
        <v>103</v>
      </c>
      <c r="AB1426" t="s">
        <v>83</v>
      </c>
      <c r="AC1426">
        <f t="shared" si="242"/>
        <v>0</v>
      </c>
      <c r="AD1426" s="12">
        <f t="shared" si="246"/>
        <v>0</v>
      </c>
      <c r="AE1426" s="12">
        <f t="shared" si="247"/>
        <v>1</v>
      </c>
      <c r="AF1426">
        <f t="shared" si="243"/>
        <v>0</v>
      </c>
      <c r="AG1426">
        <f t="shared" si="248"/>
        <v>1</v>
      </c>
      <c r="AH1426">
        <f t="shared" si="249"/>
        <v>1</v>
      </c>
      <c r="AI1426">
        <f t="shared" si="250"/>
        <v>0</v>
      </c>
      <c r="AJ1426">
        <f t="shared" si="251"/>
        <v>0</v>
      </c>
      <c r="AK1426">
        <f t="shared" si="244"/>
        <v>1</v>
      </c>
      <c r="AL1426">
        <f t="shared" si="252"/>
        <v>0</v>
      </c>
    </row>
    <row r="1427" spans="1:38">
      <c r="A1427" t="s">
        <v>4408</v>
      </c>
      <c r="B1427" t="s">
        <v>4409</v>
      </c>
      <c r="C1427" s="1">
        <f t="shared" si="245"/>
        <v>45352</v>
      </c>
      <c r="D1427" t="s">
        <v>4410</v>
      </c>
      <c r="E1427">
        <v>340.3</v>
      </c>
      <c r="F1427">
        <v>14.2</v>
      </c>
      <c r="G1427" t="s">
        <v>93</v>
      </c>
      <c r="H1427" t="s">
        <v>94</v>
      </c>
      <c r="I1427" t="s">
        <v>79</v>
      </c>
      <c r="J1427">
        <v>360</v>
      </c>
      <c r="K1427" t="s">
        <v>49</v>
      </c>
      <c r="L1427" t="s">
        <v>70</v>
      </c>
      <c r="M1427" t="s">
        <v>35</v>
      </c>
      <c r="N1427" t="s">
        <v>202</v>
      </c>
      <c r="O1427" t="s">
        <v>37</v>
      </c>
      <c r="P1427" t="s">
        <v>39</v>
      </c>
      <c r="Q1427" t="s">
        <v>38</v>
      </c>
      <c r="R1427">
        <v>0</v>
      </c>
      <c r="S1427" t="s">
        <v>39</v>
      </c>
      <c r="T1427">
        <v>7</v>
      </c>
      <c r="U1427">
        <v>5.8</v>
      </c>
      <c r="V1427">
        <v>0</v>
      </c>
      <c r="W1427" t="s">
        <v>39</v>
      </c>
      <c r="X1427" t="s">
        <v>52</v>
      </c>
      <c r="Y1427" t="s">
        <v>38</v>
      </c>
      <c r="Z1427" t="s">
        <v>108</v>
      </c>
      <c r="AA1427" t="s">
        <v>82</v>
      </c>
      <c r="AB1427" t="s">
        <v>55</v>
      </c>
      <c r="AC1427">
        <f t="shared" si="242"/>
        <v>1</v>
      </c>
      <c r="AD1427" s="12">
        <f t="shared" si="246"/>
        <v>0</v>
      </c>
      <c r="AE1427" s="12">
        <f t="shared" si="247"/>
        <v>0</v>
      </c>
      <c r="AF1427">
        <f t="shared" si="243"/>
        <v>0</v>
      </c>
      <c r="AG1427">
        <f t="shared" si="248"/>
        <v>0</v>
      </c>
      <c r="AH1427">
        <f t="shared" si="249"/>
        <v>0</v>
      </c>
      <c r="AI1427">
        <f t="shared" si="250"/>
        <v>0</v>
      </c>
      <c r="AJ1427">
        <f t="shared" si="251"/>
        <v>0</v>
      </c>
      <c r="AK1427">
        <f t="shared" si="244"/>
        <v>0</v>
      </c>
      <c r="AL1427">
        <f t="shared" si="252"/>
        <v>1</v>
      </c>
    </row>
    <row r="1428" spans="1:38">
      <c r="A1428" t="s">
        <v>4411</v>
      </c>
      <c r="B1428" t="s">
        <v>4412</v>
      </c>
      <c r="C1428" s="1">
        <f t="shared" si="245"/>
        <v>45383</v>
      </c>
      <c r="D1428" t="s">
        <v>4413</v>
      </c>
      <c r="E1428">
        <v>645.9</v>
      </c>
      <c r="F1428">
        <v>26.9</v>
      </c>
      <c r="G1428" t="s">
        <v>101</v>
      </c>
      <c r="H1428" t="s">
        <v>442</v>
      </c>
      <c r="I1428" t="s">
        <v>32</v>
      </c>
      <c r="J1428">
        <v>240</v>
      </c>
      <c r="K1428" t="s">
        <v>33</v>
      </c>
      <c r="L1428" t="s">
        <v>34</v>
      </c>
      <c r="M1428" t="s">
        <v>35</v>
      </c>
      <c r="N1428" t="s">
        <v>506</v>
      </c>
      <c r="O1428" t="s">
        <v>51</v>
      </c>
      <c r="P1428" t="s">
        <v>38</v>
      </c>
      <c r="Q1428" t="s">
        <v>38</v>
      </c>
      <c r="R1428">
        <v>1</v>
      </c>
      <c r="S1428" t="s">
        <v>38</v>
      </c>
      <c r="T1428">
        <v>2</v>
      </c>
      <c r="U1428">
        <v>1.6</v>
      </c>
      <c r="V1428">
        <v>0</v>
      </c>
      <c r="W1428" t="s">
        <v>38</v>
      </c>
      <c r="X1428" t="s">
        <v>123</v>
      </c>
      <c r="Y1428" t="s">
        <v>39</v>
      </c>
      <c r="Z1428" t="s">
        <v>108</v>
      </c>
      <c r="AA1428" t="s">
        <v>109</v>
      </c>
      <c r="AB1428" t="s">
        <v>55</v>
      </c>
      <c r="AC1428">
        <f t="shared" si="242"/>
        <v>0</v>
      </c>
      <c r="AD1428" s="12">
        <f t="shared" si="246"/>
        <v>0</v>
      </c>
      <c r="AE1428" s="12">
        <f t="shared" si="247"/>
        <v>1</v>
      </c>
      <c r="AF1428">
        <f t="shared" si="243"/>
        <v>1</v>
      </c>
      <c r="AG1428">
        <f t="shared" si="248"/>
        <v>0</v>
      </c>
      <c r="AH1428">
        <f t="shared" si="249"/>
        <v>0</v>
      </c>
      <c r="AI1428">
        <f t="shared" si="250"/>
        <v>0</v>
      </c>
      <c r="AJ1428">
        <f t="shared" si="251"/>
        <v>1</v>
      </c>
      <c r="AK1428">
        <f t="shared" si="244"/>
        <v>0</v>
      </c>
      <c r="AL1428">
        <f t="shared" si="252"/>
        <v>0</v>
      </c>
    </row>
    <row r="1429" spans="1:38">
      <c r="A1429" t="s">
        <v>4414</v>
      </c>
      <c r="B1429" t="s">
        <v>4415</v>
      </c>
      <c r="C1429" s="1">
        <f t="shared" si="245"/>
        <v>45323</v>
      </c>
      <c r="D1429" t="s">
        <v>4416</v>
      </c>
      <c r="E1429">
        <v>248.1</v>
      </c>
      <c r="F1429">
        <v>10.3</v>
      </c>
      <c r="G1429" t="s">
        <v>101</v>
      </c>
      <c r="H1429" t="s">
        <v>295</v>
      </c>
      <c r="I1429" t="s">
        <v>32</v>
      </c>
      <c r="J1429">
        <v>240</v>
      </c>
      <c r="K1429" t="s">
        <v>33</v>
      </c>
      <c r="L1429" t="s">
        <v>70</v>
      </c>
      <c r="M1429" t="s">
        <v>35</v>
      </c>
      <c r="N1429" t="s">
        <v>220</v>
      </c>
      <c r="O1429" t="s">
        <v>51</v>
      </c>
      <c r="P1429" t="s">
        <v>39</v>
      </c>
      <c r="Q1429" t="s">
        <v>38</v>
      </c>
      <c r="R1429">
        <v>0</v>
      </c>
      <c r="S1429" t="s">
        <v>39</v>
      </c>
      <c r="T1429">
        <v>5</v>
      </c>
      <c r="U1429">
        <v>4</v>
      </c>
      <c r="V1429">
        <v>19.899999999999999</v>
      </c>
      <c r="W1429" t="s">
        <v>38</v>
      </c>
      <c r="X1429" t="s">
        <v>63</v>
      </c>
      <c r="Y1429" t="s">
        <v>39</v>
      </c>
      <c r="Z1429" t="s">
        <v>53</v>
      </c>
      <c r="AA1429" t="s">
        <v>103</v>
      </c>
      <c r="AB1429" t="s">
        <v>55</v>
      </c>
      <c r="AC1429">
        <f t="shared" si="242"/>
        <v>0</v>
      </c>
      <c r="AD1429" s="12">
        <f t="shared" si="246"/>
        <v>1</v>
      </c>
      <c r="AE1429" s="12">
        <f t="shared" si="247"/>
        <v>0</v>
      </c>
      <c r="AF1429">
        <f t="shared" si="243"/>
        <v>1</v>
      </c>
      <c r="AG1429">
        <f t="shared" si="248"/>
        <v>0</v>
      </c>
      <c r="AH1429">
        <f t="shared" si="249"/>
        <v>0</v>
      </c>
      <c r="AI1429">
        <f t="shared" si="250"/>
        <v>0</v>
      </c>
      <c r="AJ1429">
        <f t="shared" si="251"/>
        <v>1</v>
      </c>
      <c r="AK1429">
        <f t="shared" si="244"/>
        <v>0</v>
      </c>
      <c r="AL1429">
        <f t="shared" si="252"/>
        <v>0</v>
      </c>
    </row>
    <row r="1430" spans="1:38">
      <c r="A1430" t="s">
        <v>4417</v>
      </c>
      <c r="B1430" t="s">
        <v>4418</v>
      </c>
      <c r="C1430" s="1">
        <f t="shared" si="245"/>
        <v>45444</v>
      </c>
      <c r="D1430" t="s">
        <v>4419</v>
      </c>
      <c r="E1430">
        <v>306.2</v>
      </c>
      <c r="F1430">
        <v>12.8</v>
      </c>
      <c r="G1430" t="s">
        <v>30</v>
      </c>
      <c r="H1430" t="s">
        <v>172</v>
      </c>
      <c r="I1430" t="s">
        <v>79</v>
      </c>
      <c r="J1430">
        <v>360</v>
      </c>
      <c r="K1430" t="s">
        <v>49</v>
      </c>
      <c r="L1430" t="s">
        <v>96</v>
      </c>
      <c r="M1430" t="s">
        <v>35</v>
      </c>
      <c r="N1430" t="s">
        <v>192</v>
      </c>
      <c r="O1430" t="s">
        <v>7232</v>
      </c>
      <c r="P1430" t="s">
        <v>38</v>
      </c>
      <c r="Q1430" t="s">
        <v>38</v>
      </c>
      <c r="R1430">
        <v>1</v>
      </c>
      <c r="S1430" t="s">
        <v>38</v>
      </c>
      <c r="T1430">
        <v>5</v>
      </c>
      <c r="U1430">
        <v>1.6</v>
      </c>
      <c r="V1430">
        <v>17.100000000000001</v>
      </c>
      <c r="W1430" t="s">
        <v>39</v>
      </c>
      <c r="X1430" t="s">
        <v>123</v>
      </c>
      <c r="Y1430" t="s">
        <v>39</v>
      </c>
      <c r="Z1430" t="s">
        <v>41</v>
      </c>
      <c r="AA1430" t="s">
        <v>42</v>
      </c>
      <c r="AB1430" t="s">
        <v>55</v>
      </c>
      <c r="AC1430">
        <f t="shared" si="242"/>
        <v>0</v>
      </c>
      <c r="AD1430" s="12">
        <f t="shared" si="246"/>
        <v>0</v>
      </c>
      <c r="AE1430" s="12">
        <f t="shared" si="247"/>
        <v>1</v>
      </c>
      <c r="AF1430">
        <f t="shared" si="243"/>
        <v>0</v>
      </c>
      <c r="AG1430">
        <f t="shared" si="248"/>
        <v>1</v>
      </c>
      <c r="AH1430">
        <f t="shared" si="249"/>
        <v>0</v>
      </c>
      <c r="AI1430">
        <f t="shared" si="250"/>
        <v>0</v>
      </c>
      <c r="AJ1430">
        <f t="shared" si="251"/>
        <v>0</v>
      </c>
      <c r="AK1430">
        <f t="shared" si="244"/>
        <v>1</v>
      </c>
      <c r="AL1430">
        <f t="shared" si="252"/>
        <v>0</v>
      </c>
    </row>
    <row r="1431" spans="1:38">
      <c r="A1431" t="s">
        <v>4420</v>
      </c>
      <c r="B1431" t="s">
        <v>4421</v>
      </c>
      <c r="C1431" s="1">
        <f t="shared" si="245"/>
        <v>45505</v>
      </c>
      <c r="D1431" t="s">
        <v>4422</v>
      </c>
      <c r="E1431">
        <v>214.6</v>
      </c>
      <c r="F1431">
        <v>8.9</v>
      </c>
      <c r="G1431" t="s">
        <v>30</v>
      </c>
      <c r="H1431" t="s">
        <v>47</v>
      </c>
      <c r="I1431" t="s">
        <v>32</v>
      </c>
      <c r="J1431">
        <v>240</v>
      </c>
      <c r="K1431" t="s">
        <v>49</v>
      </c>
      <c r="L1431" t="s">
        <v>70</v>
      </c>
      <c r="M1431" t="s">
        <v>71</v>
      </c>
      <c r="N1431" t="s">
        <v>107</v>
      </c>
      <c r="O1431" t="s">
        <v>51</v>
      </c>
      <c r="P1431" t="s">
        <v>38</v>
      </c>
      <c r="Q1431" t="s">
        <v>39</v>
      </c>
      <c r="R1431">
        <v>2</v>
      </c>
      <c r="S1431" t="s">
        <v>38</v>
      </c>
      <c r="T1431">
        <v>7</v>
      </c>
      <c r="U1431">
        <v>4.7</v>
      </c>
      <c r="V1431">
        <v>20.2</v>
      </c>
      <c r="W1431" t="s">
        <v>39</v>
      </c>
      <c r="X1431" t="s">
        <v>123</v>
      </c>
      <c r="Y1431" t="s">
        <v>39</v>
      </c>
      <c r="Z1431" t="s">
        <v>53</v>
      </c>
      <c r="AA1431" t="s">
        <v>109</v>
      </c>
      <c r="AB1431" t="s">
        <v>43</v>
      </c>
      <c r="AC1431">
        <f t="shared" si="242"/>
        <v>0</v>
      </c>
      <c r="AD1431" s="12">
        <f t="shared" si="246"/>
        <v>0</v>
      </c>
      <c r="AE1431" s="12">
        <f t="shared" si="247"/>
        <v>1</v>
      </c>
      <c r="AF1431">
        <f t="shared" si="243"/>
        <v>1</v>
      </c>
      <c r="AG1431">
        <f t="shared" si="248"/>
        <v>0</v>
      </c>
      <c r="AH1431">
        <f t="shared" si="249"/>
        <v>0</v>
      </c>
      <c r="AI1431">
        <f t="shared" si="250"/>
        <v>0</v>
      </c>
      <c r="AJ1431">
        <f t="shared" si="251"/>
        <v>1</v>
      </c>
      <c r="AK1431">
        <f t="shared" si="244"/>
        <v>1</v>
      </c>
      <c r="AL1431">
        <f t="shared" si="252"/>
        <v>0</v>
      </c>
    </row>
    <row r="1432" spans="1:38">
      <c r="A1432" t="s">
        <v>4423</v>
      </c>
      <c r="B1432" t="s">
        <v>4424</v>
      </c>
      <c r="C1432" s="1">
        <f t="shared" si="245"/>
        <v>45383</v>
      </c>
      <c r="D1432" t="s">
        <v>4425</v>
      </c>
      <c r="E1432">
        <v>163.9</v>
      </c>
      <c r="F1432">
        <v>6.8</v>
      </c>
      <c r="G1432" t="s">
        <v>68</v>
      </c>
      <c r="H1432" t="s">
        <v>219</v>
      </c>
      <c r="I1432" t="s">
        <v>32</v>
      </c>
      <c r="J1432">
        <v>240</v>
      </c>
      <c r="K1432" t="s">
        <v>49</v>
      </c>
      <c r="L1432" t="s">
        <v>70</v>
      </c>
      <c r="M1432" t="s">
        <v>35</v>
      </c>
      <c r="N1432" t="s">
        <v>114</v>
      </c>
      <c r="O1432" t="s">
        <v>51</v>
      </c>
      <c r="P1432" t="s">
        <v>38</v>
      </c>
      <c r="Q1432" t="s">
        <v>38</v>
      </c>
      <c r="R1432">
        <v>1</v>
      </c>
      <c r="S1432" t="s">
        <v>38</v>
      </c>
      <c r="T1432">
        <v>9</v>
      </c>
      <c r="U1432">
        <v>2.8</v>
      </c>
      <c r="V1432">
        <v>22.2</v>
      </c>
      <c r="W1432" t="s">
        <v>39</v>
      </c>
      <c r="X1432" t="s">
        <v>52</v>
      </c>
      <c r="Y1432" t="s">
        <v>39</v>
      </c>
      <c r="Z1432" t="s">
        <v>41</v>
      </c>
      <c r="AA1432" t="s">
        <v>82</v>
      </c>
      <c r="AB1432" t="s">
        <v>55</v>
      </c>
      <c r="AC1432">
        <f t="shared" si="242"/>
        <v>1</v>
      </c>
      <c r="AD1432" s="12">
        <f t="shared" si="246"/>
        <v>0</v>
      </c>
      <c r="AE1432" s="12">
        <f t="shared" si="247"/>
        <v>0</v>
      </c>
      <c r="AF1432">
        <f t="shared" si="243"/>
        <v>1</v>
      </c>
      <c r="AG1432">
        <f t="shared" si="248"/>
        <v>0</v>
      </c>
      <c r="AH1432">
        <f t="shared" si="249"/>
        <v>0</v>
      </c>
      <c r="AI1432">
        <f t="shared" si="250"/>
        <v>0</v>
      </c>
      <c r="AJ1432">
        <f t="shared" si="251"/>
        <v>1</v>
      </c>
      <c r="AK1432">
        <f t="shared" si="244"/>
        <v>0</v>
      </c>
      <c r="AL1432">
        <f t="shared" si="252"/>
        <v>0</v>
      </c>
    </row>
    <row r="1433" spans="1:38">
      <c r="A1433" t="s">
        <v>4426</v>
      </c>
      <c r="B1433" t="s">
        <v>4427</v>
      </c>
      <c r="C1433" s="1">
        <f t="shared" si="245"/>
        <v>45413</v>
      </c>
      <c r="D1433" t="s">
        <v>4428</v>
      </c>
      <c r="E1433">
        <v>328.9</v>
      </c>
      <c r="F1433">
        <v>13.7</v>
      </c>
      <c r="G1433" t="s">
        <v>77</v>
      </c>
      <c r="H1433" t="s">
        <v>244</v>
      </c>
      <c r="I1433" t="s">
        <v>32</v>
      </c>
      <c r="J1433">
        <v>240</v>
      </c>
      <c r="K1433" t="s">
        <v>33</v>
      </c>
      <c r="L1433" t="s">
        <v>34</v>
      </c>
      <c r="M1433" t="s">
        <v>71</v>
      </c>
      <c r="N1433" t="s">
        <v>119</v>
      </c>
      <c r="O1433" t="s">
        <v>7232</v>
      </c>
      <c r="P1433" t="s">
        <v>38</v>
      </c>
      <c r="Q1433" t="s">
        <v>39</v>
      </c>
      <c r="R1433">
        <v>2</v>
      </c>
      <c r="S1433" t="s">
        <v>38</v>
      </c>
      <c r="T1433">
        <v>4</v>
      </c>
      <c r="U1433">
        <v>3.5</v>
      </c>
      <c r="V1433">
        <v>27.2</v>
      </c>
      <c r="W1433" t="s">
        <v>39</v>
      </c>
      <c r="X1433" t="s">
        <v>123</v>
      </c>
      <c r="Y1433" t="s">
        <v>39</v>
      </c>
      <c r="Z1433" t="s">
        <v>115</v>
      </c>
      <c r="AA1433" t="s">
        <v>42</v>
      </c>
      <c r="AB1433" t="s">
        <v>83</v>
      </c>
      <c r="AC1433">
        <f t="shared" si="242"/>
        <v>0</v>
      </c>
      <c r="AD1433" s="12">
        <f t="shared" si="246"/>
        <v>0</v>
      </c>
      <c r="AE1433" s="12">
        <f t="shared" si="247"/>
        <v>1</v>
      </c>
      <c r="AF1433">
        <f t="shared" si="243"/>
        <v>0</v>
      </c>
      <c r="AG1433">
        <f t="shared" si="248"/>
        <v>1</v>
      </c>
      <c r="AH1433">
        <f t="shared" si="249"/>
        <v>0</v>
      </c>
      <c r="AI1433">
        <f t="shared" si="250"/>
        <v>0</v>
      </c>
      <c r="AJ1433">
        <f t="shared" si="251"/>
        <v>1</v>
      </c>
      <c r="AK1433">
        <f t="shared" si="244"/>
        <v>0</v>
      </c>
      <c r="AL1433">
        <f t="shared" si="252"/>
        <v>0</v>
      </c>
    </row>
    <row r="1434" spans="1:38">
      <c r="A1434" t="s">
        <v>4429</v>
      </c>
      <c r="B1434" t="s">
        <v>4430</v>
      </c>
      <c r="C1434" s="1">
        <f t="shared" si="245"/>
        <v>45413</v>
      </c>
      <c r="D1434" t="s">
        <v>4431</v>
      </c>
      <c r="E1434">
        <v>74.2</v>
      </c>
      <c r="F1434">
        <v>3.1</v>
      </c>
      <c r="G1434" t="s">
        <v>59</v>
      </c>
      <c r="H1434" t="s">
        <v>227</v>
      </c>
      <c r="I1434" t="s">
        <v>48</v>
      </c>
      <c r="J1434">
        <v>120</v>
      </c>
      <c r="K1434" t="s">
        <v>49</v>
      </c>
      <c r="L1434" t="s">
        <v>96</v>
      </c>
      <c r="M1434" t="s">
        <v>71</v>
      </c>
      <c r="N1434" t="s">
        <v>164</v>
      </c>
      <c r="O1434" t="s">
        <v>7232</v>
      </c>
      <c r="P1434" t="s">
        <v>38</v>
      </c>
      <c r="Q1434" t="s">
        <v>39</v>
      </c>
      <c r="R1434">
        <v>1</v>
      </c>
      <c r="S1434" t="s">
        <v>38</v>
      </c>
      <c r="T1434">
        <v>5</v>
      </c>
      <c r="U1434">
        <v>5.3</v>
      </c>
      <c r="V1434">
        <v>5.6</v>
      </c>
      <c r="W1434" t="s">
        <v>39</v>
      </c>
      <c r="X1434" t="s">
        <v>52</v>
      </c>
      <c r="Y1434" t="s">
        <v>39</v>
      </c>
      <c r="Z1434" t="s">
        <v>179</v>
      </c>
      <c r="AA1434" t="s">
        <v>82</v>
      </c>
      <c r="AB1434" t="s">
        <v>83</v>
      </c>
      <c r="AC1434">
        <f t="shared" si="242"/>
        <v>1</v>
      </c>
      <c r="AD1434" s="12">
        <f t="shared" si="246"/>
        <v>0</v>
      </c>
      <c r="AE1434" s="12">
        <f t="shared" si="247"/>
        <v>0</v>
      </c>
      <c r="AF1434">
        <f t="shared" si="243"/>
        <v>0</v>
      </c>
      <c r="AG1434">
        <f t="shared" si="248"/>
        <v>1</v>
      </c>
      <c r="AH1434">
        <f t="shared" si="249"/>
        <v>1</v>
      </c>
      <c r="AI1434">
        <f t="shared" si="250"/>
        <v>0</v>
      </c>
      <c r="AJ1434">
        <f t="shared" si="251"/>
        <v>0</v>
      </c>
      <c r="AK1434">
        <f t="shared" si="244"/>
        <v>0</v>
      </c>
      <c r="AL1434">
        <f t="shared" si="252"/>
        <v>0</v>
      </c>
    </row>
    <row r="1435" spans="1:38">
      <c r="A1435" t="s">
        <v>4432</v>
      </c>
      <c r="B1435" t="s">
        <v>4433</v>
      </c>
      <c r="C1435" s="1">
        <f t="shared" si="245"/>
        <v>45383</v>
      </c>
      <c r="D1435" t="s">
        <v>4434</v>
      </c>
      <c r="E1435">
        <v>196</v>
      </c>
      <c r="F1435">
        <v>8.1999999999999993</v>
      </c>
      <c r="G1435" t="s">
        <v>101</v>
      </c>
      <c r="H1435" t="s">
        <v>295</v>
      </c>
      <c r="I1435" t="s">
        <v>32</v>
      </c>
      <c r="J1435">
        <v>240</v>
      </c>
      <c r="K1435" t="s">
        <v>49</v>
      </c>
      <c r="L1435" t="s">
        <v>70</v>
      </c>
      <c r="M1435" t="s">
        <v>35</v>
      </c>
      <c r="N1435" t="s">
        <v>89</v>
      </c>
      <c r="O1435" t="s">
        <v>7232</v>
      </c>
      <c r="P1435" t="s">
        <v>38</v>
      </c>
      <c r="Q1435" t="s">
        <v>38</v>
      </c>
      <c r="R1435">
        <v>1</v>
      </c>
      <c r="S1435" t="s">
        <v>39</v>
      </c>
      <c r="T1435">
        <v>7</v>
      </c>
      <c r="U1435">
        <v>0.6</v>
      </c>
      <c r="V1435">
        <v>10.8</v>
      </c>
      <c r="W1435" t="s">
        <v>39</v>
      </c>
      <c r="X1435" t="s">
        <v>123</v>
      </c>
      <c r="Y1435" t="s">
        <v>38</v>
      </c>
      <c r="Z1435" t="s">
        <v>64</v>
      </c>
      <c r="AA1435" t="s">
        <v>109</v>
      </c>
      <c r="AB1435" t="s">
        <v>83</v>
      </c>
      <c r="AC1435">
        <f t="shared" si="242"/>
        <v>0</v>
      </c>
      <c r="AD1435" s="12">
        <f t="shared" si="246"/>
        <v>0</v>
      </c>
      <c r="AE1435" s="12">
        <f t="shared" si="247"/>
        <v>1</v>
      </c>
      <c r="AF1435">
        <f t="shared" si="243"/>
        <v>0</v>
      </c>
      <c r="AG1435">
        <f t="shared" si="248"/>
        <v>1</v>
      </c>
      <c r="AH1435">
        <f t="shared" si="249"/>
        <v>0</v>
      </c>
      <c r="AI1435">
        <f t="shared" si="250"/>
        <v>0</v>
      </c>
      <c r="AJ1435">
        <f t="shared" si="251"/>
        <v>1</v>
      </c>
      <c r="AK1435">
        <f t="shared" si="244"/>
        <v>0</v>
      </c>
      <c r="AL1435">
        <f t="shared" si="252"/>
        <v>1</v>
      </c>
    </row>
    <row r="1436" spans="1:38">
      <c r="A1436" t="s">
        <v>4435</v>
      </c>
      <c r="B1436" t="s">
        <v>4436</v>
      </c>
      <c r="C1436" s="1">
        <f t="shared" si="245"/>
        <v>45566</v>
      </c>
      <c r="D1436" t="s">
        <v>4437</v>
      </c>
      <c r="E1436">
        <v>185.7</v>
      </c>
      <c r="F1436">
        <v>7.7</v>
      </c>
      <c r="G1436" t="s">
        <v>30</v>
      </c>
      <c r="H1436" t="s">
        <v>159</v>
      </c>
      <c r="I1436" t="s">
        <v>32</v>
      </c>
      <c r="J1436">
        <v>240</v>
      </c>
      <c r="K1436" t="s">
        <v>49</v>
      </c>
      <c r="L1436" t="s">
        <v>96</v>
      </c>
      <c r="M1436" t="s">
        <v>35</v>
      </c>
      <c r="N1436" t="s">
        <v>155</v>
      </c>
      <c r="O1436" t="s">
        <v>37</v>
      </c>
      <c r="P1436" t="s">
        <v>38</v>
      </c>
      <c r="Q1436" t="s">
        <v>38</v>
      </c>
      <c r="R1436">
        <v>1</v>
      </c>
      <c r="S1436" t="s">
        <v>38</v>
      </c>
      <c r="T1436">
        <v>10</v>
      </c>
      <c r="U1436">
        <v>4</v>
      </c>
      <c r="V1436">
        <v>22.1</v>
      </c>
      <c r="W1436" t="s">
        <v>39</v>
      </c>
      <c r="X1436" t="s">
        <v>52</v>
      </c>
      <c r="Y1436" t="s">
        <v>39</v>
      </c>
      <c r="Z1436" t="s">
        <v>64</v>
      </c>
      <c r="AA1436" t="s">
        <v>82</v>
      </c>
      <c r="AB1436" t="s">
        <v>83</v>
      </c>
      <c r="AC1436">
        <f t="shared" si="242"/>
        <v>1</v>
      </c>
      <c r="AD1436" s="12">
        <f t="shared" si="246"/>
        <v>0</v>
      </c>
      <c r="AE1436" s="12">
        <f t="shared" si="247"/>
        <v>0</v>
      </c>
      <c r="AF1436">
        <f t="shared" si="243"/>
        <v>0</v>
      </c>
      <c r="AG1436">
        <f t="shared" si="248"/>
        <v>0</v>
      </c>
      <c r="AH1436">
        <f t="shared" si="249"/>
        <v>0</v>
      </c>
      <c r="AI1436">
        <f t="shared" si="250"/>
        <v>0</v>
      </c>
      <c r="AJ1436">
        <f t="shared" si="251"/>
        <v>1</v>
      </c>
      <c r="AK1436">
        <f t="shared" si="244"/>
        <v>1</v>
      </c>
      <c r="AL1436">
        <f t="shared" si="252"/>
        <v>0</v>
      </c>
    </row>
    <row r="1437" spans="1:38">
      <c r="A1437" t="s">
        <v>4438</v>
      </c>
      <c r="B1437" t="s">
        <v>4439</v>
      </c>
      <c r="C1437" s="1">
        <f t="shared" si="245"/>
        <v>45383</v>
      </c>
      <c r="D1437" t="s">
        <v>4440</v>
      </c>
      <c r="E1437">
        <v>389.5</v>
      </c>
      <c r="F1437">
        <v>16.2</v>
      </c>
      <c r="G1437" t="s">
        <v>77</v>
      </c>
      <c r="H1437" t="s">
        <v>244</v>
      </c>
      <c r="I1437" t="s">
        <v>79</v>
      </c>
      <c r="J1437">
        <v>360</v>
      </c>
      <c r="K1437" t="s">
        <v>33</v>
      </c>
      <c r="L1437" t="s">
        <v>113</v>
      </c>
      <c r="M1437" t="s">
        <v>35</v>
      </c>
      <c r="N1437" t="s">
        <v>72</v>
      </c>
      <c r="O1437" t="s">
        <v>51</v>
      </c>
      <c r="P1437" t="s">
        <v>39</v>
      </c>
      <c r="Q1437" t="s">
        <v>38</v>
      </c>
      <c r="R1437">
        <v>0</v>
      </c>
      <c r="S1437" t="s">
        <v>38</v>
      </c>
      <c r="T1437">
        <v>6</v>
      </c>
      <c r="U1437">
        <v>1.3</v>
      </c>
      <c r="V1437">
        <v>24.9</v>
      </c>
      <c r="W1437" t="s">
        <v>39</v>
      </c>
      <c r="X1437" t="s">
        <v>63</v>
      </c>
      <c r="Y1437" t="s">
        <v>39</v>
      </c>
      <c r="Z1437" t="s">
        <v>64</v>
      </c>
      <c r="AA1437" t="s">
        <v>103</v>
      </c>
      <c r="AB1437" t="s">
        <v>83</v>
      </c>
      <c r="AC1437">
        <f t="shared" si="242"/>
        <v>0</v>
      </c>
      <c r="AD1437" s="12">
        <f t="shared" si="246"/>
        <v>1</v>
      </c>
      <c r="AE1437" s="12">
        <f t="shared" si="247"/>
        <v>0</v>
      </c>
      <c r="AF1437">
        <f t="shared" si="243"/>
        <v>1</v>
      </c>
      <c r="AG1437">
        <f t="shared" si="248"/>
        <v>0</v>
      </c>
      <c r="AH1437">
        <f t="shared" si="249"/>
        <v>0</v>
      </c>
      <c r="AI1437">
        <f t="shared" si="250"/>
        <v>0</v>
      </c>
      <c r="AJ1437">
        <f t="shared" si="251"/>
        <v>0</v>
      </c>
      <c r="AK1437">
        <f t="shared" si="244"/>
        <v>0</v>
      </c>
      <c r="AL1437">
        <f t="shared" si="252"/>
        <v>0</v>
      </c>
    </row>
    <row r="1438" spans="1:38">
      <c r="A1438" t="s">
        <v>4441</v>
      </c>
      <c r="B1438" t="s">
        <v>4442</v>
      </c>
      <c r="C1438" s="1">
        <f t="shared" si="245"/>
        <v>45444</v>
      </c>
      <c r="D1438" t="s">
        <v>4443</v>
      </c>
      <c r="E1438">
        <v>92.8</v>
      </c>
      <c r="F1438">
        <v>3.9</v>
      </c>
      <c r="G1438" t="s">
        <v>101</v>
      </c>
      <c r="H1438" t="s">
        <v>442</v>
      </c>
      <c r="I1438" t="s">
        <v>48</v>
      </c>
      <c r="J1438">
        <v>120</v>
      </c>
      <c r="K1438" t="s">
        <v>49</v>
      </c>
      <c r="L1438" t="s">
        <v>70</v>
      </c>
      <c r="M1438" t="s">
        <v>71</v>
      </c>
      <c r="N1438" t="s">
        <v>164</v>
      </c>
      <c r="O1438" t="s">
        <v>7232</v>
      </c>
      <c r="P1438" t="s">
        <v>38</v>
      </c>
      <c r="Q1438" t="s">
        <v>39</v>
      </c>
      <c r="R1438">
        <v>2</v>
      </c>
      <c r="S1438" t="s">
        <v>38</v>
      </c>
      <c r="T1438">
        <v>7</v>
      </c>
      <c r="U1438">
        <v>0.4</v>
      </c>
      <c r="V1438">
        <v>26</v>
      </c>
      <c r="W1438" t="s">
        <v>38</v>
      </c>
      <c r="X1438" t="s">
        <v>123</v>
      </c>
      <c r="Y1438" t="s">
        <v>39</v>
      </c>
      <c r="Z1438" t="s">
        <v>41</v>
      </c>
      <c r="AA1438" t="s">
        <v>42</v>
      </c>
      <c r="AB1438" t="s">
        <v>83</v>
      </c>
      <c r="AC1438">
        <f t="shared" si="242"/>
        <v>0</v>
      </c>
      <c r="AD1438" s="12">
        <f t="shared" si="246"/>
        <v>0</v>
      </c>
      <c r="AE1438" s="12">
        <f t="shared" si="247"/>
        <v>1</v>
      </c>
      <c r="AF1438">
        <f t="shared" si="243"/>
        <v>0</v>
      </c>
      <c r="AG1438">
        <f t="shared" si="248"/>
        <v>1</v>
      </c>
      <c r="AH1438">
        <f t="shared" si="249"/>
        <v>1</v>
      </c>
      <c r="AI1438">
        <f t="shared" si="250"/>
        <v>0</v>
      </c>
      <c r="AJ1438">
        <f t="shared" si="251"/>
        <v>0</v>
      </c>
      <c r="AK1438">
        <f t="shared" si="244"/>
        <v>0</v>
      </c>
      <c r="AL1438">
        <f t="shared" si="252"/>
        <v>0</v>
      </c>
    </row>
    <row r="1439" spans="1:38">
      <c r="A1439" t="s">
        <v>4444</v>
      </c>
      <c r="B1439" t="s">
        <v>4445</v>
      </c>
      <c r="C1439" s="1">
        <f t="shared" si="245"/>
        <v>45505</v>
      </c>
      <c r="D1439" t="s">
        <v>4446</v>
      </c>
      <c r="E1439">
        <v>96.9</v>
      </c>
      <c r="F1439">
        <v>4</v>
      </c>
      <c r="G1439" t="s">
        <v>68</v>
      </c>
      <c r="H1439" t="s">
        <v>69</v>
      </c>
      <c r="I1439" t="s">
        <v>48</v>
      </c>
      <c r="J1439">
        <v>120</v>
      </c>
      <c r="K1439" t="s">
        <v>49</v>
      </c>
      <c r="L1439" t="s">
        <v>96</v>
      </c>
      <c r="M1439" t="s">
        <v>35</v>
      </c>
      <c r="N1439" t="s">
        <v>220</v>
      </c>
      <c r="O1439" t="s">
        <v>7232</v>
      </c>
      <c r="P1439" t="s">
        <v>39</v>
      </c>
      <c r="Q1439" t="s">
        <v>38</v>
      </c>
      <c r="R1439">
        <v>0</v>
      </c>
      <c r="S1439" t="s">
        <v>38</v>
      </c>
      <c r="T1439">
        <v>9</v>
      </c>
      <c r="U1439">
        <v>1.4</v>
      </c>
      <c r="V1439">
        <v>19.5</v>
      </c>
      <c r="W1439" t="s">
        <v>38</v>
      </c>
      <c r="X1439" t="s">
        <v>40</v>
      </c>
      <c r="Y1439" t="s">
        <v>39</v>
      </c>
      <c r="Z1439" t="s">
        <v>115</v>
      </c>
      <c r="AA1439" t="s">
        <v>103</v>
      </c>
      <c r="AB1439" t="s">
        <v>55</v>
      </c>
      <c r="AC1439">
        <f t="shared" si="242"/>
        <v>0</v>
      </c>
      <c r="AD1439" s="12">
        <f t="shared" si="246"/>
        <v>0</v>
      </c>
      <c r="AE1439" s="12">
        <f t="shared" si="247"/>
        <v>0</v>
      </c>
      <c r="AF1439">
        <f t="shared" si="243"/>
        <v>0</v>
      </c>
      <c r="AG1439">
        <f t="shared" si="248"/>
        <v>1</v>
      </c>
      <c r="AH1439">
        <f t="shared" si="249"/>
        <v>1</v>
      </c>
      <c r="AI1439">
        <f t="shared" si="250"/>
        <v>0</v>
      </c>
      <c r="AJ1439">
        <f t="shared" si="251"/>
        <v>0</v>
      </c>
      <c r="AK1439">
        <f t="shared" si="244"/>
        <v>0</v>
      </c>
      <c r="AL1439">
        <f t="shared" si="252"/>
        <v>0</v>
      </c>
    </row>
    <row r="1440" spans="1:38">
      <c r="A1440" t="s">
        <v>4447</v>
      </c>
      <c r="B1440" t="s">
        <v>4448</v>
      </c>
      <c r="C1440" s="1">
        <f t="shared" si="245"/>
        <v>45536</v>
      </c>
      <c r="D1440" t="s">
        <v>4449</v>
      </c>
      <c r="E1440">
        <v>150.19999999999999</v>
      </c>
      <c r="F1440">
        <v>6.3</v>
      </c>
      <c r="G1440" t="s">
        <v>30</v>
      </c>
      <c r="H1440" t="s">
        <v>172</v>
      </c>
      <c r="I1440" t="s">
        <v>32</v>
      </c>
      <c r="J1440">
        <v>240</v>
      </c>
      <c r="K1440" t="s">
        <v>49</v>
      </c>
      <c r="L1440" t="s">
        <v>70</v>
      </c>
      <c r="M1440" t="s">
        <v>35</v>
      </c>
      <c r="N1440" t="s">
        <v>155</v>
      </c>
      <c r="O1440" t="s">
        <v>37</v>
      </c>
      <c r="P1440" t="s">
        <v>39</v>
      </c>
      <c r="Q1440" t="s">
        <v>38</v>
      </c>
      <c r="R1440">
        <v>0</v>
      </c>
      <c r="S1440" t="s">
        <v>39</v>
      </c>
      <c r="T1440">
        <v>9</v>
      </c>
      <c r="U1440">
        <v>5.0999999999999996</v>
      </c>
      <c r="V1440">
        <v>25.2</v>
      </c>
      <c r="W1440" t="s">
        <v>39</v>
      </c>
      <c r="X1440" t="s">
        <v>52</v>
      </c>
      <c r="Y1440" t="s">
        <v>38</v>
      </c>
      <c r="Z1440" t="s">
        <v>179</v>
      </c>
      <c r="AA1440" t="s">
        <v>103</v>
      </c>
      <c r="AB1440" t="s">
        <v>83</v>
      </c>
      <c r="AC1440">
        <f t="shared" si="242"/>
        <v>1</v>
      </c>
      <c r="AD1440" s="12">
        <f t="shared" si="246"/>
        <v>0</v>
      </c>
      <c r="AE1440" s="12">
        <f t="shared" si="247"/>
        <v>0</v>
      </c>
      <c r="AF1440">
        <f t="shared" si="243"/>
        <v>0</v>
      </c>
      <c r="AG1440">
        <f t="shared" si="248"/>
        <v>0</v>
      </c>
      <c r="AH1440">
        <f t="shared" si="249"/>
        <v>0</v>
      </c>
      <c r="AI1440">
        <f t="shared" si="250"/>
        <v>0</v>
      </c>
      <c r="AJ1440">
        <f t="shared" si="251"/>
        <v>1</v>
      </c>
      <c r="AK1440">
        <f t="shared" si="244"/>
        <v>1</v>
      </c>
      <c r="AL1440">
        <f t="shared" si="252"/>
        <v>1</v>
      </c>
    </row>
    <row r="1441" spans="1:38">
      <c r="A1441" t="s">
        <v>4450</v>
      </c>
      <c r="B1441" t="s">
        <v>4451</v>
      </c>
      <c r="C1441" s="1">
        <f t="shared" si="245"/>
        <v>45444</v>
      </c>
      <c r="D1441" t="s">
        <v>4452</v>
      </c>
      <c r="E1441">
        <v>862.9</v>
      </c>
      <c r="F1441">
        <v>36</v>
      </c>
      <c r="G1441" t="s">
        <v>77</v>
      </c>
      <c r="H1441" t="s">
        <v>187</v>
      </c>
      <c r="I1441" t="s">
        <v>79</v>
      </c>
      <c r="J1441">
        <v>360</v>
      </c>
      <c r="K1441" t="s">
        <v>33</v>
      </c>
      <c r="L1441" t="s">
        <v>34</v>
      </c>
      <c r="M1441" t="s">
        <v>35</v>
      </c>
      <c r="N1441" t="s">
        <v>220</v>
      </c>
      <c r="O1441" t="s">
        <v>7232</v>
      </c>
      <c r="P1441" t="s">
        <v>39</v>
      </c>
      <c r="Q1441" t="s">
        <v>38</v>
      </c>
      <c r="R1441">
        <v>0</v>
      </c>
      <c r="S1441" t="s">
        <v>38</v>
      </c>
      <c r="T1441">
        <v>8</v>
      </c>
      <c r="U1441">
        <v>4.0999999999999996</v>
      </c>
      <c r="V1441">
        <v>13.9</v>
      </c>
      <c r="W1441" t="s">
        <v>39</v>
      </c>
      <c r="X1441" t="s">
        <v>63</v>
      </c>
      <c r="Y1441" t="s">
        <v>39</v>
      </c>
      <c r="Z1441" t="s">
        <v>179</v>
      </c>
      <c r="AA1441" t="s">
        <v>54</v>
      </c>
      <c r="AB1441" t="s">
        <v>83</v>
      </c>
      <c r="AC1441">
        <f t="shared" si="242"/>
        <v>0</v>
      </c>
      <c r="AD1441" s="12">
        <f t="shared" si="246"/>
        <v>1</v>
      </c>
      <c r="AE1441" s="12">
        <f t="shared" si="247"/>
        <v>0</v>
      </c>
      <c r="AF1441">
        <f t="shared" si="243"/>
        <v>0</v>
      </c>
      <c r="AG1441">
        <f t="shared" si="248"/>
        <v>1</v>
      </c>
      <c r="AH1441">
        <f t="shared" si="249"/>
        <v>0</v>
      </c>
      <c r="AI1441">
        <f t="shared" si="250"/>
        <v>0</v>
      </c>
      <c r="AJ1441">
        <f t="shared" si="251"/>
        <v>0</v>
      </c>
      <c r="AK1441">
        <f t="shared" si="244"/>
        <v>0</v>
      </c>
      <c r="AL1441">
        <f t="shared" si="252"/>
        <v>0</v>
      </c>
    </row>
    <row r="1442" spans="1:38">
      <c r="A1442" t="s">
        <v>4453</v>
      </c>
      <c r="B1442" t="s">
        <v>4454</v>
      </c>
      <c r="C1442" s="1">
        <f t="shared" si="245"/>
        <v>45323</v>
      </c>
      <c r="D1442" t="s">
        <v>4455</v>
      </c>
      <c r="E1442">
        <v>93.2</v>
      </c>
      <c r="F1442">
        <v>3.9</v>
      </c>
      <c r="G1442" t="s">
        <v>30</v>
      </c>
      <c r="H1442" t="s">
        <v>47</v>
      </c>
      <c r="I1442" t="s">
        <v>48</v>
      </c>
      <c r="J1442">
        <v>120</v>
      </c>
      <c r="K1442" t="s">
        <v>49</v>
      </c>
      <c r="L1442" t="s">
        <v>96</v>
      </c>
      <c r="M1442" t="s">
        <v>35</v>
      </c>
      <c r="N1442" t="s">
        <v>414</v>
      </c>
      <c r="O1442" t="s">
        <v>51</v>
      </c>
      <c r="P1442" t="s">
        <v>38</v>
      </c>
      <c r="Q1442" t="s">
        <v>38</v>
      </c>
      <c r="R1442">
        <v>1</v>
      </c>
      <c r="S1442" t="s">
        <v>39</v>
      </c>
      <c r="T1442">
        <v>9</v>
      </c>
      <c r="U1442">
        <v>5.2</v>
      </c>
      <c r="V1442">
        <v>1.9</v>
      </c>
      <c r="W1442" t="s">
        <v>39</v>
      </c>
      <c r="X1442" t="s">
        <v>63</v>
      </c>
      <c r="Y1442" t="s">
        <v>39</v>
      </c>
      <c r="Z1442" t="s">
        <v>41</v>
      </c>
      <c r="AA1442" t="s">
        <v>42</v>
      </c>
      <c r="AB1442" t="s">
        <v>55</v>
      </c>
      <c r="AC1442">
        <f t="shared" si="242"/>
        <v>0</v>
      </c>
      <c r="AD1442" s="12">
        <f t="shared" si="246"/>
        <v>1</v>
      </c>
      <c r="AE1442" s="12">
        <f t="shared" si="247"/>
        <v>0</v>
      </c>
      <c r="AF1442">
        <f t="shared" si="243"/>
        <v>1</v>
      </c>
      <c r="AG1442">
        <f t="shared" si="248"/>
        <v>0</v>
      </c>
      <c r="AH1442">
        <f t="shared" si="249"/>
        <v>1</v>
      </c>
      <c r="AI1442">
        <f t="shared" si="250"/>
        <v>0</v>
      </c>
      <c r="AJ1442">
        <f t="shared" si="251"/>
        <v>0</v>
      </c>
      <c r="AK1442">
        <f t="shared" si="244"/>
        <v>1</v>
      </c>
      <c r="AL1442">
        <f t="shared" si="252"/>
        <v>0</v>
      </c>
    </row>
    <row r="1443" spans="1:38">
      <c r="A1443" t="s">
        <v>4456</v>
      </c>
      <c r="B1443" t="s">
        <v>4457</v>
      </c>
      <c r="C1443" s="1">
        <f t="shared" si="245"/>
        <v>45536</v>
      </c>
      <c r="D1443" t="s">
        <v>4458</v>
      </c>
      <c r="E1443">
        <v>134.6</v>
      </c>
      <c r="F1443">
        <v>5.6</v>
      </c>
      <c r="G1443" t="s">
        <v>87</v>
      </c>
      <c r="H1443" t="s">
        <v>183</v>
      </c>
      <c r="I1443" t="s">
        <v>48</v>
      </c>
      <c r="J1443">
        <v>120</v>
      </c>
      <c r="K1443" t="s">
        <v>33</v>
      </c>
      <c r="L1443" t="s">
        <v>96</v>
      </c>
      <c r="M1443" t="s">
        <v>71</v>
      </c>
      <c r="N1443" t="s">
        <v>168</v>
      </c>
      <c r="O1443" t="s">
        <v>51</v>
      </c>
      <c r="P1443" t="s">
        <v>38</v>
      </c>
      <c r="Q1443" t="s">
        <v>39</v>
      </c>
      <c r="R1443">
        <v>4</v>
      </c>
      <c r="S1443" t="s">
        <v>38</v>
      </c>
      <c r="T1443">
        <v>8</v>
      </c>
      <c r="U1443">
        <v>1.2</v>
      </c>
      <c r="V1443">
        <v>2.2999999999999998</v>
      </c>
      <c r="W1443" t="s">
        <v>38</v>
      </c>
      <c r="X1443" t="s">
        <v>123</v>
      </c>
      <c r="Y1443" t="s">
        <v>39</v>
      </c>
      <c r="Z1443" t="s">
        <v>115</v>
      </c>
      <c r="AA1443" t="s">
        <v>103</v>
      </c>
      <c r="AB1443" t="s">
        <v>83</v>
      </c>
      <c r="AC1443">
        <f t="shared" si="242"/>
        <v>0</v>
      </c>
      <c r="AD1443" s="12">
        <f t="shared" si="246"/>
        <v>0</v>
      </c>
      <c r="AE1443" s="12">
        <f t="shared" si="247"/>
        <v>1</v>
      </c>
      <c r="AF1443">
        <f t="shared" si="243"/>
        <v>1</v>
      </c>
      <c r="AG1443">
        <f t="shared" si="248"/>
        <v>0</v>
      </c>
      <c r="AH1443">
        <f t="shared" si="249"/>
        <v>1</v>
      </c>
      <c r="AI1443">
        <f t="shared" si="250"/>
        <v>0</v>
      </c>
      <c r="AJ1443">
        <f t="shared" si="251"/>
        <v>0</v>
      </c>
      <c r="AK1443">
        <f t="shared" si="244"/>
        <v>0</v>
      </c>
      <c r="AL1443">
        <f t="shared" si="252"/>
        <v>0</v>
      </c>
    </row>
    <row r="1444" spans="1:38">
      <c r="A1444" t="s">
        <v>4459</v>
      </c>
      <c r="B1444" t="s">
        <v>4460</v>
      </c>
      <c r="C1444" s="1">
        <f t="shared" si="245"/>
        <v>45383</v>
      </c>
      <c r="D1444" t="s">
        <v>4461</v>
      </c>
      <c r="E1444">
        <v>249.8</v>
      </c>
      <c r="F1444">
        <v>10.4</v>
      </c>
      <c r="G1444" t="s">
        <v>142</v>
      </c>
      <c r="H1444" t="s">
        <v>260</v>
      </c>
      <c r="I1444" t="s">
        <v>79</v>
      </c>
      <c r="J1444">
        <v>360</v>
      </c>
      <c r="K1444" t="s">
        <v>49</v>
      </c>
      <c r="L1444" t="s">
        <v>96</v>
      </c>
      <c r="M1444" t="s">
        <v>71</v>
      </c>
      <c r="N1444" t="s">
        <v>119</v>
      </c>
      <c r="O1444" t="s">
        <v>7232</v>
      </c>
      <c r="P1444" t="s">
        <v>38</v>
      </c>
      <c r="Q1444" t="s">
        <v>39</v>
      </c>
      <c r="R1444">
        <v>3</v>
      </c>
      <c r="S1444" t="s">
        <v>38</v>
      </c>
      <c r="T1444">
        <v>9</v>
      </c>
      <c r="U1444">
        <v>5.0999999999999996</v>
      </c>
      <c r="V1444">
        <v>30.1</v>
      </c>
      <c r="W1444" t="s">
        <v>39</v>
      </c>
      <c r="X1444" t="s">
        <v>63</v>
      </c>
      <c r="Y1444" t="s">
        <v>39</v>
      </c>
      <c r="Z1444" t="s">
        <v>115</v>
      </c>
      <c r="AA1444" t="s">
        <v>82</v>
      </c>
      <c r="AB1444" t="s">
        <v>83</v>
      </c>
      <c r="AC1444">
        <f t="shared" si="242"/>
        <v>0</v>
      </c>
      <c r="AD1444" s="12">
        <f t="shared" si="246"/>
        <v>1</v>
      </c>
      <c r="AE1444" s="12">
        <f t="shared" si="247"/>
        <v>0</v>
      </c>
      <c r="AF1444">
        <f t="shared" si="243"/>
        <v>0</v>
      </c>
      <c r="AG1444">
        <f t="shared" si="248"/>
        <v>1</v>
      </c>
      <c r="AH1444">
        <f t="shared" si="249"/>
        <v>0</v>
      </c>
      <c r="AI1444">
        <f t="shared" si="250"/>
        <v>0</v>
      </c>
      <c r="AJ1444">
        <f t="shared" si="251"/>
        <v>0</v>
      </c>
      <c r="AK1444">
        <f t="shared" si="244"/>
        <v>0</v>
      </c>
      <c r="AL1444">
        <f t="shared" si="252"/>
        <v>0</v>
      </c>
    </row>
    <row r="1445" spans="1:38">
      <c r="A1445" t="s">
        <v>4462</v>
      </c>
      <c r="B1445" t="s">
        <v>4463</v>
      </c>
      <c r="C1445" s="1">
        <f t="shared" si="245"/>
        <v>45505</v>
      </c>
      <c r="D1445" t="s">
        <v>4464</v>
      </c>
      <c r="E1445">
        <v>463</v>
      </c>
      <c r="F1445">
        <v>19.3</v>
      </c>
      <c r="G1445" t="s">
        <v>77</v>
      </c>
      <c r="H1445" t="s">
        <v>267</v>
      </c>
      <c r="I1445" t="s">
        <v>79</v>
      </c>
      <c r="J1445">
        <v>360</v>
      </c>
      <c r="K1445" t="s">
        <v>33</v>
      </c>
      <c r="L1445" t="s">
        <v>133</v>
      </c>
      <c r="M1445" t="s">
        <v>35</v>
      </c>
      <c r="N1445" t="s">
        <v>277</v>
      </c>
      <c r="O1445" t="s">
        <v>37</v>
      </c>
      <c r="P1445" t="s">
        <v>39</v>
      </c>
      <c r="Q1445" t="s">
        <v>38</v>
      </c>
      <c r="R1445">
        <v>0</v>
      </c>
      <c r="S1445" t="s">
        <v>38</v>
      </c>
      <c r="T1445">
        <v>5</v>
      </c>
      <c r="U1445">
        <v>4.9000000000000004</v>
      </c>
      <c r="V1445">
        <v>18.3</v>
      </c>
      <c r="W1445" t="s">
        <v>39</v>
      </c>
      <c r="X1445" t="s">
        <v>123</v>
      </c>
      <c r="Y1445" t="s">
        <v>39</v>
      </c>
      <c r="Z1445" t="s">
        <v>108</v>
      </c>
      <c r="AA1445" t="s">
        <v>109</v>
      </c>
      <c r="AB1445" t="s">
        <v>83</v>
      </c>
      <c r="AC1445">
        <f t="shared" si="242"/>
        <v>0</v>
      </c>
      <c r="AD1445" s="12">
        <f t="shared" si="246"/>
        <v>0</v>
      </c>
      <c r="AE1445" s="12">
        <f t="shared" si="247"/>
        <v>1</v>
      </c>
      <c r="AF1445">
        <f t="shared" si="243"/>
        <v>0</v>
      </c>
      <c r="AG1445">
        <f t="shared" si="248"/>
        <v>0</v>
      </c>
      <c r="AH1445">
        <f t="shared" si="249"/>
        <v>0</v>
      </c>
      <c r="AI1445">
        <f t="shared" si="250"/>
        <v>0</v>
      </c>
      <c r="AJ1445">
        <f t="shared" si="251"/>
        <v>0</v>
      </c>
      <c r="AK1445">
        <f t="shared" si="244"/>
        <v>0</v>
      </c>
      <c r="AL1445">
        <f t="shared" si="252"/>
        <v>0</v>
      </c>
    </row>
    <row r="1446" spans="1:38">
      <c r="A1446" t="s">
        <v>4465</v>
      </c>
      <c r="B1446" t="s">
        <v>4466</v>
      </c>
      <c r="C1446" s="1">
        <f t="shared" si="245"/>
        <v>45597</v>
      </c>
      <c r="D1446" t="s">
        <v>4467</v>
      </c>
      <c r="E1446">
        <v>193.8</v>
      </c>
      <c r="F1446">
        <v>8.1</v>
      </c>
      <c r="G1446" t="s">
        <v>142</v>
      </c>
      <c r="H1446" t="s">
        <v>729</v>
      </c>
      <c r="I1446" t="s">
        <v>32</v>
      </c>
      <c r="J1446">
        <v>240</v>
      </c>
      <c r="K1446" t="s">
        <v>49</v>
      </c>
      <c r="L1446" t="s">
        <v>34</v>
      </c>
      <c r="M1446" t="s">
        <v>71</v>
      </c>
      <c r="N1446" t="s">
        <v>128</v>
      </c>
      <c r="O1446" t="s">
        <v>7232</v>
      </c>
      <c r="P1446" t="s">
        <v>38</v>
      </c>
      <c r="Q1446" t="s">
        <v>39</v>
      </c>
      <c r="R1446">
        <v>1</v>
      </c>
      <c r="S1446" t="s">
        <v>38</v>
      </c>
      <c r="T1446">
        <v>6</v>
      </c>
      <c r="U1446">
        <v>0.1</v>
      </c>
      <c r="V1446">
        <v>20.7</v>
      </c>
      <c r="W1446" t="s">
        <v>39</v>
      </c>
      <c r="X1446" t="s">
        <v>123</v>
      </c>
      <c r="Y1446" t="s">
        <v>39</v>
      </c>
      <c r="Z1446" t="s">
        <v>53</v>
      </c>
      <c r="AA1446" t="s">
        <v>82</v>
      </c>
      <c r="AB1446" t="s">
        <v>83</v>
      </c>
      <c r="AC1446">
        <f t="shared" si="242"/>
        <v>0</v>
      </c>
      <c r="AD1446" s="12">
        <f t="shared" si="246"/>
        <v>0</v>
      </c>
      <c r="AE1446" s="12">
        <f t="shared" si="247"/>
        <v>1</v>
      </c>
      <c r="AF1446">
        <f t="shared" si="243"/>
        <v>0</v>
      </c>
      <c r="AG1446">
        <f t="shared" si="248"/>
        <v>1</v>
      </c>
      <c r="AH1446">
        <f t="shared" si="249"/>
        <v>0</v>
      </c>
      <c r="AI1446">
        <f t="shared" si="250"/>
        <v>0</v>
      </c>
      <c r="AJ1446">
        <f t="shared" si="251"/>
        <v>1</v>
      </c>
      <c r="AK1446">
        <f t="shared" si="244"/>
        <v>0</v>
      </c>
      <c r="AL1446">
        <f t="shared" si="252"/>
        <v>0</v>
      </c>
    </row>
    <row r="1447" spans="1:38">
      <c r="A1447" t="s">
        <v>4468</v>
      </c>
      <c r="B1447" t="s">
        <v>4469</v>
      </c>
      <c r="C1447" s="1">
        <f t="shared" si="245"/>
        <v>45413</v>
      </c>
      <c r="D1447" t="s">
        <v>4470</v>
      </c>
      <c r="E1447">
        <v>497.4</v>
      </c>
      <c r="F1447">
        <v>20.7</v>
      </c>
      <c r="G1447" t="s">
        <v>101</v>
      </c>
      <c r="H1447" t="s">
        <v>368</v>
      </c>
      <c r="I1447" t="s">
        <v>79</v>
      </c>
      <c r="J1447">
        <v>360</v>
      </c>
      <c r="K1447" t="s">
        <v>33</v>
      </c>
      <c r="L1447" t="s">
        <v>34</v>
      </c>
      <c r="M1447" t="s">
        <v>35</v>
      </c>
      <c r="N1447" t="s">
        <v>36</v>
      </c>
      <c r="O1447" t="s">
        <v>51</v>
      </c>
      <c r="P1447" t="s">
        <v>39</v>
      </c>
      <c r="Q1447" t="s">
        <v>38</v>
      </c>
      <c r="R1447">
        <v>0</v>
      </c>
      <c r="S1447" t="s">
        <v>38</v>
      </c>
      <c r="T1447">
        <v>6</v>
      </c>
      <c r="U1447">
        <v>4.3</v>
      </c>
      <c r="V1447">
        <v>10</v>
      </c>
      <c r="W1447" t="s">
        <v>39</v>
      </c>
      <c r="X1447" t="s">
        <v>123</v>
      </c>
      <c r="Y1447" t="s">
        <v>39</v>
      </c>
      <c r="Z1447" t="s">
        <v>73</v>
      </c>
      <c r="AA1447" t="s">
        <v>82</v>
      </c>
      <c r="AB1447" t="s">
        <v>55</v>
      </c>
      <c r="AC1447">
        <f t="shared" si="242"/>
        <v>0</v>
      </c>
      <c r="AD1447" s="12">
        <f t="shared" si="246"/>
        <v>0</v>
      </c>
      <c r="AE1447" s="12">
        <f t="shared" si="247"/>
        <v>1</v>
      </c>
      <c r="AF1447">
        <f t="shared" si="243"/>
        <v>1</v>
      </c>
      <c r="AG1447">
        <f t="shared" si="248"/>
        <v>0</v>
      </c>
      <c r="AH1447">
        <f t="shared" si="249"/>
        <v>0</v>
      </c>
      <c r="AI1447">
        <f t="shared" si="250"/>
        <v>0</v>
      </c>
      <c r="AJ1447">
        <f t="shared" si="251"/>
        <v>0</v>
      </c>
      <c r="AK1447">
        <f t="shared" si="244"/>
        <v>0</v>
      </c>
      <c r="AL1447">
        <f t="shared" si="252"/>
        <v>0</v>
      </c>
    </row>
    <row r="1448" spans="1:38">
      <c r="A1448" t="s">
        <v>4471</v>
      </c>
      <c r="B1448" t="s">
        <v>4472</v>
      </c>
      <c r="C1448" s="1">
        <f t="shared" si="245"/>
        <v>45536</v>
      </c>
      <c r="D1448" t="s">
        <v>4473</v>
      </c>
      <c r="E1448">
        <v>87.5</v>
      </c>
      <c r="F1448">
        <v>3.6</v>
      </c>
      <c r="G1448" t="s">
        <v>87</v>
      </c>
      <c r="H1448" t="s">
        <v>309</v>
      </c>
      <c r="I1448" t="s">
        <v>48</v>
      </c>
      <c r="J1448">
        <v>120</v>
      </c>
      <c r="K1448" t="s">
        <v>49</v>
      </c>
      <c r="L1448" t="s">
        <v>34</v>
      </c>
      <c r="M1448" t="s">
        <v>35</v>
      </c>
      <c r="N1448" t="s">
        <v>202</v>
      </c>
      <c r="O1448" t="s">
        <v>37</v>
      </c>
      <c r="P1448" t="s">
        <v>38</v>
      </c>
      <c r="Q1448" t="s">
        <v>38</v>
      </c>
      <c r="R1448">
        <v>1</v>
      </c>
      <c r="S1448" t="s">
        <v>38</v>
      </c>
      <c r="T1448">
        <v>8</v>
      </c>
      <c r="U1448">
        <v>0.3</v>
      </c>
      <c r="V1448">
        <v>9.4</v>
      </c>
      <c r="W1448" t="s">
        <v>39</v>
      </c>
      <c r="X1448" t="s">
        <v>63</v>
      </c>
      <c r="Y1448" t="s">
        <v>39</v>
      </c>
      <c r="Z1448" t="s">
        <v>115</v>
      </c>
      <c r="AA1448" t="s">
        <v>42</v>
      </c>
      <c r="AB1448" t="s">
        <v>83</v>
      </c>
      <c r="AC1448">
        <f t="shared" si="242"/>
        <v>0</v>
      </c>
      <c r="AD1448" s="12">
        <f t="shared" si="246"/>
        <v>1</v>
      </c>
      <c r="AE1448" s="12">
        <f t="shared" si="247"/>
        <v>0</v>
      </c>
      <c r="AF1448">
        <f t="shared" si="243"/>
        <v>0</v>
      </c>
      <c r="AG1448">
        <f t="shared" si="248"/>
        <v>0</v>
      </c>
      <c r="AH1448">
        <f t="shared" si="249"/>
        <v>1</v>
      </c>
      <c r="AI1448">
        <f t="shared" si="250"/>
        <v>0</v>
      </c>
      <c r="AJ1448">
        <f t="shared" si="251"/>
        <v>0</v>
      </c>
      <c r="AK1448">
        <f t="shared" si="244"/>
        <v>0</v>
      </c>
      <c r="AL1448">
        <f t="shared" si="252"/>
        <v>0</v>
      </c>
    </row>
    <row r="1449" spans="1:38">
      <c r="A1449" t="s">
        <v>4474</v>
      </c>
      <c r="B1449" t="s">
        <v>4475</v>
      </c>
      <c r="C1449" s="1">
        <f t="shared" si="245"/>
        <v>45566</v>
      </c>
      <c r="D1449" t="s">
        <v>4476</v>
      </c>
      <c r="E1449">
        <v>252.9</v>
      </c>
      <c r="F1449">
        <v>10.5</v>
      </c>
      <c r="G1449" t="s">
        <v>59</v>
      </c>
      <c r="H1449" t="s">
        <v>132</v>
      </c>
      <c r="I1449" t="s">
        <v>32</v>
      </c>
      <c r="J1449">
        <v>240</v>
      </c>
      <c r="K1449" t="s">
        <v>33</v>
      </c>
      <c r="L1449" t="s">
        <v>70</v>
      </c>
      <c r="M1449" t="s">
        <v>35</v>
      </c>
      <c r="N1449" t="s">
        <v>192</v>
      </c>
      <c r="O1449" t="s">
        <v>7232</v>
      </c>
      <c r="P1449" t="s">
        <v>38</v>
      </c>
      <c r="Q1449" t="s">
        <v>38</v>
      </c>
      <c r="R1449">
        <v>1</v>
      </c>
      <c r="S1449" t="s">
        <v>38</v>
      </c>
      <c r="T1449">
        <v>7</v>
      </c>
      <c r="U1449">
        <v>4.5999999999999996</v>
      </c>
      <c r="V1449">
        <v>25</v>
      </c>
      <c r="W1449" t="s">
        <v>39</v>
      </c>
      <c r="X1449" t="s">
        <v>123</v>
      </c>
      <c r="Y1449" t="s">
        <v>38</v>
      </c>
      <c r="Z1449" t="s">
        <v>41</v>
      </c>
      <c r="AA1449" t="s">
        <v>103</v>
      </c>
      <c r="AB1449" t="s">
        <v>55</v>
      </c>
      <c r="AC1449">
        <f t="shared" si="242"/>
        <v>0</v>
      </c>
      <c r="AD1449" s="12">
        <f t="shared" si="246"/>
        <v>0</v>
      </c>
      <c r="AE1449" s="12">
        <f t="shared" si="247"/>
        <v>1</v>
      </c>
      <c r="AF1449">
        <f t="shared" si="243"/>
        <v>0</v>
      </c>
      <c r="AG1449">
        <f t="shared" si="248"/>
        <v>1</v>
      </c>
      <c r="AH1449">
        <f t="shared" si="249"/>
        <v>0</v>
      </c>
      <c r="AI1449">
        <f t="shared" si="250"/>
        <v>0</v>
      </c>
      <c r="AJ1449">
        <f t="shared" si="251"/>
        <v>1</v>
      </c>
      <c r="AK1449">
        <f t="shared" si="244"/>
        <v>0</v>
      </c>
      <c r="AL1449">
        <f t="shared" si="252"/>
        <v>1</v>
      </c>
    </row>
    <row r="1450" spans="1:38">
      <c r="A1450" t="s">
        <v>4477</v>
      </c>
      <c r="B1450" t="s">
        <v>4478</v>
      </c>
      <c r="C1450" s="1">
        <f t="shared" si="245"/>
        <v>45323</v>
      </c>
      <c r="D1450" t="s">
        <v>4479</v>
      </c>
      <c r="E1450">
        <v>309</v>
      </c>
      <c r="F1450">
        <v>12.9</v>
      </c>
      <c r="G1450" t="s">
        <v>142</v>
      </c>
      <c r="H1450" t="s">
        <v>143</v>
      </c>
      <c r="I1450" t="s">
        <v>32</v>
      </c>
      <c r="J1450">
        <v>240</v>
      </c>
      <c r="K1450" t="s">
        <v>33</v>
      </c>
      <c r="L1450" t="s">
        <v>133</v>
      </c>
      <c r="M1450" t="s">
        <v>35</v>
      </c>
      <c r="N1450" t="s">
        <v>192</v>
      </c>
      <c r="O1450" t="s">
        <v>51</v>
      </c>
      <c r="P1450" t="s">
        <v>38</v>
      </c>
      <c r="Q1450" t="s">
        <v>38</v>
      </c>
      <c r="R1450">
        <v>1</v>
      </c>
      <c r="S1450" t="s">
        <v>38</v>
      </c>
      <c r="T1450">
        <v>7</v>
      </c>
      <c r="U1450">
        <v>5.5</v>
      </c>
      <c r="V1450">
        <v>27.4</v>
      </c>
      <c r="W1450" t="s">
        <v>39</v>
      </c>
      <c r="X1450" t="s">
        <v>63</v>
      </c>
      <c r="Y1450" t="s">
        <v>39</v>
      </c>
      <c r="Z1450" t="s">
        <v>108</v>
      </c>
      <c r="AA1450" t="s">
        <v>54</v>
      </c>
      <c r="AB1450" t="s">
        <v>83</v>
      </c>
      <c r="AC1450">
        <f t="shared" si="242"/>
        <v>0</v>
      </c>
      <c r="AD1450" s="12">
        <f t="shared" si="246"/>
        <v>1</v>
      </c>
      <c r="AE1450" s="12">
        <f t="shared" si="247"/>
        <v>0</v>
      </c>
      <c r="AF1450">
        <f t="shared" si="243"/>
        <v>1</v>
      </c>
      <c r="AG1450">
        <f t="shared" si="248"/>
        <v>0</v>
      </c>
      <c r="AH1450">
        <f t="shared" si="249"/>
        <v>0</v>
      </c>
      <c r="AI1450">
        <f t="shared" si="250"/>
        <v>0</v>
      </c>
      <c r="AJ1450">
        <f t="shared" si="251"/>
        <v>1</v>
      </c>
      <c r="AK1450">
        <f t="shared" si="244"/>
        <v>0</v>
      </c>
      <c r="AL1450">
        <f t="shared" si="252"/>
        <v>0</v>
      </c>
    </row>
    <row r="1451" spans="1:38">
      <c r="A1451" t="s">
        <v>4480</v>
      </c>
      <c r="B1451" t="s">
        <v>4481</v>
      </c>
      <c r="C1451" s="1">
        <f t="shared" si="245"/>
        <v>45505</v>
      </c>
      <c r="D1451" t="s">
        <v>4482</v>
      </c>
      <c r="E1451">
        <v>29.2</v>
      </c>
      <c r="F1451">
        <v>1.2</v>
      </c>
      <c r="G1451" t="s">
        <v>68</v>
      </c>
      <c r="H1451" t="s">
        <v>69</v>
      </c>
      <c r="I1451" t="s">
        <v>95</v>
      </c>
      <c r="J1451">
        <v>48</v>
      </c>
      <c r="K1451" t="s">
        <v>49</v>
      </c>
      <c r="L1451" t="s">
        <v>70</v>
      </c>
      <c r="M1451" t="s">
        <v>71</v>
      </c>
      <c r="N1451" t="s">
        <v>36</v>
      </c>
      <c r="O1451" t="s">
        <v>51</v>
      </c>
      <c r="P1451" t="s">
        <v>38</v>
      </c>
      <c r="Q1451" t="s">
        <v>39</v>
      </c>
      <c r="R1451">
        <v>2</v>
      </c>
      <c r="S1451" t="s">
        <v>39</v>
      </c>
      <c r="T1451">
        <v>10</v>
      </c>
      <c r="U1451">
        <v>2.2000000000000002</v>
      </c>
      <c r="V1451">
        <v>23</v>
      </c>
      <c r="W1451" t="s">
        <v>39</v>
      </c>
      <c r="X1451" t="s">
        <v>52</v>
      </c>
      <c r="Y1451" t="s">
        <v>38</v>
      </c>
      <c r="Z1451" t="s">
        <v>64</v>
      </c>
      <c r="AA1451" t="s">
        <v>54</v>
      </c>
      <c r="AB1451" t="s">
        <v>43</v>
      </c>
      <c r="AC1451">
        <f t="shared" si="242"/>
        <v>1</v>
      </c>
      <c r="AD1451" s="12">
        <f t="shared" si="246"/>
        <v>0</v>
      </c>
      <c r="AE1451" s="12">
        <f t="shared" si="247"/>
        <v>0</v>
      </c>
      <c r="AF1451">
        <f t="shared" si="243"/>
        <v>1</v>
      </c>
      <c r="AG1451">
        <f t="shared" si="248"/>
        <v>0</v>
      </c>
      <c r="AH1451">
        <f t="shared" si="249"/>
        <v>0</v>
      </c>
      <c r="AI1451">
        <f t="shared" si="250"/>
        <v>1</v>
      </c>
      <c r="AJ1451">
        <f t="shared" si="251"/>
        <v>0</v>
      </c>
      <c r="AK1451">
        <f t="shared" si="244"/>
        <v>0</v>
      </c>
      <c r="AL1451">
        <f t="shared" si="252"/>
        <v>1</v>
      </c>
    </row>
    <row r="1452" spans="1:38">
      <c r="A1452" t="s">
        <v>4483</v>
      </c>
      <c r="B1452" t="s">
        <v>4484</v>
      </c>
      <c r="C1452" s="1">
        <f t="shared" si="245"/>
        <v>45536</v>
      </c>
      <c r="D1452" t="s">
        <v>4485</v>
      </c>
      <c r="E1452">
        <v>153.5</v>
      </c>
      <c r="F1452">
        <v>6.4</v>
      </c>
      <c r="G1452" t="s">
        <v>59</v>
      </c>
      <c r="H1452" t="s">
        <v>60</v>
      </c>
      <c r="I1452" t="s">
        <v>32</v>
      </c>
      <c r="J1452">
        <v>240</v>
      </c>
      <c r="K1452" t="s">
        <v>49</v>
      </c>
      <c r="L1452" t="s">
        <v>70</v>
      </c>
      <c r="M1452" t="s">
        <v>71</v>
      </c>
      <c r="N1452" t="s">
        <v>128</v>
      </c>
      <c r="O1452" t="s">
        <v>7232</v>
      </c>
      <c r="P1452" t="s">
        <v>38</v>
      </c>
      <c r="Q1452" t="s">
        <v>39</v>
      </c>
      <c r="R1452">
        <v>2</v>
      </c>
      <c r="S1452" t="s">
        <v>38</v>
      </c>
      <c r="T1452">
        <v>5</v>
      </c>
      <c r="U1452">
        <v>0.1</v>
      </c>
      <c r="V1452">
        <v>26.8</v>
      </c>
      <c r="W1452" t="s">
        <v>39</v>
      </c>
      <c r="X1452" t="s">
        <v>52</v>
      </c>
      <c r="Y1452" t="s">
        <v>39</v>
      </c>
      <c r="Z1452" t="s">
        <v>115</v>
      </c>
      <c r="AA1452" t="s">
        <v>54</v>
      </c>
      <c r="AB1452" t="s">
        <v>43</v>
      </c>
      <c r="AC1452">
        <f t="shared" si="242"/>
        <v>1</v>
      </c>
      <c r="AD1452" s="12">
        <f t="shared" si="246"/>
        <v>0</v>
      </c>
      <c r="AE1452" s="12">
        <f t="shared" si="247"/>
        <v>0</v>
      </c>
      <c r="AF1452">
        <f t="shared" si="243"/>
        <v>0</v>
      </c>
      <c r="AG1452">
        <f t="shared" si="248"/>
        <v>1</v>
      </c>
      <c r="AH1452">
        <f t="shared" si="249"/>
        <v>0</v>
      </c>
      <c r="AI1452">
        <f t="shared" si="250"/>
        <v>0</v>
      </c>
      <c r="AJ1452">
        <f t="shared" si="251"/>
        <v>1</v>
      </c>
      <c r="AK1452">
        <f t="shared" si="244"/>
        <v>0</v>
      </c>
      <c r="AL1452">
        <f t="shared" si="252"/>
        <v>0</v>
      </c>
    </row>
    <row r="1453" spans="1:38">
      <c r="A1453" t="s">
        <v>4486</v>
      </c>
      <c r="B1453" t="s">
        <v>4487</v>
      </c>
      <c r="C1453" s="1">
        <f t="shared" si="245"/>
        <v>45536</v>
      </c>
      <c r="D1453" t="s">
        <v>4488</v>
      </c>
      <c r="E1453">
        <v>148.4</v>
      </c>
      <c r="F1453">
        <v>6.2</v>
      </c>
      <c r="G1453" t="s">
        <v>30</v>
      </c>
      <c r="H1453" t="s">
        <v>172</v>
      </c>
      <c r="I1453" t="s">
        <v>32</v>
      </c>
      <c r="J1453">
        <v>240</v>
      </c>
      <c r="K1453" t="s">
        <v>49</v>
      </c>
      <c r="L1453" t="s">
        <v>113</v>
      </c>
      <c r="M1453" t="s">
        <v>71</v>
      </c>
      <c r="N1453" t="s">
        <v>188</v>
      </c>
      <c r="O1453" t="s">
        <v>7232</v>
      </c>
      <c r="P1453" t="s">
        <v>38</v>
      </c>
      <c r="Q1453" t="s">
        <v>39</v>
      </c>
      <c r="R1453">
        <v>3</v>
      </c>
      <c r="S1453" t="s">
        <v>38</v>
      </c>
      <c r="T1453">
        <v>6</v>
      </c>
      <c r="U1453">
        <v>3.7</v>
      </c>
      <c r="V1453">
        <v>33.1</v>
      </c>
      <c r="W1453" t="s">
        <v>39</v>
      </c>
      <c r="X1453" t="s">
        <v>123</v>
      </c>
      <c r="Y1453" t="s">
        <v>39</v>
      </c>
      <c r="Z1453" t="s">
        <v>64</v>
      </c>
      <c r="AA1453" t="s">
        <v>103</v>
      </c>
      <c r="AB1453" t="s">
        <v>55</v>
      </c>
      <c r="AC1453">
        <f t="shared" si="242"/>
        <v>0</v>
      </c>
      <c r="AD1453" s="12">
        <f t="shared" si="246"/>
        <v>0</v>
      </c>
      <c r="AE1453" s="12">
        <f t="shared" si="247"/>
        <v>1</v>
      </c>
      <c r="AF1453">
        <f t="shared" si="243"/>
        <v>0</v>
      </c>
      <c r="AG1453">
        <f t="shared" si="248"/>
        <v>1</v>
      </c>
      <c r="AH1453">
        <f t="shared" si="249"/>
        <v>0</v>
      </c>
      <c r="AI1453">
        <f t="shared" si="250"/>
        <v>0</v>
      </c>
      <c r="AJ1453">
        <f t="shared" si="251"/>
        <v>1</v>
      </c>
      <c r="AK1453">
        <f t="shared" si="244"/>
        <v>1</v>
      </c>
      <c r="AL1453">
        <f t="shared" si="252"/>
        <v>0</v>
      </c>
    </row>
    <row r="1454" spans="1:38">
      <c r="A1454" t="s">
        <v>4489</v>
      </c>
      <c r="B1454" t="s">
        <v>4490</v>
      </c>
      <c r="C1454" s="1">
        <f t="shared" si="245"/>
        <v>45566</v>
      </c>
      <c r="D1454" t="s">
        <v>4491</v>
      </c>
      <c r="E1454">
        <v>192.7</v>
      </c>
      <c r="F1454">
        <v>8</v>
      </c>
      <c r="G1454" t="s">
        <v>101</v>
      </c>
      <c r="H1454" t="s">
        <v>368</v>
      </c>
      <c r="I1454" t="s">
        <v>32</v>
      </c>
      <c r="J1454">
        <v>240</v>
      </c>
      <c r="K1454" t="s">
        <v>49</v>
      </c>
      <c r="L1454" t="s">
        <v>70</v>
      </c>
      <c r="M1454" t="s">
        <v>35</v>
      </c>
      <c r="N1454" t="s">
        <v>277</v>
      </c>
      <c r="O1454" t="s">
        <v>7232</v>
      </c>
      <c r="P1454" t="s">
        <v>39</v>
      </c>
      <c r="Q1454" t="s">
        <v>38</v>
      </c>
      <c r="R1454">
        <v>0</v>
      </c>
      <c r="S1454" t="s">
        <v>38</v>
      </c>
      <c r="T1454">
        <v>10</v>
      </c>
      <c r="U1454">
        <v>1</v>
      </c>
      <c r="V1454">
        <v>14.6</v>
      </c>
      <c r="W1454" t="s">
        <v>39</v>
      </c>
      <c r="X1454" t="s">
        <v>63</v>
      </c>
      <c r="Y1454" t="s">
        <v>39</v>
      </c>
      <c r="Z1454" t="s">
        <v>41</v>
      </c>
      <c r="AA1454" t="s">
        <v>109</v>
      </c>
      <c r="AB1454" t="s">
        <v>83</v>
      </c>
      <c r="AC1454">
        <f t="shared" si="242"/>
        <v>0</v>
      </c>
      <c r="AD1454" s="12">
        <f t="shared" si="246"/>
        <v>1</v>
      </c>
      <c r="AE1454" s="12">
        <f t="shared" si="247"/>
        <v>0</v>
      </c>
      <c r="AF1454">
        <f t="shared" si="243"/>
        <v>0</v>
      </c>
      <c r="AG1454">
        <f t="shared" si="248"/>
        <v>1</v>
      </c>
      <c r="AH1454">
        <f t="shared" si="249"/>
        <v>0</v>
      </c>
      <c r="AI1454">
        <f t="shared" si="250"/>
        <v>0</v>
      </c>
      <c r="AJ1454">
        <f t="shared" si="251"/>
        <v>1</v>
      </c>
      <c r="AK1454">
        <f t="shared" si="244"/>
        <v>0</v>
      </c>
      <c r="AL1454">
        <f t="shared" si="252"/>
        <v>0</v>
      </c>
    </row>
    <row r="1455" spans="1:38">
      <c r="A1455" t="s">
        <v>4492</v>
      </c>
      <c r="B1455" t="s">
        <v>4493</v>
      </c>
      <c r="C1455" s="1">
        <f t="shared" si="245"/>
        <v>45505</v>
      </c>
      <c r="D1455" t="s">
        <v>4494</v>
      </c>
      <c r="E1455">
        <v>213.2</v>
      </c>
      <c r="F1455">
        <v>8.9</v>
      </c>
      <c r="G1455" t="s">
        <v>68</v>
      </c>
      <c r="H1455" t="s">
        <v>219</v>
      </c>
      <c r="I1455" t="s">
        <v>32</v>
      </c>
      <c r="J1455">
        <v>240</v>
      </c>
      <c r="K1455" t="s">
        <v>49</v>
      </c>
      <c r="L1455" t="s">
        <v>96</v>
      </c>
      <c r="M1455" t="s">
        <v>71</v>
      </c>
      <c r="N1455" t="s">
        <v>168</v>
      </c>
      <c r="O1455" t="s">
        <v>51</v>
      </c>
      <c r="P1455" t="s">
        <v>38</v>
      </c>
      <c r="Q1455" t="s">
        <v>39</v>
      </c>
      <c r="R1455">
        <v>1</v>
      </c>
      <c r="S1455" t="s">
        <v>38</v>
      </c>
      <c r="T1455">
        <v>9</v>
      </c>
      <c r="U1455">
        <v>0.9</v>
      </c>
      <c r="V1455">
        <v>30.4</v>
      </c>
      <c r="W1455" t="s">
        <v>39</v>
      </c>
      <c r="X1455" t="s">
        <v>123</v>
      </c>
      <c r="Y1455" t="s">
        <v>38</v>
      </c>
      <c r="Z1455" t="s">
        <v>64</v>
      </c>
      <c r="AA1455" t="s">
        <v>42</v>
      </c>
      <c r="AB1455" t="s">
        <v>55</v>
      </c>
      <c r="AC1455">
        <f t="shared" si="242"/>
        <v>0</v>
      </c>
      <c r="AD1455" s="12">
        <f t="shared" si="246"/>
        <v>0</v>
      </c>
      <c r="AE1455" s="12">
        <f t="shared" si="247"/>
        <v>1</v>
      </c>
      <c r="AF1455">
        <f t="shared" si="243"/>
        <v>1</v>
      </c>
      <c r="AG1455">
        <f t="shared" si="248"/>
        <v>0</v>
      </c>
      <c r="AH1455">
        <f t="shared" si="249"/>
        <v>0</v>
      </c>
      <c r="AI1455">
        <f t="shared" si="250"/>
        <v>0</v>
      </c>
      <c r="AJ1455">
        <f t="shared" si="251"/>
        <v>1</v>
      </c>
      <c r="AK1455">
        <f t="shared" si="244"/>
        <v>0</v>
      </c>
      <c r="AL1455">
        <f t="shared" si="252"/>
        <v>1</v>
      </c>
    </row>
    <row r="1456" spans="1:38">
      <c r="A1456" t="s">
        <v>4495</v>
      </c>
      <c r="B1456" t="s">
        <v>4496</v>
      </c>
      <c r="C1456" s="1">
        <f t="shared" si="245"/>
        <v>45536</v>
      </c>
      <c r="D1456" t="s">
        <v>4497</v>
      </c>
      <c r="E1456">
        <v>90.2</v>
      </c>
      <c r="F1456">
        <v>3.8</v>
      </c>
      <c r="G1456" t="s">
        <v>87</v>
      </c>
      <c r="H1456" t="s">
        <v>151</v>
      </c>
      <c r="I1456" t="s">
        <v>48</v>
      </c>
      <c r="J1456">
        <v>120</v>
      </c>
      <c r="K1456" t="s">
        <v>49</v>
      </c>
      <c r="L1456" t="s">
        <v>96</v>
      </c>
      <c r="M1456" t="s">
        <v>35</v>
      </c>
      <c r="N1456" t="s">
        <v>119</v>
      </c>
      <c r="O1456" t="s">
        <v>37</v>
      </c>
      <c r="P1456" t="s">
        <v>38</v>
      </c>
      <c r="Q1456" t="s">
        <v>38</v>
      </c>
      <c r="R1456">
        <v>1</v>
      </c>
      <c r="S1456" t="s">
        <v>38</v>
      </c>
      <c r="T1456">
        <v>10</v>
      </c>
      <c r="U1456">
        <v>1.1000000000000001</v>
      </c>
      <c r="V1456">
        <v>0</v>
      </c>
      <c r="W1456" t="s">
        <v>38</v>
      </c>
      <c r="X1456" t="s">
        <v>123</v>
      </c>
      <c r="Y1456" t="s">
        <v>39</v>
      </c>
      <c r="Z1456" t="s">
        <v>115</v>
      </c>
      <c r="AA1456" t="s">
        <v>103</v>
      </c>
      <c r="AB1456" t="s">
        <v>83</v>
      </c>
      <c r="AC1456">
        <f t="shared" si="242"/>
        <v>0</v>
      </c>
      <c r="AD1456" s="12">
        <f t="shared" si="246"/>
        <v>0</v>
      </c>
      <c r="AE1456" s="12">
        <f t="shared" si="247"/>
        <v>1</v>
      </c>
      <c r="AF1456">
        <f t="shared" si="243"/>
        <v>0</v>
      </c>
      <c r="AG1456">
        <f t="shared" si="248"/>
        <v>0</v>
      </c>
      <c r="AH1456">
        <f t="shared" si="249"/>
        <v>1</v>
      </c>
      <c r="AI1456">
        <f t="shared" si="250"/>
        <v>0</v>
      </c>
      <c r="AJ1456">
        <f t="shared" si="251"/>
        <v>0</v>
      </c>
      <c r="AK1456">
        <f t="shared" si="244"/>
        <v>0</v>
      </c>
      <c r="AL1456">
        <f t="shared" si="252"/>
        <v>0</v>
      </c>
    </row>
    <row r="1457" spans="1:38">
      <c r="A1457" t="s">
        <v>4498</v>
      </c>
      <c r="B1457" t="s">
        <v>4499</v>
      </c>
      <c r="C1457" s="1">
        <f t="shared" si="245"/>
        <v>45627</v>
      </c>
      <c r="D1457" t="s">
        <v>4500</v>
      </c>
      <c r="E1457">
        <v>96.2</v>
      </c>
      <c r="F1457">
        <v>4</v>
      </c>
      <c r="G1457" t="s">
        <v>87</v>
      </c>
      <c r="H1457" t="s">
        <v>151</v>
      </c>
      <c r="I1457" t="s">
        <v>48</v>
      </c>
      <c r="J1457">
        <v>120</v>
      </c>
      <c r="K1457" t="s">
        <v>49</v>
      </c>
      <c r="L1457" t="s">
        <v>70</v>
      </c>
      <c r="M1457" t="s">
        <v>35</v>
      </c>
      <c r="N1457" t="s">
        <v>188</v>
      </c>
      <c r="O1457" t="s">
        <v>37</v>
      </c>
      <c r="P1457" t="s">
        <v>38</v>
      </c>
      <c r="Q1457" t="s">
        <v>38</v>
      </c>
      <c r="R1457">
        <v>1</v>
      </c>
      <c r="S1457" t="s">
        <v>38</v>
      </c>
      <c r="T1457">
        <v>7</v>
      </c>
      <c r="U1457">
        <v>2.4</v>
      </c>
      <c r="V1457">
        <v>10.8</v>
      </c>
      <c r="W1457" t="s">
        <v>39</v>
      </c>
      <c r="X1457" t="s">
        <v>52</v>
      </c>
      <c r="Y1457" t="s">
        <v>39</v>
      </c>
      <c r="Z1457" t="s">
        <v>73</v>
      </c>
      <c r="AA1457" t="s">
        <v>54</v>
      </c>
      <c r="AB1457" t="s">
        <v>83</v>
      </c>
      <c r="AC1457">
        <f t="shared" si="242"/>
        <v>1</v>
      </c>
      <c r="AD1457" s="12">
        <f t="shared" si="246"/>
        <v>0</v>
      </c>
      <c r="AE1457" s="12">
        <f t="shared" si="247"/>
        <v>0</v>
      </c>
      <c r="AF1457">
        <f t="shared" si="243"/>
        <v>0</v>
      </c>
      <c r="AG1457">
        <f t="shared" si="248"/>
        <v>0</v>
      </c>
      <c r="AH1457">
        <f t="shared" si="249"/>
        <v>1</v>
      </c>
      <c r="AI1457">
        <f t="shared" si="250"/>
        <v>0</v>
      </c>
      <c r="AJ1457">
        <f t="shared" si="251"/>
        <v>0</v>
      </c>
      <c r="AK1457">
        <f t="shared" si="244"/>
        <v>0</v>
      </c>
      <c r="AL1457">
        <f t="shared" si="252"/>
        <v>0</v>
      </c>
    </row>
    <row r="1458" spans="1:38">
      <c r="A1458" t="s">
        <v>4501</v>
      </c>
      <c r="B1458" t="s">
        <v>4502</v>
      </c>
      <c r="C1458" s="1">
        <f t="shared" si="245"/>
        <v>45566</v>
      </c>
      <c r="D1458" t="s">
        <v>4503</v>
      </c>
      <c r="E1458">
        <v>274.3</v>
      </c>
      <c r="F1458">
        <v>11.4</v>
      </c>
      <c r="G1458" t="s">
        <v>101</v>
      </c>
      <c r="H1458" t="s">
        <v>295</v>
      </c>
      <c r="I1458" t="s">
        <v>32</v>
      </c>
      <c r="J1458">
        <v>240</v>
      </c>
      <c r="K1458" t="s">
        <v>33</v>
      </c>
      <c r="L1458" t="s">
        <v>70</v>
      </c>
      <c r="M1458" t="s">
        <v>35</v>
      </c>
      <c r="N1458" t="s">
        <v>114</v>
      </c>
      <c r="O1458" t="s">
        <v>51</v>
      </c>
      <c r="P1458" t="s">
        <v>38</v>
      </c>
      <c r="Q1458" t="s">
        <v>38</v>
      </c>
      <c r="R1458">
        <v>1</v>
      </c>
      <c r="S1458" t="s">
        <v>38</v>
      </c>
      <c r="T1458">
        <v>5</v>
      </c>
      <c r="U1458">
        <v>2.2000000000000002</v>
      </c>
      <c r="V1458">
        <v>30.9</v>
      </c>
      <c r="W1458" t="s">
        <v>38</v>
      </c>
      <c r="X1458" t="s">
        <v>63</v>
      </c>
      <c r="Y1458" t="s">
        <v>39</v>
      </c>
      <c r="Z1458" t="s">
        <v>108</v>
      </c>
      <c r="AA1458" t="s">
        <v>103</v>
      </c>
      <c r="AB1458" t="s">
        <v>55</v>
      </c>
      <c r="AC1458">
        <f t="shared" si="242"/>
        <v>0</v>
      </c>
      <c r="AD1458" s="12">
        <f t="shared" si="246"/>
        <v>1</v>
      </c>
      <c r="AE1458" s="12">
        <f t="shared" si="247"/>
        <v>0</v>
      </c>
      <c r="AF1458">
        <f t="shared" si="243"/>
        <v>1</v>
      </c>
      <c r="AG1458">
        <f t="shared" si="248"/>
        <v>0</v>
      </c>
      <c r="AH1458">
        <f t="shared" si="249"/>
        <v>0</v>
      </c>
      <c r="AI1458">
        <f t="shared" si="250"/>
        <v>0</v>
      </c>
      <c r="AJ1458">
        <f t="shared" si="251"/>
        <v>1</v>
      </c>
      <c r="AK1458">
        <f t="shared" si="244"/>
        <v>0</v>
      </c>
      <c r="AL1458">
        <f t="shared" si="252"/>
        <v>0</v>
      </c>
    </row>
    <row r="1459" spans="1:38">
      <c r="A1459" t="s">
        <v>4504</v>
      </c>
      <c r="B1459" t="s">
        <v>4505</v>
      </c>
      <c r="C1459" s="1">
        <f t="shared" si="245"/>
        <v>45444</v>
      </c>
      <c r="D1459" t="s">
        <v>4506</v>
      </c>
      <c r="E1459">
        <v>160.30000000000001</v>
      </c>
      <c r="F1459">
        <v>6.7</v>
      </c>
      <c r="G1459" t="s">
        <v>142</v>
      </c>
      <c r="H1459" t="s">
        <v>729</v>
      </c>
      <c r="I1459" t="s">
        <v>32</v>
      </c>
      <c r="J1459">
        <v>240</v>
      </c>
      <c r="K1459" t="s">
        <v>49</v>
      </c>
      <c r="L1459" t="s">
        <v>34</v>
      </c>
      <c r="M1459" t="s">
        <v>35</v>
      </c>
      <c r="N1459" t="s">
        <v>89</v>
      </c>
      <c r="O1459" t="s">
        <v>51</v>
      </c>
      <c r="P1459" t="s">
        <v>39</v>
      </c>
      <c r="Q1459" t="s">
        <v>38</v>
      </c>
      <c r="R1459">
        <v>0</v>
      </c>
      <c r="S1459" t="s">
        <v>38</v>
      </c>
      <c r="T1459">
        <v>8</v>
      </c>
      <c r="U1459">
        <v>2.9</v>
      </c>
      <c r="V1459">
        <v>7.4</v>
      </c>
      <c r="W1459" t="s">
        <v>38</v>
      </c>
      <c r="X1459" t="s">
        <v>63</v>
      </c>
      <c r="Y1459" t="s">
        <v>39</v>
      </c>
      <c r="Z1459" t="s">
        <v>73</v>
      </c>
      <c r="AA1459" t="s">
        <v>109</v>
      </c>
      <c r="AB1459" t="s">
        <v>55</v>
      </c>
      <c r="AC1459">
        <f t="shared" si="242"/>
        <v>0</v>
      </c>
      <c r="AD1459" s="12">
        <f t="shared" si="246"/>
        <v>1</v>
      </c>
      <c r="AE1459" s="12">
        <f t="shared" si="247"/>
        <v>0</v>
      </c>
      <c r="AF1459">
        <f t="shared" si="243"/>
        <v>1</v>
      </c>
      <c r="AG1459">
        <f t="shared" si="248"/>
        <v>0</v>
      </c>
      <c r="AH1459">
        <f t="shared" si="249"/>
        <v>0</v>
      </c>
      <c r="AI1459">
        <f t="shared" si="250"/>
        <v>0</v>
      </c>
      <c r="AJ1459">
        <f t="shared" si="251"/>
        <v>1</v>
      </c>
      <c r="AK1459">
        <f t="shared" si="244"/>
        <v>0</v>
      </c>
      <c r="AL1459">
        <f t="shared" si="252"/>
        <v>0</v>
      </c>
    </row>
    <row r="1460" spans="1:38">
      <c r="A1460" t="s">
        <v>4507</v>
      </c>
      <c r="B1460" t="s">
        <v>4508</v>
      </c>
      <c r="C1460" s="1">
        <f t="shared" si="245"/>
        <v>45474</v>
      </c>
      <c r="D1460" t="s">
        <v>4509</v>
      </c>
      <c r="E1460">
        <v>244.1</v>
      </c>
      <c r="F1460">
        <v>10.199999999999999</v>
      </c>
      <c r="G1460" t="s">
        <v>101</v>
      </c>
      <c r="H1460" t="s">
        <v>102</v>
      </c>
      <c r="I1460" t="s">
        <v>79</v>
      </c>
      <c r="J1460">
        <v>360</v>
      </c>
      <c r="K1460" t="s">
        <v>49</v>
      </c>
      <c r="L1460" t="s">
        <v>96</v>
      </c>
      <c r="M1460" t="s">
        <v>35</v>
      </c>
      <c r="N1460" t="s">
        <v>414</v>
      </c>
      <c r="O1460" t="s">
        <v>37</v>
      </c>
      <c r="P1460" t="s">
        <v>38</v>
      </c>
      <c r="Q1460" t="s">
        <v>38</v>
      </c>
      <c r="R1460">
        <v>1</v>
      </c>
      <c r="S1460" t="s">
        <v>38</v>
      </c>
      <c r="T1460">
        <v>9</v>
      </c>
      <c r="U1460">
        <v>2.8</v>
      </c>
      <c r="V1460">
        <v>18.5</v>
      </c>
      <c r="W1460" t="s">
        <v>38</v>
      </c>
      <c r="X1460" t="s">
        <v>63</v>
      </c>
      <c r="Y1460" t="s">
        <v>39</v>
      </c>
      <c r="Z1460" t="s">
        <v>108</v>
      </c>
      <c r="AA1460" t="s">
        <v>54</v>
      </c>
      <c r="AB1460" t="s">
        <v>83</v>
      </c>
      <c r="AC1460">
        <f t="shared" si="242"/>
        <v>0</v>
      </c>
      <c r="AD1460" s="12">
        <f t="shared" si="246"/>
        <v>1</v>
      </c>
      <c r="AE1460" s="12">
        <f t="shared" si="247"/>
        <v>0</v>
      </c>
      <c r="AF1460">
        <f t="shared" si="243"/>
        <v>0</v>
      </c>
      <c r="AG1460">
        <f t="shared" si="248"/>
        <v>0</v>
      </c>
      <c r="AH1460">
        <f t="shared" si="249"/>
        <v>0</v>
      </c>
      <c r="AI1460">
        <f t="shared" si="250"/>
        <v>0</v>
      </c>
      <c r="AJ1460">
        <f t="shared" si="251"/>
        <v>0</v>
      </c>
      <c r="AK1460">
        <f t="shared" si="244"/>
        <v>0</v>
      </c>
      <c r="AL1460">
        <f t="shared" si="252"/>
        <v>0</v>
      </c>
    </row>
    <row r="1461" spans="1:38">
      <c r="A1461" t="s">
        <v>4510</v>
      </c>
      <c r="B1461" t="s">
        <v>4511</v>
      </c>
      <c r="C1461" s="1">
        <f t="shared" si="245"/>
        <v>45505</v>
      </c>
      <c r="D1461" t="s">
        <v>4512</v>
      </c>
      <c r="E1461">
        <v>155.6</v>
      </c>
      <c r="F1461">
        <v>6.5</v>
      </c>
      <c r="G1461" t="s">
        <v>30</v>
      </c>
      <c r="H1461" t="s">
        <v>159</v>
      </c>
      <c r="I1461" t="s">
        <v>48</v>
      </c>
      <c r="J1461">
        <v>120</v>
      </c>
      <c r="K1461" t="s">
        <v>33</v>
      </c>
      <c r="L1461" t="s">
        <v>34</v>
      </c>
      <c r="M1461" t="s">
        <v>35</v>
      </c>
      <c r="N1461" t="s">
        <v>506</v>
      </c>
      <c r="O1461" t="s">
        <v>7232</v>
      </c>
      <c r="P1461" t="s">
        <v>39</v>
      </c>
      <c r="Q1461" t="s">
        <v>38</v>
      </c>
      <c r="R1461">
        <v>0</v>
      </c>
      <c r="S1461" t="s">
        <v>38</v>
      </c>
      <c r="T1461">
        <v>6</v>
      </c>
      <c r="U1461">
        <v>4.4000000000000004</v>
      </c>
      <c r="V1461">
        <v>0</v>
      </c>
      <c r="W1461" t="s">
        <v>39</v>
      </c>
      <c r="X1461" t="s">
        <v>63</v>
      </c>
      <c r="Y1461" t="s">
        <v>39</v>
      </c>
      <c r="Z1461" t="s">
        <v>73</v>
      </c>
      <c r="AA1461" t="s">
        <v>103</v>
      </c>
      <c r="AB1461" t="s">
        <v>83</v>
      </c>
      <c r="AC1461">
        <f t="shared" si="242"/>
        <v>0</v>
      </c>
      <c r="AD1461" s="12">
        <f t="shared" si="246"/>
        <v>1</v>
      </c>
      <c r="AE1461" s="12">
        <f t="shared" si="247"/>
        <v>0</v>
      </c>
      <c r="AF1461">
        <f t="shared" si="243"/>
        <v>0</v>
      </c>
      <c r="AG1461">
        <f t="shared" si="248"/>
        <v>1</v>
      </c>
      <c r="AH1461">
        <f t="shared" si="249"/>
        <v>1</v>
      </c>
      <c r="AI1461">
        <f t="shared" si="250"/>
        <v>0</v>
      </c>
      <c r="AJ1461">
        <f t="shared" si="251"/>
        <v>0</v>
      </c>
      <c r="AK1461">
        <f t="shared" si="244"/>
        <v>1</v>
      </c>
      <c r="AL1461">
        <f t="shared" si="252"/>
        <v>0</v>
      </c>
    </row>
    <row r="1462" spans="1:38">
      <c r="A1462" t="s">
        <v>4513</v>
      </c>
      <c r="B1462" t="s">
        <v>4514</v>
      </c>
      <c r="C1462" s="1">
        <f t="shared" si="245"/>
        <v>45566</v>
      </c>
      <c r="D1462" t="s">
        <v>4515</v>
      </c>
      <c r="E1462">
        <v>198.6</v>
      </c>
      <c r="F1462">
        <v>8.3000000000000007</v>
      </c>
      <c r="G1462" t="s">
        <v>30</v>
      </c>
      <c r="H1462" t="s">
        <v>47</v>
      </c>
      <c r="I1462" t="s">
        <v>32</v>
      </c>
      <c r="J1462">
        <v>240</v>
      </c>
      <c r="K1462" t="s">
        <v>49</v>
      </c>
      <c r="L1462" t="s">
        <v>70</v>
      </c>
      <c r="M1462" t="s">
        <v>35</v>
      </c>
      <c r="N1462" t="s">
        <v>114</v>
      </c>
      <c r="O1462" t="s">
        <v>7232</v>
      </c>
      <c r="P1462" t="s">
        <v>38</v>
      </c>
      <c r="Q1462" t="s">
        <v>38</v>
      </c>
      <c r="R1462">
        <v>1</v>
      </c>
      <c r="S1462" t="s">
        <v>38</v>
      </c>
      <c r="T1462">
        <v>8</v>
      </c>
      <c r="U1462">
        <v>2.7</v>
      </c>
      <c r="V1462">
        <v>30.4</v>
      </c>
      <c r="W1462" t="s">
        <v>39</v>
      </c>
      <c r="X1462" t="s">
        <v>40</v>
      </c>
      <c r="Y1462" t="s">
        <v>38</v>
      </c>
      <c r="Z1462" t="s">
        <v>41</v>
      </c>
      <c r="AA1462" t="s">
        <v>109</v>
      </c>
      <c r="AB1462" t="s">
        <v>83</v>
      </c>
      <c r="AC1462">
        <f t="shared" si="242"/>
        <v>0</v>
      </c>
      <c r="AD1462" s="12">
        <f t="shared" si="246"/>
        <v>0</v>
      </c>
      <c r="AE1462" s="12">
        <f t="shared" si="247"/>
        <v>0</v>
      </c>
      <c r="AF1462">
        <f t="shared" si="243"/>
        <v>0</v>
      </c>
      <c r="AG1462">
        <f t="shared" si="248"/>
        <v>1</v>
      </c>
      <c r="AH1462">
        <f t="shared" si="249"/>
        <v>0</v>
      </c>
      <c r="AI1462">
        <f t="shared" si="250"/>
        <v>0</v>
      </c>
      <c r="AJ1462">
        <f t="shared" si="251"/>
        <v>1</v>
      </c>
      <c r="AK1462">
        <f t="shared" si="244"/>
        <v>1</v>
      </c>
      <c r="AL1462">
        <f t="shared" si="252"/>
        <v>1</v>
      </c>
    </row>
    <row r="1463" spans="1:38">
      <c r="A1463" t="s">
        <v>4516</v>
      </c>
      <c r="B1463" t="s">
        <v>4517</v>
      </c>
      <c r="C1463" s="1">
        <f t="shared" si="245"/>
        <v>45323</v>
      </c>
      <c r="D1463" t="s">
        <v>4518</v>
      </c>
      <c r="E1463">
        <v>55.4</v>
      </c>
      <c r="F1463">
        <v>2.2999999999999998</v>
      </c>
      <c r="G1463" t="s">
        <v>101</v>
      </c>
      <c r="H1463" t="s">
        <v>102</v>
      </c>
      <c r="I1463" t="s">
        <v>95</v>
      </c>
      <c r="J1463">
        <v>48</v>
      </c>
      <c r="K1463" t="s">
        <v>33</v>
      </c>
      <c r="L1463" t="s">
        <v>96</v>
      </c>
      <c r="M1463" t="s">
        <v>35</v>
      </c>
      <c r="N1463" t="s">
        <v>220</v>
      </c>
      <c r="O1463" t="s">
        <v>7232</v>
      </c>
      <c r="P1463" t="s">
        <v>39</v>
      </c>
      <c r="Q1463" t="s">
        <v>38</v>
      </c>
      <c r="R1463">
        <v>0</v>
      </c>
      <c r="S1463" t="s">
        <v>38</v>
      </c>
      <c r="T1463">
        <v>5</v>
      </c>
      <c r="U1463">
        <v>5.3</v>
      </c>
      <c r="V1463">
        <v>30.6</v>
      </c>
      <c r="W1463" t="s">
        <v>39</v>
      </c>
      <c r="X1463" t="s">
        <v>52</v>
      </c>
      <c r="Y1463" t="s">
        <v>39</v>
      </c>
      <c r="Z1463" t="s">
        <v>179</v>
      </c>
      <c r="AA1463" t="s">
        <v>82</v>
      </c>
      <c r="AB1463" t="s">
        <v>55</v>
      </c>
      <c r="AC1463">
        <f t="shared" si="242"/>
        <v>1</v>
      </c>
      <c r="AD1463" s="12">
        <f t="shared" si="246"/>
        <v>0</v>
      </c>
      <c r="AE1463" s="12">
        <f t="shared" si="247"/>
        <v>0</v>
      </c>
      <c r="AF1463">
        <f t="shared" si="243"/>
        <v>0</v>
      </c>
      <c r="AG1463">
        <f t="shared" si="248"/>
        <v>1</v>
      </c>
      <c r="AH1463">
        <f t="shared" si="249"/>
        <v>0</v>
      </c>
      <c r="AI1463">
        <f t="shared" si="250"/>
        <v>1</v>
      </c>
      <c r="AJ1463">
        <f t="shared" si="251"/>
        <v>0</v>
      </c>
      <c r="AK1463">
        <f t="shared" si="244"/>
        <v>0</v>
      </c>
      <c r="AL1463">
        <f t="shared" si="252"/>
        <v>0</v>
      </c>
    </row>
    <row r="1464" spans="1:38">
      <c r="A1464" t="s">
        <v>4519</v>
      </c>
      <c r="B1464" t="s">
        <v>4520</v>
      </c>
      <c r="C1464" s="1">
        <f t="shared" si="245"/>
        <v>45352</v>
      </c>
      <c r="D1464" t="s">
        <v>4521</v>
      </c>
      <c r="E1464">
        <v>326.7</v>
      </c>
      <c r="F1464">
        <v>13.6</v>
      </c>
      <c r="G1464" t="s">
        <v>93</v>
      </c>
      <c r="H1464" t="s">
        <v>163</v>
      </c>
      <c r="I1464" t="s">
        <v>79</v>
      </c>
      <c r="J1464">
        <v>360</v>
      </c>
      <c r="K1464" t="s">
        <v>49</v>
      </c>
      <c r="L1464" t="s">
        <v>70</v>
      </c>
      <c r="M1464" t="s">
        <v>35</v>
      </c>
      <c r="N1464" t="s">
        <v>220</v>
      </c>
      <c r="O1464" t="s">
        <v>51</v>
      </c>
      <c r="P1464" t="s">
        <v>39</v>
      </c>
      <c r="Q1464" t="s">
        <v>38</v>
      </c>
      <c r="R1464">
        <v>0</v>
      </c>
      <c r="S1464" t="s">
        <v>38</v>
      </c>
      <c r="T1464">
        <v>10</v>
      </c>
      <c r="U1464">
        <v>4.8</v>
      </c>
      <c r="V1464">
        <v>27.9</v>
      </c>
      <c r="W1464" t="s">
        <v>39</v>
      </c>
      <c r="X1464" t="s">
        <v>40</v>
      </c>
      <c r="Y1464" t="s">
        <v>39</v>
      </c>
      <c r="Z1464" t="s">
        <v>41</v>
      </c>
      <c r="AA1464" t="s">
        <v>103</v>
      </c>
      <c r="AB1464" t="s">
        <v>55</v>
      </c>
      <c r="AC1464">
        <f t="shared" si="242"/>
        <v>0</v>
      </c>
      <c r="AD1464" s="12">
        <f t="shared" si="246"/>
        <v>0</v>
      </c>
      <c r="AE1464" s="12">
        <f t="shared" si="247"/>
        <v>0</v>
      </c>
      <c r="AF1464">
        <f t="shared" si="243"/>
        <v>1</v>
      </c>
      <c r="AG1464">
        <f t="shared" si="248"/>
        <v>0</v>
      </c>
      <c r="AH1464">
        <f t="shared" si="249"/>
        <v>0</v>
      </c>
      <c r="AI1464">
        <f t="shared" si="250"/>
        <v>0</v>
      </c>
      <c r="AJ1464">
        <f t="shared" si="251"/>
        <v>0</v>
      </c>
      <c r="AK1464">
        <f t="shared" si="244"/>
        <v>0</v>
      </c>
      <c r="AL1464">
        <f t="shared" si="252"/>
        <v>0</v>
      </c>
    </row>
    <row r="1465" spans="1:38">
      <c r="A1465" t="s">
        <v>4522</v>
      </c>
      <c r="B1465" t="s">
        <v>4523</v>
      </c>
      <c r="C1465" s="1">
        <f t="shared" si="245"/>
        <v>45505</v>
      </c>
      <c r="D1465" t="s">
        <v>4524</v>
      </c>
      <c r="E1465">
        <v>244.5</v>
      </c>
      <c r="F1465">
        <v>10.199999999999999</v>
      </c>
      <c r="G1465" t="s">
        <v>30</v>
      </c>
      <c r="H1465" t="s">
        <v>159</v>
      </c>
      <c r="I1465" t="s">
        <v>79</v>
      </c>
      <c r="J1465">
        <v>360</v>
      </c>
      <c r="K1465" t="s">
        <v>49</v>
      </c>
      <c r="L1465" t="s">
        <v>96</v>
      </c>
      <c r="M1465" t="s">
        <v>35</v>
      </c>
      <c r="N1465" t="s">
        <v>36</v>
      </c>
      <c r="O1465" t="s">
        <v>7232</v>
      </c>
      <c r="P1465" t="s">
        <v>39</v>
      </c>
      <c r="Q1465" t="s">
        <v>38</v>
      </c>
      <c r="R1465">
        <v>0</v>
      </c>
      <c r="S1465" t="s">
        <v>38</v>
      </c>
      <c r="T1465">
        <v>10</v>
      </c>
      <c r="U1465">
        <v>4.4000000000000004</v>
      </c>
      <c r="V1465">
        <v>12.4</v>
      </c>
      <c r="W1465" t="s">
        <v>39</v>
      </c>
      <c r="X1465" t="s">
        <v>123</v>
      </c>
      <c r="Y1465" t="s">
        <v>38</v>
      </c>
      <c r="Z1465" t="s">
        <v>41</v>
      </c>
      <c r="AA1465" t="s">
        <v>82</v>
      </c>
      <c r="AB1465" t="s">
        <v>43</v>
      </c>
      <c r="AC1465">
        <f t="shared" si="242"/>
        <v>0</v>
      </c>
      <c r="AD1465" s="12">
        <f t="shared" si="246"/>
        <v>0</v>
      </c>
      <c r="AE1465" s="12">
        <f t="shared" si="247"/>
        <v>1</v>
      </c>
      <c r="AF1465">
        <f t="shared" si="243"/>
        <v>0</v>
      </c>
      <c r="AG1465">
        <f t="shared" si="248"/>
        <v>1</v>
      </c>
      <c r="AH1465">
        <f t="shared" si="249"/>
        <v>0</v>
      </c>
      <c r="AI1465">
        <f t="shared" si="250"/>
        <v>0</v>
      </c>
      <c r="AJ1465">
        <f t="shared" si="251"/>
        <v>0</v>
      </c>
      <c r="AK1465">
        <f t="shared" si="244"/>
        <v>1</v>
      </c>
      <c r="AL1465">
        <f t="shared" si="252"/>
        <v>1</v>
      </c>
    </row>
    <row r="1466" spans="1:38">
      <c r="A1466" t="s">
        <v>4525</v>
      </c>
      <c r="B1466" t="s">
        <v>4526</v>
      </c>
      <c r="C1466" s="1">
        <f t="shared" si="245"/>
        <v>45352</v>
      </c>
      <c r="D1466" t="s">
        <v>4527</v>
      </c>
      <c r="E1466">
        <v>85.7</v>
      </c>
      <c r="F1466">
        <v>3.6</v>
      </c>
      <c r="G1466" t="s">
        <v>68</v>
      </c>
      <c r="H1466" t="s">
        <v>456</v>
      </c>
      <c r="I1466" t="s">
        <v>48</v>
      </c>
      <c r="J1466">
        <v>120</v>
      </c>
      <c r="K1466" t="s">
        <v>49</v>
      </c>
      <c r="L1466" t="s">
        <v>96</v>
      </c>
      <c r="M1466" t="s">
        <v>35</v>
      </c>
      <c r="N1466" t="s">
        <v>144</v>
      </c>
      <c r="O1466" t="s">
        <v>37</v>
      </c>
      <c r="P1466" t="s">
        <v>38</v>
      </c>
      <c r="Q1466" t="s">
        <v>38</v>
      </c>
      <c r="R1466">
        <v>1</v>
      </c>
      <c r="S1466" t="s">
        <v>39</v>
      </c>
      <c r="T1466">
        <v>8</v>
      </c>
      <c r="U1466">
        <v>2.5</v>
      </c>
      <c r="V1466">
        <v>14.6</v>
      </c>
      <c r="W1466" t="s">
        <v>39</v>
      </c>
      <c r="X1466" t="s">
        <v>123</v>
      </c>
      <c r="Y1466" t="s">
        <v>39</v>
      </c>
      <c r="Z1466" t="s">
        <v>115</v>
      </c>
      <c r="AA1466" t="s">
        <v>109</v>
      </c>
      <c r="AB1466" t="s">
        <v>83</v>
      </c>
      <c r="AC1466">
        <f t="shared" si="242"/>
        <v>0</v>
      </c>
      <c r="AD1466" s="12">
        <f t="shared" si="246"/>
        <v>0</v>
      </c>
      <c r="AE1466" s="12">
        <f t="shared" si="247"/>
        <v>1</v>
      </c>
      <c r="AF1466">
        <f t="shared" si="243"/>
        <v>0</v>
      </c>
      <c r="AG1466">
        <f t="shared" si="248"/>
        <v>0</v>
      </c>
      <c r="AH1466">
        <f t="shared" si="249"/>
        <v>1</v>
      </c>
      <c r="AI1466">
        <f t="shared" si="250"/>
        <v>0</v>
      </c>
      <c r="AJ1466">
        <f t="shared" si="251"/>
        <v>0</v>
      </c>
      <c r="AK1466">
        <f t="shared" si="244"/>
        <v>0</v>
      </c>
      <c r="AL1466">
        <f t="shared" si="252"/>
        <v>0</v>
      </c>
    </row>
    <row r="1467" spans="1:38">
      <c r="A1467" t="s">
        <v>4528</v>
      </c>
      <c r="B1467" t="s">
        <v>4529</v>
      </c>
      <c r="C1467" s="1">
        <f t="shared" si="245"/>
        <v>45292</v>
      </c>
      <c r="D1467" t="s">
        <v>4530</v>
      </c>
      <c r="E1467">
        <v>186.3</v>
      </c>
      <c r="F1467">
        <v>7.8</v>
      </c>
      <c r="G1467" t="s">
        <v>142</v>
      </c>
      <c r="H1467" t="s">
        <v>240</v>
      </c>
      <c r="I1467" t="s">
        <v>32</v>
      </c>
      <c r="J1467">
        <v>240</v>
      </c>
      <c r="K1467" t="s">
        <v>49</v>
      </c>
      <c r="L1467" t="s">
        <v>96</v>
      </c>
      <c r="M1467" t="s">
        <v>71</v>
      </c>
      <c r="N1467" t="s">
        <v>414</v>
      </c>
      <c r="O1467" t="s">
        <v>51</v>
      </c>
      <c r="P1467" t="s">
        <v>38</v>
      </c>
      <c r="Q1467" t="s">
        <v>39</v>
      </c>
      <c r="R1467">
        <v>4</v>
      </c>
      <c r="S1467" t="s">
        <v>38</v>
      </c>
      <c r="T1467">
        <v>6</v>
      </c>
      <c r="U1467">
        <v>2.5</v>
      </c>
      <c r="V1467">
        <v>17.600000000000001</v>
      </c>
      <c r="W1467" t="s">
        <v>39</v>
      </c>
      <c r="X1467" t="s">
        <v>123</v>
      </c>
      <c r="Y1467" t="s">
        <v>39</v>
      </c>
      <c r="Z1467" t="s">
        <v>41</v>
      </c>
      <c r="AA1467" t="s">
        <v>42</v>
      </c>
      <c r="AB1467" t="s">
        <v>55</v>
      </c>
      <c r="AC1467">
        <f t="shared" si="242"/>
        <v>0</v>
      </c>
      <c r="AD1467" s="12">
        <f t="shared" si="246"/>
        <v>0</v>
      </c>
      <c r="AE1467" s="12">
        <f t="shared" si="247"/>
        <v>1</v>
      </c>
      <c r="AF1467">
        <f t="shared" si="243"/>
        <v>1</v>
      </c>
      <c r="AG1467">
        <f t="shared" si="248"/>
        <v>0</v>
      </c>
      <c r="AH1467">
        <f t="shared" si="249"/>
        <v>0</v>
      </c>
      <c r="AI1467">
        <f t="shared" si="250"/>
        <v>0</v>
      </c>
      <c r="AJ1467">
        <f t="shared" si="251"/>
        <v>1</v>
      </c>
      <c r="AK1467">
        <f t="shared" si="244"/>
        <v>0</v>
      </c>
      <c r="AL1467">
        <f t="shared" si="252"/>
        <v>0</v>
      </c>
    </row>
    <row r="1468" spans="1:38">
      <c r="A1468" t="s">
        <v>4531</v>
      </c>
      <c r="B1468" t="s">
        <v>4532</v>
      </c>
      <c r="C1468" s="1">
        <f t="shared" si="245"/>
        <v>45505</v>
      </c>
      <c r="D1468" t="s">
        <v>4533</v>
      </c>
      <c r="E1468">
        <v>199.7</v>
      </c>
      <c r="F1468">
        <v>8.3000000000000007</v>
      </c>
      <c r="G1468" t="s">
        <v>101</v>
      </c>
      <c r="H1468" t="s">
        <v>295</v>
      </c>
      <c r="I1468" t="s">
        <v>32</v>
      </c>
      <c r="J1468">
        <v>240</v>
      </c>
      <c r="K1468" t="s">
        <v>49</v>
      </c>
      <c r="L1468" t="s">
        <v>96</v>
      </c>
      <c r="M1468" t="s">
        <v>35</v>
      </c>
      <c r="N1468" t="s">
        <v>188</v>
      </c>
      <c r="O1468" t="s">
        <v>51</v>
      </c>
      <c r="P1468" t="s">
        <v>38</v>
      </c>
      <c r="Q1468" t="s">
        <v>38</v>
      </c>
      <c r="R1468">
        <v>1</v>
      </c>
      <c r="S1468" t="s">
        <v>38</v>
      </c>
      <c r="T1468">
        <v>6</v>
      </c>
      <c r="U1468">
        <v>4.9000000000000004</v>
      </c>
      <c r="V1468">
        <v>0</v>
      </c>
      <c r="W1468" t="s">
        <v>38</v>
      </c>
      <c r="X1468" t="s">
        <v>40</v>
      </c>
      <c r="Y1468" t="s">
        <v>39</v>
      </c>
      <c r="Z1468" t="s">
        <v>41</v>
      </c>
      <c r="AA1468" t="s">
        <v>109</v>
      </c>
      <c r="AB1468" t="s">
        <v>83</v>
      </c>
      <c r="AC1468">
        <f t="shared" si="242"/>
        <v>0</v>
      </c>
      <c r="AD1468" s="12">
        <f t="shared" si="246"/>
        <v>0</v>
      </c>
      <c r="AE1468" s="12">
        <f t="shared" si="247"/>
        <v>0</v>
      </c>
      <c r="AF1468">
        <f t="shared" si="243"/>
        <v>1</v>
      </c>
      <c r="AG1468">
        <f t="shared" si="248"/>
        <v>0</v>
      </c>
      <c r="AH1468">
        <f t="shared" si="249"/>
        <v>0</v>
      </c>
      <c r="AI1468">
        <f t="shared" si="250"/>
        <v>0</v>
      </c>
      <c r="AJ1468">
        <f t="shared" si="251"/>
        <v>1</v>
      </c>
      <c r="AK1468">
        <f t="shared" si="244"/>
        <v>0</v>
      </c>
      <c r="AL1468">
        <f t="shared" si="252"/>
        <v>0</v>
      </c>
    </row>
    <row r="1469" spans="1:38">
      <c r="A1469" t="s">
        <v>4534</v>
      </c>
      <c r="B1469" t="s">
        <v>4535</v>
      </c>
      <c r="C1469" s="1">
        <f t="shared" si="245"/>
        <v>45444</v>
      </c>
      <c r="D1469" t="s">
        <v>4536</v>
      </c>
      <c r="E1469">
        <v>269.3</v>
      </c>
      <c r="F1469">
        <v>11.2</v>
      </c>
      <c r="G1469" t="s">
        <v>101</v>
      </c>
      <c r="H1469" t="s">
        <v>442</v>
      </c>
      <c r="I1469" t="s">
        <v>32</v>
      </c>
      <c r="J1469">
        <v>240</v>
      </c>
      <c r="K1469" t="s">
        <v>33</v>
      </c>
      <c r="L1469" t="s">
        <v>34</v>
      </c>
      <c r="M1469" t="s">
        <v>35</v>
      </c>
      <c r="N1469" t="s">
        <v>168</v>
      </c>
      <c r="O1469" t="s">
        <v>7232</v>
      </c>
      <c r="P1469" t="s">
        <v>38</v>
      </c>
      <c r="Q1469" t="s">
        <v>38</v>
      </c>
      <c r="R1469">
        <v>1</v>
      </c>
      <c r="S1469" t="s">
        <v>38</v>
      </c>
      <c r="T1469">
        <v>6</v>
      </c>
      <c r="U1469">
        <v>2.5</v>
      </c>
      <c r="V1469">
        <v>26.5</v>
      </c>
      <c r="W1469" t="s">
        <v>39</v>
      </c>
      <c r="X1469" t="s">
        <v>123</v>
      </c>
      <c r="Y1469" t="s">
        <v>38</v>
      </c>
      <c r="Z1469" t="s">
        <v>81</v>
      </c>
      <c r="AA1469" t="s">
        <v>42</v>
      </c>
      <c r="AB1469" t="s">
        <v>43</v>
      </c>
      <c r="AC1469">
        <f t="shared" si="242"/>
        <v>0</v>
      </c>
      <c r="AD1469" s="12">
        <f t="shared" si="246"/>
        <v>0</v>
      </c>
      <c r="AE1469" s="12">
        <f t="shared" si="247"/>
        <v>1</v>
      </c>
      <c r="AF1469">
        <f t="shared" si="243"/>
        <v>0</v>
      </c>
      <c r="AG1469">
        <f t="shared" si="248"/>
        <v>1</v>
      </c>
      <c r="AH1469">
        <f t="shared" si="249"/>
        <v>0</v>
      </c>
      <c r="AI1469">
        <f t="shared" si="250"/>
        <v>0</v>
      </c>
      <c r="AJ1469">
        <f t="shared" si="251"/>
        <v>1</v>
      </c>
      <c r="AK1469">
        <f t="shared" si="244"/>
        <v>0</v>
      </c>
      <c r="AL1469">
        <f t="shared" si="252"/>
        <v>1</v>
      </c>
    </row>
    <row r="1470" spans="1:38">
      <c r="A1470" t="s">
        <v>4537</v>
      </c>
      <c r="B1470" t="s">
        <v>4538</v>
      </c>
      <c r="C1470" s="1">
        <f t="shared" si="245"/>
        <v>45566</v>
      </c>
      <c r="D1470" t="s">
        <v>4539</v>
      </c>
      <c r="E1470">
        <v>307.3</v>
      </c>
      <c r="F1470">
        <v>12.8</v>
      </c>
      <c r="G1470" t="s">
        <v>93</v>
      </c>
      <c r="H1470" t="s">
        <v>94</v>
      </c>
      <c r="I1470" t="s">
        <v>79</v>
      </c>
      <c r="J1470">
        <v>360</v>
      </c>
      <c r="K1470" t="s">
        <v>49</v>
      </c>
      <c r="L1470" t="s">
        <v>113</v>
      </c>
      <c r="M1470" t="s">
        <v>35</v>
      </c>
      <c r="N1470" t="s">
        <v>138</v>
      </c>
      <c r="O1470" t="s">
        <v>51</v>
      </c>
      <c r="P1470" t="s">
        <v>39</v>
      </c>
      <c r="Q1470" t="s">
        <v>38</v>
      </c>
      <c r="R1470">
        <v>0</v>
      </c>
      <c r="S1470" t="s">
        <v>38</v>
      </c>
      <c r="T1470">
        <v>9</v>
      </c>
      <c r="U1470">
        <v>0.3</v>
      </c>
      <c r="V1470">
        <v>25.1</v>
      </c>
      <c r="W1470" t="s">
        <v>38</v>
      </c>
      <c r="X1470" t="s">
        <v>52</v>
      </c>
      <c r="Y1470" t="s">
        <v>39</v>
      </c>
      <c r="Z1470" t="s">
        <v>81</v>
      </c>
      <c r="AA1470" t="s">
        <v>82</v>
      </c>
      <c r="AB1470" t="s">
        <v>55</v>
      </c>
      <c r="AC1470">
        <f t="shared" si="242"/>
        <v>1</v>
      </c>
      <c r="AD1470" s="12">
        <f t="shared" si="246"/>
        <v>0</v>
      </c>
      <c r="AE1470" s="12">
        <f t="shared" si="247"/>
        <v>0</v>
      </c>
      <c r="AF1470">
        <f t="shared" si="243"/>
        <v>1</v>
      </c>
      <c r="AG1470">
        <f t="shared" si="248"/>
        <v>0</v>
      </c>
      <c r="AH1470">
        <f t="shared" si="249"/>
        <v>0</v>
      </c>
      <c r="AI1470">
        <f t="shared" si="250"/>
        <v>0</v>
      </c>
      <c r="AJ1470">
        <f t="shared" si="251"/>
        <v>0</v>
      </c>
      <c r="AK1470">
        <f t="shared" si="244"/>
        <v>0</v>
      </c>
      <c r="AL1470">
        <f t="shared" si="252"/>
        <v>0</v>
      </c>
    </row>
    <row r="1471" spans="1:38">
      <c r="A1471" t="s">
        <v>4540</v>
      </c>
      <c r="B1471" t="s">
        <v>4541</v>
      </c>
      <c r="C1471" s="1">
        <f t="shared" si="245"/>
        <v>45566</v>
      </c>
      <c r="D1471" t="s">
        <v>4542</v>
      </c>
      <c r="E1471">
        <v>222.2</v>
      </c>
      <c r="F1471">
        <v>9.3000000000000007</v>
      </c>
      <c r="G1471" t="s">
        <v>59</v>
      </c>
      <c r="H1471" t="s">
        <v>466</v>
      </c>
      <c r="I1471" t="s">
        <v>32</v>
      </c>
      <c r="J1471">
        <v>240</v>
      </c>
      <c r="K1471" t="s">
        <v>49</v>
      </c>
      <c r="L1471" t="s">
        <v>96</v>
      </c>
      <c r="M1471" t="s">
        <v>71</v>
      </c>
      <c r="N1471" t="s">
        <v>138</v>
      </c>
      <c r="O1471" t="s">
        <v>51</v>
      </c>
      <c r="P1471" t="s">
        <v>38</v>
      </c>
      <c r="Q1471" t="s">
        <v>39</v>
      </c>
      <c r="R1471">
        <v>2</v>
      </c>
      <c r="S1471" t="s">
        <v>38</v>
      </c>
      <c r="T1471">
        <v>10</v>
      </c>
      <c r="U1471">
        <v>2.2999999999999998</v>
      </c>
      <c r="V1471">
        <v>11.4</v>
      </c>
      <c r="W1471" t="s">
        <v>38</v>
      </c>
      <c r="X1471" t="s">
        <v>123</v>
      </c>
      <c r="Y1471" t="s">
        <v>38</v>
      </c>
      <c r="Z1471" t="s">
        <v>73</v>
      </c>
      <c r="AA1471" t="s">
        <v>103</v>
      </c>
      <c r="AB1471" t="s">
        <v>83</v>
      </c>
      <c r="AC1471">
        <f t="shared" si="242"/>
        <v>0</v>
      </c>
      <c r="AD1471" s="12">
        <f t="shared" si="246"/>
        <v>0</v>
      </c>
      <c r="AE1471" s="12">
        <f t="shared" si="247"/>
        <v>1</v>
      </c>
      <c r="AF1471">
        <f t="shared" si="243"/>
        <v>1</v>
      </c>
      <c r="AG1471">
        <f t="shared" si="248"/>
        <v>0</v>
      </c>
      <c r="AH1471">
        <f t="shared" si="249"/>
        <v>0</v>
      </c>
      <c r="AI1471">
        <f t="shared" si="250"/>
        <v>0</v>
      </c>
      <c r="AJ1471">
        <f t="shared" si="251"/>
        <v>1</v>
      </c>
      <c r="AK1471">
        <f t="shared" si="244"/>
        <v>0</v>
      </c>
      <c r="AL1471">
        <f t="shared" si="252"/>
        <v>1</v>
      </c>
    </row>
    <row r="1472" spans="1:38">
      <c r="A1472" t="s">
        <v>4543</v>
      </c>
      <c r="B1472" t="s">
        <v>4544</v>
      </c>
      <c r="C1472" s="1">
        <f t="shared" si="245"/>
        <v>45536</v>
      </c>
      <c r="D1472" t="s">
        <v>4545</v>
      </c>
      <c r="E1472">
        <v>272.10000000000002</v>
      </c>
      <c r="F1472">
        <v>11.3</v>
      </c>
      <c r="G1472" t="s">
        <v>142</v>
      </c>
      <c r="H1472" t="s">
        <v>729</v>
      </c>
      <c r="I1472" t="s">
        <v>79</v>
      </c>
      <c r="J1472">
        <v>360</v>
      </c>
      <c r="K1472" t="s">
        <v>49</v>
      </c>
      <c r="L1472" t="s">
        <v>70</v>
      </c>
      <c r="M1472" t="s">
        <v>71</v>
      </c>
      <c r="N1472" t="s">
        <v>168</v>
      </c>
      <c r="O1472" t="s">
        <v>37</v>
      </c>
      <c r="P1472" t="s">
        <v>38</v>
      </c>
      <c r="Q1472" t="s">
        <v>39</v>
      </c>
      <c r="R1472">
        <v>4</v>
      </c>
      <c r="S1472" t="s">
        <v>38</v>
      </c>
      <c r="T1472">
        <v>9</v>
      </c>
      <c r="U1472">
        <v>5.4</v>
      </c>
      <c r="V1472">
        <v>29</v>
      </c>
      <c r="W1472" t="s">
        <v>38</v>
      </c>
      <c r="X1472" t="s">
        <v>63</v>
      </c>
      <c r="Y1472" t="s">
        <v>39</v>
      </c>
      <c r="Z1472" t="s">
        <v>108</v>
      </c>
      <c r="AA1472" t="s">
        <v>42</v>
      </c>
      <c r="AB1472" t="s">
        <v>83</v>
      </c>
      <c r="AC1472">
        <f t="shared" si="242"/>
        <v>0</v>
      </c>
      <c r="AD1472" s="12">
        <f t="shared" si="246"/>
        <v>1</v>
      </c>
      <c r="AE1472" s="12">
        <f t="shared" si="247"/>
        <v>0</v>
      </c>
      <c r="AF1472">
        <f t="shared" si="243"/>
        <v>0</v>
      </c>
      <c r="AG1472">
        <f t="shared" si="248"/>
        <v>0</v>
      </c>
      <c r="AH1472">
        <f t="shared" si="249"/>
        <v>0</v>
      </c>
      <c r="AI1472">
        <f t="shared" si="250"/>
        <v>0</v>
      </c>
      <c r="AJ1472">
        <f t="shared" si="251"/>
        <v>0</v>
      </c>
      <c r="AK1472">
        <f t="shared" si="244"/>
        <v>0</v>
      </c>
      <c r="AL1472">
        <f t="shared" si="252"/>
        <v>0</v>
      </c>
    </row>
    <row r="1473" spans="1:38">
      <c r="A1473" t="s">
        <v>4546</v>
      </c>
      <c r="B1473" t="s">
        <v>4547</v>
      </c>
      <c r="C1473" s="1">
        <f t="shared" si="245"/>
        <v>45413</v>
      </c>
      <c r="D1473" t="s">
        <v>4548</v>
      </c>
      <c r="E1473">
        <v>484.4</v>
      </c>
      <c r="F1473">
        <v>20.2</v>
      </c>
      <c r="G1473" t="s">
        <v>77</v>
      </c>
      <c r="H1473" t="s">
        <v>267</v>
      </c>
      <c r="I1473" t="s">
        <v>32</v>
      </c>
      <c r="J1473">
        <v>240</v>
      </c>
      <c r="K1473" t="s">
        <v>33</v>
      </c>
      <c r="L1473" t="s">
        <v>133</v>
      </c>
      <c r="M1473" t="s">
        <v>35</v>
      </c>
      <c r="N1473" t="s">
        <v>220</v>
      </c>
      <c r="O1473" t="s">
        <v>37</v>
      </c>
      <c r="P1473" t="s">
        <v>38</v>
      </c>
      <c r="Q1473" t="s">
        <v>38</v>
      </c>
      <c r="R1473">
        <v>1</v>
      </c>
      <c r="S1473" t="s">
        <v>39</v>
      </c>
      <c r="T1473">
        <v>6</v>
      </c>
      <c r="U1473">
        <v>2.2999999999999998</v>
      </c>
      <c r="V1473">
        <v>31.5</v>
      </c>
      <c r="W1473" t="s">
        <v>39</v>
      </c>
      <c r="X1473" t="s">
        <v>40</v>
      </c>
      <c r="Y1473" t="s">
        <v>39</v>
      </c>
      <c r="Z1473" t="s">
        <v>108</v>
      </c>
      <c r="AA1473" t="s">
        <v>109</v>
      </c>
      <c r="AB1473" t="s">
        <v>55</v>
      </c>
      <c r="AC1473">
        <f t="shared" si="242"/>
        <v>0</v>
      </c>
      <c r="AD1473" s="12">
        <f t="shared" si="246"/>
        <v>0</v>
      </c>
      <c r="AE1473" s="12">
        <f t="shared" si="247"/>
        <v>0</v>
      </c>
      <c r="AF1473">
        <f t="shared" si="243"/>
        <v>0</v>
      </c>
      <c r="AG1473">
        <f t="shared" si="248"/>
        <v>0</v>
      </c>
      <c r="AH1473">
        <f t="shared" si="249"/>
        <v>0</v>
      </c>
      <c r="AI1473">
        <f t="shared" si="250"/>
        <v>0</v>
      </c>
      <c r="AJ1473">
        <f t="shared" si="251"/>
        <v>1</v>
      </c>
      <c r="AK1473">
        <f t="shared" si="244"/>
        <v>0</v>
      </c>
      <c r="AL1473">
        <f t="shared" si="252"/>
        <v>0</v>
      </c>
    </row>
    <row r="1474" spans="1:38">
      <c r="A1474" t="s">
        <v>4549</v>
      </c>
      <c r="B1474" t="s">
        <v>4550</v>
      </c>
      <c r="C1474" s="1">
        <f t="shared" si="245"/>
        <v>45352</v>
      </c>
      <c r="D1474" t="s">
        <v>4551</v>
      </c>
      <c r="E1474">
        <v>336.8</v>
      </c>
      <c r="F1474">
        <v>14</v>
      </c>
      <c r="G1474" t="s">
        <v>142</v>
      </c>
      <c r="H1474" t="s">
        <v>260</v>
      </c>
      <c r="I1474" t="s">
        <v>32</v>
      </c>
      <c r="J1474">
        <v>240</v>
      </c>
      <c r="K1474" t="s">
        <v>33</v>
      </c>
      <c r="L1474" t="s">
        <v>70</v>
      </c>
      <c r="M1474" t="s">
        <v>35</v>
      </c>
      <c r="N1474" t="s">
        <v>506</v>
      </c>
      <c r="O1474" t="s">
        <v>51</v>
      </c>
      <c r="P1474" t="s">
        <v>38</v>
      </c>
      <c r="Q1474" t="s">
        <v>38</v>
      </c>
      <c r="R1474">
        <v>1</v>
      </c>
      <c r="S1474" t="s">
        <v>39</v>
      </c>
      <c r="T1474">
        <v>4</v>
      </c>
      <c r="U1474">
        <v>2.1</v>
      </c>
      <c r="V1474">
        <v>13.9</v>
      </c>
      <c r="W1474" t="s">
        <v>39</v>
      </c>
      <c r="X1474" t="s">
        <v>52</v>
      </c>
      <c r="Y1474" t="s">
        <v>39</v>
      </c>
      <c r="Z1474" t="s">
        <v>115</v>
      </c>
      <c r="AA1474" t="s">
        <v>82</v>
      </c>
      <c r="AB1474" t="s">
        <v>55</v>
      </c>
      <c r="AC1474">
        <f t="shared" ref="AC1474:AC1537" si="253">IF(X1474="Poor", 1, 0)</f>
        <v>1</v>
      </c>
      <c r="AD1474" s="12">
        <f t="shared" si="246"/>
        <v>0</v>
      </c>
      <c r="AE1474" s="12">
        <f t="shared" si="247"/>
        <v>0</v>
      </c>
      <c r="AF1474">
        <f t="shared" ref="AF1474:AF1537" si="254">IF(O1474="Junior", 1, 0)</f>
        <v>1</v>
      </c>
      <c r="AG1474">
        <f t="shared" si="248"/>
        <v>0</v>
      </c>
      <c r="AH1474">
        <f t="shared" si="249"/>
        <v>0</v>
      </c>
      <c r="AI1474">
        <f t="shared" si="250"/>
        <v>0</v>
      </c>
      <c r="AJ1474">
        <f t="shared" si="251"/>
        <v>1</v>
      </c>
      <c r="AK1474">
        <f t="shared" ref="AK1474:AK1537" si="255">IF(G1474="Access Requests", 1, 0)</f>
        <v>0</v>
      </c>
      <c r="AL1474">
        <f t="shared" si="252"/>
        <v>0</v>
      </c>
    </row>
    <row r="1475" spans="1:38">
      <c r="A1475" t="s">
        <v>4552</v>
      </c>
      <c r="B1475" t="s">
        <v>4553</v>
      </c>
      <c r="C1475" s="1">
        <f t="shared" ref="C1475:C1538" si="256">DATE(YEAR(B1475),MONTH(B1475),1)</f>
        <v>45323</v>
      </c>
      <c r="D1475" t="s">
        <v>4554</v>
      </c>
      <c r="E1475">
        <v>148.5</v>
      </c>
      <c r="F1475">
        <v>6.2</v>
      </c>
      <c r="G1475" t="s">
        <v>101</v>
      </c>
      <c r="H1475" t="s">
        <v>442</v>
      </c>
      <c r="I1475" t="s">
        <v>32</v>
      </c>
      <c r="J1475">
        <v>240</v>
      </c>
      <c r="K1475" t="s">
        <v>49</v>
      </c>
      <c r="L1475" t="s">
        <v>96</v>
      </c>
      <c r="M1475" t="s">
        <v>35</v>
      </c>
      <c r="N1475" t="s">
        <v>506</v>
      </c>
      <c r="O1475" t="s">
        <v>51</v>
      </c>
      <c r="P1475" t="s">
        <v>38</v>
      </c>
      <c r="Q1475" t="s">
        <v>38</v>
      </c>
      <c r="R1475">
        <v>1</v>
      </c>
      <c r="S1475" t="s">
        <v>38</v>
      </c>
      <c r="T1475">
        <v>9</v>
      </c>
      <c r="U1475">
        <v>0.6</v>
      </c>
      <c r="V1475">
        <v>12.1</v>
      </c>
      <c r="W1475" t="s">
        <v>39</v>
      </c>
      <c r="X1475" t="s">
        <v>63</v>
      </c>
      <c r="Y1475" t="s">
        <v>39</v>
      </c>
      <c r="Z1475" t="s">
        <v>179</v>
      </c>
      <c r="AA1475" t="s">
        <v>82</v>
      </c>
      <c r="AB1475" t="s">
        <v>55</v>
      </c>
      <c r="AC1475">
        <f t="shared" si="253"/>
        <v>0</v>
      </c>
      <c r="AD1475" s="12">
        <f t="shared" ref="AD1475:AD1538" si="257">IF(X1475="Fair", 1, 0)</f>
        <v>1</v>
      </c>
      <c r="AE1475" s="12">
        <f t="shared" ref="AE1475:AE1538" si="258">IF(X1475="Good", 1, 0)</f>
        <v>0</v>
      </c>
      <c r="AF1475">
        <f t="shared" si="254"/>
        <v>1</v>
      </c>
      <c r="AG1475">
        <f t="shared" ref="AG1475:AG1538" si="259">IF(O1475="Mid", 1, 0)</f>
        <v>0</v>
      </c>
      <c r="AH1475">
        <f t="shared" ref="AH1475:AH1538" si="260">IF(I1475="High", 1, 0)</f>
        <v>0</v>
      </c>
      <c r="AI1475">
        <f t="shared" ref="AI1475:AI1538" si="261">IF(I1475="Critical", 1, 0)</f>
        <v>0</v>
      </c>
      <c r="AJ1475">
        <f t="shared" ref="AJ1475:AJ1538" si="262">IF(I1475="Medium", 1, 0)</f>
        <v>1</v>
      </c>
      <c r="AK1475">
        <f t="shared" si="255"/>
        <v>0</v>
      </c>
      <c r="AL1475">
        <f t="shared" ref="AL1475:AL1538" si="263">IF(Y1475="No", 1, 0)</f>
        <v>0</v>
      </c>
    </row>
    <row r="1476" spans="1:38">
      <c r="A1476" t="s">
        <v>4555</v>
      </c>
      <c r="B1476" t="s">
        <v>4556</v>
      </c>
      <c r="C1476" s="1">
        <f t="shared" si="256"/>
        <v>45323</v>
      </c>
      <c r="D1476" t="s">
        <v>4557</v>
      </c>
      <c r="E1476">
        <v>353.7</v>
      </c>
      <c r="F1476">
        <v>14.7</v>
      </c>
      <c r="G1476" t="s">
        <v>93</v>
      </c>
      <c r="H1476" t="s">
        <v>449</v>
      </c>
      <c r="I1476" t="s">
        <v>32</v>
      </c>
      <c r="J1476">
        <v>240</v>
      </c>
      <c r="K1476" t="s">
        <v>33</v>
      </c>
      <c r="L1476" t="s">
        <v>96</v>
      </c>
      <c r="M1476" t="s">
        <v>35</v>
      </c>
      <c r="N1476" t="s">
        <v>164</v>
      </c>
      <c r="O1476" t="s">
        <v>51</v>
      </c>
      <c r="P1476" t="s">
        <v>38</v>
      </c>
      <c r="Q1476" t="s">
        <v>38</v>
      </c>
      <c r="R1476">
        <v>1</v>
      </c>
      <c r="S1476" t="s">
        <v>38</v>
      </c>
      <c r="T1476">
        <v>5</v>
      </c>
      <c r="U1476">
        <v>3.5</v>
      </c>
      <c r="V1476">
        <v>0</v>
      </c>
      <c r="W1476" t="s">
        <v>39</v>
      </c>
      <c r="X1476" t="s">
        <v>52</v>
      </c>
      <c r="Y1476" t="s">
        <v>38</v>
      </c>
      <c r="Z1476" t="s">
        <v>41</v>
      </c>
      <c r="AA1476" t="s">
        <v>103</v>
      </c>
      <c r="AB1476" t="s">
        <v>83</v>
      </c>
      <c r="AC1476">
        <f t="shared" si="253"/>
        <v>1</v>
      </c>
      <c r="AD1476" s="12">
        <f t="shared" si="257"/>
        <v>0</v>
      </c>
      <c r="AE1476" s="12">
        <f t="shared" si="258"/>
        <v>0</v>
      </c>
      <c r="AF1476">
        <f t="shared" si="254"/>
        <v>1</v>
      </c>
      <c r="AG1476">
        <f t="shared" si="259"/>
        <v>0</v>
      </c>
      <c r="AH1476">
        <f t="shared" si="260"/>
        <v>0</v>
      </c>
      <c r="AI1476">
        <f t="shared" si="261"/>
        <v>0</v>
      </c>
      <c r="AJ1476">
        <f t="shared" si="262"/>
        <v>1</v>
      </c>
      <c r="AK1476">
        <f t="shared" si="255"/>
        <v>0</v>
      </c>
      <c r="AL1476">
        <f t="shared" si="263"/>
        <v>1</v>
      </c>
    </row>
    <row r="1477" spans="1:38">
      <c r="A1477" t="s">
        <v>4558</v>
      </c>
      <c r="B1477" t="s">
        <v>4559</v>
      </c>
      <c r="C1477" s="1">
        <f t="shared" si="256"/>
        <v>45505</v>
      </c>
      <c r="D1477" t="s">
        <v>4560</v>
      </c>
      <c r="E1477">
        <v>421.1</v>
      </c>
      <c r="F1477">
        <v>17.5</v>
      </c>
      <c r="G1477" t="s">
        <v>77</v>
      </c>
      <c r="H1477" t="s">
        <v>78</v>
      </c>
      <c r="I1477" t="s">
        <v>79</v>
      </c>
      <c r="J1477">
        <v>360</v>
      </c>
      <c r="K1477" t="s">
        <v>33</v>
      </c>
      <c r="L1477" t="s">
        <v>34</v>
      </c>
      <c r="M1477" t="s">
        <v>35</v>
      </c>
      <c r="N1477" t="s">
        <v>144</v>
      </c>
      <c r="O1477" t="s">
        <v>37</v>
      </c>
      <c r="P1477" t="s">
        <v>39</v>
      </c>
      <c r="Q1477" t="s">
        <v>38</v>
      </c>
      <c r="R1477">
        <v>0</v>
      </c>
      <c r="S1477" t="s">
        <v>38</v>
      </c>
      <c r="T1477">
        <v>5</v>
      </c>
      <c r="U1477">
        <v>3.8</v>
      </c>
      <c r="V1477">
        <v>19.8</v>
      </c>
      <c r="W1477" t="s">
        <v>38</v>
      </c>
      <c r="X1477" t="s">
        <v>52</v>
      </c>
      <c r="Y1477" t="s">
        <v>39</v>
      </c>
      <c r="Z1477" t="s">
        <v>115</v>
      </c>
      <c r="AA1477" t="s">
        <v>103</v>
      </c>
      <c r="AB1477" t="s">
        <v>55</v>
      </c>
      <c r="AC1477">
        <f t="shared" si="253"/>
        <v>1</v>
      </c>
      <c r="AD1477" s="12">
        <f t="shared" si="257"/>
        <v>0</v>
      </c>
      <c r="AE1477" s="12">
        <f t="shared" si="258"/>
        <v>0</v>
      </c>
      <c r="AF1477">
        <f t="shared" si="254"/>
        <v>0</v>
      </c>
      <c r="AG1477">
        <f t="shared" si="259"/>
        <v>0</v>
      </c>
      <c r="AH1477">
        <f t="shared" si="260"/>
        <v>0</v>
      </c>
      <c r="AI1477">
        <f t="shared" si="261"/>
        <v>0</v>
      </c>
      <c r="AJ1477">
        <f t="shared" si="262"/>
        <v>0</v>
      </c>
      <c r="AK1477">
        <f t="shared" si="255"/>
        <v>0</v>
      </c>
      <c r="AL1477">
        <f t="shared" si="263"/>
        <v>0</v>
      </c>
    </row>
    <row r="1478" spans="1:38">
      <c r="A1478" t="s">
        <v>4561</v>
      </c>
      <c r="B1478" t="s">
        <v>4562</v>
      </c>
      <c r="C1478" s="1">
        <f t="shared" si="256"/>
        <v>45505</v>
      </c>
      <c r="D1478" t="s">
        <v>4563</v>
      </c>
      <c r="E1478">
        <v>90</v>
      </c>
      <c r="F1478">
        <v>3.8</v>
      </c>
      <c r="G1478" t="s">
        <v>101</v>
      </c>
      <c r="H1478" t="s">
        <v>368</v>
      </c>
      <c r="I1478" t="s">
        <v>48</v>
      </c>
      <c r="J1478">
        <v>120</v>
      </c>
      <c r="K1478" t="s">
        <v>49</v>
      </c>
      <c r="L1478" t="s">
        <v>133</v>
      </c>
      <c r="M1478" t="s">
        <v>35</v>
      </c>
      <c r="N1478" t="s">
        <v>119</v>
      </c>
      <c r="O1478" t="s">
        <v>37</v>
      </c>
      <c r="P1478" t="s">
        <v>38</v>
      </c>
      <c r="Q1478" t="s">
        <v>38</v>
      </c>
      <c r="R1478">
        <v>1</v>
      </c>
      <c r="S1478" t="s">
        <v>39</v>
      </c>
      <c r="T1478">
        <v>9</v>
      </c>
      <c r="U1478">
        <v>0.1</v>
      </c>
      <c r="V1478">
        <v>34.4</v>
      </c>
      <c r="W1478" t="s">
        <v>38</v>
      </c>
      <c r="X1478" t="s">
        <v>63</v>
      </c>
      <c r="Y1478" t="s">
        <v>38</v>
      </c>
      <c r="Z1478" t="s">
        <v>73</v>
      </c>
      <c r="AA1478" t="s">
        <v>54</v>
      </c>
      <c r="AB1478" t="s">
        <v>83</v>
      </c>
      <c r="AC1478">
        <f t="shared" si="253"/>
        <v>0</v>
      </c>
      <c r="AD1478" s="12">
        <f t="shared" si="257"/>
        <v>1</v>
      </c>
      <c r="AE1478" s="12">
        <f t="shared" si="258"/>
        <v>0</v>
      </c>
      <c r="AF1478">
        <f t="shared" si="254"/>
        <v>0</v>
      </c>
      <c r="AG1478">
        <f t="shared" si="259"/>
        <v>0</v>
      </c>
      <c r="AH1478">
        <f t="shared" si="260"/>
        <v>1</v>
      </c>
      <c r="AI1478">
        <f t="shared" si="261"/>
        <v>0</v>
      </c>
      <c r="AJ1478">
        <f t="shared" si="262"/>
        <v>0</v>
      </c>
      <c r="AK1478">
        <f t="shared" si="255"/>
        <v>0</v>
      </c>
      <c r="AL1478">
        <f t="shared" si="263"/>
        <v>1</v>
      </c>
    </row>
    <row r="1479" spans="1:38">
      <c r="A1479" t="s">
        <v>4564</v>
      </c>
      <c r="B1479" t="s">
        <v>4565</v>
      </c>
      <c r="C1479" s="1">
        <f t="shared" si="256"/>
        <v>45383</v>
      </c>
      <c r="D1479" t="s">
        <v>4566</v>
      </c>
      <c r="E1479">
        <v>40.5</v>
      </c>
      <c r="F1479">
        <v>1.7</v>
      </c>
      <c r="G1479" t="s">
        <v>87</v>
      </c>
      <c r="H1479" t="s">
        <v>183</v>
      </c>
      <c r="I1479" t="s">
        <v>95</v>
      </c>
      <c r="J1479">
        <v>48</v>
      </c>
      <c r="K1479" t="s">
        <v>49</v>
      </c>
      <c r="L1479" t="s">
        <v>34</v>
      </c>
      <c r="M1479" t="s">
        <v>71</v>
      </c>
      <c r="N1479" t="s">
        <v>50</v>
      </c>
      <c r="O1479" t="s">
        <v>7232</v>
      </c>
      <c r="P1479" t="s">
        <v>38</v>
      </c>
      <c r="Q1479" t="s">
        <v>39</v>
      </c>
      <c r="R1479">
        <v>1</v>
      </c>
      <c r="S1479" t="s">
        <v>38</v>
      </c>
      <c r="T1479">
        <v>6</v>
      </c>
      <c r="U1479">
        <v>2.2999999999999998</v>
      </c>
      <c r="V1479">
        <v>12.9</v>
      </c>
      <c r="W1479" t="s">
        <v>39</v>
      </c>
      <c r="X1479" t="s">
        <v>123</v>
      </c>
      <c r="Y1479" t="s">
        <v>39</v>
      </c>
      <c r="Z1479" t="s">
        <v>115</v>
      </c>
      <c r="AA1479" t="s">
        <v>42</v>
      </c>
      <c r="AB1479" t="s">
        <v>55</v>
      </c>
      <c r="AC1479">
        <f t="shared" si="253"/>
        <v>0</v>
      </c>
      <c r="AD1479" s="12">
        <f t="shared" si="257"/>
        <v>0</v>
      </c>
      <c r="AE1479" s="12">
        <f t="shared" si="258"/>
        <v>1</v>
      </c>
      <c r="AF1479">
        <f t="shared" si="254"/>
        <v>0</v>
      </c>
      <c r="AG1479">
        <f t="shared" si="259"/>
        <v>1</v>
      </c>
      <c r="AH1479">
        <f t="shared" si="260"/>
        <v>0</v>
      </c>
      <c r="AI1479">
        <f t="shared" si="261"/>
        <v>1</v>
      </c>
      <c r="AJ1479">
        <f t="shared" si="262"/>
        <v>0</v>
      </c>
      <c r="AK1479">
        <f t="shared" si="255"/>
        <v>0</v>
      </c>
      <c r="AL1479">
        <f t="shared" si="263"/>
        <v>0</v>
      </c>
    </row>
    <row r="1480" spans="1:38">
      <c r="A1480" t="s">
        <v>4567</v>
      </c>
      <c r="B1480" t="s">
        <v>4568</v>
      </c>
      <c r="C1480" s="1">
        <f t="shared" si="256"/>
        <v>45292</v>
      </c>
      <c r="D1480" t="s">
        <v>4569</v>
      </c>
      <c r="E1480">
        <v>182.6</v>
      </c>
      <c r="F1480">
        <v>7.6</v>
      </c>
      <c r="G1480" t="s">
        <v>142</v>
      </c>
      <c r="H1480" t="s">
        <v>260</v>
      </c>
      <c r="I1480" t="s">
        <v>32</v>
      </c>
      <c r="J1480">
        <v>240</v>
      </c>
      <c r="K1480" t="s">
        <v>49</v>
      </c>
      <c r="L1480" t="s">
        <v>96</v>
      </c>
      <c r="M1480" t="s">
        <v>35</v>
      </c>
      <c r="N1480" t="s">
        <v>277</v>
      </c>
      <c r="O1480" t="s">
        <v>37</v>
      </c>
      <c r="P1480" t="s">
        <v>38</v>
      </c>
      <c r="Q1480" t="s">
        <v>38</v>
      </c>
      <c r="R1480">
        <v>1</v>
      </c>
      <c r="S1480" t="s">
        <v>38</v>
      </c>
      <c r="T1480">
        <v>7</v>
      </c>
      <c r="U1480">
        <v>3.3</v>
      </c>
      <c r="V1480">
        <v>43.5</v>
      </c>
      <c r="W1480" t="s">
        <v>38</v>
      </c>
      <c r="X1480" t="s">
        <v>63</v>
      </c>
      <c r="Y1480" t="s">
        <v>39</v>
      </c>
      <c r="Z1480" t="s">
        <v>53</v>
      </c>
      <c r="AA1480" t="s">
        <v>54</v>
      </c>
      <c r="AB1480" t="s">
        <v>55</v>
      </c>
      <c r="AC1480">
        <f t="shared" si="253"/>
        <v>0</v>
      </c>
      <c r="AD1480" s="12">
        <f t="shared" si="257"/>
        <v>1</v>
      </c>
      <c r="AE1480" s="12">
        <f t="shared" si="258"/>
        <v>0</v>
      </c>
      <c r="AF1480">
        <f t="shared" si="254"/>
        <v>0</v>
      </c>
      <c r="AG1480">
        <f t="shared" si="259"/>
        <v>0</v>
      </c>
      <c r="AH1480">
        <f t="shared" si="260"/>
        <v>0</v>
      </c>
      <c r="AI1480">
        <f t="shared" si="261"/>
        <v>0</v>
      </c>
      <c r="AJ1480">
        <f t="shared" si="262"/>
        <v>1</v>
      </c>
      <c r="AK1480">
        <f t="shared" si="255"/>
        <v>0</v>
      </c>
      <c r="AL1480">
        <f t="shared" si="263"/>
        <v>0</v>
      </c>
    </row>
    <row r="1481" spans="1:38">
      <c r="A1481" t="s">
        <v>4570</v>
      </c>
      <c r="B1481" t="s">
        <v>4571</v>
      </c>
      <c r="C1481" s="1">
        <f t="shared" si="256"/>
        <v>45352</v>
      </c>
      <c r="D1481" t="s">
        <v>4572</v>
      </c>
      <c r="E1481">
        <v>33.299999999999997</v>
      </c>
      <c r="F1481">
        <v>1.4</v>
      </c>
      <c r="G1481" t="s">
        <v>30</v>
      </c>
      <c r="H1481" t="s">
        <v>172</v>
      </c>
      <c r="I1481" t="s">
        <v>95</v>
      </c>
      <c r="J1481">
        <v>48</v>
      </c>
      <c r="K1481" t="s">
        <v>49</v>
      </c>
      <c r="L1481" t="s">
        <v>113</v>
      </c>
      <c r="M1481" t="s">
        <v>35</v>
      </c>
      <c r="N1481" t="s">
        <v>134</v>
      </c>
      <c r="O1481" t="s">
        <v>51</v>
      </c>
      <c r="P1481" t="s">
        <v>39</v>
      </c>
      <c r="Q1481" t="s">
        <v>38</v>
      </c>
      <c r="R1481">
        <v>0</v>
      </c>
      <c r="S1481" t="s">
        <v>39</v>
      </c>
      <c r="T1481">
        <v>7</v>
      </c>
      <c r="U1481">
        <v>3.3</v>
      </c>
      <c r="V1481">
        <v>26.3</v>
      </c>
      <c r="W1481" t="s">
        <v>39</v>
      </c>
      <c r="X1481" t="s">
        <v>63</v>
      </c>
      <c r="Y1481" t="s">
        <v>39</v>
      </c>
      <c r="Z1481" t="s">
        <v>41</v>
      </c>
      <c r="AA1481" t="s">
        <v>103</v>
      </c>
      <c r="AB1481" t="s">
        <v>55</v>
      </c>
      <c r="AC1481">
        <f t="shared" si="253"/>
        <v>0</v>
      </c>
      <c r="AD1481" s="12">
        <f t="shared" si="257"/>
        <v>1</v>
      </c>
      <c r="AE1481" s="12">
        <f t="shared" si="258"/>
        <v>0</v>
      </c>
      <c r="AF1481">
        <f t="shared" si="254"/>
        <v>1</v>
      </c>
      <c r="AG1481">
        <f t="shared" si="259"/>
        <v>0</v>
      </c>
      <c r="AH1481">
        <f t="shared" si="260"/>
        <v>0</v>
      </c>
      <c r="AI1481">
        <f t="shared" si="261"/>
        <v>1</v>
      </c>
      <c r="AJ1481">
        <f t="shared" si="262"/>
        <v>0</v>
      </c>
      <c r="AK1481">
        <f t="shared" si="255"/>
        <v>1</v>
      </c>
      <c r="AL1481">
        <f t="shared" si="263"/>
        <v>0</v>
      </c>
    </row>
    <row r="1482" spans="1:38">
      <c r="A1482" t="s">
        <v>4573</v>
      </c>
      <c r="B1482" t="s">
        <v>4574</v>
      </c>
      <c r="C1482" s="1">
        <f t="shared" si="256"/>
        <v>45413</v>
      </c>
      <c r="D1482" t="s">
        <v>4575</v>
      </c>
      <c r="E1482">
        <v>309.8</v>
      </c>
      <c r="F1482">
        <v>12.9</v>
      </c>
      <c r="G1482" t="s">
        <v>142</v>
      </c>
      <c r="H1482" t="s">
        <v>260</v>
      </c>
      <c r="I1482" t="s">
        <v>79</v>
      </c>
      <c r="J1482">
        <v>360</v>
      </c>
      <c r="K1482" t="s">
        <v>49</v>
      </c>
      <c r="L1482" t="s">
        <v>34</v>
      </c>
      <c r="M1482" t="s">
        <v>35</v>
      </c>
      <c r="N1482" t="s">
        <v>168</v>
      </c>
      <c r="O1482" t="s">
        <v>7232</v>
      </c>
      <c r="P1482" t="s">
        <v>38</v>
      </c>
      <c r="Q1482" t="s">
        <v>38</v>
      </c>
      <c r="R1482">
        <v>1</v>
      </c>
      <c r="S1482" t="s">
        <v>38</v>
      </c>
      <c r="T1482">
        <v>9</v>
      </c>
      <c r="U1482">
        <v>0.5</v>
      </c>
      <c r="V1482">
        <v>12.1</v>
      </c>
      <c r="W1482" t="s">
        <v>39</v>
      </c>
      <c r="X1482" t="s">
        <v>123</v>
      </c>
      <c r="Y1482" t="s">
        <v>39</v>
      </c>
      <c r="Z1482" t="s">
        <v>41</v>
      </c>
      <c r="AA1482" t="s">
        <v>109</v>
      </c>
      <c r="AB1482" t="s">
        <v>55</v>
      </c>
      <c r="AC1482">
        <f t="shared" si="253"/>
        <v>0</v>
      </c>
      <c r="AD1482" s="12">
        <f t="shared" si="257"/>
        <v>0</v>
      </c>
      <c r="AE1482" s="12">
        <f t="shared" si="258"/>
        <v>1</v>
      </c>
      <c r="AF1482">
        <f t="shared" si="254"/>
        <v>0</v>
      </c>
      <c r="AG1482">
        <f t="shared" si="259"/>
        <v>1</v>
      </c>
      <c r="AH1482">
        <f t="shared" si="260"/>
        <v>0</v>
      </c>
      <c r="AI1482">
        <f t="shared" si="261"/>
        <v>0</v>
      </c>
      <c r="AJ1482">
        <f t="shared" si="262"/>
        <v>0</v>
      </c>
      <c r="AK1482">
        <f t="shared" si="255"/>
        <v>0</v>
      </c>
      <c r="AL1482">
        <f t="shared" si="263"/>
        <v>0</v>
      </c>
    </row>
    <row r="1483" spans="1:38">
      <c r="A1483" t="s">
        <v>4576</v>
      </c>
      <c r="B1483" t="s">
        <v>4577</v>
      </c>
      <c r="C1483" s="1">
        <f t="shared" si="256"/>
        <v>45352</v>
      </c>
      <c r="D1483" t="s">
        <v>4578</v>
      </c>
      <c r="E1483">
        <v>240.2</v>
      </c>
      <c r="F1483">
        <v>10</v>
      </c>
      <c r="G1483" t="s">
        <v>77</v>
      </c>
      <c r="H1483" t="s">
        <v>244</v>
      </c>
      <c r="I1483" t="s">
        <v>79</v>
      </c>
      <c r="J1483">
        <v>360</v>
      </c>
      <c r="K1483" t="s">
        <v>49</v>
      </c>
      <c r="L1483" t="s">
        <v>113</v>
      </c>
      <c r="M1483" t="s">
        <v>35</v>
      </c>
      <c r="N1483" t="s">
        <v>119</v>
      </c>
      <c r="O1483" t="s">
        <v>51</v>
      </c>
      <c r="P1483" t="s">
        <v>39</v>
      </c>
      <c r="Q1483" t="s">
        <v>38</v>
      </c>
      <c r="R1483">
        <v>0</v>
      </c>
      <c r="S1483" t="s">
        <v>38</v>
      </c>
      <c r="T1483">
        <v>10</v>
      </c>
      <c r="U1483">
        <v>4.8</v>
      </c>
      <c r="V1483">
        <v>42</v>
      </c>
      <c r="W1483" t="s">
        <v>39</v>
      </c>
      <c r="X1483" t="s">
        <v>123</v>
      </c>
      <c r="Y1483" t="s">
        <v>38</v>
      </c>
      <c r="Z1483" t="s">
        <v>115</v>
      </c>
      <c r="AA1483" t="s">
        <v>54</v>
      </c>
      <c r="AB1483" t="s">
        <v>83</v>
      </c>
      <c r="AC1483">
        <f t="shared" si="253"/>
        <v>0</v>
      </c>
      <c r="AD1483" s="12">
        <f t="shared" si="257"/>
        <v>0</v>
      </c>
      <c r="AE1483" s="12">
        <f t="shared" si="258"/>
        <v>1</v>
      </c>
      <c r="AF1483">
        <f t="shared" si="254"/>
        <v>1</v>
      </c>
      <c r="AG1483">
        <f t="shared" si="259"/>
        <v>0</v>
      </c>
      <c r="AH1483">
        <f t="shared" si="260"/>
        <v>0</v>
      </c>
      <c r="AI1483">
        <f t="shared" si="261"/>
        <v>0</v>
      </c>
      <c r="AJ1483">
        <f t="shared" si="262"/>
        <v>0</v>
      </c>
      <c r="AK1483">
        <f t="shared" si="255"/>
        <v>0</v>
      </c>
      <c r="AL1483">
        <f t="shared" si="263"/>
        <v>1</v>
      </c>
    </row>
    <row r="1484" spans="1:38">
      <c r="A1484" t="s">
        <v>4579</v>
      </c>
      <c r="B1484" t="s">
        <v>4580</v>
      </c>
      <c r="C1484" s="1">
        <f t="shared" si="256"/>
        <v>45505</v>
      </c>
      <c r="D1484" t="s">
        <v>4581</v>
      </c>
      <c r="E1484">
        <v>278.10000000000002</v>
      </c>
      <c r="F1484">
        <v>11.6</v>
      </c>
      <c r="G1484" t="s">
        <v>87</v>
      </c>
      <c r="H1484" t="s">
        <v>309</v>
      </c>
      <c r="I1484" t="s">
        <v>32</v>
      </c>
      <c r="J1484">
        <v>240</v>
      </c>
      <c r="K1484" t="s">
        <v>33</v>
      </c>
      <c r="L1484" t="s">
        <v>96</v>
      </c>
      <c r="M1484" t="s">
        <v>35</v>
      </c>
      <c r="N1484" t="s">
        <v>506</v>
      </c>
      <c r="O1484" t="s">
        <v>7232</v>
      </c>
      <c r="P1484" t="s">
        <v>38</v>
      </c>
      <c r="Q1484" t="s">
        <v>38</v>
      </c>
      <c r="R1484">
        <v>1</v>
      </c>
      <c r="S1484" t="s">
        <v>38</v>
      </c>
      <c r="T1484">
        <v>7</v>
      </c>
      <c r="U1484">
        <v>0.3</v>
      </c>
      <c r="V1484">
        <v>12.2</v>
      </c>
      <c r="W1484" t="s">
        <v>38</v>
      </c>
      <c r="X1484" t="s">
        <v>52</v>
      </c>
      <c r="Y1484" t="s">
        <v>39</v>
      </c>
      <c r="Z1484" t="s">
        <v>115</v>
      </c>
      <c r="AA1484" t="s">
        <v>42</v>
      </c>
      <c r="AB1484" t="s">
        <v>43</v>
      </c>
      <c r="AC1484">
        <f t="shared" si="253"/>
        <v>1</v>
      </c>
      <c r="AD1484" s="12">
        <f t="shared" si="257"/>
        <v>0</v>
      </c>
      <c r="AE1484" s="12">
        <f t="shared" si="258"/>
        <v>0</v>
      </c>
      <c r="AF1484">
        <f t="shared" si="254"/>
        <v>0</v>
      </c>
      <c r="AG1484">
        <f t="shared" si="259"/>
        <v>1</v>
      </c>
      <c r="AH1484">
        <f t="shared" si="260"/>
        <v>0</v>
      </c>
      <c r="AI1484">
        <f t="shared" si="261"/>
        <v>0</v>
      </c>
      <c r="AJ1484">
        <f t="shared" si="262"/>
        <v>1</v>
      </c>
      <c r="AK1484">
        <f t="shared" si="255"/>
        <v>0</v>
      </c>
      <c r="AL1484">
        <f t="shared" si="263"/>
        <v>0</v>
      </c>
    </row>
    <row r="1485" spans="1:38">
      <c r="A1485" t="s">
        <v>4582</v>
      </c>
      <c r="B1485" t="s">
        <v>4583</v>
      </c>
      <c r="C1485" s="1">
        <f t="shared" si="256"/>
        <v>45474</v>
      </c>
      <c r="D1485" t="s">
        <v>4584</v>
      </c>
      <c r="E1485">
        <v>82.9</v>
      </c>
      <c r="F1485">
        <v>3.5</v>
      </c>
      <c r="G1485" t="s">
        <v>59</v>
      </c>
      <c r="H1485" t="s">
        <v>281</v>
      </c>
      <c r="I1485" t="s">
        <v>48</v>
      </c>
      <c r="J1485">
        <v>120</v>
      </c>
      <c r="K1485" t="s">
        <v>49</v>
      </c>
      <c r="L1485" t="s">
        <v>34</v>
      </c>
      <c r="M1485" t="s">
        <v>35</v>
      </c>
      <c r="N1485" t="s">
        <v>277</v>
      </c>
      <c r="O1485" t="s">
        <v>37</v>
      </c>
      <c r="P1485" t="s">
        <v>38</v>
      </c>
      <c r="Q1485" t="s">
        <v>38</v>
      </c>
      <c r="R1485">
        <v>1</v>
      </c>
      <c r="S1485" t="s">
        <v>38</v>
      </c>
      <c r="T1485">
        <v>7</v>
      </c>
      <c r="U1485">
        <v>4</v>
      </c>
      <c r="V1485">
        <v>0</v>
      </c>
      <c r="W1485" t="s">
        <v>39</v>
      </c>
      <c r="X1485" t="s">
        <v>52</v>
      </c>
      <c r="Y1485" t="s">
        <v>39</v>
      </c>
      <c r="Z1485" t="s">
        <v>108</v>
      </c>
      <c r="AA1485" t="s">
        <v>54</v>
      </c>
      <c r="AB1485" t="s">
        <v>55</v>
      </c>
      <c r="AC1485">
        <f t="shared" si="253"/>
        <v>1</v>
      </c>
      <c r="AD1485" s="12">
        <f t="shared" si="257"/>
        <v>0</v>
      </c>
      <c r="AE1485" s="12">
        <f t="shared" si="258"/>
        <v>0</v>
      </c>
      <c r="AF1485">
        <f t="shared" si="254"/>
        <v>0</v>
      </c>
      <c r="AG1485">
        <f t="shared" si="259"/>
        <v>0</v>
      </c>
      <c r="AH1485">
        <f t="shared" si="260"/>
        <v>1</v>
      </c>
      <c r="AI1485">
        <f t="shared" si="261"/>
        <v>0</v>
      </c>
      <c r="AJ1485">
        <f t="shared" si="262"/>
        <v>0</v>
      </c>
      <c r="AK1485">
        <f t="shared" si="255"/>
        <v>0</v>
      </c>
      <c r="AL1485">
        <f t="shared" si="263"/>
        <v>0</v>
      </c>
    </row>
    <row r="1486" spans="1:38">
      <c r="A1486" t="s">
        <v>4585</v>
      </c>
      <c r="B1486" t="s">
        <v>4586</v>
      </c>
      <c r="C1486" s="1">
        <f t="shared" si="256"/>
        <v>45352</v>
      </c>
      <c r="D1486" t="s">
        <v>4587</v>
      </c>
      <c r="E1486">
        <v>104.5</v>
      </c>
      <c r="F1486">
        <v>4.4000000000000004</v>
      </c>
      <c r="G1486" t="s">
        <v>101</v>
      </c>
      <c r="H1486" t="s">
        <v>295</v>
      </c>
      <c r="I1486" t="s">
        <v>48</v>
      </c>
      <c r="J1486">
        <v>120</v>
      </c>
      <c r="K1486" t="s">
        <v>49</v>
      </c>
      <c r="L1486" t="s">
        <v>96</v>
      </c>
      <c r="M1486" t="s">
        <v>71</v>
      </c>
      <c r="N1486" t="s">
        <v>97</v>
      </c>
      <c r="O1486" t="s">
        <v>51</v>
      </c>
      <c r="P1486" t="s">
        <v>38</v>
      </c>
      <c r="Q1486" t="s">
        <v>39</v>
      </c>
      <c r="R1486">
        <v>2</v>
      </c>
      <c r="S1486" t="s">
        <v>38</v>
      </c>
      <c r="T1486">
        <v>8</v>
      </c>
      <c r="U1486">
        <v>1.4</v>
      </c>
      <c r="V1486">
        <v>32.9</v>
      </c>
      <c r="W1486" t="s">
        <v>39</v>
      </c>
      <c r="X1486" t="s">
        <v>63</v>
      </c>
      <c r="Y1486" t="s">
        <v>39</v>
      </c>
      <c r="Z1486" t="s">
        <v>81</v>
      </c>
      <c r="AA1486" t="s">
        <v>54</v>
      </c>
      <c r="AB1486" t="s">
        <v>83</v>
      </c>
      <c r="AC1486">
        <f t="shared" si="253"/>
        <v>0</v>
      </c>
      <c r="AD1486" s="12">
        <f t="shared" si="257"/>
        <v>1</v>
      </c>
      <c r="AE1486" s="12">
        <f t="shared" si="258"/>
        <v>0</v>
      </c>
      <c r="AF1486">
        <f t="shared" si="254"/>
        <v>1</v>
      </c>
      <c r="AG1486">
        <f t="shared" si="259"/>
        <v>0</v>
      </c>
      <c r="AH1486">
        <f t="shared" si="260"/>
        <v>1</v>
      </c>
      <c r="AI1486">
        <f t="shared" si="261"/>
        <v>0</v>
      </c>
      <c r="AJ1486">
        <f t="shared" si="262"/>
        <v>0</v>
      </c>
      <c r="AK1486">
        <f t="shared" si="255"/>
        <v>0</v>
      </c>
      <c r="AL1486">
        <f t="shared" si="263"/>
        <v>0</v>
      </c>
    </row>
    <row r="1487" spans="1:38">
      <c r="A1487" t="s">
        <v>4588</v>
      </c>
      <c r="B1487" t="s">
        <v>4589</v>
      </c>
      <c r="C1487" s="1">
        <f t="shared" si="256"/>
        <v>45292</v>
      </c>
      <c r="D1487" t="s">
        <v>4590</v>
      </c>
      <c r="E1487">
        <v>259.8</v>
      </c>
      <c r="F1487">
        <v>10.8</v>
      </c>
      <c r="G1487" t="s">
        <v>59</v>
      </c>
      <c r="H1487" t="s">
        <v>466</v>
      </c>
      <c r="I1487" t="s">
        <v>79</v>
      </c>
      <c r="J1487">
        <v>360</v>
      </c>
      <c r="K1487" t="s">
        <v>49</v>
      </c>
      <c r="L1487" t="s">
        <v>70</v>
      </c>
      <c r="M1487" t="s">
        <v>35</v>
      </c>
      <c r="N1487" t="s">
        <v>277</v>
      </c>
      <c r="O1487" t="s">
        <v>37</v>
      </c>
      <c r="P1487" t="s">
        <v>38</v>
      </c>
      <c r="Q1487" t="s">
        <v>38</v>
      </c>
      <c r="R1487">
        <v>1</v>
      </c>
      <c r="S1487" t="s">
        <v>38</v>
      </c>
      <c r="T1487">
        <v>7</v>
      </c>
      <c r="U1487">
        <v>2.7</v>
      </c>
      <c r="V1487">
        <v>10</v>
      </c>
      <c r="W1487" t="s">
        <v>39</v>
      </c>
      <c r="X1487" t="s">
        <v>63</v>
      </c>
      <c r="Y1487" t="s">
        <v>39</v>
      </c>
      <c r="Z1487" t="s">
        <v>53</v>
      </c>
      <c r="AA1487" t="s">
        <v>82</v>
      </c>
      <c r="AB1487" t="s">
        <v>55</v>
      </c>
      <c r="AC1487">
        <f t="shared" si="253"/>
        <v>0</v>
      </c>
      <c r="AD1487" s="12">
        <f t="shared" si="257"/>
        <v>1</v>
      </c>
      <c r="AE1487" s="12">
        <f t="shared" si="258"/>
        <v>0</v>
      </c>
      <c r="AF1487">
        <f t="shared" si="254"/>
        <v>0</v>
      </c>
      <c r="AG1487">
        <f t="shared" si="259"/>
        <v>0</v>
      </c>
      <c r="AH1487">
        <f t="shared" si="260"/>
        <v>0</v>
      </c>
      <c r="AI1487">
        <f t="shared" si="261"/>
        <v>0</v>
      </c>
      <c r="AJ1487">
        <f t="shared" si="262"/>
        <v>0</v>
      </c>
      <c r="AK1487">
        <f t="shared" si="255"/>
        <v>0</v>
      </c>
      <c r="AL1487">
        <f t="shared" si="263"/>
        <v>0</v>
      </c>
    </row>
    <row r="1488" spans="1:38">
      <c r="A1488" t="s">
        <v>4591</v>
      </c>
      <c r="B1488" t="s">
        <v>4592</v>
      </c>
      <c r="C1488" s="1">
        <f t="shared" si="256"/>
        <v>45292</v>
      </c>
      <c r="D1488" t="s">
        <v>4593</v>
      </c>
      <c r="E1488">
        <v>105.9</v>
      </c>
      <c r="F1488">
        <v>4.4000000000000004</v>
      </c>
      <c r="G1488" t="s">
        <v>68</v>
      </c>
      <c r="H1488" t="s">
        <v>456</v>
      </c>
      <c r="I1488" t="s">
        <v>48</v>
      </c>
      <c r="J1488">
        <v>120</v>
      </c>
      <c r="K1488" t="s">
        <v>49</v>
      </c>
      <c r="L1488" t="s">
        <v>113</v>
      </c>
      <c r="M1488" t="s">
        <v>35</v>
      </c>
      <c r="N1488" t="s">
        <v>144</v>
      </c>
      <c r="O1488" t="s">
        <v>7232</v>
      </c>
      <c r="P1488" t="s">
        <v>38</v>
      </c>
      <c r="Q1488" t="s">
        <v>38</v>
      </c>
      <c r="R1488">
        <v>1</v>
      </c>
      <c r="S1488" t="s">
        <v>38</v>
      </c>
      <c r="T1488">
        <v>8</v>
      </c>
      <c r="U1488">
        <v>3.4</v>
      </c>
      <c r="V1488">
        <v>15</v>
      </c>
      <c r="W1488" t="s">
        <v>39</v>
      </c>
      <c r="X1488" t="s">
        <v>123</v>
      </c>
      <c r="Y1488" t="s">
        <v>39</v>
      </c>
      <c r="Z1488" t="s">
        <v>115</v>
      </c>
      <c r="AA1488" t="s">
        <v>109</v>
      </c>
      <c r="AB1488" t="s">
        <v>83</v>
      </c>
      <c r="AC1488">
        <f t="shared" si="253"/>
        <v>0</v>
      </c>
      <c r="AD1488" s="12">
        <f t="shared" si="257"/>
        <v>0</v>
      </c>
      <c r="AE1488" s="12">
        <f t="shared" si="258"/>
        <v>1</v>
      </c>
      <c r="AF1488">
        <f t="shared" si="254"/>
        <v>0</v>
      </c>
      <c r="AG1488">
        <f t="shared" si="259"/>
        <v>1</v>
      </c>
      <c r="AH1488">
        <f t="shared" si="260"/>
        <v>1</v>
      </c>
      <c r="AI1488">
        <f t="shared" si="261"/>
        <v>0</v>
      </c>
      <c r="AJ1488">
        <f t="shared" si="262"/>
        <v>0</v>
      </c>
      <c r="AK1488">
        <f t="shared" si="255"/>
        <v>0</v>
      </c>
      <c r="AL1488">
        <f t="shared" si="263"/>
        <v>0</v>
      </c>
    </row>
    <row r="1489" spans="1:38">
      <c r="A1489" t="s">
        <v>4594</v>
      </c>
      <c r="B1489" t="s">
        <v>4595</v>
      </c>
      <c r="C1489" s="1">
        <f t="shared" si="256"/>
        <v>45566</v>
      </c>
      <c r="D1489" t="s">
        <v>4596</v>
      </c>
      <c r="E1489">
        <v>320.2</v>
      </c>
      <c r="F1489">
        <v>13.3</v>
      </c>
      <c r="G1489" t="s">
        <v>142</v>
      </c>
      <c r="H1489" t="s">
        <v>143</v>
      </c>
      <c r="I1489" t="s">
        <v>79</v>
      </c>
      <c r="J1489">
        <v>360</v>
      </c>
      <c r="K1489" t="s">
        <v>49</v>
      </c>
      <c r="L1489" t="s">
        <v>96</v>
      </c>
      <c r="M1489" t="s">
        <v>71</v>
      </c>
      <c r="N1489" t="s">
        <v>128</v>
      </c>
      <c r="O1489" t="s">
        <v>37</v>
      </c>
      <c r="P1489" t="s">
        <v>38</v>
      </c>
      <c r="Q1489" t="s">
        <v>39</v>
      </c>
      <c r="R1489">
        <v>2</v>
      </c>
      <c r="S1489" t="s">
        <v>39</v>
      </c>
      <c r="T1489">
        <v>9</v>
      </c>
      <c r="U1489">
        <v>0.5</v>
      </c>
      <c r="V1489">
        <v>24.7</v>
      </c>
      <c r="W1489" t="s">
        <v>39</v>
      </c>
      <c r="X1489" t="s">
        <v>123</v>
      </c>
      <c r="Y1489" t="s">
        <v>39</v>
      </c>
      <c r="Z1489" t="s">
        <v>81</v>
      </c>
      <c r="AA1489" t="s">
        <v>54</v>
      </c>
      <c r="AB1489" t="s">
        <v>55</v>
      </c>
      <c r="AC1489">
        <f t="shared" si="253"/>
        <v>0</v>
      </c>
      <c r="AD1489" s="12">
        <f t="shared" si="257"/>
        <v>0</v>
      </c>
      <c r="AE1489" s="12">
        <f t="shared" si="258"/>
        <v>1</v>
      </c>
      <c r="AF1489">
        <f t="shared" si="254"/>
        <v>0</v>
      </c>
      <c r="AG1489">
        <f t="shared" si="259"/>
        <v>0</v>
      </c>
      <c r="AH1489">
        <f t="shared" si="260"/>
        <v>0</v>
      </c>
      <c r="AI1489">
        <f t="shared" si="261"/>
        <v>0</v>
      </c>
      <c r="AJ1489">
        <f t="shared" si="262"/>
        <v>0</v>
      </c>
      <c r="AK1489">
        <f t="shared" si="255"/>
        <v>0</v>
      </c>
      <c r="AL1489">
        <f t="shared" si="263"/>
        <v>0</v>
      </c>
    </row>
    <row r="1490" spans="1:38">
      <c r="A1490" t="s">
        <v>4597</v>
      </c>
      <c r="B1490" t="s">
        <v>4598</v>
      </c>
      <c r="C1490" s="1">
        <f t="shared" si="256"/>
        <v>45627</v>
      </c>
      <c r="D1490" t="s">
        <v>4599</v>
      </c>
      <c r="E1490">
        <v>316.39999999999998</v>
      </c>
      <c r="F1490">
        <v>13.2</v>
      </c>
      <c r="G1490" t="s">
        <v>101</v>
      </c>
      <c r="H1490" t="s">
        <v>295</v>
      </c>
      <c r="I1490" t="s">
        <v>32</v>
      </c>
      <c r="J1490">
        <v>240</v>
      </c>
      <c r="K1490" t="s">
        <v>33</v>
      </c>
      <c r="L1490" t="s">
        <v>70</v>
      </c>
      <c r="M1490" t="s">
        <v>35</v>
      </c>
      <c r="N1490" t="s">
        <v>36</v>
      </c>
      <c r="O1490" t="s">
        <v>37</v>
      </c>
      <c r="P1490" t="s">
        <v>39</v>
      </c>
      <c r="Q1490" t="s">
        <v>38</v>
      </c>
      <c r="R1490">
        <v>0</v>
      </c>
      <c r="S1490" t="s">
        <v>38</v>
      </c>
      <c r="T1490">
        <v>7</v>
      </c>
      <c r="U1490">
        <v>1.4</v>
      </c>
      <c r="V1490">
        <v>27.8</v>
      </c>
      <c r="W1490" t="s">
        <v>38</v>
      </c>
      <c r="X1490" t="s">
        <v>63</v>
      </c>
      <c r="Y1490" t="s">
        <v>39</v>
      </c>
      <c r="Z1490" t="s">
        <v>64</v>
      </c>
      <c r="AA1490" t="s">
        <v>42</v>
      </c>
      <c r="AB1490" t="s">
        <v>43</v>
      </c>
      <c r="AC1490">
        <f t="shared" si="253"/>
        <v>0</v>
      </c>
      <c r="AD1490" s="12">
        <f t="shared" si="257"/>
        <v>1</v>
      </c>
      <c r="AE1490" s="12">
        <f t="shared" si="258"/>
        <v>0</v>
      </c>
      <c r="AF1490">
        <f t="shared" si="254"/>
        <v>0</v>
      </c>
      <c r="AG1490">
        <f t="shared" si="259"/>
        <v>0</v>
      </c>
      <c r="AH1490">
        <f t="shared" si="260"/>
        <v>0</v>
      </c>
      <c r="AI1490">
        <f t="shared" si="261"/>
        <v>0</v>
      </c>
      <c r="AJ1490">
        <f t="shared" si="262"/>
        <v>1</v>
      </c>
      <c r="AK1490">
        <f t="shared" si="255"/>
        <v>0</v>
      </c>
      <c r="AL1490">
        <f t="shared" si="263"/>
        <v>0</v>
      </c>
    </row>
    <row r="1491" spans="1:38">
      <c r="A1491" t="s">
        <v>4600</v>
      </c>
      <c r="B1491" t="s">
        <v>4601</v>
      </c>
      <c r="C1491" s="1">
        <f t="shared" si="256"/>
        <v>45444</v>
      </c>
      <c r="D1491" t="s">
        <v>4602</v>
      </c>
      <c r="E1491">
        <v>224.2</v>
      </c>
      <c r="F1491">
        <v>9.3000000000000007</v>
      </c>
      <c r="G1491" t="s">
        <v>142</v>
      </c>
      <c r="H1491" t="s">
        <v>319</v>
      </c>
      <c r="I1491" t="s">
        <v>32</v>
      </c>
      <c r="J1491">
        <v>240</v>
      </c>
      <c r="K1491" t="s">
        <v>49</v>
      </c>
      <c r="L1491" t="s">
        <v>96</v>
      </c>
      <c r="M1491" t="s">
        <v>35</v>
      </c>
      <c r="N1491" t="s">
        <v>72</v>
      </c>
      <c r="O1491" t="s">
        <v>51</v>
      </c>
      <c r="P1491" t="s">
        <v>38</v>
      </c>
      <c r="Q1491" t="s">
        <v>38</v>
      </c>
      <c r="R1491">
        <v>1</v>
      </c>
      <c r="S1491" t="s">
        <v>39</v>
      </c>
      <c r="T1491">
        <v>10</v>
      </c>
      <c r="U1491">
        <v>2.2000000000000002</v>
      </c>
      <c r="V1491">
        <v>16.7</v>
      </c>
      <c r="W1491" t="s">
        <v>39</v>
      </c>
      <c r="X1491" t="s">
        <v>63</v>
      </c>
      <c r="Y1491" t="s">
        <v>39</v>
      </c>
      <c r="Z1491" t="s">
        <v>64</v>
      </c>
      <c r="AA1491" t="s">
        <v>103</v>
      </c>
      <c r="AB1491" t="s">
        <v>83</v>
      </c>
      <c r="AC1491">
        <f t="shared" si="253"/>
        <v>0</v>
      </c>
      <c r="AD1491" s="12">
        <f t="shared" si="257"/>
        <v>1</v>
      </c>
      <c r="AE1491" s="12">
        <f t="shared" si="258"/>
        <v>0</v>
      </c>
      <c r="AF1491">
        <f t="shared" si="254"/>
        <v>1</v>
      </c>
      <c r="AG1491">
        <f t="shared" si="259"/>
        <v>0</v>
      </c>
      <c r="AH1491">
        <f t="shared" si="260"/>
        <v>0</v>
      </c>
      <c r="AI1491">
        <f t="shared" si="261"/>
        <v>0</v>
      </c>
      <c r="AJ1491">
        <f t="shared" si="262"/>
        <v>1</v>
      </c>
      <c r="AK1491">
        <f t="shared" si="255"/>
        <v>0</v>
      </c>
      <c r="AL1491">
        <f t="shared" si="263"/>
        <v>0</v>
      </c>
    </row>
    <row r="1492" spans="1:38">
      <c r="A1492" t="s">
        <v>4603</v>
      </c>
      <c r="B1492" t="s">
        <v>4604</v>
      </c>
      <c r="C1492" s="1">
        <f t="shared" si="256"/>
        <v>45383</v>
      </c>
      <c r="D1492" t="s">
        <v>4605</v>
      </c>
      <c r="E1492">
        <v>185.6</v>
      </c>
      <c r="F1492">
        <v>7.7</v>
      </c>
      <c r="G1492" t="s">
        <v>87</v>
      </c>
      <c r="H1492" t="s">
        <v>151</v>
      </c>
      <c r="I1492" t="s">
        <v>32</v>
      </c>
      <c r="J1492">
        <v>240</v>
      </c>
      <c r="K1492" t="s">
        <v>49</v>
      </c>
      <c r="L1492" t="s">
        <v>34</v>
      </c>
      <c r="M1492" t="s">
        <v>71</v>
      </c>
      <c r="N1492" t="s">
        <v>114</v>
      </c>
      <c r="O1492" t="s">
        <v>51</v>
      </c>
      <c r="P1492" t="s">
        <v>38</v>
      </c>
      <c r="Q1492" t="s">
        <v>39</v>
      </c>
      <c r="R1492">
        <v>4</v>
      </c>
      <c r="S1492" t="s">
        <v>39</v>
      </c>
      <c r="T1492">
        <v>10</v>
      </c>
      <c r="U1492">
        <v>1.1000000000000001</v>
      </c>
      <c r="V1492">
        <v>17.600000000000001</v>
      </c>
      <c r="W1492" t="s">
        <v>38</v>
      </c>
      <c r="X1492" t="s">
        <v>63</v>
      </c>
      <c r="Y1492" t="s">
        <v>38</v>
      </c>
      <c r="Z1492" t="s">
        <v>41</v>
      </c>
      <c r="AA1492" t="s">
        <v>42</v>
      </c>
      <c r="AB1492" t="s">
        <v>55</v>
      </c>
      <c r="AC1492">
        <f t="shared" si="253"/>
        <v>0</v>
      </c>
      <c r="AD1492" s="12">
        <f t="shared" si="257"/>
        <v>1</v>
      </c>
      <c r="AE1492" s="12">
        <f t="shared" si="258"/>
        <v>0</v>
      </c>
      <c r="AF1492">
        <f t="shared" si="254"/>
        <v>1</v>
      </c>
      <c r="AG1492">
        <f t="shared" si="259"/>
        <v>0</v>
      </c>
      <c r="AH1492">
        <f t="shared" si="260"/>
        <v>0</v>
      </c>
      <c r="AI1492">
        <f t="shared" si="261"/>
        <v>0</v>
      </c>
      <c r="AJ1492">
        <f t="shared" si="262"/>
        <v>1</v>
      </c>
      <c r="AK1492">
        <f t="shared" si="255"/>
        <v>0</v>
      </c>
      <c r="AL1492">
        <f t="shared" si="263"/>
        <v>1</v>
      </c>
    </row>
    <row r="1493" spans="1:38">
      <c r="A1493" t="s">
        <v>4606</v>
      </c>
      <c r="B1493" t="s">
        <v>4607</v>
      </c>
      <c r="C1493" s="1">
        <f t="shared" si="256"/>
        <v>45383</v>
      </c>
      <c r="D1493" t="s">
        <v>4608</v>
      </c>
      <c r="E1493">
        <v>234.6</v>
      </c>
      <c r="F1493">
        <v>9.8000000000000007</v>
      </c>
      <c r="G1493" t="s">
        <v>77</v>
      </c>
      <c r="H1493" t="s">
        <v>78</v>
      </c>
      <c r="I1493" t="s">
        <v>79</v>
      </c>
      <c r="J1493">
        <v>360</v>
      </c>
      <c r="K1493" t="s">
        <v>49</v>
      </c>
      <c r="L1493" t="s">
        <v>96</v>
      </c>
      <c r="M1493" t="s">
        <v>35</v>
      </c>
      <c r="N1493" t="s">
        <v>80</v>
      </c>
      <c r="O1493" t="s">
        <v>7232</v>
      </c>
      <c r="P1493" t="s">
        <v>39</v>
      </c>
      <c r="Q1493" t="s">
        <v>38</v>
      </c>
      <c r="R1493">
        <v>0</v>
      </c>
      <c r="S1493" t="s">
        <v>38</v>
      </c>
      <c r="T1493">
        <v>10</v>
      </c>
      <c r="U1493">
        <v>2.2999999999999998</v>
      </c>
      <c r="V1493">
        <v>17.3</v>
      </c>
      <c r="W1493" t="s">
        <v>39</v>
      </c>
      <c r="X1493" t="s">
        <v>63</v>
      </c>
      <c r="Y1493" t="s">
        <v>39</v>
      </c>
      <c r="Z1493" t="s">
        <v>115</v>
      </c>
      <c r="AA1493" t="s">
        <v>82</v>
      </c>
      <c r="AB1493" t="s">
        <v>83</v>
      </c>
      <c r="AC1493">
        <f t="shared" si="253"/>
        <v>0</v>
      </c>
      <c r="AD1493" s="12">
        <f t="shared" si="257"/>
        <v>1</v>
      </c>
      <c r="AE1493" s="12">
        <f t="shared" si="258"/>
        <v>0</v>
      </c>
      <c r="AF1493">
        <f t="shared" si="254"/>
        <v>0</v>
      </c>
      <c r="AG1493">
        <f t="shared" si="259"/>
        <v>1</v>
      </c>
      <c r="AH1493">
        <f t="shared" si="260"/>
        <v>0</v>
      </c>
      <c r="AI1493">
        <f t="shared" si="261"/>
        <v>0</v>
      </c>
      <c r="AJ1493">
        <f t="shared" si="262"/>
        <v>0</v>
      </c>
      <c r="AK1493">
        <f t="shared" si="255"/>
        <v>0</v>
      </c>
      <c r="AL1493">
        <f t="shared" si="263"/>
        <v>0</v>
      </c>
    </row>
    <row r="1494" spans="1:38">
      <c r="A1494" t="s">
        <v>4609</v>
      </c>
      <c r="B1494" t="s">
        <v>4610</v>
      </c>
      <c r="C1494" s="1">
        <f t="shared" si="256"/>
        <v>45474</v>
      </c>
      <c r="D1494" t="s">
        <v>4611</v>
      </c>
      <c r="E1494">
        <v>319.7</v>
      </c>
      <c r="F1494">
        <v>13.3</v>
      </c>
      <c r="G1494" t="s">
        <v>30</v>
      </c>
      <c r="H1494" t="s">
        <v>31</v>
      </c>
      <c r="I1494" t="s">
        <v>79</v>
      </c>
      <c r="J1494">
        <v>360</v>
      </c>
      <c r="K1494" t="s">
        <v>49</v>
      </c>
      <c r="L1494" t="s">
        <v>70</v>
      </c>
      <c r="M1494" t="s">
        <v>35</v>
      </c>
      <c r="N1494" t="s">
        <v>89</v>
      </c>
      <c r="O1494" t="s">
        <v>51</v>
      </c>
      <c r="P1494" t="s">
        <v>38</v>
      </c>
      <c r="Q1494" t="s">
        <v>38</v>
      </c>
      <c r="R1494">
        <v>1</v>
      </c>
      <c r="S1494" t="s">
        <v>38</v>
      </c>
      <c r="T1494">
        <v>7</v>
      </c>
      <c r="U1494">
        <v>2.1</v>
      </c>
      <c r="V1494">
        <v>16.3</v>
      </c>
      <c r="W1494" t="s">
        <v>39</v>
      </c>
      <c r="X1494" t="s">
        <v>52</v>
      </c>
      <c r="Y1494" t="s">
        <v>38</v>
      </c>
      <c r="Z1494" t="s">
        <v>64</v>
      </c>
      <c r="AA1494" t="s">
        <v>42</v>
      </c>
      <c r="AB1494" t="s">
        <v>83</v>
      </c>
      <c r="AC1494">
        <f t="shared" si="253"/>
        <v>1</v>
      </c>
      <c r="AD1494" s="12">
        <f t="shared" si="257"/>
        <v>0</v>
      </c>
      <c r="AE1494" s="12">
        <f t="shared" si="258"/>
        <v>0</v>
      </c>
      <c r="AF1494">
        <f t="shared" si="254"/>
        <v>1</v>
      </c>
      <c r="AG1494">
        <f t="shared" si="259"/>
        <v>0</v>
      </c>
      <c r="AH1494">
        <f t="shared" si="260"/>
        <v>0</v>
      </c>
      <c r="AI1494">
        <f t="shared" si="261"/>
        <v>0</v>
      </c>
      <c r="AJ1494">
        <f t="shared" si="262"/>
        <v>0</v>
      </c>
      <c r="AK1494">
        <f t="shared" si="255"/>
        <v>1</v>
      </c>
      <c r="AL1494">
        <f t="shared" si="263"/>
        <v>1</v>
      </c>
    </row>
    <row r="1495" spans="1:38">
      <c r="A1495" t="s">
        <v>4612</v>
      </c>
      <c r="B1495" t="s">
        <v>4613</v>
      </c>
      <c r="C1495" s="1">
        <f t="shared" si="256"/>
        <v>45323</v>
      </c>
      <c r="D1495" t="s">
        <v>4614</v>
      </c>
      <c r="E1495">
        <v>76.099999999999994</v>
      </c>
      <c r="F1495">
        <v>3.2</v>
      </c>
      <c r="G1495" t="s">
        <v>142</v>
      </c>
      <c r="H1495" t="s">
        <v>319</v>
      </c>
      <c r="I1495" t="s">
        <v>48</v>
      </c>
      <c r="J1495">
        <v>120</v>
      </c>
      <c r="K1495" t="s">
        <v>49</v>
      </c>
      <c r="L1495" t="s">
        <v>70</v>
      </c>
      <c r="M1495" t="s">
        <v>35</v>
      </c>
      <c r="N1495" t="s">
        <v>61</v>
      </c>
      <c r="O1495" t="s">
        <v>37</v>
      </c>
      <c r="P1495" t="s">
        <v>38</v>
      </c>
      <c r="Q1495" t="s">
        <v>38</v>
      </c>
      <c r="R1495">
        <v>1</v>
      </c>
      <c r="S1495" t="s">
        <v>39</v>
      </c>
      <c r="T1495">
        <v>10</v>
      </c>
      <c r="U1495">
        <v>3.5</v>
      </c>
      <c r="V1495">
        <v>2.7</v>
      </c>
      <c r="W1495" t="s">
        <v>39</v>
      </c>
      <c r="X1495" t="s">
        <v>123</v>
      </c>
      <c r="Y1495" t="s">
        <v>38</v>
      </c>
      <c r="Z1495" t="s">
        <v>108</v>
      </c>
      <c r="AA1495" t="s">
        <v>54</v>
      </c>
      <c r="AB1495" t="s">
        <v>55</v>
      </c>
      <c r="AC1495">
        <f t="shared" si="253"/>
        <v>0</v>
      </c>
      <c r="AD1495" s="12">
        <f t="shared" si="257"/>
        <v>0</v>
      </c>
      <c r="AE1495" s="12">
        <f t="shared" si="258"/>
        <v>1</v>
      </c>
      <c r="AF1495">
        <f t="shared" si="254"/>
        <v>0</v>
      </c>
      <c r="AG1495">
        <f t="shared" si="259"/>
        <v>0</v>
      </c>
      <c r="AH1495">
        <f t="shared" si="260"/>
        <v>1</v>
      </c>
      <c r="AI1495">
        <f t="shared" si="261"/>
        <v>0</v>
      </c>
      <c r="AJ1495">
        <f t="shared" si="262"/>
        <v>0</v>
      </c>
      <c r="AK1495">
        <f t="shared" si="255"/>
        <v>0</v>
      </c>
      <c r="AL1495">
        <f t="shared" si="263"/>
        <v>1</v>
      </c>
    </row>
    <row r="1496" spans="1:38">
      <c r="A1496" t="s">
        <v>4615</v>
      </c>
      <c r="B1496" t="s">
        <v>4616</v>
      </c>
      <c r="C1496" s="1">
        <f t="shared" si="256"/>
        <v>45566</v>
      </c>
      <c r="D1496" t="s">
        <v>4617</v>
      </c>
      <c r="E1496">
        <v>72.400000000000006</v>
      </c>
      <c r="F1496">
        <v>3</v>
      </c>
      <c r="G1496" t="s">
        <v>59</v>
      </c>
      <c r="H1496" t="s">
        <v>466</v>
      </c>
      <c r="I1496" t="s">
        <v>48</v>
      </c>
      <c r="J1496">
        <v>120</v>
      </c>
      <c r="K1496" t="s">
        <v>49</v>
      </c>
      <c r="L1496" t="s">
        <v>96</v>
      </c>
      <c r="M1496" t="s">
        <v>71</v>
      </c>
      <c r="N1496" t="s">
        <v>164</v>
      </c>
      <c r="O1496" t="s">
        <v>7232</v>
      </c>
      <c r="P1496" t="s">
        <v>38</v>
      </c>
      <c r="Q1496" t="s">
        <v>39</v>
      </c>
      <c r="R1496">
        <v>4</v>
      </c>
      <c r="S1496" t="s">
        <v>38</v>
      </c>
      <c r="T1496">
        <v>5</v>
      </c>
      <c r="U1496">
        <v>1.7</v>
      </c>
      <c r="V1496">
        <v>2.8</v>
      </c>
      <c r="W1496" t="s">
        <v>39</v>
      </c>
      <c r="X1496" t="s">
        <v>52</v>
      </c>
      <c r="Y1496" t="s">
        <v>39</v>
      </c>
      <c r="Z1496" t="s">
        <v>115</v>
      </c>
      <c r="AA1496" t="s">
        <v>103</v>
      </c>
      <c r="AB1496" t="s">
        <v>43</v>
      </c>
      <c r="AC1496">
        <f t="shared" si="253"/>
        <v>1</v>
      </c>
      <c r="AD1496" s="12">
        <f t="shared" si="257"/>
        <v>0</v>
      </c>
      <c r="AE1496" s="12">
        <f t="shared" si="258"/>
        <v>0</v>
      </c>
      <c r="AF1496">
        <f t="shared" si="254"/>
        <v>0</v>
      </c>
      <c r="AG1496">
        <f t="shared" si="259"/>
        <v>1</v>
      </c>
      <c r="AH1496">
        <f t="shared" si="260"/>
        <v>1</v>
      </c>
      <c r="AI1496">
        <f t="shared" si="261"/>
        <v>0</v>
      </c>
      <c r="AJ1496">
        <f t="shared" si="262"/>
        <v>0</v>
      </c>
      <c r="AK1496">
        <f t="shared" si="255"/>
        <v>0</v>
      </c>
      <c r="AL1496">
        <f t="shared" si="263"/>
        <v>0</v>
      </c>
    </row>
    <row r="1497" spans="1:38">
      <c r="A1497" t="s">
        <v>4618</v>
      </c>
      <c r="B1497" t="s">
        <v>4619</v>
      </c>
      <c r="C1497" s="1">
        <f t="shared" si="256"/>
        <v>45505</v>
      </c>
      <c r="D1497" t="s">
        <v>4620</v>
      </c>
      <c r="E1497">
        <v>94.3</v>
      </c>
      <c r="F1497">
        <v>3.9</v>
      </c>
      <c r="G1497" t="s">
        <v>87</v>
      </c>
      <c r="H1497" t="s">
        <v>151</v>
      </c>
      <c r="I1497" t="s">
        <v>48</v>
      </c>
      <c r="J1497">
        <v>120</v>
      </c>
      <c r="K1497" t="s">
        <v>49</v>
      </c>
      <c r="L1497" t="s">
        <v>96</v>
      </c>
      <c r="M1497" t="s">
        <v>35</v>
      </c>
      <c r="N1497" t="s">
        <v>188</v>
      </c>
      <c r="O1497" t="s">
        <v>7232</v>
      </c>
      <c r="P1497" t="s">
        <v>38</v>
      </c>
      <c r="Q1497" t="s">
        <v>38</v>
      </c>
      <c r="R1497">
        <v>1</v>
      </c>
      <c r="S1497" t="s">
        <v>38</v>
      </c>
      <c r="T1497">
        <v>7</v>
      </c>
      <c r="U1497">
        <v>2.4</v>
      </c>
      <c r="V1497">
        <v>8.3000000000000007</v>
      </c>
      <c r="W1497" t="s">
        <v>39</v>
      </c>
      <c r="X1497" t="s">
        <v>52</v>
      </c>
      <c r="Y1497" t="s">
        <v>39</v>
      </c>
      <c r="Z1497" t="s">
        <v>73</v>
      </c>
      <c r="AA1497" t="s">
        <v>42</v>
      </c>
      <c r="AB1497" t="s">
        <v>55</v>
      </c>
      <c r="AC1497">
        <f t="shared" si="253"/>
        <v>1</v>
      </c>
      <c r="AD1497" s="12">
        <f t="shared" si="257"/>
        <v>0</v>
      </c>
      <c r="AE1497" s="12">
        <f t="shared" si="258"/>
        <v>0</v>
      </c>
      <c r="AF1497">
        <f t="shared" si="254"/>
        <v>0</v>
      </c>
      <c r="AG1497">
        <f t="shared" si="259"/>
        <v>1</v>
      </c>
      <c r="AH1497">
        <f t="shared" si="260"/>
        <v>1</v>
      </c>
      <c r="AI1497">
        <f t="shared" si="261"/>
        <v>0</v>
      </c>
      <c r="AJ1497">
        <f t="shared" si="262"/>
        <v>0</v>
      </c>
      <c r="AK1497">
        <f t="shared" si="255"/>
        <v>0</v>
      </c>
      <c r="AL1497">
        <f t="shared" si="263"/>
        <v>0</v>
      </c>
    </row>
    <row r="1498" spans="1:38">
      <c r="A1498" t="s">
        <v>4621</v>
      </c>
      <c r="B1498" t="s">
        <v>4622</v>
      </c>
      <c r="C1498" s="1">
        <f t="shared" si="256"/>
        <v>45413</v>
      </c>
      <c r="D1498" t="s">
        <v>4623</v>
      </c>
      <c r="E1498">
        <v>157.69999999999999</v>
      </c>
      <c r="F1498">
        <v>6.6</v>
      </c>
      <c r="G1498" t="s">
        <v>142</v>
      </c>
      <c r="H1498" t="s">
        <v>260</v>
      </c>
      <c r="I1498" t="s">
        <v>32</v>
      </c>
      <c r="J1498">
        <v>240</v>
      </c>
      <c r="K1498" t="s">
        <v>49</v>
      </c>
      <c r="L1498" t="s">
        <v>96</v>
      </c>
      <c r="M1498" t="s">
        <v>71</v>
      </c>
      <c r="N1498" t="s">
        <v>192</v>
      </c>
      <c r="O1498" t="s">
        <v>51</v>
      </c>
      <c r="P1498" t="s">
        <v>38</v>
      </c>
      <c r="Q1498" t="s">
        <v>39</v>
      </c>
      <c r="R1498">
        <v>3</v>
      </c>
      <c r="S1498" t="s">
        <v>38</v>
      </c>
      <c r="T1498">
        <v>10</v>
      </c>
      <c r="U1498">
        <v>1.8</v>
      </c>
      <c r="V1498">
        <v>19.600000000000001</v>
      </c>
      <c r="W1498" t="s">
        <v>39</v>
      </c>
      <c r="X1498" t="s">
        <v>52</v>
      </c>
      <c r="Y1498" t="s">
        <v>38</v>
      </c>
      <c r="Z1498" t="s">
        <v>108</v>
      </c>
      <c r="AA1498" t="s">
        <v>42</v>
      </c>
      <c r="AB1498" t="s">
        <v>43</v>
      </c>
      <c r="AC1498">
        <f t="shared" si="253"/>
        <v>1</v>
      </c>
      <c r="AD1498" s="12">
        <f t="shared" si="257"/>
        <v>0</v>
      </c>
      <c r="AE1498" s="12">
        <f t="shared" si="258"/>
        <v>0</v>
      </c>
      <c r="AF1498">
        <f t="shared" si="254"/>
        <v>1</v>
      </c>
      <c r="AG1498">
        <f t="shared" si="259"/>
        <v>0</v>
      </c>
      <c r="AH1498">
        <f t="shared" si="260"/>
        <v>0</v>
      </c>
      <c r="AI1498">
        <f t="shared" si="261"/>
        <v>0</v>
      </c>
      <c r="AJ1498">
        <f t="shared" si="262"/>
        <v>1</v>
      </c>
      <c r="AK1498">
        <f t="shared" si="255"/>
        <v>0</v>
      </c>
      <c r="AL1498">
        <f t="shared" si="263"/>
        <v>1</v>
      </c>
    </row>
    <row r="1499" spans="1:38">
      <c r="A1499" t="s">
        <v>4624</v>
      </c>
      <c r="B1499" t="s">
        <v>4625</v>
      </c>
      <c r="C1499" s="1">
        <f t="shared" si="256"/>
        <v>45323</v>
      </c>
      <c r="D1499" t="s">
        <v>4626</v>
      </c>
      <c r="E1499">
        <v>198.1</v>
      </c>
      <c r="F1499">
        <v>8.3000000000000007</v>
      </c>
      <c r="G1499" t="s">
        <v>142</v>
      </c>
      <c r="H1499" t="s">
        <v>143</v>
      </c>
      <c r="I1499" t="s">
        <v>32</v>
      </c>
      <c r="J1499">
        <v>240</v>
      </c>
      <c r="K1499" t="s">
        <v>49</v>
      </c>
      <c r="L1499" t="s">
        <v>96</v>
      </c>
      <c r="M1499" t="s">
        <v>35</v>
      </c>
      <c r="N1499" t="s">
        <v>155</v>
      </c>
      <c r="O1499" t="s">
        <v>7232</v>
      </c>
      <c r="P1499" t="s">
        <v>38</v>
      </c>
      <c r="Q1499" t="s">
        <v>38</v>
      </c>
      <c r="R1499">
        <v>1</v>
      </c>
      <c r="S1499" t="s">
        <v>38</v>
      </c>
      <c r="T1499">
        <v>7</v>
      </c>
      <c r="U1499">
        <v>1.8</v>
      </c>
      <c r="V1499">
        <v>23.2</v>
      </c>
      <c r="W1499" t="s">
        <v>39</v>
      </c>
      <c r="X1499" t="s">
        <v>52</v>
      </c>
      <c r="Y1499" t="s">
        <v>39</v>
      </c>
      <c r="Z1499" t="s">
        <v>81</v>
      </c>
      <c r="AA1499" t="s">
        <v>82</v>
      </c>
      <c r="AB1499" t="s">
        <v>55</v>
      </c>
      <c r="AC1499">
        <f t="shared" si="253"/>
        <v>1</v>
      </c>
      <c r="AD1499" s="12">
        <f t="shared" si="257"/>
        <v>0</v>
      </c>
      <c r="AE1499" s="12">
        <f t="shared" si="258"/>
        <v>0</v>
      </c>
      <c r="AF1499">
        <f t="shared" si="254"/>
        <v>0</v>
      </c>
      <c r="AG1499">
        <f t="shared" si="259"/>
        <v>1</v>
      </c>
      <c r="AH1499">
        <f t="shared" si="260"/>
        <v>0</v>
      </c>
      <c r="AI1499">
        <f t="shared" si="261"/>
        <v>0</v>
      </c>
      <c r="AJ1499">
        <f t="shared" si="262"/>
        <v>1</v>
      </c>
      <c r="AK1499">
        <f t="shared" si="255"/>
        <v>0</v>
      </c>
      <c r="AL1499">
        <f t="shared" si="263"/>
        <v>0</v>
      </c>
    </row>
    <row r="1500" spans="1:38">
      <c r="A1500" t="s">
        <v>4627</v>
      </c>
      <c r="B1500" t="s">
        <v>4628</v>
      </c>
      <c r="C1500" s="1">
        <f t="shared" si="256"/>
        <v>45352</v>
      </c>
      <c r="D1500" t="s">
        <v>4629</v>
      </c>
      <c r="E1500">
        <v>204.2</v>
      </c>
      <c r="F1500">
        <v>8.5</v>
      </c>
      <c r="G1500" t="s">
        <v>68</v>
      </c>
      <c r="H1500" t="s">
        <v>219</v>
      </c>
      <c r="I1500" t="s">
        <v>32</v>
      </c>
      <c r="J1500">
        <v>240</v>
      </c>
      <c r="K1500" t="s">
        <v>49</v>
      </c>
      <c r="L1500" t="s">
        <v>70</v>
      </c>
      <c r="M1500" t="s">
        <v>35</v>
      </c>
      <c r="N1500" t="s">
        <v>414</v>
      </c>
      <c r="O1500" t="s">
        <v>37</v>
      </c>
      <c r="P1500" t="s">
        <v>39</v>
      </c>
      <c r="Q1500" t="s">
        <v>38</v>
      </c>
      <c r="R1500">
        <v>0</v>
      </c>
      <c r="S1500" t="s">
        <v>38</v>
      </c>
      <c r="T1500">
        <v>9</v>
      </c>
      <c r="U1500">
        <v>3.3</v>
      </c>
      <c r="V1500">
        <v>13.7</v>
      </c>
      <c r="W1500" t="s">
        <v>38</v>
      </c>
      <c r="X1500" t="s">
        <v>63</v>
      </c>
      <c r="Y1500" t="s">
        <v>39</v>
      </c>
      <c r="Z1500" t="s">
        <v>81</v>
      </c>
      <c r="AA1500" t="s">
        <v>103</v>
      </c>
      <c r="AB1500" t="s">
        <v>83</v>
      </c>
      <c r="AC1500">
        <f t="shared" si="253"/>
        <v>0</v>
      </c>
      <c r="AD1500" s="12">
        <f t="shared" si="257"/>
        <v>1</v>
      </c>
      <c r="AE1500" s="12">
        <f t="shared" si="258"/>
        <v>0</v>
      </c>
      <c r="AF1500">
        <f t="shared" si="254"/>
        <v>0</v>
      </c>
      <c r="AG1500">
        <f t="shared" si="259"/>
        <v>0</v>
      </c>
      <c r="AH1500">
        <f t="shared" si="260"/>
        <v>0</v>
      </c>
      <c r="AI1500">
        <f t="shared" si="261"/>
        <v>0</v>
      </c>
      <c r="AJ1500">
        <f t="shared" si="262"/>
        <v>1</v>
      </c>
      <c r="AK1500">
        <f t="shared" si="255"/>
        <v>0</v>
      </c>
      <c r="AL1500">
        <f t="shared" si="263"/>
        <v>0</v>
      </c>
    </row>
    <row r="1501" spans="1:38">
      <c r="A1501" t="s">
        <v>4630</v>
      </c>
      <c r="B1501" t="s">
        <v>4631</v>
      </c>
      <c r="C1501" s="1">
        <f t="shared" si="256"/>
        <v>45323</v>
      </c>
      <c r="D1501" t="s">
        <v>4632</v>
      </c>
      <c r="E1501">
        <v>150.69999999999999</v>
      </c>
      <c r="F1501">
        <v>6.3</v>
      </c>
      <c r="G1501" t="s">
        <v>30</v>
      </c>
      <c r="H1501" t="s">
        <v>31</v>
      </c>
      <c r="I1501" t="s">
        <v>32</v>
      </c>
      <c r="J1501">
        <v>240</v>
      </c>
      <c r="K1501" t="s">
        <v>49</v>
      </c>
      <c r="L1501" t="s">
        <v>34</v>
      </c>
      <c r="M1501" t="s">
        <v>35</v>
      </c>
      <c r="N1501" t="s">
        <v>80</v>
      </c>
      <c r="O1501" t="s">
        <v>37</v>
      </c>
      <c r="P1501" t="s">
        <v>39</v>
      </c>
      <c r="Q1501" t="s">
        <v>38</v>
      </c>
      <c r="R1501">
        <v>0</v>
      </c>
      <c r="S1501" t="s">
        <v>38</v>
      </c>
      <c r="T1501">
        <v>10</v>
      </c>
      <c r="U1501">
        <v>6.4</v>
      </c>
      <c r="V1501">
        <v>46.8</v>
      </c>
      <c r="W1501" t="s">
        <v>39</v>
      </c>
      <c r="X1501" t="s">
        <v>40</v>
      </c>
      <c r="Y1501" t="s">
        <v>39</v>
      </c>
      <c r="Z1501" t="s">
        <v>41</v>
      </c>
      <c r="AA1501" t="s">
        <v>82</v>
      </c>
      <c r="AB1501" t="s">
        <v>55</v>
      </c>
      <c r="AC1501">
        <f t="shared" si="253"/>
        <v>0</v>
      </c>
      <c r="AD1501" s="12">
        <f t="shared" si="257"/>
        <v>0</v>
      </c>
      <c r="AE1501" s="12">
        <f t="shared" si="258"/>
        <v>0</v>
      </c>
      <c r="AF1501">
        <f t="shared" si="254"/>
        <v>0</v>
      </c>
      <c r="AG1501">
        <f t="shared" si="259"/>
        <v>0</v>
      </c>
      <c r="AH1501">
        <f t="shared" si="260"/>
        <v>0</v>
      </c>
      <c r="AI1501">
        <f t="shared" si="261"/>
        <v>0</v>
      </c>
      <c r="AJ1501">
        <f t="shared" si="262"/>
        <v>1</v>
      </c>
      <c r="AK1501">
        <f t="shared" si="255"/>
        <v>1</v>
      </c>
      <c r="AL1501">
        <f t="shared" si="263"/>
        <v>0</v>
      </c>
    </row>
    <row r="1502" spans="1:38">
      <c r="A1502" t="s">
        <v>4633</v>
      </c>
      <c r="B1502" t="s">
        <v>4634</v>
      </c>
      <c r="C1502" s="1">
        <f t="shared" si="256"/>
        <v>45292</v>
      </c>
      <c r="D1502" t="s">
        <v>4635</v>
      </c>
      <c r="E1502">
        <v>275.60000000000002</v>
      </c>
      <c r="F1502">
        <v>11.5</v>
      </c>
      <c r="G1502" t="s">
        <v>142</v>
      </c>
      <c r="H1502" t="s">
        <v>240</v>
      </c>
      <c r="I1502" t="s">
        <v>32</v>
      </c>
      <c r="J1502">
        <v>240</v>
      </c>
      <c r="K1502" t="s">
        <v>33</v>
      </c>
      <c r="L1502" t="s">
        <v>70</v>
      </c>
      <c r="M1502" t="s">
        <v>71</v>
      </c>
      <c r="N1502" t="s">
        <v>72</v>
      </c>
      <c r="O1502" t="s">
        <v>7232</v>
      </c>
      <c r="P1502" t="s">
        <v>38</v>
      </c>
      <c r="Q1502" t="s">
        <v>39</v>
      </c>
      <c r="R1502">
        <v>2</v>
      </c>
      <c r="S1502" t="s">
        <v>38</v>
      </c>
      <c r="T1502">
        <v>6</v>
      </c>
      <c r="U1502">
        <v>1.8</v>
      </c>
      <c r="V1502">
        <v>38</v>
      </c>
      <c r="W1502" t="s">
        <v>39</v>
      </c>
      <c r="X1502" t="s">
        <v>52</v>
      </c>
      <c r="Y1502" t="s">
        <v>39</v>
      </c>
      <c r="Z1502" t="s">
        <v>41</v>
      </c>
      <c r="AA1502" t="s">
        <v>82</v>
      </c>
      <c r="AB1502" t="s">
        <v>83</v>
      </c>
      <c r="AC1502">
        <f t="shared" si="253"/>
        <v>1</v>
      </c>
      <c r="AD1502" s="12">
        <f t="shared" si="257"/>
        <v>0</v>
      </c>
      <c r="AE1502" s="12">
        <f t="shared" si="258"/>
        <v>0</v>
      </c>
      <c r="AF1502">
        <f t="shared" si="254"/>
        <v>0</v>
      </c>
      <c r="AG1502">
        <f t="shared" si="259"/>
        <v>1</v>
      </c>
      <c r="AH1502">
        <f t="shared" si="260"/>
        <v>0</v>
      </c>
      <c r="AI1502">
        <f t="shared" si="261"/>
        <v>0</v>
      </c>
      <c r="AJ1502">
        <f t="shared" si="262"/>
        <v>1</v>
      </c>
      <c r="AK1502">
        <f t="shared" si="255"/>
        <v>0</v>
      </c>
      <c r="AL1502">
        <f t="shared" si="263"/>
        <v>0</v>
      </c>
    </row>
    <row r="1503" spans="1:38">
      <c r="A1503" t="s">
        <v>4636</v>
      </c>
      <c r="B1503" t="s">
        <v>4637</v>
      </c>
      <c r="C1503" s="1">
        <f t="shared" si="256"/>
        <v>45566</v>
      </c>
      <c r="D1503" t="s">
        <v>4638</v>
      </c>
      <c r="E1503">
        <v>250.6</v>
      </c>
      <c r="F1503">
        <v>10.4</v>
      </c>
      <c r="G1503" t="s">
        <v>93</v>
      </c>
      <c r="H1503" t="s">
        <v>449</v>
      </c>
      <c r="I1503" t="s">
        <v>79</v>
      </c>
      <c r="J1503">
        <v>360</v>
      </c>
      <c r="K1503" t="s">
        <v>49</v>
      </c>
      <c r="L1503" t="s">
        <v>96</v>
      </c>
      <c r="M1503" t="s">
        <v>71</v>
      </c>
      <c r="N1503" t="s">
        <v>202</v>
      </c>
      <c r="O1503" t="s">
        <v>7232</v>
      </c>
      <c r="P1503" t="s">
        <v>38</v>
      </c>
      <c r="Q1503" t="s">
        <v>39</v>
      </c>
      <c r="R1503">
        <v>2</v>
      </c>
      <c r="S1503" t="s">
        <v>39</v>
      </c>
      <c r="T1503">
        <v>9</v>
      </c>
      <c r="U1503">
        <v>0.8</v>
      </c>
      <c r="V1503">
        <v>2.4</v>
      </c>
      <c r="W1503" t="s">
        <v>38</v>
      </c>
      <c r="X1503" t="s">
        <v>63</v>
      </c>
      <c r="Y1503" t="s">
        <v>39</v>
      </c>
      <c r="Z1503" t="s">
        <v>73</v>
      </c>
      <c r="AA1503" t="s">
        <v>54</v>
      </c>
      <c r="AB1503" t="s">
        <v>55</v>
      </c>
      <c r="AC1503">
        <f t="shared" si="253"/>
        <v>0</v>
      </c>
      <c r="AD1503" s="12">
        <f t="shared" si="257"/>
        <v>1</v>
      </c>
      <c r="AE1503" s="12">
        <f t="shared" si="258"/>
        <v>0</v>
      </c>
      <c r="AF1503">
        <f t="shared" si="254"/>
        <v>0</v>
      </c>
      <c r="AG1503">
        <f t="shared" si="259"/>
        <v>1</v>
      </c>
      <c r="AH1503">
        <f t="shared" si="260"/>
        <v>0</v>
      </c>
      <c r="AI1503">
        <f t="shared" si="261"/>
        <v>0</v>
      </c>
      <c r="AJ1503">
        <f t="shared" si="262"/>
        <v>0</v>
      </c>
      <c r="AK1503">
        <f t="shared" si="255"/>
        <v>0</v>
      </c>
      <c r="AL1503">
        <f t="shared" si="263"/>
        <v>0</v>
      </c>
    </row>
    <row r="1504" spans="1:38">
      <c r="A1504" t="s">
        <v>4639</v>
      </c>
      <c r="B1504" t="s">
        <v>4640</v>
      </c>
      <c r="C1504" s="1">
        <f t="shared" si="256"/>
        <v>45566</v>
      </c>
      <c r="D1504" t="s">
        <v>4641</v>
      </c>
      <c r="E1504">
        <v>95.9</v>
      </c>
      <c r="F1504">
        <v>4</v>
      </c>
      <c r="G1504" t="s">
        <v>87</v>
      </c>
      <c r="H1504" t="s">
        <v>183</v>
      </c>
      <c r="I1504" t="s">
        <v>48</v>
      </c>
      <c r="J1504">
        <v>120</v>
      </c>
      <c r="K1504" t="s">
        <v>49</v>
      </c>
      <c r="L1504" t="s">
        <v>70</v>
      </c>
      <c r="M1504" t="s">
        <v>35</v>
      </c>
      <c r="N1504" t="s">
        <v>89</v>
      </c>
      <c r="O1504" t="s">
        <v>37</v>
      </c>
      <c r="P1504" t="s">
        <v>39</v>
      </c>
      <c r="Q1504" t="s">
        <v>38</v>
      </c>
      <c r="R1504">
        <v>0</v>
      </c>
      <c r="S1504" t="s">
        <v>38</v>
      </c>
      <c r="T1504">
        <v>10</v>
      </c>
      <c r="U1504">
        <v>1.4</v>
      </c>
      <c r="V1504">
        <v>38.5</v>
      </c>
      <c r="W1504" t="s">
        <v>38</v>
      </c>
      <c r="X1504" t="s">
        <v>52</v>
      </c>
      <c r="Y1504" t="s">
        <v>39</v>
      </c>
      <c r="Z1504" t="s">
        <v>64</v>
      </c>
      <c r="AA1504" t="s">
        <v>82</v>
      </c>
      <c r="AB1504" t="s">
        <v>43</v>
      </c>
      <c r="AC1504">
        <f t="shared" si="253"/>
        <v>1</v>
      </c>
      <c r="AD1504" s="12">
        <f t="shared" si="257"/>
        <v>0</v>
      </c>
      <c r="AE1504" s="12">
        <f t="shared" si="258"/>
        <v>0</v>
      </c>
      <c r="AF1504">
        <f t="shared" si="254"/>
        <v>0</v>
      </c>
      <c r="AG1504">
        <f t="shared" si="259"/>
        <v>0</v>
      </c>
      <c r="AH1504">
        <f t="shared" si="260"/>
        <v>1</v>
      </c>
      <c r="AI1504">
        <f t="shared" si="261"/>
        <v>0</v>
      </c>
      <c r="AJ1504">
        <f t="shared" si="262"/>
        <v>0</v>
      </c>
      <c r="AK1504">
        <f t="shared" si="255"/>
        <v>0</v>
      </c>
      <c r="AL1504">
        <f t="shared" si="263"/>
        <v>0</v>
      </c>
    </row>
    <row r="1505" spans="1:38">
      <c r="A1505" t="s">
        <v>4642</v>
      </c>
      <c r="B1505" t="s">
        <v>4643</v>
      </c>
      <c r="C1505" s="1">
        <f t="shared" si="256"/>
        <v>45352</v>
      </c>
      <c r="D1505" t="s">
        <v>4644</v>
      </c>
      <c r="E1505">
        <v>48.8</v>
      </c>
      <c r="F1505">
        <v>2</v>
      </c>
      <c r="G1505" t="s">
        <v>87</v>
      </c>
      <c r="H1505" t="s">
        <v>309</v>
      </c>
      <c r="I1505" t="s">
        <v>95</v>
      </c>
      <c r="J1505">
        <v>48</v>
      </c>
      <c r="K1505" t="s">
        <v>33</v>
      </c>
      <c r="L1505" t="s">
        <v>96</v>
      </c>
      <c r="M1505" t="s">
        <v>71</v>
      </c>
      <c r="N1505" t="s">
        <v>138</v>
      </c>
      <c r="O1505" t="s">
        <v>7232</v>
      </c>
      <c r="P1505" t="s">
        <v>38</v>
      </c>
      <c r="Q1505" t="s">
        <v>39</v>
      </c>
      <c r="R1505">
        <v>2</v>
      </c>
      <c r="S1505" t="s">
        <v>38</v>
      </c>
      <c r="T1505">
        <v>3</v>
      </c>
      <c r="U1505">
        <v>3.4</v>
      </c>
      <c r="V1505">
        <v>24.8</v>
      </c>
      <c r="W1505" t="s">
        <v>38</v>
      </c>
      <c r="X1505" t="s">
        <v>52</v>
      </c>
      <c r="Y1505" t="s">
        <v>38</v>
      </c>
      <c r="Z1505" t="s">
        <v>73</v>
      </c>
      <c r="AA1505" t="s">
        <v>42</v>
      </c>
      <c r="AB1505" t="s">
        <v>55</v>
      </c>
      <c r="AC1505">
        <f t="shared" si="253"/>
        <v>1</v>
      </c>
      <c r="AD1505" s="12">
        <f t="shared" si="257"/>
        <v>0</v>
      </c>
      <c r="AE1505" s="12">
        <f t="shared" si="258"/>
        <v>0</v>
      </c>
      <c r="AF1505">
        <f t="shared" si="254"/>
        <v>0</v>
      </c>
      <c r="AG1505">
        <f t="shared" si="259"/>
        <v>1</v>
      </c>
      <c r="AH1505">
        <f t="shared" si="260"/>
        <v>0</v>
      </c>
      <c r="AI1505">
        <f t="shared" si="261"/>
        <v>1</v>
      </c>
      <c r="AJ1505">
        <f t="shared" si="262"/>
        <v>0</v>
      </c>
      <c r="AK1505">
        <f t="shared" si="255"/>
        <v>0</v>
      </c>
      <c r="AL1505">
        <f t="shared" si="263"/>
        <v>1</v>
      </c>
    </row>
    <row r="1506" spans="1:38">
      <c r="A1506" t="s">
        <v>4645</v>
      </c>
      <c r="B1506" t="s">
        <v>4646</v>
      </c>
      <c r="C1506" s="1">
        <f t="shared" si="256"/>
        <v>45627</v>
      </c>
      <c r="D1506" t="s">
        <v>4647</v>
      </c>
      <c r="E1506">
        <v>87.4</v>
      </c>
      <c r="F1506">
        <v>3.6</v>
      </c>
      <c r="G1506" t="s">
        <v>68</v>
      </c>
      <c r="H1506" t="s">
        <v>219</v>
      </c>
      <c r="I1506" t="s">
        <v>48</v>
      </c>
      <c r="J1506">
        <v>120</v>
      </c>
      <c r="K1506" t="s">
        <v>49</v>
      </c>
      <c r="L1506" t="s">
        <v>96</v>
      </c>
      <c r="M1506" t="s">
        <v>71</v>
      </c>
      <c r="N1506" t="s">
        <v>202</v>
      </c>
      <c r="O1506" t="s">
        <v>7232</v>
      </c>
      <c r="P1506" t="s">
        <v>38</v>
      </c>
      <c r="Q1506" t="s">
        <v>39</v>
      </c>
      <c r="R1506">
        <v>4</v>
      </c>
      <c r="S1506" t="s">
        <v>38</v>
      </c>
      <c r="T1506">
        <v>8</v>
      </c>
      <c r="U1506">
        <v>1.1000000000000001</v>
      </c>
      <c r="V1506">
        <v>24.7</v>
      </c>
      <c r="W1506" t="s">
        <v>39</v>
      </c>
      <c r="X1506" t="s">
        <v>123</v>
      </c>
      <c r="Y1506" t="s">
        <v>39</v>
      </c>
      <c r="Z1506" t="s">
        <v>64</v>
      </c>
      <c r="AA1506" t="s">
        <v>82</v>
      </c>
      <c r="AB1506" t="s">
        <v>55</v>
      </c>
      <c r="AC1506">
        <f t="shared" si="253"/>
        <v>0</v>
      </c>
      <c r="AD1506" s="12">
        <f t="shared" si="257"/>
        <v>0</v>
      </c>
      <c r="AE1506" s="12">
        <f t="shared" si="258"/>
        <v>1</v>
      </c>
      <c r="AF1506">
        <f t="shared" si="254"/>
        <v>0</v>
      </c>
      <c r="AG1506">
        <f t="shared" si="259"/>
        <v>1</v>
      </c>
      <c r="AH1506">
        <f t="shared" si="260"/>
        <v>1</v>
      </c>
      <c r="AI1506">
        <f t="shared" si="261"/>
        <v>0</v>
      </c>
      <c r="AJ1506">
        <f t="shared" si="262"/>
        <v>0</v>
      </c>
      <c r="AK1506">
        <f t="shared" si="255"/>
        <v>0</v>
      </c>
      <c r="AL1506">
        <f t="shared" si="263"/>
        <v>0</v>
      </c>
    </row>
    <row r="1507" spans="1:38">
      <c r="A1507" t="s">
        <v>4648</v>
      </c>
      <c r="B1507" t="s">
        <v>4649</v>
      </c>
      <c r="C1507" s="1">
        <f t="shared" si="256"/>
        <v>45536</v>
      </c>
      <c r="D1507" t="s">
        <v>4650</v>
      </c>
      <c r="E1507">
        <v>74.7</v>
      </c>
      <c r="F1507">
        <v>3.1</v>
      </c>
      <c r="G1507" t="s">
        <v>87</v>
      </c>
      <c r="H1507" t="s">
        <v>151</v>
      </c>
      <c r="I1507" t="s">
        <v>48</v>
      </c>
      <c r="J1507">
        <v>120</v>
      </c>
      <c r="K1507" t="s">
        <v>49</v>
      </c>
      <c r="L1507" t="s">
        <v>113</v>
      </c>
      <c r="M1507" t="s">
        <v>35</v>
      </c>
      <c r="N1507" t="s">
        <v>138</v>
      </c>
      <c r="O1507" t="s">
        <v>51</v>
      </c>
      <c r="P1507" t="s">
        <v>39</v>
      </c>
      <c r="Q1507" t="s">
        <v>38</v>
      </c>
      <c r="R1507">
        <v>0</v>
      </c>
      <c r="S1507" t="s">
        <v>38</v>
      </c>
      <c r="T1507">
        <v>10</v>
      </c>
      <c r="U1507">
        <v>2.8</v>
      </c>
      <c r="V1507">
        <v>16.899999999999999</v>
      </c>
      <c r="W1507" t="s">
        <v>38</v>
      </c>
      <c r="X1507" t="s">
        <v>40</v>
      </c>
      <c r="Y1507" t="s">
        <v>38</v>
      </c>
      <c r="Z1507" t="s">
        <v>115</v>
      </c>
      <c r="AA1507" t="s">
        <v>109</v>
      </c>
      <c r="AB1507" t="s">
        <v>43</v>
      </c>
      <c r="AC1507">
        <f t="shared" si="253"/>
        <v>0</v>
      </c>
      <c r="AD1507" s="12">
        <f t="shared" si="257"/>
        <v>0</v>
      </c>
      <c r="AE1507" s="12">
        <f t="shared" si="258"/>
        <v>0</v>
      </c>
      <c r="AF1507">
        <f t="shared" si="254"/>
        <v>1</v>
      </c>
      <c r="AG1507">
        <f t="shared" si="259"/>
        <v>0</v>
      </c>
      <c r="AH1507">
        <f t="shared" si="260"/>
        <v>1</v>
      </c>
      <c r="AI1507">
        <f t="shared" si="261"/>
        <v>0</v>
      </c>
      <c r="AJ1507">
        <f t="shared" si="262"/>
        <v>0</v>
      </c>
      <c r="AK1507">
        <f t="shared" si="255"/>
        <v>0</v>
      </c>
      <c r="AL1507">
        <f t="shared" si="263"/>
        <v>1</v>
      </c>
    </row>
    <row r="1508" spans="1:38">
      <c r="A1508" t="s">
        <v>4651</v>
      </c>
      <c r="B1508" t="s">
        <v>4652</v>
      </c>
      <c r="C1508" s="1">
        <f t="shared" si="256"/>
        <v>45352</v>
      </c>
      <c r="D1508" t="s">
        <v>4653</v>
      </c>
      <c r="E1508">
        <v>107.6</v>
      </c>
      <c r="F1508">
        <v>4.5</v>
      </c>
      <c r="G1508" t="s">
        <v>101</v>
      </c>
      <c r="H1508" t="s">
        <v>368</v>
      </c>
      <c r="I1508" t="s">
        <v>48</v>
      </c>
      <c r="J1508">
        <v>120</v>
      </c>
      <c r="K1508" t="s">
        <v>49</v>
      </c>
      <c r="L1508" t="s">
        <v>96</v>
      </c>
      <c r="M1508" t="s">
        <v>35</v>
      </c>
      <c r="N1508" t="s">
        <v>128</v>
      </c>
      <c r="O1508" t="s">
        <v>51</v>
      </c>
      <c r="P1508" t="s">
        <v>39</v>
      </c>
      <c r="Q1508" t="s">
        <v>38</v>
      </c>
      <c r="R1508">
        <v>0</v>
      </c>
      <c r="S1508" t="s">
        <v>39</v>
      </c>
      <c r="T1508">
        <v>10</v>
      </c>
      <c r="U1508">
        <v>0.9</v>
      </c>
      <c r="V1508">
        <v>15.6</v>
      </c>
      <c r="W1508" t="s">
        <v>39</v>
      </c>
      <c r="X1508" t="s">
        <v>63</v>
      </c>
      <c r="Y1508" t="s">
        <v>39</v>
      </c>
      <c r="Z1508" t="s">
        <v>115</v>
      </c>
      <c r="AA1508" t="s">
        <v>82</v>
      </c>
      <c r="AB1508" t="s">
        <v>55</v>
      </c>
      <c r="AC1508">
        <f t="shared" si="253"/>
        <v>0</v>
      </c>
      <c r="AD1508" s="12">
        <f t="shared" si="257"/>
        <v>1</v>
      </c>
      <c r="AE1508" s="12">
        <f t="shared" si="258"/>
        <v>0</v>
      </c>
      <c r="AF1508">
        <f t="shared" si="254"/>
        <v>1</v>
      </c>
      <c r="AG1508">
        <f t="shared" si="259"/>
        <v>0</v>
      </c>
      <c r="AH1508">
        <f t="shared" si="260"/>
        <v>1</v>
      </c>
      <c r="AI1508">
        <f t="shared" si="261"/>
        <v>0</v>
      </c>
      <c r="AJ1508">
        <f t="shared" si="262"/>
        <v>0</v>
      </c>
      <c r="AK1508">
        <f t="shared" si="255"/>
        <v>0</v>
      </c>
      <c r="AL1508">
        <f t="shared" si="263"/>
        <v>0</v>
      </c>
    </row>
    <row r="1509" spans="1:38">
      <c r="A1509" t="s">
        <v>4654</v>
      </c>
      <c r="B1509" t="s">
        <v>4655</v>
      </c>
      <c r="C1509" s="1">
        <f t="shared" si="256"/>
        <v>45566</v>
      </c>
      <c r="D1509" t="s">
        <v>4656</v>
      </c>
      <c r="E1509">
        <v>178</v>
      </c>
      <c r="F1509">
        <v>7.4</v>
      </c>
      <c r="G1509" t="s">
        <v>101</v>
      </c>
      <c r="H1509" t="s">
        <v>442</v>
      </c>
      <c r="I1509" t="s">
        <v>32</v>
      </c>
      <c r="J1509">
        <v>240</v>
      </c>
      <c r="K1509" t="s">
        <v>49</v>
      </c>
      <c r="L1509" t="s">
        <v>133</v>
      </c>
      <c r="M1509" t="s">
        <v>35</v>
      </c>
      <c r="N1509" t="s">
        <v>134</v>
      </c>
      <c r="O1509" t="s">
        <v>7232</v>
      </c>
      <c r="P1509" t="s">
        <v>38</v>
      </c>
      <c r="Q1509" t="s">
        <v>38</v>
      </c>
      <c r="R1509">
        <v>1</v>
      </c>
      <c r="S1509" t="s">
        <v>38</v>
      </c>
      <c r="T1509">
        <v>10</v>
      </c>
      <c r="U1509">
        <v>0.7</v>
      </c>
      <c r="V1509">
        <v>44.1</v>
      </c>
      <c r="W1509" t="s">
        <v>39</v>
      </c>
      <c r="X1509" t="s">
        <v>52</v>
      </c>
      <c r="Y1509" t="s">
        <v>39</v>
      </c>
      <c r="Z1509" t="s">
        <v>73</v>
      </c>
      <c r="AA1509" t="s">
        <v>82</v>
      </c>
      <c r="AB1509" t="s">
        <v>83</v>
      </c>
      <c r="AC1509">
        <f t="shared" si="253"/>
        <v>1</v>
      </c>
      <c r="AD1509" s="12">
        <f t="shared" si="257"/>
        <v>0</v>
      </c>
      <c r="AE1509" s="12">
        <f t="shared" si="258"/>
        <v>0</v>
      </c>
      <c r="AF1509">
        <f t="shared" si="254"/>
        <v>0</v>
      </c>
      <c r="AG1509">
        <f t="shared" si="259"/>
        <v>1</v>
      </c>
      <c r="AH1509">
        <f t="shared" si="260"/>
        <v>0</v>
      </c>
      <c r="AI1509">
        <f t="shared" si="261"/>
        <v>0</v>
      </c>
      <c r="AJ1509">
        <f t="shared" si="262"/>
        <v>1</v>
      </c>
      <c r="AK1509">
        <f t="shared" si="255"/>
        <v>0</v>
      </c>
      <c r="AL1509">
        <f t="shared" si="263"/>
        <v>0</v>
      </c>
    </row>
    <row r="1510" spans="1:38">
      <c r="A1510" t="s">
        <v>4657</v>
      </c>
      <c r="B1510" t="s">
        <v>4658</v>
      </c>
      <c r="C1510" s="1">
        <f t="shared" si="256"/>
        <v>45505</v>
      </c>
      <c r="D1510" t="s">
        <v>4659</v>
      </c>
      <c r="E1510">
        <v>147.80000000000001</v>
      </c>
      <c r="F1510">
        <v>6.2</v>
      </c>
      <c r="G1510" t="s">
        <v>59</v>
      </c>
      <c r="H1510" t="s">
        <v>132</v>
      </c>
      <c r="I1510" t="s">
        <v>48</v>
      </c>
      <c r="J1510">
        <v>120</v>
      </c>
      <c r="K1510" t="s">
        <v>33</v>
      </c>
      <c r="L1510" t="s">
        <v>96</v>
      </c>
      <c r="M1510" t="s">
        <v>71</v>
      </c>
      <c r="N1510" t="s">
        <v>202</v>
      </c>
      <c r="O1510" t="s">
        <v>37</v>
      </c>
      <c r="P1510" t="s">
        <v>38</v>
      </c>
      <c r="Q1510" t="s">
        <v>39</v>
      </c>
      <c r="R1510">
        <v>1</v>
      </c>
      <c r="S1510" t="s">
        <v>38</v>
      </c>
      <c r="T1510">
        <v>8</v>
      </c>
      <c r="U1510">
        <v>1.5</v>
      </c>
      <c r="V1510">
        <v>5.3</v>
      </c>
      <c r="W1510" t="s">
        <v>38</v>
      </c>
      <c r="X1510" t="s">
        <v>123</v>
      </c>
      <c r="Y1510" t="s">
        <v>39</v>
      </c>
      <c r="Z1510" t="s">
        <v>53</v>
      </c>
      <c r="AA1510" t="s">
        <v>103</v>
      </c>
      <c r="AB1510" t="s">
        <v>55</v>
      </c>
      <c r="AC1510">
        <f t="shared" si="253"/>
        <v>0</v>
      </c>
      <c r="AD1510" s="12">
        <f t="shared" si="257"/>
        <v>0</v>
      </c>
      <c r="AE1510" s="12">
        <f t="shared" si="258"/>
        <v>1</v>
      </c>
      <c r="AF1510">
        <f t="shared" si="254"/>
        <v>0</v>
      </c>
      <c r="AG1510">
        <f t="shared" si="259"/>
        <v>0</v>
      </c>
      <c r="AH1510">
        <f t="shared" si="260"/>
        <v>1</v>
      </c>
      <c r="AI1510">
        <f t="shared" si="261"/>
        <v>0</v>
      </c>
      <c r="AJ1510">
        <f t="shared" si="262"/>
        <v>0</v>
      </c>
      <c r="AK1510">
        <f t="shared" si="255"/>
        <v>0</v>
      </c>
      <c r="AL1510">
        <f t="shared" si="263"/>
        <v>0</v>
      </c>
    </row>
    <row r="1511" spans="1:38">
      <c r="A1511" t="s">
        <v>4660</v>
      </c>
      <c r="B1511" t="s">
        <v>4661</v>
      </c>
      <c r="C1511" s="1">
        <f t="shared" si="256"/>
        <v>45444</v>
      </c>
      <c r="D1511" t="s">
        <v>4662</v>
      </c>
      <c r="E1511">
        <v>277.60000000000002</v>
      </c>
      <c r="F1511">
        <v>11.6</v>
      </c>
      <c r="G1511" t="s">
        <v>142</v>
      </c>
      <c r="H1511" t="s">
        <v>143</v>
      </c>
      <c r="I1511" t="s">
        <v>32</v>
      </c>
      <c r="J1511">
        <v>240</v>
      </c>
      <c r="K1511" t="s">
        <v>33</v>
      </c>
      <c r="L1511" t="s">
        <v>34</v>
      </c>
      <c r="M1511" t="s">
        <v>35</v>
      </c>
      <c r="N1511" t="s">
        <v>89</v>
      </c>
      <c r="O1511" t="s">
        <v>37</v>
      </c>
      <c r="P1511" t="s">
        <v>38</v>
      </c>
      <c r="Q1511" t="s">
        <v>38</v>
      </c>
      <c r="R1511">
        <v>1</v>
      </c>
      <c r="S1511" t="s">
        <v>38</v>
      </c>
      <c r="T1511">
        <v>6</v>
      </c>
      <c r="U1511">
        <v>3.4</v>
      </c>
      <c r="V1511">
        <v>35.1</v>
      </c>
      <c r="W1511" t="s">
        <v>38</v>
      </c>
      <c r="X1511" t="s">
        <v>52</v>
      </c>
      <c r="Y1511" t="s">
        <v>39</v>
      </c>
      <c r="Z1511" t="s">
        <v>41</v>
      </c>
      <c r="AA1511" t="s">
        <v>54</v>
      </c>
      <c r="AB1511" t="s">
        <v>55</v>
      </c>
      <c r="AC1511">
        <f t="shared" si="253"/>
        <v>1</v>
      </c>
      <c r="AD1511" s="12">
        <f t="shared" si="257"/>
        <v>0</v>
      </c>
      <c r="AE1511" s="12">
        <f t="shared" si="258"/>
        <v>0</v>
      </c>
      <c r="AF1511">
        <f t="shared" si="254"/>
        <v>0</v>
      </c>
      <c r="AG1511">
        <f t="shared" si="259"/>
        <v>0</v>
      </c>
      <c r="AH1511">
        <f t="shared" si="260"/>
        <v>0</v>
      </c>
      <c r="AI1511">
        <f t="shared" si="261"/>
        <v>0</v>
      </c>
      <c r="AJ1511">
        <f t="shared" si="262"/>
        <v>1</v>
      </c>
      <c r="AK1511">
        <f t="shared" si="255"/>
        <v>0</v>
      </c>
      <c r="AL1511">
        <f t="shared" si="263"/>
        <v>0</v>
      </c>
    </row>
    <row r="1512" spans="1:38">
      <c r="A1512" t="s">
        <v>4663</v>
      </c>
      <c r="B1512" t="s">
        <v>4664</v>
      </c>
      <c r="C1512" s="1">
        <f t="shared" si="256"/>
        <v>45413</v>
      </c>
      <c r="D1512" t="s">
        <v>4665</v>
      </c>
      <c r="E1512">
        <v>106.4</v>
      </c>
      <c r="F1512">
        <v>4.4000000000000004</v>
      </c>
      <c r="G1512" t="s">
        <v>87</v>
      </c>
      <c r="H1512" t="s">
        <v>88</v>
      </c>
      <c r="I1512" t="s">
        <v>48</v>
      </c>
      <c r="J1512">
        <v>120</v>
      </c>
      <c r="K1512" t="s">
        <v>49</v>
      </c>
      <c r="L1512" t="s">
        <v>70</v>
      </c>
      <c r="M1512" t="s">
        <v>35</v>
      </c>
      <c r="N1512" t="s">
        <v>36</v>
      </c>
      <c r="O1512" t="s">
        <v>51</v>
      </c>
      <c r="P1512" t="s">
        <v>38</v>
      </c>
      <c r="Q1512" t="s">
        <v>38</v>
      </c>
      <c r="R1512">
        <v>1</v>
      </c>
      <c r="S1512" t="s">
        <v>38</v>
      </c>
      <c r="T1512">
        <v>8</v>
      </c>
      <c r="U1512">
        <v>2</v>
      </c>
      <c r="V1512">
        <v>23.8</v>
      </c>
      <c r="W1512" t="s">
        <v>39</v>
      </c>
      <c r="X1512" t="s">
        <v>52</v>
      </c>
      <c r="Y1512" t="s">
        <v>39</v>
      </c>
      <c r="Z1512" t="s">
        <v>179</v>
      </c>
      <c r="AA1512" t="s">
        <v>54</v>
      </c>
      <c r="AB1512" t="s">
        <v>83</v>
      </c>
      <c r="AC1512">
        <f t="shared" si="253"/>
        <v>1</v>
      </c>
      <c r="AD1512" s="12">
        <f t="shared" si="257"/>
        <v>0</v>
      </c>
      <c r="AE1512" s="12">
        <f t="shared" si="258"/>
        <v>0</v>
      </c>
      <c r="AF1512">
        <f t="shared" si="254"/>
        <v>1</v>
      </c>
      <c r="AG1512">
        <f t="shared" si="259"/>
        <v>0</v>
      </c>
      <c r="AH1512">
        <f t="shared" si="260"/>
        <v>1</v>
      </c>
      <c r="AI1512">
        <f t="shared" si="261"/>
        <v>0</v>
      </c>
      <c r="AJ1512">
        <f t="shared" si="262"/>
        <v>0</v>
      </c>
      <c r="AK1512">
        <f t="shared" si="255"/>
        <v>0</v>
      </c>
      <c r="AL1512">
        <f t="shared" si="263"/>
        <v>0</v>
      </c>
    </row>
    <row r="1513" spans="1:38">
      <c r="A1513" t="s">
        <v>4666</v>
      </c>
      <c r="B1513" t="s">
        <v>4667</v>
      </c>
      <c r="C1513" s="1">
        <f t="shared" si="256"/>
        <v>45505</v>
      </c>
      <c r="D1513" t="s">
        <v>4668</v>
      </c>
      <c r="E1513">
        <v>325.60000000000002</v>
      </c>
      <c r="F1513">
        <v>13.6</v>
      </c>
      <c r="G1513" t="s">
        <v>77</v>
      </c>
      <c r="H1513" t="s">
        <v>78</v>
      </c>
      <c r="I1513" t="s">
        <v>79</v>
      </c>
      <c r="J1513">
        <v>360</v>
      </c>
      <c r="K1513" t="s">
        <v>49</v>
      </c>
      <c r="L1513" t="s">
        <v>96</v>
      </c>
      <c r="M1513" t="s">
        <v>35</v>
      </c>
      <c r="N1513" t="s">
        <v>80</v>
      </c>
      <c r="O1513" t="s">
        <v>51</v>
      </c>
      <c r="P1513" t="s">
        <v>39</v>
      </c>
      <c r="Q1513" t="s">
        <v>38</v>
      </c>
      <c r="R1513">
        <v>0</v>
      </c>
      <c r="S1513" t="s">
        <v>38</v>
      </c>
      <c r="T1513">
        <v>10</v>
      </c>
      <c r="U1513">
        <v>0.1</v>
      </c>
      <c r="V1513">
        <v>10.9</v>
      </c>
      <c r="W1513" t="s">
        <v>39</v>
      </c>
      <c r="X1513" t="s">
        <v>63</v>
      </c>
      <c r="Y1513" t="s">
        <v>39</v>
      </c>
      <c r="Z1513" t="s">
        <v>64</v>
      </c>
      <c r="AA1513" t="s">
        <v>109</v>
      </c>
      <c r="AB1513" t="s">
        <v>55</v>
      </c>
      <c r="AC1513">
        <f t="shared" si="253"/>
        <v>0</v>
      </c>
      <c r="AD1513" s="12">
        <f t="shared" si="257"/>
        <v>1</v>
      </c>
      <c r="AE1513" s="12">
        <f t="shared" si="258"/>
        <v>0</v>
      </c>
      <c r="AF1513">
        <f t="shared" si="254"/>
        <v>1</v>
      </c>
      <c r="AG1513">
        <f t="shared" si="259"/>
        <v>0</v>
      </c>
      <c r="AH1513">
        <f t="shared" si="260"/>
        <v>0</v>
      </c>
      <c r="AI1513">
        <f t="shared" si="261"/>
        <v>0</v>
      </c>
      <c r="AJ1513">
        <f t="shared" si="262"/>
        <v>0</v>
      </c>
      <c r="AK1513">
        <f t="shared" si="255"/>
        <v>0</v>
      </c>
      <c r="AL1513">
        <f t="shared" si="263"/>
        <v>0</v>
      </c>
    </row>
    <row r="1514" spans="1:38">
      <c r="A1514" t="s">
        <v>4669</v>
      </c>
      <c r="B1514" t="s">
        <v>4670</v>
      </c>
      <c r="C1514" s="1">
        <f t="shared" si="256"/>
        <v>45383</v>
      </c>
      <c r="D1514" t="s">
        <v>4671</v>
      </c>
      <c r="E1514">
        <v>436.5</v>
      </c>
      <c r="F1514">
        <v>18.2</v>
      </c>
      <c r="G1514" t="s">
        <v>93</v>
      </c>
      <c r="H1514" t="s">
        <v>94</v>
      </c>
      <c r="I1514" t="s">
        <v>79</v>
      </c>
      <c r="J1514">
        <v>360</v>
      </c>
      <c r="K1514" t="s">
        <v>33</v>
      </c>
      <c r="L1514" t="s">
        <v>96</v>
      </c>
      <c r="M1514" t="s">
        <v>35</v>
      </c>
      <c r="N1514" t="s">
        <v>114</v>
      </c>
      <c r="O1514" t="s">
        <v>37</v>
      </c>
      <c r="P1514" t="s">
        <v>38</v>
      </c>
      <c r="Q1514" t="s">
        <v>38</v>
      </c>
      <c r="R1514">
        <v>1</v>
      </c>
      <c r="S1514" t="s">
        <v>38</v>
      </c>
      <c r="T1514">
        <v>4</v>
      </c>
      <c r="U1514">
        <v>2.7</v>
      </c>
      <c r="V1514">
        <v>1.5</v>
      </c>
      <c r="W1514" t="s">
        <v>38</v>
      </c>
      <c r="X1514" t="s">
        <v>63</v>
      </c>
      <c r="Y1514" t="s">
        <v>38</v>
      </c>
      <c r="Z1514" t="s">
        <v>41</v>
      </c>
      <c r="AA1514" t="s">
        <v>42</v>
      </c>
      <c r="AB1514" t="s">
        <v>43</v>
      </c>
      <c r="AC1514">
        <f t="shared" si="253"/>
        <v>0</v>
      </c>
      <c r="AD1514" s="12">
        <f t="shared" si="257"/>
        <v>1</v>
      </c>
      <c r="AE1514" s="12">
        <f t="shared" si="258"/>
        <v>0</v>
      </c>
      <c r="AF1514">
        <f t="shared" si="254"/>
        <v>0</v>
      </c>
      <c r="AG1514">
        <f t="shared" si="259"/>
        <v>0</v>
      </c>
      <c r="AH1514">
        <f t="shared" si="260"/>
        <v>0</v>
      </c>
      <c r="AI1514">
        <f t="shared" si="261"/>
        <v>0</v>
      </c>
      <c r="AJ1514">
        <f t="shared" si="262"/>
        <v>0</v>
      </c>
      <c r="AK1514">
        <f t="shared" si="255"/>
        <v>0</v>
      </c>
      <c r="AL1514">
        <f t="shared" si="263"/>
        <v>1</v>
      </c>
    </row>
    <row r="1515" spans="1:38">
      <c r="A1515" t="s">
        <v>4672</v>
      </c>
      <c r="B1515" t="s">
        <v>4673</v>
      </c>
      <c r="C1515" s="1">
        <f t="shared" si="256"/>
        <v>45323</v>
      </c>
      <c r="D1515" t="s">
        <v>4674</v>
      </c>
      <c r="E1515">
        <v>597</v>
      </c>
      <c r="F1515">
        <v>24.9</v>
      </c>
      <c r="G1515" t="s">
        <v>142</v>
      </c>
      <c r="H1515" t="s">
        <v>143</v>
      </c>
      <c r="I1515" t="s">
        <v>32</v>
      </c>
      <c r="J1515">
        <v>240</v>
      </c>
      <c r="K1515" t="s">
        <v>33</v>
      </c>
      <c r="L1515" t="s">
        <v>96</v>
      </c>
      <c r="M1515" t="s">
        <v>35</v>
      </c>
      <c r="N1515" t="s">
        <v>144</v>
      </c>
      <c r="O1515" t="s">
        <v>37</v>
      </c>
      <c r="P1515" t="s">
        <v>39</v>
      </c>
      <c r="Q1515" t="s">
        <v>38</v>
      </c>
      <c r="R1515">
        <v>0</v>
      </c>
      <c r="S1515" t="s">
        <v>38</v>
      </c>
      <c r="T1515">
        <v>8</v>
      </c>
      <c r="U1515">
        <v>4.2</v>
      </c>
      <c r="V1515">
        <v>15.1</v>
      </c>
      <c r="W1515" t="s">
        <v>39</v>
      </c>
      <c r="X1515" t="s">
        <v>123</v>
      </c>
      <c r="Y1515" t="s">
        <v>38</v>
      </c>
      <c r="Z1515" t="s">
        <v>64</v>
      </c>
      <c r="AA1515" t="s">
        <v>42</v>
      </c>
      <c r="AB1515" t="s">
        <v>55</v>
      </c>
      <c r="AC1515">
        <f t="shared" si="253"/>
        <v>0</v>
      </c>
      <c r="AD1515" s="12">
        <f t="shared" si="257"/>
        <v>0</v>
      </c>
      <c r="AE1515" s="12">
        <f t="shared" si="258"/>
        <v>1</v>
      </c>
      <c r="AF1515">
        <f t="shared" si="254"/>
        <v>0</v>
      </c>
      <c r="AG1515">
        <f t="shared" si="259"/>
        <v>0</v>
      </c>
      <c r="AH1515">
        <f t="shared" si="260"/>
        <v>0</v>
      </c>
      <c r="AI1515">
        <f t="shared" si="261"/>
        <v>0</v>
      </c>
      <c r="AJ1515">
        <f t="shared" si="262"/>
        <v>1</v>
      </c>
      <c r="AK1515">
        <f t="shared" si="255"/>
        <v>0</v>
      </c>
      <c r="AL1515">
        <f t="shared" si="263"/>
        <v>1</v>
      </c>
    </row>
    <row r="1516" spans="1:38">
      <c r="A1516" t="s">
        <v>4675</v>
      </c>
      <c r="B1516" t="s">
        <v>4676</v>
      </c>
      <c r="C1516" s="1">
        <f t="shared" si="256"/>
        <v>45505</v>
      </c>
      <c r="D1516" t="s">
        <v>4677</v>
      </c>
      <c r="E1516">
        <v>106.2</v>
      </c>
      <c r="F1516">
        <v>4.4000000000000004</v>
      </c>
      <c r="G1516" t="s">
        <v>93</v>
      </c>
      <c r="H1516" t="s">
        <v>449</v>
      </c>
      <c r="I1516" t="s">
        <v>48</v>
      </c>
      <c r="J1516">
        <v>120</v>
      </c>
      <c r="K1516" t="s">
        <v>49</v>
      </c>
      <c r="L1516" t="s">
        <v>113</v>
      </c>
      <c r="M1516" t="s">
        <v>71</v>
      </c>
      <c r="N1516" t="s">
        <v>220</v>
      </c>
      <c r="O1516" t="s">
        <v>51</v>
      </c>
      <c r="P1516" t="s">
        <v>38</v>
      </c>
      <c r="Q1516" t="s">
        <v>39</v>
      </c>
      <c r="R1516">
        <v>4</v>
      </c>
      <c r="S1516" t="s">
        <v>38</v>
      </c>
      <c r="T1516">
        <v>9</v>
      </c>
      <c r="U1516">
        <v>2</v>
      </c>
      <c r="V1516">
        <v>0</v>
      </c>
      <c r="W1516" t="s">
        <v>38</v>
      </c>
      <c r="X1516" t="s">
        <v>40</v>
      </c>
      <c r="Y1516" t="s">
        <v>39</v>
      </c>
      <c r="Z1516" t="s">
        <v>41</v>
      </c>
      <c r="AA1516" t="s">
        <v>103</v>
      </c>
      <c r="AB1516" t="s">
        <v>83</v>
      </c>
      <c r="AC1516">
        <f t="shared" si="253"/>
        <v>0</v>
      </c>
      <c r="AD1516" s="12">
        <f t="shared" si="257"/>
        <v>0</v>
      </c>
      <c r="AE1516" s="12">
        <f t="shared" si="258"/>
        <v>0</v>
      </c>
      <c r="AF1516">
        <f t="shared" si="254"/>
        <v>1</v>
      </c>
      <c r="AG1516">
        <f t="shared" si="259"/>
        <v>0</v>
      </c>
      <c r="AH1516">
        <f t="shared" si="260"/>
        <v>1</v>
      </c>
      <c r="AI1516">
        <f t="shared" si="261"/>
        <v>0</v>
      </c>
      <c r="AJ1516">
        <f t="shared" si="262"/>
        <v>0</v>
      </c>
      <c r="AK1516">
        <f t="shared" si="255"/>
        <v>0</v>
      </c>
      <c r="AL1516">
        <f t="shared" si="263"/>
        <v>0</v>
      </c>
    </row>
    <row r="1517" spans="1:38">
      <c r="A1517" t="s">
        <v>4678</v>
      </c>
      <c r="B1517" t="s">
        <v>4679</v>
      </c>
      <c r="C1517" s="1">
        <f t="shared" si="256"/>
        <v>45292</v>
      </c>
      <c r="D1517" t="s">
        <v>4680</v>
      </c>
      <c r="E1517">
        <v>287.89999999999998</v>
      </c>
      <c r="F1517">
        <v>12</v>
      </c>
      <c r="G1517" t="s">
        <v>77</v>
      </c>
      <c r="H1517" t="s">
        <v>78</v>
      </c>
      <c r="I1517" t="s">
        <v>79</v>
      </c>
      <c r="J1517">
        <v>360</v>
      </c>
      <c r="K1517" t="s">
        <v>49</v>
      </c>
      <c r="L1517" t="s">
        <v>96</v>
      </c>
      <c r="M1517" t="s">
        <v>35</v>
      </c>
      <c r="N1517" t="s">
        <v>168</v>
      </c>
      <c r="O1517" t="s">
        <v>7232</v>
      </c>
      <c r="P1517" t="s">
        <v>38</v>
      </c>
      <c r="Q1517" t="s">
        <v>38</v>
      </c>
      <c r="R1517">
        <v>1</v>
      </c>
      <c r="S1517" t="s">
        <v>38</v>
      </c>
      <c r="T1517">
        <v>7</v>
      </c>
      <c r="U1517">
        <v>3.9</v>
      </c>
      <c r="V1517">
        <v>18.2</v>
      </c>
      <c r="W1517" t="s">
        <v>39</v>
      </c>
      <c r="X1517" t="s">
        <v>63</v>
      </c>
      <c r="Y1517" t="s">
        <v>38</v>
      </c>
      <c r="Z1517" t="s">
        <v>108</v>
      </c>
      <c r="AA1517" t="s">
        <v>54</v>
      </c>
      <c r="AB1517" t="s">
        <v>83</v>
      </c>
      <c r="AC1517">
        <f t="shared" si="253"/>
        <v>0</v>
      </c>
      <c r="AD1517" s="12">
        <f t="shared" si="257"/>
        <v>1</v>
      </c>
      <c r="AE1517" s="12">
        <f t="shared" si="258"/>
        <v>0</v>
      </c>
      <c r="AF1517">
        <f t="shared" si="254"/>
        <v>0</v>
      </c>
      <c r="AG1517">
        <f t="shared" si="259"/>
        <v>1</v>
      </c>
      <c r="AH1517">
        <f t="shared" si="260"/>
        <v>0</v>
      </c>
      <c r="AI1517">
        <f t="shared" si="261"/>
        <v>0</v>
      </c>
      <c r="AJ1517">
        <f t="shared" si="262"/>
        <v>0</v>
      </c>
      <c r="AK1517">
        <f t="shared" si="255"/>
        <v>0</v>
      </c>
      <c r="AL1517">
        <f t="shared" si="263"/>
        <v>1</v>
      </c>
    </row>
    <row r="1518" spans="1:38">
      <c r="A1518" t="s">
        <v>4681</v>
      </c>
      <c r="B1518" t="s">
        <v>4682</v>
      </c>
      <c r="C1518" s="1">
        <f t="shared" si="256"/>
        <v>45597</v>
      </c>
      <c r="D1518" t="s">
        <v>4683</v>
      </c>
      <c r="E1518">
        <v>428.1</v>
      </c>
      <c r="F1518">
        <v>17.8</v>
      </c>
      <c r="G1518" t="s">
        <v>30</v>
      </c>
      <c r="H1518" t="s">
        <v>31</v>
      </c>
      <c r="I1518" t="s">
        <v>79</v>
      </c>
      <c r="J1518">
        <v>360</v>
      </c>
      <c r="K1518" t="s">
        <v>33</v>
      </c>
      <c r="L1518" t="s">
        <v>34</v>
      </c>
      <c r="M1518" t="s">
        <v>35</v>
      </c>
      <c r="N1518" t="s">
        <v>202</v>
      </c>
      <c r="O1518" t="s">
        <v>7232</v>
      </c>
      <c r="P1518" t="s">
        <v>39</v>
      </c>
      <c r="Q1518" t="s">
        <v>38</v>
      </c>
      <c r="R1518">
        <v>0</v>
      </c>
      <c r="S1518" t="s">
        <v>38</v>
      </c>
      <c r="T1518">
        <v>10</v>
      </c>
      <c r="U1518">
        <v>1.6</v>
      </c>
      <c r="V1518">
        <v>27.1</v>
      </c>
      <c r="W1518" t="s">
        <v>38</v>
      </c>
      <c r="X1518" t="s">
        <v>123</v>
      </c>
      <c r="Y1518" t="s">
        <v>38</v>
      </c>
      <c r="Z1518" t="s">
        <v>41</v>
      </c>
      <c r="AA1518" t="s">
        <v>82</v>
      </c>
      <c r="AB1518" t="s">
        <v>55</v>
      </c>
      <c r="AC1518">
        <f t="shared" si="253"/>
        <v>0</v>
      </c>
      <c r="AD1518" s="12">
        <f t="shared" si="257"/>
        <v>0</v>
      </c>
      <c r="AE1518" s="12">
        <f t="shared" si="258"/>
        <v>1</v>
      </c>
      <c r="AF1518">
        <f t="shared" si="254"/>
        <v>0</v>
      </c>
      <c r="AG1518">
        <f t="shared" si="259"/>
        <v>1</v>
      </c>
      <c r="AH1518">
        <f t="shared" si="260"/>
        <v>0</v>
      </c>
      <c r="AI1518">
        <f t="shared" si="261"/>
        <v>0</v>
      </c>
      <c r="AJ1518">
        <f t="shared" si="262"/>
        <v>0</v>
      </c>
      <c r="AK1518">
        <f t="shared" si="255"/>
        <v>1</v>
      </c>
      <c r="AL1518">
        <f t="shared" si="263"/>
        <v>1</v>
      </c>
    </row>
    <row r="1519" spans="1:38">
      <c r="A1519" t="s">
        <v>4684</v>
      </c>
      <c r="B1519" t="s">
        <v>4685</v>
      </c>
      <c r="C1519" s="1">
        <f t="shared" si="256"/>
        <v>45505</v>
      </c>
      <c r="D1519" t="s">
        <v>4686</v>
      </c>
      <c r="E1519">
        <v>142.30000000000001</v>
      </c>
      <c r="F1519">
        <v>5.9</v>
      </c>
      <c r="G1519" t="s">
        <v>59</v>
      </c>
      <c r="H1519" t="s">
        <v>227</v>
      </c>
      <c r="I1519" t="s">
        <v>48</v>
      </c>
      <c r="J1519">
        <v>120</v>
      </c>
      <c r="K1519" t="s">
        <v>33</v>
      </c>
      <c r="L1519" t="s">
        <v>96</v>
      </c>
      <c r="M1519" t="s">
        <v>35</v>
      </c>
      <c r="N1519" t="s">
        <v>188</v>
      </c>
      <c r="O1519" t="s">
        <v>7232</v>
      </c>
      <c r="P1519" t="s">
        <v>38</v>
      </c>
      <c r="Q1519" t="s">
        <v>38</v>
      </c>
      <c r="R1519">
        <v>1</v>
      </c>
      <c r="S1519" t="s">
        <v>38</v>
      </c>
      <c r="T1519">
        <v>5</v>
      </c>
      <c r="U1519">
        <v>1.3</v>
      </c>
      <c r="V1519">
        <v>25.1</v>
      </c>
      <c r="W1519" t="s">
        <v>39</v>
      </c>
      <c r="X1519" t="s">
        <v>123</v>
      </c>
      <c r="Y1519" t="s">
        <v>38</v>
      </c>
      <c r="Z1519" t="s">
        <v>115</v>
      </c>
      <c r="AA1519" t="s">
        <v>109</v>
      </c>
      <c r="AB1519" t="s">
        <v>83</v>
      </c>
      <c r="AC1519">
        <f t="shared" si="253"/>
        <v>0</v>
      </c>
      <c r="AD1519" s="12">
        <f t="shared" si="257"/>
        <v>0</v>
      </c>
      <c r="AE1519" s="12">
        <f t="shared" si="258"/>
        <v>1</v>
      </c>
      <c r="AF1519">
        <f t="shared" si="254"/>
        <v>0</v>
      </c>
      <c r="AG1519">
        <f t="shared" si="259"/>
        <v>1</v>
      </c>
      <c r="AH1519">
        <f t="shared" si="260"/>
        <v>1</v>
      </c>
      <c r="AI1519">
        <f t="shared" si="261"/>
        <v>0</v>
      </c>
      <c r="AJ1519">
        <f t="shared" si="262"/>
        <v>0</v>
      </c>
      <c r="AK1519">
        <f t="shared" si="255"/>
        <v>0</v>
      </c>
      <c r="AL1519">
        <f t="shared" si="263"/>
        <v>1</v>
      </c>
    </row>
    <row r="1520" spans="1:38">
      <c r="A1520" t="s">
        <v>4687</v>
      </c>
      <c r="B1520" t="s">
        <v>4688</v>
      </c>
      <c r="C1520" s="1">
        <f t="shared" si="256"/>
        <v>45413</v>
      </c>
      <c r="D1520" t="s">
        <v>4689</v>
      </c>
      <c r="E1520">
        <v>194.1</v>
      </c>
      <c r="F1520">
        <v>8.1</v>
      </c>
      <c r="G1520" t="s">
        <v>59</v>
      </c>
      <c r="H1520" t="s">
        <v>132</v>
      </c>
      <c r="I1520" t="s">
        <v>32</v>
      </c>
      <c r="J1520">
        <v>240</v>
      </c>
      <c r="K1520" t="s">
        <v>49</v>
      </c>
      <c r="L1520" t="s">
        <v>34</v>
      </c>
      <c r="M1520" t="s">
        <v>71</v>
      </c>
      <c r="N1520" t="s">
        <v>277</v>
      </c>
      <c r="O1520" t="s">
        <v>51</v>
      </c>
      <c r="P1520" t="s">
        <v>38</v>
      </c>
      <c r="Q1520" t="s">
        <v>39</v>
      </c>
      <c r="R1520">
        <v>3</v>
      </c>
      <c r="S1520" t="s">
        <v>38</v>
      </c>
      <c r="T1520">
        <v>7</v>
      </c>
      <c r="U1520">
        <v>1.7</v>
      </c>
      <c r="V1520">
        <v>5.6</v>
      </c>
      <c r="W1520" t="s">
        <v>39</v>
      </c>
      <c r="X1520" t="s">
        <v>52</v>
      </c>
      <c r="Y1520" t="s">
        <v>39</v>
      </c>
      <c r="Z1520" t="s">
        <v>41</v>
      </c>
      <c r="AA1520" t="s">
        <v>42</v>
      </c>
      <c r="AB1520" t="s">
        <v>43</v>
      </c>
      <c r="AC1520">
        <f t="shared" si="253"/>
        <v>1</v>
      </c>
      <c r="AD1520" s="12">
        <f t="shared" si="257"/>
        <v>0</v>
      </c>
      <c r="AE1520" s="12">
        <f t="shared" si="258"/>
        <v>0</v>
      </c>
      <c r="AF1520">
        <f t="shared" si="254"/>
        <v>1</v>
      </c>
      <c r="AG1520">
        <f t="shared" si="259"/>
        <v>0</v>
      </c>
      <c r="AH1520">
        <f t="shared" si="260"/>
        <v>0</v>
      </c>
      <c r="AI1520">
        <f t="shared" si="261"/>
        <v>0</v>
      </c>
      <c r="AJ1520">
        <f t="shared" si="262"/>
        <v>1</v>
      </c>
      <c r="AK1520">
        <f t="shared" si="255"/>
        <v>0</v>
      </c>
      <c r="AL1520">
        <f t="shared" si="263"/>
        <v>0</v>
      </c>
    </row>
    <row r="1521" spans="1:38">
      <c r="A1521" t="s">
        <v>4690</v>
      </c>
      <c r="B1521" t="s">
        <v>4691</v>
      </c>
      <c r="C1521" s="1">
        <f t="shared" si="256"/>
        <v>45444</v>
      </c>
      <c r="D1521" t="s">
        <v>4692</v>
      </c>
      <c r="E1521">
        <v>242.4</v>
      </c>
      <c r="F1521">
        <v>10.1</v>
      </c>
      <c r="G1521" t="s">
        <v>77</v>
      </c>
      <c r="H1521" t="s">
        <v>267</v>
      </c>
      <c r="I1521" t="s">
        <v>79</v>
      </c>
      <c r="J1521">
        <v>360</v>
      </c>
      <c r="K1521" t="s">
        <v>49</v>
      </c>
      <c r="L1521" t="s">
        <v>96</v>
      </c>
      <c r="M1521" t="s">
        <v>35</v>
      </c>
      <c r="N1521" t="s">
        <v>72</v>
      </c>
      <c r="O1521" t="s">
        <v>7232</v>
      </c>
      <c r="P1521" t="s">
        <v>38</v>
      </c>
      <c r="Q1521" t="s">
        <v>38</v>
      </c>
      <c r="R1521">
        <v>1</v>
      </c>
      <c r="S1521" t="s">
        <v>38</v>
      </c>
      <c r="T1521">
        <v>6</v>
      </c>
      <c r="U1521">
        <v>1.8</v>
      </c>
      <c r="V1521">
        <v>33.1</v>
      </c>
      <c r="W1521" t="s">
        <v>39</v>
      </c>
      <c r="X1521" t="s">
        <v>123</v>
      </c>
      <c r="Y1521" t="s">
        <v>39</v>
      </c>
      <c r="Z1521" t="s">
        <v>73</v>
      </c>
      <c r="AA1521" t="s">
        <v>82</v>
      </c>
      <c r="AB1521" t="s">
        <v>83</v>
      </c>
      <c r="AC1521">
        <f t="shared" si="253"/>
        <v>0</v>
      </c>
      <c r="AD1521" s="12">
        <f t="shared" si="257"/>
        <v>0</v>
      </c>
      <c r="AE1521" s="12">
        <f t="shared" si="258"/>
        <v>1</v>
      </c>
      <c r="AF1521">
        <f t="shared" si="254"/>
        <v>0</v>
      </c>
      <c r="AG1521">
        <f t="shared" si="259"/>
        <v>1</v>
      </c>
      <c r="AH1521">
        <f t="shared" si="260"/>
        <v>0</v>
      </c>
      <c r="AI1521">
        <f t="shared" si="261"/>
        <v>0</v>
      </c>
      <c r="AJ1521">
        <f t="shared" si="262"/>
        <v>0</v>
      </c>
      <c r="AK1521">
        <f t="shared" si="255"/>
        <v>0</v>
      </c>
      <c r="AL1521">
        <f t="shared" si="263"/>
        <v>0</v>
      </c>
    </row>
    <row r="1522" spans="1:38">
      <c r="A1522" t="s">
        <v>4693</v>
      </c>
      <c r="B1522" t="s">
        <v>4694</v>
      </c>
      <c r="C1522" s="1">
        <f t="shared" si="256"/>
        <v>45413</v>
      </c>
      <c r="D1522" t="s">
        <v>4695</v>
      </c>
      <c r="E1522">
        <v>412.4</v>
      </c>
      <c r="F1522">
        <v>17.2</v>
      </c>
      <c r="G1522" t="s">
        <v>77</v>
      </c>
      <c r="H1522" t="s">
        <v>267</v>
      </c>
      <c r="I1522" t="s">
        <v>79</v>
      </c>
      <c r="J1522">
        <v>360</v>
      </c>
      <c r="K1522" t="s">
        <v>33</v>
      </c>
      <c r="L1522" t="s">
        <v>113</v>
      </c>
      <c r="M1522" t="s">
        <v>35</v>
      </c>
      <c r="N1522" t="s">
        <v>168</v>
      </c>
      <c r="O1522" t="s">
        <v>7232</v>
      </c>
      <c r="P1522" t="s">
        <v>38</v>
      </c>
      <c r="Q1522" t="s">
        <v>38</v>
      </c>
      <c r="R1522">
        <v>1</v>
      </c>
      <c r="S1522" t="s">
        <v>38</v>
      </c>
      <c r="T1522">
        <v>8</v>
      </c>
      <c r="U1522">
        <v>2.2000000000000002</v>
      </c>
      <c r="V1522">
        <v>16.8</v>
      </c>
      <c r="W1522" t="s">
        <v>39</v>
      </c>
      <c r="X1522" t="s">
        <v>63</v>
      </c>
      <c r="Y1522" t="s">
        <v>38</v>
      </c>
      <c r="Z1522" t="s">
        <v>115</v>
      </c>
      <c r="AA1522" t="s">
        <v>109</v>
      </c>
      <c r="AB1522" t="s">
        <v>83</v>
      </c>
      <c r="AC1522">
        <f t="shared" si="253"/>
        <v>0</v>
      </c>
      <c r="AD1522" s="12">
        <f t="shared" si="257"/>
        <v>1</v>
      </c>
      <c r="AE1522" s="12">
        <f t="shared" si="258"/>
        <v>0</v>
      </c>
      <c r="AF1522">
        <f t="shared" si="254"/>
        <v>0</v>
      </c>
      <c r="AG1522">
        <f t="shared" si="259"/>
        <v>1</v>
      </c>
      <c r="AH1522">
        <f t="shared" si="260"/>
        <v>0</v>
      </c>
      <c r="AI1522">
        <f t="shared" si="261"/>
        <v>0</v>
      </c>
      <c r="AJ1522">
        <f t="shared" si="262"/>
        <v>0</v>
      </c>
      <c r="AK1522">
        <f t="shared" si="255"/>
        <v>0</v>
      </c>
      <c r="AL1522">
        <f t="shared" si="263"/>
        <v>1</v>
      </c>
    </row>
    <row r="1523" spans="1:38">
      <c r="A1523" t="s">
        <v>4696</v>
      </c>
      <c r="B1523" t="s">
        <v>4697</v>
      </c>
      <c r="C1523" s="1">
        <f t="shared" si="256"/>
        <v>45474</v>
      </c>
      <c r="D1523" t="s">
        <v>4698</v>
      </c>
      <c r="E1523">
        <v>218.6</v>
      </c>
      <c r="F1523">
        <v>9.1</v>
      </c>
      <c r="G1523" t="s">
        <v>142</v>
      </c>
      <c r="H1523" t="s">
        <v>240</v>
      </c>
      <c r="I1523" t="s">
        <v>32</v>
      </c>
      <c r="J1523">
        <v>240</v>
      </c>
      <c r="K1523" t="s">
        <v>49</v>
      </c>
      <c r="L1523" t="s">
        <v>96</v>
      </c>
      <c r="M1523" t="s">
        <v>35</v>
      </c>
      <c r="N1523" t="s">
        <v>128</v>
      </c>
      <c r="O1523" t="s">
        <v>7232</v>
      </c>
      <c r="P1523" t="s">
        <v>39</v>
      </c>
      <c r="Q1523" t="s">
        <v>38</v>
      </c>
      <c r="R1523">
        <v>0</v>
      </c>
      <c r="S1523" t="s">
        <v>38</v>
      </c>
      <c r="T1523">
        <v>10</v>
      </c>
      <c r="U1523">
        <v>5.5</v>
      </c>
      <c r="V1523">
        <v>34.299999999999997</v>
      </c>
      <c r="W1523" t="s">
        <v>39</v>
      </c>
      <c r="X1523" t="s">
        <v>63</v>
      </c>
      <c r="Y1523" t="s">
        <v>39</v>
      </c>
      <c r="Z1523" t="s">
        <v>81</v>
      </c>
      <c r="AA1523" t="s">
        <v>103</v>
      </c>
      <c r="AB1523" t="s">
        <v>83</v>
      </c>
      <c r="AC1523">
        <f t="shared" si="253"/>
        <v>0</v>
      </c>
      <c r="AD1523" s="12">
        <f t="shared" si="257"/>
        <v>1</v>
      </c>
      <c r="AE1523" s="12">
        <f t="shared" si="258"/>
        <v>0</v>
      </c>
      <c r="AF1523">
        <f t="shared" si="254"/>
        <v>0</v>
      </c>
      <c r="AG1523">
        <f t="shared" si="259"/>
        <v>1</v>
      </c>
      <c r="AH1523">
        <f t="shared" si="260"/>
        <v>0</v>
      </c>
      <c r="AI1523">
        <f t="shared" si="261"/>
        <v>0</v>
      </c>
      <c r="AJ1523">
        <f t="shared" si="262"/>
        <v>1</v>
      </c>
      <c r="AK1523">
        <f t="shared" si="255"/>
        <v>0</v>
      </c>
      <c r="AL1523">
        <f t="shared" si="263"/>
        <v>0</v>
      </c>
    </row>
    <row r="1524" spans="1:38">
      <c r="A1524" t="s">
        <v>4699</v>
      </c>
      <c r="B1524" t="s">
        <v>4700</v>
      </c>
      <c r="C1524" s="1">
        <f t="shared" si="256"/>
        <v>45383</v>
      </c>
      <c r="D1524" t="s">
        <v>4701</v>
      </c>
      <c r="E1524">
        <v>227.7</v>
      </c>
      <c r="F1524">
        <v>9.5</v>
      </c>
      <c r="G1524" t="s">
        <v>101</v>
      </c>
      <c r="H1524" t="s">
        <v>442</v>
      </c>
      <c r="I1524" t="s">
        <v>32</v>
      </c>
      <c r="J1524">
        <v>240</v>
      </c>
      <c r="K1524" t="s">
        <v>49</v>
      </c>
      <c r="L1524" t="s">
        <v>96</v>
      </c>
      <c r="M1524" t="s">
        <v>35</v>
      </c>
      <c r="N1524" t="s">
        <v>299</v>
      </c>
      <c r="O1524" t="s">
        <v>51</v>
      </c>
      <c r="P1524" t="s">
        <v>38</v>
      </c>
      <c r="Q1524" t="s">
        <v>38</v>
      </c>
      <c r="R1524">
        <v>1</v>
      </c>
      <c r="S1524" t="s">
        <v>39</v>
      </c>
      <c r="T1524">
        <v>10</v>
      </c>
      <c r="U1524">
        <v>0.1</v>
      </c>
      <c r="V1524">
        <v>0</v>
      </c>
      <c r="W1524" t="s">
        <v>39</v>
      </c>
      <c r="X1524" t="s">
        <v>63</v>
      </c>
      <c r="Y1524" t="s">
        <v>38</v>
      </c>
      <c r="Z1524" t="s">
        <v>115</v>
      </c>
      <c r="AA1524" t="s">
        <v>82</v>
      </c>
      <c r="AB1524" t="s">
        <v>55</v>
      </c>
      <c r="AC1524">
        <f t="shared" si="253"/>
        <v>0</v>
      </c>
      <c r="AD1524" s="12">
        <f t="shared" si="257"/>
        <v>1</v>
      </c>
      <c r="AE1524" s="12">
        <f t="shared" si="258"/>
        <v>0</v>
      </c>
      <c r="AF1524">
        <f t="shared" si="254"/>
        <v>1</v>
      </c>
      <c r="AG1524">
        <f t="shared" si="259"/>
        <v>0</v>
      </c>
      <c r="AH1524">
        <f t="shared" si="260"/>
        <v>0</v>
      </c>
      <c r="AI1524">
        <f t="shared" si="261"/>
        <v>0</v>
      </c>
      <c r="AJ1524">
        <f t="shared" si="262"/>
        <v>1</v>
      </c>
      <c r="AK1524">
        <f t="shared" si="255"/>
        <v>0</v>
      </c>
      <c r="AL1524">
        <f t="shared" si="263"/>
        <v>1</v>
      </c>
    </row>
    <row r="1525" spans="1:38">
      <c r="A1525" t="s">
        <v>4702</v>
      </c>
      <c r="B1525" t="s">
        <v>4703</v>
      </c>
      <c r="C1525" s="1">
        <f t="shared" si="256"/>
        <v>45413</v>
      </c>
      <c r="D1525" t="s">
        <v>4704</v>
      </c>
      <c r="E1525">
        <v>236.6</v>
      </c>
      <c r="F1525">
        <v>9.9</v>
      </c>
      <c r="G1525" t="s">
        <v>68</v>
      </c>
      <c r="H1525" t="s">
        <v>212</v>
      </c>
      <c r="I1525" t="s">
        <v>48</v>
      </c>
      <c r="J1525">
        <v>120</v>
      </c>
      <c r="K1525" t="s">
        <v>33</v>
      </c>
      <c r="L1525" t="s">
        <v>96</v>
      </c>
      <c r="M1525" t="s">
        <v>71</v>
      </c>
      <c r="N1525" t="s">
        <v>192</v>
      </c>
      <c r="O1525" t="s">
        <v>7232</v>
      </c>
      <c r="P1525" t="s">
        <v>38</v>
      </c>
      <c r="Q1525" t="s">
        <v>39</v>
      </c>
      <c r="R1525">
        <v>4</v>
      </c>
      <c r="S1525" t="s">
        <v>38</v>
      </c>
      <c r="T1525">
        <v>6</v>
      </c>
      <c r="U1525">
        <v>1</v>
      </c>
      <c r="V1525">
        <v>23.4</v>
      </c>
      <c r="W1525" t="s">
        <v>39</v>
      </c>
      <c r="X1525" t="s">
        <v>63</v>
      </c>
      <c r="Y1525" t="s">
        <v>38</v>
      </c>
      <c r="Z1525" t="s">
        <v>179</v>
      </c>
      <c r="AA1525" t="s">
        <v>82</v>
      </c>
      <c r="AB1525" t="s">
        <v>83</v>
      </c>
      <c r="AC1525">
        <f t="shared" si="253"/>
        <v>0</v>
      </c>
      <c r="AD1525" s="12">
        <f t="shared" si="257"/>
        <v>1</v>
      </c>
      <c r="AE1525" s="12">
        <f t="shared" si="258"/>
        <v>0</v>
      </c>
      <c r="AF1525">
        <f t="shared" si="254"/>
        <v>0</v>
      </c>
      <c r="AG1525">
        <f t="shared" si="259"/>
        <v>1</v>
      </c>
      <c r="AH1525">
        <f t="shared" si="260"/>
        <v>1</v>
      </c>
      <c r="AI1525">
        <f t="shared" si="261"/>
        <v>0</v>
      </c>
      <c r="AJ1525">
        <f t="shared" si="262"/>
        <v>0</v>
      </c>
      <c r="AK1525">
        <f t="shared" si="255"/>
        <v>0</v>
      </c>
      <c r="AL1525">
        <f t="shared" si="263"/>
        <v>1</v>
      </c>
    </row>
    <row r="1526" spans="1:38">
      <c r="A1526" t="s">
        <v>4705</v>
      </c>
      <c r="B1526" t="s">
        <v>4706</v>
      </c>
      <c r="C1526" s="1">
        <f t="shared" si="256"/>
        <v>45352</v>
      </c>
      <c r="D1526" t="s">
        <v>4707</v>
      </c>
      <c r="E1526">
        <v>394</v>
      </c>
      <c r="F1526">
        <v>16.399999999999999</v>
      </c>
      <c r="G1526" t="s">
        <v>87</v>
      </c>
      <c r="H1526" t="s">
        <v>151</v>
      </c>
      <c r="I1526" t="s">
        <v>32</v>
      </c>
      <c r="J1526">
        <v>240</v>
      </c>
      <c r="K1526" t="s">
        <v>33</v>
      </c>
      <c r="L1526" t="s">
        <v>70</v>
      </c>
      <c r="M1526" t="s">
        <v>35</v>
      </c>
      <c r="N1526" t="s">
        <v>168</v>
      </c>
      <c r="O1526" t="s">
        <v>7232</v>
      </c>
      <c r="P1526" t="s">
        <v>38</v>
      </c>
      <c r="Q1526" t="s">
        <v>38</v>
      </c>
      <c r="R1526">
        <v>1</v>
      </c>
      <c r="S1526" t="s">
        <v>38</v>
      </c>
      <c r="T1526">
        <v>5</v>
      </c>
      <c r="U1526">
        <v>2.1</v>
      </c>
      <c r="V1526">
        <v>35.6</v>
      </c>
      <c r="W1526" t="s">
        <v>39</v>
      </c>
      <c r="X1526" t="s">
        <v>123</v>
      </c>
      <c r="Y1526" t="s">
        <v>39</v>
      </c>
      <c r="Z1526" t="s">
        <v>73</v>
      </c>
      <c r="AA1526" t="s">
        <v>103</v>
      </c>
      <c r="AB1526" t="s">
        <v>43</v>
      </c>
      <c r="AC1526">
        <f t="shared" si="253"/>
        <v>0</v>
      </c>
      <c r="AD1526" s="12">
        <f t="shared" si="257"/>
        <v>0</v>
      </c>
      <c r="AE1526" s="12">
        <f t="shared" si="258"/>
        <v>1</v>
      </c>
      <c r="AF1526">
        <f t="shared" si="254"/>
        <v>0</v>
      </c>
      <c r="AG1526">
        <f t="shared" si="259"/>
        <v>1</v>
      </c>
      <c r="AH1526">
        <f t="shared" si="260"/>
        <v>0</v>
      </c>
      <c r="AI1526">
        <f t="shared" si="261"/>
        <v>0</v>
      </c>
      <c r="AJ1526">
        <f t="shared" si="262"/>
        <v>1</v>
      </c>
      <c r="AK1526">
        <f t="shared" si="255"/>
        <v>0</v>
      </c>
      <c r="AL1526">
        <f t="shared" si="263"/>
        <v>0</v>
      </c>
    </row>
    <row r="1527" spans="1:38">
      <c r="A1527" t="s">
        <v>4708</v>
      </c>
      <c r="B1527" t="s">
        <v>4709</v>
      </c>
      <c r="C1527" s="1">
        <f t="shared" si="256"/>
        <v>45627</v>
      </c>
      <c r="D1527" t="s">
        <v>4710</v>
      </c>
      <c r="E1527">
        <v>31.2</v>
      </c>
      <c r="F1527">
        <v>1.3</v>
      </c>
      <c r="G1527" t="s">
        <v>59</v>
      </c>
      <c r="H1527" t="s">
        <v>227</v>
      </c>
      <c r="I1527" t="s">
        <v>95</v>
      </c>
      <c r="J1527">
        <v>48</v>
      </c>
      <c r="K1527" t="s">
        <v>49</v>
      </c>
      <c r="L1527" t="s">
        <v>96</v>
      </c>
      <c r="M1527" t="s">
        <v>71</v>
      </c>
      <c r="N1527" t="s">
        <v>97</v>
      </c>
      <c r="O1527" t="s">
        <v>37</v>
      </c>
      <c r="P1527" t="s">
        <v>38</v>
      </c>
      <c r="Q1527" t="s">
        <v>39</v>
      </c>
      <c r="R1527">
        <v>2</v>
      </c>
      <c r="S1527" t="s">
        <v>39</v>
      </c>
      <c r="T1527">
        <v>7</v>
      </c>
      <c r="U1527">
        <v>2.4</v>
      </c>
      <c r="V1527">
        <v>4.9000000000000004</v>
      </c>
      <c r="W1527" t="s">
        <v>39</v>
      </c>
      <c r="X1527" t="s">
        <v>40</v>
      </c>
      <c r="Y1527" t="s">
        <v>39</v>
      </c>
      <c r="Z1527" t="s">
        <v>81</v>
      </c>
      <c r="AA1527" t="s">
        <v>42</v>
      </c>
      <c r="AB1527" t="s">
        <v>83</v>
      </c>
      <c r="AC1527">
        <f t="shared" si="253"/>
        <v>0</v>
      </c>
      <c r="AD1527" s="12">
        <f t="shared" si="257"/>
        <v>0</v>
      </c>
      <c r="AE1527" s="12">
        <f t="shared" si="258"/>
        <v>0</v>
      </c>
      <c r="AF1527">
        <f t="shared" si="254"/>
        <v>0</v>
      </c>
      <c r="AG1527">
        <f t="shared" si="259"/>
        <v>0</v>
      </c>
      <c r="AH1527">
        <f t="shared" si="260"/>
        <v>0</v>
      </c>
      <c r="AI1527">
        <f t="shared" si="261"/>
        <v>1</v>
      </c>
      <c r="AJ1527">
        <f t="shared" si="262"/>
        <v>0</v>
      </c>
      <c r="AK1527">
        <f t="shared" si="255"/>
        <v>0</v>
      </c>
      <c r="AL1527">
        <f t="shared" si="263"/>
        <v>0</v>
      </c>
    </row>
    <row r="1528" spans="1:38">
      <c r="A1528" t="s">
        <v>4711</v>
      </c>
      <c r="B1528" t="s">
        <v>4712</v>
      </c>
      <c r="C1528" s="1">
        <f t="shared" si="256"/>
        <v>45474</v>
      </c>
      <c r="D1528" t="s">
        <v>4713</v>
      </c>
      <c r="E1528">
        <v>242.7</v>
      </c>
      <c r="F1528">
        <v>10.1</v>
      </c>
      <c r="G1528" t="s">
        <v>77</v>
      </c>
      <c r="H1528" t="s">
        <v>78</v>
      </c>
      <c r="I1528" t="s">
        <v>79</v>
      </c>
      <c r="J1528">
        <v>360</v>
      </c>
      <c r="K1528" t="s">
        <v>49</v>
      </c>
      <c r="L1528" t="s">
        <v>34</v>
      </c>
      <c r="M1528" t="s">
        <v>35</v>
      </c>
      <c r="N1528" t="s">
        <v>97</v>
      </c>
      <c r="O1528" t="s">
        <v>51</v>
      </c>
      <c r="P1528" t="s">
        <v>38</v>
      </c>
      <c r="Q1528" t="s">
        <v>38</v>
      </c>
      <c r="R1528">
        <v>1</v>
      </c>
      <c r="S1528" t="s">
        <v>38</v>
      </c>
      <c r="T1528">
        <v>4</v>
      </c>
      <c r="U1528">
        <v>1.8</v>
      </c>
      <c r="V1528">
        <v>44.6</v>
      </c>
      <c r="W1528" t="s">
        <v>39</v>
      </c>
      <c r="X1528" t="s">
        <v>123</v>
      </c>
      <c r="Y1528" t="s">
        <v>39</v>
      </c>
      <c r="Z1528" t="s">
        <v>179</v>
      </c>
      <c r="AA1528" t="s">
        <v>109</v>
      </c>
      <c r="AB1528" t="s">
        <v>43</v>
      </c>
      <c r="AC1528">
        <f t="shared" si="253"/>
        <v>0</v>
      </c>
      <c r="AD1528" s="12">
        <f t="shared" si="257"/>
        <v>0</v>
      </c>
      <c r="AE1528" s="12">
        <f t="shared" si="258"/>
        <v>1</v>
      </c>
      <c r="AF1528">
        <f t="shared" si="254"/>
        <v>1</v>
      </c>
      <c r="AG1528">
        <f t="shared" si="259"/>
        <v>0</v>
      </c>
      <c r="AH1528">
        <f t="shared" si="260"/>
        <v>0</v>
      </c>
      <c r="AI1528">
        <f t="shared" si="261"/>
        <v>0</v>
      </c>
      <c r="AJ1528">
        <f t="shared" si="262"/>
        <v>0</v>
      </c>
      <c r="AK1528">
        <f t="shared" si="255"/>
        <v>0</v>
      </c>
      <c r="AL1528">
        <f t="shared" si="263"/>
        <v>0</v>
      </c>
    </row>
    <row r="1529" spans="1:38">
      <c r="A1529" t="s">
        <v>4714</v>
      </c>
      <c r="B1529" t="s">
        <v>4715</v>
      </c>
      <c r="C1529" s="1">
        <f t="shared" si="256"/>
        <v>45444</v>
      </c>
      <c r="D1529" t="s">
        <v>4716</v>
      </c>
      <c r="E1529">
        <v>237.1</v>
      </c>
      <c r="F1529">
        <v>9.9</v>
      </c>
      <c r="G1529" t="s">
        <v>77</v>
      </c>
      <c r="H1529" t="s">
        <v>244</v>
      </c>
      <c r="I1529" t="s">
        <v>79</v>
      </c>
      <c r="J1529">
        <v>360</v>
      </c>
      <c r="K1529" t="s">
        <v>49</v>
      </c>
      <c r="L1529" t="s">
        <v>133</v>
      </c>
      <c r="M1529" t="s">
        <v>35</v>
      </c>
      <c r="N1529" t="s">
        <v>80</v>
      </c>
      <c r="O1529" t="s">
        <v>37</v>
      </c>
      <c r="P1529" t="s">
        <v>39</v>
      </c>
      <c r="Q1529" t="s">
        <v>38</v>
      </c>
      <c r="R1529">
        <v>0</v>
      </c>
      <c r="S1529" t="s">
        <v>38</v>
      </c>
      <c r="T1529">
        <v>9</v>
      </c>
      <c r="U1529">
        <v>2.1</v>
      </c>
      <c r="V1529">
        <v>25.3</v>
      </c>
      <c r="W1529" t="s">
        <v>39</v>
      </c>
      <c r="X1529" t="s">
        <v>63</v>
      </c>
      <c r="Y1529" t="s">
        <v>39</v>
      </c>
      <c r="Z1529" t="s">
        <v>41</v>
      </c>
      <c r="AA1529" t="s">
        <v>82</v>
      </c>
      <c r="AB1529" t="s">
        <v>55</v>
      </c>
      <c r="AC1529">
        <f t="shared" si="253"/>
        <v>0</v>
      </c>
      <c r="AD1529" s="12">
        <f t="shared" si="257"/>
        <v>1</v>
      </c>
      <c r="AE1529" s="12">
        <f t="shared" si="258"/>
        <v>0</v>
      </c>
      <c r="AF1529">
        <f t="shared" si="254"/>
        <v>0</v>
      </c>
      <c r="AG1529">
        <f t="shared" si="259"/>
        <v>0</v>
      </c>
      <c r="AH1529">
        <f t="shared" si="260"/>
        <v>0</v>
      </c>
      <c r="AI1529">
        <f t="shared" si="261"/>
        <v>0</v>
      </c>
      <c r="AJ1529">
        <f t="shared" si="262"/>
        <v>0</v>
      </c>
      <c r="AK1529">
        <f t="shared" si="255"/>
        <v>0</v>
      </c>
      <c r="AL1529">
        <f t="shared" si="263"/>
        <v>0</v>
      </c>
    </row>
    <row r="1530" spans="1:38">
      <c r="A1530" t="s">
        <v>4717</v>
      </c>
      <c r="B1530" t="s">
        <v>4718</v>
      </c>
      <c r="C1530" s="1">
        <f t="shared" si="256"/>
        <v>45292</v>
      </c>
      <c r="D1530" t="s">
        <v>4719</v>
      </c>
      <c r="E1530">
        <v>216.6</v>
      </c>
      <c r="F1530">
        <v>9</v>
      </c>
      <c r="G1530" t="s">
        <v>142</v>
      </c>
      <c r="H1530" t="s">
        <v>143</v>
      </c>
      <c r="I1530" t="s">
        <v>79</v>
      </c>
      <c r="J1530">
        <v>360</v>
      </c>
      <c r="K1530" t="s">
        <v>49</v>
      </c>
      <c r="L1530" t="s">
        <v>133</v>
      </c>
      <c r="M1530" t="s">
        <v>71</v>
      </c>
      <c r="N1530" t="s">
        <v>119</v>
      </c>
      <c r="O1530" t="s">
        <v>7232</v>
      </c>
      <c r="P1530" t="s">
        <v>38</v>
      </c>
      <c r="Q1530" t="s">
        <v>39</v>
      </c>
      <c r="R1530">
        <v>3</v>
      </c>
      <c r="S1530" t="s">
        <v>38</v>
      </c>
      <c r="T1530">
        <v>8</v>
      </c>
      <c r="U1530">
        <v>1.5</v>
      </c>
      <c r="V1530">
        <v>26.8</v>
      </c>
      <c r="W1530" t="s">
        <v>39</v>
      </c>
      <c r="X1530" t="s">
        <v>63</v>
      </c>
      <c r="Y1530" t="s">
        <v>39</v>
      </c>
      <c r="Z1530" t="s">
        <v>179</v>
      </c>
      <c r="AA1530" t="s">
        <v>82</v>
      </c>
      <c r="AB1530" t="s">
        <v>83</v>
      </c>
      <c r="AC1530">
        <f t="shared" si="253"/>
        <v>0</v>
      </c>
      <c r="AD1530" s="12">
        <f t="shared" si="257"/>
        <v>1</v>
      </c>
      <c r="AE1530" s="12">
        <f t="shared" si="258"/>
        <v>0</v>
      </c>
      <c r="AF1530">
        <f t="shared" si="254"/>
        <v>0</v>
      </c>
      <c r="AG1530">
        <f t="shared" si="259"/>
        <v>1</v>
      </c>
      <c r="AH1530">
        <f t="shared" si="260"/>
        <v>0</v>
      </c>
      <c r="AI1530">
        <f t="shared" si="261"/>
        <v>0</v>
      </c>
      <c r="AJ1530">
        <f t="shared" si="262"/>
        <v>0</v>
      </c>
      <c r="AK1530">
        <f t="shared" si="255"/>
        <v>0</v>
      </c>
      <c r="AL1530">
        <f t="shared" si="263"/>
        <v>0</v>
      </c>
    </row>
    <row r="1531" spans="1:38">
      <c r="A1531" t="s">
        <v>4720</v>
      </c>
      <c r="B1531" t="s">
        <v>4721</v>
      </c>
      <c r="C1531" s="1">
        <f t="shared" si="256"/>
        <v>45444</v>
      </c>
      <c r="D1531" t="s">
        <v>4722</v>
      </c>
      <c r="E1531">
        <v>152.4</v>
      </c>
      <c r="F1531">
        <v>6.4</v>
      </c>
      <c r="G1531" t="s">
        <v>142</v>
      </c>
      <c r="H1531" t="s">
        <v>143</v>
      </c>
      <c r="I1531" t="s">
        <v>32</v>
      </c>
      <c r="J1531">
        <v>240</v>
      </c>
      <c r="K1531" t="s">
        <v>49</v>
      </c>
      <c r="L1531" t="s">
        <v>34</v>
      </c>
      <c r="M1531" t="s">
        <v>35</v>
      </c>
      <c r="N1531" t="s">
        <v>414</v>
      </c>
      <c r="O1531" t="s">
        <v>7232</v>
      </c>
      <c r="P1531" t="s">
        <v>38</v>
      </c>
      <c r="Q1531" t="s">
        <v>38</v>
      </c>
      <c r="R1531">
        <v>1</v>
      </c>
      <c r="S1531" t="s">
        <v>38</v>
      </c>
      <c r="T1531">
        <v>6</v>
      </c>
      <c r="U1531">
        <v>1.2</v>
      </c>
      <c r="V1531">
        <v>0</v>
      </c>
      <c r="W1531" t="s">
        <v>39</v>
      </c>
      <c r="X1531" t="s">
        <v>52</v>
      </c>
      <c r="Y1531" t="s">
        <v>39</v>
      </c>
      <c r="Z1531" t="s">
        <v>41</v>
      </c>
      <c r="AA1531" t="s">
        <v>82</v>
      </c>
      <c r="AB1531" t="s">
        <v>55</v>
      </c>
      <c r="AC1531">
        <f t="shared" si="253"/>
        <v>1</v>
      </c>
      <c r="AD1531" s="12">
        <f t="shared" si="257"/>
        <v>0</v>
      </c>
      <c r="AE1531" s="12">
        <f t="shared" si="258"/>
        <v>0</v>
      </c>
      <c r="AF1531">
        <f t="shared" si="254"/>
        <v>0</v>
      </c>
      <c r="AG1531">
        <f t="shared" si="259"/>
        <v>1</v>
      </c>
      <c r="AH1531">
        <f t="shared" si="260"/>
        <v>0</v>
      </c>
      <c r="AI1531">
        <f t="shared" si="261"/>
        <v>0</v>
      </c>
      <c r="AJ1531">
        <f t="shared" si="262"/>
        <v>1</v>
      </c>
      <c r="AK1531">
        <f t="shared" si="255"/>
        <v>0</v>
      </c>
      <c r="AL1531">
        <f t="shared" si="263"/>
        <v>0</v>
      </c>
    </row>
    <row r="1532" spans="1:38">
      <c r="A1532" t="s">
        <v>4723</v>
      </c>
      <c r="B1532" t="s">
        <v>4724</v>
      </c>
      <c r="C1532" s="1">
        <f t="shared" si="256"/>
        <v>45627</v>
      </c>
      <c r="D1532" t="s">
        <v>4725</v>
      </c>
      <c r="E1532">
        <v>216.6</v>
      </c>
      <c r="F1532">
        <v>9</v>
      </c>
      <c r="G1532" t="s">
        <v>77</v>
      </c>
      <c r="H1532" t="s">
        <v>187</v>
      </c>
      <c r="I1532" t="s">
        <v>79</v>
      </c>
      <c r="J1532">
        <v>360</v>
      </c>
      <c r="K1532" t="s">
        <v>49</v>
      </c>
      <c r="L1532" t="s">
        <v>96</v>
      </c>
      <c r="M1532" t="s">
        <v>35</v>
      </c>
      <c r="N1532" t="s">
        <v>414</v>
      </c>
      <c r="O1532" t="s">
        <v>7232</v>
      </c>
      <c r="P1532" t="s">
        <v>39</v>
      </c>
      <c r="Q1532" t="s">
        <v>38</v>
      </c>
      <c r="R1532">
        <v>0</v>
      </c>
      <c r="S1532" t="s">
        <v>38</v>
      </c>
      <c r="T1532">
        <v>10</v>
      </c>
      <c r="U1532">
        <v>3.1</v>
      </c>
      <c r="V1532">
        <v>23.2</v>
      </c>
      <c r="W1532" t="s">
        <v>38</v>
      </c>
      <c r="X1532" t="s">
        <v>123</v>
      </c>
      <c r="Y1532" t="s">
        <v>39</v>
      </c>
      <c r="Z1532" t="s">
        <v>115</v>
      </c>
      <c r="AA1532" t="s">
        <v>54</v>
      </c>
      <c r="AB1532" t="s">
        <v>83</v>
      </c>
      <c r="AC1532">
        <f t="shared" si="253"/>
        <v>0</v>
      </c>
      <c r="AD1532" s="12">
        <f t="shared" si="257"/>
        <v>0</v>
      </c>
      <c r="AE1532" s="12">
        <f t="shared" si="258"/>
        <v>1</v>
      </c>
      <c r="AF1532">
        <f t="shared" si="254"/>
        <v>0</v>
      </c>
      <c r="AG1532">
        <f t="shared" si="259"/>
        <v>1</v>
      </c>
      <c r="AH1532">
        <f t="shared" si="260"/>
        <v>0</v>
      </c>
      <c r="AI1532">
        <f t="shared" si="261"/>
        <v>0</v>
      </c>
      <c r="AJ1532">
        <f t="shared" si="262"/>
        <v>0</v>
      </c>
      <c r="AK1532">
        <f t="shared" si="255"/>
        <v>0</v>
      </c>
      <c r="AL1532">
        <f t="shared" si="263"/>
        <v>0</v>
      </c>
    </row>
    <row r="1533" spans="1:38">
      <c r="A1533" t="s">
        <v>4726</v>
      </c>
      <c r="B1533" t="s">
        <v>4727</v>
      </c>
      <c r="C1533" s="1">
        <f t="shared" si="256"/>
        <v>45536</v>
      </c>
      <c r="D1533" t="s">
        <v>4728</v>
      </c>
      <c r="E1533">
        <v>513</v>
      </c>
      <c r="F1533">
        <v>21.4</v>
      </c>
      <c r="G1533" t="s">
        <v>77</v>
      </c>
      <c r="H1533" t="s">
        <v>187</v>
      </c>
      <c r="I1533" t="s">
        <v>79</v>
      </c>
      <c r="J1533">
        <v>360</v>
      </c>
      <c r="K1533" t="s">
        <v>33</v>
      </c>
      <c r="L1533" t="s">
        <v>96</v>
      </c>
      <c r="M1533" t="s">
        <v>35</v>
      </c>
      <c r="N1533" t="s">
        <v>89</v>
      </c>
      <c r="O1533" t="s">
        <v>7232</v>
      </c>
      <c r="P1533" t="s">
        <v>39</v>
      </c>
      <c r="Q1533" t="s">
        <v>38</v>
      </c>
      <c r="R1533">
        <v>0</v>
      </c>
      <c r="S1533" t="s">
        <v>38</v>
      </c>
      <c r="T1533">
        <v>9</v>
      </c>
      <c r="U1533">
        <v>2.2999999999999998</v>
      </c>
      <c r="V1533">
        <v>11.3</v>
      </c>
      <c r="W1533" t="s">
        <v>38</v>
      </c>
      <c r="X1533" t="s">
        <v>40</v>
      </c>
      <c r="Y1533" t="s">
        <v>39</v>
      </c>
      <c r="Z1533" t="s">
        <v>53</v>
      </c>
      <c r="AA1533" t="s">
        <v>103</v>
      </c>
      <c r="AB1533" t="s">
        <v>83</v>
      </c>
      <c r="AC1533">
        <f t="shared" si="253"/>
        <v>0</v>
      </c>
      <c r="AD1533" s="12">
        <f t="shared" si="257"/>
        <v>0</v>
      </c>
      <c r="AE1533" s="12">
        <f t="shared" si="258"/>
        <v>0</v>
      </c>
      <c r="AF1533">
        <f t="shared" si="254"/>
        <v>0</v>
      </c>
      <c r="AG1533">
        <f t="shared" si="259"/>
        <v>1</v>
      </c>
      <c r="AH1533">
        <f t="shared" si="260"/>
        <v>0</v>
      </c>
      <c r="AI1533">
        <f t="shared" si="261"/>
        <v>0</v>
      </c>
      <c r="AJ1533">
        <f t="shared" si="262"/>
        <v>0</v>
      </c>
      <c r="AK1533">
        <f t="shared" si="255"/>
        <v>0</v>
      </c>
      <c r="AL1533">
        <f t="shared" si="263"/>
        <v>0</v>
      </c>
    </row>
    <row r="1534" spans="1:38">
      <c r="A1534" t="s">
        <v>4729</v>
      </c>
      <c r="B1534" t="s">
        <v>4730</v>
      </c>
      <c r="C1534" s="1">
        <f t="shared" si="256"/>
        <v>45536</v>
      </c>
      <c r="D1534" t="s">
        <v>4731</v>
      </c>
      <c r="E1534">
        <v>280.7</v>
      </c>
      <c r="F1534">
        <v>11.7</v>
      </c>
      <c r="G1534" t="s">
        <v>87</v>
      </c>
      <c r="H1534" t="s">
        <v>151</v>
      </c>
      <c r="I1534" t="s">
        <v>32</v>
      </c>
      <c r="J1534">
        <v>240</v>
      </c>
      <c r="K1534" t="s">
        <v>33</v>
      </c>
      <c r="L1534" t="s">
        <v>70</v>
      </c>
      <c r="M1534" t="s">
        <v>35</v>
      </c>
      <c r="N1534" t="s">
        <v>168</v>
      </c>
      <c r="O1534" t="s">
        <v>51</v>
      </c>
      <c r="P1534" t="s">
        <v>38</v>
      </c>
      <c r="Q1534" t="s">
        <v>38</v>
      </c>
      <c r="R1534">
        <v>1</v>
      </c>
      <c r="S1534" t="s">
        <v>39</v>
      </c>
      <c r="T1534">
        <v>5</v>
      </c>
      <c r="U1534">
        <v>3.1</v>
      </c>
      <c r="V1534">
        <v>24.5</v>
      </c>
      <c r="W1534" t="s">
        <v>39</v>
      </c>
      <c r="X1534" t="s">
        <v>52</v>
      </c>
      <c r="Y1534" t="s">
        <v>38</v>
      </c>
      <c r="Z1534" t="s">
        <v>53</v>
      </c>
      <c r="AA1534" t="s">
        <v>42</v>
      </c>
      <c r="AB1534" t="s">
        <v>55</v>
      </c>
      <c r="AC1534">
        <f t="shared" si="253"/>
        <v>1</v>
      </c>
      <c r="AD1534" s="12">
        <f t="shared" si="257"/>
        <v>0</v>
      </c>
      <c r="AE1534" s="12">
        <f t="shared" si="258"/>
        <v>0</v>
      </c>
      <c r="AF1534">
        <f t="shared" si="254"/>
        <v>1</v>
      </c>
      <c r="AG1534">
        <f t="shared" si="259"/>
        <v>0</v>
      </c>
      <c r="AH1534">
        <f t="shared" si="260"/>
        <v>0</v>
      </c>
      <c r="AI1534">
        <f t="shared" si="261"/>
        <v>0</v>
      </c>
      <c r="AJ1534">
        <f t="shared" si="262"/>
        <v>1</v>
      </c>
      <c r="AK1534">
        <f t="shared" si="255"/>
        <v>0</v>
      </c>
      <c r="AL1534">
        <f t="shared" si="263"/>
        <v>1</v>
      </c>
    </row>
    <row r="1535" spans="1:38">
      <c r="A1535" t="s">
        <v>4732</v>
      </c>
      <c r="B1535" t="s">
        <v>4733</v>
      </c>
      <c r="C1535" s="1">
        <f t="shared" si="256"/>
        <v>45597</v>
      </c>
      <c r="D1535" t="s">
        <v>4734</v>
      </c>
      <c r="E1535">
        <v>295.2</v>
      </c>
      <c r="F1535">
        <v>12.3</v>
      </c>
      <c r="G1535" t="s">
        <v>77</v>
      </c>
      <c r="H1535" t="s">
        <v>78</v>
      </c>
      <c r="I1535" t="s">
        <v>79</v>
      </c>
      <c r="J1535">
        <v>360</v>
      </c>
      <c r="K1535" t="s">
        <v>49</v>
      </c>
      <c r="L1535" t="s">
        <v>113</v>
      </c>
      <c r="M1535" t="s">
        <v>35</v>
      </c>
      <c r="N1535" t="s">
        <v>192</v>
      </c>
      <c r="O1535" t="s">
        <v>51</v>
      </c>
      <c r="P1535" t="s">
        <v>39</v>
      </c>
      <c r="Q1535" t="s">
        <v>38</v>
      </c>
      <c r="R1535">
        <v>0</v>
      </c>
      <c r="S1535" t="s">
        <v>38</v>
      </c>
      <c r="T1535">
        <v>9</v>
      </c>
      <c r="U1535">
        <v>0.8</v>
      </c>
      <c r="V1535">
        <v>8.5</v>
      </c>
      <c r="W1535" t="s">
        <v>39</v>
      </c>
      <c r="X1535" t="s">
        <v>52</v>
      </c>
      <c r="Y1535" t="s">
        <v>39</v>
      </c>
      <c r="Z1535" t="s">
        <v>115</v>
      </c>
      <c r="AA1535" t="s">
        <v>82</v>
      </c>
      <c r="AB1535" t="s">
        <v>83</v>
      </c>
      <c r="AC1535">
        <f t="shared" si="253"/>
        <v>1</v>
      </c>
      <c r="AD1535" s="12">
        <f t="shared" si="257"/>
        <v>0</v>
      </c>
      <c r="AE1535" s="12">
        <f t="shared" si="258"/>
        <v>0</v>
      </c>
      <c r="AF1535">
        <f t="shared" si="254"/>
        <v>1</v>
      </c>
      <c r="AG1535">
        <f t="shared" si="259"/>
        <v>0</v>
      </c>
      <c r="AH1535">
        <f t="shared" si="260"/>
        <v>0</v>
      </c>
      <c r="AI1535">
        <f t="shared" si="261"/>
        <v>0</v>
      </c>
      <c r="AJ1535">
        <f t="shared" si="262"/>
        <v>0</v>
      </c>
      <c r="AK1535">
        <f t="shared" si="255"/>
        <v>0</v>
      </c>
      <c r="AL1535">
        <f t="shared" si="263"/>
        <v>0</v>
      </c>
    </row>
    <row r="1536" spans="1:38">
      <c r="A1536" t="s">
        <v>4735</v>
      </c>
      <c r="B1536" t="s">
        <v>4736</v>
      </c>
      <c r="C1536" s="1">
        <f t="shared" si="256"/>
        <v>45597</v>
      </c>
      <c r="D1536" t="s">
        <v>4737</v>
      </c>
      <c r="E1536">
        <v>85.5</v>
      </c>
      <c r="F1536">
        <v>3.6</v>
      </c>
      <c r="G1536" t="s">
        <v>59</v>
      </c>
      <c r="H1536" t="s">
        <v>281</v>
      </c>
      <c r="I1536" t="s">
        <v>48</v>
      </c>
      <c r="J1536">
        <v>120</v>
      </c>
      <c r="K1536" t="s">
        <v>49</v>
      </c>
      <c r="L1536" t="s">
        <v>34</v>
      </c>
      <c r="M1536" t="s">
        <v>71</v>
      </c>
      <c r="N1536" t="s">
        <v>107</v>
      </c>
      <c r="O1536" t="s">
        <v>37</v>
      </c>
      <c r="P1536" t="s">
        <v>38</v>
      </c>
      <c r="Q1536" t="s">
        <v>39</v>
      </c>
      <c r="R1536">
        <v>4</v>
      </c>
      <c r="S1536" t="s">
        <v>39</v>
      </c>
      <c r="T1536">
        <v>9</v>
      </c>
      <c r="U1536">
        <v>3.4</v>
      </c>
      <c r="V1536">
        <v>15.4</v>
      </c>
      <c r="W1536" t="s">
        <v>38</v>
      </c>
      <c r="X1536" t="s">
        <v>123</v>
      </c>
      <c r="Y1536" t="s">
        <v>39</v>
      </c>
      <c r="Z1536" t="s">
        <v>73</v>
      </c>
      <c r="AA1536" t="s">
        <v>109</v>
      </c>
      <c r="AB1536" t="s">
        <v>43</v>
      </c>
      <c r="AC1536">
        <f t="shared" si="253"/>
        <v>0</v>
      </c>
      <c r="AD1536" s="12">
        <f t="shared" si="257"/>
        <v>0</v>
      </c>
      <c r="AE1536" s="12">
        <f t="shared" si="258"/>
        <v>1</v>
      </c>
      <c r="AF1536">
        <f t="shared" si="254"/>
        <v>0</v>
      </c>
      <c r="AG1536">
        <f t="shared" si="259"/>
        <v>0</v>
      </c>
      <c r="AH1536">
        <f t="shared" si="260"/>
        <v>1</v>
      </c>
      <c r="AI1536">
        <f t="shared" si="261"/>
        <v>0</v>
      </c>
      <c r="AJ1536">
        <f t="shared" si="262"/>
        <v>0</v>
      </c>
      <c r="AK1536">
        <f t="shared" si="255"/>
        <v>0</v>
      </c>
      <c r="AL1536">
        <f t="shared" si="263"/>
        <v>0</v>
      </c>
    </row>
    <row r="1537" spans="1:38">
      <c r="A1537" t="s">
        <v>4738</v>
      </c>
      <c r="B1537" t="s">
        <v>4739</v>
      </c>
      <c r="C1537" s="1">
        <f t="shared" si="256"/>
        <v>45536</v>
      </c>
      <c r="D1537" t="s">
        <v>4740</v>
      </c>
      <c r="E1537">
        <v>322</v>
      </c>
      <c r="F1537">
        <v>13.4</v>
      </c>
      <c r="G1537" t="s">
        <v>101</v>
      </c>
      <c r="H1537" t="s">
        <v>442</v>
      </c>
      <c r="I1537" t="s">
        <v>48</v>
      </c>
      <c r="J1537">
        <v>120</v>
      </c>
      <c r="K1537" t="s">
        <v>33</v>
      </c>
      <c r="L1537" t="s">
        <v>34</v>
      </c>
      <c r="M1537" t="s">
        <v>35</v>
      </c>
      <c r="N1537" t="s">
        <v>97</v>
      </c>
      <c r="O1537" t="s">
        <v>51</v>
      </c>
      <c r="P1537" t="s">
        <v>39</v>
      </c>
      <c r="Q1537" t="s">
        <v>38</v>
      </c>
      <c r="R1537">
        <v>0</v>
      </c>
      <c r="S1537" t="s">
        <v>38</v>
      </c>
      <c r="T1537">
        <v>7</v>
      </c>
      <c r="U1537">
        <v>2</v>
      </c>
      <c r="V1537">
        <v>15.3</v>
      </c>
      <c r="W1537" t="s">
        <v>39</v>
      </c>
      <c r="X1537" t="s">
        <v>63</v>
      </c>
      <c r="Y1537" t="s">
        <v>39</v>
      </c>
      <c r="Z1537" t="s">
        <v>41</v>
      </c>
      <c r="AA1537" t="s">
        <v>82</v>
      </c>
      <c r="AB1537" t="s">
        <v>83</v>
      </c>
      <c r="AC1537">
        <f t="shared" si="253"/>
        <v>0</v>
      </c>
      <c r="AD1537" s="12">
        <f t="shared" si="257"/>
        <v>1</v>
      </c>
      <c r="AE1537" s="12">
        <f t="shared" si="258"/>
        <v>0</v>
      </c>
      <c r="AF1537">
        <f t="shared" si="254"/>
        <v>1</v>
      </c>
      <c r="AG1537">
        <f t="shared" si="259"/>
        <v>0</v>
      </c>
      <c r="AH1537">
        <f t="shared" si="260"/>
        <v>1</v>
      </c>
      <c r="AI1537">
        <f t="shared" si="261"/>
        <v>0</v>
      </c>
      <c r="AJ1537">
        <f t="shared" si="262"/>
        <v>0</v>
      </c>
      <c r="AK1537">
        <f t="shared" si="255"/>
        <v>0</v>
      </c>
      <c r="AL1537">
        <f t="shared" si="263"/>
        <v>0</v>
      </c>
    </row>
    <row r="1538" spans="1:38">
      <c r="A1538" t="s">
        <v>4741</v>
      </c>
      <c r="B1538" t="s">
        <v>4742</v>
      </c>
      <c r="C1538" s="1">
        <f t="shared" si="256"/>
        <v>45536</v>
      </c>
      <c r="D1538" t="s">
        <v>4743</v>
      </c>
      <c r="E1538">
        <v>85.3</v>
      </c>
      <c r="F1538">
        <v>3.6</v>
      </c>
      <c r="G1538" t="s">
        <v>87</v>
      </c>
      <c r="H1538" t="s">
        <v>309</v>
      </c>
      <c r="I1538" t="s">
        <v>48</v>
      </c>
      <c r="J1538">
        <v>120</v>
      </c>
      <c r="K1538" t="s">
        <v>49</v>
      </c>
      <c r="L1538" t="s">
        <v>133</v>
      </c>
      <c r="M1538" t="s">
        <v>35</v>
      </c>
      <c r="N1538" t="s">
        <v>128</v>
      </c>
      <c r="O1538" t="s">
        <v>7232</v>
      </c>
      <c r="P1538" t="s">
        <v>38</v>
      </c>
      <c r="Q1538" t="s">
        <v>38</v>
      </c>
      <c r="R1538">
        <v>1</v>
      </c>
      <c r="S1538" t="s">
        <v>38</v>
      </c>
      <c r="T1538">
        <v>8</v>
      </c>
      <c r="U1538">
        <v>3.3</v>
      </c>
      <c r="V1538">
        <v>13</v>
      </c>
      <c r="W1538" t="s">
        <v>39</v>
      </c>
      <c r="X1538" t="s">
        <v>123</v>
      </c>
      <c r="Y1538" t="s">
        <v>38</v>
      </c>
      <c r="Z1538" t="s">
        <v>115</v>
      </c>
      <c r="AA1538" t="s">
        <v>54</v>
      </c>
      <c r="AB1538" t="s">
        <v>83</v>
      </c>
      <c r="AC1538">
        <f t="shared" ref="AC1538:AC1601" si="264">IF(X1538="Poor", 1, 0)</f>
        <v>0</v>
      </c>
      <c r="AD1538" s="12">
        <f t="shared" si="257"/>
        <v>0</v>
      </c>
      <c r="AE1538" s="12">
        <f t="shared" si="258"/>
        <v>1</v>
      </c>
      <c r="AF1538">
        <f t="shared" ref="AF1538:AF1601" si="265">IF(O1538="Junior", 1, 0)</f>
        <v>0</v>
      </c>
      <c r="AG1538">
        <f t="shared" si="259"/>
        <v>1</v>
      </c>
      <c r="AH1538">
        <f t="shared" si="260"/>
        <v>1</v>
      </c>
      <c r="AI1538">
        <f t="shared" si="261"/>
        <v>0</v>
      </c>
      <c r="AJ1538">
        <f t="shared" si="262"/>
        <v>0</v>
      </c>
      <c r="AK1538">
        <f t="shared" ref="AK1538:AK1601" si="266">IF(G1538="Access Requests", 1, 0)</f>
        <v>0</v>
      </c>
      <c r="AL1538">
        <f t="shared" si="263"/>
        <v>1</v>
      </c>
    </row>
    <row r="1539" spans="1:38">
      <c r="A1539" t="s">
        <v>4744</v>
      </c>
      <c r="B1539" t="s">
        <v>4745</v>
      </c>
      <c r="C1539" s="1">
        <f t="shared" ref="C1539:C1602" si="267">DATE(YEAR(B1539),MONTH(B1539),1)</f>
        <v>45597</v>
      </c>
      <c r="D1539" t="s">
        <v>4746</v>
      </c>
      <c r="E1539">
        <v>166.8</v>
      </c>
      <c r="F1539">
        <v>7</v>
      </c>
      <c r="G1539" t="s">
        <v>87</v>
      </c>
      <c r="H1539" t="s">
        <v>151</v>
      </c>
      <c r="I1539" t="s">
        <v>48</v>
      </c>
      <c r="J1539">
        <v>120</v>
      </c>
      <c r="K1539" t="s">
        <v>33</v>
      </c>
      <c r="L1539" t="s">
        <v>70</v>
      </c>
      <c r="M1539" t="s">
        <v>35</v>
      </c>
      <c r="N1539" t="s">
        <v>50</v>
      </c>
      <c r="O1539" t="s">
        <v>37</v>
      </c>
      <c r="P1539" t="s">
        <v>38</v>
      </c>
      <c r="Q1539" t="s">
        <v>38</v>
      </c>
      <c r="R1539">
        <v>1</v>
      </c>
      <c r="S1539" t="s">
        <v>39</v>
      </c>
      <c r="T1539">
        <v>7</v>
      </c>
      <c r="U1539">
        <v>4.5</v>
      </c>
      <c r="V1539">
        <v>18.899999999999999</v>
      </c>
      <c r="W1539" t="s">
        <v>39</v>
      </c>
      <c r="X1539" t="s">
        <v>63</v>
      </c>
      <c r="Y1539" t="s">
        <v>38</v>
      </c>
      <c r="Z1539" t="s">
        <v>64</v>
      </c>
      <c r="AA1539" t="s">
        <v>103</v>
      </c>
      <c r="AB1539" t="s">
        <v>55</v>
      </c>
      <c r="AC1539">
        <f t="shared" si="264"/>
        <v>0</v>
      </c>
      <c r="AD1539" s="12">
        <f t="shared" ref="AD1539:AD1602" si="268">IF(X1539="Fair", 1, 0)</f>
        <v>1</v>
      </c>
      <c r="AE1539" s="12">
        <f t="shared" ref="AE1539:AE1602" si="269">IF(X1539="Good", 1, 0)</f>
        <v>0</v>
      </c>
      <c r="AF1539">
        <f t="shared" si="265"/>
        <v>0</v>
      </c>
      <c r="AG1539">
        <f t="shared" ref="AG1539:AG1602" si="270">IF(O1539="Mid", 1, 0)</f>
        <v>0</v>
      </c>
      <c r="AH1539">
        <f t="shared" ref="AH1539:AH1602" si="271">IF(I1539="High", 1, 0)</f>
        <v>1</v>
      </c>
      <c r="AI1539">
        <f t="shared" ref="AI1539:AI1602" si="272">IF(I1539="Critical", 1, 0)</f>
        <v>0</v>
      </c>
      <c r="AJ1539">
        <f t="shared" ref="AJ1539:AJ1602" si="273">IF(I1539="Medium", 1, 0)</f>
        <v>0</v>
      </c>
      <c r="AK1539">
        <f t="shared" si="266"/>
        <v>0</v>
      </c>
      <c r="AL1539">
        <f t="shared" ref="AL1539:AL1602" si="274">IF(Y1539="No", 1, 0)</f>
        <v>1</v>
      </c>
    </row>
    <row r="1540" spans="1:38">
      <c r="A1540" t="s">
        <v>4747</v>
      </c>
      <c r="B1540" t="s">
        <v>4748</v>
      </c>
      <c r="C1540" s="1">
        <f t="shared" si="267"/>
        <v>45566</v>
      </c>
      <c r="D1540" t="s">
        <v>4749</v>
      </c>
      <c r="E1540">
        <v>154</v>
      </c>
      <c r="F1540">
        <v>6.4</v>
      </c>
      <c r="G1540" t="s">
        <v>101</v>
      </c>
      <c r="H1540" t="s">
        <v>368</v>
      </c>
      <c r="I1540" t="s">
        <v>32</v>
      </c>
      <c r="J1540">
        <v>240</v>
      </c>
      <c r="K1540" t="s">
        <v>49</v>
      </c>
      <c r="L1540" t="s">
        <v>34</v>
      </c>
      <c r="M1540" t="s">
        <v>35</v>
      </c>
      <c r="N1540" t="s">
        <v>114</v>
      </c>
      <c r="O1540" t="s">
        <v>51</v>
      </c>
      <c r="P1540" t="s">
        <v>39</v>
      </c>
      <c r="Q1540" t="s">
        <v>38</v>
      </c>
      <c r="R1540">
        <v>0</v>
      </c>
      <c r="S1540" t="s">
        <v>38</v>
      </c>
      <c r="T1540">
        <v>10</v>
      </c>
      <c r="U1540">
        <v>3.5</v>
      </c>
      <c r="V1540">
        <v>25.2</v>
      </c>
      <c r="W1540" t="s">
        <v>39</v>
      </c>
      <c r="X1540" t="s">
        <v>52</v>
      </c>
      <c r="Y1540" t="s">
        <v>39</v>
      </c>
      <c r="Z1540" t="s">
        <v>108</v>
      </c>
      <c r="AA1540" t="s">
        <v>42</v>
      </c>
      <c r="AB1540" t="s">
        <v>55</v>
      </c>
      <c r="AC1540">
        <f t="shared" si="264"/>
        <v>1</v>
      </c>
      <c r="AD1540" s="12">
        <f t="shared" si="268"/>
        <v>0</v>
      </c>
      <c r="AE1540" s="12">
        <f t="shared" si="269"/>
        <v>0</v>
      </c>
      <c r="AF1540">
        <f t="shared" si="265"/>
        <v>1</v>
      </c>
      <c r="AG1540">
        <f t="shared" si="270"/>
        <v>0</v>
      </c>
      <c r="AH1540">
        <f t="shared" si="271"/>
        <v>0</v>
      </c>
      <c r="AI1540">
        <f t="shared" si="272"/>
        <v>0</v>
      </c>
      <c r="AJ1540">
        <f t="shared" si="273"/>
        <v>1</v>
      </c>
      <c r="AK1540">
        <f t="shared" si="266"/>
        <v>0</v>
      </c>
      <c r="AL1540">
        <f t="shared" si="274"/>
        <v>0</v>
      </c>
    </row>
    <row r="1541" spans="1:38">
      <c r="A1541" t="s">
        <v>4750</v>
      </c>
      <c r="B1541" t="s">
        <v>4751</v>
      </c>
      <c r="C1541" s="1">
        <f t="shared" si="267"/>
        <v>45383</v>
      </c>
      <c r="D1541" t="s">
        <v>4752</v>
      </c>
      <c r="E1541">
        <v>420.4</v>
      </c>
      <c r="F1541">
        <v>17.5</v>
      </c>
      <c r="G1541" t="s">
        <v>77</v>
      </c>
      <c r="H1541" t="s">
        <v>244</v>
      </c>
      <c r="I1541" t="s">
        <v>79</v>
      </c>
      <c r="J1541">
        <v>360</v>
      </c>
      <c r="K1541" t="s">
        <v>33</v>
      </c>
      <c r="L1541" t="s">
        <v>96</v>
      </c>
      <c r="M1541" t="s">
        <v>35</v>
      </c>
      <c r="N1541" t="s">
        <v>36</v>
      </c>
      <c r="O1541" t="s">
        <v>7232</v>
      </c>
      <c r="P1541" t="s">
        <v>39</v>
      </c>
      <c r="Q1541" t="s">
        <v>38</v>
      </c>
      <c r="R1541">
        <v>0</v>
      </c>
      <c r="S1541" t="s">
        <v>38</v>
      </c>
      <c r="T1541">
        <v>6</v>
      </c>
      <c r="U1541">
        <v>1.1000000000000001</v>
      </c>
      <c r="V1541">
        <v>23.4</v>
      </c>
      <c r="W1541" t="s">
        <v>38</v>
      </c>
      <c r="X1541" t="s">
        <v>63</v>
      </c>
      <c r="Y1541" t="s">
        <v>39</v>
      </c>
      <c r="Z1541" t="s">
        <v>81</v>
      </c>
      <c r="AA1541" t="s">
        <v>42</v>
      </c>
      <c r="AB1541" t="s">
        <v>43</v>
      </c>
      <c r="AC1541">
        <f t="shared" si="264"/>
        <v>0</v>
      </c>
      <c r="AD1541" s="12">
        <f t="shared" si="268"/>
        <v>1</v>
      </c>
      <c r="AE1541" s="12">
        <f t="shared" si="269"/>
        <v>0</v>
      </c>
      <c r="AF1541">
        <f t="shared" si="265"/>
        <v>0</v>
      </c>
      <c r="AG1541">
        <f t="shared" si="270"/>
        <v>1</v>
      </c>
      <c r="AH1541">
        <f t="shared" si="271"/>
        <v>0</v>
      </c>
      <c r="AI1541">
        <f t="shared" si="272"/>
        <v>0</v>
      </c>
      <c r="AJ1541">
        <f t="shared" si="273"/>
        <v>0</v>
      </c>
      <c r="AK1541">
        <f t="shared" si="266"/>
        <v>0</v>
      </c>
      <c r="AL1541">
        <f t="shared" si="274"/>
        <v>0</v>
      </c>
    </row>
    <row r="1542" spans="1:38">
      <c r="A1542" t="s">
        <v>4753</v>
      </c>
      <c r="B1542" t="s">
        <v>4754</v>
      </c>
      <c r="C1542" s="1">
        <f t="shared" si="267"/>
        <v>45323</v>
      </c>
      <c r="D1542" t="s">
        <v>4755</v>
      </c>
      <c r="E1542">
        <v>177.3</v>
      </c>
      <c r="F1542">
        <v>7.4</v>
      </c>
      <c r="G1542" t="s">
        <v>101</v>
      </c>
      <c r="H1542" t="s">
        <v>368</v>
      </c>
      <c r="I1542" t="s">
        <v>32</v>
      </c>
      <c r="J1542">
        <v>240</v>
      </c>
      <c r="K1542" t="s">
        <v>49</v>
      </c>
      <c r="L1542" t="s">
        <v>96</v>
      </c>
      <c r="M1542" t="s">
        <v>71</v>
      </c>
      <c r="N1542" t="s">
        <v>107</v>
      </c>
      <c r="O1542" t="s">
        <v>7232</v>
      </c>
      <c r="P1542" t="s">
        <v>38</v>
      </c>
      <c r="Q1542" t="s">
        <v>39</v>
      </c>
      <c r="R1542">
        <v>3</v>
      </c>
      <c r="S1542" t="s">
        <v>39</v>
      </c>
      <c r="T1542">
        <v>8</v>
      </c>
      <c r="U1542">
        <v>2.2999999999999998</v>
      </c>
      <c r="V1542">
        <v>8.6999999999999993</v>
      </c>
      <c r="W1542" t="s">
        <v>39</v>
      </c>
      <c r="X1542" t="s">
        <v>40</v>
      </c>
      <c r="Y1542" t="s">
        <v>39</v>
      </c>
      <c r="Z1542" t="s">
        <v>53</v>
      </c>
      <c r="AA1542" t="s">
        <v>103</v>
      </c>
      <c r="AB1542" t="s">
        <v>43</v>
      </c>
      <c r="AC1542">
        <f t="shared" si="264"/>
        <v>0</v>
      </c>
      <c r="AD1542" s="12">
        <f t="shared" si="268"/>
        <v>0</v>
      </c>
      <c r="AE1542" s="12">
        <f t="shared" si="269"/>
        <v>0</v>
      </c>
      <c r="AF1542">
        <f t="shared" si="265"/>
        <v>0</v>
      </c>
      <c r="AG1542">
        <f t="shared" si="270"/>
        <v>1</v>
      </c>
      <c r="AH1542">
        <f t="shared" si="271"/>
        <v>0</v>
      </c>
      <c r="AI1542">
        <f t="shared" si="272"/>
        <v>0</v>
      </c>
      <c r="AJ1542">
        <f t="shared" si="273"/>
        <v>1</v>
      </c>
      <c r="AK1542">
        <f t="shared" si="266"/>
        <v>0</v>
      </c>
      <c r="AL1542">
        <f t="shared" si="274"/>
        <v>0</v>
      </c>
    </row>
    <row r="1543" spans="1:38">
      <c r="A1543" t="s">
        <v>4756</v>
      </c>
      <c r="B1543" t="s">
        <v>4757</v>
      </c>
      <c r="C1543" s="1">
        <f t="shared" si="267"/>
        <v>45383</v>
      </c>
      <c r="D1543" t="s">
        <v>4758</v>
      </c>
      <c r="E1543">
        <v>181.5</v>
      </c>
      <c r="F1543">
        <v>7.6</v>
      </c>
      <c r="G1543" t="s">
        <v>87</v>
      </c>
      <c r="H1543" t="s">
        <v>309</v>
      </c>
      <c r="I1543" t="s">
        <v>32</v>
      </c>
      <c r="J1543">
        <v>240</v>
      </c>
      <c r="K1543" t="s">
        <v>49</v>
      </c>
      <c r="L1543" t="s">
        <v>34</v>
      </c>
      <c r="M1543" t="s">
        <v>35</v>
      </c>
      <c r="N1543" t="s">
        <v>299</v>
      </c>
      <c r="O1543" t="s">
        <v>7232</v>
      </c>
      <c r="P1543" t="s">
        <v>38</v>
      </c>
      <c r="Q1543" t="s">
        <v>38</v>
      </c>
      <c r="R1543">
        <v>1</v>
      </c>
      <c r="S1543" t="s">
        <v>38</v>
      </c>
      <c r="T1543">
        <v>8</v>
      </c>
      <c r="U1543">
        <v>5</v>
      </c>
      <c r="V1543">
        <v>35.200000000000003</v>
      </c>
      <c r="W1543" t="s">
        <v>39</v>
      </c>
      <c r="X1543" t="s">
        <v>52</v>
      </c>
      <c r="Y1543" t="s">
        <v>39</v>
      </c>
      <c r="Z1543" t="s">
        <v>64</v>
      </c>
      <c r="AA1543" t="s">
        <v>103</v>
      </c>
      <c r="AB1543" t="s">
        <v>55</v>
      </c>
      <c r="AC1543">
        <f t="shared" si="264"/>
        <v>1</v>
      </c>
      <c r="AD1543" s="12">
        <f t="shared" si="268"/>
        <v>0</v>
      </c>
      <c r="AE1543" s="12">
        <f t="shared" si="269"/>
        <v>0</v>
      </c>
      <c r="AF1543">
        <f t="shared" si="265"/>
        <v>0</v>
      </c>
      <c r="AG1543">
        <f t="shared" si="270"/>
        <v>1</v>
      </c>
      <c r="AH1543">
        <f t="shared" si="271"/>
        <v>0</v>
      </c>
      <c r="AI1543">
        <f t="shared" si="272"/>
        <v>0</v>
      </c>
      <c r="AJ1543">
        <f t="shared" si="273"/>
        <v>1</v>
      </c>
      <c r="AK1543">
        <f t="shared" si="266"/>
        <v>0</v>
      </c>
      <c r="AL1543">
        <f t="shared" si="274"/>
        <v>0</v>
      </c>
    </row>
    <row r="1544" spans="1:38">
      <c r="A1544" t="s">
        <v>4759</v>
      </c>
      <c r="B1544" t="s">
        <v>4760</v>
      </c>
      <c r="C1544" s="1">
        <f t="shared" si="267"/>
        <v>45383</v>
      </c>
      <c r="D1544" t="s">
        <v>4761</v>
      </c>
      <c r="E1544">
        <v>76</v>
      </c>
      <c r="F1544">
        <v>3.2</v>
      </c>
      <c r="G1544" t="s">
        <v>59</v>
      </c>
      <c r="H1544" t="s">
        <v>127</v>
      </c>
      <c r="I1544" t="s">
        <v>48</v>
      </c>
      <c r="J1544">
        <v>120</v>
      </c>
      <c r="K1544" t="s">
        <v>49</v>
      </c>
      <c r="L1544" t="s">
        <v>70</v>
      </c>
      <c r="M1544" t="s">
        <v>35</v>
      </c>
      <c r="N1544" t="s">
        <v>277</v>
      </c>
      <c r="O1544" t="s">
        <v>7232</v>
      </c>
      <c r="P1544" t="s">
        <v>38</v>
      </c>
      <c r="Q1544" t="s">
        <v>38</v>
      </c>
      <c r="R1544">
        <v>1</v>
      </c>
      <c r="S1544" t="s">
        <v>38</v>
      </c>
      <c r="T1544">
        <v>9</v>
      </c>
      <c r="U1544">
        <v>0.9</v>
      </c>
      <c r="V1544">
        <v>17.2</v>
      </c>
      <c r="W1544" t="s">
        <v>39</v>
      </c>
      <c r="X1544" t="s">
        <v>52</v>
      </c>
      <c r="Y1544" t="s">
        <v>39</v>
      </c>
      <c r="Z1544" t="s">
        <v>81</v>
      </c>
      <c r="AA1544" t="s">
        <v>54</v>
      </c>
      <c r="AB1544" t="s">
        <v>83</v>
      </c>
      <c r="AC1544">
        <f t="shared" si="264"/>
        <v>1</v>
      </c>
      <c r="AD1544" s="12">
        <f t="shared" si="268"/>
        <v>0</v>
      </c>
      <c r="AE1544" s="12">
        <f t="shared" si="269"/>
        <v>0</v>
      </c>
      <c r="AF1544">
        <f t="shared" si="265"/>
        <v>0</v>
      </c>
      <c r="AG1544">
        <f t="shared" si="270"/>
        <v>1</v>
      </c>
      <c r="AH1544">
        <f t="shared" si="271"/>
        <v>1</v>
      </c>
      <c r="AI1544">
        <f t="shared" si="272"/>
        <v>0</v>
      </c>
      <c r="AJ1544">
        <f t="shared" si="273"/>
        <v>0</v>
      </c>
      <c r="AK1544">
        <f t="shared" si="266"/>
        <v>0</v>
      </c>
      <c r="AL1544">
        <f t="shared" si="274"/>
        <v>0</v>
      </c>
    </row>
    <row r="1545" spans="1:38">
      <c r="A1545" t="s">
        <v>4762</v>
      </c>
      <c r="B1545" t="s">
        <v>4763</v>
      </c>
      <c r="C1545" s="1">
        <f t="shared" si="267"/>
        <v>45444</v>
      </c>
      <c r="D1545" t="s">
        <v>4764</v>
      </c>
      <c r="E1545">
        <v>181.6</v>
      </c>
      <c r="F1545">
        <v>7.6</v>
      </c>
      <c r="G1545" t="s">
        <v>101</v>
      </c>
      <c r="H1545" t="s">
        <v>295</v>
      </c>
      <c r="I1545" t="s">
        <v>32</v>
      </c>
      <c r="J1545">
        <v>240</v>
      </c>
      <c r="K1545" t="s">
        <v>49</v>
      </c>
      <c r="L1545" t="s">
        <v>96</v>
      </c>
      <c r="M1545" t="s">
        <v>35</v>
      </c>
      <c r="N1545" t="s">
        <v>299</v>
      </c>
      <c r="O1545" t="s">
        <v>51</v>
      </c>
      <c r="P1545" t="s">
        <v>38</v>
      </c>
      <c r="Q1545" t="s">
        <v>38</v>
      </c>
      <c r="R1545">
        <v>1</v>
      </c>
      <c r="S1545" t="s">
        <v>39</v>
      </c>
      <c r="T1545">
        <v>8</v>
      </c>
      <c r="U1545">
        <v>1.4</v>
      </c>
      <c r="V1545">
        <v>0</v>
      </c>
      <c r="W1545" t="s">
        <v>38</v>
      </c>
      <c r="X1545" t="s">
        <v>40</v>
      </c>
      <c r="Y1545" t="s">
        <v>39</v>
      </c>
      <c r="Z1545" t="s">
        <v>41</v>
      </c>
      <c r="AA1545" t="s">
        <v>109</v>
      </c>
      <c r="AB1545" t="s">
        <v>55</v>
      </c>
      <c r="AC1545">
        <f t="shared" si="264"/>
        <v>0</v>
      </c>
      <c r="AD1545" s="12">
        <f t="shared" si="268"/>
        <v>0</v>
      </c>
      <c r="AE1545" s="12">
        <f t="shared" si="269"/>
        <v>0</v>
      </c>
      <c r="AF1545">
        <f t="shared" si="265"/>
        <v>1</v>
      </c>
      <c r="AG1545">
        <f t="shared" si="270"/>
        <v>0</v>
      </c>
      <c r="AH1545">
        <f t="shared" si="271"/>
        <v>0</v>
      </c>
      <c r="AI1545">
        <f t="shared" si="272"/>
        <v>0</v>
      </c>
      <c r="AJ1545">
        <f t="shared" si="273"/>
        <v>1</v>
      </c>
      <c r="AK1545">
        <f t="shared" si="266"/>
        <v>0</v>
      </c>
      <c r="AL1545">
        <f t="shared" si="274"/>
        <v>0</v>
      </c>
    </row>
    <row r="1546" spans="1:38">
      <c r="A1546" t="s">
        <v>4765</v>
      </c>
      <c r="B1546" t="s">
        <v>4766</v>
      </c>
      <c r="C1546" s="1">
        <f t="shared" si="267"/>
        <v>45536</v>
      </c>
      <c r="D1546" t="s">
        <v>4767</v>
      </c>
      <c r="E1546">
        <v>227.4</v>
      </c>
      <c r="F1546">
        <v>9.5</v>
      </c>
      <c r="G1546" t="s">
        <v>30</v>
      </c>
      <c r="H1546" t="s">
        <v>159</v>
      </c>
      <c r="I1546" t="s">
        <v>32</v>
      </c>
      <c r="J1546">
        <v>240</v>
      </c>
      <c r="K1546" t="s">
        <v>49</v>
      </c>
      <c r="L1546" t="s">
        <v>96</v>
      </c>
      <c r="M1546" t="s">
        <v>35</v>
      </c>
      <c r="N1546" t="s">
        <v>506</v>
      </c>
      <c r="O1546" t="s">
        <v>51</v>
      </c>
      <c r="P1546" t="s">
        <v>38</v>
      </c>
      <c r="Q1546" t="s">
        <v>38</v>
      </c>
      <c r="R1546">
        <v>1</v>
      </c>
      <c r="S1546" t="s">
        <v>38</v>
      </c>
      <c r="T1546">
        <v>9</v>
      </c>
      <c r="U1546">
        <v>4.8</v>
      </c>
      <c r="V1546">
        <v>23.5</v>
      </c>
      <c r="W1546" t="s">
        <v>39</v>
      </c>
      <c r="X1546" t="s">
        <v>52</v>
      </c>
      <c r="Y1546" t="s">
        <v>39</v>
      </c>
      <c r="Z1546" t="s">
        <v>179</v>
      </c>
      <c r="AA1546" t="s">
        <v>54</v>
      </c>
      <c r="AB1546" t="s">
        <v>43</v>
      </c>
      <c r="AC1546">
        <f t="shared" si="264"/>
        <v>1</v>
      </c>
      <c r="AD1546" s="12">
        <f t="shared" si="268"/>
        <v>0</v>
      </c>
      <c r="AE1546" s="12">
        <f t="shared" si="269"/>
        <v>0</v>
      </c>
      <c r="AF1546">
        <f t="shared" si="265"/>
        <v>1</v>
      </c>
      <c r="AG1546">
        <f t="shared" si="270"/>
        <v>0</v>
      </c>
      <c r="AH1546">
        <f t="shared" si="271"/>
        <v>0</v>
      </c>
      <c r="AI1546">
        <f t="shared" si="272"/>
        <v>0</v>
      </c>
      <c r="AJ1546">
        <f t="shared" si="273"/>
        <v>1</v>
      </c>
      <c r="AK1546">
        <f t="shared" si="266"/>
        <v>1</v>
      </c>
      <c r="AL1546">
        <f t="shared" si="274"/>
        <v>0</v>
      </c>
    </row>
    <row r="1547" spans="1:38">
      <c r="A1547" t="s">
        <v>4768</v>
      </c>
      <c r="B1547" t="s">
        <v>4769</v>
      </c>
      <c r="C1547" s="1">
        <f t="shared" si="267"/>
        <v>45536</v>
      </c>
      <c r="D1547" t="s">
        <v>4770</v>
      </c>
      <c r="E1547">
        <v>271.89999999999998</v>
      </c>
      <c r="F1547">
        <v>11.3</v>
      </c>
      <c r="G1547" t="s">
        <v>77</v>
      </c>
      <c r="H1547" t="s">
        <v>267</v>
      </c>
      <c r="I1547" t="s">
        <v>79</v>
      </c>
      <c r="J1547">
        <v>360</v>
      </c>
      <c r="K1547" t="s">
        <v>49</v>
      </c>
      <c r="L1547" t="s">
        <v>96</v>
      </c>
      <c r="M1547" t="s">
        <v>35</v>
      </c>
      <c r="N1547" t="s">
        <v>164</v>
      </c>
      <c r="O1547" t="s">
        <v>37</v>
      </c>
      <c r="P1547" t="s">
        <v>39</v>
      </c>
      <c r="Q1547" t="s">
        <v>38</v>
      </c>
      <c r="R1547">
        <v>0</v>
      </c>
      <c r="S1547" t="s">
        <v>38</v>
      </c>
      <c r="T1547">
        <v>10</v>
      </c>
      <c r="U1547">
        <v>0.1</v>
      </c>
      <c r="V1547">
        <v>24.7</v>
      </c>
      <c r="W1547" t="s">
        <v>39</v>
      </c>
      <c r="X1547" t="s">
        <v>40</v>
      </c>
      <c r="Y1547" t="s">
        <v>39</v>
      </c>
      <c r="Z1547" t="s">
        <v>64</v>
      </c>
      <c r="AA1547" t="s">
        <v>54</v>
      </c>
      <c r="AB1547" t="s">
        <v>83</v>
      </c>
      <c r="AC1547">
        <f t="shared" si="264"/>
        <v>0</v>
      </c>
      <c r="AD1547" s="12">
        <f t="shared" si="268"/>
        <v>0</v>
      </c>
      <c r="AE1547" s="12">
        <f t="shared" si="269"/>
        <v>0</v>
      </c>
      <c r="AF1547">
        <f t="shared" si="265"/>
        <v>0</v>
      </c>
      <c r="AG1547">
        <f t="shared" si="270"/>
        <v>0</v>
      </c>
      <c r="AH1547">
        <f t="shared" si="271"/>
        <v>0</v>
      </c>
      <c r="AI1547">
        <f t="shared" si="272"/>
        <v>0</v>
      </c>
      <c r="AJ1547">
        <f t="shared" si="273"/>
        <v>0</v>
      </c>
      <c r="AK1547">
        <f t="shared" si="266"/>
        <v>0</v>
      </c>
      <c r="AL1547">
        <f t="shared" si="274"/>
        <v>0</v>
      </c>
    </row>
    <row r="1548" spans="1:38">
      <c r="A1548" t="s">
        <v>4771</v>
      </c>
      <c r="B1548" t="s">
        <v>4772</v>
      </c>
      <c r="C1548" s="1">
        <f t="shared" si="267"/>
        <v>45292</v>
      </c>
      <c r="D1548" t="s">
        <v>4773</v>
      </c>
      <c r="E1548">
        <v>42.3</v>
      </c>
      <c r="F1548">
        <v>1.8</v>
      </c>
      <c r="G1548" t="s">
        <v>68</v>
      </c>
      <c r="H1548" t="s">
        <v>456</v>
      </c>
      <c r="I1548" t="s">
        <v>95</v>
      </c>
      <c r="J1548">
        <v>48</v>
      </c>
      <c r="K1548" t="s">
        <v>49</v>
      </c>
      <c r="L1548" t="s">
        <v>96</v>
      </c>
      <c r="M1548" t="s">
        <v>35</v>
      </c>
      <c r="N1548" t="s">
        <v>299</v>
      </c>
      <c r="O1548" t="s">
        <v>7232</v>
      </c>
      <c r="P1548" t="s">
        <v>38</v>
      </c>
      <c r="Q1548" t="s">
        <v>38</v>
      </c>
      <c r="R1548">
        <v>1</v>
      </c>
      <c r="S1548" t="s">
        <v>38</v>
      </c>
      <c r="T1548">
        <v>9</v>
      </c>
      <c r="U1548">
        <v>2.4</v>
      </c>
      <c r="V1548">
        <v>34.6</v>
      </c>
      <c r="W1548" t="s">
        <v>38</v>
      </c>
      <c r="X1548" t="s">
        <v>63</v>
      </c>
      <c r="Y1548" t="s">
        <v>39</v>
      </c>
      <c r="Z1548" t="s">
        <v>179</v>
      </c>
      <c r="AA1548" t="s">
        <v>82</v>
      </c>
      <c r="AB1548" t="s">
        <v>55</v>
      </c>
      <c r="AC1548">
        <f t="shared" si="264"/>
        <v>0</v>
      </c>
      <c r="AD1548" s="12">
        <f t="shared" si="268"/>
        <v>1</v>
      </c>
      <c r="AE1548" s="12">
        <f t="shared" si="269"/>
        <v>0</v>
      </c>
      <c r="AF1548">
        <f t="shared" si="265"/>
        <v>0</v>
      </c>
      <c r="AG1548">
        <f t="shared" si="270"/>
        <v>1</v>
      </c>
      <c r="AH1548">
        <f t="shared" si="271"/>
        <v>0</v>
      </c>
      <c r="AI1548">
        <f t="shared" si="272"/>
        <v>1</v>
      </c>
      <c r="AJ1548">
        <f t="shared" si="273"/>
        <v>0</v>
      </c>
      <c r="AK1548">
        <f t="shared" si="266"/>
        <v>0</v>
      </c>
      <c r="AL1548">
        <f t="shared" si="274"/>
        <v>0</v>
      </c>
    </row>
    <row r="1549" spans="1:38">
      <c r="A1549" t="s">
        <v>4774</v>
      </c>
      <c r="B1549" t="s">
        <v>4775</v>
      </c>
      <c r="C1549" s="1">
        <f t="shared" si="267"/>
        <v>45444</v>
      </c>
      <c r="D1549" t="s">
        <v>4776</v>
      </c>
      <c r="E1549">
        <v>289.39999999999998</v>
      </c>
      <c r="F1549">
        <v>12.1</v>
      </c>
      <c r="G1549" t="s">
        <v>93</v>
      </c>
      <c r="H1549" t="s">
        <v>163</v>
      </c>
      <c r="I1549" t="s">
        <v>79</v>
      </c>
      <c r="J1549">
        <v>360</v>
      </c>
      <c r="K1549" t="s">
        <v>49</v>
      </c>
      <c r="L1549" t="s">
        <v>34</v>
      </c>
      <c r="M1549" t="s">
        <v>35</v>
      </c>
      <c r="N1549" t="s">
        <v>192</v>
      </c>
      <c r="O1549" t="s">
        <v>7232</v>
      </c>
      <c r="P1549" t="s">
        <v>38</v>
      </c>
      <c r="Q1549" t="s">
        <v>38</v>
      </c>
      <c r="R1549">
        <v>1</v>
      </c>
      <c r="S1549" t="s">
        <v>38</v>
      </c>
      <c r="T1549">
        <v>8</v>
      </c>
      <c r="U1549">
        <v>1.3</v>
      </c>
      <c r="V1549">
        <v>3</v>
      </c>
      <c r="W1549" t="s">
        <v>38</v>
      </c>
      <c r="X1549" t="s">
        <v>52</v>
      </c>
      <c r="Y1549" t="s">
        <v>39</v>
      </c>
      <c r="Z1549" t="s">
        <v>108</v>
      </c>
      <c r="AA1549" t="s">
        <v>109</v>
      </c>
      <c r="AB1549" t="s">
        <v>43</v>
      </c>
      <c r="AC1549">
        <f t="shared" si="264"/>
        <v>1</v>
      </c>
      <c r="AD1549" s="12">
        <f t="shared" si="268"/>
        <v>0</v>
      </c>
      <c r="AE1549" s="12">
        <f t="shared" si="269"/>
        <v>0</v>
      </c>
      <c r="AF1549">
        <f t="shared" si="265"/>
        <v>0</v>
      </c>
      <c r="AG1549">
        <f t="shared" si="270"/>
        <v>1</v>
      </c>
      <c r="AH1549">
        <f t="shared" si="271"/>
        <v>0</v>
      </c>
      <c r="AI1549">
        <f t="shared" si="272"/>
        <v>0</v>
      </c>
      <c r="AJ1549">
        <f t="shared" si="273"/>
        <v>0</v>
      </c>
      <c r="AK1549">
        <f t="shared" si="266"/>
        <v>0</v>
      </c>
      <c r="AL1549">
        <f t="shared" si="274"/>
        <v>0</v>
      </c>
    </row>
    <row r="1550" spans="1:38">
      <c r="A1550" t="s">
        <v>4777</v>
      </c>
      <c r="B1550" t="s">
        <v>4778</v>
      </c>
      <c r="C1550" s="1">
        <f t="shared" si="267"/>
        <v>45292</v>
      </c>
      <c r="D1550" t="s">
        <v>4779</v>
      </c>
      <c r="E1550">
        <v>319.39999999999998</v>
      </c>
      <c r="F1550">
        <v>13.3</v>
      </c>
      <c r="G1550" t="s">
        <v>77</v>
      </c>
      <c r="H1550" t="s">
        <v>267</v>
      </c>
      <c r="I1550" t="s">
        <v>79</v>
      </c>
      <c r="J1550">
        <v>360</v>
      </c>
      <c r="K1550" t="s">
        <v>49</v>
      </c>
      <c r="L1550" t="s">
        <v>70</v>
      </c>
      <c r="M1550" t="s">
        <v>35</v>
      </c>
      <c r="N1550" t="s">
        <v>144</v>
      </c>
      <c r="O1550" t="s">
        <v>7232</v>
      </c>
      <c r="P1550" t="s">
        <v>39</v>
      </c>
      <c r="Q1550" t="s">
        <v>38</v>
      </c>
      <c r="R1550">
        <v>0</v>
      </c>
      <c r="S1550" t="s">
        <v>38</v>
      </c>
      <c r="T1550">
        <v>9</v>
      </c>
      <c r="U1550">
        <v>2.9</v>
      </c>
      <c r="V1550">
        <v>9.5</v>
      </c>
      <c r="W1550" t="s">
        <v>39</v>
      </c>
      <c r="X1550" t="s">
        <v>63</v>
      </c>
      <c r="Y1550" t="s">
        <v>39</v>
      </c>
      <c r="Z1550" t="s">
        <v>108</v>
      </c>
      <c r="AA1550" t="s">
        <v>54</v>
      </c>
      <c r="AB1550" t="s">
        <v>55</v>
      </c>
      <c r="AC1550">
        <f t="shared" si="264"/>
        <v>0</v>
      </c>
      <c r="AD1550" s="12">
        <f t="shared" si="268"/>
        <v>1</v>
      </c>
      <c r="AE1550" s="12">
        <f t="shared" si="269"/>
        <v>0</v>
      </c>
      <c r="AF1550">
        <f t="shared" si="265"/>
        <v>0</v>
      </c>
      <c r="AG1550">
        <f t="shared" si="270"/>
        <v>1</v>
      </c>
      <c r="AH1550">
        <f t="shared" si="271"/>
        <v>0</v>
      </c>
      <c r="AI1550">
        <f t="shared" si="272"/>
        <v>0</v>
      </c>
      <c r="AJ1550">
        <f t="shared" si="273"/>
        <v>0</v>
      </c>
      <c r="AK1550">
        <f t="shared" si="266"/>
        <v>0</v>
      </c>
      <c r="AL1550">
        <f t="shared" si="274"/>
        <v>0</v>
      </c>
    </row>
    <row r="1551" spans="1:38">
      <c r="A1551" t="s">
        <v>4780</v>
      </c>
      <c r="B1551" t="s">
        <v>4781</v>
      </c>
      <c r="C1551" s="1">
        <f t="shared" si="267"/>
        <v>45352</v>
      </c>
      <c r="D1551" t="s">
        <v>4782</v>
      </c>
      <c r="E1551">
        <v>538.1</v>
      </c>
      <c r="F1551">
        <v>22.4</v>
      </c>
      <c r="G1551" t="s">
        <v>101</v>
      </c>
      <c r="H1551" t="s">
        <v>368</v>
      </c>
      <c r="I1551" t="s">
        <v>79</v>
      </c>
      <c r="J1551">
        <v>360</v>
      </c>
      <c r="K1551" t="s">
        <v>33</v>
      </c>
      <c r="L1551" t="s">
        <v>113</v>
      </c>
      <c r="M1551" t="s">
        <v>71</v>
      </c>
      <c r="N1551" t="s">
        <v>134</v>
      </c>
      <c r="O1551" t="s">
        <v>7232</v>
      </c>
      <c r="P1551" t="s">
        <v>38</v>
      </c>
      <c r="Q1551" t="s">
        <v>39</v>
      </c>
      <c r="R1551">
        <v>2</v>
      </c>
      <c r="S1551" t="s">
        <v>38</v>
      </c>
      <c r="T1551">
        <v>6</v>
      </c>
      <c r="U1551">
        <v>0.8</v>
      </c>
      <c r="V1551">
        <v>22</v>
      </c>
      <c r="W1551" t="s">
        <v>39</v>
      </c>
      <c r="X1551" t="s">
        <v>52</v>
      </c>
      <c r="Y1551" t="s">
        <v>39</v>
      </c>
      <c r="Z1551" t="s">
        <v>64</v>
      </c>
      <c r="AA1551" t="s">
        <v>82</v>
      </c>
      <c r="AB1551" t="s">
        <v>55</v>
      </c>
      <c r="AC1551">
        <f t="shared" si="264"/>
        <v>1</v>
      </c>
      <c r="AD1551" s="12">
        <f t="shared" si="268"/>
        <v>0</v>
      </c>
      <c r="AE1551" s="12">
        <f t="shared" si="269"/>
        <v>0</v>
      </c>
      <c r="AF1551">
        <f t="shared" si="265"/>
        <v>0</v>
      </c>
      <c r="AG1551">
        <f t="shared" si="270"/>
        <v>1</v>
      </c>
      <c r="AH1551">
        <f t="shared" si="271"/>
        <v>0</v>
      </c>
      <c r="AI1551">
        <f t="shared" si="272"/>
        <v>0</v>
      </c>
      <c r="AJ1551">
        <f t="shared" si="273"/>
        <v>0</v>
      </c>
      <c r="AK1551">
        <f t="shared" si="266"/>
        <v>0</v>
      </c>
      <c r="AL1551">
        <f t="shared" si="274"/>
        <v>0</v>
      </c>
    </row>
    <row r="1552" spans="1:38">
      <c r="A1552" t="s">
        <v>4783</v>
      </c>
      <c r="B1552" t="s">
        <v>4784</v>
      </c>
      <c r="C1552" s="1">
        <f t="shared" si="267"/>
        <v>45566</v>
      </c>
      <c r="D1552" t="s">
        <v>4785</v>
      </c>
      <c r="E1552">
        <v>287.5</v>
      </c>
      <c r="F1552">
        <v>12</v>
      </c>
      <c r="G1552" t="s">
        <v>87</v>
      </c>
      <c r="H1552" t="s">
        <v>151</v>
      </c>
      <c r="I1552" t="s">
        <v>32</v>
      </c>
      <c r="J1552">
        <v>240</v>
      </c>
      <c r="K1552" t="s">
        <v>33</v>
      </c>
      <c r="L1552" t="s">
        <v>96</v>
      </c>
      <c r="M1552" t="s">
        <v>71</v>
      </c>
      <c r="N1552" t="s">
        <v>188</v>
      </c>
      <c r="O1552" t="s">
        <v>7232</v>
      </c>
      <c r="P1552" t="s">
        <v>38</v>
      </c>
      <c r="Q1552" t="s">
        <v>39</v>
      </c>
      <c r="R1552">
        <v>1</v>
      </c>
      <c r="S1552" t="s">
        <v>38</v>
      </c>
      <c r="T1552">
        <v>5</v>
      </c>
      <c r="U1552">
        <v>1.7</v>
      </c>
      <c r="V1552">
        <v>31.3</v>
      </c>
      <c r="W1552" t="s">
        <v>39</v>
      </c>
      <c r="X1552" t="s">
        <v>123</v>
      </c>
      <c r="Y1552" t="s">
        <v>38</v>
      </c>
      <c r="Z1552" t="s">
        <v>53</v>
      </c>
      <c r="AA1552" t="s">
        <v>82</v>
      </c>
      <c r="AB1552" t="s">
        <v>83</v>
      </c>
      <c r="AC1552">
        <f t="shared" si="264"/>
        <v>0</v>
      </c>
      <c r="AD1552" s="12">
        <f t="shared" si="268"/>
        <v>0</v>
      </c>
      <c r="AE1552" s="12">
        <f t="shared" si="269"/>
        <v>1</v>
      </c>
      <c r="AF1552">
        <f t="shared" si="265"/>
        <v>0</v>
      </c>
      <c r="AG1552">
        <f t="shared" si="270"/>
        <v>1</v>
      </c>
      <c r="AH1552">
        <f t="shared" si="271"/>
        <v>0</v>
      </c>
      <c r="AI1552">
        <f t="shared" si="272"/>
        <v>0</v>
      </c>
      <c r="AJ1552">
        <f t="shared" si="273"/>
        <v>1</v>
      </c>
      <c r="AK1552">
        <f t="shared" si="266"/>
        <v>0</v>
      </c>
      <c r="AL1552">
        <f t="shared" si="274"/>
        <v>1</v>
      </c>
    </row>
    <row r="1553" spans="1:38">
      <c r="A1553" t="s">
        <v>4786</v>
      </c>
      <c r="B1553" t="s">
        <v>4787</v>
      </c>
      <c r="C1553" s="1">
        <f t="shared" si="267"/>
        <v>45444</v>
      </c>
      <c r="D1553" t="s">
        <v>4788</v>
      </c>
      <c r="E1553">
        <v>397.4</v>
      </c>
      <c r="F1553">
        <v>16.600000000000001</v>
      </c>
      <c r="G1553" t="s">
        <v>77</v>
      </c>
      <c r="H1553" t="s">
        <v>187</v>
      </c>
      <c r="I1553" t="s">
        <v>79</v>
      </c>
      <c r="J1553">
        <v>360</v>
      </c>
      <c r="K1553" t="s">
        <v>33</v>
      </c>
      <c r="L1553" t="s">
        <v>113</v>
      </c>
      <c r="M1553" t="s">
        <v>35</v>
      </c>
      <c r="N1553" t="s">
        <v>134</v>
      </c>
      <c r="O1553" t="s">
        <v>7232</v>
      </c>
      <c r="P1553" t="s">
        <v>39</v>
      </c>
      <c r="Q1553" t="s">
        <v>38</v>
      </c>
      <c r="R1553">
        <v>0</v>
      </c>
      <c r="S1553" t="s">
        <v>38</v>
      </c>
      <c r="T1553">
        <v>5</v>
      </c>
      <c r="U1553">
        <v>6.3</v>
      </c>
      <c r="V1553">
        <v>10.4</v>
      </c>
      <c r="W1553" t="s">
        <v>39</v>
      </c>
      <c r="X1553" t="s">
        <v>52</v>
      </c>
      <c r="Y1553" t="s">
        <v>39</v>
      </c>
      <c r="Z1553" t="s">
        <v>53</v>
      </c>
      <c r="AA1553" t="s">
        <v>42</v>
      </c>
      <c r="AB1553" t="s">
        <v>83</v>
      </c>
      <c r="AC1553">
        <f t="shared" si="264"/>
        <v>1</v>
      </c>
      <c r="AD1553" s="12">
        <f t="shared" si="268"/>
        <v>0</v>
      </c>
      <c r="AE1553" s="12">
        <f t="shared" si="269"/>
        <v>0</v>
      </c>
      <c r="AF1553">
        <f t="shared" si="265"/>
        <v>0</v>
      </c>
      <c r="AG1553">
        <f t="shared" si="270"/>
        <v>1</v>
      </c>
      <c r="AH1553">
        <f t="shared" si="271"/>
        <v>0</v>
      </c>
      <c r="AI1553">
        <f t="shared" si="272"/>
        <v>0</v>
      </c>
      <c r="AJ1553">
        <f t="shared" si="273"/>
        <v>0</v>
      </c>
      <c r="AK1553">
        <f t="shared" si="266"/>
        <v>0</v>
      </c>
      <c r="AL1553">
        <f t="shared" si="274"/>
        <v>0</v>
      </c>
    </row>
    <row r="1554" spans="1:38">
      <c r="A1554" t="s">
        <v>4789</v>
      </c>
      <c r="B1554" t="s">
        <v>4790</v>
      </c>
      <c r="C1554" s="1">
        <f t="shared" si="267"/>
        <v>45444</v>
      </c>
      <c r="D1554" t="s">
        <v>4791</v>
      </c>
      <c r="E1554">
        <v>81.3</v>
      </c>
      <c r="F1554">
        <v>3.4</v>
      </c>
      <c r="G1554" t="s">
        <v>59</v>
      </c>
      <c r="H1554" t="s">
        <v>227</v>
      </c>
      <c r="I1554" t="s">
        <v>48</v>
      </c>
      <c r="J1554">
        <v>120</v>
      </c>
      <c r="K1554" t="s">
        <v>49</v>
      </c>
      <c r="L1554" t="s">
        <v>96</v>
      </c>
      <c r="M1554" t="s">
        <v>35</v>
      </c>
      <c r="N1554" t="s">
        <v>299</v>
      </c>
      <c r="O1554" t="s">
        <v>7232</v>
      </c>
      <c r="P1554" t="s">
        <v>38</v>
      </c>
      <c r="Q1554" t="s">
        <v>38</v>
      </c>
      <c r="R1554">
        <v>1</v>
      </c>
      <c r="S1554" t="s">
        <v>38</v>
      </c>
      <c r="T1554">
        <v>10</v>
      </c>
      <c r="U1554">
        <v>0.1</v>
      </c>
      <c r="V1554">
        <v>5.6</v>
      </c>
      <c r="W1554" t="s">
        <v>39</v>
      </c>
      <c r="X1554" t="s">
        <v>63</v>
      </c>
      <c r="Y1554" t="s">
        <v>39</v>
      </c>
      <c r="Z1554" t="s">
        <v>81</v>
      </c>
      <c r="AA1554" t="s">
        <v>42</v>
      </c>
      <c r="AB1554" t="s">
        <v>83</v>
      </c>
      <c r="AC1554">
        <f t="shared" si="264"/>
        <v>0</v>
      </c>
      <c r="AD1554" s="12">
        <f t="shared" si="268"/>
        <v>1</v>
      </c>
      <c r="AE1554" s="12">
        <f t="shared" si="269"/>
        <v>0</v>
      </c>
      <c r="AF1554">
        <f t="shared" si="265"/>
        <v>0</v>
      </c>
      <c r="AG1554">
        <f t="shared" si="270"/>
        <v>1</v>
      </c>
      <c r="AH1554">
        <f t="shared" si="271"/>
        <v>1</v>
      </c>
      <c r="AI1554">
        <f t="shared" si="272"/>
        <v>0</v>
      </c>
      <c r="AJ1554">
        <f t="shared" si="273"/>
        <v>0</v>
      </c>
      <c r="AK1554">
        <f t="shared" si="266"/>
        <v>0</v>
      </c>
      <c r="AL1554">
        <f t="shared" si="274"/>
        <v>0</v>
      </c>
    </row>
    <row r="1555" spans="1:38">
      <c r="A1555" t="s">
        <v>4792</v>
      </c>
      <c r="B1555" t="s">
        <v>4793</v>
      </c>
      <c r="C1555" s="1">
        <f t="shared" si="267"/>
        <v>45292</v>
      </c>
      <c r="D1555" t="s">
        <v>4794</v>
      </c>
      <c r="E1555">
        <v>162.69999999999999</v>
      </c>
      <c r="F1555">
        <v>6.8</v>
      </c>
      <c r="G1555" t="s">
        <v>87</v>
      </c>
      <c r="H1555" t="s">
        <v>88</v>
      </c>
      <c r="I1555" t="s">
        <v>48</v>
      </c>
      <c r="J1555">
        <v>120</v>
      </c>
      <c r="K1555" t="s">
        <v>33</v>
      </c>
      <c r="L1555" t="s">
        <v>96</v>
      </c>
      <c r="M1555" t="s">
        <v>71</v>
      </c>
      <c r="N1555" t="s">
        <v>97</v>
      </c>
      <c r="O1555" t="s">
        <v>7232</v>
      </c>
      <c r="P1555" t="s">
        <v>38</v>
      </c>
      <c r="Q1555" t="s">
        <v>39</v>
      </c>
      <c r="R1555">
        <v>1</v>
      </c>
      <c r="S1555" t="s">
        <v>38</v>
      </c>
      <c r="T1555">
        <v>6</v>
      </c>
      <c r="U1555">
        <v>1.7</v>
      </c>
      <c r="V1555">
        <v>10.199999999999999</v>
      </c>
      <c r="W1555" t="s">
        <v>38</v>
      </c>
      <c r="X1555" t="s">
        <v>63</v>
      </c>
      <c r="Y1555" t="s">
        <v>39</v>
      </c>
      <c r="Z1555" t="s">
        <v>73</v>
      </c>
      <c r="AA1555" t="s">
        <v>82</v>
      </c>
      <c r="AB1555" t="s">
        <v>55</v>
      </c>
      <c r="AC1555">
        <f t="shared" si="264"/>
        <v>0</v>
      </c>
      <c r="AD1555" s="12">
        <f t="shared" si="268"/>
        <v>1</v>
      </c>
      <c r="AE1555" s="12">
        <f t="shared" si="269"/>
        <v>0</v>
      </c>
      <c r="AF1555">
        <f t="shared" si="265"/>
        <v>0</v>
      </c>
      <c r="AG1555">
        <f t="shared" si="270"/>
        <v>1</v>
      </c>
      <c r="AH1555">
        <f t="shared" si="271"/>
        <v>1</v>
      </c>
      <c r="AI1555">
        <f t="shared" si="272"/>
        <v>0</v>
      </c>
      <c r="AJ1555">
        <f t="shared" si="273"/>
        <v>0</v>
      </c>
      <c r="AK1555">
        <f t="shared" si="266"/>
        <v>0</v>
      </c>
      <c r="AL1555">
        <f t="shared" si="274"/>
        <v>0</v>
      </c>
    </row>
    <row r="1556" spans="1:38">
      <c r="A1556" t="s">
        <v>4795</v>
      </c>
      <c r="B1556" t="s">
        <v>4796</v>
      </c>
      <c r="C1556" s="1">
        <f t="shared" si="267"/>
        <v>45292</v>
      </c>
      <c r="D1556" t="s">
        <v>4797</v>
      </c>
      <c r="E1556">
        <v>200.8</v>
      </c>
      <c r="F1556">
        <v>8.4</v>
      </c>
      <c r="G1556" t="s">
        <v>30</v>
      </c>
      <c r="H1556" t="s">
        <v>159</v>
      </c>
      <c r="I1556" t="s">
        <v>32</v>
      </c>
      <c r="J1556">
        <v>240</v>
      </c>
      <c r="K1556" t="s">
        <v>49</v>
      </c>
      <c r="L1556" t="s">
        <v>70</v>
      </c>
      <c r="M1556" t="s">
        <v>35</v>
      </c>
      <c r="N1556" t="s">
        <v>97</v>
      </c>
      <c r="O1556" t="s">
        <v>7232</v>
      </c>
      <c r="P1556" t="s">
        <v>38</v>
      </c>
      <c r="Q1556" t="s">
        <v>38</v>
      </c>
      <c r="R1556">
        <v>1</v>
      </c>
      <c r="S1556" t="s">
        <v>38</v>
      </c>
      <c r="T1556">
        <v>8</v>
      </c>
      <c r="U1556">
        <v>3</v>
      </c>
      <c r="V1556">
        <v>9</v>
      </c>
      <c r="W1556" t="s">
        <v>39</v>
      </c>
      <c r="X1556" t="s">
        <v>123</v>
      </c>
      <c r="Y1556" t="s">
        <v>39</v>
      </c>
      <c r="Z1556" t="s">
        <v>53</v>
      </c>
      <c r="AA1556" t="s">
        <v>82</v>
      </c>
      <c r="AB1556" t="s">
        <v>83</v>
      </c>
      <c r="AC1556">
        <f t="shared" si="264"/>
        <v>0</v>
      </c>
      <c r="AD1556" s="12">
        <f t="shared" si="268"/>
        <v>0</v>
      </c>
      <c r="AE1556" s="12">
        <f t="shared" si="269"/>
        <v>1</v>
      </c>
      <c r="AF1556">
        <f t="shared" si="265"/>
        <v>0</v>
      </c>
      <c r="AG1556">
        <f t="shared" si="270"/>
        <v>1</v>
      </c>
      <c r="AH1556">
        <f t="shared" si="271"/>
        <v>0</v>
      </c>
      <c r="AI1556">
        <f t="shared" si="272"/>
        <v>0</v>
      </c>
      <c r="AJ1556">
        <f t="shared" si="273"/>
        <v>1</v>
      </c>
      <c r="AK1556">
        <f t="shared" si="266"/>
        <v>1</v>
      </c>
      <c r="AL1556">
        <f t="shared" si="274"/>
        <v>0</v>
      </c>
    </row>
    <row r="1557" spans="1:38">
      <c r="A1557" t="s">
        <v>4798</v>
      </c>
      <c r="B1557" t="s">
        <v>4799</v>
      </c>
      <c r="C1557" s="1">
        <f t="shared" si="267"/>
        <v>45627</v>
      </c>
      <c r="D1557" t="s">
        <v>4800</v>
      </c>
      <c r="E1557">
        <v>169.3</v>
      </c>
      <c r="F1557">
        <v>7.1</v>
      </c>
      <c r="G1557" t="s">
        <v>68</v>
      </c>
      <c r="H1557" t="s">
        <v>219</v>
      </c>
      <c r="I1557" t="s">
        <v>48</v>
      </c>
      <c r="J1557">
        <v>120</v>
      </c>
      <c r="K1557" t="s">
        <v>33</v>
      </c>
      <c r="L1557" t="s">
        <v>133</v>
      </c>
      <c r="M1557" t="s">
        <v>71</v>
      </c>
      <c r="N1557" t="s">
        <v>119</v>
      </c>
      <c r="O1557" t="s">
        <v>37</v>
      </c>
      <c r="P1557" t="s">
        <v>38</v>
      </c>
      <c r="Q1557" t="s">
        <v>39</v>
      </c>
      <c r="R1557">
        <v>3</v>
      </c>
      <c r="S1557" t="s">
        <v>38</v>
      </c>
      <c r="T1557">
        <v>8</v>
      </c>
      <c r="U1557">
        <v>1.5</v>
      </c>
      <c r="V1557">
        <v>17</v>
      </c>
      <c r="W1557" t="s">
        <v>38</v>
      </c>
      <c r="X1557" t="s">
        <v>52</v>
      </c>
      <c r="Y1557" t="s">
        <v>38</v>
      </c>
      <c r="Z1557" t="s">
        <v>108</v>
      </c>
      <c r="AA1557" t="s">
        <v>82</v>
      </c>
      <c r="AB1557" t="s">
        <v>83</v>
      </c>
      <c r="AC1557">
        <f t="shared" si="264"/>
        <v>1</v>
      </c>
      <c r="AD1557" s="12">
        <f t="shared" si="268"/>
        <v>0</v>
      </c>
      <c r="AE1557" s="12">
        <f t="shared" si="269"/>
        <v>0</v>
      </c>
      <c r="AF1557">
        <f t="shared" si="265"/>
        <v>0</v>
      </c>
      <c r="AG1557">
        <f t="shared" si="270"/>
        <v>0</v>
      </c>
      <c r="AH1557">
        <f t="shared" si="271"/>
        <v>1</v>
      </c>
      <c r="AI1557">
        <f t="shared" si="272"/>
        <v>0</v>
      </c>
      <c r="AJ1557">
        <f t="shared" si="273"/>
        <v>0</v>
      </c>
      <c r="AK1557">
        <f t="shared" si="266"/>
        <v>0</v>
      </c>
      <c r="AL1557">
        <f t="shared" si="274"/>
        <v>1</v>
      </c>
    </row>
    <row r="1558" spans="1:38">
      <c r="A1558" t="s">
        <v>4801</v>
      </c>
      <c r="B1558" t="s">
        <v>4802</v>
      </c>
      <c r="C1558" s="1">
        <f t="shared" si="267"/>
        <v>45536</v>
      </c>
      <c r="D1558" t="s">
        <v>4803</v>
      </c>
      <c r="E1558">
        <v>885.6</v>
      </c>
      <c r="F1558">
        <v>36.9</v>
      </c>
      <c r="G1558" t="s">
        <v>87</v>
      </c>
      <c r="H1558" t="s">
        <v>88</v>
      </c>
      <c r="I1558" t="s">
        <v>79</v>
      </c>
      <c r="J1558">
        <v>360</v>
      </c>
      <c r="K1558" t="s">
        <v>33</v>
      </c>
      <c r="L1558" t="s">
        <v>96</v>
      </c>
      <c r="M1558" t="s">
        <v>35</v>
      </c>
      <c r="N1558" t="s">
        <v>128</v>
      </c>
      <c r="O1558" t="s">
        <v>51</v>
      </c>
      <c r="P1558" t="s">
        <v>39</v>
      </c>
      <c r="Q1558" t="s">
        <v>38</v>
      </c>
      <c r="R1558">
        <v>0</v>
      </c>
      <c r="S1558" t="s">
        <v>39</v>
      </c>
      <c r="T1558">
        <v>6</v>
      </c>
      <c r="U1558">
        <v>2.9</v>
      </c>
      <c r="V1558">
        <v>30.2</v>
      </c>
      <c r="W1558" t="s">
        <v>39</v>
      </c>
      <c r="X1558" t="s">
        <v>123</v>
      </c>
      <c r="Y1558" t="s">
        <v>39</v>
      </c>
      <c r="Z1558" t="s">
        <v>81</v>
      </c>
      <c r="AA1558" t="s">
        <v>109</v>
      </c>
      <c r="AB1558" t="s">
        <v>83</v>
      </c>
      <c r="AC1558">
        <f t="shared" si="264"/>
        <v>0</v>
      </c>
      <c r="AD1558" s="12">
        <f t="shared" si="268"/>
        <v>0</v>
      </c>
      <c r="AE1558" s="12">
        <f t="shared" si="269"/>
        <v>1</v>
      </c>
      <c r="AF1558">
        <f t="shared" si="265"/>
        <v>1</v>
      </c>
      <c r="AG1558">
        <f t="shared" si="270"/>
        <v>0</v>
      </c>
      <c r="AH1558">
        <f t="shared" si="271"/>
        <v>0</v>
      </c>
      <c r="AI1558">
        <f t="shared" si="272"/>
        <v>0</v>
      </c>
      <c r="AJ1558">
        <f t="shared" si="273"/>
        <v>0</v>
      </c>
      <c r="AK1558">
        <f t="shared" si="266"/>
        <v>0</v>
      </c>
      <c r="AL1558">
        <f t="shared" si="274"/>
        <v>0</v>
      </c>
    </row>
    <row r="1559" spans="1:38">
      <c r="A1559" t="s">
        <v>4804</v>
      </c>
      <c r="B1559" t="s">
        <v>4805</v>
      </c>
      <c r="C1559" s="1">
        <f t="shared" si="267"/>
        <v>45413</v>
      </c>
      <c r="D1559" t="s">
        <v>4806</v>
      </c>
      <c r="E1559">
        <v>80.900000000000006</v>
      </c>
      <c r="F1559">
        <v>3.4</v>
      </c>
      <c r="G1559" t="s">
        <v>87</v>
      </c>
      <c r="H1559" t="s">
        <v>309</v>
      </c>
      <c r="I1559" t="s">
        <v>48</v>
      </c>
      <c r="J1559">
        <v>120</v>
      </c>
      <c r="K1559" t="s">
        <v>49</v>
      </c>
      <c r="L1559" t="s">
        <v>133</v>
      </c>
      <c r="M1559" t="s">
        <v>35</v>
      </c>
      <c r="N1559" t="s">
        <v>192</v>
      </c>
      <c r="O1559" t="s">
        <v>51</v>
      </c>
      <c r="P1559" t="s">
        <v>38</v>
      </c>
      <c r="Q1559" t="s">
        <v>38</v>
      </c>
      <c r="R1559">
        <v>1</v>
      </c>
      <c r="S1559" t="s">
        <v>38</v>
      </c>
      <c r="T1559">
        <v>8</v>
      </c>
      <c r="U1559">
        <v>4</v>
      </c>
      <c r="V1559">
        <v>17</v>
      </c>
      <c r="W1559" t="s">
        <v>38</v>
      </c>
      <c r="X1559" t="s">
        <v>123</v>
      </c>
      <c r="Y1559" t="s">
        <v>39</v>
      </c>
      <c r="Z1559" t="s">
        <v>73</v>
      </c>
      <c r="AA1559" t="s">
        <v>103</v>
      </c>
      <c r="AB1559" t="s">
        <v>83</v>
      </c>
      <c r="AC1559">
        <f t="shared" si="264"/>
        <v>0</v>
      </c>
      <c r="AD1559" s="12">
        <f t="shared" si="268"/>
        <v>0</v>
      </c>
      <c r="AE1559" s="12">
        <f t="shared" si="269"/>
        <v>1</v>
      </c>
      <c r="AF1559">
        <f t="shared" si="265"/>
        <v>1</v>
      </c>
      <c r="AG1559">
        <f t="shared" si="270"/>
        <v>0</v>
      </c>
      <c r="AH1559">
        <f t="shared" si="271"/>
        <v>1</v>
      </c>
      <c r="AI1559">
        <f t="shared" si="272"/>
        <v>0</v>
      </c>
      <c r="AJ1559">
        <f t="shared" si="273"/>
        <v>0</v>
      </c>
      <c r="AK1559">
        <f t="shared" si="266"/>
        <v>0</v>
      </c>
      <c r="AL1559">
        <f t="shared" si="274"/>
        <v>0</v>
      </c>
    </row>
    <row r="1560" spans="1:38">
      <c r="A1560" t="s">
        <v>4807</v>
      </c>
      <c r="B1560" t="s">
        <v>4808</v>
      </c>
      <c r="C1560" s="1">
        <f t="shared" si="267"/>
        <v>45597</v>
      </c>
      <c r="D1560" t="s">
        <v>4809</v>
      </c>
      <c r="E1560">
        <v>145.1</v>
      </c>
      <c r="F1560">
        <v>6</v>
      </c>
      <c r="G1560" t="s">
        <v>68</v>
      </c>
      <c r="H1560" t="s">
        <v>219</v>
      </c>
      <c r="I1560" t="s">
        <v>48</v>
      </c>
      <c r="J1560">
        <v>120</v>
      </c>
      <c r="K1560" t="s">
        <v>33</v>
      </c>
      <c r="L1560" t="s">
        <v>113</v>
      </c>
      <c r="M1560" t="s">
        <v>35</v>
      </c>
      <c r="N1560" t="s">
        <v>414</v>
      </c>
      <c r="O1560" t="s">
        <v>7232</v>
      </c>
      <c r="P1560" t="s">
        <v>38</v>
      </c>
      <c r="Q1560" t="s">
        <v>38</v>
      </c>
      <c r="R1560">
        <v>1</v>
      </c>
      <c r="S1560" t="s">
        <v>38</v>
      </c>
      <c r="T1560">
        <v>4</v>
      </c>
      <c r="U1560">
        <v>7.9</v>
      </c>
      <c r="V1560">
        <v>10.3</v>
      </c>
      <c r="W1560" t="s">
        <v>39</v>
      </c>
      <c r="X1560" t="s">
        <v>52</v>
      </c>
      <c r="Y1560" t="s">
        <v>39</v>
      </c>
      <c r="Z1560" t="s">
        <v>81</v>
      </c>
      <c r="AA1560" t="s">
        <v>42</v>
      </c>
      <c r="AB1560" t="s">
        <v>55</v>
      </c>
      <c r="AC1560">
        <f t="shared" si="264"/>
        <v>1</v>
      </c>
      <c r="AD1560" s="12">
        <f t="shared" si="268"/>
        <v>0</v>
      </c>
      <c r="AE1560" s="12">
        <f t="shared" si="269"/>
        <v>0</v>
      </c>
      <c r="AF1560">
        <f t="shared" si="265"/>
        <v>0</v>
      </c>
      <c r="AG1560">
        <f t="shared" si="270"/>
        <v>1</v>
      </c>
      <c r="AH1560">
        <f t="shared" si="271"/>
        <v>1</v>
      </c>
      <c r="AI1560">
        <f t="shared" si="272"/>
        <v>0</v>
      </c>
      <c r="AJ1560">
        <f t="shared" si="273"/>
        <v>0</v>
      </c>
      <c r="AK1560">
        <f t="shared" si="266"/>
        <v>0</v>
      </c>
      <c r="AL1560">
        <f t="shared" si="274"/>
        <v>0</v>
      </c>
    </row>
    <row r="1561" spans="1:38">
      <c r="A1561" t="s">
        <v>4810</v>
      </c>
      <c r="B1561" t="s">
        <v>4811</v>
      </c>
      <c r="C1561" s="1">
        <f t="shared" si="267"/>
        <v>45597</v>
      </c>
      <c r="D1561" t="s">
        <v>4812</v>
      </c>
      <c r="E1561">
        <v>151.1</v>
      </c>
      <c r="F1561">
        <v>6.3</v>
      </c>
      <c r="G1561" t="s">
        <v>30</v>
      </c>
      <c r="H1561" t="s">
        <v>172</v>
      </c>
      <c r="I1561" t="s">
        <v>32</v>
      </c>
      <c r="J1561">
        <v>240</v>
      </c>
      <c r="K1561" t="s">
        <v>49</v>
      </c>
      <c r="L1561" t="s">
        <v>96</v>
      </c>
      <c r="M1561" t="s">
        <v>35</v>
      </c>
      <c r="N1561" t="s">
        <v>107</v>
      </c>
      <c r="O1561" t="s">
        <v>37</v>
      </c>
      <c r="P1561" t="s">
        <v>38</v>
      </c>
      <c r="Q1561" t="s">
        <v>38</v>
      </c>
      <c r="R1561">
        <v>1</v>
      </c>
      <c r="S1561" t="s">
        <v>38</v>
      </c>
      <c r="T1561">
        <v>10</v>
      </c>
      <c r="U1561">
        <v>1.8</v>
      </c>
      <c r="V1561">
        <v>8.5</v>
      </c>
      <c r="W1561" t="s">
        <v>39</v>
      </c>
      <c r="X1561" t="s">
        <v>63</v>
      </c>
      <c r="Y1561" t="s">
        <v>39</v>
      </c>
      <c r="Z1561" t="s">
        <v>41</v>
      </c>
      <c r="AA1561" t="s">
        <v>82</v>
      </c>
      <c r="AB1561" t="s">
        <v>55</v>
      </c>
      <c r="AC1561">
        <f t="shared" si="264"/>
        <v>0</v>
      </c>
      <c r="AD1561" s="12">
        <f t="shared" si="268"/>
        <v>1</v>
      </c>
      <c r="AE1561" s="12">
        <f t="shared" si="269"/>
        <v>0</v>
      </c>
      <c r="AF1561">
        <f t="shared" si="265"/>
        <v>0</v>
      </c>
      <c r="AG1561">
        <f t="shared" si="270"/>
        <v>0</v>
      </c>
      <c r="AH1561">
        <f t="shared" si="271"/>
        <v>0</v>
      </c>
      <c r="AI1561">
        <f t="shared" si="272"/>
        <v>0</v>
      </c>
      <c r="AJ1561">
        <f t="shared" si="273"/>
        <v>1</v>
      </c>
      <c r="AK1561">
        <f t="shared" si="266"/>
        <v>1</v>
      </c>
      <c r="AL1561">
        <f t="shared" si="274"/>
        <v>0</v>
      </c>
    </row>
    <row r="1562" spans="1:38">
      <c r="A1562" t="s">
        <v>4813</v>
      </c>
      <c r="B1562" t="s">
        <v>4814</v>
      </c>
      <c r="C1562" s="1">
        <f t="shared" si="267"/>
        <v>45536</v>
      </c>
      <c r="D1562" t="s">
        <v>4815</v>
      </c>
      <c r="E1562">
        <v>79.7</v>
      </c>
      <c r="F1562">
        <v>3.3</v>
      </c>
      <c r="G1562" t="s">
        <v>30</v>
      </c>
      <c r="H1562" t="s">
        <v>47</v>
      </c>
      <c r="I1562" t="s">
        <v>48</v>
      </c>
      <c r="J1562">
        <v>120</v>
      </c>
      <c r="K1562" t="s">
        <v>49</v>
      </c>
      <c r="L1562" t="s">
        <v>34</v>
      </c>
      <c r="M1562" t="s">
        <v>35</v>
      </c>
      <c r="N1562" t="s">
        <v>155</v>
      </c>
      <c r="O1562" t="s">
        <v>37</v>
      </c>
      <c r="P1562" t="s">
        <v>38</v>
      </c>
      <c r="Q1562" t="s">
        <v>38</v>
      </c>
      <c r="R1562">
        <v>1</v>
      </c>
      <c r="S1562" t="s">
        <v>39</v>
      </c>
      <c r="T1562">
        <v>9</v>
      </c>
      <c r="U1562">
        <v>3</v>
      </c>
      <c r="V1562">
        <v>0</v>
      </c>
      <c r="W1562" t="s">
        <v>39</v>
      </c>
      <c r="X1562" t="s">
        <v>40</v>
      </c>
      <c r="Y1562" t="s">
        <v>38</v>
      </c>
      <c r="Z1562" t="s">
        <v>108</v>
      </c>
      <c r="AA1562" t="s">
        <v>54</v>
      </c>
      <c r="AB1562" t="s">
        <v>55</v>
      </c>
      <c r="AC1562">
        <f t="shared" si="264"/>
        <v>0</v>
      </c>
      <c r="AD1562" s="12">
        <f t="shared" si="268"/>
        <v>0</v>
      </c>
      <c r="AE1562" s="12">
        <f t="shared" si="269"/>
        <v>0</v>
      </c>
      <c r="AF1562">
        <f t="shared" si="265"/>
        <v>0</v>
      </c>
      <c r="AG1562">
        <f t="shared" si="270"/>
        <v>0</v>
      </c>
      <c r="AH1562">
        <f t="shared" si="271"/>
        <v>1</v>
      </c>
      <c r="AI1562">
        <f t="shared" si="272"/>
        <v>0</v>
      </c>
      <c r="AJ1562">
        <f t="shared" si="273"/>
        <v>0</v>
      </c>
      <c r="AK1562">
        <f t="shared" si="266"/>
        <v>1</v>
      </c>
      <c r="AL1562">
        <f t="shared" si="274"/>
        <v>1</v>
      </c>
    </row>
    <row r="1563" spans="1:38">
      <c r="A1563" t="s">
        <v>4816</v>
      </c>
      <c r="B1563" t="s">
        <v>4817</v>
      </c>
      <c r="C1563" s="1">
        <f t="shared" si="267"/>
        <v>45474</v>
      </c>
      <c r="D1563" t="s">
        <v>4818</v>
      </c>
      <c r="E1563">
        <v>277.2</v>
      </c>
      <c r="F1563">
        <v>11.5</v>
      </c>
      <c r="G1563" t="s">
        <v>30</v>
      </c>
      <c r="H1563" t="s">
        <v>172</v>
      </c>
      <c r="I1563" t="s">
        <v>32</v>
      </c>
      <c r="J1563">
        <v>240</v>
      </c>
      <c r="K1563" t="s">
        <v>33</v>
      </c>
      <c r="L1563" t="s">
        <v>96</v>
      </c>
      <c r="M1563" t="s">
        <v>35</v>
      </c>
      <c r="N1563" t="s">
        <v>202</v>
      </c>
      <c r="O1563" t="s">
        <v>7232</v>
      </c>
      <c r="P1563" t="s">
        <v>39</v>
      </c>
      <c r="Q1563" t="s">
        <v>38</v>
      </c>
      <c r="R1563">
        <v>0</v>
      </c>
      <c r="S1563" t="s">
        <v>38</v>
      </c>
      <c r="T1563">
        <v>3</v>
      </c>
      <c r="U1563">
        <v>0.8</v>
      </c>
      <c r="V1563">
        <v>16.600000000000001</v>
      </c>
      <c r="W1563" t="s">
        <v>38</v>
      </c>
      <c r="X1563" t="s">
        <v>52</v>
      </c>
      <c r="Y1563" t="s">
        <v>39</v>
      </c>
      <c r="Z1563" t="s">
        <v>179</v>
      </c>
      <c r="AA1563" t="s">
        <v>82</v>
      </c>
      <c r="AB1563" t="s">
        <v>83</v>
      </c>
      <c r="AC1563">
        <f t="shared" si="264"/>
        <v>1</v>
      </c>
      <c r="AD1563" s="12">
        <f t="shared" si="268"/>
        <v>0</v>
      </c>
      <c r="AE1563" s="12">
        <f t="shared" si="269"/>
        <v>0</v>
      </c>
      <c r="AF1563">
        <f t="shared" si="265"/>
        <v>0</v>
      </c>
      <c r="AG1563">
        <f t="shared" si="270"/>
        <v>1</v>
      </c>
      <c r="AH1563">
        <f t="shared" si="271"/>
        <v>0</v>
      </c>
      <c r="AI1563">
        <f t="shared" si="272"/>
        <v>0</v>
      </c>
      <c r="AJ1563">
        <f t="shared" si="273"/>
        <v>1</v>
      </c>
      <c r="AK1563">
        <f t="shared" si="266"/>
        <v>1</v>
      </c>
      <c r="AL1563">
        <f t="shared" si="274"/>
        <v>0</v>
      </c>
    </row>
    <row r="1564" spans="1:38">
      <c r="A1564" t="s">
        <v>4819</v>
      </c>
      <c r="B1564" t="s">
        <v>4820</v>
      </c>
      <c r="C1564" s="1">
        <f t="shared" si="267"/>
        <v>45352</v>
      </c>
      <c r="D1564" t="s">
        <v>4821</v>
      </c>
      <c r="E1564">
        <v>346</v>
      </c>
      <c r="F1564">
        <v>14.4</v>
      </c>
      <c r="G1564" t="s">
        <v>30</v>
      </c>
      <c r="H1564" t="s">
        <v>31</v>
      </c>
      <c r="I1564" t="s">
        <v>32</v>
      </c>
      <c r="J1564">
        <v>240</v>
      </c>
      <c r="K1564" t="s">
        <v>33</v>
      </c>
      <c r="L1564" t="s">
        <v>96</v>
      </c>
      <c r="M1564" t="s">
        <v>35</v>
      </c>
      <c r="N1564" t="s">
        <v>164</v>
      </c>
      <c r="O1564" t="s">
        <v>37</v>
      </c>
      <c r="P1564" t="s">
        <v>38</v>
      </c>
      <c r="Q1564" t="s">
        <v>38</v>
      </c>
      <c r="R1564">
        <v>1</v>
      </c>
      <c r="S1564" t="s">
        <v>39</v>
      </c>
      <c r="T1564">
        <v>7</v>
      </c>
      <c r="U1564">
        <v>6.8</v>
      </c>
      <c r="V1564">
        <v>11.6</v>
      </c>
      <c r="W1564" t="s">
        <v>39</v>
      </c>
      <c r="X1564" t="s">
        <v>52</v>
      </c>
      <c r="Y1564" t="s">
        <v>39</v>
      </c>
      <c r="Z1564" t="s">
        <v>73</v>
      </c>
      <c r="AA1564" t="s">
        <v>42</v>
      </c>
      <c r="AB1564" t="s">
        <v>55</v>
      </c>
      <c r="AC1564">
        <f t="shared" si="264"/>
        <v>1</v>
      </c>
      <c r="AD1564" s="12">
        <f t="shared" si="268"/>
        <v>0</v>
      </c>
      <c r="AE1564" s="12">
        <f t="shared" si="269"/>
        <v>0</v>
      </c>
      <c r="AF1564">
        <f t="shared" si="265"/>
        <v>0</v>
      </c>
      <c r="AG1564">
        <f t="shared" si="270"/>
        <v>0</v>
      </c>
      <c r="AH1564">
        <f t="shared" si="271"/>
        <v>0</v>
      </c>
      <c r="AI1564">
        <f t="shared" si="272"/>
        <v>0</v>
      </c>
      <c r="AJ1564">
        <f t="shared" si="273"/>
        <v>1</v>
      </c>
      <c r="AK1564">
        <f t="shared" si="266"/>
        <v>1</v>
      </c>
      <c r="AL1564">
        <f t="shared" si="274"/>
        <v>0</v>
      </c>
    </row>
    <row r="1565" spans="1:38">
      <c r="A1565" t="s">
        <v>4822</v>
      </c>
      <c r="B1565" t="s">
        <v>4823</v>
      </c>
      <c r="C1565" s="1">
        <f t="shared" si="267"/>
        <v>45474</v>
      </c>
      <c r="D1565" t="s">
        <v>4824</v>
      </c>
      <c r="E1565">
        <v>226.4</v>
      </c>
      <c r="F1565">
        <v>9.4</v>
      </c>
      <c r="G1565" t="s">
        <v>93</v>
      </c>
      <c r="H1565" t="s">
        <v>449</v>
      </c>
      <c r="I1565" t="s">
        <v>79</v>
      </c>
      <c r="J1565">
        <v>360</v>
      </c>
      <c r="K1565" t="s">
        <v>49</v>
      </c>
      <c r="L1565" t="s">
        <v>113</v>
      </c>
      <c r="M1565" t="s">
        <v>35</v>
      </c>
      <c r="N1565" t="s">
        <v>89</v>
      </c>
      <c r="O1565" t="s">
        <v>7232</v>
      </c>
      <c r="P1565" t="s">
        <v>39</v>
      </c>
      <c r="Q1565" t="s">
        <v>38</v>
      </c>
      <c r="R1565">
        <v>0</v>
      </c>
      <c r="S1565" t="s">
        <v>38</v>
      </c>
      <c r="T1565">
        <v>10</v>
      </c>
      <c r="U1565">
        <v>0.9</v>
      </c>
      <c r="V1565">
        <v>24.5</v>
      </c>
      <c r="W1565" t="s">
        <v>38</v>
      </c>
      <c r="X1565" t="s">
        <v>123</v>
      </c>
      <c r="Y1565" t="s">
        <v>38</v>
      </c>
      <c r="Z1565" t="s">
        <v>115</v>
      </c>
      <c r="AA1565" t="s">
        <v>54</v>
      </c>
      <c r="AB1565" t="s">
        <v>83</v>
      </c>
      <c r="AC1565">
        <f t="shared" si="264"/>
        <v>0</v>
      </c>
      <c r="AD1565" s="12">
        <f t="shared" si="268"/>
        <v>0</v>
      </c>
      <c r="AE1565" s="12">
        <f t="shared" si="269"/>
        <v>1</v>
      </c>
      <c r="AF1565">
        <f t="shared" si="265"/>
        <v>0</v>
      </c>
      <c r="AG1565">
        <f t="shared" si="270"/>
        <v>1</v>
      </c>
      <c r="AH1565">
        <f t="shared" si="271"/>
        <v>0</v>
      </c>
      <c r="AI1565">
        <f t="shared" si="272"/>
        <v>0</v>
      </c>
      <c r="AJ1565">
        <f t="shared" si="273"/>
        <v>0</v>
      </c>
      <c r="AK1565">
        <f t="shared" si="266"/>
        <v>0</v>
      </c>
      <c r="AL1565">
        <f t="shared" si="274"/>
        <v>1</v>
      </c>
    </row>
    <row r="1566" spans="1:38">
      <c r="A1566" t="s">
        <v>4825</v>
      </c>
      <c r="B1566" t="s">
        <v>4826</v>
      </c>
      <c r="C1566" s="1">
        <f t="shared" si="267"/>
        <v>45352</v>
      </c>
      <c r="D1566" t="s">
        <v>4827</v>
      </c>
      <c r="E1566">
        <v>222.7</v>
      </c>
      <c r="F1566">
        <v>9.3000000000000007</v>
      </c>
      <c r="G1566" t="s">
        <v>101</v>
      </c>
      <c r="H1566" t="s">
        <v>102</v>
      </c>
      <c r="I1566" t="s">
        <v>32</v>
      </c>
      <c r="J1566">
        <v>240</v>
      </c>
      <c r="K1566" t="s">
        <v>49</v>
      </c>
      <c r="L1566" t="s">
        <v>70</v>
      </c>
      <c r="M1566" t="s">
        <v>35</v>
      </c>
      <c r="N1566" t="s">
        <v>414</v>
      </c>
      <c r="O1566" t="s">
        <v>7232</v>
      </c>
      <c r="P1566" t="s">
        <v>38</v>
      </c>
      <c r="Q1566" t="s">
        <v>38</v>
      </c>
      <c r="R1566">
        <v>1</v>
      </c>
      <c r="S1566" t="s">
        <v>38</v>
      </c>
      <c r="T1566">
        <v>6</v>
      </c>
      <c r="U1566">
        <v>4.4000000000000004</v>
      </c>
      <c r="V1566">
        <v>3.4</v>
      </c>
      <c r="W1566" t="s">
        <v>38</v>
      </c>
      <c r="X1566" t="s">
        <v>63</v>
      </c>
      <c r="Y1566" t="s">
        <v>39</v>
      </c>
      <c r="Z1566" t="s">
        <v>115</v>
      </c>
      <c r="AA1566" t="s">
        <v>103</v>
      </c>
      <c r="AB1566" t="s">
        <v>83</v>
      </c>
      <c r="AC1566">
        <f t="shared" si="264"/>
        <v>0</v>
      </c>
      <c r="AD1566" s="12">
        <f t="shared" si="268"/>
        <v>1</v>
      </c>
      <c r="AE1566" s="12">
        <f t="shared" si="269"/>
        <v>0</v>
      </c>
      <c r="AF1566">
        <f t="shared" si="265"/>
        <v>0</v>
      </c>
      <c r="AG1566">
        <f t="shared" si="270"/>
        <v>1</v>
      </c>
      <c r="AH1566">
        <f t="shared" si="271"/>
        <v>0</v>
      </c>
      <c r="AI1566">
        <f t="shared" si="272"/>
        <v>0</v>
      </c>
      <c r="AJ1566">
        <f t="shared" si="273"/>
        <v>1</v>
      </c>
      <c r="AK1566">
        <f t="shared" si="266"/>
        <v>0</v>
      </c>
      <c r="AL1566">
        <f t="shared" si="274"/>
        <v>0</v>
      </c>
    </row>
    <row r="1567" spans="1:38">
      <c r="A1567" t="s">
        <v>4828</v>
      </c>
      <c r="B1567" t="s">
        <v>4829</v>
      </c>
      <c r="C1567" s="1">
        <f t="shared" si="267"/>
        <v>45627</v>
      </c>
      <c r="D1567" t="s">
        <v>4830</v>
      </c>
      <c r="E1567">
        <v>34.4</v>
      </c>
      <c r="F1567">
        <v>1.4</v>
      </c>
      <c r="G1567" t="s">
        <v>101</v>
      </c>
      <c r="H1567" t="s">
        <v>295</v>
      </c>
      <c r="I1567" t="s">
        <v>95</v>
      </c>
      <c r="J1567">
        <v>48</v>
      </c>
      <c r="K1567" t="s">
        <v>49</v>
      </c>
      <c r="L1567" t="s">
        <v>133</v>
      </c>
      <c r="M1567" t="s">
        <v>35</v>
      </c>
      <c r="N1567" t="s">
        <v>277</v>
      </c>
      <c r="O1567" t="s">
        <v>37</v>
      </c>
      <c r="P1567" t="s">
        <v>38</v>
      </c>
      <c r="Q1567" t="s">
        <v>38</v>
      </c>
      <c r="R1567">
        <v>1</v>
      </c>
      <c r="S1567" t="s">
        <v>38</v>
      </c>
      <c r="T1567">
        <v>8</v>
      </c>
      <c r="U1567">
        <v>1.4</v>
      </c>
      <c r="V1567">
        <v>36.4</v>
      </c>
      <c r="W1567" t="s">
        <v>38</v>
      </c>
      <c r="X1567" t="s">
        <v>63</v>
      </c>
      <c r="Y1567" t="s">
        <v>38</v>
      </c>
      <c r="Z1567" t="s">
        <v>41</v>
      </c>
      <c r="AA1567" t="s">
        <v>109</v>
      </c>
      <c r="AB1567" t="s">
        <v>83</v>
      </c>
      <c r="AC1567">
        <f t="shared" si="264"/>
        <v>0</v>
      </c>
      <c r="AD1567" s="12">
        <f t="shared" si="268"/>
        <v>1</v>
      </c>
      <c r="AE1567" s="12">
        <f t="shared" si="269"/>
        <v>0</v>
      </c>
      <c r="AF1567">
        <f t="shared" si="265"/>
        <v>0</v>
      </c>
      <c r="AG1567">
        <f t="shared" si="270"/>
        <v>0</v>
      </c>
      <c r="AH1567">
        <f t="shared" si="271"/>
        <v>0</v>
      </c>
      <c r="AI1567">
        <f t="shared" si="272"/>
        <v>1</v>
      </c>
      <c r="AJ1567">
        <f t="shared" si="273"/>
        <v>0</v>
      </c>
      <c r="AK1567">
        <f t="shared" si="266"/>
        <v>0</v>
      </c>
      <c r="AL1567">
        <f t="shared" si="274"/>
        <v>1</v>
      </c>
    </row>
    <row r="1568" spans="1:38">
      <c r="A1568" t="s">
        <v>4831</v>
      </c>
      <c r="B1568" t="s">
        <v>4832</v>
      </c>
      <c r="C1568" s="1">
        <f t="shared" si="267"/>
        <v>45566</v>
      </c>
      <c r="D1568" t="s">
        <v>4833</v>
      </c>
      <c r="E1568">
        <v>210.1</v>
      </c>
      <c r="F1568">
        <v>8.8000000000000007</v>
      </c>
      <c r="G1568" t="s">
        <v>142</v>
      </c>
      <c r="H1568" t="s">
        <v>729</v>
      </c>
      <c r="I1568" t="s">
        <v>32</v>
      </c>
      <c r="J1568">
        <v>240</v>
      </c>
      <c r="K1568" t="s">
        <v>49</v>
      </c>
      <c r="L1568" t="s">
        <v>70</v>
      </c>
      <c r="M1568" t="s">
        <v>35</v>
      </c>
      <c r="N1568" t="s">
        <v>164</v>
      </c>
      <c r="O1568" t="s">
        <v>51</v>
      </c>
      <c r="P1568" t="s">
        <v>38</v>
      </c>
      <c r="Q1568" t="s">
        <v>38</v>
      </c>
      <c r="R1568">
        <v>1</v>
      </c>
      <c r="S1568" t="s">
        <v>38</v>
      </c>
      <c r="T1568">
        <v>8</v>
      </c>
      <c r="U1568">
        <v>1</v>
      </c>
      <c r="V1568">
        <v>12.6</v>
      </c>
      <c r="W1568" t="s">
        <v>38</v>
      </c>
      <c r="X1568" t="s">
        <v>40</v>
      </c>
      <c r="Y1568" t="s">
        <v>38</v>
      </c>
      <c r="Z1568" t="s">
        <v>108</v>
      </c>
      <c r="AA1568" t="s">
        <v>109</v>
      </c>
      <c r="AB1568" t="s">
        <v>83</v>
      </c>
      <c r="AC1568">
        <f t="shared" si="264"/>
        <v>0</v>
      </c>
      <c r="AD1568" s="12">
        <f t="shared" si="268"/>
        <v>0</v>
      </c>
      <c r="AE1568" s="12">
        <f t="shared" si="269"/>
        <v>0</v>
      </c>
      <c r="AF1568">
        <f t="shared" si="265"/>
        <v>1</v>
      </c>
      <c r="AG1568">
        <f t="shared" si="270"/>
        <v>0</v>
      </c>
      <c r="AH1568">
        <f t="shared" si="271"/>
        <v>0</v>
      </c>
      <c r="AI1568">
        <f t="shared" si="272"/>
        <v>0</v>
      </c>
      <c r="AJ1568">
        <f t="shared" si="273"/>
        <v>1</v>
      </c>
      <c r="AK1568">
        <f t="shared" si="266"/>
        <v>0</v>
      </c>
      <c r="AL1568">
        <f t="shared" si="274"/>
        <v>1</v>
      </c>
    </row>
    <row r="1569" spans="1:38">
      <c r="A1569" t="s">
        <v>4834</v>
      </c>
      <c r="B1569" t="s">
        <v>4835</v>
      </c>
      <c r="C1569" s="1">
        <f t="shared" si="267"/>
        <v>45536</v>
      </c>
      <c r="D1569" t="s">
        <v>4836</v>
      </c>
      <c r="E1569">
        <v>191.3</v>
      </c>
      <c r="F1569">
        <v>8</v>
      </c>
      <c r="G1569" t="s">
        <v>142</v>
      </c>
      <c r="H1569" t="s">
        <v>729</v>
      </c>
      <c r="I1569" t="s">
        <v>32</v>
      </c>
      <c r="J1569">
        <v>240</v>
      </c>
      <c r="K1569" t="s">
        <v>49</v>
      </c>
      <c r="L1569" t="s">
        <v>34</v>
      </c>
      <c r="M1569" t="s">
        <v>35</v>
      </c>
      <c r="N1569" t="s">
        <v>97</v>
      </c>
      <c r="O1569" t="s">
        <v>37</v>
      </c>
      <c r="P1569" t="s">
        <v>38</v>
      </c>
      <c r="Q1569" t="s">
        <v>38</v>
      </c>
      <c r="R1569">
        <v>1</v>
      </c>
      <c r="S1569" t="s">
        <v>39</v>
      </c>
      <c r="T1569">
        <v>8</v>
      </c>
      <c r="U1569">
        <v>1.1000000000000001</v>
      </c>
      <c r="V1569">
        <v>8.6999999999999993</v>
      </c>
      <c r="W1569" t="s">
        <v>39</v>
      </c>
      <c r="X1569" t="s">
        <v>63</v>
      </c>
      <c r="Y1569" t="s">
        <v>38</v>
      </c>
      <c r="Z1569" t="s">
        <v>115</v>
      </c>
      <c r="AA1569" t="s">
        <v>42</v>
      </c>
      <c r="AB1569" t="s">
        <v>55</v>
      </c>
      <c r="AC1569">
        <f t="shared" si="264"/>
        <v>0</v>
      </c>
      <c r="AD1569" s="12">
        <f t="shared" si="268"/>
        <v>1</v>
      </c>
      <c r="AE1569" s="12">
        <f t="shared" si="269"/>
        <v>0</v>
      </c>
      <c r="AF1569">
        <f t="shared" si="265"/>
        <v>0</v>
      </c>
      <c r="AG1569">
        <f t="shared" si="270"/>
        <v>0</v>
      </c>
      <c r="AH1569">
        <f t="shared" si="271"/>
        <v>0</v>
      </c>
      <c r="AI1569">
        <f t="shared" si="272"/>
        <v>0</v>
      </c>
      <c r="AJ1569">
        <f t="shared" si="273"/>
        <v>1</v>
      </c>
      <c r="AK1569">
        <f t="shared" si="266"/>
        <v>0</v>
      </c>
      <c r="AL1569">
        <f t="shared" si="274"/>
        <v>1</v>
      </c>
    </row>
    <row r="1570" spans="1:38">
      <c r="A1570" t="s">
        <v>4837</v>
      </c>
      <c r="B1570" t="s">
        <v>4838</v>
      </c>
      <c r="C1570" s="1">
        <f t="shared" si="267"/>
        <v>45383</v>
      </c>
      <c r="D1570" t="s">
        <v>4839</v>
      </c>
      <c r="E1570">
        <v>623.9</v>
      </c>
      <c r="F1570">
        <v>26</v>
      </c>
      <c r="G1570" t="s">
        <v>59</v>
      </c>
      <c r="H1570" t="s">
        <v>466</v>
      </c>
      <c r="I1570" t="s">
        <v>32</v>
      </c>
      <c r="J1570">
        <v>240</v>
      </c>
      <c r="K1570" t="s">
        <v>33</v>
      </c>
      <c r="L1570" t="s">
        <v>96</v>
      </c>
      <c r="M1570" t="s">
        <v>71</v>
      </c>
      <c r="N1570" t="s">
        <v>192</v>
      </c>
      <c r="O1570" t="s">
        <v>7232</v>
      </c>
      <c r="P1570" t="s">
        <v>38</v>
      </c>
      <c r="Q1570" t="s">
        <v>39</v>
      </c>
      <c r="R1570">
        <v>2</v>
      </c>
      <c r="S1570" t="s">
        <v>38</v>
      </c>
      <c r="T1570">
        <v>6</v>
      </c>
      <c r="U1570">
        <v>0.1</v>
      </c>
      <c r="V1570">
        <v>23.7</v>
      </c>
      <c r="W1570" t="s">
        <v>39</v>
      </c>
      <c r="X1570" t="s">
        <v>63</v>
      </c>
      <c r="Y1570" t="s">
        <v>39</v>
      </c>
      <c r="Z1570" t="s">
        <v>64</v>
      </c>
      <c r="AA1570" t="s">
        <v>82</v>
      </c>
      <c r="AB1570" t="s">
        <v>55</v>
      </c>
      <c r="AC1570">
        <f t="shared" si="264"/>
        <v>0</v>
      </c>
      <c r="AD1570" s="12">
        <f t="shared" si="268"/>
        <v>1</v>
      </c>
      <c r="AE1570" s="12">
        <f t="shared" si="269"/>
        <v>0</v>
      </c>
      <c r="AF1570">
        <f t="shared" si="265"/>
        <v>0</v>
      </c>
      <c r="AG1570">
        <f t="shared" si="270"/>
        <v>1</v>
      </c>
      <c r="AH1570">
        <f t="shared" si="271"/>
        <v>0</v>
      </c>
      <c r="AI1570">
        <f t="shared" si="272"/>
        <v>0</v>
      </c>
      <c r="AJ1570">
        <f t="shared" si="273"/>
        <v>1</v>
      </c>
      <c r="AK1570">
        <f t="shared" si="266"/>
        <v>0</v>
      </c>
      <c r="AL1570">
        <f t="shared" si="274"/>
        <v>0</v>
      </c>
    </row>
    <row r="1571" spans="1:38">
      <c r="A1571" t="s">
        <v>4840</v>
      </c>
      <c r="B1571" t="s">
        <v>4841</v>
      </c>
      <c r="C1571" s="1">
        <f t="shared" si="267"/>
        <v>45323</v>
      </c>
      <c r="D1571" t="s">
        <v>4842</v>
      </c>
      <c r="E1571">
        <v>235.5</v>
      </c>
      <c r="F1571">
        <v>9.8000000000000007</v>
      </c>
      <c r="G1571" t="s">
        <v>93</v>
      </c>
      <c r="H1571" t="s">
        <v>449</v>
      </c>
      <c r="I1571" t="s">
        <v>79</v>
      </c>
      <c r="J1571">
        <v>360</v>
      </c>
      <c r="K1571" t="s">
        <v>49</v>
      </c>
      <c r="L1571" t="s">
        <v>96</v>
      </c>
      <c r="M1571" t="s">
        <v>35</v>
      </c>
      <c r="N1571" t="s">
        <v>61</v>
      </c>
      <c r="O1571" t="s">
        <v>7232</v>
      </c>
      <c r="P1571" t="s">
        <v>38</v>
      </c>
      <c r="Q1571" t="s">
        <v>38</v>
      </c>
      <c r="R1571">
        <v>1</v>
      </c>
      <c r="S1571" t="s">
        <v>38</v>
      </c>
      <c r="T1571">
        <v>8</v>
      </c>
      <c r="U1571">
        <v>2.6</v>
      </c>
      <c r="V1571">
        <v>5.9</v>
      </c>
      <c r="W1571" t="s">
        <v>39</v>
      </c>
      <c r="X1571" t="s">
        <v>63</v>
      </c>
      <c r="Y1571" t="s">
        <v>39</v>
      </c>
      <c r="Z1571" t="s">
        <v>81</v>
      </c>
      <c r="AA1571" t="s">
        <v>109</v>
      </c>
      <c r="AB1571" t="s">
        <v>83</v>
      </c>
      <c r="AC1571">
        <f t="shared" si="264"/>
        <v>0</v>
      </c>
      <c r="AD1571" s="12">
        <f t="shared" si="268"/>
        <v>1</v>
      </c>
      <c r="AE1571" s="12">
        <f t="shared" si="269"/>
        <v>0</v>
      </c>
      <c r="AF1571">
        <f t="shared" si="265"/>
        <v>0</v>
      </c>
      <c r="AG1571">
        <f t="shared" si="270"/>
        <v>1</v>
      </c>
      <c r="AH1571">
        <f t="shared" si="271"/>
        <v>0</v>
      </c>
      <c r="AI1571">
        <f t="shared" si="272"/>
        <v>0</v>
      </c>
      <c r="AJ1571">
        <f t="shared" si="273"/>
        <v>0</v>
      </c>
      <c r="AK1571">
        <f t="shared" si="266"/>
        <v>0</v>
      </c>
      <c r="AL1571">
        <f t="shared" si="274"/>
        <v>0</v>
      </c>
    </row>
    <row r="1572" spans="1:38">
      <c r="A1572" t="s">
        <v>4843</v>
      </c>
      <c r="B1572" t="s">
        <v>4844</v>
      </c>
      <c r="C1572" s="1">
        <f t="shared" si="267"/>
        <v>45627</v>
      </c>
      <c r="D1572" t="s">
        <v>4845</v>
      </c>
      <c r="E1572">
        <v>300.5</v>
      </c>
      <c r="F1572">
        <v>12.5</v>
      </c>
      <c r="G1572" t="s">
        <v>68</v>
      </c>
      <c r="H1572" t="s">
        <v>212</v>
      </c>
      <c r="I1572" t="s">
        <v>32</v>
      </c>
      <c r="J1572">
        <v>240</v>
      </c>
      <c r="K1572" t="s">
        <v>33</v>
      </c>
      <c r="L1572" t="s">
        <v>96</v>
      </c>
      <c r="M1572" t="s">
        <v>71</v>
      </c>
      <c r="N1572" t="s">
        <v>277</v>
      </c>
      <c r="O1572" t="s">
        <v>7232</v>
      </c>
      <c r="P1572" t="s">
        <v>38</v>
      </c>
      <c r="Q1572" t="s">
        <v>39</v>
      </c>
      <c r="R1572">
        <v>3</v>
      </c>
      <c r="S1572" t="s">
        <v>38</v>
      </c>
      <c r="T1572">
        <v>7</v>
      </c>
      <c r="U1572">
        <v>1.4</v>
      </c>
      <c r="V1572">
        <v>10.3</v>
      </c>
      <c r="W1572" t="s">
        <v>39</v>
      </c>
      <c r="X1572" t="s">
        <v>123</v>
      </c>
      <c r="Y1572" t="s">
        <v>38</v>
      </c>
      <c r="Z1572" t="s">
        <v>179</v>
      </c>
      <c r="AA1572" t="s">
        <v>82</v>
      </c>
      <c r="AB1572" t="s">
        <v>83</v>
      </c>
      <c r="AC1572">
        <f t="shared" si="264"/>
        <v>0</v>
      </c>
      <c r="AD1572" s="12">
        <f t="shared" si="268"/>
        <v>0</v>
      </c>
      <c r="AE1572" s="12">
        <f t="shared" si="269"/>
        <v>1</v>
      </c>
      <c r="AF1572">
        <f t="shared" si="265"/>
        <v>0</v>
      </c>
      <c r="AG1572">
        <f t="shared" si="270"/>
        <v>1</v>
      </c>
      <c r="AH1572">
        <f t="shared" si="271"/>
        <v>0</v>
      </c>
      <c r="AI1572">
        <f t="shared" si="272"/>
        <v>0</v>
      </c>
      <c r="AJ1572">
        <f t="shared" si="273"/>
        <v>1</v>
      </c>
      <c r="AK1572">
        <f t="shared" si="266"/>
        <v>0</v>
      </c>
      <c r="AL1572">
        <f t="shared" si="274"/>
        <v>1</v>
      </c>
    </row>
    <row r="1573" spans="1:38">
      <c r="A1573" t="s">
        <v>4846</v>
      </c>
      <c r="B1573" t="s">
        <v>4847</v>
      </c>
      <c r="C1573" s="1">
        <f t="shared" si="267"/>
        <v>45536</v>
      </c>
      <c r="D1573" t="s">
        <v>4848</v>
      </c>
      <c r="E1573">
        <v>333.7</v>
      </c>
      <c r="F1573">
        <v>13.9</v>
      </c>
      <c r="G1573" t="s">
        <v>93</v>
      </c>
      <c r="H1573" t="s">
        <v>94</v>
      </c>
      <c r="I1573" t="s">
        <v>79</v>
      </c>
      <c r="J1573">
        <v>360</v>
      </c>
      <c r="K1573" t="s">
        <v>49</v>
      </c>
      <c r="L1573" t="s">
        <v>96</v>
      </c>
      <c r="M1573" t="s">
        <v>35</v>
      </c>
      <c r="N1573" t="s">
        <v>128</v>
      </c>
      <c r="O1573" t="s">
        <v>51</v>
      </c>
      <c r="P1573" t="s">
        <v>39</v>
      </c>
      <c r="Q1573" t="s">
        <v>38</v>
      </c>
      <c r="R1573">
        <v>0</v>
      </c>
      <c r="S1573" t="s">
        <v>38</v>
      </c>
      <c r="T1573">
        <v>10</v>
      </c>
      <c r="U1573">
        <v>2.9</v>
      </c>
      <c r="V1573">
        <v>14.9</v>
      </c>
      <c r="W1573" t="s">
        <v>39</v>
      </c>
      <c r="X1573" t="s">
        <v>52</v>
      </c>
      <c r="Y1573" t="s">
        <v>38</v>
      </c>
      <c r="Z1573" t="s">
        <v>73</v>
      </c>
      <c r="AA1573" t="s">
        <v>82</v>
      </c>
      <c r="AB1573" t="s">
        <v>43</v>
      </c>
      <c r="AC1573">
        <f t="shared" si="264"/>
        <v>1</v>
      </c>
      <c r="AD1573" s="12">
        <f t="shared" si="268"/>
        <v>0</v>
      </c>
      <c r="AE1573" s="12">
        <f t="shared" si="269"/>
        <v>0</v>
      </c>
      <c r="AF1573">
        <f t="shared" si="265"/>
        <v>1</v>
      </c>
      <c r="AG1573">
        <f t="shared" si="270"/>
        <v>0</v>
      </c>
      <c r="AH1573">
        <f t="shared" si="271"/>
        <v>0</v>
      </c>
      <c r="AI1573">
        <f t="shared" si="272"/>
        <v>0</v>
      </c>
      <c r="AJ1573">
        <f t="shared" si="273"/>
        <v>0</v>
      </c>
      <c r="AK1573">
        <f t="shared" si="266"/>
        <v>0</v>
      </c>
      <c r="AL1573">
        <f t="shared" si="274"/>
        <v>1</v>
      </c>
    </row>
    <row r="1574" spans="1:38">
      <c r="A1574" t="s">
        <v>4849</v>
      </c>
      <c r="B1574" t="s">
        <v>4850</v>
      </c>
      <c r="C1574" s="1">
        <f t="shared" si="267"/>
        <v>45566</v>
      </c>
      <c r="D1574" t="s">
        <v>4851</v>
      </c>
      <c r="E1574">
        <v>203.6</v>
      </c>
      <c r="F1574">
        <v>8.5</v>
      </c>
      <c r="G1574" t="s">
        <v>142</v>
      </c>
      <c r="H1574" t="s">
        <v>319</v>
      </c>
      <c r="I1574" t="s">
        <v>32</v>
      </c>
      <c r="J1574">
        <v>240</v>
      </c>
      <c r="K1574" t="s">
        <v>49</v>
      </c>
      <c r="L1574" t="s">
        <v>34</v>
      </c>
      <c r="M1574" t="s">
        <v>71</v>
      </c>
      <c r="N1574" t="s">
        <v>414</v>
      </c>
      <c r="O1574" t="s">
        <v>7232</v>
      </c>
      <c r="P1574" t="s">
        <v>38</v>
      </c>
      <c r="Q1574" t="s">
        <v>39</v>
      </c>
      <c r="R1574">
        <v>1</v>
      </c>
      <c r="S1574" t="s">
        <v>38</v>
      </c>
      <c r="T1574">
        <v>7</v>
      </c>
      <c r="U1574">
        <v>3.6</v>
      </c>
      <c r="V1574">
        <v>0</v>
      </c>
      <c r="W1574" t="s">
        <v>39</v>
      </c>
      <c r="X1574" t="s">
        <v>63</v>
      </c>
      <c r="Y1574" t="s">
        <v>39</v>
      </c>
      <c r="Z1574" t="s">
        <v>41</v>
      </c>
      <c r="AA1574" t="s">
        <v>54</v>
      </c>
      <c r="AB1574" t="s">
        <v>83</v>
      </c>
      <c r="AC1574">
        <f t="shared" si="264"/>
        <v>0</v>
      </c>
      <c r="AD1574" s="12">
        <f t="shared" si="268"/>
        <v>1</v>
      </c>
      <c r="AE1574" s="12">
        <f t="shared" si="269"/>
        <v>0</v>
      </c>
      <c r="AF1574">
        <f t="shared" si="265"/>
        <v>0</v>
      </c>
      <c r="AG1574">
        <f t="shared" si="270"/>
        <v>1</v>
      </c>
      <c r="AH1574">
        <f t="shared" si="271"/>
        <v>0</v>
      </c>
      <c r="AI1574">
        <f t="shared" si="272"/>
        <v>0</v>
      </c>
      <c r="AJ1574">
        <f t="shared" si="273"/>
        <v>1</v>
      </c>
      <c r="AK1574">
        <f t="shared" si="266"/>
        <v>0</v>
      </c>
      <c r="AL1574">
        <f t="shared" si="274"/>
        <v>0</v>
      </c>
    </row>
    <row r="1575" spans="1:38">
      <c r="A1575" t="s">
        <v>4852</v>
      </c>
      <c r="B1575" t="s">
        <v>4853</v>
      </c>
      <c r="C1575" s="1">
        <f t="shared" si="267"/>
        <v>45413</v>
      </c>
      <c r="D1575" t="s">
        <v>4854</v>
      </c>
      <c r="E1575">
        <v>96.5</v>
      </c>
      <c r="F1575">
        <v>4</v>
      </c>
      <c r="G1575" t="s">
        <v>59</v>
      </c>
      <c r="H1575" t="s">
        <v>466</v>
      </c>
      <c r="I1575" t="s">
        <v>48</v>
      </c>
      <c r="J1575">
        <v>120</v>
      </c>
      <c r="K1575" t="s">
        <v>49</v>
      </c>
      <c r="L1575" t="s">
        <v>70</v>
      </c>
      <c r="M1575" t="s">
        <v>71</v>
      </c>
      <c r="N1575" t="s">
        <v>89</v>
      </c>
      <c r="O1575" t="s">
        <v>7232</v>
      </c>
      <c r="P1575" t="s">
        <v>38</v>
      </c>
      <c r="Q1575" t="s">
        <v>39</v>
      </c>
      <c r="R1575">
        <v>4</v>
      </c>
      <c r="S1575" t="s">
        <v>38</v>
      </c>
      <c r="T1575">
        <v>8</v>
      </c>
      <c r="U1575">
        <v>3.4</v>
      </c>
      <c r="V1575">
        <v>13.5</v>
      </c>
      <c r="W1575" t="s">
        <v>39</v>
      </c>
      <c r="X1575" t="s">
        <v>52</v>
      </c>
      <c r="Y1575" t="s">
        <v>38</v>
      </c>
      <c r="Z1575" t="s">
        <v>53</v>
      </c>
      <c r="AA1575" t="s">
        <v>42</v>
      </c>
      <c r="AB1575" t="s">
        <v>83</v>
      </c>
      <c r="AC1575">
        <f t="shared" si="264"/>
        <v>1</v>
      </c>
      <c r="AD1575" s="12">
        <f t="shared" si="268"/>
        <v>0</v>
      </c>
      <c r="AE1575" s="12">
        <f t="shared" si="269"/>
        <v>0</v>
      </c>
      <c r="AF1575">
        <f t="shared" si="265"/>
        <v>0</v>
      </c>
      <c r="AG1575">
        <f t="shared" si="270"/>
        <v>1</v>
      </c>
      <c r="AH1575">
        <f t="shared" si="271"/>
        <v>1</v>
      </c>
      <c r="AI1575">
        <f t="shared" si="272"/>
        <v>0</v>
      </c>
      <c r="AJ1575">
        <f t="shared" si="273"/>
        <v>0</v>
      </c>
      <c r="AK1575">
        <f t="shared" si="266"/>
        <v>0</v>
      </c>
      <c r="AL1575">
        <f t="shared" si="274"/>
        <v>1</v>
      </c>
    </row>
    <row r="1576" spans="1:38">
      <c r="A1576" t="s">
        <v>4855</v>
      </c>
      <c r="B1576" t="s">
        <v>4856</v>
      </c>
      <c r="C1576" s="1">
        <f t="shared" si="267"/>
        <v>45383</v>
      </c>
      <c r="D1576" t="s">
        <v>4857</v>
      </c>
      <c r="E1576">
        <v>978.9</v>
      </c>
      <c r="F1576">
        <v>40.799999999999997</v>
      </c>
      <c r="G1576" t="s">
        <v>77</v>
      </c>
      <c r="H1576" t="s">
        <v>244</v>
      </c>
      <c r="I1576" t="s">
        <v>79</v>
      </c>
      <c r="J1576">
        <v>360</v>
      </c>
      <c r="K1576" t="s">
        <v>33</v>
      </c>
      <c r="L1576" t="s">
        <v>96</v>
      </c>
      <c r="M1576" t="s">
        <v>35</v>
      </c>
      <c r="N1576" t="s">
        <v>134</v>
      </c>
      <c r="O1576" t="s">
        <v>7232</v>
      </c>
      <c r="P1576" t="s">
        <v>38</v>
      </c>
      <c r="Q1576" t="s">
        <v>38</v>
      </c>
      <c r="R1576">
        <v>1</v>
      </c>
      <c r="S1576" t="s">
        <v>38</v>
      </c>
      <c r="T1576">
        <v>8</v>
      </c>
      <c r="U1576">
        <v>0.1</v>
      </c>
      <c r="V1576">
        <v>15.1</v>
      </c>
      <c r="W1576" t="s">
        <v>39</v>
      </c>
      <c r="X1576" t="s">
        <v>123</v>
      </c>
      <c r="Y1576" t="s">
        <v>38</v>
      </c>
      <c r="Z1576" t="s">
        <v>108</v>
      </c>
      <c r="AA1576" t="s">
        <v>54</v>
      </c>
      <c r="AB1576" t="s">
        <v>83</v>
      </c>
      <c r="AC1576">
        <f t="shared" si="264"/>
        <v>0</v>
      </c>
      <c r="AD1576" s="12">
        <f t="shared" si="268"/>
        <v>0</v>
      </c>
      <c r="AE1576" s="12">
        <f t="shared" si="269"/>
        <v>1</v>
      </c>
      <c r="AF1576">
        <f t="shared" si="265"/>
        <v>0</v>
      </c>
      <c r="AG1576">
        <f t="shared" si="270"/>
        <v>1</v>
      </c>
      <c r="AH1576">
        <f t="shared" si="271"/>
        <v>0</v>
      </c>
      <c r="AI1576">
        <f t="shared" si="272"/>
        <v>0</v>
      </c>
      <c r="AJ1576">
        <f t="shared" si="273"/>
        <v>0</v>
      </c>
      <c r="AK1576">
        <f t="shared" si="266"/>
        <v>0</v>
      </c>
      <c r="AL1576">
        <f t="shared" si="274"/>
        <v>1</v>
      </c>
    </row>
    <row r="1577" spans="1:38">
      <c r="A1577" t="s">
        <v>4858</v>
      </c>
      <c r="B1577" t="s">
        <v>4859</v>
      </c>
      <c r="C1577" s="1">
        <f t="shared" si="267"/>
        <v>45352</v>
      </c>
      <c r="D1577" t="s">
        <v>4860</v>
      </c>
      <c r="E1577">
        <v>206.5</v>
      </c>
      <c r="F1577">
        <v>8.6</v>
      </c>
      <c r="G1577" t="s">
        <v>87</v>
      </c>
      <c r="H1577" t="s">
        <v>151</v>
      </c>
      <c r="I1577" t="s">
        <v>32</v>
      </c>
      <c r="J1577">
        <v>240</v>
      </c>
      <c r="K1577" t="s">
        <v>49</v>
      </c>
      <c r="L1577" t="s">
        <v>34</v>
      </c>
      <c r="M1577" t="s">
        <v>35</v>
      </c>
      <c r="N1577" t="s">
        <v>220</v>
      </c>
      <c r="O1577" t="s">
        <v>7232</v>
      </c>
      <c r="P1577" t="s">
        <v>38</v>
      </c>
      <c r="Q1577" t="s">
        <v>38</v>
      </c>
      <c r="R1577">
        <v>1</v>
      </c>
      <c r="S1577" t="s">
        <v>38</v>
      </c>
      <c r="T1577">
        <v>9</v>
      </c>
      <c r="U1577">
        <v>2.8</v>
      </c>
      <c r="V1577">
        <v>25.5</v>
      </c>
      <c r="W1577" t="s">
        <v>39</v>
      </c>
      <c r="X1577" t="s">
        <v>123</v>
      </c>
      <c r="Y1577" t="s">
        <v>38</v>
      </c>
      <c r="Z1577" t="s">
        <v>64</v>
      </c>
      <c r="AA1577" t="s">
        <v>82</v>
      </c>
      <c r="AB1577" t="s">
        <v>43</v>
      </c>
      <c r="AC1577">
        <f t="shared" si="264"/>
        <v>0</v>
      </c>
      <c r="AD1577" s="12">
        <f t="shared" si="268"/>
        <v>0</v>
      </c>
      <c r="AE1577" s="12">
        <f t="shared" si="269"/>
        <v>1</v>
      </c>
      <c r="AF1577">
        <f t="shared" si="265"/>
        <v>0</v>
      </c>
      <c r="AG1577">
        <f t="shared" si="270"/>
        <v>1</v>
      </c>
      <c r="AH1577">
        <f t="shared" si="271"/>
        <v>0</v>
      </c>
      <c r="AI1577">
        <f t="shared" si="272"/>
        <v>0</v>
      </c>
      <c r="AJ1577">
        <f t="shared" si="273"/>
        <v>1</v>
      </c>
      <c r="AK1577">
        <f t="shared" si="266"/>
        <v>0</v>
      </c>
      <c r="AL1577">
        <f t="shared" si="274"/>
        <v>1</v>
      </c>
    </row>
    <row r="1578" spans="1:38">
      <c r="A1578" t="s">
        <v>4861</v>
      </c>
      <c r="B1578" t="s">
        <v>4862</v>
      </c>
      <c r="C1578" s="1">
        <f t="shared" si="267"/>
        <v>45627</v>
      </c>
      <c r="D1578" t="s">
        <v>4863</v>
      </c>
      <c r="E1578">
        <v>200.9</v>
      </c>
      <c r="F1578">
        <v>8.4</v>
      </c>
      <c r="G1578" t="s">
        <v>101</v>
      </c>
      <c r="H1578" t="s">
        <v>368</v>
      </c>
      <c r="I1578" t="s">
        <v>32</v>
      </c>
      <c r="J1578">
        <v>240</v>
      </c>
      <c r="K1578" t="s">
        <v>49</v>
      </c>
      <c r="L1578" t="s">
        <v>133</v>
      </c>
      <c r="M1578" t="s">
        <v>35</v>
      </c>
      <c r="N1578" t="s">
        <v>192</v>
      </c>
      <c r="O1578" t="s">
        <v>7232</v>
      </c>
      <c r="P1578" t="s">
        <v>39</v>
      </c>
      <c r="Q1578" t="s">
        <v>38</v>
      </c>
      <c r="R1578">
        <v>0</v>
      </c>
      <c r="S1578" t="s">
        <v>38</v>
      </c>
      <c r="T1578">
        <v>10</v>
      </c>
      <c r="U1578">
        <v>3.4</v>
      </c>
      <c r="V1578">
        <v>1.2</v>
      </c>
      <c r="W1578" t="s">
        <v>38</v>
      </c>
      <c r="X1578" t="s">
        <v>40</v>
      </c>
      <c r="Y1578" t="s">
        <v>38</v>
      </c>
      <c r="Z1578" t="s">
        <v>179</v>
      </c>
      <c r="AA1578" t="s">
        <v>103</v>
      </c>
      <c r="AB1578" t="s">
        <v>83</v>
      </c>
      <c r="AC1578">
        <f t="shared" si="264"/>
        <v>0</v>
      </c>
      <c r="AD1578" s="12">
        <f t="shared" si="268"/>
        <v>0</v>
      </c>
      <c r="AE1578" s="12">
        <f t="shared" si="269"/>
        <v>0</v>
      </c>
      <c r="AF1578">
        <f t="shared" si="265"/>
        <v>0</v>
      </c>
      <c r="AG1578">
        <f t="shared" si="270"/>
        <v>1</v>
      </c>
      <c r="AH1578">
        <f t="shared" si="271"/>
        <v>0</v>
      </c>
      <c r="AI1578">
        <f t="shared" si="272"/>
        <v>0</v>
      </c>
      <c r="AJ1578">
        <f t="shared" si="273"/>
        <v>1</v>
      </c>
      <c r="AK1578">
        <f t="shared" si="266"/>
        <v>0</v>
      </c>
      <c r="AL1578">
        <f t="shared" si="274"/>
        <v>1</v>
      </c>
    </row>
    <row r="1579" spans="1:38">
      <c r="A1579" t="s">
        <v>4864</v>
      </c>
      <c r="B1579" t="s">
        <v>4865</v>
      </c>
      <c r="C1579" s="1">
        <f t="shared" si="267"/>
        <v>45597</v>
      </c>
      <c r="D1579" t="s">
        <v>4866</v>
      </c>
      <c r="E1579">
        <v>198.4</v>
      </c>
      <c r="F1579">
        <v>8.3000000000000007</v>
      </c>
      <c r="G1579" t="s">
        <v>30</v>
      </c>
      <c r="H1579" t="s">
        <v>172</v>
      </c>
      <c r="I1579" t="s">
        <v>32</v>
      </c>
      <c r="J1579">
        <v>240</v>
      </c>
      <c r="K1579" t="s">
        <v>49</v>
      </c>
      <c r="L1579" t="s">
        <v>70</v>
      </c>
      <c r="M1579" t="s">
        <v>71</v>
      </c>
      <c r="N1579" t="s">
        <v>61</v>
      </c>
      <c r="O1579" t="s">
        <v>7232</v>
      </c>
      <c r="P1579" t="s">
        <v>38</v>
      </c>
      <c r="Q1579" t="s">
        <v>39</v>
      </c>
      <c r="R1579">
        <v>4</v>
      </c>
      <c r="S1579" t="s">
        <v>39</v>
      </c>
      <c r="T1579">
        <v>8</v>
      </c>
      <c r="U1579">
        <v>2.9</v>
      </c>
      <c r="V1579">
        <v>17.100000000000001</v>
      </c>
      <c r="W1579" t="s">
        <v>38</v>
      </c>
      <c r="X1579" t="s">
        <v>123</v>
      </c>
      <c r="Y1579" t="s">
        <v>39</v>
      </c>
      <c r="Z1579" t="s">
        <v>179</v>
      </c>
      <c r="AA1579" t="s">
        <v>109</v>
      </c>
      <c r="AB1579" t="s">
        <v>83</v>
      </c>
      <c r="AC1579">
        <f t="shared" si="264"/>
        <v>0</v>
      </c>
      <c r="AD1579" s="12">
        <f t="shared" si="268"/>
        <v>0</v>
      </c>
      <c r="AE1579" s="12">
        <f t="shared" si="269"/>
        <v>1</v>
      </c>
      <c r="AF1579">
        <f t="shared" si="265"/>
        <v>0</v>
      </c>
      <c r="AG1579">
        <f t="shared" si="270"/>
        <v>1</v>
      </c>
      <c r="AH1579">
        <f t="shared" si="271"/>
        <v>0</v>
      </c>
      <c r="AI1579">
        <f t="shared" si="272"/>
        <v>0</v>
      </c>
      <c r="AJ1579">
        <f t="shared" si="273"/>
        <v>1</v>
      </c>
      <c r="AK1579">
        <f t="shared" si="266"/>
        <v>1</v>
      </c>
      <c r="AL1579">
        <f t="shared" si="274"/>
        <v>0</v>
      </c>
    </row>
    <row r="1580" spans="1:38">
      <c r="A1580" t="s">
        <v>4867</v>
      </c>
      <c r="B1580" t="s">
        <v>4868</v>
      </c>
      <c r="C1580" s="1">
        <f t="shared" si="267"/>
        <v>45566</v>
      </c>
      <c r="D1580" t="s">
        <v>4869</v>
      </c>
      <c r="E1580">
        <v>164</v>
      </c>
      <c r="F1580">
        <v>6.8</v>
      </c>
      <c r="G1580" t="s">
        <v>59</v>
      </c>
      <c r="H1580" t="s">
        <v>127</v>
      </c>
      <c r="I1580" t="s">
        <v>32</v>
      </c>
      <c r="J1580">
        <v>240</v>
      </c>
      <c r="K1580" t="s">
        <v>49</v>
      </c>
      <c r="L1580" t="s">
        <v>70</v>
      </c>
      <c r="M1580" t="s">
        <v>35</v>
      </c>
      <c r="N1580" t="s">
        <v>506</v>
      </c>
      <c r="O1580" t="s">
        <v>37</v>
      </c>
      <c r="P1580" t="s">
        <v>38</v>
      </c>
      <c r="Q1580" t="s">
        <v>38</v>
      </c>
      <c r="R1580">
        <v>1</v>
      </c>
      <c r="S1580" t="s">
        <v>39</v>
      </c>
      <c r="T1580">
        <v>10</v>
      </c>
      <c r="U1580">
        <v>0.1</v>
      </c>
      <c r="V1580">
        <v>21.3</v>
      </c>
      <c r="W1580" t="s">
        <v>39</v>
      </c>
      <c r="X1580" t="s">
        <v>63</v>
      </c>
      <c r="Y1580" t="s">
        <v>39</v>
      </c>
      <c r="Z1580" t="s">
        <v>108</v>
      </c>
      <c r="AA1580" t="s">
        <v>103</v>
      </c>
      <c r="AB1580" t="s">
        <v>55</v>
      </c>
      <c r="AC1580">
        <f t="shared" si="264"/>
        <v>0</v>
      </c>
      <c r="AD1580" s="12">
        <f t="shared" si="268"/>
        <v>1</v>
      </c>
      <c r="AE1580" s="12">
        <f t="shared" si="269"/>
        <v>0</v>
      </c>
      <c r="AF1580">
        <f t="shared" si="265"/>
        <v>0</v>
      </c>
      <c r="AG1580">
        <f t="shared" si="270"/>
        <v>0</v>
      </c>
      <c r="AH1580">
        <f t="shared" si="271"/>
        <v>0</v>
      </c>
      <c r="AI1580">
        <f t="shared" si="272"/>
        <v>0</v>
      </c>
      <c r="AJ1580">
        <f t="shared" si="273"/>
        <v>1</v>
      </c>
      <c r="AK1580">
        <f t="shared" si="266"/>
        <v>0</v>
      </c>
      <c r="AL1580">
        <f t="shared" si="274"/>
        <v>0</v>
      </c>
    </row>
    <row r="1581" spans="1:38">
      <c r="A1581" t="s">
        <v>4870</v>
      </c>
      <c r="B1581" t="s">
        <v>4871</v>
      </c>
      <c r="C1581" s="1">
        <f t="shared" si="267"/>
        <v>45383</v>
      </c>
      <c r="D1581" t="s">
        <v>4872</v>
      </c>
      <c r="E1581">
        <v>302.10000000000002</v>
      </c>
      <c r="F1581">
        <v>12.6</v>
      </c>
      <c r="G1581" t="s">
        <v>87</v>
      </c>
      <c r="H1581" t="s">
        <v>183</v>
      </c>
      <c r="I1581" t="s">
        <v>79</v>
      </c>
      <c r="J1581">
        <v>360</v>
      </c>
      <c r="K1581" t="s">
        <v>49</v>
      </c>
      <c r="L1581" t="s">
        <v>96</v>
      </c>
      <c r="M1581" t="s">
        <v>71</v>
      </c>
      <c r="N1581" t="s">
        <v>299</v>
      </c>
      <c r="O1581" t="s">
        <v>7232</v>
      </c>
      <c r="P1581" t="s">
        <v>38</v>
      </c>
      <c r="Q1581" t="s">
        <v>39</v>
      </c>
      <c r="R1581">
        <v>1</v>
      </c>
      <c r="S1581" t="s">
        <v>38</v>
      </c>
      <c r="T1581">
        <v>6</v>
      </c>
      <c r="U1581">
        <v>2.7</v>
      </c>
      <c r="V1581">
        <v>1</v>
      </c>
      <c r="W1581" t="s">
        <v>39</v>
      </c>
      <c r="X1581" t="s">
        <v>63</v>
      </c>
      <c r="Y1581" t="s">
        <v>38</v>
      </c>
      <c r="Z1581" t="s">
        <v>81</v>
      </c>
      <c r="AA1581" t="s">
        <v>82</v>
      </c>
      <c r="AB1581" t="s">
        <v>83</v>
      </c>
      <c r="AC1581">
        <f t="shared" si="264"/>
        <v>0</v>
      </c>
      <c r="AD1581" s="12">
        <f t="shared" si="268"/>
        <v>1</v>
      </c>
      <c r="AE1581" s="12">
        <f t="shared" si="269"/>
        <v>0</v>
      </c>
      <c r="AF1581">
        <f t="shared" si="265"/>
        <v>0</v>
      </c>
      <c r="AG1581">
        <f t="shared" si="270"/>
        <v>1</v>
      </c>
      <c r="AH1581">
        <f t="shared" si="271"/>
        <v>0</v>
      </c>
      <c r="AI1581">
        <f t="shared" si="272"/>
        <v>0</v>
      </c>
      <c r="AJ1581">
        <f t="shared" si="273"/>
        <v>0</v>
      </c>
      <c r="AK1581">
        <f t="shared" si="266"/>
        <v>0</v>
      </c>
      <c r="AL1581">
        <f t="shared" si="274"/>
        <v>1</v>
      </c>
    </row>
    <row r="1582" spans="1:38">
      <c r="A1582" t="s">
        <v>4873</v>
      </c>
      <c r="B1582" t="s">
        <v>4874</v>
      </c>
      <c r="C1582" s="1">
        <f t="shared" si="267"/>
        <v>45383</v>
      </c>
      <c r="D1582" t="s">
        <v>4875</v>
      </c>
      <c r="E1582">
        <v>112.5</v>
      </c>
      <c r="F1582">
        <v>4.7</v>
      </c>
      <c r="G1582" t="s">
        <v>87</v>
      </c>
      <c r="H1582" t="s">
        <v>183</v>
      </c>
      <c r="I1582" t="s">
        <v>48</v>
      </c>
      <c r="J1582">
        <v>120</v>
      </c>
      <c r="K1582" t="s">
        <v>49</v>
      </c>
      <c r="L1582" t="s">
        <v>70</v>
      </c>
      <c r="M1582" t="s">
        <v>71</v>
      </c>
      <c r="N1582" t="s">
        <v>107</v>
      </c>
      <c r="O1582" t="s">
        <v>51</v>
      </c>
      <c r="P1582" t="s">
        <v>38</v>
      </c>
      <c r="Q1582" t="s">
        <v>39</v>
      </c>
      <c r="R1582">
        <v>4</v>
      </c>
      <c r="S1582" t="s">
        <v>39</v>
      </c>
      <c r="T1582">
        <v>9</v>
      </c>
      <c r="U1582">
        <v>3.5</v>
      </c>
      <c r="V1582">
        <v>18.2</v>
      </c>
      <c r="W1582" t="s">
        <v>38</v>
      </c>
      <c r="X1582" t="s">
        <v>123</v>
      </c>
      <c r="Y1582" t="s">
        <v>38</v>
      </c>
      <c r="Z1582" t="s">
        <v>179</v>
      </c>
      <c r="AA1582" t="s">
        <v>82</v>
      </c>
      <c r="AB1582" t="s">
        <v>55</v>
      </c>
      <c r="AC1582">
        <f t="shared" si="264"/>
        <v>0</v>
      </c>
      <c r="AD1582" s="12">
        <f t="shared" si="268"/>
        <v>0</v>
      </c>
      <c r="AE1582" s="12">
        <f t="shared" si="269"/>
        <v>1</v>
      </c>
      <c r="AF1582">
        <f t="shared" si="265"/>
        <v>1</v>
      </c>
      <c r="AG1582">
        <f t="shared" si="270"/>
        <v>0</v>
      </c>
      <c r="AH1582">
        <f t="shared" si="271"/>
        <v>1</v>
      </c>
      <c r="AI1582">
        <f t="shared" si="272"/>
        <v>0</v>
      </c>
      <c r="AJ1582">
        <f t="shared" si="273"/>
        <v>0</v>
      </c>
      <c r="AK1582">
        <f t="shared" si="266"/>
        <v>0</v>
      </c>
      <c r="AL1582">
        <f t="shared" si="274"/>
        <v>1</v>
      </c>
    </row>
    <row r="1583" spans="1:38">
      <c r="A1583" t="s">
        <v>4876</v>
      </c>
      <c r="B1583" t="s">
        <v>4877</v>
      </c>
      <c r="C1583" s="1">
        <f t="shared" si="267"/>
        <v>45627</v>
      </c>
      <c r="D1583" t="s">
        <v>4878</v>
      </c>
      <c r="E1583">
        <v>314.5</v>
      </c>
      <c r="F1583">
        <v>13.1</v>
      </c>
      <c r="G1583" t="s">
        <v>77</v>
      </c>
      <c r="H1583" t="s">
        <v>244</v>
      </c>
      <c r="I1583" t="s">
        <v>79</v>
      </c>
      <c r="J1583">
        <v>360</v>
      </c>
      <c r="K1583" t="s">
        <v>49</v>
      </c>
      <c r="L1583" t="s">
        <v>70</v>
      </c>
      <c r="M1583" t="s">
        <v>35</v>
      </c>
      <c r="N1583" t="s">
        <v>220</v>
      </c>
      <c r="O1583" t="s">
        <v>51</v>
      </c>
      <c r="P1583" t="s">
        <v>38</v>
      </c>
      <c r="Q1583" t="s">
        <v>38</v>
      </c>
      <c r="R1583">
        <v>1</v>
      </c>
      <c r="S1583" t="s">
        <v>38</v>
      </c>
      <c r="T1583">
        <v>7</v>
      </c>
      <c r="U1583">
        <v>4.7</v>
      </c>
      <c r="V1583">
        <v>27.4</v>
      </c>
      <c r="W1583" t="s">
        <v>39</v>
      </c>
      <c r="X1583" t="s">
        <v>40</v>
      </c>
      <c r="Y1583" t="s">
        <v>38</v>
      </c>
      <c r="Z1583" t="s">
        <v>41</v>
      </c>
      <c r="AA1583" t="s">
        <v>54</v>
      </c>
      <c r="AB1583" t="s">
        <v>83</v>
      </c>
      <c r="AC1583">
        <f t="shared" si="264"/>
        <v>0</v>
      </c>
      <c r="AD1583" s="12">
        <f t="shared" si="268"/>
        <v>0</v>
      </c>
      <c r="AE1583" s="12">
        <f t="shared" si="269"/>
        <v>0</v>
      </c>
      <c r="AF1583">
        <f t="shared" si="265"/>
        <v>1</v>
      </c>
      <c r="AG1583">
        <f t="shared" si="270"/>
        <v>0</v>
      </c>
      <c r="AH1583">
        <f t="shared" si="271"/>
        <v>0</v>
      </c>
      <c r="AI1583">
        <f t="shared" si="272"/>
        <v>0</v>
      </c>
      <c r="AJ1583">
        <f t="shared" si="273"/>
        <v>0</v>
      </c>
      <c r="AK1583">
        <f t="shared" si="266"/>
        <v>0</v>
      </c>
      <c r="AL1583">
        <f t="shared" si="274"/>
        <v>1</v>
      </c>
    </row>
    <row r="1584" spans="1:38">
      <c r="A1584" t="s">
        <v>4879</v>
      </c>
      <c r="B1584" t="s">
        <v>4880</v>
      </c>
      <c r="C1584" s="1">
        <f t="shared" si="267"/>
        <v>45536</v>
      </c>
      <c r="D1584" t="s">
        <v>4881</v>
      </c>
      <c r="E1584">
        <v>242.3</v>
      </c>
      <c r="F1584">
        <v>10.1</v>
      </c>
      <c r="G1584" t="s">
        <v>77</v>
      </c>
      <c r="H1584" t="s">
        <v>187</v>
      </c>
      <c r="I1584" t="s">
        <v>79</v>
      </c>
      <c r="J1584">
        <v>360</v>
      </c>
      <c r="K1584" t="s">
        <v>49</v>
      </c>
      <c r="L1584" t="s">
        <v>70</v>
      </c>
      <c r="M1584" t="s">
        <v>35</v>
      </c>
      <c r="N1584" t="s">
        <v>202</v>
      </c>
      <c r="O1584" t="s">
        <v>51</v>
      </c>
      <c r="P1584" t="s">
        <v>39</v>
      </c>
      <c r="Q1584" t="s">
        <v>38</v>
      </c>
      <c r="R1584">
        <v>0</v>
      </c>
      <c r="S1584" t="s">
        <v>38</v>
      </c>
      <c r="T1584">
        <v>9</v>
      </c>
      <c r="U1584">
        <v>2.7</v>
      </c>
      <c r="V1584">
        <v>32.299999999999997</v>
      </c>
      <c r="W1584" t="s">
        <v>39</v>
      </c>
      <c r="X1584" t="s">
        <v>123</v>
      </c>
      <c r="Y1584" t="s">
        <v>38</v>
      </c>
      <c r="Z1584" t="s">
        <v>81</v>
      </c>
      <c r="AA1584" t="s">
        <v>42</v>
      </c>
      <c r="AB1584" t="s">
        <v>43</v>
      </c>
      <c r="AC1584">
        <f t="shared" si="264"/>
        <v>0</v>
      </c>
      <c r="AD1584" s="12">
        <f t="shared" si="268"/>
        <v>0</v>
      </c>
      <c r="AE1584" s="12">
        <f t="shared" si="269"/>
        <v>1</v>
      </c>
      <c r="AF1584">
        <f t="shared" si="265"/>
        <v>1</v>
      </c>
      <c r="AG1584">
        <f t="shared" si="270"/>
        <v>0</v>
      </c>
      <c r="AH1584">
        <f t="shared" si="271"/>
        <v>0</v>
      </c>
      <c r="AI1584">
        <f t="shared" si="272"/>
        <v>0</v>
      </c>
      <c r="AJ1584">
        <f t="shared" si="273"/>
        <v>0</v>
      </c>
      <c r="AK1584">
        <f t="shared" si="266"/>
        <v>0</v>
      </c>
      <c r="AL1584">
        <f t="shared" si="274"/>
        <v>1</v>
      </c>
    </row>
    <row r="1585" spans="1:38">
      <c r="A1585" t="s">
        <v>4882</v>
      </c>
      <c r="B1585" t="s">
        <v>4883</v>
      </c>
      <c r="C1585" s="1">
        <f t="shared" si="267"/>
        <v>45383</v>
      </c>
      <c r="D1585" t="s">
        <v>4884</v>
      </c>
      <c r="E1585">
        <v>186.9</v>
      </c>
      <c r="F1585">
        <v>7.8</v>
      </c>
      <c r="G1585" t="s">
        <v>30</v>
      </c>
      <c r="H1585" t="s">
        <v>47</v>
      </c>
      <c r="I1585" t="s">
        <v>32</v>
      </c>
      <c r="J1585">
        <v>240</v>
      </c>
      <c r="K1585" t="s">
        <v>49</v>
      </c>
      <c r="L1585" t="s">
        <v>34</v>
      </c>
      <c r="M1585" t="s">
        <v>35</v>
      </c>
      <c r="N1585" t="s">
        <v>188</v>
      </c>
      <c r="O1585" t="s">
        <v>51</v>
      </c>
      <c r="P1585" t="s">
        <v>39</v>
      </c>
      <c r="Q1585" t="s">
        <v>38</v>
      </c>
      <c r="R1585">
        <v>0</v>
      </c>
      <c r="S1585" t="s">
        <v>38</v>
      </c>
      <c r="T1585">
        <v>9</v>
      </c>
      <c r="U1585">
        <v>2.4</v>
      </c>
      <c r="V1585">
        <v>5.3</v>
      </c>
      <c r="W1585" t="s">
        <v>39</v>
      </c>
      <c r="X1585" t="s">
        <v>63</v>
      </c>
      <c r="Y1585" t="s">
        <v>38</v>
      </c>
      <c r="Z1585" t="s">
        <v>53</v>
      </c>
      <c r="AA1585" t="s">
        <v>109</v>
      </c>
      <c r="AB1585" t="s">
        <v>83</v>
      </c>
      <c r="AC1585">
        <f t="shared" si="264"/>
        <v>0</v>
      </c>
      <c r="AD1585" s="12">
        <f t="shared" si="268"/>
        <v>1</v>
      </c>
      <c r="AE1585" s="12">
        <f t="shared" si="269"/>
        <v>0</v>
      </c>
      <c r="AF1585">
        <f t="shared" si="265"/>
        <v>1</v>
      </c>
      <c r="AG1585">
        <f t="shared" si="270"/>
        <v>0</v>
      </c>
      <c r="AH1585">
        <f t="shared" si="271"/>
        <v>0</v>
      </c>
      <c r="AI1585">
        <f t="shared" si="272"/>
        <v>0</v>
      </c>
      <c r="AJ1585">
        <f t="shared" si="273"/>
        <v>1</v>
      </c>
      <c r="AK1585">
        <f t="shared" si="266"/>
        <v>1</v>
      </c>
      <c r="AL1585">
        <f t="shared" si="274"/>
        <v>1</v>
      </c>
    </row>
    <row r="1586" spans="1:38">
      <c r="A1586" t="s">
        <v>4885</v>
      </c>
      <c r="B1586" t="s">
        <v>4886</v>
      </c>
      <c r="C1586" s="1">
        <f t="shared" si="267"/>
        <v>45444</v>
      </c>
      <c r="D1586" t="s">
        <v>4887</v>
      </c>
      <c r="E1586">
        <v>180.8</v>
      </c>
      <c r="F1586">
        <v>7.5</v>
      </c>
      <c r="G1586" t="s">
        <v>142</v>
      </c>
      <c r="H1586" t="s">
        <v>729</v>
      </c>
      <c r="I1586" t="s">
        <v>32</v>
      </c>
      <c r="J1586">
        <v>240</v>
      </c>
      <c r="K1586" t="s">
        <v>49</v>
      </c>
      <c r="L1586" t="s">
        <v>96</v>
      </c>
      <c r="M1586" t="s">
        <v>71</v>
      </c>
      <c r="N1586" t="s">
        <v>168</v>
      </c>
      <c r="O1586" t="s">
        <v>37</v>
      </c>
      <c r="P1586" t="s">
        <v>38</v>
      </c>
      <c r="Q1586" t="s">
        <v>39</v>
      </c>
      <c r="R1586">
        <v>1</v>
      </c>
      <c r="S1586" t="s">
        <v>38</v>
      </c>
      <c r="T1586">
        <v>9</v>
      </c>
      <c r="U1586">
        <v>4.5</v>
      </c>
      <c r="V1586">
        <v>1.4</v>
      </c>
      <c r="W1586" t="s">
        <v>39</v>
      </c>
      <c r="X1586" t="s">
        <v>52</v>
      </c>
      <c r="Y1586" t="s">
        <v>39</v>
      </c>
      <c r="Z1586" t="s">
        <v>115</v>
      </c>
      <c r="AA1586" t="s">
        <v>54</v>
      </c>
      <c r="AB1586" t="s">
        <v>83</v>
      </c>
      <c r="AC1586">
        <f t="shared" si="264"/>
        <v>1</v>
      </c>
      <c r="AD1586" s="12">
        <f t="shared" si="268"/>
        <v>0</v>
      </c>
      <c r="AE1586" s="12">
        <f t="shared" si="269"/>
        <v>0</v>
      </c>
      <c r="AF1586">
        <f t="shared" si="265"/>
        <v>0</v>
      </c>
      <c r="AG1586">
        <f t="shared" si="270"/>
        <v>0</v>
      </c>
      <c r="AH1586">
        <f t="shared" si="271"/>
        <v>0</v>
      </c>
      <c r="AI1586">
        <f t="shared" si="272"/>
        <v>0</v>
      </c>
      <c r="AJ1586">
        <f t="shared" si="273"/>
        <v>1</v>
      </c>
      <c r="AK1586">
        <f t="shared" si="266"/>
        <v>0</v>
      </c>
      <c r="AL1586">
        <f t="shared" si="274"/>
        <v>0</v>
      </c>
    </row>
    <row r="1587" spans="1:38">
      <c r="A1587" t="s">
        <v>4888</v>
      </c>
      <c r="B1587" t="s">
        <v>4889</v>
      </c>
      <c r="C1587" s="1">
        <f t="shared" si="267"/>
        <v>45536</v>
      </c>
      <c r="D1587" t="s">
        <v>4890</v>
      </c>
      <c r="E1587">
        <v>83.5</v>
      </c>
      <c r="F1587">
        <v>3.5</v>
      </c>
      <c r="G1587" t="s">
        <v>59</v>
      </c>
      <c r="H1587" t="s">
        <v>466</v>
      </c>
      <c r="I1587" t="s">
        <v>48</v>
      </c>
      <c r="J1587">
        <v>120</v>
      </c>
      <c r="K1587" t="s">
        <v>49</v>
      </c>
      <c r="L1587" t="s">
        <v>96</v>
      </c>
      <c r="M1587" t="s">
        <v>35</v>
      </c>
      <c r="N1587" t="s">
        <v>202</v>
      </c>
      <c r="O1587" t="s">
        <v>37</v>
      </c>
      <c r="P1587" t="s">
        <v>38</v>
      </c>
      <c r="Q1587" t="s">
        <v>38</v>
      </c>
      <c r="R1587">
        <v>1</v>
      </c>
      <c r="S1587" t="s">
        <v>38</v>
      </c>
      <c r="T1587">
        <v>6</v>
      </c>
      <c r="U1587">
        <v>4</v>
      </c>
      <c r="V1587">
        <v>14.1</v>
      </c>
      <c r="W1587" t="s">
        <v>39</v>
      </c>
      <c r="X1587" t="s">
        <v>63</v>
      </c>
      <c r="Y1587" t="s">
        <v>39</v>
      </c>
      <c r="Z1587" t="s">
        <v>53</v>
      </c>
      <c r="AA1587" t="s">
        <v>103</v>
      </c>
      <c r="AB1587" t="s">
        <v>55</v>
      </c>
      <c r="AC1587">
        <f t="shared" si="264"/>
        <v>0</v>
      </c>
      <c r="AD1587" s="12">
        <f t="shared" si="268"/>
        <v>1</v>
      </c>
      <c r="AE1587" s="12">
        <f t="shared" si="269"/>
        <v>0</v>
      </c>
      <c r="AF1587">
        <f t="shared" si="265"/>
        <v>0</v>
      </c>
      <c r="AG1587">
        <f t="shared" si="270"/>
        <v>0</v>
      </c>
      <c r="AH1587">
        <f t="shared" si="271"/>
        <v>1</v>
      </c>
      <c r="AI1587">
        <f t="shared" si="272"/>
        <v>0</v>
      </c>
      <c r="AJ1587">
        <f t="shared" si="273"/>
        <v>0</v>
      </c>
      <c r="AK1587">
        <f t="shared" si="266"/>
        <v>0</v>
      </c>
      <c r="AL1587">
        <f t="shared" si="274"/>
        <v>0</v>
      </c>
    </row>
    <row r="1588" spans="1:38">
      <c r="A1588" t="s">
        <v>4891</v>
      </c>
      <c r="B1588" t="s">
        <v>4892</v>
      </c>
      <c r="C1588" s="1">
        <f t="shared" si="267"/>
        <v>45352</v>
      </c>
      <c r="D1588" t="s">
        <v>4893</v>
      </c>
      <c r="E1588">
        <v>50.2</v>
      </c>
      <c r="F1588">
        <v>2.1</v>
      </c>
      <c r="G1588" t="s">
        <v>87</v>
      </c>
      <c r="H1588" t="s">
        <v>309</v>
      </c>
      <c r="I1588" t="s">
        <v>95</v>
      </c>
      <c r="J1588">
        <v>48</v>
      </c>
      <c r="K1588" t="s">
        <v>33</v>
      </c>
      <c r="L1588" t="s">
        <v>34</v>
      </c>
      <c r="M1588" t="s">
        <v>71</v>
      </c>
      <c r="N1588" t="s">
        <v>202</v>
      </c>
      <c r="O1588" t="s">
        <v>7232</v>
      </c>
      <c r="P1588" t="s">
        <v>38</v>
      </c>
      <c r="Q1588" t="s">
        <v>39</v>
      </c>
      <c r="R1588">
        <v>4</v>
      </c>
      <c r="S1588" t="s">
        <v>38</v>
      </c>
      <c r="T1588">
        <v>1</v>
      </c>
      <c r="U1588">
        <v>1.8</v>
      </c>
      <c r="V1588">
        <v>10.6</v>
      </c>
      <c r="W1588" t="s">
        <v>39</v>
      </c>
      <c r="X1588" t="s">
        <v>123</v>
      </c>
      <c r="Y1588" t="s">
        <v>39</v>
      </c>
      <c r="Z1588" t="s">
        <v>41</v>
      </c>
      <c r="AA1588" t="s">
        <v>109</v>
      </c>
      <c r="AB1588" t="s">
        <v>83</v>
      </c>
      <c r="AC1588">
        <f t="shared" si="264"/>
        <v>0</v>
      </c>
      <c r="AD1588" s="12">
        <f t="shared" si="268"/>
        <v>0</v>
      </c>
      <c r="AE1588" s="12">
        <f t="shared" si="269"/>
        <v>1</v>
      </c>
      <c r="AF1588">
        <f t="shared" si="265"/>
        <v>0</v>
      </c>
      <c r="AG1588">
        <f t="shared" si="270"/>
        <v>1</v>
      </c>
      <c r="AH1588">
        <f t="shared" si="271"/>
        <v>0</v>
      </c>
      <c r="AI1588">
        <f t="shared" si="272"/>
        <v>1</v>
      </c>
      <c r="AJ1588">
        <f t="shared" si="273"/>
        <v>0</v>
      </c>
      <c r="AK1588">
        <f t="shared" si="266"/>
        <v>0</v>
      </c>
      <c r="AL1588">
        <f t="shared" si="274"/>
        <v>0</v>
      </c>
    </row>
    <row r="1589" spans="1:38">
      <c r="A1589" t="s">
        <v>4894</v>
      </c>
      <c r="B1589" t="s">
        <v>4895</v>
      </c>
      <c r="C1589" s="1">
        <f t="shared" si="267"/>
        <v>45292</v>
      </c>
      <c r="D1589" t="s">
        <v>4896</v>
      </c>
      <c r="E1589">
        <v>91.1</v>
      </c>
      <c r="F1589">
        <v>3.8</v>
      </c>
      <c r="G1589" t="s">
        <v>68</v>
      </c>
      <c r="H1589" t="s">
        <v>219</v>
      </c>
      <c r="I1589" t="s">
        <v>48</v>
      </c>
      <c r="J1589">
        <v>120</v>
      </c>
      <c r="K1589" t="s">
        <v>49</v>
      </c>
      <c r="L1589" t="s">
        <v>96</v>
      </c>
      <c r="M1589" t="s">
        <v>35</v>
      </c>
      <c r="N1589" t="s">
        <v>506</v>
      </c>
      <c r="O1589" t="s">
        <v>7232</v>
      </c>
      <c r="P1589" t="s">
        <v>38</v>
      </c>
      <c r="Q1589" t="s">
        <v>38</v>
      </c>
      <c r="R1589">
        <v>1</v>
      </c>
      <c r="S1589" t="s">
        <v>38</v>
      </c>
      <c r="T1589">
        <v>8</v>
      </c>
      <c r="U1589">
        <v>1.7</v>
      </c>
      <c r="V1589">
        <v>22.9</v>
      </c>
      <c r="W1589" t="s">
        <v>38</v>
      </c>
      <c r="X1589" t="s">
        <v>123</v>
      </c>
      <c r="Y1589" t="s">
        <v>38</v>
      </c>
      <c r="Z1589" t="s">
        <v>179</v>
      </c>
      <c r="AA1589" t="s">
        <v>54</v>
      </c>
      <c r="AB1589" t="s">
        <v>83</v>
      </c>
      <c r="AC1589">
        <f t="shared" si="264"/>
        <v>0</v>
      </c>
      <c r="AD1589" s="12">
        <f t="shared" si="268"/>
        <v>0</v>
      </c>
      <c r="AE1589" s="12">
        <f t="shared" si="269"/>
        <v>1</v>
      </c>
      <c r="AF1589">
        <f t="shared" si="265"/>
        <v>0</v>
      </c>
      <c r="AG1589">
        <f t="shared" si="270"/>
        <v>1</v>
      </c>
      <c r="AH1589">
        <f t="shared" si="271"/>
        <v>1</v>
      </c>
      <c r="AI1589">
        <f t="shared" si="272"/>
        <v>0</v>
      </c>
      <c r="AJ1589">
        <f t="shared" si="273"/>
        <v>0</v>
      </c>
      <c r="AK1589">
        <f t="shared" si="266"/>
        <v>0</v>
      </c>
      <c r="AL1589">
        <f t="shared" si="274"/>
        <v>1</v>
      </c>
    </row>
    <row r="1590" spans="1:38">
      <c r="A1590" t="s">
        <v>4897</v>
      </c>
      <c r="B1590" t="s">
        <v>4898</v>
      </c>
      <c r="C1590" s="1">
        <f t="shared" si="267"/>
        <v>45505</v>
      </c>
      <c r="D1590" t="s">
        <v>4899</v>
      </c>
      <c r="E1590">
        <v>218.7</v>
      </c>
      <c r="F1590">
        <v>9.1</v>
      </c>
      <c r="G1590" t="s">
        <v>30</v>
      </c>
      <c r="H1590" t="s">
        <v>172</v>
      </c>
      <c r="I1590" t="s">
        <v>32</v>
      </c>
      <c r="J1590">
        <v>240</v>
      </c>
      <c r="K1590" t="s">
        <v>49</v>
      </c>
      <c r="L1590" t="s">
        <v>34</v>
      </c>
      <c r="M1590" t="s">
        <v>35</v>
      </c>
      <c r="N1590" t="s">
        <v>164</v>
      </c>
      <c r="O1590" t="s">
        <v>7232</v>
      </c>
      <c r="P1590" t="s">
        <v>38</v>
      </c>
      <c r="Q1590" t="s">
        <v>38</v>
      </c>
      <c r="R1590">
        <v>1</v>
      </c>
      <c r="S1590" t="s">
        <v>38</v>
      </c>
      <c r="T1590">
        <v>9</v>
      </c>
      <c r="U1590">
        <v>4.8</v>
      </c>
      <c r="V1590">
        <v>2.2999999999999998</v>
      </c>
      <c r="W1590" t="s">
        <v>38</v>
      </c>
      <c r="X1590" t="s">
        <v>123</v>
      </c>
      <c r="Y1590" t="s">
        <v>39</v>
      </c>
      <c r="Z1590" t="s">
        <v>108</v>
      </c>
      <c r="AA1590" t="s">
        <v>42</v>
      </c>
      <c r="AB1590" t="s">
        <v>43</v>
      </c>
      <c r="AC1590">
        <f t="shared" si="264"/>
        <v>0</v>
      </c>
      <c r="AD1590" s="12">
        <f t="shared" si="268"/>
        <v>0</v>
      </c>
      <c r="AE1590" s="12">
        <f t="shared" si="269"/>
        <v>1</v>
      </c>
      <c r="AF1590">
        <f t="shared" si="265"/>
        <v>0</v>
      </c>
      <c r="AG1590">
        <f t="shared" si="270"/>
        <v>1</v>
      </c>
      <c r="AH1590">
        <f t="shared" si="271"/>
        <v>0</v>
      </c>
      <c r="AI1590">
        <f t="shared" si="272"/>
        <v>0</v>
      </c>
      <c r="AJ1590">
        <f t="shared" si="273"/>
        <v>1</v>
      </c>
      <c r="AK1590">
        <f t="shared" si="266"/>
        <v>1</v>
      </c>
      <c r="AL1590">
        <f t="shared" si="274"/>
        <v>0</v>
      </c>
    </row>
    <row r="1591" spans="1:38">
      <c r="A1591" t="s">
        <v>4900</v>
      </c>
      <c r="B1591" t="s">
        <v>4901</v>
      </c>
      <c r="C1591" s="1">
        <f t="shared" si="267"/>
        <v>45505</v>
      </c>
      <c r="D1591" t="s">
        <v>4902</v>
      </c>
      <c r="E1591">
        <v>155.9</v>
      </c>
      <c r="F1591">
        <v>6.5</v>
      </c>
      <c r="G1591" t="s">
        <v>87</v>
      </c>
      <c r="H1591" t="s">
        <v>88</v>
      </c>
      <c r="I1591" t="s">
        <v>32</v>
      </c>
      <c r="J1591">
        <v>240</v>
      </c>
      <c r="K1591" t="s">
        <v>49</v>
      </c>
      <c r="L1591" t="s">
        <v>34</v>
      </c>
      <c r="M1591" t="s">
        <v>35</v>
      </c>
      <c r="N1591" t="s">
        <v>89</v>
      </c>
      <c r="O1591" t="s">
        <v>37</v>
      </c>
      <c r="P1591" t="s">
        <v>38</v>
      </c>
      <c r="Q1591" t="s">
        <v>38</v>
      </c>
      <c r="R1591">
        <v>1</v>
      </c>
      <c r="S1591" t="s">
        <v>39</v>
      </c>
      <c r="T1591">
        <v>9</v>
      </c>
      <c r="U1591">
        <v>1.3</v>
      </c>
      <c r="V1591">
        <v>31.5</v>
      </c>
      <c r="W1591" t="s">
        <v>38</v>
      </c>
      <c r="X1591" t="s">
        <v>63</v>
      </c>
      <c r="Y1591" t="s">
        <v>38</v>
      </c>
      <c r="Z1591" t="s">
        <v>108</v>
      </c>
      <c r="AA1591" t="s">
        <v>42</v>
      </c>
      <c r="AB1591" t="s">
        <v>83</v>
      </c>
      <c r="AC1591">
        <f t="shared" si="264"/>
        <v>0</v>
      </c>
      <c r="AD1591" s="12">
        <f t="shared" si="268"/>
        <v>1</v>
      </c>
      <c r="AE1591" s="12">
        <f t="shared" si="269"/>
        <v>0</v>
      </c>
      <c r="AF1591">
        <f t="shared" si="265"/>
        <v>0</v>
      </c>
      <c r="AG1591">
        <f t="shared" si="270"/>
        <v>0</v>
      </c>
      <c r="AH1591">
        <f t="shared" si="271"/>
        <v>0</v>
      </c>
      <c r="AI1591">
        <f t="shared" si="272"/>
        <v>0</v>
      </c>
      <c r="AJ1591">
        <f t="shared" si="273"/>
        <v>1</v>
      </c>
      <c r="AK1591">
        <f t="shared" si="266"/>
        <v>0</v>
      </c>
      <c r="AL1591">
        <f t="shared" si="274"/>
        <v>1</v>
      </c>
    </row>
    <row r="1592" spans="1:38">
      <c r="A1592" t="s">
        <v>4903</v>
      </c>
      <c r="B1592" t="s">
        <v>4904</v>
      </c>
      <c r="C1592" s="1">
        <f t="shared" si="267"/>
        <v>45444</v>
      </c>
      <c r="D1592" t="s">
        <v>4905</v>
      </c>
      <c r="E1592">
        <v>310.2</v>
      </c>
      <c r="F1592">
        <v>12.9</v>
      </c>
      <c r="G1592" t="s">
        <v>87</v>
      </c>
      <c r="H1592" t="s">
        <v>183</v>
      </c>
      <c r="I1592" t="s">
        <v>79</v>
      </c>
      <c r="J1592">
        <v>360</v>
      </c>
      <c r="K1592" t="s">
        <v>49</v>
      </c>
      <c r="L1592" t="s">
        <v>34</v>
      </c>
      <c r="M1592" t="s">
        <v>71</v>
      </c>
      <c r="N1592" t="s">
        <v>299</v>
      </c>
      <c r="O1592" t="s">
        <v>37</v>
      </c>
      <c r="P1592" t="s">
        <v>38</v>
      </c>
      <c r="Q1592" t="s">
        <v>39</v>
      </c>
      <c r="R1592">
        <v>2</v>
      </c>
      <c r="S1592" t="s">
        <v>38</v>
      </c>
      <c r="T1592">
        <v>7</v>
      </c>
      <c r="U1592">
        <v>3.5</v>
      </c>
      <c r="V1592">
        <v>9.5</v>
      </c>
      <c r="W1592" t="s">
        <v>38</v>
      </c>
      <c r="X1592" t="s">
        <v>40</v>
      </c>
      <c r="Y1592" t="s">
        <v>39</v>
      </c>
      <c r="Z1592" t="s">
        <v>64</v>
      </c>
      <c r="AA1592" t="s">
        <v>42</v>
      </c>
      <c r="AB1592" t="s">
        <v>55</v>
      </c>
      <c r="AC1592">
        <f t="shared" si="264"/>
        <v>0</v>
      </c>
      <c r="AD1592" s="12">
        <f t="shared" si="268"/>
        <v>0</v>
      </c>
      <c r="AE1592" s="12">
        <f t="shared" si="269"/>
        <v>0</v>
      </c>
      <c r="AF1592">
        <f t="shared" si="265"/>
        <v>0</v>
      </c>
      <c r="AG1592">
        <f t="shared" si="270"/>
        <v>0</v>
      </c>
      <c r="AH1592">
        <f t="shared" si="271"/>
        <v>0</v>
      </c>
      <c r="AI1592">
        <f t="shared" si="272"/>
        <v>0</v>
      </c>
      <c r="AJ1592">
        <f t="shared" si="273"/>
        <v>0</v>
      </c>
      <c r="AK1592">
        <f t="shared" si="266"/>
        <v>0</v>
      </c>
      <c r="AL1592">
        <f t="shared" si="274"/>
        <v>0</v>
      </c>
    </row>
    <row r="1593" spans="1:38">
      <c r="A1593" t="s">
        <v>4906</v>
      </c>
      <c r="B1593" t="s">
        <v>4907</v>
      </c>
      <c r="C1593" s="1">
        <f t="shared" si="267"/>
        <v>45292</v>
      </c>
      <c r="D1593" t="s">
        <v>4908</v>
      </c>
      <c r="E1593">
        <v>79.599999999999994</v>
      </c>
      <c r="F1593">
        <v>3.3</v>
      </c>
      <c r="G1593" t="s">
        <v>68</v>
      </c>
      <c r="H1593" t="s">
        <v>456</v>
      </c>
      <c r="I1593" t="s">
        <v>48</v>
      </c>
      <c r="J1593">
        <v>120</v>
      </c>
      <c r="K1593" t="s">
        <v>49</v>
      </c>
      <c r="L1593" t="s">
        <v>34</v>
      </c>
      <c r="M1593" t="s">
        <v>71</v>
      </c>
      <c r="N1593" t="s">
        <v>80</v>
      </c>
      <c r="O1593" t="s">
        <v>7232</v>
      </c>
      <c r="P1593" t="s">
        <v>38</v>
      </c>
      <c r="Q1593" t="s">
        <v>39</v>
      </c>
      <c r="R1593">
        <v>2</v>
      </c>
      <c r="S1593" t="s">
        <v>38</v>
      </c>
      <c r="T1593">
        <v>7</v>
      </c>
      <c r="U1593">
        <v>2.2000000000000002</v>
      </c>
      <c r="V1593">
        <v>0.2</v>
      </c>
      <c r="W1593" t="s">
        <v>39</v>
      </c>
      <c r="X1593" t="s">
        <v>40</v>
      </c>
      <c r="Y1593" t="s">
        <v>39</v>
      </c>
      <c r="Z1593" t="s">
        <v>64</v>
      </c>
      <c r="AA1593" t="s">
        <v>42</v>
      </c>
      <c r="AB1593" t="s">
        <v>55</v>
      </c>
      <c r="AC1593">
        <f t="shared" si="264"/>
        <v>0</v>
      </c>
      <c r="AD1593" s="12">
        <f t="shared" si="268"/>
        <v>0</v>
      </c>
      <c r="AE1593" s="12">
        <f t="shared" si="269"/>
        <v>0</v>
      </c>
      <c r="AF1593">
        <f t="shared" si="265"/>
        <v>0</v>
      </c>
      <c r="AG1593">
        <f t="shared" si="270"/>
        <v>1</v>
      </c>
      <c r="AH1593">
        <f t="shared" si="271"/>
        <v>1</v>
      </c>
      <c r="AI1593">
        <f t="shared" si="272"/>
        <v>0</v>
      </c>
      <c r="AJ1593">
        <f t="shared" si="273"/>
        <v>0</v>
      </c>
      <c r="AK1593">
        <f t="shared" si="266"/>
        <v>0</v>
      </c>
      <c r="AL1593">
        <f t="shared" si="274"/>
        <v>0</v>
      </c>
    </row>
    <row r="1594" spans="1:38">
      <c r="A1594" t="s">
        <v>4909</v>
      </c>
      <c r="B1594" t="s">
        <v>4910</v>
      </c>
      <c r="C1594" s="1">
        <f t="shared" si="267"/>
        <v>45383</v>
      </c>
      <c r="D1594" t="s">
        <v>4911</v>
      </c>
      <c r="E1594">
        <v>267</v>
      </c>
      <c r="F1594">
        <v>11.1</v>
      </c>
      <c r="G1594" t="s">
        <v>93</v>
      </c>
      <c r="H1594" t="s">
        <v>163</v>
      </c>
      <c r="I1594" t="s">
        <v>79</v>
      </c>
      <c r="J1594">
        <v>360</v>
      </c>
      <c r="K1594" t="s">
        <v>49</v>
      </c>
      <c r="L1594" t="s">
        <v>96</v>
      </c>
      <c r="M1594" t="s">
        <v>35</v>
      </c>
      <c r="N1594" t="s">
        <v>220</v>
      </c>
      <c r="O1594" t="s">
        <v>37</v>
      </c>
      <c r="P1594" t="s">
        <v>39</v>
      </c>
      <c r="Q1594" t="s">
        <v>38</v>
      </c>
      <c r="R1594">
        <v>0</v>
      </c>
      <c r="S1594" t="s">
        <v>38</v>
      </c>
      <c r="T1594">
        <v>10</v>
      </c>
      <c r="U1594">
        <v>1.1000000000000001</v>
      </c>
      <c r="V1594">
        <v>35.799999999999997</v>
      </c>
      <c r="W1594" t="s">
        <v>38</v>
      </c>
      <c r="X1594" t="s">
        <v>123</v>
      </c>
      <c r="Y1594" t="s">
        <v>39</v>
      </c>
      <c r="Z1594" t="s">
        <v>41</v>
      </c>
      <c r="AA1594" t="s">
        <v>82</v>
      </c>
      <c r="AB1594" t="s">
        <v>55</v>
      </c>
      <c r="AC1594">
        <f t="shared" si="264"/>
        <v>0</v>
      </c>
      <c r="AD1594" s="12">
        <f t="shared" si="268"/>
        <v>0</v>
      </c>
      <c r="AE1594" s="12">
        <f t="shared" si="269"/>
        <v>1</v>
      </c>
      <c r="AF1594">
        <f t="shared" si="265"/>
        <v>0</v>
      </c>
      <c r="AG1594">
        <f t="shared" si="270"/>
        <v>0</v>
      </c>
      <c r="AH1594">
        <f t="shared" si="271"/>
        <v>0</v>
      </c>
      <c r="AI1594">
        <f t="shared" si="272"/>
        <v>0</v>
      </c>
      <c r="AJ1594">
        <f t="shared" si="273"/>
        <v>0</v>
      </c>
      <c r="AK1594">
        <f t="shared" si="266"/>
        <v>0</v>
      </c>
      <c r="AL1594">
        <f t="shared" si="274"/>
        <v>0</v>
      </c>
    </row>
    <row r="1595" spans="1:38">
      <c r="A1595" t="s">
        <v>4912</v>
      </c>
      <c r="B1595" t="s">
        <v>4913</v>
      </c>
      <c r="C1595" s="1">
        <f t="shared" si="267"/>
        <v>45566</v>
      </c>
      <c r="D1595" t="s">
        <v>4914</v>
      </c>
      <c r="E1595">
        <v>260.7</v>
      </c>
      <c r="F1595">
        <v>10.9</v>
      </c>
      <c r="G1595" t="s">
        <v>77</v>
      </c>
      <c r="H1595" t="s">
        <v>187</v>
      </c>
      <c r="I1595" t="s">
        <v>79</v>
      </c>
      <c r="J1595">
        <v>360</v>
      </c>
      <c r="K1595" t="s">
        <v>49</v>
      </c>
      <c r="L1595" t="s">
        <v>113</v>
      </c>
      <c r="M1595" t="s">
        <v>35</v>
      </c>
      <c r="N1595" t="s">
        <v>61</v>
      </c>
      <c r="O1595" t="s">
        <v>37</v>
      </c>
      <c r="P1595" t="s">
        <v>39</v>
      </c>
      <c r="Q1595" t="s">
        <v>38</v>
      </c>
      <c r="R1595">
        <v>0</v>
      </c>
      <c r="S1595" t="s">
        <v>38</v>
      </c>
      <c r="T1595">
        <v>9</v>
      </c>
      <c r="U1595">
        <v>2.6</v>
      </c>
      <c r="V1595">
        <v>46.6</v>
      </c>
      <c r="W1595" t="s">
        <v>39</v>
      </c>
      <c r="X1595" t="s">
        <v>52</v>
      </c>
      <c r="Y1595" t="s">
        <v>39</v>
      </c>
      <c r="Z1595" t="s">
        <v>179</v>
      </c>
      <c r="AA1595" t="s">
        <v>82</v>
      </c>
      <c r="AB1595" t="s">
        <v>55</v>
      </c>
      <c r="AC1595">
        <f t="shared" si="264"/>
        <v>1</v>
      </c>
      <c r="AD1595" s="12">
        <f t="shared" si="268"/>
        <v>0</v>
      </c>
      <c r="AE1595" s="12">
        <f t="shared" si="269"/>
        <v>0</v>
      </c>
      <c r="AF1595">
        <f t="shared" si="265"/>
        <v>0</v>
      </c>
      <c r="AG1595">
        <f t="shared" si="270"/>
        <v>0</v>
      </c>
      <c r="AH1595">
        <f t="shared" si="271"/>
        <v>0</v>
      </c>
      <c r="AI1595">
        <f t="shared" si="272"/>
        <v>0</v>
      </c>
      <c r="AJ1595">
        <f t="shared" si="273"/>
        <v>0</v>
      </c>
      <c r="AK1595">
        <f t="shared" si="266"/>
        <v>0</v>
      </c>
      <c r="AL1595">
        <f t="shared" si="274"/>
        <v>0</v>
      </c>
    </row>
    <row r="1596" spans="1:38">
      <c r="A1596" t="s">
        <v>4915</v>
      </c>
      <c r="B1596" t="s">
        <v>4916</v>
      </c>
      <c r="C1596" s="1">
        <f t="shared" si="267"/>
        <v>45292</v>
      </c>
      <c r="D1596" t="s">
        <v>4917</v>
      </c>
      <c r="E1596">
        <v>168.8</v>
      </c>
      <c r="F1596">
        <v>7</v>
      </c>
      <c r="G1596" t="s">
        <v>59</v>
      </c>
      <c r="H1596" t="s">
        <v>227</v>
      </c>
      <c r="I1596" t="s">
        <v>32</v>
      </c>
      <c r="J1596">
        <v>240</v>
      </c>
      <c r="K1596" t="s">
        <v>49</v>
      </c>
      <c r="L1596" t="s">
        <v>34</v>
      </c>
      <c r="M1596" t="s">
        <v>35</v>
      </c>
      <c r="N1596" t="s">
        <v>50</v>
      </c>
      <c r="O1596" t="s">
        <v>51</v>
      </c>
      <c r="P1596" t="s">
        <v>38</v>
      </c>
      <c r="Q1596" t="s">
        <v>38</v>
      </c>
      <c r="R1596">
        <v>1</v>
      </c>
      <c r="S1596" t="s">
        <v>38</v>
      </c>
      <c r="T1596">
        <v>8</v>
      </c>
      <c r="U1596">
        <v>4.0999999999999996</v>
      </c>
      <c r="V1596">
        <v>0</v>
      </c>
      <c r="W1596" t="s">
        <v>38</v>
      </c>
      <c r="X1596" t="s">
        <v>52</v>
      </c>
      <c r="Y1596" t="s">
        <v>38</v>
      </c>
      <c r="Z1596" t="s">
        <v>179</v>
      </c>
      <c r="AA1596" t="s">
        <v>54</v>
      </c>
      <c r="AB1596" t="s">
        <v>43</v>
      </c>
      <c r="AC1596">
        <f t="shared" si="264"/>
        <v>1</v>
      </c>
      <c r="AD1596" s="12">
        <f t="shared" si="268"/>
        <v>0</v>
      </c>
      <c r="AE1596" s="12">
        <f t="shared" si="269"/>
        <v>0</v>
      </c>
      <c r="AF1596">
        <f t="shared" si="265"/>
        <v>1</v>
      </c>
      <c r="AG1596">
        <f t="shared" si="270"/>
        <v>0</v>
      </c>
      <c r="AH1596">
        <f t="shared" si="271"/>
        <v>0</v>
      </c>
      <c r="AI1596">
        <f t="shared" si="272"/>
        <v>0</v>
      </c>
      <c r="AJ1596">
        <f t="shared" si="273"/>
        <v>1</v>
      </c>
      <c r="AK1596">
        <f t="shared" si="266"/>
        <v>0</v>
      </c>
      <c r="AL1596">
        <f t="shared" si="274"/>
        <v>1</v>
      </c>
    </row>
    <row r="1597" spans="1:38">
      <c r="A1597" t="s">
        <v>4918</v>
      </c>
      <c r="B1597" t="s">
        <v>4919</v>
      </c>
      <c r="C1597" s="1">
        <f t="shared" si="267"/>
        <v>45505</v>
      </c>
      <c r="D1597" t="s">
        <v>4920</v>
      </c>
      <c r="E1597">
        <v>88.4</v>
      </c>
      <c r="F1597">
        <v>3.7</v>
      </c>
      <c r="G1597" t="s">
        <v>87</v>
      </c>
      <c r="H1597" t="s">
        <v>309</v>
      </c>
      <c r="I1597" t="s">
        <v>48</v>
      </c>
      <c r="J1597">
        <v>120</v>
      </c>
      <c r="K1597" t="s">
        <v>49</v>
      </c>
      <c r="L1597" t="s">
        <v>70</v>
      </c>
      <c r="M1597" t="s">
        <v>35</v>
      </c>
      <c r="N1597" t="s">
        <v>144</v>
      </c>
      <c r="O1597" t="s">
        <v>51</v>
      </c>
      <c r="P1597" t="s">
        <v>39</v>
      </c>
      <c r="Q1597" t="s">
        <v>38</v>
      </c>
      <c r="R1597">
        <v>0</v>
      </c>
      <c r="S1597" t="s">
        <v>38</v>
      </c>
      <c r="T1597">
        <v>10</v>
      </c>
      <c r="U1597">
        <v>3.3</v>
      </c>
      <c r="V1597">
        <v>12.2</v>
      </c>
      <c r="W1597" t="s">
        <v>39</v>
      </c>
      <c r="X1597" t="s">
        <v>63</v>
      </c>
      <c r="Y1597" t="s">
        <v>39</v>
      </c>
      <c r="Z1597" t="s">
        <v>179</v>
      </c>
      <c r="AA1597" t="s">
        <v>103</v>
      </c>
      <c r="AB1597" t="s">
        <v>55</v>
      </c>
      <c r="AC1597">
        <f t="shared" si="264"/>
        <v>0</v>
      </c>
      <c r="AD1597" s="12">
        <f t="shared" si="268"/>
        <v>1</v>
      </c>
      <c r="AE1597" s="12">
        <f t="shared" si="269"/>
        <v>0</v>
      </c>
      <c r="AF1597">
        <f t="shared" si="265"/>
        <v>1</v>
      </c>
      <c r="AG1597">
        <f t="shared" si="270"/>
        <v>0</v>
      </c>
      <c r="AH1597">
        <f t="shared" si="271"/>
        <v>1</v>
      </c>
      <c r="AI1597">
        <f t="shared" si="272"/>
        <v>0</v>
      </c>
      <c r="AJ1597">
        <f t="shared" si="273"/>
        <v>0</v>
      </c>
      <c r="AK1597">
        <f t="shared" si="266"/>
        <v>0</v>
      </c>
      <c r="AL1597">
        <f t="shared" si="274"/>
        <v>0</v>
      </c>
    </row>
    <row r="1598" spans="1:38">
      <c r="A1598" t="s">
        <v>4921</v>
      </c>
      <c r="B1598" t="s">
        <v>4922</v>
      </c>
      <c r="C1598" s="1">
        <f t="shared" si="267"/>
        <v>45383</v>
      </c>
      <c r="D1598" t="s">
        <v>4923</v>
      </c>
      <c r="E1598">
        <v>171</v>
      </c>
      <c r="F1598">
        <v>7.1</v>
      </c>
      <c r="G1598" t="s">
        <v>30</v>
      </c>
      <c r="H1598" t="s">
        <v>47</v>
      </c>
      <c r="I1598" t="s">
        <v>32</v>
      </c>
      <c r="J1598">
        <v>240</v>
      </c>
      <c r="K1598" t="s">
        <v>49</v>
      </c>
      <c r="L1598" t="s">
        <v>70</v>
      </c>
      <c r="M1598" t="s">
        <v>35</v>
      </c>
      <c r="N1598" t="s">
        <v>414</v>
      </c>
      <c r="O1598" t="s">
        <v>7232</v>
      </c>
      <c r="P1598" t="s">
        <v>38</v>
      </c>
      <c r="Q1598" t="s">
        <v>38</v>
      </c>
      <c r="R1598">
        <v>1</v>
      </c>
      <c r="S1598" t="s">
        <v>38</v>
      </c>
      <c r="T1598">
        <v>10</v>
      </c>
      <c r="U1598">
        <v>4.7</v>
      </c>
      <c r="V1598">
        <v>4.5999999999999996</v>
      </c>
      <c r="W1598" t="s">
        <v>39</v>
      </c>
      <c r="X1598" t="s">
        <v>52</v>
      </c>
      <c r="Y1598" t="s">
        <v>39</v>
      </c>
      <c r="Z1598" t="s">
        <v>64</v>
      </c>
      <c r="AA1598" t="s">
        <v>54</v>
      </c>
      <c r="AB1598" t="s">
        <v>55</v>
      </c>
      <c r="AC1598">
        <f t="shared" si="264"/>
        <v>1</v>
      </c>
      <c r="AD1598" s="12">
        <f t="shared" si="268"/>
        <v>0</v>
      </c>
      <c r="AE1598" s="12">
        <f t="shared" si="269"/>
        <v>0</v>
      </c>
      <c r="AF1598">
        <f t="shared" si="265"/>
        <v>0</v>
      </c>
      <c r="AG1598">
        <f t="shared" si="270"/>
        <v>1</v>
      </c>
      <c r="AH1598">
        <f t="shared" si="271"/>
        <v>0</v>
      </c>
      <c r="AI1598">
        <f t="shared" si="272"/>
        <v>0</v>
      </c>
      <c r="AJ1598">
        <f t="shared" si="273"/>
        <v>1</v>
      </c>
      <c r="AK1598">
        <f t="shared" si="266"/>
        <v>1</v>
      </c>
      <c r="AL1598">
        <f t="shared" si="274"/>
        <v>0</v>
      </c>
    </row>
    <row r="1599" spans="1:38">
      <c r="A1599" t="s">
        <v>4924</v>
      </c>
      <c r="B1599" t="s">
        <v>4925</v>
      </c>
      <c r="C1599" s="1">
        <f t="shared" si="267"/>
        <v>45474</v>
      </c>
      <c r="D1599" t="s">
        <v>4926</v>
      </c>
      <c r="E1599">
        <v>209.3</v>
      </c>
      <c r="F1599">
        <v>8.6999999999999993</v>
      </c>
      <c r="G1599" t="s">
        <v>87</v>
      </c>
      <c r="H1599" t="s">
        <v>309</v>
      </c>
      <c r="I1599" t="s">
        <v>32</v>
      </c>
      <c r="J1599">
        <v>240</v>
      </c>
      <c r="K1599" t="s">
        <v>49</v>
      </c>
      <c r="L1599" t="s">
        <v>96</v>
      </c>
      <c r="M1599" t="s">
        <v>35</v>
      </c>
      <c r="N1599" t="s">
        <v>97</v>
      </c>
      <c r="O1599" t="s">
        <v>37</v>
      </c>
      <c r="P1599" t="s">
        <v>39</v>
      </c>
      <c r="Q1599" t="s">
        <v>38</v>
      </c>
      <c r="R1599">
        <v>0</v>
      </c>
      <c r="S1599" t="s">
        <v>38</v>
      </c>
      <c r="T1599">
        <v>9</v>
      </c>
      <c r="U1599">
        <v>2.9</v>
      </c>
      <c r="V1599">
        <v>14.8</v>
      </c>
      <c r="W1599" t="s">
        <v>39</v>
      </c>
      <c r="X1599" t="s">
        <v>63</v>
      </c>
      <c r="Y1599" t="s">
        <v>39</v>
      </c>
      <c r="Z1599" t="s">
        <v>41</v>
      </c>
      <c r="AA1599" t="s">
        <v>54</v>
      </c>
      <c r="AB1599" t="s">
        <v>55</v>
      </c>
      <c r="AC1599">
        <f t="shared" si="264"/>
        <v>0</v>
      </c>
      <c r="AD1599" s="12">
        <f t="shared" si="268"/>
        <v>1</v>
      </c>
      <c r="AE1599" s="12">
        <f t="shared" si="269"/>
        <v>0</v>
      </c>
      <c r="AF1599">
        <f t="shared" si="265"/>
        <v>0</v>
      </c>
      <c r="AG1599">
        <f t="shared" si="270"/>
        <v>0</v>
      </c>
      <c r="AH1599">
        <f t="shared" si="271"/>
        <v>0</v>
      </c>
      <c r="AI1599">
        <f t="shared" si="272"/>
        <v>0</v>
      </c>
      <c r="AJ1599">
        <f t="shared" si="273"/>
        <v>1</v>
      </c>
      <c r="AK1599">
        <f t="shared" si="266"/>
        <v>0</v>
      </c>
      <c r="AL1599">
        <f t="shared" si="274"/>
        <v>0</v>
      </c>
    </row>
    <row r="1600" spans="1:38">
      <c r="A1600" t="s">
        <v>4927</v>
      </c>
      <c r="B1600" t="s">
        <v>4928</v>
      </c>
      <c r="C1600" s="1">
        <f t="shared" si="267"/>
        <v>45566</v>
      </c>
      <c r="D1600" t="s">
        <v>4929</v>
      </c>
      <c r="E1600">
        <v>245</v>
      </c>
      <c r="F1600">
        <v>10.199999999999999</v>
      </c>
      <c r="G1600" t="s">
        <v>77</v>
      </c>
      <c r="H1600" t="s">
        <v>244</v>
      </c>
      <c r="I1600" t="s">
        <v>79</v>
      </c>
      <c r="J1600">
        <v>360</v>
      </c>
      <c r="K1600" t="s">
        <v>49</v>
      </c>
      <c r="L1600" t="s">
        <v>70</v>
      </c>
      <c r="M1600" t="s">
        <v>35</v>
      </c>
      <c r="N1600" t="s">
        <v>36</v>
      </c>
      <c r="O1600" t="s">
        <v>51</v>
      </c>
      <c r="P1600" t="s">
        <v>39</v>
      </c>
      <c r="Q1600" t="s">
        <v>38</v>
      </c>
      <c r="R1600">
        <v>0</v>
      </c>
      <c r="S1600" t="s">
        <v>38</v>
      </c>
      <c r="T1600">
        <v>9</v>
      </c>
      <c r="U1600">
        <v>3.4</v>
      </c>
      <c r="V1600">
        <v>0.4</v>
      </c>
      <c r="W1600" t="s">
        <v>39</v>
      </c>
      <c r="X1600" t="s">
        <v>63</v>
      </c>
      <c r="Y1600" t="s">
        <v>39</v>
      </c>
      <c r="Z1600" t="s">
        <v>115</v>
      </c>
      <c r="AA1600" t="s">
        <v>42</v>
      </c>
      <c r="AB1600" t="s">
        <v>55</v>
      </c>
      <c r="AC1600">
        <f t="shared" si="264"/>
        <v>0</v>
      </c>
      <c r="AD1600" s="12">
        <f t="shared" si="268"/>
        <v>1</v>
      </c>
      <c r="AE1600" s="12">
        <f t="shared" si="269"/>
        <v>0</v>
      </c>
      <c r="AF1600">
        <f t="shared" si="265"/>
        <v>1</v>
      </c>
      <c r="AG1600">
        <f t="shared" si="270"/>
        <v>0</v>
      </c>
      <c r="AH1600">
        <f t="shared" si="271"/>
        <v>0</v>
      </c>
      <c r="AI1600">
        <f t="shared" si="272"/>
        <v>0</v>
      </c>
      <c r="AJ1600">
        <f t="shared" si="273"/>
        <v>0</v>
      </c>
      <c r="AK1600">
        <f t="shared" si="266"/>
        <v>0</v>
      </c>
      <c r="AL1600">
        <f t="shared" si="274"/>
        <v>0</v>
      </c>
    </row>
    <row r="1601" spans="1:38">
      <c r="A1601" t="s">
        <v>4930</v>
      </c>
      <c r="B1601" t="s">
        <v>4931</v>
      </c>
      <c r="C1601" s="1">
        <f t="shared" si="267"/>
        <v>45536</v>
      </c>
      <c r="D1601" t="s">
        <v>4932</v>
      </c>
      <c r="E1601">
        <v>270.7</v>
      </c>
      <c r="F1601">
        <v>11.3</v>
      </c>
      <c r="G1601" t="s">
        <v>93</v>
      </c>
      <c r="H1601" t="s">
        <v>449</v>
      </c>
      <c r="I1601" t="s">
        <v>79</v>
      </c>
      <c r="J1601">
        <v>360</v>
      </c>
      <c r="K1601" t="s">
        <v>49</v>
      </c>
      <c r="L1601" t="s">
        <v>96</v>
      </c>
      <c r="M1601" t="s">
        <v>35</v>
      </c>
      <c r="N1601" t="s">
        <v>277</v>
      </c>
      <c r="O1601" t="s">
        <v>51</v>
      </c>
      <c r="P1601" t="s">
        <v>38</v>
      </c>
      <c r="Q1601" t="s">
        <v>38</v>
      </c>
      <c r="R1601">
        <v>1</v>
      </c>
      <c r="S1601" t="s">
        <v>38</v>
      </c>
      <c r="T1601">
        <v>7</v>
      </c>
      <c r="U1601">
        <v>2.1</v>
      </c>
      <c r="V1601">
        <v>31.7</v>
      </c>
      <c r="W1601" t="s">
        <v>39</v>
      </c>
      <c r="X1601" t="s">
        <v>123</v>
      </c>
      <c r="Y1601" t="s">
        <v>39</v>
      </c>
      <c r="Z1601" t="s">
        <v>108</v>
      </c>
      <c r="AA1601" t="s">
        <v>109</v>
      </c>
      <c r="AB1601" t="s">
        <v>83</v>
      </c>
      <c r="AC1601">
        <f t="shared" si="264"/>
        <v>0</v>
      </c>
      <c r="AD1601" s="12">
        <f t="shared" si="268"/>
        <v>0</v>
      </c>
      <c r="AE1601" s="12">
        <f t="shared" si="269"/>
        <v>1</v>
      </c>
      <c r="AF1601">
        <f t="shared" si="265"/>
        <v>1</v>
      </c>
      <c r="AG1601">
        <f t="shared" si="270"/>
        <v>0</v>
      </c>
      <c r="AH1601">
        <f t="shared" si="271"/>
        <v>0</v>
      </c>
      <c r="AI1601">
        <f t="shared" si="272"/>
        <v>0</v>
      </c>
      <c r="AJ1601">
        <f t="shared" si="273"/>
        <v>0</v>
      </c>
      <c r="AK1601">
        <f t="shared" si="266"/>
        <v>0</v>
      </c>
      <c r="AL1601">
        <f t="shared" si="274"/>
        <v>0</v>
      </c>
    </row>
    <row r="1602" spans="1:38">
      <c r="A1602" t="s">
        <v>4933</v>
      </c>
      <c r="B1602" t="s">
        <v>4934</v>
      </c>
      <c r="C1602" s="1">
        <f t="shared" si="267"/>
        <v>45352</v>
      </c>
      <c r="D1602" t="s">
        <v>4935</v>
      </c>
      <c r="E1602">
        <v>149.5</v>
      </c>
      <c r="F1602">
        <v>6.2</v>
      </c>
      <c r="G1602" t="s">
        <v>59</v>
      </c>
      <c r="H1602" t="s">
        <v>466</v>
      </c>
      <c r="I1602" t="s">
        <v>32</v>
      </c>
      <c r="J1602">
        <v>240</v>
      </c>
      <c r="K1602" t="s">
        <v>49</v>
      </c>
      <c r="L1602" t="s">
        <v>96</v>
      </c>
      <c r="M1602" t="s">
        <v>35</v>
      </c>
      <c r="N1602" t="s">
        <v>36</v>
      </c>
      <c r="O1602" t="s">
        <v>7232</v>
      </c>
      <c r="P1602" t="s">
        <v>39</v>
      </c>
      <c r="Q1602" t="s">
        <v>38</v>
      </c>
      <c r="R1602">
        <v>0</v>
      </c>
      <c r="S1602" t="s">
        <v>38</v>
      </c>
      <c r="T1602">
        <v>8</v>
      </c>
      <c r="U1602">
        <v>3.5</v>
      </c>
      <c r="V1602">
        <v>24.4</v>
      </c>
      <c r="W1602" t="s">
        <v>39</v>
      </c>
      <c r="X1602" t="s">
        <v>40</v>
      </c>
      <c r="Y1602" t="s">
        <v>39</v>
      </c>
      <c r="Z1602" t="s">
        <v>108</v>
      </c>
      <c r="AA1602" t="s">
        <v>54</v>
      </c>
      <c r="AB1602" t="s">
        <v>43</v>
      </c>
      <c r="AC1602">
        <f t="shared" ref="AC1602:AC1665" si="275">IF(X1602="Poor", 1, 0)</f>
        <v>0</v>
      </c>
      <c r="AD1602" s="12">
        <f t="shared" si="268"/>
        <v>0</v>
      </c>
      <c r="AE1602" s="12">
        <f t="shared" si="269"/>
        <v>0</v>
      </c>
      <c r="AF1602">
        <f t="shared" ref="AF1602:AF1665" si="276">IF(O1602="Junior", 1, 0)</f>
        <v>0</v>
      </c>
      <c r="AG1602">
        <f t="shared" si="270"/>
        <v>1</v>
      </c>
      <c r="AH1602">
        <f t="shared" si="271"/>
        <v>0</v>
      </c>
      <c r="AI1602">
        <f t="shared" si="272"/>
        <v>0</v>
      </c>
      <c r="AJ1602">
        <f t="shared" si="273"/>
        <v>1</v>
      </c>
      <c r="AK1602">
        <f t="shared" ref="AK1602:AK1665" si="277">IF(G1602="Access Requests", 1, 0)</f>
        <v>0</v>
      </c>
      <c r="AL1602">
        <f t="shared" si="274"/>
        <v>0</v>
      </c>
    </row>
    <row r="1603" spans="1:38">
      <c r="A1603" t="s">
        <v>4936</v>
      </c>
      <c r="B1603" t="s">
        <v>4937</v>
      </c>
      <c r="C1603" s="1">
        <f t="shared" ref="C1603:C1666" si="278">DATE(YEAR(B1603),MONTH(B1603),1)</f>
        <v>45566</v>
      </c>
      <c r="D1603" t="s">
        <v>4938</v>
      </c>
      <c r="E1603">
        <v>108.2</v>
      </c>
      <c r="F1603">
        <v>4.5</v>
      </c>
      <c r="G1603" t="s">
        <v>93</v>
      </c>
      <c r="H1603" t="s">
        <v>291</v>
      </c>
      <c r="I1603" t="s">
        <v>48</v>
      </c>
      <c r="J1603">
        <v>120</v>
      </c>
      <c r="K1603" t="s">
        <v>49</v>
      </c>
      <c r="L1603" t="s">
        <v>96</v>
      </c>
      <c r="M1603" t="s">
        <v>71</v>
      </c>
      <c r="N1603" t="s">
        <v>50</v>
      </c>
      <c r="O1603" t="s">
        <v>51</v>
      </c>
      <c r="P1603" t="s">
        <v>38</v>
      </c>
      <c r="Q1603" t="s">
        <v>39</v>
      </c>
      <c r="R1603">
        <v>3</v>
      </c>
      <c r="S1603" t="s">
        <v>38</v>
      </c>
      <c r="T1603">
        <v>7</v>
      </c>
      <c r="U1603">
        <v>3.9</v>
      </c>
      <c r="V1603">
        <v>16.7</v>
      </c>
      <c r="W1603" t="s">
        <v>38</v>
      </c>
      <c r="X1603" t="s">
        <v>63</v>
      </c>
      <c r="Y1603" t="s">
        <v>38</v>
      </c>
      <c r="Z1603" t="s">
        <v>115</v>
      </c>
      <c r="AA1603" t="s">
        <v>103</v>
      </c>
      <c r="AB1603" t="s">
        <v>55</v>
      </c>
      <c r="AC1603">
        <f t="shared" si="275"/>
        <v>0</v>
      </c>
      <c r="AD1603" s="12">
        <f t="shared" ref="AD1603:AD1666" si="279">IF(X1603="Fair", 1, 0)</f>
        <v>1</v>
      </c>
      <c r="AE1603" s="12">
        <f t="shared" ref="AE1603:AE1666" si="280">IF(X1603="Good", 1, 0)</f>
        <v>0</v>
      </c>
      <c r="AF1603">
        <f t="shared" si="276"/>
        <v>1</v>
      </c>
      <c r="AG1603">
        <f t="shared" ref="AG1603:AG1666" si="281">IF(O1603="Mid", 1, 0)</f>
        <v>0</v>
      </c>
      <c r="AH1603">
        <f t="shared" ref="AH1603:AH1666" si="282">IF(I1603="High", 1, 0)</f>
        <v>1</v>
      </c>
      <c r="AI1603">
        <f t="shared" ref="AI1603:AI1666" si="283">IF(I1603="Critical", 1, 0)</f>
        <v>0</v>
      </c>
      <c r="AJ1603">
        <f t="shared" ref="AJ1603:AJ1666" si="284">IF(I1603="Medium", 1, 0)</f>
        <v>0</v>
      </c>
      <c r="AK1603">
        <f t="shared" si="277"/>
        <v>0</v>
      </c>
      <c r="AL1603">
        <f t="shared" ref="AL1603:AL1666" si="285">IF(Y1603="No", 1, 0)</f>
        <v>1</v>
      </c>
    </row>
    <row r="1604" spans="1:38">
      <c r="A1604" t="s">
        <v>4939</v>
      </c>
      <c r="B1604" t="s">
        <v>4940</v>
      </c>
      <c r="C1604" s="1">
        <f t="shared" si="278"/>
        <v>45323</v>
      </c>
      <c r="D1604" t="s">
        <v>4941</v>
      </c>
      <c r="E1604">
        <v>189.1</v>
      </c>
      <c r="F1604">
        <v>7.9</v>
      </c>
      <c r="G1604" t="s">
        <v>101</v>
      </c>
      <c r="H1604" t="s">
        <v>442</v>
      </c>
      <c r="I1604" t="s">
        <v>32</v>
      </c>
      <c r="J1604">
        <v>240</v>
      </c>
      <c r="K1604" t="s">
        <v>49</v>
      </c>
      <c r="L1604" t="s">
        <v>96</v>
      </c>
      <c r="M1604" t="s">
        <v>71</v>
      </c>
      <c r="N1604" t="s">
        <v>188</v>
      </c>
      <c r="O1604" t="s">
        <v>51</v>
      </c>
      <c r="P1604" t="s">
        <v>38</v>
      </c>
      <c r="Q1604" t="s">
        <v>39</v>
      </c>
      <c r="R1604">
        <v>3</v>
      </c>
      <c r="S1604" t="s">
        <v>38</v>
      </c>
      <c r="T1604">
        <v>7</v>
      </c>
      <c r="U1604">
        <v>4.4000000000000004</v>
      </c>
      <c r="V1604">
        <v>23.4</v>
      </c>
      <c r="W1604" t="s">
        <v>38</v>
      </c>
      <c r="X1604" t="s">
        <v>123</v>
      </c>
      <c r="Y1604" t="s">
        <v>39</v>
      </c>
      <c r="Z1604" t="s">
        <v>64</v>
      </c>
      <c r="AA1604" t="s">
        <v>82</v>
      </c>
      <c r="AB1604" t="s">
        <v>83</v>
      </c>
      <c r="AC1604">
        <f t="shared" si="275"/>
        <v>0</v>
      </c>
      <c r="AD1604" s="12">
        <f t="shared" si="279"/>
        <v>0</v>
      </c>
      <c r="AE1604" s="12">
        <f t="shared" si="280"/>
        <v>1</v>
      </c>
      <c r="AF1604">
        <f t="shared" si="276"/>
        <v>1</v>
      </c>
      <c r="AG1604">
        <f t="shared" si="281"/>
        <v>0</v>
      </c>
      <c r="AH1604">
        <f t="shared" si="282"/>
        <v>0</v>
      </c>
      <c r="AI1604">
        <f t="shared" si="283"/>
        <v>0</v>
      </c>
      <c r="AJ1604">
        <f t="shared" si="284"/>
        <v>1</v>
      </c>
      <c r="AK1604">
        <f t="shared" si="277"/>
        <v>0</v>
      </c>
      <c r="AL1604">
        <f t="shared" si="285"/>
        <v>0</v>
      </c>
    </row>
    <row r="1605" spans="1:38">
      <c r="A1605" t="s">
        <v>4942</v>
      </c>
      <c r="B1605" t="s">
        <v>4943</v>
      </c>
      <c r="C1605" s="1">
        <f t="shared" si="278"/>
        <v>45536</v>
      </c>
      <c r="D1605" t="s">
        <v>4944</v>
      </c>
      <c r="E1605">
        <v>177</v>
      </c>
      <c r="F1605">
        <v>7.4</v>
      </c>
      <c r="G1605" t="s">
        <v>77</v>
      </c>
      <c r="H1605" t="s">
        <v>78</v>
      </c>
      <c r="I1605" t="s">
        <v>32</v>
      </c>
      <c r="J1605">
        <v>240</v>
      </c>
      <c r="K1605" t="s">
        <v>49</v>
      </c>
      <c r="L1605" t="s">
        <v>96</v>
      </c>
      <c r="M1605" t="s">
        <v>35</v>
      </c>
      <c r="N1605" t="s">
        <v>220</v>
      </c>
      <c r="O1605" t="s">
        <v>7232</v>
      </c>
      <c r="P1605" t="s">
        <v>39</v>
      </c>
      <c r="Q1605" t="s">
        <v>38</v>
      </c>
      <c r="R1605">
        <v>0</v>
      </c>
      <c r="S1605" t="s">
        <v>38</v>
      </c>
      <c r="T1605">
        <v>10</v>
      </c>
      <c r="U1605">
        <v>1.9</v>
      </c>
      <c r="V1605">
        <v>0</v>
      </c>
      <c r="W1605" t="s">
        <v>38</v>
      </c>
      <c r="X1605" t="s">
        <v>63</v>
      </c>
      <c r="Y1605" t="s">
        <v>38</v>
      </c>
      <c r="Z1605" t="s">
        <v>41</v>
      </c>
      <c r="AA1605" t="s">
        <v>82</v>
      </c>
      <c r="AB1605" t="s">
        <v>83</v>
      </c>
      <c r="AC1605">
        <f t="shared" si="275"/>
        <v>0</v>
      </c>
      <c r="AD1605" s="12">
        <f t="shared" si="279"/>
        <v>1</v>
      </c>
      <c r="AE1605" s="12">
        <f t="shared" si="280"/>
        <v>0</v>
      </c>
      <c r="AF1605">
        <f t="shared" si="276"/>
        <v>0</v>
      </c>
      <c r="AG1605">
        <f t="shared" si="281"/>
        <v>1</v>
      </c>
      <c r="AH1605">
        <f t="shared" si="282"/>
        <v>0</v>
      </c>
      <c r="AI1605">
        <f t="shared" si="283"/>
        <v>0</v>
      </c>
      <c r="AJ1605">
        <f t="shared" si="284"/>
        <v>1</v>
      </c>
      <c r="AK1605">
        <f t="shared" si="277"/>
        <v>0</v>
      </c>
      <c r="AL1605">
        <f t="shared" si="285"/>
        <v>1</v>
      </c>
    </row>
    <row r="1606" spans="1:38">
      <c r="A1606" t="s">
        <v>4945</v>
      </c>
      <c r="B1606" t="s">
        <v>4946</v>
      </c>
      <c r="C1606" s="1">
        <f t="shared" si="278"/>
        <v>45505</v>
      </c>
      <c r="D1606" t="s">
        <v>4947</v>
      </c>
      <c r="E1606">
        <v>159.9</v>
      </c>
      <c r="F1606">
        <v>6.7</v>
      </c>
      <c r="G1606" t="s">
        <v>142</v>
      </c>
      <c r="H1606" t="s">
        <v>240</v>
      </c>
      <c r="I1606" t="s">
        <v>32</v>
      </c>
      <c r="J1606">
        <v>240</v>
      </c>
      <c r="K1606" t="s">
        <v>49</v>
      </c>
      <c r="L1606" t="s">
        <v>96</v>
      </c>
      <c r="M1606" t="s">
        <v>71</v>
      </c>
      <c r="N1606" t="s">
        <v>107</v>
      </c>
      <c r="O1606" t="s">
        <v>51</v>
      </c>
      <c r="P1606" t="s">
        <v>38</v>
      </c>
      <c r="Q1606" t="s">
        <v>39</v>
      </c>
      <c r="R1606">
        <v>2</v>
      </c>
      <c r="S1606" t="s">
        <v>38</v>
      </c>
      <c r="T1606">
        <v>5</v>
      </c>
      <c r="U1606">
        <v>1.5</v>
      </c>
      <c r="V1606">
        <v>27.3</v>
      </c>
      <c r="W1606" t="s">
        <v>39</v>
      </c>
      <c r="X1606" t="s">
        <v>63</v>
      </c>
      <c r="Y1606" t="s">
        <v>39</v>
      </c>
      <c r="Z1606" t="s">
        <v>115</v>
      </c>
      <c r="AA1606" t="s">
        <v>82</v>
      </c>
      <c r="AB1606" t="s">
        <v>43</v>
      </c>
      <c r="AC1606">
        <f t="shared" si="275"/>
        <v>0</v>
      </c>
      <c r="AD1606" s="12">
        <f t="shared" si="279"/>
        <v>1</v>
      </c>
      <c r="AE1606" s="12">
        <f t="shared" si="280"/>
        <v>0</v>
      </c>
      <c r="AF1606">
        <f t="shared" si="276"/>
        <v>1</v>
      </c>
      <c r="AG1606">
        <f t="shared" si="281"/>
        <v>0</v>
      </c>
      <c r="AH1606">
        <f t="shared" si="282"/>
        <v>0</v>
      </c>
      <c r="AI1606">
        <f t="shared" si="283"/>
        <v>0</v>
      </c>
      <c r="AJ1606">
        <f t="shared" si="284"/>
        <v>1</v>
      </c>
      <c r="AK1606">
        <f t="shared" si="277"/>
        <v>0</v>
      </c>
      <c r="AL1606">
        <f t="shared" si="285"/>
        <v>0</v>
      </c>
    </row>
    <row r="1607" spans="1:38">
      <c r="A1607" t="s">
        <v>4948</v>
      </c>
      <c r="B1607" t="s">
        <v>4949</v>
      </c>
      <c r="C1607" s="1">
        <f t="shared" si="278"/>
        <v>45597</v>
      </c>
      <c r="D1607" t="s">
        <v>4950</v>
      </c>
      <c r="E1607">
        <v>152.80000000000001</v>
      </c>
      <c r="F1607">
        <v>6.4</v>
      </c>
      <c r="G1607" t="s">
        <v>101</v>
      </c>
      <c r="H1607" t="s">
        <v>368</v>
      </c>
      <c r="I1607" t="s">
        <v>32</v>
      </c>
      <c r="J1607">
        <v>240</v>
      </c>
      <c r="K1607" t="s">
        <v>49</v>
      </c>
      <c r="L1607" t="s">
        <v>96</v>
      </c>
      <c r="M1607" t="s">
        <v>35</v>
      </c>
      <c r="N1607" t="s">
        <v>80</v>
      </c>
      <c r="O1607" t="s">
        <v>7232</v>
      </c>
      <c r="P1607" t="s">
        <v>39</v>
      </c>
      <c r="Q1607" t="s">
        <v>38</v>
      </c>
      <c r="R1607">
        <v>0</v>
      </c>
      <c r="S1607" t="s">
        <v>38</v>
      </c>
      <c r="T1607">
        <v>10</v>
      </c>
      <c r="U1607">
        <v>6</v>
      </c>
      <c r="V1607">
        <v>0</v>
      </c>
      <c r="W1607" t="s">
        <v>39</v>
      </c>
      <c r="X1607" t="s">
        <v>123</v>
      </c>
      <c r="Y1607" t="s">
        <v>39</v>
      </c>
      <c r="Z1607" t="s">
        <v>73</v>
      </c>
      <c r="AA1607" t="s">
        <v>54</v>
      </c>
      <c r="AB1607" t="s">
        <v>55</v>
      </c>
      <c r="AC1607">
        <f t="shared" si="275"/>
        <v>0</v>
      </c>
      <c r="AD1607" s="12">
        <f t="shared" si="279"/>
        <v>0</v>
      </c>
      <c r="AE1607" s="12">
        <f t="shared" si="280"/>
        <v>1</v>
      </c>
      <c r="AF1607">
        <f t="shared" si="276"/>
        <v>0</v>
      </c>
      <c r="AG1607">
        <f t="shared" si="281"/>
        <v>1</v>
      </c>
      <c r="AH1607">
        <f t="shared" si="282"/>
        <v>0</v>
      </c>
      <c r="AI1607">
        <f t="shared" si="283"/>
        <v>0</v>
      </c>
      <c r="AJ1607">
        <f t="shared" si="284"/>
        <v>1</v>
      </c>
      <c r="AK1607">
        <f t="shared" si="277"/>
        <v>0</v>
      </c>
      <c r="AL1607">
        <f t="shared" si="285"/>
        <v>0</v>
      </c>
    </row>
    <row r="1608" spans="1:38">
      <c r="A1608" t="s">
        <v>4951</v>
      </c>
      <c r="B1608" t="s">
        <v>4952</v>
      </c>
      <c r="C1608" s="1">
        <f t="shared" si="278"/>
        <v>45383</v>
      </c>
      <c r="D1608" t="s">
        <v>4953</v>
      </c>
      <c r="E1608">
        <v>105.6</v>
      </c>
      <c r="F1608">
        <v>4.4000000000000004</v>
      </c>
      <c r="G1608" t="s">
        <v>59</v>
      </c>
      <c r="H1608" t="s">
        <v>127</v>
      </c>
      <c r="I1608" t="s">
        <v>48</v>
      </c>
      <c r="J1608">
        <v>120</v>
      </c>
      <c r="K1608" t="s">
        <v>49</v>
      </c>
      <c r="L1608" t="s">
        <v>96</v>
      </c>
      <c r="M1608" t="s">
        <v>71</v>
      </c>
      <c r="N1608" t="s">
        <v>168</v>
      </c>
      <c r="O1608" t="s">
        <v>7232</v>
      </c>
      <c r="P1608" t="s">
        <v>38</v>
      </c>
      <c r="Q1608" t="s">
        <v>39</v>
      </c>
      <c r="R1608">
        <v>3</v>
      </c>
      <c r="S1608" t="s">
        <v>38</v>
      </c>
      <c r="T1608">
        <v>10</v>
      </c>
      <c r="U1608">
        <v>0.2</v>
      </c>
      <c r="V1608">
        <v>10.199999999999999</v>
      </c>
      <c r="W1608" t="s">
        <v>38</v>
      </c>
      <c r="X1608" t="s">
        <v>63</v>
      </c>
      <c r="Y1608" t="s">
        <v>39</v>
      </c>
      <c r="Z1608" t="s">
        <v>81</v>
      </c>
      <c r="AA1608" t="s">
        <v>109</v>
      </c>
      <c r="AB1608" t="s">
        <v>83</v>
      </c>
      <c r="AC1608">
        <f t="shared" si="275"/>
        <v>0</v>
      </c>
      <c r="AD1608" s="12">
        <f t="shared" si="279"/>
        <v>1</v>
      </c>
      <c r="AE1608" s="12">
        <f t="shared" si="280"/>
        <v>0</v>
      </c>
      <c r="AF1608">
        <f t="shared" si="276"/>
        <v>0</v>
      </c>
      <c r="AG1608">
        <f t="shared" si="281"/>
        <v>1</v>
      </c>
      <c r="AH1608">
        <f t="shared" si="282"/>
        <v>1</v>
      </c>
      <c r="AI1608">
        <f t="shared" si="283"/>
        <v>0</v>
      </c>
      <c r="AJ1608">
        <f t="shared" si="284"/>
        <v>0</v>
      </c>
      <c r="AK1608">
        <f t="shared" si="277"/>
        <v>0</v>
      </c>
      <c r="AL1608">
        <f t="shared" si="285"/>
        <v>0</v>
      </c>
    </row>
    <row r="1609" spans="1:38">
      <c r="A1609" t="s">
        <v>4954</v>
      </c>
      <c r="B1609" t="s">
        <v>4955</v>
      </c>
      <c r="C1609" s="1">
        <f t="shared" si="278"/>
        <v>45505</v>
      </c>
      <c r="D1609" t="s">
        <v>4956</v>
      </c>
      <c r="E1609">
        <v>291.39999999999998</v>
      </c>
      <c r="F1609">
        <v>12.1</v>
      </c>
      <c r="G1609" t="s">
        <v>101</v>
      </c>
      <c r="H1609" t="s">
        <v>442</v>
      </c>
      <c r="I1609" t="s">
        <v>32</v>
      </c>
      <c r="J1609">
        <v>240</v>
      </c>
      <c r="K1609" t="s">
        <v>33</v>
      </c>
      <c r="L1609" t="s">
        <v>113</v>
      </c>
      <c r="M1609" t="s">
        <v>35</v>
      </c>
      <c r="N1609" t="s">
        <v>164</v>
      </c>
      <c r="O1609" t="s">
        <v>7232</v>
      </c>
      <c r="P1609" t="s">
        <v>38</v>
      </c>
      <c r="Q1609" t="s">
        <v>38</v>
      </c>
      <c r="R1609">
        <v>1</v>
      </c>
      <c r="S1609" t="s">
        <v>38</v>
      </c>
      <c r="T1609">
        <v>4</v>
      </c>
      <c r="U1609">
        <v>3.1</v>
      </c>
      <c r="V1609">
        <v>10.6</v>
      </c>
      <c r="W1609" t="s">
        <v>38</v>
      </c>
      <c r="X1609" t="s">
        <v>63</v>
      </c>
      <c r="Y1609" t="s">
        <v>39</v>
      </c>
      <c r="Z1609" t="s">
        <v>41</v>
      </c>
      <c r="AA1609" t="s">
        <v>42</v>
      </c>
      <c r="AB1609" t="s">
        <v>55</v>
      </c>
      <c r="AC1609">
        <f t="shared" si="275"/>
        <v>0</v>
      </c>
      <c r="AD1609" s="12">
        <f t="shared" si="279"/>
        <v>1</v>
      </c>
      <c r="AE1609" s="12">
        <f t="shared" si="280"/>
        <v>0</v>
      </c>
      <c r="AF1609">
        <f t="shared" si="276"/>
        <v>0</v>
      </c>
      <c r="AG1609">
        <f t="shared" si="281"/>
        <v>1</v>
      </c>
      <c r="AH1609">
        <f t="shared" si="282"/>
        <v>0</v>
      </c>
      <c r="AI1609">
        <f t="shared" si="283"/>
        <v>0</v>
      </c>
      <c r="AJ1609">
        <f t="shared" si="284"/>
        <v>1</v>
      </c>
      <c r="AK1609">
        <f t="shared" si="277"/>
        <v>0</v>
      </c>
      <c r="AL1609">
        <f t="shared" si="285"/>
        <v>0</v>
      </c>
    </row>
    <row r="1610" spans="1:38">
      <c r="A1610" t="s">
        <v>4957</v>
      </c>
      <c r="B1610" t="s">
        <v>4958</v>
      </c>
      <c r="C1610" s="1">
        <f t="shared" si="278"/>
        <v>45505</v>
      </c>
      <c r="D1610" t="s">
        <v>4959</v>
      </c>
      <c r="E1610">
        <v>334.1</v>
      </c>
      <c r="F1610">
        <v>13.9</v>
      </c>
      <c r="G1610" t="s">
        <v>77</v>
      </c>
      <c r="H1610" t="s">
        <v>78</v>
      </c>
      <c r="I1610" t="s">
        <v>79</v>
      </c>
      <c r="J1610">
        <v>360</v>
      </c>
      <c r="K1610" t="s">
        <v>49</v>
      </c>
      <c r="L1610" t="s">
        <v>96</v>
      </c>
      <c r="M1610" t="s">
        <v>35</v>
      </c>
      <c r="N1610" t="s">
        <v>50</v>
      </c>
      <c r="O1610" t="s">
        <v>7232</v>
      </c>
      <c r="P1610" t="s">
        <v>38</v>
      </c>
      <c r="Q1610" t="s">
        <v>38</v>
      </c>
      <c r="R1610">
        <v>1</v>
      </c>
      <c r="S1610" t="s">
        <v>39</v>
      </c>
      <c r="T1610">
        <v>9</v>
      </c>
      <c r="U1610">
        <v>5.8</v>
      </c>
      <c r="V1610">
        <v>19.8</v>
      </c>
      <c r="W1610" t="s">
        <v>39</v>
      </c>
      <c r="X1610" t="s">
        <v>52</v>
      </c>
      <c r="Y1610" t="s">
        <v>38</v>
      </c>
      <c r="Z1610" t="s">
        <v>108</v>
      </c>
      <c r="AA1610" t="s">
        <v>42</v>
      </c>
      <c r="AB1610" t="s">
        <v>55</v>
      </c>
      <c r="AC1610">
        <f t="shared" si="275"/>
        <v>1</v>
      </c>
      <c r="AD1610" s="12">
        <f t="shared" si="279"/>
        <v>0</v>
      </c>
      <c r="AE1610" s="12">
        <f t="shared" si="280"/>
        <v>0</v>
      </c>
      <c r="AF1610">
        <f t="shared" si="276"/>
        <v>0</v>
      </c>
      <c r="AG1610">
        <f t="shared" si="281"/>
        <v>1</v>
      </c>
      <c r="AH1610">
        <f t="shared" si="282"/>
        <v>0</v>
      </c>
      <c r="AI1610">
        <f t="shared" si="283"/>
        <v>0</v>
      </c>
      <c r="AJ1610">
        <f t="shared" si="284"/>
        <v>0</v>
      </c>
      <c r="AK1610">
        <f t="shared" si="277"/>
        <v>0</v>
      </c>
      <c r="AL1610">
        <f t="shared" si="285"/>
        <v>1</v>
      </c>
    </row>
    <row r="1611" spans="1:38">
      <c r="A1611" t="s">
        <v>4960</v>
      </c>
      <c r="B1611" t="s">
        <v>4961</v>
      </c>
      <c r="C1611" s="1">
        <f t="shared" si="278"/>
        <v>45627</v>
      </c>
      <c r="D1611" t="s">
        <v>4962</v>
      </c>
      <c r="E1611">
        <v>111.2</v>
      </c>
      <c r="F1611">
        <v>4.5999999999999996</v>
      </c>
      <c r="G1611" t="s">
        <v>142</v>
      </c>
      <c r="H1611" t="s">
        <v>240</v>
      </c>
      <c r="I1611" t="s">
        <v>48</v>
      </c>
      <c r="J1611">
        <v>120</v>
      </c>
      <c r="K1611" t="s">
        <v>49</v>
      </c>
      <c r="L1611" t="s">
        <v>34</v>
      </c>
      <c r="M1611" t="s">
        <v>71</v>
      </c>
      <c r="N1611" t="s">
        <v>97</v>
      </c>
      <c r="O1611" t="s">
        <v>7232</v>
      </c>
      <c r="P1611" t="s">
        <v>38</v>
      </c>
      <c r="Q1611" t="s">
        <v>39</v>
      </c>
      <c r="R1611">
        <v>2</v>
      </c>
      <c r="S1611" t="s">
        <v>39</v>
      </c>
      <c r="T1611">
        <v>8</v>
      </c>
      <c r="U1611">
        <v>2.7</v>
      </c>
      <c r="V1611">
        <v>5.9</v>
      </c>
      <c r="W1611" t="s">
        <v>38</v>
      </c>
      <c r="X1611" t="s">
        <v>40</v>
      </c>
      <c r="Y1611" t="s">
        <v>38</v>
      </c>
      <c r="Z1611" t="s">
        <v>73</v>
      </c>
      <c r="AA1611" t="s">
        <v>109</v>
      </c>
      <c r="AB1611" t="s">
        <v>43</v>
      </c>
      <c r="AC1611">
        <f t="shared" si="275"/>
        <v>0</v>
      </c>
      <c r="AD1611" s="12">
        <f t="shared" si="279"/>
        <v>0</v>
      </c>
      <c r="AE1611" s="12">
        <f t="shared" si="280"/>
        <v>0</v>
      </c>
      <c r="AF1611">
        <f t="shared" si="276"/>
        <v>0</v>
      </c>
      <c r="AG1611">
        <f t="shared" si="281"/>
        <v>1</v>
      </c>
      <c r="AH1611">
        <f t="shared" si="282"/>
        <v>1</v>
      </c>
      <c r="AI1611">
        <f t="shared" si="283"/>
        <v>0</v>
      </c>
      <c r="AJ1611">
        <f t="shared" si="284"/>
        <v>0</v>
      </c>
      <c r="AK1611">
        <f t="shared" si="277"/>
        <v>0</v>
      </c>
      <c r="AL1611">
        <f t="shared" si="285"/>
        <v>1</v>
      </c>
    </row>
    <row r="1612" spans="1:38">
      <c r="A1612" t="s">
        <v>4963</v>
      </c>
      <c r="B1612" t="s">
        <v>4964</v>
      </c>
      <c r="C1612" s="1">
        <f t="shared" si="278"/>
        <v>45383</v>
      </c>
      <c r="D1612" t="s">
        <v>4965</v>
      </c>
      <c r="E1612">
        <v>113.8</v>
      </c>
      <c r="F1612">
        <v>4.7</v>
      </c>
      <c r="G1612" t="s">
        <v>59</v>
      </c>
      <c r="H1612" t="s">
        <v>60</v>
      </c>
      <c r="I1612" t="s">
        <v>48</v>
      </c>
      <c r="J1612">
        <v>120</v>
      </c>
      <c r="K1612" t="s">
        <v>49</v>
      </c>
      <c r="L1612" t="s">
        <v>34</v>
      </c>
      <c r="M1612" t="s">
        <v>71</v>
      </c>
      <c r="N1612" t="s">
        <v>506</v>
      </c>
      <c r="O1612" t="s">
        <v>51</v>
      </c>
      <c r="P1612" t="s">
        <v>38</v>
      </c>
      <c r="Q1612" t="s">
        <v>39</v>
      </c>
      <c r="R1612">
        <v>2</v>
      </c>
      <c r="S1612" t="s">
        <v>38</v>
      </c>
      <c r="T1612">
        <v>10</v>
      </c>
      <c r="U1612">
        <v>3.2</v>
      </c>
      <c r="V1612">
        <v>17.3</v>
      </c>
      <c r="W1612" t="s">
        <v>39</v>
      </c>
      <c r="X1612" t="s">
        <v>123</v>
      </c>
      <c r="Y1612" t="s">
        <v>39</v>
      </c>
      <c r="Z1612" t="s">
        <v>41</v>
      </c>
      <c r="AA1612" t="s">
        <v>42</v>
      </c>
      <c r="AB1612" t="s">
        <v>83</v>
      </c>
      <c r="AC1612">
        <f t="shared" si="275"/>
        <v>0</v>
      </c>
      <c r="AD1612" s="12">
        <f t="shared" si="279"/>
        <v>0</v>
      </c>
      <c r="AE1612" s="12">
        <f t="shared" si="280"/>
        <v>1</v>
      </c>
      <c r="AF1612">
        <f t="shared" si="276"/>
        <v>1</v>
      </c>
      <c r="AG1612">
        <f t="shared" si="281"/>
        <v>0</v>
      </c>
      <c r="AH1612">
        <f t="shared" si="282"/>
        <v>1</v>
      </c>
      <c r="AI1612">
        <f t="shared" si="283"/>
        <v>0</v>
      </c>
      <c r="AJ1612">
        <f t="shared" si="284"/>
        <v>0</v>
      </c>
      <c r="AK1612">
        <f t="shared" si="277"/>
        <v>0</v>
      </c>
      <c r="AL1612">
        <f t="shared" si="285"/>
        <v>0</v>
      </c>
    </row>
    <row r="1613" spans="1:38">
      <c r="A1613" t="s">
        <v>4966</v>
      </c>
      <c r="B1613" t="s">
        <v>4967</v>
      </c>
      <c r="C1613" s="1">
        <f t="shared" si="278"/>
        <v>45474</v>
      </c>
      <c r="D1613" t="s">
        <v>4968</v>
      </c>
      <c r="E1613">
        <v>259.89999999999998</v>
      </c>
      <c r="F1613">
        <v>10.8</v>
      </c>
      <c r="G1613" t="s">
        <v>93</v>
      </c>
      <c r="H1613" t="s">
        <v>291</v>
      </c>
      <c r="I1613" t="s">
        <v>79</v>
      </c>
      <c r="J1613">
        <v>360</v>
      </c>
      <c r="K1613" t="s">
        <v>49</v>
      </c>
      <c r="L1613" t="s">
        <v>96</v>
      </c>
      <c r="M1613" t="s">
        <v>71</v>
      </c>
      <c r="N1613" t="s">
        <v>144</v>
      </c>
      <c r="O1613" t="s">
        <v>37</v>
      </c>
      <c r="P1613" t="s">
        <v>38</v>
      </c>
      <c r="Q1613" t="s">
        <v>39</v>
      </c>
      <c r="R1613">
        <v>2</v>
      </c>
      <c r="S1613" t="s">
        <v>38</v>
      </c>
      <c r="T1613">
        <v>10</v>
      </c>
      <c r="U1613">
        <v>0.5</v>
      </c>
      <c r="V1613">
        <v>17.2</v>
      </c>
      <c r="W1613" t="s">
        <v>39</v>
      </c>
      <c r="X1613" t="s">
        <v>40</v>
      </c>
      <c r="Y1613" t="s">
        <v>39</v>
      </c>
      <c r="Z1613" t="s">
        <v>53</v>
      </c>
      <c r="AA1613" t="s">
        <v>82</v>
      </c>
      <c r="AB1613" t="s">
        <v>55</v>
      </c>
      <c r="AC1613">
        <f t="shared" si="275"/>
        <v>0</v>
      </c>
      <c r="AD1613" s="12">
        <f t="shared" si="279"/>
        <v>0</v>
      </c>
      <c r="AE1613" s="12">
        <f t="shared" si="280"/>
        <v>0</v>
      </c>
      <c r="AF1613">
        <f t="shared" si="276"/>
        <v>0</v>
      </c>
      <c r="AG1613">
        <f t="shared" si="281"/>
        <v>0</v>
      </c>
      <c r="AH1613">
        <f t="shared" si="282"/>
        <v>0</v>
      </c>
      <c r="AI1613">
        <f t="shared" si="283"/>
        <v>0</v>
      </c>
      <c r="AJ1613">
        <f t="shared" si="284"/>
        <v>0</v>
      </c>
      <c r="AK1613">
        <f t="shared" si="277"/>
        <v>0</v>
      </c>
      <c r="AL1613">
        <f t="shared" si="285"/>
        <v>0</v>
      </c>
    </row>
    <row r="1614" spans="1:38">
      <c r="A1614" t="s">
        <v>4969</v>
      </c>
      <c r="B1614" t="s">
        <v>4970</v>
      </c>
      <c r="C1614" s="1">
        <f t="shared" si="278"/>
        <v>45566</v>
      </c>
      <c r="D1614" t="s">
        <v>4971</v>
      </c>
      <c r="E1614">
        <v>299.2</v>
      </c>
      <c r="F1614">
        <v>12.5</v>
      </c>
      <c r="G1614" t="s">
        <v>77</v>
      </c>
      <c r="H1614" t="s">
        <v>244</v>
      </c>
      <c r="I1614" t="s">
        <v>79</v>
      </c>
      <c r="J1614">
        <v>360</v>
      </c>
      <c r="K1614" t="s">
        <v>49</v>
      </c>
      <c r="L1614" t="s">
        <v>70</v>
      </c>
      <c r="M1614" t="s">
        <v>35</v>
      </c>
      <c r="N1614" t="s">
        <v>299</v>
      </c>
      <c r="O1614" t="s">
        <v>37</v>
      </c>
      <c r="P1614" t="s">
        <v>39</v>
      </c>
      <c r="Q1614" t="s">
        <v>38</v>
      </c>
      <c r="R1614">
        <v>0</v>
      </c>
      <c r="S1614" t="s">
        <v>38</v>
      </c>
      <c r="T1614">
        <v>10</v>
      </c>
      <c r="U1614">
        <v>3.2</v>
      </c>
      <c r="V1614">
        <v>45</v>
      </c>
      <c r="W1614" t="s">
        <v>38</v>
      </c>
      <c r="X1614" t="s">
        <v>123</v>
      </c>
      <c r="Y1614" t="s">
        <v>39</v>
      </c>
      <c r="Z1614" t="s">
        <v>53</v>
      </c>
      <c r="AA1614" t="s">
        <v>109</v>
      </c>
      <c r="AB1614" t="s">
        <v>55</v>
      </c>
      <c r="AC1614">
        <f t="shared" si="275"/>
        <v>0</v>
      </c>
      <c r="AD1614" s="12">
        <f t="shared" si="279"/>
        <v>0</v>
      </c>
      <c r="AE1614" s="12">
        <f t="shared" si="280"/>
        <v>1</v>
      </c>
      <c r="AF1614">
        <f t="shared" si="276"/>
        <v>0</v>
      </c>
      <c r="AG1614">
        <f t="shared" si="281"/>
        <v>0</v>
      </c>
      <c r="AH1614">
        <f t="shared" si="282"/>
        <v>0</v>
      </c>
      <c r="AI1614">
        <f t="shared" si="283"/>
        <v>0</v>
      </c>
      <c r="AJ1614">
        <f t="shared" si="284"/>
        <v>0</v>
      </c>
      <c r="AK1614">
        <f t="shared" si="277"/>
        <v>0</v>
      </c>
      <c r="AL1614">
        <f t="shared" si="285"/>
        <v>0</v>
      </c>
    </row>
    <row r="1615" spans="1:38">
      <c r="A1615" t="s">
        <v>4972</v>
      </c>
      <c r="B1615" t="s">
        <v>4973</v>
      </c>
      <c r="C1615" s="1">
        <f t="shared" si="278"/>
        <v>45413</v>
      </c>
      <c r="D1615" t="s">
        <v>4974</v>
      </c>
      <c r="E1615">
        <v>197.5</v>
      </c>
      <c r="F1615">
        <v>8.1999999999999993</v>
      </c>
      <c r="G1615" t="s">
        <v>59</v>
      </c>
      <c r="H1615" t="s">
        <v>281</v>
      </c>
      <c r="I1615" t="s">
        <v>32</v>
      </c>
      <c r="J1615">
        <v>240</v>
      </c>
      <c r="K1615" t="s">
        <v>49</v>
      </c>
      <c r="L1615" t="s">
        <v>34</v>
      </c>
      <c r="M1615" t="s">
        <v>71</v>
      </c>
      <c r="N1615" t="s">
        <v>50</v>
      </c>
      <c r="O1615" t="s">
        <v>7232</v>
      </c>
      <c r="P1615" t="s">
        <v>38</v>
      </c>
      <c r="Q1615" t="s">
        <v>39</v>
      </c>
      <c r="R1615">
        <v>1</v>
      </c>
      <c r="S1615" t="s">
        <v>38</v>
      </c>
      <c r="T1615">
        <v>8</v>
      </c>
      <c r="U1615">
        <v>2.7</v>
      </c>
      <c r="V1615">
        <v>11.7</v>
      </c>
      <c r="W1615" t="s">
        <v>39</v>
      </c>
      <c r="X1615" t="s">
        <v>123</v>
      </c>
      <c r="Y1615" t="s">
        <v>38</v>
      </c>
      <c r="Z1615" t="s">
        <v>64</v>
      </c>
      <c r="AA1615" t="s">
        <v>109</v>
      </c>
      <c r="AB1615" t="s">
        <v>55</v>
      </c>
      <c r="AC1615">
        <f t="shared" si="275"/>
        <v>0</v>
      </c>
      <c r="AD1615" s="12">
        <f t="shared" si="279"/>
        <v>0</v>
      </c>
      <c r="AE1615" s="12">
        <f t="shared" si="280"/>
        <v>1</v>
      </c>
      <c r="AF1615">
        <f t="shared" si="276"/>
        <v>0</v>
      </c>
      <c r="AG1615">
        <f t="shared" si="281"/>
        <v>1</v>
      </c>
      <c r="AH1615">
        <f t="shared" si="282"/>
        <v>0</v>
      </c>
      <c r="AI1615">
        <f t="shared" si="283"/>
        <v>0</v>
      </c>
      <c r="AJ1615">
        <f t="shared" si="284"/>
        <v>1</v>
      </c>
      <c r="AK1615">
        <f t="shared" si="277"/>
        <v>0</v>
      </c>
      <c r="AL1615">
        <f t="shared" si="285"/>
        <v>1</v>
      </c>
    </row>
    <row r="1616" spans="1:38">
      <c r="A1616" t="s">
        <v>4975</v>
      </c>
      <c r="B1616" t="s">
        <v>4976</v>
      </c>
      <c r="C1616" s="1">
        <f t="shared" si="278"/>
        <v>45566</v>
      </c>
      <c r="D1616" t="s">
        <v>4977</v>
      </c>
      <c r="E1616">
        <v>456.9</v>
      </c>
      <c r="F1616">
        <v>19</v>
      </c>
      <c r="G1616" t="s">
        <v>77</v>
      </c>
      <c r="H1616" t="s">
        <v>267</v>
      </c>
      <c r="I1616" t="s">
        <v>79</v>
      </c>
      <c r="J1616">
        <v>360</v>
      </c>
      <c r="K1616" t="s">
        <v>33</v>
      </c>
      <c r="L1616" t="s">
        <v>34</v>
      </c>
      <c r="M1616" t="s">
        <v>35</v>
      </c>
      <c r="N1616" t="s">
        <v>50</v>
      </c>
      <c r="O1616" t="s">
        <v>51</v>
      </c>
      <c r="P1616" t="s">
        <v>39</v>
      </c>
      <c r="Q1616" t="s">
        <v>38</v>
      </c>
      <c r="R1616">
        <v>0</v>
      </c>
      <c r="S1616" t="s">
        <v>38</v>
      </c>
      <c r="T1616">
        <v>7</v>
      </c>
      <c r="U1616">
        <v>2.9</v>
      </c>
      <c r="V1616">
        <v>26.7</v>
      </c>
      <c r="W1616" t="s">
        <v>39</v>
      </c>
      <c r="X1616" t="s">
        <v>63</v>
      </c>
      <c r="Y1616" t="s">
        <v>39</v>
      </c>
      <c r="Z1616" t="s">
        <v>64</v>
      </c>
      <c r="AA1616" t="s">
        <v>82</v>
      </c>
      <c r="AB1616" t="s">
        <v>83</v>
      </c>
      <c r="AC1616">
        <f t="shared" si="275"/>
        <v>0</v>
      </c>
      <c r="AD1616" s="12">
        <f t="shared" si="279"/>
        <v>1</v>
      </c>
      <c r="AE1616" s="12">
        <f t="shared" si="280"/>
        <v>0</v>
      </c>
      <c r="AF1616">
        <f t="shared" si="276"/>
        <v>1</v>
      </c>
      <c r="AG1616">
        <f t="shared" si="281"/>
        <v>0</v>
      </c>
      <c r="AH1616">
        <f t="shared" si="282"/>
        <v>0</v>
      </c>
      <c r="AI1616">
        <f t="shared" si="283"/>
        <v>0</v>
      </c>
      <c r="AJ1616">
        <f t="shared" si="284"/>
        <v>0</v>
      </c>
      <c r="AK1616">
        <f t="shared" si="277"/>
        <v>0</v>
      </c>
      <c r="AL1616">
        <f t="shared" si="285"/>
        <v>0</v>
      </c>
    </row>
    <row r="1617" spans="1:38">
      <c r="A1617" t="s">
        <v>4978</v>
      </c>
      <c r="B1617" t="s">
        <v>4979</v>
      </c>
      <c r="C1617" s="1">
        <f t="shared" si="278"/>
        <v>45505</v>
      </c>
      <c r="D1617" t="s">
        <v>4980</v>
      </c>
      <c r="E1617">
        <v>336.8</v>
      </c>
      <c r="F1617">
        <v>14</v>
      </c>
      <c r="G1617" t="s">
        <v>77</v>
      </c>
      <c r="H1617" t="s">
        <v>78</v>
      </c>
      <c r="I1617" t="s">
        <v>79</v>
      </c>
      <c r="J1617">
        <v>360</v>
      </c>
      <c r="K1617" t="s">
        <v>49</v>
      </c>
      <c r="L1617" t="s">
        <v>96</v>
      </c>
      <c r="M1617" t="s">
        <v>35</v>
      </c>
      <c r="N1617" t="s">
        <v>128</v>
      </c>
      <c r="O1617" t="s">
        <v>7232</v>
      </c>
      <c r="P1617" t="s">
        <v>38</v>
      </c>
      <c r="Q1617" t="s">
        <v>38</v>
      </c>
      <c r="R1617">
        <v>1</v>
      </c>
      <c r="S1617" t="s">
        <v>38</v>
      </c>
      <c r="T1617">
        <v>10</v>
      </c>
      <c r="U1617">
        <v>1.6</v>
      </c>
      <c r="V1617">
        <v>20.9</v>
      </c>
      <c r="W1617" t="s">
        <v>38</v>
      </c>
      <c r="X1617" t="s">
        <v>63</v>
      </c>
      <c r="Y1617" t="s">
        <v>39</v>
      </c>
      <c r="Z1617" t="s">
        <v>108</v>
      </c>
      <c r="AA1617" t="s">
        <v>109</v>
      </c>
      <c r="AB1617" t="s">
        <v>43</v>
      </c>
      <c r="AC1617">
        <f t="shared" si="275"/>
        <v>0</v>
      </c>
      <c r="AD1617" s="12">
        <f t="shared" si="279"/>
        <v>1</v>
      </c>
      <c r="AE1617" s="12">
        <f t="shared" si="280"/>
        <v>0</v>
      </c>
      <c r="AF1617">
        <f t="shared" si="276"/>
        <v>0</v>
      </c>
      <c r="AG1617">
        <f t="shared" si="281"/>
        <v>1</v>
      </c>
      <c r="AH1617">
        <f t="shared" si="282"/>
        <v>0</v>
      </c>
      <c r="AI1617">
        <f t="shared" si="283"/>
        <v>0</v>
      </c>
      <c r="AJ1617">
        <f t="shared" si="284"/>
        <v>0</v>
      </c>
      <c r="AK1617">
        <f t="shared" si="277"/>
        <v>0</v>
      </c>
      <c r="AL1617">
        <f t="shared" si="285"/>
        <v>0</v>
      </c>
    </row>
    <row r="1618" spans="1:38">
      <c r="A1618" t="s">
        <v>4981</v>
      </c>
      <c r="B1618" t="s">
        <v>4982</v>
      </c>
      <c r="C1618" s="1">
        <f t="shared" si="278"/>
        <v>45383</v>
      </c>
      <c r="D1618" t="s">
        <v>4983</v>
      </c>
      <c r="E1618">
        <v>166.7</v>
      </c>
      <c r="F1618">
        <v>6.9</v>
      </c>
      <c r="G1618" t="s">
        <v>68</v>
      </c>
      <c r="H1618" t="s">
        <v>219</v>
      </c>
      <c r="I1618" t="s">
        <v>32</v>
      </c>
      <c r="J1618">
        <v>240</v>
      </c>
      <c r="K1618" t="s">
        <v>49</v>
      </c>
      <c r="L1618" t="s">
        <v>113</v>
      </c>
      <c r="M1618" t="s">
        <v>35</v>
      </c>
      <c r="N1618" t="s">
        <v>128</v>
      </c>
      <c r="O1618" t="s">
        <v>51</v>
      </c>
      <c r="P1618" t="s">
        <v>38</v>
      </c>
      <c r="Q1618" t="s">
        <v>38</v>
      </c>
      <c r="R1618">
        <v>1</v>
      </c>
      <c r="S1618" t="s">
        <v>38</v>
      </c>
      <c r="T1618">
        <v>9</v>
      </c>
      <c r="U1618">
        <v>1.5</v>
      </c>
      <c r="V1618">
        <v>13.1</v>
      </c>
      <c r="W1618" t="s">
        <v>39</v>
      </c>
      <c r="X1618" t="s">
        <v>40</v>
      </c>
      <c r="Y1618" t="s">
        <v>39</v>
      </c>
      <c r="Z1618" t="s">
        <v>64</v>
      </c>
      <c r="AA1618" t="s">
        <v>54</v>
      </c>
      <c r="AB1618" t="s">
        <v>55</v>
      </c>
      <c r="AC1618">
        <f t="shared" si="275"/>
        <v>0</v>
      </c>
      <c r="AD1618" s="12">
        <f t="shared" si="279"/>
        <v>0</v>
      </c>
      <c r="AE1618" s="12">
        <f t="shared" si="280"/>
        <v>0</v>
      </c>
      <c r="AF1618">
        <f t="shared" si="276"/>
        <v>1</v>
      </c>
      <c r="AG1618">
        <f t="shared" si="281"/>
        <v>0</v>
      </c>
      <c r="AH1618">
        <f t="shared" si="282"/>
        <v>0</v>
      </c>
      <c r="AI1618">
        <f t="shared" si="283"/>
        <v>0</v>
      </c>
      <c r="AJ1618">
        <f t="shared" si="284"/>
        <v>1</v>
      </c>
      <c r="AK1618">
        <f t="shared" si="277"/>
        <v>0</v>
      </c>
      <c r="AL1618">
        <f t="shared" si="285"/>
        <v>0</v>
      </c>
    </row>
    <row r="1619" spans="1:38">
      <c r="A1619" t="s">
        <v>4984</v>
      </c>
      <c r="B1619" t="s">
        <v>4985</v>
      </c>
      <c r="C1619" s="1">
        <f t="shared" si="278"/>
        <v>45536</v>
      </c>
      <c r="D1619" t="s">
        <v>4986</v>
      </c>
      <c r="E1619">
        <v>272.60000000000002</v>
      </c>
      <c r="F1619">
        <v>11.4</v>
      </c>
      <c r="G1619" t="s">
        <v>101</v>
      </c>
      <c r="H1619" t="s">
        <v>368</v>
      </c>
      <c r="I1619" t="s">
        <v>79</v>
      </c>
      <c r="J1619">
        <v>360</v>
      </c>
      <c r="K1619" t="s">
        <v>49</v>
      </c>
      <c r="L1619" t="s">
        <v>96</v>
      </c>
      <c r="M1619" t="s">
        <v>35</v>
      </c>
      <c r="N1619" t="s">
        <v>506</v>
      </c>
      <c r="O1619" t="s">
        <v>37</v>
      </c>
      <c r="P1619" t="s">
        <v>38</v>
      </c>
      <c r="Q1619" t="s">
        <v>38</v>
      </c>
      <c r="R1619">
        <v>1</v>
      </c>
      <c r="S1619" t="s">
        <v>38</v>
      </c>
      <c r="T1619">
        <v>10</v>
      </c>
      <c r="U1619">
        <v>2.2999999999999998</v>
      </c>
      <c r="V1619">
        <v>20.9</v>
      </c>
      <c r="W1619" t="s">
        <v>39</v>
      </c>
      <c r="X1619" t="s">
        <v>123</v>
      </c>
      <c r="Y1619" t="s">
        <v>39</v>
      </c>
      <c r="Z1619" t="s">
        <v>115</v>
      </c>
      <c r="AA1619" t="s">
        <v>42</v>
      </c>
      <c r="AB1619" t="s">
        <v>83</v>
      </c>
      <c r="AC1619">
        <f t="shared" si="275"/>
        <v>0</v>
      </c>
      <c r="AD1619" s="12">
        <f t="shared" si="279"/>
        <v>0</v>
      </c>
      <c r="AE1619" s="12">
        <f t="shared" si="280"/>
        <v>1</v>
      </c>
      <c r="AF1619">
        <f t="shared" si="276"/>
        <v>0</v>
      </c>
      <c r="AG1619">
        <f t="shared" si="281"/>
        <v>0</v>
      </c>
      <c r="AH1619">
        <f t="shared" si="282"/>
        <v>0</v>
      </c>
      <c r="AI1619">
        <f t="shared" si="283"/>
        <v>0</v>
      </c>
      <c r="AJ1619">
        <f t="shared" si="284"/>
        <v>0</v>
      </c>
      <c r="AK1619">
        <f t="shared" si="277"/>
        <v>0</v>
      </c>
      <c r="AL1619">
        <f t="shared" si="285"/>
        <v>0</v>
      </c>
    </row>
    <row r="1620" spans="1:38">
      <c r="A1620" t="s">
        <v>4987</v>
      </c>
      <c r="B1620" t="s">
        <v>4988</v>
      </c>
      <c r="C1620" s="1">
        <f t="shared" si="278"/>
        <v>45536</v>
      </c>
      <c r="D1620" t="s">
        <v>4989</v>
      </c>
      <c r="E1620">
        <v>85.3</v>
      </c>
      <c r="F1620">
        <v>3.6</v>
      </c>
      <c r="G1620" t="s">
        <v>87</v>
      </c>
      <c r="H1620" t="s">
        <v>151</v>
      </c>
      <c r="I1620" t="s">
        <v>48</v>
      </c>
      <c r="J1620">
        <v>120</v>
      </c>
      <c r="K1620" t="s">
        <v>49</v>
      </c>
      <c r="L1620" t="s">
        <v>133</v>
      </c>
      <c r="M1620" t="s">
        <v>35</v>
      </c>
      <c r="N1620" t="s">
        <v>36</v>
      </c>
      <c r="O1620" t="s">
        <v>7232</v>
      </c>
      <c r="P1620" t="s">
        <v>38</v>
      </c>
      <c r="Q1620" t="s">
        <v>38</v>
      </c>
      <c r="R1620">
        <v>1</v>
      </c>
      <c r="S1620" t="s">
        <v>38</v>
      </c>
      <c r="T1620">
        <v>8</v>
      </c>
      <c r="U1620">
        <v>2.7</v>
      </c>
      <c r="V1620">
        <v>21.7</v>
      </c>
      <c r="W1620" t="s">
        <v>39</v>
      </c>
      <c r="X1620" t="s">
        <v>123</v>
      </c>
      <c r="Y1620" t="s">
        <v>38</v>
      </c>
      <c r="Z1620" t="s">
        <v>81</v>
      </c>
      <c r="AA1620" t="s">
        <v>42</v>
      </c>
      <c r="AB1620" t="s">
        <v>55</v>
      </c>
      <c r="AC1620">
        <f t="shared" si="275"/>
        <v>0</v>
      </c>
      <c r="AD1620" s="12">
        <f t="shared" si="279"/>
        <v>0</v>
      </c>
      <c r="AE1620" s="12">
        <f t="shared" si="280"/>
        <v>1</v>
      </c>
      <c r="AF1620">
        <f t="shared" si="276"/>
        <v>0</v>
      </c>
      <c r="AG1620">
        <f t="shared" si="281"/>
        <v>1</v>
      </c>
      <c r="AH1620">
        <f t="shared" si="282"/>
        <v>1</v>
      </c>
      <c r="AI1620">
        <f t="shared" si="283"/>
        <v>0</v>
      </c>
      <c r="AJ1620">
        <f t="shared" si="284"/>
        <v>0</v>
      </c>
      <c r="AK1620">
        <f t="shared" si="277"/>
        <v>0</v>
      </c>
      <c r="AL1620">
        <f t="shared" si="285"/>
        <v>1</v>
      </c>
    </row>
    <row r="1621" spans="1:38">
      <c r="A1621" t="s">
        <v>4990</v>
      </c>
      <c r="B1621" t="s">
        <v>4991</v>
      </c>
      <c r="C1621" s="1">
        <f t="shared" si="278"/>
        <v>45292</v>
      </c>
      <c r="D1621" t="s">
        <v>4992</v>
      </c>
      <c r="E1621">
        <v>217.7</v>
      </c>
      <c r="F1621">
        <v>9.1</v>
      </c>
      <c r="G1621" t="s">
        <v>101</v>
      </c>
      <c r="H1621" t="s">
        <v>102</v>
      </c>
      <c r="I1621" t="s">
        <v>32</v>
      </c>
      <c r="J1621">
        <v>240</v>
      </c>
      <c r="K1621" t="s">
        <v>49</v>
      </c>
      <c r="L1621" t="s">
        <v>96</v>
      </c>
      <c r="M1621" t="s">
        <v>35</v>
      </c>
      <c r="N1621" t="s">
        <v>299</v>
      </c>
      <c r="O1621" t="s">
        <v>7232</v>
      </c>
      <c r="P1621" t="s">
        <v>39</v>
      </c>
      <c r="Q1621" t="s">
        <v>38</v>
      </c>
      <c r="R1621">
        <v>0</v>
      </c>
      <c r="S1621" t="s">
        <v>39</v>
      </c>
      <c r="T1621">
        <v>10</v>
      </c>
      <c r="U1621">
        <v>4.3</v>
      </c>
      <c r="V1621">
        <v>26</v>
      </c>
      <c r="W1621" t="s">
        <v>39</v>
      </c>
      <c r="X1621" t="s">
        <v>63</v>
      </c>
      <c r="Y1621" t="s">
        <v>39</v>
      </c>
      <c r="Z1621" t="s">
        <v>115</v>
      </c>
      <c r="AA1621" t="s">
        <v>103</v>
      </c>
      <c r="AB1621" t="s">
        <v>55</v>
      </c>
      <c r="AC1621">
        <f t="shared" si="275"/>
        <v>0</v>
      </c>
      <c r="AD1621" s="12">
        <f t="shared" si="279"/>
        <v>1</v>
      </c>
      <c r="AE1621" s="12">
        <f t="shared" si="280"/>
        <v>0</v>
      </c>
      <c r="AF1621">
        <f t="shared" si="276"/>
        <v>0</v>
      </c>
      <c r="AG1621">
        <f t="shared" si="281"/>
        <v>1</v>
      </c>
      <c r="AH1621">
        <f t="shared" si="282"/>
        <v>0</v>
      </c>
      <c r="AI1621">
        <f t="shared" si="283"/>
        <v>0</v>
      </c>
      <c r="AJ1621">
        <f t="shared" si="284"/>
        <v>1</v>
      </c>
      <c r="AK1621">
        <f t="shared" si="277"/>
        <v>0</v>
      </c>
      <c r="AL1621">
        <f t="shared" si="285"/>
        <v>0</v>
      </c>
    </row>
    <row r="1622" spans="1:38">
      <c r="A1622" t="s">
        <v>4993</v>
      </c>
      <c r="B1622" t="s">
        <v>4994</v>
      </c>
      <c r="C1622" s="1">
        <f t="shared" si="278"/>
        <v>45536</v>
      </c>
      <c r="D1622" t="s">
        <v>4995</v>
      </c>
      <c r="E1622">
        <v>427.8</v>
      </c>
      <c r="F1622">
        <v>17.8</v>
      </c>
      <c r="G1622" t="s">
        <v>142</v>
      </c>
      <c r="H1622" t="s">
        <v>319</v>
      </c>
      <c r="I1622" t="s">
        <v>32</v>
      </c>
      <c r="J1622">
        <v>240</v>
      </c>
      <c r="K1622" t="s">
        <v>33</v>
      </c>
      <c r="L1622" t="s">
        <v>34</v>
      </c>
      <c r="M1622" t="s">
        <v>71</v>
      </c>
      <c r="N1622" t="s">
        <v>107</v>
      </c>
      <c r="O1622" t="s">
        <v>7232</v>
      </c>
      <c r="P1622" t="s">
        <v>38</v>
      </c>
      <c r="Q1622" t="s">
        <v>39</v>
      </c>
      <c r="R1622">
        <v>4</v>
      </c>
      <c r="S1622" t="s">
        <v>38</v>
      </c>
      <c r="T1622">
        <v>7</v>
      </c>
      <c r="U1622">
        <v>1.8</v>
      </c>
      <c r="V1622">
        <v>36.700000000000003</v>
      </c>
      <c r="W1622" t="s">
        <v>39</v>
      </c>
      <c r="X1622" t="s">
        <v>63</v>
      </c>
      <c r="Y1622" t="s">
        <v>38</v>
      </c>
      <c r="Z1622" t="s">
        <v>115</v>
      </c>
      <c r="AA1622" t="s">
        <v>82</v>
      </c>
      <c r="AB1622" t="s">
        <v>43</v>
      </c>
      <c r="AC1622">
        <f t="shared" si="275"/>
        <v>0</v>
      </c>
      <c r="AD1622" s="12">
        <f t="shared" si="279"/>
        <v>1</v>
      </c>
      <c r="AE1622" s="12">
        <f t="shared" si="280"/>
        <v>0</v>
      </c>
      <c r="AF1622">
        <f t="shared" si="276"/>
        <v>0</v>
      </c>
      <c r="AG1622">
        <f t="shared" si="281"/>
        <v>1</v>
      </c>
      <c r="AH1622">
        <f t="shared" si="282"/>
        <v>0</v>
      </c>
      <c r="AI1622">
        <f t="shared" si="283"/>
        <v>0</v>
      </c>
      <c r="AJ1622">
        <f t="shared" si="284"/>
        <v>1</v>
      </c>
      <c r="AK1622">
        <f t="shared" si="277"/>
        <v>0</v>
      </c>
      <c r="AL1622">
        <f t="shared" si="285"/>
        <v>1</v>
      </c>
    </row>
    <row r="1623" spans="1:38">
      <c r="A1623" t="s">
        <v>4996</v>
      </c>
      <c r="B1623" t="s">
        <v>4997</v>
      </c>
      <c r="C1623" s="1">
        <f t="shared" si="278"/>
        <v>45536</v>
      </c>
      <c r="D1623" t="s">
        <v>4998</v>
      </c>
      <c r="E1623">
        <v>216.6</v>
      </c>
      <c r="F1623">
        <v>9</v>
      </c>
      <c r="G1623" t="s">
        <v>142</v>
      </c>
      <c r="H1623" t="s">
        <v>240</v>
      </c>
      <c r="I1623" t="s">
        <v>79</v>
      </c>
      <c r="J1623">
        <v>360</v>
      </c>
      <c r="K1623" t="s">
        <v>49</v>
      </c>
      <c r="L1623" t="s">
        <v>34</v>
      </c>
      <c r="M1623" t="s">
        <v>71</v>
      </c>
      <c r="N1623" t="s">
        <v>155</v>
      </c>
      <c r="O1623" t="s">
        <v>37</v>
      </c>
      <c r="P1623" t="s">
        <v>38</v>
      </c>
      <c r="Q1623" t="s">
        <v>39</v>
      </c>
      <c r="R1623">
        <v>2</v>
      </c>
      <c r="S1623" t="s">
        <v>38</v>
      </c>
      <c r="T1623">
        <v>8</v>
      </c>
      <c r="U1623">
        <v>4.5</v>
      </c>
      <c r="V1623">
        <v>14.6</v>
      </c>
      <c r="W1623" t="s">
        <v>39</v>
      </c>
      <c r="X1623" t="s">
        <v>123</v>
      </c>
      <c r="Y1623" t="s">
        <v>39</v>
      </c>
      <c r="Z1623" t="s">
        <v>115</v>
      </c>
      <c r="AA1623" t="s">
        <v>109</v>
      </c>
      <c r="AB1623" t="s">
        <v>83</v>
      </c>
      <c r="AC1623">
        <f t="shared" si="275"/>
        <v>0</v>
      </c>
      <c r="AD1623" s="12">
        <f t="shared" si="279"/>
        <v>0</v>
      </c>
      <c r="AE1623" s="12">
        <f t="shared" si="280"/>
        <v>1</v>
      </c>
      <c r="AF1623">
        <f t="shared" si="276"/>
        <v>0</v>
      </c>
      <c r="AG1623">
        <f t="shared" si="281"/>
        <v>0</v>
      </c>
      <c r="AH1623">
        <f t="shared" si="282"/>
        <v>0</v>
      </c>
      <c r="AI1623">
        <f t="shared" si="283"/>
        <v>0</v>
      </c>
      <c r="AJ1623">
        <f t="shared" si="284"/>
        <v>0</v>
      </c>
      <c r="AK1623">
        <f t="shared" si="277"/>
        <v>0</v>
      </c>
      <c r="AL1623">
        <f t="shared" si="285"/>
        <v>0</v>
      </c>
    </row>
    <row r="1624" spans="1:38">
      <c r="A1624" t="s">
        <v>4999</v>
      </c>
      <c r="B1624" t="s">
        <v>5000</v>
      </c>
      <c r="C1624" s="1">
        <f t="shared" si="278"/>
        <v>45352</v>
      </c>
      <c r="D1624" t="s">
        <v>5001</v>
      </c>
      <c r="E1624">
        <v>177.9</v>
      </c>
      <c r="F1624">
        <v>7.4</v>
      </c>
      <c r="G1624" t="s">
        <v>93</v>
      </c>
      <c r="H1624" t="s">
        <v>94</v>
      </c>
      <c r="I1624" t="s">
        <v>32</v>
      </c>
      <c r="J1624">
        <v>240</v>
      </c>
      <c r="K1624" t="s">
        <v>49</v>
      </c>
      <c r="L1624" t="s">
        <v>70</v>
      </c>
      <c r="M1624" t="s">
        <v>35</v>
      </c>
      <c r="N1624" t="s">
        <v>97</v>
      </c>
      <c r="O1624" t="s">
        <v>51</v>
      </c>
      <c r="P1624" t="s">
        <v>39</v>
      </c>
      <c r="Q1624" t="s">
        <v>38</v>
      </c>
      <c r="R1624">
        <v>0</v>
      </c>
      <c r="S1624" t="s">
        <v>38</v>
      </c>
      <c r="T1624">
        <v>9</v>
      </c>
      <c r="U1624">
        <v>1.2</v>
      </c>
      <c r="V1624">
        <v>43.5</v>
      </c>
      <c r="W1624" t="s">
        <v>39</v>
      </c>
      <c r="X1624" t="s">
        <v>63</v>
      </c>
      <c r="Y1624" t="s">
        <v>39</v>
      </c>
      <c r="Z1624" t="s">
        <v>179</v>
      </c>
      <c r="AA1624" t="s">
        <v>54</v>
      </c>
      <c r="AB1624" t="s">
        <v>55</v>
      </c>
      <c r="AC1624">
        <f t="shared" si="275"/>
        <v>0</v>
      </c>
      <c r="AD1624" s="12">
        <f t="shared" si="279"/>
        <v>1</v>
      </c>
      <c r="AE1624" s="12">
        <f t="shared" si="280"/>
        <v>0</v>
      </c>
      <c r="AF1624">
        <f t="shared" si="276"/>
        <v>1</v>
      </c>
      <c r="AG1624">
        <f t="shared" si="281"/>
        <v>0</v>
      </c>
      <c r="AH1624">
        <f t="shared" si="282"/>
        <v>0</v>
      </c>
      <c r="AI1624">
        <f t="shared" si="283"/>
        <v>0</v>
      </c>
      <c r="AJ1624">
        <f t="shared" si="284"/>
        <v>1</v>
      </c>
      <c r="AK1624">
        <f t="shared" si="277"/>
        <v>0</v>
      </c>
      <c r="AL1624">
        <f t="shared" si="285"/>
        <v>0</v>
      </c>
    </row>
    <row r="1625" spans="1:38">
      <c r="A1625" t="s">
        <v>5002</v>
      </c>
      <c r="B1625" t="s">
        <v>5003</v>
      </c>
      <c r="C1625" s="1">
        <f t="shared" si="278"/>
        <v>45597</v>
      </c>
      <c r="D1625" t="s">
        <v>5004</v>
      </c>
      <c r="E1625">
        <v>227.2</v>
      </c>
      <c r="F1625">
        <v>9.5</v>
      </c>
      <c r="G1625" t="s">
        <v>77</v>
      </c>
      <c r="H1625" t="s">
        <v>267</v>
      </c>
      <c r="I1625" t="s">
        <v>79</v>
      </c>
      <c r="J1625">
        <v>360</v>
      </c>
      <c r="K1625" t="s">
        <v>49</v>
      </c>
      <c r="L1625" t="s">
        <v>34</v>
      </c>
      <c r="M1625" t="s">
        <v>35</v>
      </c>
      <c r="N1625" t="s">
        <v>164</v>
      </c>
      <c r="O1625" t="s">
        <v>7232</v>
      </c>
      <c r="P1625" t="s">
        <v>39</v>
      </c>
      <c r="Q1625" t="s">
        <v>38</v>
      </c>
      <c r="R1625">
        <v>0</v>
      </c>
      <c r="S1625" t="s">
        <v>38</v>
      </c>
      <c r="T1625">
        <v>10</v>
      </c>
      <c r="U1625">
        <v>2.2999999999999998</v>
      </c>
      <c r="V1625">
        <v>11</v>
      </c>
      <c r="W1625" t="s">
        <v>39</v>
      </c>
      <c r="X1625" t="s">
        <v>63</v>
      </c>
      <c r="Y1625" t="s">
        <v>39</v>
      </c>
      <c r="Z1625" t="s">
        <v>179</v>
      </c>
      <c r="AA1625" t="s">
        <v>54</v>
      </c>
      <c r="AB1625" t="s">
        <v>55</v>
      </c>
      <c r="AC1625">
        <f t="shared" si="275"/>
        <v>0</v>
      </c>
      <c r="AD1625" s="12">
        <f t="shared" si="279"/>
        <v>1</v>
      </c>
      <c r="AE1625" s="12">
        <f t="shared" si="280"/>
        <v>0</v>
      </c>
      <c r="AF1625">
        <f t="shared" si="276"/>
        <v>0</v>
      </c>
      <c r="AG1625">
        <f t="shared" si="281"/>
        <v>1</v>
      </c>
      <c r="AH1625">
        <f t="shared" si="282"/>
        <v>0</v>
      </c>
      <c r="AI1625">
        <f t="shared" si="283"/>
        <v>0</v>
      </c>
      <c r="AJ1625">
        <f t="shared" si="284"/>
        <v>0</v>
      </c>
      <c r="AK1625">
        <f t="shared" si="277"/>
        <v>0</v>
      </c>
      <c r="AL1625">
        <f t="shared" si="285"/>
        <v>0</v>
      </c>
    </row>
    <row r="1626" spans="1:38">
      <c r="A1626" t="s">
        <v>5005</v>
      </c>
      <c r="B1626" t="s">
        <v>5006</v>
      </c>
      <c r="C1626" s="1">
        <f t="shared" si="278"/>
        <v>45323</v>
      </c>
      <c r="D1626" t="s">
        <v>5007</v>
      </c>
      <c r="E1626">
        <v>224</v>
      </c>
      <c r="F1626">
        <v>9.3000000000000007</v>
      </c>
      <c r="G1626" t="s">
        <v>142</v>
      </c>
      <c r="H1626" t="s">
        <v>260</v>
      </c>
      <c r="I1626" t="s">
        <v>32</v>
      </c>
      <c r="J1626">
        <v>240</v>
      </c>
      <c r="K1626" t="s">
        <v>49</v>
      </c>
      <c r="L1626" t="s">
        <v>96</v>
      </c>
      <c r="M1626" t="s">
        <v>35</v>
      </c>
      <c r="N1626" t="s">
        <v>414</v>
      </c>
      <c r="O1626" t="s">
        <v>7232</v>
      </c>
      <c r="P1626" t="s">
        <v>39</v>
      </c>
      <c r="Q1626" t="s">
        <v>38</v>
      </c>
      <c r="R1626">
        <v>0</v>
      </c>
      <c r="S1626" t="s">
        <v>38</v>
      </c>
      <c r="T1626">
        <v>9</v>
      </c>
      <c r="U1626">
        <v>0.1</v>
      </c>
      <c r="V1626">
        <v>16.899999999999999</v>
      </c>
      <c r="W1626" t="s">
        <v>39</v>
      </c>
      <c r="X1626" t="s">
        <v>52</v>
      </c>
      <c r="Y1626" t="s">
        <v>39</v>
      </c>
      <c r="Z1626" t="s">
        <v>179</v>
      </c>
      <c r="AA1626" t="s">
        <v>42</v>
      </c>
      <c r="AB1626" t="s">
        <v>83</v>
      </c>
      <c r="AC1626">
        <f t="shared" si="275"/>
        <v>1</v>
      </c>
      <c r="AD1626" s="12">
        <f t="shared" si="279"/>
        <v>0</v>
      </c>
      <c r="AE1626" s="12">
        <f t="shared" si="280"/>
        <v>0</v>
      </c>
      <c r="AF1626">
        <f t="shared" si="276"/>
        <v>0</v>
      </c>
      <c r="AG1626">
        <f t="shared" si="281"/>
        <v>1</v>
      </c>
      <c r="AH1626">
        <f t="shared" si="282"/>
        <v>0</v>
      </c>
      <c r="AI1626">
        <f t="shared" si="283"/>
        <v>0</v>
      </c>
      <c r="AJ1626">
        <f t="shared" si="284"/>
        <v>1</v>
      </c>
      <c r="AK1626">
        <f t="shared" si="277"/>
        <v>0</v>
      </c>
      <c r="AL1626">
        <f t="shared" si="285"/>
        <v>0</v>
      </c>
    </row>
    <row r="1627" spans="1:38">
      <c r="A1627" t="s">
        <v>5008</v>
      </c>
      <c r="B1627" t="s">
        <v>5009</v>
      </c>
      <c r="C1627" s="1">
        <f t="shared" si="278"/>
        <v>45444</v>
      </c>
      <c r="D1627" t="s">
        <v>5010</v>
      </c>
      <c r="E1627">
        <v>251</v>
      </c>
      <c r="F1627">
        <v>10.5</v>
      </c>
      <c r="G1627" t="s">
        <v>59</v>
      </c>
      <c r="H1627" t="s">
        <v>127</v>
      </c>
      <c r="I1627" t="s">
        <v>48</v>
      </c>
      <c r="J1627">
        <v>120</v>
      </c>
      <c r="K1627" t="s">
        <v>33</v>
      </c>
      <c r="L1627" t="s">
        <v>96</v>
      </c>
      <c r="M1627" t="s">
        <v>35</v>
      </c>
      <c r="N1627" t="s">
        <v>107</v>
      </c>
      <c r="O1627" t="s">
        <v>37</v>
      </c>
      <c r="P1627" t="s">
        <v>38</v>
      </c>
      <c r="Q1627" t="s">
        <v>38</v>
      </c>
      <c r="R1627">
        <v>1</v>
      </c>
      <c r="S1627" t="s">
        <v>38</v>
      </c>
      <c r="T1627">
        <v>5</v>
      </c>
      <c r="U1627">
        <v>5.4</v>
      </c>
      <c r="V1627">
        <v>8.3000000000000007</v>
      </c>
      <c r="W1627" t="s">
        <v>39</v>
      </c>
      <c r="X1627" t="s">
        <v>52</v>
      </c>
      <c r="Y1627" t="s">
        <v>38</v>
      </c>
      <c r="Z1627" t="s">
        <v>115</v>
      </c>
      <c r="AA1627" t="s">
        <v>42</v>
      </c>
      <c r="AB1627" t="s">
        <v>55</v>
      </c>
      <c r="AC1627">
        <f t="shared" si="275"/>
        <v>1</v>
      </c>
      <c r="AD1627" s="12">
        <f t="shared" si="279"/>
        <v>0</v>
      </c>
      <c r="AE1627" s="12">
        <f t="shared" si="280"/>
        <v>0</v>
      </c>
      <c r="AF1627">
        <f t="shared" si="276"/>
        <v>0</v>
      </c>
      <c r="AG1627">
        <f t="shared" si="281"/>
        <v>0</v>
      </c>
      <c r="AH1627">
        <f t="shared" si="282"/>
        <v>1</v>
      </c>
      <c r="AI1627">
        <f t="shared" si="283"/>
        <v>0</v>
      </c>
      <c r="AJ1627">
        <f t="shared" si="284"/>
        <v>0</v>
      </c>
      <c r="AK1627">
        <f t="shared" si="277"/>
        <v>0</v>
      </c>
      <c r="AL1627">
        <f t="shared" si="285"/>
        <v>1</v>
      </c>
    </row>
    <row r="1628" spans="1:38">
      <c r="A1628" t="s">
        <v>5011</v>
      </c>
      <c r="B1628" t="s">
        <v>5012</v>
      </c>
      <c r="C1628" s="1">
        <f t="shared" si="278"/>
        <v>45566</v>
      </c>
      <c r="D1628" t="s">
        <v>5013</v>
      </c>
      <c r="E1628">
        <v>436.3</v>
      </c>
      <c r="F1628">
        <v>18.2</v>
      </c>
      <c r="G1628" t="s">
        <v>87</v>
      </c>
      <c r="H1628" t="s">
        <v>151</v>
      </c>
      <c r="I1628" t="s">
        <v>32</v>
      </c>
      <c r="J1628">
        <v>240</v>
      </c>
      <c r="K1628" t="s">
        <v>33</v>
      </c>
      <c r="L1628" t="s">
        <v>96</v>
      </c>
      <c r="M1628" t="s">
        <v>71</v>
      </c>
      <c r="N1628" t="s">
        <v>414</v>
      </c>
      <c r="O1628" t="s">
        <v>7232</v>
      </c>
      <c r="P1628" t="s">
        <v>38</v>
      </c>
      <c r="Q1628" t="s">
        <v>39</v>
      </c>
      <c r="R1628">
        <v>3</v>
      </c>
      <c r="S1628" t="s">
        <v>38</v>
      </c>
      <c r="T1628">
        <v>3</v>
      </c>
      <c r="U1628">
        <v>0.1</v>
      </c>
      <c r="V1628">
        <v>5.9</v>
      </c>
      <c r="W1628" t="s">
        <v>38</v>
      </c>
      <c r="X1628" t="s">
        <v>63</v>
      </c>
      <c r="Y1628" t="s">
        <v>38</v>
      </c>
      <c r="Z1628" t="s">
        <v>108</v>
      </c>
      <c r="AA1628" t="s">
        <v>109</v>
      </c>
      <c r="AB1628" t="s">
        <v>83</v>
      </c>
      <c r="AC1628">
        <f t="shared" si="275"/>
        <v>0</v>
      </c>
      <c r="AD1628" s="12">
        <f t="shared" si="279"/>
        <v>1</v>
      </c>
      <c r="AE1628" s="12">
        <f t="shared" si="280"/>
        <v>0</v>
      </c>
      <c r="AF1628">
        <f t="shared" si="276"/>
        <v>0</v>
      </c>
      <c r="AG1628">
        <f t="shared" si="281"/>
        <v>1</v>
      </c>
      <c r="AH1628">
        <f t="shared" si="282"/>
        <v>0</v>
      </c>
      <c r="AI1628">
        <f t="shared" si="283"/>
        <v>0</v>
      </c>
      <c r="AJ1628">
        <f t="shared" si="284"/>
        <v>1</v>
      </c>
      <c r="AK1628">
        <f t="shared" si="277"/>
        <v>0</v>
      </c>
      <c r="AL1628">
        <f t="shared" si="285"/>
        <v>1</v>
      </c>
    </row>
    <row r="1629" spans="1:38">
      <c r="A1629" t="s">
        <v>5014</v>
      </c>
      <c r="B1629" t="s">
        <v>5015</v>
      </c>
      <c r="C1629" s="1">
        <f t="shared" si="278"/>
        <v>45352</v>
      </c>
      <c r="D1629" t="s">
        <v>5016</v>
      </c>
      <c r="E1629">
        <v>283.60000000000002</v>
      </c>
      <c r="F1629">
        <v>11.8</v>
      </c>
      <c r="G1629" t="s">
        <v>93</v>
      </c>
      <c r="H1629" t="s">
        <v>163</v>
      </c>
      <c r="I1629" t="s">
        <v>79</v>
      </c>
      <c r="J1629">
        <v>360</v>
      </c>
      <c r="K1629" t="s">
        <v>49</v>
      </c>
      <c r="L1629" t="s">
        <v>70</v>
      </c>
      <c r="M1629" t="s">
        <v>35</v>
      </c>
      <c r="N1629" t="s">
        <v>144</v>
      </c>
      <c r="O1629" t="s">
        <v>7232</v>
      </c>
      <c r="P1629" t="s">
        <v>38</v>
      </c>
      <c r="Q1629" t="s">
        <v>38</v>
      </c>
      <c r="R1629">
        <v>1</v>
      </c>
      <c r="S1629" t="s">
        <v>38</v>
      </c>
      <c r="T1629">
        <v>10</v>
      </c>
      <c r="U1629">
        <v>0.1</v>
      </c>
      <c r="V1629">
        <v>39.9</v>
      </c>
      <c r="W1629" t="s">
        <v>38</v>
      </c>
      <c r="X1629" t="s">
        <v>123</v>
      </c>
      <c r="Y1629" t="s">
        <v>39</v>
      </c>
      <c r="Z1629" t="s">
        <v>179</v>
      </c>
      <c r="AA1629" t="s">
        <v>54</v>
      </c>
      <c r="AB1629" t="s">
        <v>55</v>
      </c>
      <c r="AC1629">
        <f t="shared" si="275"/>
        <v>0</v>
      </c>
      <c r="AD1629" s="12">
        <f t="shared" si="279"/>
        <v>0</v>
      </c>
      <c r="AE1629" s="12">
        <f t="shared" si="280"/>
        <v>1</v>
      </c>
      <c r="AF1629">
        <f t="shared" si="276"/>
        <v>0</v>
      </c>
      <c r="AG1629">
        <f t="shared" si="281"/>
        <v>1</v>
      </c>
      <c r="AH1629">
        <f t="shared" si="282"/>
        <v>0</v>
      </c>
      <c r="AI1629">
        <f t="shared" si="283"/>
        <v>0</v>
      </c>
      <c r="AJ1629">
        <f t="shared" si="284"/>
        <v>0</v>
      </c>
      <c r="AK1629">
        <f t="shared" si="277"/>
        <v>0</v>
      </c>
      <c r="AL1629">
        <f t="shared" si="285"/>
        <v>0</v>
      </c>
    </row>
    <row r="1630" spans="1:38">
      <c r="A1630" t="s">
        <v>5017</v>
      </c>
      <c r="B1630" t="s">
        <v>5018</v>
      </c>
      <c r="C1630" s="1">
        <f t="shared" si="278"/>
        <v>45383</v>
      </c>
      <c r="D1630" t="s">
        <v>5019</v>
      </c>
      <c r="E1630">
        <v>291.3</v>
      </c>
      <c r="F1630">
        <v>12.1</v>
      </c>
      <c r="G1630" t="s">
        <v>93</v>
      </c>
      <c r="H1630" t="s">
        <v>163</v>
      </c>
      <c r="I1630" t="s">
        <v>79</v>
      </c>
      <c r="J1630">
        <v>360</v>
      </c>
      <c r="K1630" t="s">
        <v>49</v>
      </c>
      <c r="L1630" t="s">
        <v>70</v>
      </c>
      <c r="M1630" t="s">
        <v>71</v>
      </c>
      <c r="N1630" t="s">
        <v>80</v>
      </c>
      <c r="O1630" t="s">
        <v>7232</v>
      </c>
      <c r="P1630" t="s">
        <v>38</v>
      </c>
      <c r="Q1630" t="s">
        <v>39</v>
      </c>
      <c r="R1630">
        <v>2</v>
      </c>
      <c r="S1630" t="s">
        <v>38</v>
      </c>
      <c r="T1630">
        <v>8</v>
      </c>
      <c r="U1630">
        <v>1.3</v>
      </c>
      <c r="V1630">
        <v>9.6</v>
      </c>
      <c r="W1630" t="s">
        <v>39</v>
      </c>
      <c r="X1630" t="s">
        <v>63</v>
      </c>
      <c r="Y1630" t="s">
        <v>38</v>
      </c>
      <c r="Z1630" t="s">
        <v>41</v>
      </c>
      <c r="AA1630" t="s">
        <v>109</v>
      </c>
      <c r="AB1630" t="s">
        <v>83</v>
      </c>
      <c r="AC1630">
        <f t="shared" si="275"/>
        <v>0</v>
      </c>
      <c r="AD1630" s="12">
        <f t="shared" si="279"/>
        <v>1</v>
      </c>
      <c r="AE1630" s="12">
        <f t="shared" si="280"/>
        <v>0</v>
      </c>
      <c r="AF1630">
        <f t="shared" si="276"/>
        <v>0</v>
      </c>
      <c r="AG1630">
        <f t="shared" si="281"/>
        <v>1</v>
      </c>
      <c r="AH1630">
        <f t="shared" si="282"/>
        <v>0</v>
      </c>
      <c r="AI1630">
        <f t="shared" si="283"/>
        <v>0</v>
      </c>
      <c r="AJ1630">
        <f t="shared" si="284"/>
        <v>0</v>
      </c>
      <c r="AK1630">
        <f t="shared" si="277"/>
        <v>0</v>
      </c>
      <c r="AL1630">
        <f t="shared" si="285"/>
        <v>1</v>
      </c>
    </row>
    <row r="1631" spans="1:38">
      <c r="A1631" t="s">
        <v>5020</v>
      </c>
      <c r="B1631" t="s">
        <v>5021</v>
      </c>
      <c r="C1631" s="1">
        <f t="shared" si="278"/>
        <v>45597</v>
      </c>
      <c r="D1631" t="s">
        <v>5022</v>
      </c>
      <c r="E1631">
        <v>362.8</v>
      </c>
      <c r="F1631">
        <v>15.1</v>
      </c>
      <c r="G1631" t="s">
        <v>93</v>
      </c>
      <c r="H1631" t="s">
        <v>449</v>
      </c>
      <c r="I1631" t="s">
        <v>79</v>
      </c>
      <c r="J1631">
        <v>360</v>
      </c>
      <c r="K1631" t="s">
        <v>33</v>
      </c>
      <c r="L1631" t="s">
        <v>96</v>
      </c>
      <c r="M1631" t="s">
        <v>35</v>
      </c>
      <c r="N1631" t="s">
        <v>414</v>
      </c>
      <c r="O1631" t="s">
        <v>51</v>
      </c>
      <c r="P1631" t="s">
        <v>38</v>
      </c>
      <c r="Q1631" t="s">
        <v>38</v>
      </c>
      <c r="R1631">
        <v>1</v>
      </c>
      <c r="S1631" t="s">
        <v>38</v>
      </c>
      <c r="T1631">
        <v>4</v>
      </c>
      <c r="U1631">
        <v>0.9</v>
      </c>
      <c r="V1631">
        <v>0</v>
      </c>
      <c r="W1631" t="s">
        <v>39</v>
      </c>
      <c r="X1631" t="s">
        <v>63</v>
      </c>
      <c r="Y1631" t="s">
        <v>39</v>
      </c>
      <c r="Z1631" t="s">
        <v>81</v>
      </c>
      <c r="AA1631" t="s">
        <v>82</v>
      </c>
      <c r="AB1631" t="s">
        <v>83</v>
      </c>
      <c r="AC1631">
        <f t="shared" si="275"/>
        <v>0</v>
      </c>
      <c r="AD1631" s="12">
        <f t="shared" si="279"/>
        <v>1</v>
      </c>
      <c r="AE1631" s="12">
        <f t="shared" si="280"/>
        <v>0</v>
      </c>
      <c r="AF1631">
        <f t="shared" si="276"/>
        <v>1</v>
      </c>
      <c r="AG1631">
        <f t="shared" si="281"/>
        <v>0</v>
      </c>
      <c r="AH1631">
        <f t="shared" si="282"/>
        <v>0</v>
      </c>
      <c r="AI1631">
        <f t="shared" si="283"/>
        <v>0</v>
      </c>
      <c r="AJ1631">
        <f t="shared" si="284"/>
        <v>0</v>
      </c>
      <c r="AK1631">
        <f t="shared" si="277"/>
        <v>0</v>
      </c>
      <c r="AL1631">
        <f t="shared" si="285"/>
        <v>0</v>
      </c>
    </row>
    <row r="1632" spans="1:38">
      <c r="A1632" t="s">
        <v>5023</v>
      </c>
      <c r="B1632" t="s">
        <v>5024</v>
      </c>
      <c r="C1632" s="1">
        <f t="shared" si="278"/>
        <v>45323</v>
      </c>
      <c r="D1632" t="s">
        <v>5025</v>
      </c>
      <c r="E1632">
        <v>166.3</v>
      </c>
      <c r="F1632">
        <v>6.9</v>
      </c>
      <c r="G1632" t="s">
        <v>142</v>
      </c>
      <c r="H1632" t="s">
        <v>319</v>
      </c>
      <c r="I1632" t="s">
        <v>32</v>
      </c>
      <c r="J1632">
        <v>240</v>
      </c>
      <c r="K1632" t="s">
        <v>49</v>
      </c>
      <c r="L1632" t="s">
        <v>70</v>
      </c>
      <c r="M1632" t="s">
        <v>35</v>
      </c>
      <c r="N1632" t="s">
        <v>128</v>
      </c>
      <c r="O1632" t="s">
        <v>7232</v>
      </c>
      <c r="P1632" t="s">
        <v>38</v>
      </c>
      <c r="Q1632" t="s">
        <v>38</v>
      </c>
      <c r="R1632">
        <v>1</v>
      </c>
      <c r="S1632" t="s">
        <v>38</v>
      </c>
      <c r="T1632">
        <v>8</v>
      </c>
      <c r="U1632">
        <v>4.5</v>
      </c>
      <c r="V1632">
        <v>18.5</v>
      </c>
      <c r="W1632" t="s">
        <v>39</v>
      </c>
      <c r="X1632" t="s">
        <v>123</v>
      </c>
      <c r="Y1632" t="s">
        <v>39</v>
      </c>
      <c r="Z1632" t="s">
        <v>64</v>
      </c>
      <c r="AA1632" t="s">
        <v>109</v>
      </c>
      <c r="AB1632" t="s">
        <v>55</v>
      </c>
      <c r="AC1632">
        <f t="shared" si="275"/>
        <v>0</v>
      </c>
      <c r="AD1632" s="12">
        <f t="shared" si="279"/>
        <v>0</v>
      </c>
      <c r="AE1632" s="12">
        <f t="shared" si="280"/>
        <v>1</v>
      </c>
      <c r="AF1632">
        <f t="shared" si="276"/>
        <v>0</v>
      </c>
      <c r="AG1632">
        <f t="shared" si="281"/>
        <v>1</v>
      </c>
      <c r="AH1632">
        <f t="shared" si="282"/>
        <v>0</v>
      </c>
      <c r="AI1632">
        <f t="shared" si="283"/>
        <v>0</v>
      </c>
      <c r="AJ1632">
        <f t="shared" si="284"/>
        <v>1</v>
      </c>
      <c r="AK1632">
        <f t="shared" si="277"/>
        <v>0</v>
      </c>
      <c r="AL1632">
        <f t="shared" si="285"/>
        <v>0</v>
      </c>
    </row>
    <row r="1633" spans="1:38">
      <c r="A1633" t="s">
        <v>5026</v>
      </c>
      <c r="B1633" t="s">
        <v>5027</v>
      </c>
      <c r="C1633" s="1">
        <f t="shared" si="278"/>
        <v>45505</v>
      </c>
      <c r="D1633" t="s">
        <v>5028</v>
      </c>
      <c r="E1633">
        <v>707.3</v>
      </c>
      <c r="F1633">
        <v>29.5</v>
      </c>
      <c r="G1633" t="s">
        <v>77</v>
      </c>
      <c r="H1633" t="s">
        <v>78</v>
      </c>
      <c r="I1633" t="s">
        <v>79</v>
      </c>
      <c r="J1633">
        <v>360</v>
      </c>
      <c r="K1633" t="s">
        <v>33</v>
      </c>
      <c r="L1633" t="s">
        <v>70</v>
      </c>
      <c r="M1633" t="s">
        <v>35</v>
      </c>
      <c r="N1633" t="s">
        <v>506</v>
      </c>
      <c r="O1633" t="s">
        <v>7232</v>
      </c>
      <c r="P1633" t="s">
        <v>39</v>
      </c>
      <c r="Q1633" t="s">
        <v>38</v>
      </c>
      <c r="R1633">
        <v>0</v>
      </c>
      <c r="S1633" t="s">
        <v>38</v>
      </c>
      <c r="T1633">
        <v>8</v>
      </c>
      <c r="U1633">
        <v>0.1</v>
      </c>
      <c r="V1633">
        <v>4</v>
      </c>
      <c r="W1633" t="s">
        <v>39</v>
      </c>
      <c r="X1633" t="s">
        <v>63</v>
      </c>
      <c r="Y1633" t="s">
        <v>39</v>
      </c>
      <c r="Z1633" t="s">
        <v>179</v>
      </c>
      <c r="AA1633" t="s">
        <v>82</v>
      </c>
      <c r="AB1633" t="s">
        <v>43</v>
      </c>
      <c r="AC1633">
        <f t="shared" si="275"/>
        <v>0</v>
      </c>
      <c r="AD1633" s="12">
        <f t="shared" si="279"/>
        <v>1</v>
      </c>
      <c r="AE1633" s="12">
        <f t="shared" si="280"/>
        <v>0</v>
      </c>
      <c r="AF1633">
        <f t="shared" si="276"/>
        <v>0</v>
      </c>
      <c r="AG1633">
        <f t="shared" si="281"/>
        <v>1</v>
      </c>
      <c r="AH1633">
        <f t="shared" si="282"/>
        <v>0</v>
      </c>
      <c r="AI1633">
        <f t="shared" si="283"/>
        <v>0</v>
      </c>
      <c r="AJ1633">
        <f t="shared" si="284"/>
        <v>0</v>
      </c>
      <c r="AK1633">
        <f t="shared" si="277"/>
        <v>0</v>
      </c>
      <c r="AL1633">
        <f t="shared" si="285"/>
        <v>0</v>
      </c>
    </row>
    <row r="1634" spans="1:38">
      <c r="A1634" t="s">
        <v>5029</v>
      </c>
      <c r="B1634" t="s">
        <v>5030</v>
      </c>
      <c r="C1634" s="1">
        <f t="shared" si="278"/>
        <v>45474</v>
      </c>
      <c r="D1634" t="s">
        <v>5031</v>
      </c>
      <c r="E1634">
        <v>213.2</v>
      </c>
      <c r="F1634">
        <v>8.9</v>
      </c>
      <c r="G1634" t="s">
        <v>142</v>
      </c>
      <c r="H1634" t="s">
        <v>319</v>
      </c>
      <c r="I1634" t="s">
        <v>32</v>
      </c>
      <c r="J1634">
        <v>240</v>
      </c>
      <c r="K1634" t="s">
        <v>49</v>
      </c>
      <c r="L1634" t="s">
        <v>34</v>
      </c>
      <c r="M1634" t="s">
        <v>35</v>
      </c>
      <c r="N1634" t="s">
        <v>97</v>
      </c>
      <c r="O1634" t="s">
        <v>51</v>
      </c>
      <c r="P1634" t="s">
        <v>39</v>
      </c>
      <c r="Q1634" t="s">
        <v>38</v>
      </c>
      <c r="R1634">
        <v>0</v>
      </c>
      <c r="S1634" t="s">
        <v>38</v>
      </c>
      <c r="T1634">
        <v>10</v>
      </c>
      <c r="U1634">
        <v>5.0999999999999996</v>
      </c>
      <c r="V1634">
        <v>18.3</v>
      </c>
      <c r="W1634" t="s">
        <v>39</v>
      </c>
      <c r="X1634" t="s">
        <v>63</v>
      </c>
      <c r="Y1634" t="s">
        <v>39</v>
      </c>
      <c r="Z1634" t="s">
        <v>81</v>
      </c>
      <c r="AA1634" t="s">
        <v>54</v>
      </c>
      <c r="AB1634" t="s">
        <v>43</v>
      </c>
      <c r="AC1634">
        <f t="shared" si="275"/>
        <v>0</v>
      </c>
      <c r="AD1634" s="12">
        <f t="shared" si="279"/>
        <v>1</v>
      </c>
      <c r="AE1634" s="12">
        <f t="shared" si="280"/>
        <v>0</v>
      </c>
      <c r="AF1634">
        <f t="shared" si="276"/>
        <v>1</v>
      </c>
      <c r="AG1634">
        <f t="shared" si="281"/>
        <v>0</v>
      </c>
      <c r="AH1634">
        <f t="shared" si="282"/>
        <v>0</v>
      </c>
      <c r="AI1634">
        <f t="shared" si="283"/>
        <v>0</v>
      </c>
      <c r="AJ1634">
        <f t="shared" si="284"/>
        <v>1</v>
      </c>
      <c r="AK1634">
        <f t="shared" si="277"/>
        <v>0</v>
      </c>
      <c r="AL1634">
        <f t="shared" si="285"/>
        <v>0</v>
      </c>
    </row>
    <row r="1635" spans="1:38">
      <c r="A1635" t="s">
        <v>5032</v>
      </c>
      <c r="B1635" t="s">
        <v>5033</v>
      </c>
      <c r="C1635" s="1">
        <f t="shared" si="278"/>
        <v>45383</v>
      </c>
      <c r="D1635" t="s">
        <v>5034</v>
      </c>
      <c r="E1635">
        <v>113.8</v>
      </c>
      <c r="F1635">
        <v>4.7</v>
      </c>
      <c r="G1635" t="s">
        <v>101</v>
      </c>
      <c r="H1635" t="s">
        <v>368</v>
      </c>
      <c r="I1635" t="s">
        <v>48</v>
      </c>
      <c r="J1635">
        <v>120</v>
      </c>
      <c r="K1635" t="s">
        <v>49</v>
      </c>
      <c r="L1635" t="s">
        <v>70</v>
      </c>
      <c r="M1635" t="s">
        <v>35</v>
      </c>
      <c r="N1635" t="s">
        <v>36</v>
      </c>
      <c r="O1635" t="s">
        <v>7232</v>
      </c>
      <c r="P1635" t="s">
        <v>38</v>
      </c>
      <c r="Q1635" t="s">
        <v>38</v>
      </c>
      <c r="R1635">
        <v>1</v>
      </c>
      <c r="S1635" t="s">
        <v>38</v>
      </c>
      <c r="T1635">
        <v>8</v>
      </c>
      <c r="U1635">
        <v>2.6</v>
      </c>
      <c r="V1635">
        <v>10.7</v>
      </c>
      <c r="W1635" t="s">
        <v>39</v>
      </c>
      <c r="X1635" t="s">
        <v>123</v>
      </c>
      <c r="Y1635" t="s">
        <v>38</v>
      </c>
      <c r="Z1635" t="s">
        <v>41</v>
      </c>
      <c r="AA1635" t="s">
        <v>103</v>
      </c>
      <c r="AB1635" t="s">
        <v>83</v>
      </c>
      <c r="AC1635">
        <f t="shared" si="275"/>
        <v>0</v>
      </c>
      <c r="AD1635" s="12">
        <f t="shared" si="279"/>
        <v>0</v>
      </c>
      <c r="AE1635" s="12">
        <f t="shared" si="280"/>
        <v>1</v>
      </c>
      <c r="AF1635">
        <f t="shared" si="276"/>
        <v>0</v>
      </c>
      <c r="AG1635">
        <f t="shared" si="281"/>
        <v>1</v>
      </c>
      <c r="AH1635">
        <f t="shared" si="282"/>
        <v>1</v>
      </c>
      <c r="AI1635">
        <f t="shared" si="283"/>
        <v>0</v>
      </c>
      <c r="AJ1635">
        <f t="shared" si="284"/>
        <v>0</v>
      </c>
      <c r="AK1635">
        <f t="shared" si="277"/>
        <v>0</v>
      </c>
      <c r="AL1635">
        <f t="shared" si="285"/>
        <v>1</v>
      </c>
    </row>
    <row r="1636" spans="1:38">
      <c r="A1636" t="s">
        <v>5035</v>
      </c>
      <c r="B1636" t="s">
        <v>5036</v>
      </c>
      <c r="C1636" s="1">
        <f t="shared" si="278"/>
        <v>45383</v>
      </c>
      <c r="D1636" t="s">
        <v>5037</v>
      </c>
      <c r="E1636">
        <v>183.9</v>
      </c>
      <c r="F1636">
        <v>7.7</v>
      </c>
      <c r="G1636" t="s">
        <v>93</v>
      </c>
      <c r="H1636" t="s">
        <v>163</v>
      </c>
      <c r="I1636" t="s">
        <v>32</v>
      </c>
      <c r="J1636">
        <v>240</v>
      </c>
      <c r="K1636" t="s">
        <v>49</v>
      </c>
      <c r="L1636" t="s">
        <v>96</v>
      </c>
      <c r="M1636" t="s">
        <v>35</v>
      </c>
      <c r="N1636" t="s">
        <v>414</v>
      </c>
      <c r="O1636" t="s">
        <v>51</v>
      </c>
      <c r="P1636" t="s">
        <v>39</v>
      </c>
      <c r="Q1636" t="s">
        <v>38</v>
      </c>
      <c r="R1636">
        <v>0</v>
      </c>
      <c r="S1636" t="s">
        <v>38</v>
      </c>
      <c r="T1636">
        <v>9</v>
      </c>
      <c r="U1636">
        <v>5.8</v>
      </c>
      <c r="V1636">
        <v>0</v>
      </c>
      <c r="W1636" t="s">
        <v>38</v>
      </c>
      <c r="X1636" t="s">
        <v>52</v>
      </c>
      <c r="Y1636" t="s">
        <v>39</v>
      </c>
      <c r="Z1636" t="s">
        <v>53</v>
      </c>
      <c r="AA1636" t="s">
        <v>109</v>
      </c>
      <c r="AB1636" t="s">
        <v>83</v>
      </c>
      <c r="AC1636">
        <f t="shared" si="275"/>
        <v>1</v>
      </c>
      <c r="AD1636" s="12">
        <f t="shared" si="279"/>
        <v>0</v>
      </c>
      <c r="AE1636" s="12">
        <f t="shared" si="280"/>
        <v>0</v>
      </c>
      <c r="AF1636">
        <f t="shared" si="276"/>
        <v>1</v>
      </c>
      <c r="AG1636">
        <f t="shared" si="281"/>
        <v>0</v>
      </c>
      <c r="AH1636">
        <f t="shared" si="282"/>
        <v>0</v>
      </c>
      <c r="AI1636">
        <f t="shared" si="283"/>
        <v>0</v>
      </c>
      <c r="AJ1636">
        <f t="shared" si="284"/>
        <v>1</v>
      </c>
      <c r="AK1636">
        <f t="shared" si="277"/>
        <v>0</v>
      </c>
      <c r="AL1636">
        <f t="shared" si="285"/>
        <v>0</v>
      </c>
    </row>
    <row r="1637" spans="1:38">
      <c r="A1637" t="s">
        <v>5038</v>
      </c>
      <c r="B1637" t="s">
        <v>5039</v>
      </c>
      <c r="C1637" s="1">
        <f t="shared" si="278"/>
        <v>45597</v>
      </c>
      <c r="D1637" t="s">
        <v>5040</v>
      </c>
      <c r="E1637">
        <v>148.69999999999999</v>
      </c>
      <c r="F1637">
        <v>6.2</v>
      </c>
      <c r="G1637" t="s">
        <v>68</v>
      </c>
      <c r="H1637" t="s">
        <v>456</v>
      </c>
      <c r="I1637" t="s">
        <v>48</v>
      </c>
      <c r="J1637">
        <v>120</v>
      </c>
      <c r="K1637" t="s">
        <v>33</v>
      </c>
      <c r="L1637" t="s">
        <v>133</v>
      </c>
      <c r="M1637" t="s">
        <v>35</v>
      </c>
      <c r="N1637" t="s">
        <v>114</v>
      </c>
      <c r="O1637" t="s">
        <v>51</v>
      </c>
      <c r="P1637" t="s">
        <v>38</v>
      </c>
      <c r="Q1637" t="s">
        <v>38</v>
      </c>
      <c r="R1637">
        <v>1</v>
      </c>
      <c r="S1637" t="s">
        <v>39</v>
      </c>
      <c r="T1637">
        <v>5</v>
      </c>
      <c r="U1637">
        <v>3.1</v>
      </c>
      <c r="V1637">
        <v>20.8</v>
      </c>
      <c r="W1637" t="s">
        <v>39</v>
      </c>
      <c r="X1637" t="s">
        <v>123</v>
      </c>
      <c r="Y1637" t="s">
        <v>39</v>
      </c>
      <c r="Z1637" t="s">
        <v>179</v>
      </c>
      <c r="AA1637" t="s">
        <v>103</v>
      </c>
      <c r="AB1637" t="s">
        <v>55</v>
      </c>
      <c r="AC1637">
        <f t="shared" si="275"/>
        <v>0</v>
      </c>
      <c r="AD1637" s="12">
        <f t="shared" si="279"/>
        <v>0</v>
      </c>
      <c r="AE1637" s="12">
        <f t="shared" si="280"/>
        <v>1</v>
      </c>
      <c r="AF1637">
        <f t="shared" si="276"/>
        <v>1</v>
      </c>
      <c r="AG1637">
        <f t="shared" si="281"/>
        <v>0</v>
      </c>
      <c r="AH1637">
        <f t="shared" si="282"/>
        <v>1</v>
      </c>
      <c r="AI1637">
        <f t="shared" si="283"/>
        <v>0</v>
      </c>
      <c r="AJ1637">
        <f t="shared" si="284"/>
        <v>0</v>
      </c>
      <c r="AK1637">
        <f t="shared" si="277"/>
        <v>0</v>
      </c>
      <c r="AL1637">
        <f t="shared" si="285"/>
        <v>0</v>
      </c>
    </row>
    <row r="1638" spans="1:38">
      <c r="A1638" t="s">
        <v>5041</v>
      </c>
      <c r="B1638" t="s">
        <v>5042</v>
      </c>
      <c r="C1638" s="1">
        <f t="shared" si="278"/>
        <v>45323</v>
      </c>
      <c r="D1638" t="s">
        <v>5043</v>
      </c>
      <c r="E1638">
        <v>422.9</v>
      </c>
      <c r="F1638">
        <v>17.600000000000001</v>
      </c>
      <c r="G1638" t="s">
        <v>30</v>
      </c>
      <c r="H1638" t="s">
        <v>172</v>
      </c>
      <c r="I1638" t="s">
        <v>79</v>
      </c>
      <c r="J1638">
        <v>360</v>
      </c>
      <c r="K1638" t="s">
        <v>33</v>
      </c>
      <c r="L1638" t="s">
        <v>96</v>
      </c>
      <c r="M1638" t="s">
        <v>35</v>
      </c>
      <c r="N1638" t="s">
        <v>72</v>
      </c>
      <c r="O1638" t="s">
        <v>7232</v>
      </c>
      <c r="P1638" t="s">
        <v>38</v>
      </c>
      <c r="Q1638" t="s">
        <v>38</v>
      </c>
      <c r="R1638">
        <v>1</v>
      </c>
      <c r="S1638" t="s">
        <v>38</v>
      </c>
      <c r="T1638">
        <v>4</v>
      </c>
      <c r="U1638">
        <v>3.1</v>
      </c>
      <c r="V1638">
        <v>0</v>
      </c>
      <c r="W1638" t="s">
        <v>38</v>
      </c>
      <c r="X1638" t="s">
        <v>52</v>
      </c>
      <c r="Y1638" t="s">
        <v>39</v>
      </c>
      <c r="Z1638" t="s">
        <v>115</v>
      </c>
      <c r="AA1638" t="s">
        <v>42</v>
      </c>
      <c r="AB1638" t="s">
        <v>43</v>
      </c>
      <c r="AC1638">
        <f t="shared" si="275"/>
        <v>1</v>
      </c>
      <c r="AD1638" s="12">
        <f t="shared" si="279"/>
        <v>0</v>
      </c>
      <c r="AE1638" s="12">
        <f t="shared" si="280"/>
        <v>0</v>
      </c>
      <c r="AF1638">
        <f t="shared" si="276"/>
        <v>0</v>
      </c>
      <c r="AG1638">
        <f t="shared" si="281"/>
        <v>1</v>
      </c>
      <c r="AH1638">
        <f t="shared" si="282"/>
        <v>0</v>
      </c>
      <c r="AI1638">
        <f t="shared" si="283"/>
        <v>0</v>
      </c>
      <c r="AJ1638">
        <f t="shared" si="284"/>
        <v>0</v>
      </c>
      <c r="AK1638">
        <f t="shared" si="277"/>
        <v>1</v>
      </c>
      <c r="AL1638">
        <f t="shared" si="285"/>
        <v>0</v>
      </c>
    </row>
    <row r="1639" spans="1:38">
      <c r="A1639" t="s">
        <v>5044</v>
      </c>
      <c r="B1639" t="s">
        <v>5045</v>
      </c>
      <c r="C1639" s="1">
        <f t="shared" si="278"/>
        <v>45536</v>
      </c>
      <c r="D1639" t="s">
        <v>5046</v>
      </c>
      <c r="E1639">
        <v>849.7</v>
      </c>
      <c r="F1639">
        <v>35.4</v>
      </c>
      <c r="G1639" t="s">
        <v>30</v>
      </c>
      <c r="H1639" t="s">
        <v>172</v>
      </c>
      <c r="I1639" t="s">
        <v>79</v>
      </c>
      <c r="J1639">
        <v>360</v>
      </c>
      <c r="K1639" t="s">
        <v>33</v>
      </c>
      <c r="L1639" t="s">
        <v>96</v>
      </c>
      <c r="M1639" t="s">
        <v>35</v>
      </c>
      <c r="N1639" t="s">
        <v>128</v>
      </c>
      <c r="O1639" t="s">
        <v>7232</v>
      </c>
      <c r="P1639" t="s">
        <v>38</v>
      </c>
      <c r="Q1639" t="s">
        <v>38</v>
      </c>
      <c r="R1639">
        <v>1</v>
      </c>
      <c r="S1639" t="s">
        <v>38</v>
      </c>
      <c r="T1639">
        <v>5</v>
      </c>
      <c r="U1639">
        <v>3</v>
      </c>
      <c r="V1639">
        <v>23.5</v>
      </c>
      <c r="W1639" t="s">
        <v>39</v>
      </c>
      <c r="X1639" t="s">
        <v>52</v>
      </c>
      <c r="Y1639" t="s">
        <v>39</v>
      </c>
      <c r="Z1639" t="s">
        <v>179</v>
      </c>
      <c r="AA1639" t="s">
        <v>109</v>
      </c>
      <c r="AB1639" t="s">
        <v>43</v>
      </c>
      <c r="AC1639">
        <f t="shared" si="275"/>
        <v>1</v>
      </c>
      <c r="AD1639" s="12">
        <f t="shared" si="279"/>
        <v>0</v>
      </c>
      <c r="AE1639" s="12">
        <f t="shared" si="280"/>
        <v>0</v>
      </c>
      <c r="AF1639">
        <f t="shared" si="276"/>
        <v>0</v>
      </c>
      <c r="AG1639">
        <f t="shared" si="281"/>
        <v>1</v>
      </c>
      <c r="AH1639">
        <f t="shared" si="282"/>
        <v>0</v>
      </c>
      <c r="AI1639">
        <f t="shared" si="283"/>
        <v>0</v>
      </c>
      <c r="AJ1639">
        <f t="shared" si="284"/>
        <v>0</v>
      </c>
      <c r="AK1639">
        <f t="shared" si="277"/>
        <v>1</v>
      </c>
      <c r="AL1639">
        <f t="shared" si="285"/>
        <v>0</v>
      </c>
    </row>
    <row r="1640" spans="1:38">
      <c r="A1640" t="s">
        <v>5047</v>
      </c>
      <c r="B1640" t="s">
        <v>5048</v>
      </c>
      <c r="C1640" s="1">
        <f t="shared" si="278"/>
        <v>45352</v>
      </c>
      <c r="D1640" t="s">
        <v>5049</v>
      </c>
      <c r="E1640">
        <v>178.8</v>
      </c>
      <c r="F1640">
        <v>7.5</v>
      </c>
      <c r="G1640" t="s">
        <v>68</v>
      </c>
      <c r="H1640" t="s">
        <v>69</v>
      </c>
      <c r="I1640" t="s">
        <v>32</v>
      </c>
      <c r="J1640">
        <v>240</v>
      </c>
      <c r="K1640" t="s">
        <v>49</v>
      </c>
      <c r="L1640" t="s">
        <v>96</v>
      </c>
      <c r="M1640" t="s">
        <v>35</v>
      </c>
      <c r="N1640" t="s">
        <v>89</v>
      </c>
      <c r="O1640" t="s">
        <v>51</v>
      </c>
      <c r="P1640" t="s">
        <v>38</v>
      </c>
      <c r="Q1640" t="s">
        <v>38</v>
      </c>
      <c r="R1640">
        <v>1</v>
      </c>
      <c r="S1640" t="s">
        <v>38</v>
      </c>
      <c r="T1640">
        <v>8</v>
      </c>
      <c r="U1640">
        <v>4.2</v>
      </c>
      <c r="V1640">
        <v>7.1</v>
      </c>
      <c r="W1640" t="s">
        <v>38</v>
      </c>
      <c r="X1640" t="s">
        <v>123</v>
      </c>
      <c r="Y1640" t="s">
        <v>39</v>
      </c>
      <c r="Z1640" t="s">
        <v>64</v>
      </c>
      <c r="AA1640" t="s">
        <v>54</v>
      </c>
      <c r="AB1640" t="s">
        <v>83</v>
      </c>
      <c r="AC1640">
        <f t="shared" si="275"/>
        <v>0</v>
      </c>
      <c r="AD1640" s="12">
        <f t="shared" si="279"/>
        <v>0</v>
      </c>
      <c r="AE1640" s="12">
        <f t="shared" si="280"/>
        <v>1</v>
      </c>
      <c r="AF1640">
        <f t="shared" si="276"/>
        <v>1</v>
      </c>
      <c r="AG1640">
        <f t="shared" si="281"/>
        <v>0</v>
      </c>
      <c r="AH1640">
        <f t="shared" si="282"/>
        <v>0</v>
      </c>
      <c r="AI1640">
        <f t="shared" si="283"/>
        <v>0</v>
      </c>
      <c r="AJ1640">
        <f t="shared" si="284"/>
        <v>1</v>
      </c>
      <c r="AK1640">
        <f t="shared" si="277"/>
        <v>0</v>
      </c>
      <c r="AL1640">
        <f t="shared" si="285"/>
        <v>0</v>
      </c>
    </row>
    <row r="1641" spans="1:38">
      <c r="A1641" t="s">
        <v>5050</v>
      </c>
      <c r="B1641" t="s">
        <v>5051</v>
      </c>
      <c r="C1641" s="1">
        <f t="shared" si="278"/>
        <v>45505</v>
      </c>
      <c r="D1641" t="s">
        <v>5052</v>
      </c>
      <c r="E1641">
        <v>230.6</v>
      </c>
      <c r="F1641">
        <v>9.6</v>
      </c>
      <c r="G1641" t="s">
        <v>77</v>
      </c>
      <c r="H1641" t="s">
        <v>244</v>
      </c>
      <c r="I1641" t="s">
        <v>79</v>
      </c>
      <c r="J1641">
        <v>360</v>
      </c>
      <c r="K1641" t="s">
        <v>49</v>
      </c>
      <c r="L1641" t="s">
        <v>34</v>
      </c>
      <c r="M1641" t="s">
        <v>35</v>
      </c>
      <c r="N1641" t="s">
        <v>114</v>
      </c>
      <c r="O1641" t="s">
        <v>51</v>
      </c>
      <c r="P1641" t="s">
        <v>39</v>
      </c>
      <c r="Q1641" t="s">
        <v>38</v>
      </c>
      <c r="R1641">
        <v>0</v>
      </c>
      <c r="S1641" t="s">
        <v>38</v>
      </c>
      <c r="T1641">
        <v>8</v>
      </c>
      <c r="U1641">
        <v>4.5</v>
      </c>
      <c r="V1641">
        <v>0.9</v>
      </c>
      <c r="W1641" t="s">
        <v>39</v>
      </c>
      <c r="X1641" t="s">
        <v>52</v>
      </c>
      <c r="Y1641" t="s">
        <v>38</v>
      </c>
      <c r="Z1641" t="s">
        <v>81</v>
      </c>
      <c r="AA1641" t="s">
        <v>42</v>
      </c>
      <c r="AB1641" t="s">
        <v>83</v>
      </c>
      <c r="AC1641">
        <f t="shared" si="275"/>
        <v>1</v>
      </c>
      <c r="AD1641" s="12">
        <f t="shared" si="279"/>
        <v>0</v>
      </c>
      <c r="AE1641" s="12">
        <f t="shared" si="280"/>
        <v>0</v>
      </c>
      <c r="AF1641">
        <f t="shared" si="276"/>
        <v>1</v>
      </c>
      <c r="AG1641">
        <f t="shared" si="281"/>
        <v>0</v>
      </c>
      <c r="AH1641">
        <f t="shared" si="282"/>
        <v>0</v>
      </c>
      <c r="AI1641">
        <f t="shared" si="283"/>
        <v>0</v>
      </c>
      <c r="AJ1641">
        <f t="shared" si="284"/>
        <v>0</v>
      </c>
      <c r="AK1641">
        <f t="shared" si="277"/>
        <v>0</v>
      </c>
      <c r="AL1641">
        <f t="shared" si="285"/>
        <v>1</v>
      </c>
    </row>
    <row r="1642" spans="1:38">
      <c r="A1642" t="s">
        <v>5053</v>
      </c>
      <c r="B1642" t="s">
        <v>5054</v>
      </c>
      <c r="C1642" s="1">
        <f t="shared" si="278"/>
        <v>45597</v>
      </c>
      <c r="D1642" t="s">
        <v>5055</v>
      </c>
      <c r="E1642">
        <v>178.6</v>
      </c>
      <c r="F1642">
        <v>7.4</v>
      </c>
      <c r="G1642" t="s">
        <v>101</v>
      </c>
      <c r="H1642" t="s">
        <v>102</v>
      </c>
      <c r="I1642" t="s">
        <v>32</v>
      </c>
      <c r="J1642">
        <v>240</v>
      </c>
      <c r="K1642" t="s">
        <v>49</v>
      </c>
      <c r="L1642" t="s">
        <v>70</v>
      </c>
      <c r="M1642" t="s">
        <v>71</v>
      </c>
      <c r="N1642" t="s">
        <v>220</v>
      </c>
      <c r="O1642" t="s">
        <v>7232</v>
      </c>
      <c r="P1642" t="s">
        <v>38</v>
      </c>
      <c r="Q1642" t="s">
        <v>39</v>
      </c>
      <c r="R1642">
        <v>2</v>
      </c>
      <c r="S1642" t="s">
        <v>38</v>
      </c>
      <c r="T1642">
        <v>9</v>
      </c>
      <c r="U1642">
        <v>2.5</v>
      </c>
      <c r="V1642">
        <v>0</v>
      </c>
      <c r="W1642" t="s">
        <v>39</v>
      </c>
      <c r="X1642" t="s">
        <v>63</v>
      </c>
      <c r="Y1642" t="s">
        <v>38</v>
      </c>
      <c r="Z1642" t="s">
        <v>108</v>
      </c>
      <c r="AA1642" t="s">
        <v>109</v>
      </c>
      <c r="AB1642" t="s">
        <v>43</v>
      </c>
      <c r="AC1642">
        <f t="shared" si="275"/>
        <v>0</v>
      </c>
      <c r="AD1642" s="12">
        <f t="shared" si="279"/>
        <v>1</v>
      </c>
      <c r="AE1642" s="12">
        <f t="shared" si="280"/>
        <v>0</v>
      </c>
      <c r="AF1642">
        <f t="shared" si="276"/>
        <v>0</v>
      </c>
      <c r="AG1642">
        <f t="shared" si="281"/>
        <v>1</v>
      </c>
      <c r="AH1642">
        <f t="shared" si="282"/>
        <v>0</v>
      </c>
      <c r="AI1642">
        <f t="shared" si="283"/>
        <v>0</v>
      </c>
      <c r="AJ1642">
        <f t="shared" si="284"/>
        <v>1</v>
      </c>
      <c r="AK1642">
        <f t="shared" si="277"/>
        <v>0</v>
      </c>
      <c r="AL1642">
        <f t="shared" si="285"/>
        <v>1</v>
      </c>
    </row>
    <row r="1643" spans="1:38">
      <c r="A1643" t="s">
        <v>5056</v>
      </c>
      <c r="B1643" t="s">
        <v>5057</v>
      </c>
      <c r="C1643" s="1">
        <f t="shared" si="278"/>
        <v>45444</v>
      </c>
      <c r="D1643" t="s">
        <v>5058</v>
      </c>
      <c r="E1643">
        <v>226.1</v>
      </c>
      <c r="F1643">
        <v>9.4</v>
      </c>
      <c r="G1643" t="s">
        <v>77</v>
      </c>
      <c r="H1643" t="s">
        <v>267</v>
      </c>
      <c r="I1643" t="s">
        <v>79</v>
      </c>
      <c r="J1643">
        <v>360</v>
      </c>
      <c r="K1643" t="s">
        <v>49</v>
      </c>
      <c r="L1643" t="s">
        <v>70</v>
      </c>
      <c r="M1643" t="s">
        <v>35</v>
      </c>
      <c r="N1643" t="s">
        <v>107</v>
      </c>
      <c r="O1643" t="s">
        <v>7232</v>
      </c>
      <c r="P1643" t="s">
        <v>39</v>
      </c>
      <c r="Q1643" t="s">
        <v>38</v>
      </c>
      <c r="R1643">
        <v>0</v>
      </c>
      <c r="S1643" t="s">
        <v>38</v>
      </c>
      <c r="T1643">
        <v>7</v>
      </c>
      <c r="U1643">
        <v>0.1</v>
      </c>
      <c r="V1643">
        <v>32</v>
      </c>
      <c r="W1643" t="s">
        <v>39</v>
      </c>
      <c r="X1643" t="s">
        <v>52</v>
      </c>
      <c r="Y1643" t="s">
        <v>39</v>
      </c>
      <c r="Z1643" t="s">
        <v>73</v>
      </c>
      <c r="AA1643" t="s">
        <v>103</v>
      </c>
      <c r="AB1643" t="s">
        <v>83</v>
      </c>
      <c r="AC1643">
        <f t="shared" si="275"/>
        <v>1</v>
      </c>
      <c r="AD1643" s="12">
        <f t="shared" si="279"/>
        <v>0</v>
      </c>
      <c r="AE1643" s="12">
        <f t="shared" si="280"/>
        <v>0</v>
      </c>
      <c r="AF1643">
        <f t="shared" si="276"/>
        <v>0</v>
      </c>
      <c r="AG1643">
        <f t="shared" si="281"/>
        <v>1</v>
      </c>
      <c r="AH1643">
        <f t="shared" si="282"/>
        <v>0</v>
      </c>
      <c r="AI1643">
        <f t="shared" si="283"/>
        <v>0</v>
      </c>
      <c r="AJ1643">
        <f t="shared" si="284"/>
        <v>0</v>
      </c>
      <c r="AK1643">
        <f t="shared" si="277"/>
        <v>0</v>
      </c>
      <c r="AL1643">
        <f t="shared" si="285"/>
        <v>0</v>
      </c>
    </row>
    <row r="1644" spans="1:38">
      <c r="A1644" t="s">
        <v>5059</v>
      </c>
      <c r="B1644" t="s">
        <v>5060</v>
      </c>
      <c r="C1644" s="1">
        <f t="shared" si="278"/>
        <v>45627</v>
      </c>
      <c r="D1644" t="s">
        <v>5061</v>
      </c>
      <c r="E1644">
        <v>283.3</v>
      </c>
      <c r="F1644">
        <v>11.8</v>
      </c>
      <c r="G1644" t="s">
        <v>77</v>
      </c>
      <c r="H1644" t="s">
        <v>78</v>
      </c>
      <c r="I1644" t="s">
        <v>79</v>
      </c>
      <c r="J1644">
        <v>360</v>
      </c>
      <c r="K1644" t="s">
        <v>49</v>
      </c>
      <c r="L1644" t="s">
        <v>96</v>
      </c>
      <c r="M1644" t="s">
        <v>35</v>
      </c>
      <c r="N1644" t="s">
        <v>188</v>
      </c>
      <c r="O1644" t="s">
        <v>7232</v>
      </c>
      <c r="P1644" t="s">
        <v>38</v>
      </c>
      <c r="Q1644" t="s">
        <v>38</v>
      </c>
      <c r="R1644">
        <v>1</v>
      </c>
      <c r="S1644" t="s">
        <v>38</v>
      </c>
      <c r="T1644">
        <v>6</v>
      </c>
      <c r="U1644">
        <v>1.3</v>
      </c>
      <c r="V1644">
        <v>0</v>
      </c>
      <c r="W1644" t="s">
        <v>38</v>
      </c>
      <c r="X1644" t="s">
        <v>123</v>
      </c>
      <c r="Y1644" t="s">
        <v>39</v>
      </c>
      <c r="Z1644" t="s">
        <v>179</v>
      </c>
      <c r="AA1644" t="s">
        <v>103</v>
      </c>
      <c r="AB1644" t="s">
        <v>55</v>
      </c>
      <c r="AC1644">
        <f t="shared" si="275"/>
        <v>0</v>
      </c>
      <c r="AD1644" s="12">
        <f t="shared" si="279"/>
        <v>0</v>
      </c>
      <c r="AE1644" s="12">
        <f t="shared" si="280"/>
        <v>1</v>
      </c>
      <c r="AF1644">
        <f t="shared" si="276"/>
        <v>0</v>
      </c>
      <c r="AG1644">
        <f t="shared" si="281"/>
        <v>1</v>
      </c>
      <c r="AH1644">
        <f t="shared" si="282"/>
        <v>0</v>
      </c>
      <c r="AI1644">
        <f t="shared" si="283"/>
        <v>0</v>
      </c>
      <c r="AJ1644">
        <f t="shared" si="284"/>
        <v>0</v>
      </c>
      <c r="AK1644">
        <f t="shared" si="277"/>
        <v>0</v>
      </c>
      <c r="AL1644">
        <f t="shared" si="285"/>
        <v>0</v>
      </c>
    </row>
    <row r="1645" spans="1:38">
      <c r="A1645" t="s">
        <v>5062</v>
      </c>
      <c r="B1645" t="s">
        <v>5063</v>
      </c>
      <c r="C1645" s="1">
        <f t="shared" si="278"/>
        <v>45566</v>
      </c>
      <c r="D1645" t="s">
        <v>5064</v>
      </c>
      <c r="E1645">
        <v>195</v>
      </c>
      <c r="F1645">
        <v>8.1</v>
      </c>
      <c r="G1645" t="s">
        <v>142</v>
      </c>
      <c r="H1645" t="s">
        <v>319</v>
      </c>
      <c r="I1645" t="s">
        <v>32</v>
      </c>
      <c r="J1645">
        <v>240</v>
      </c>
      <c r="K1645" t="s">
        <v>49</v>
      </c>
      <c r="L1645" t="s">
        <v>70</v>
      </c>
      <c r="M1645" t="s">
        <v>71</v>
      </c>
      <c r="N1645" t="s">
        <v>119</v>
      </c>
      <c r="O1645" t="s">
        <v>37</v>
      </c>
      <c r="P1645" t="s">
        <v>38</v>
      </c>
      <c r="Q1645" t="s">
        <v>39</v>
      </c>
      <c r="R1645">
        <v>4</v>
      </c>
      <c r="S1645" t="s">
        <v>38</v>
      </c>
      <c r="T1645">
        <v>5</v>
      </c>
      <c r="U1645">
        <v>4.0999999999999996</v>
      </c>
      <c r="V1645">
        <v>34.299999999999997</v>
      </c>
      <c r="W1645" t="s">
        <v>38</v>
      </c>
      <c r="X1645" t="s">
        <v>63</v>
      </c>
      <c r="Y1645" t="s">
        <v>39</v>
      </c>
      <c r="Z1645" t="s">
        <v>41</v>
      </c>
      <c r="AA1645" t="s">
        <v>103</v>
      </c>
      <c r="AB1645" t="s">
        <v>83</v>
      </c>
      <c r="AC1645">
        <f t="shared" si="275"/>
        <v>0</v>
      </c>
      <c r="AD1645" s="12">
        <f t="shared" si="279"/>
        <v>1</v>
      </c>
      <c r="AE1645" s="12">
        <f t="shared" si="280"/>
        <v>0</v>
      </c>
      <c r="AF1645">
        <f t="shared" si="276"/>
        <v>0</v>
      </c>
      <c r="AG1645">
        <f t="shared" si="281"/>
        <v>0</v>
      </c>
      <c r="AH1645">
        <f t="shared" si="282"/>
        <v>0</v>
      </c>
      <c r="AI1645">
        <f t="shared" si="283"/>
        <v>0</v>
      </c>
      <c r="AJ1645">
        <f t="shared" si="284"/>
        <v>1</v>
      </c>
      <c r="AK1645">
        <f t="shared" si="277"/>
        <v>0</v>
      </c>
      <c r="AL1645">
        <f t="shared" si="285"/>
        <v>0</v>
      </c>
    </row>
    <row r="1646" spans="1:38">
      <c r="A1646" t="s">
        <v>5065</v>
      </c>
      <c r="B1646" t="s">
        <v>5066</v>
      </c>
      <c r="C1646" s="1">
        <f t="shared" si="278"/>
        <v>45444</v>
      </c>
      <c r="D1646" t="s">
        <v>5067</v>
      </c>
      <c r="E1646">
        <v>911.3</v>
      </c>
      <c r="F1646">
        <v>38</v>
      </c>
      <c r="G1646" t="s">
        <v>77</v>
      </c>
      <c r="H1646" t="s">
        <v>187</v>
      </c>
      <c r="I1646" t="s">
        <v>79</v>
      </c>
      <c r="J1646">
        <v>360</v>
      </c>
      <c r="K1646" t="s">
        <v>33</v>
      </c>
      <c r="L1646" t="s">
        <v>34</v>
      </c>
      <c r="M1646" t="s">
        <v>35</v>
      </c>
      <c r="N1646" t="s">
        <v>72</v>
      </c>
      <c r="O1646" t="s">
        <v>7232</v>
      </c>
      <c r="P1646" t="s">
        <v>39</v>
      </c>
      <c r="Q1646" t="s">
        <v>38</v>
      </c>
      <c r="R1646">
        <v>0</v>
      </c>
      <c r="S1646" t="s">
        <v>38</v>
      </c>
      <c r="T1646">
        <v>5</v>
      </c>
      <c r="U1646">
        <v>1.2</v>
      </c>
      <c r="V1646">
        <v>4.7</v>
      </c>
      <c r="W1646" t="s">
        <v>38</v>
      </c>
      <c r="X1646" t="s">
        <v>63</v>
      </c>
      <c r="Y1646" t="s">
        <v>39</v>
      </c>
      <c r="Z1646" t="s">
        <v>108</v>
      </c>
      <c r="AA1646" t="s">
        <v>109</v>
      </c>
      <c r="AB1646" t="s">
        <v>83</v>
      </c>
      <c r="AC1646">
        <f t="shared" si="275"/>
        <v>0</v>
      </c>
      <c r="AD1646" s="12">
        <f t="shared" si="279"/>
        <v>1</v>
      </c>
      <c r="AE1646" s="12">
        <f t="shared" si="280"/>
        <v>0</v>
      </c>
      <c r="AF1646">
        <f t="shared" si="276"/>
        <v>0</v>
      </c>
      <c r="AG1646">
        <f t="shared" si="281"/>
        <v>1</v>
      </c>
      <c r="AH1646">
        <f t="shared" si="282"/>
        <v>0</v>
      </c>
      <c r="AI1646">
        <f t="shared" si="283"/>
        <v>0</v>
      </c>
      <c r="AJ1646">
        <f t="shared" si="284"/>
        <v>0</v>
      </c>
      <c r="AK1646">
        <f t="shared" si="277"/>
        <v>0</v>
      </c>
      <c r="AL1646">
        <f t="shared" si="285"/>
        <v>0</v>
      </c>
    </row>
    <row r="1647" spans="1:38">
      <c r="A1647" t="s">
        <v>5068</v>
      </c>
      <c r="B1647" t="s">
        <v>5069</v>
      </c>
      <c r="C1647" s="1">
        <f t="shared" si="278"/>
        <v>45383</v>
      </c>
      <c r="D1647" t="s">
        <v>5070</v>
      </c>
      <c r="E1647">
        <v>199.9</v>
      </c>
      <c r="F1647">
        <v>8.3000000000000007</v>
      </c>
      <c r="G1647" t="s">
        <v>77</v>
      </c>
      <c r="H1647" t="s">
        <v>267</v>
      </c>
      <c r="I1647" t="s">
        <v>32</v>
      </c>
      <c r="J1647">
        <v>240</v>
      </c>
      <c r="K1647" t="s">
        <v>49</v>
      </c>
      <c r="L1647" t="s">
        <v>96</v>
      </c>
      <c r="M1647" t="s">
        <v>35</v>
      </c>
      <c r="N1647" t="s">
        <v>192</v>
      </c>
      <c r="O1647" t="s">
        <v>7232</v>
      </c>
      <c r="P1647" t="s">
        <v>39</v>
      </c>
      <c r="Q1647" t="s">
        <v>38</v>
      </c>
      <c r="R1647">
        <v>0</v>
      </c>
      <c r="S1647" t="s">
        <v>39</v>
      </c>
      <c r="T1647">
        <v>10</v>
      </c>
      <c r="U1647">
        <v>3.9</v>
      </c>
      <c r="V1647">
        <v>40.9</v>
      </c>
      <c r="W1647" t="s">
        <v>39</v>
      </c>
      <c r="X1647" t="s">
        <v>63</v>
      </c>
      <c r="Y1647" t="s">
        <v>39</v>
      </c>
      <c r="Z1647" t="s">
        <v>108</v>
      </c>
      <c r="AA1647" t="s">
        <v>109</v>
      </c>
      <c r="AB1647" t="s">
        <v>43</v>
      </c>
      <c r="AC1647">
        <f t="shared" si="275"/>
        <v>0</v>
      </c>
      <c r="AD1647" s="12">
        <f t="shared" si="279"/>
        <v>1</v>
      </c>
      <c r="AE1647" s="12">
        <f t="shared" si="280"/>
        <v>0</v>
      </c>
      <c r="AF1647">
        <f t="shared" si="276"/>
        <v>0</v>
      </c>
      <c r="AG1647">
        <f t="shared" si="281"/>
        <v>1</v>
      </c>
      <c r="AH1647">
        <f t="shared" si="282"/>
        <v>0</v>
      </c>
      <c r="AI1647">
        <f t="shared" si="283"/>
        <v>0</v>
      </c>
      <c r="AJ1647">
        <f t="shared" si="284"/>
        <v>1</v>
      </c>
      <c r="AK1647">
        <f t="shared" si="277"/>
        <v>0</v>
      </c>
      <c r="AL1647">
        <f t="shared" si="285"/>
        <v>0</v>
      </c>
    </row>
    <row r="1648" spans="1:38">
      <c r="A1648" t="s">
        <v>5071</v>
      </c>
      <c r="B1648" t="s">
        <v>5072</v>
      </c>
      <c r="C1648" s="1">
        <f t="shared" si="278"/>
        <v>45474</v>
      </c>
      <c r="D1648" t="s">
        <v>5073</v>
      </c>
      <c r="E1648">
        <v>34.5</v>
      </c>
      <c r="F1648">
        <v>1.4</v>
      </c>
      <c r="G1648" t="s">
        <v>93</v>
      </c>
      <c r="H1648" t="s">
        <v>449</v>
      </c>
      <c r="I1648" t="s">
        <v>95</v>
      </c>
      <c r="J1648">
        <v>48</v>
      </c>
      <c r="K1648" t="s">
        <v>49</v>
      </c>
      <c r="L1648" t="s">
        <v>70</v>
      </c>
      <c r="M1648" t="s">
        <v>35</v>
      </c>
      <c r="N1648" t="s">
        <v>138</v>
      </c>
      <c r="O1648" t="s">
        <v>7232</v>
      </c>
      <c r="P1648" t="s">
        <v>39</v>
      </c>
      <c r="Q1648" t="s">
        <v>38</v>
      </c>
      <c r="R1648">
        <v>0</v>
      </c>
      <c r="S1648" t="s">
        <v>38</v>
      </c>
      <c r="T1648">
        <v>10</v>
      </c>
      <c r="U1648">
        <v>0.7</v>
      </c>
      <c r="V1648">
        <v>19.899999999999999</v>
      </c>
      <c r="W1648" t="s">
        <v>38</v>
      </c>
      <c r="X1648" t="s">
        <v>63</v>
      </c>
      <c r="Y1648" t="s">
        <v>38</v>
      </c>
      <c r="Z1648" t="s">
        <v>64</v>
      </c>
      <c r="AA1648" t="s">
        <v>109</v>
      </c>
      <c r="AB1648" t="s">
        <v>83</v>
      </c>
      <c r="AC1648">
        <f t="shared" si="275"/>
        <v>0</v>
      </c>
      <c r="AD1648" s="12">
        <f t="shared" si="279"/>
        <v>1</v>
      </c>
      <c r="AE1648" s="12">
        <f t="shared" si="280"/>
        <v>0</v>
      </c>
      <c r="AF1648">
        <f t="shared" si="276"/>
        <v>0</v>
      </c>
      <c r="AG1648">
        <f t="shared" si="281"/>
        <v>1</v>
      </c>
      <c r="AH1648">
        <f t="shared" si="282"/>
        <v>0</v>
      </c>
      <c r="AI1648">
        <f t="shared" si="283"/>
        <v>1</v>
      </c>
      <c r="AJ1648">
        <f t="shared" si="284"/>
        <v>0</v>
      </c>
      <c r="AK1648">
        <f t="shared" si="277"/>
        <v>0</v>
      </c>
      <c r="AL1648">
        <f t="shared" si="285"/>
        <v>1</v>
      </c>
    </row>
    <row r="1649" spans="1:38">
      <c r="A1649" t="s">
        <v>5074</v>
      </c>
      <c r="B1649" t="s">
        <v>5075</v>
      </c>
      <c r="C1649" s="1">
        <f t="shared" si="278"/>
        <v>45292</v>
      </c>
      <c r="D1649" t="s">
        <v>5076</v>
      </c>
      <c r="E1649">
        <v>146.5</v>
      </c>
      <c r="F1649">
        <v>6.1</v>
      </c>
      <c r="G1649" t="s">
        <v>142</v>
      </c>
      <c r="H1649" t="s">
        <v>143</v>
      </c>
      <c r="I1649" t="s">
        <v>32</v>
      </c>
      <c r="J1649">
        <v>240</v>
      </c>
      <c r="K1649" t="s">
        <v>49</v>
      </c>
      <c r="L1649" t="s">
        <v>70</v>
      </c>
      <c r="M1649" t="s">
        <v>35</v>
      </c>
      <c r="N1649" t="s">
        <v>97</v>
      </c>
      <c r="O1649" t="s">
        <v>51</v>
      </c>
      <c r="P1649" t="s">
        <v>38</v>
      </c>
      <c r="Q1649" t="s">
        <v>38</v>
      </c>
      <c r="R1649">
        <v>1</v>
      </c>
      <c r="S1649" t="s">
        <v>38</v>
      </c>
      <c r="T1649">
        <v>8</v>
      </c>
      <c r="U1649">
        <v>2</v>
      </c>
      <c r="V1649">
        <v>41.5</v>
      </c>
      <c r="W1649" t="s">
        <v>39</v>
      </c>
      <c r="X1649" t="s">
        <v>123</v>
      </c>
      <c r="Y1649" t="s">
        <v>39</v>
      </c>
      <c r="Z1649" t="s">
        <v>53</v>
      </c>
      <c r="AA1649" t="s">
        <v>54</v>
      </c>
      <c r="AB1649" t="s">
        <v>55</v>
      </c>
      <c r="AC1649">
        <f t="shared" si="275"/>
        <v>0</v>
      </c>
      <c r="AD1649" s="12">
        <f t="shared" si="279"/>
        <v>0</v>
      </c>
      <c r="AE1649" s="12">
        <f t="shared" si="280"/>
        <v>1</v>
      </c>
      <c r="AF1649">
        <f t="shared" si="276"/>
        <v>1</v>
      </c>
      <c r="AG1649">
        <f t="shared" si="281"/>
        <v>0</v>
      </c>
      <c r="AH1649">
        <f t="shared" si="282"/>
        <v>0</v>
      </c>
      <c r="AI1649">
        <f t="shared" si="283"/>
        <v>0</v>
      </c>
      <c r="AJ1649">
        <f t="shared" si="284"/>
        <v>1</v>
      </c>
      <c r="AK1649">
        <f t="shared" si="277"/>
        <v>0</v>
      </c>
      <c r="AL1649">
        <f t="shared" si="285"/>
        <v>0</v>
      </c>
    </row>
    <row r="1650" spans="1:38">
      <c r="A1650" t="s">
        <v>5077</v>
      </c>
      <c r="B1650" t="s">
        <v>5078</v>
      </c>
      <c r="C1650" s="1">
        <f t="shared" si="278"/>
        <v>45352</v>
      </c>
      <c r="D1650" t="s">
        <v>5079</v>
      </c>
      <c r="E1650">
        <v>170.7</v>
      </c>
      <c r="F1650">
        <v>7.1</v>
      </c>
      <c r="G1650" t="s">
        <v>142</v>
      </c>
      <c r="H1650" t="s">
        <v>729</v>
      </c>
      <c r="I1650" t="s">
        <v>32</v>
      </c>
      <c r="J1650">
        <v>240</v>
      </c>
      <c r="K1650" t="s">
        <v>49</v>
      </c>
      <c r="L1650" t="s">
        <v>113</v>
      </c>
      <c r="M1650" t="s">
        <v>71</v>
      </c>
      <c r="N1650" t="s">
        <v>192</v>
      </c>
      <c r="O1650" t="s">
        <v>37</v>
      </c>
      <c r="P1650" t="s">
        <v>38</v>
      </c>
      <c r="Q1650" t="s">
        <v>39</v>
      </c>
      <c r="R1650">
        <v>4</v>
      </c>
      <c r="S1650" t="s">
        <v>38</v>
      </c>
      <c r="T1650">
        <v>10</v>
      </c>
      <c r="U1650">
        <v>0.1</v>
      </c>
      <c r="V1650">
        <v>5.4</v>
      </c>
      <c r="W1650" t="s">
        <v>39</v>
      </c>
      <c r="X1650" t="s">
        <v>52</v>
      </c>
      <c r="Y1650" t="s">
        <v>39</v>
      </c>
      <c r="Z1650" t="s">
        <v>53</v>
      </c>
      <c r="AA1650" t="s">
        <v>109</v>
      </c>
      <c r="AB1650" t="s">
        <v>83</v>
      </c>
      <c r="AC1650">
        <f t="shared" si="275"/>
        <v>1</v>
      </c>
      <c r="AD1650" s="12">
        <f t="shared" si="279"/>
        <v>0</v>
      </c>
      <c r="AE1650" s="12">
        <f t="shared" si="280"/>
        <v>0</v>
      </c>
      <c r="AF1650">
        <f t="shared" si="276"/>
        <v>0</v>
      </c>
      <c r="AG1650">
        <f t="shared" si="281"/>
        <v>0</v>
      </c>
      <c r="AH1650">
        <f t="shared" si="282"/>
        <v>0</v>
      </c>
      <c r="AI1650">
        <f t="shared" si="283"/>
        <v>0</v>
      </c>
      <c r="AJ1650">
        <f t="shared" si="284"/>
        <v>1</v>
      </c>
      <c r="AK1650">
        <f t="shared" si="277"/>
        <v>0</v>
      </c>
      <c r="AL1650">
        <f t="shared" si="285"/>
        <v>0</v>
      </c>
    </row>
    <row r="1651" spans="1:38">
      <c r="A1651" t="s">
        <v>5080</v>
      </c>
      <c r="B1651" t="s">
        <v>5081</v>
      </c>
      <c r="C1651" s="1">
        <f t="shared" si="278"/>
        <v>45352</v>
      </c>
      <c r="D1651" t="s">
        <v>5082</v>
      </c>
      <c r="E1651">
        <v>156.30000000000001</v>
      </c>
      <c r="F1651">
        <v>6.5</v>
      </c>
      <c r="G1651" t="s">
        <v>142</v>
      </c>
      <c r="H1651" t="s">
        <v>240</v>
      </c>
      <c r="I1651" t="s">
        <v>32</v>
      </c>
      <c r="J1651">
        <v>240</v>
      </c>
      <c r="K1651" t="s">
        <v>49</v>
      </c>
      <c r="L1651" t="s">
        <v>70</v>
      </c>
      <c r="M1651" t="s">
        <v>35</v>
      </c>
      <c r="N1651" t="s">
        <v>192</v>
      </c>
      <c r="O1651" t="s">
        <v>51</v>
      </c>
      <c r="P1651" t="s">
        <v>38</v>
      </c>
      <c r="Q1651" t="s">
        <v>38</v>
      </c>
      <c r="R1651">
        <v>1</v>
      </c>
      <c r="S1651" t="s">
        <v>38</v>
      </c>
      <c r="T1651">
        <v>10</v>
      </c>
      <c r="U1651">
        <v>1.8</v>
      </c>
      <c r="V1651">
        <v>6.6</v>
      </c>
      <c r="W1651" t="s">
        <v>38</v>
      </c>
      <c r="X1651" t="s">
        <v>40</v>
      </c>
      <c r="Y1651" t="s">
        <v>39</v>
      </c>
      <c r="Z1651" t="s">
        <v>81</v>
      </c>
      <c r="AA1651" t="s">
        <v>54</v>
      </c>
      <c r="AB1651" t="s">
        <v>83</v>
      </c>
      <c r="AC1651">
        <f t="shared" si="275"/>
        <v>0</v>
      </c>
      <c r="AD1651" s="12">
        <f t="shared" si="279"/>
        <v>0</v>
      </c>
      <c r="AE1651" s="12">
        <f t="shared" si="280"/>
        <v>0</v>
      </c>
      <c r="AF1651">
        <f t="shared" si="276"/>
        <v>1</v>
      </c>
      <c r="AG1651">
        <f t="shared" si="281"/>
        <v>0</v>
      </c>
      <c r="AH1651">
        <f t="shared" si="282"/>
        <v>0</v>
      </c>
      <c r="AI1651">
        <f t="shared" si="283"/>
        <v>0</v>
      </c>
      <c r="AJ1651">
        <f t="shared" si="284"/>
        <v>1</v>
      </c>
      <c r="AK1651">
        <f t="shared" si="277"/>
        <v>0</v>
      </c>
      <c r="AL1651">
        <f t="shared" si="285"/>
        <v>0</v>
      </c>
    </row>
    <row r="1652" spans="1:38">
      <c r="A1652" t="s">
        <v>5083</v>
      </c>
      <c r="B1652" t="s">
        <v>5084</v>
      </c>
      <c r="C1652" s="1">
        <f t="shared" si="278"/>
        <v>45444</v>
      </c>
      <c r="D1652" t="s">
        <v>5085</v>
      </c>
      <c r="E1652">
        <v>188.1</v>
      </c>
      <c r="F1652">
        <v>7.8</v>
      </c>
      <c r="G1652" t="s">
        <v>93</v>
      </c>
      <c r="H1652" t="s">
        <v>94</v>
      </c>
      <c r="I1652" t="s">
        <v>32</v>
      </c>
      <c r="J1652">
        <v>240</v>
      </c>
      <c r="K1652" t="s">
        <v>49</v>
      </c>
      <c r="L1652" t="s">
        <v>70</v>
      </c>
      <c r="M1652" t="s">
        <v>35</v>
      </c>
      <c r="N1652" t="s">
        <v>128</v>
      </c>
      <c r="O1652" t="s">
        <v>51</v>
      </c>
      <c r="P1652" t="s">
        <v>38</v>
      </c>
      <c r="Q1652" t="s">
        <v>38</v>
      </c>
      <c r="R1652">
        <v>1</v>
      </c>
      <c r="S1652" t="s">
        <v>38</v>
      </c>
      <c r="T1652">
        <v>8</v>
      </c>
      <c r="U1652">
        <v>2.6</v>
      </c>
      <c r="V1652">
        <v>29.9</v>
      </c>
      <c r="W1652" t="s">
        <v>39</v>
      </c>
      <c r="X1652" t="s">
        <v>123</v>
      </c>
      <c r="Y1652" t="s">
        <v>38</v>
      </c>
      <c r="Z1652" t="s">
        <v>115</v>
      </c>
      <c r="AA1652" t="s">
        <v>109</v>
      </c>
      <c r="AB1652" t="s">
        <v>55</v>
      </c>
      <c r="AC1652">
        <f t="shared" si="275"/>
        <v>0</v>
      </c>
      <c r="AD1652" s="12">
        <f t="shared" si="279"/>
        <v>0</v>
      </c>
      <c r="AE1652" s="12">
        <f t="shared" si="280"/>
        <v>1</v>
      </c>
      <c r="AF1652">
        <f t="shared" si="276"/>
        <v>1</v>
      </c>
      <c r="AG1652">
        <f t="shared" si="281"/>
        <v>0</v>
      </c>
      <c r="AH1652">
        <f t="shared" si="282"/>
        <v>0</v>
      </c>
      <c r="AI1652">
        <f t="shared" si="283"/>
        <v>0</v>
      </c>
      <c r="AJ1652">
        <f t="shared" si="284"/>
        <v>1</v>
      </c>
      <c r="AK1652">
        <f t="shared" si="277"/>
        <v>0</v>
      </c>
      <c r="AL1652">
        <f t="shared" si="285"/>
        <v>1</v>
      </c>
    </row>
    <row r="1653" spans="1:38">
      <c r="A1653" t="s">
        <v>5086</v>
      </c>
      <c r="B1653" t="s">
        <v>5087</v>
      </c>
      <c r="C1653" s="1">
        <f t="shared" si="278"/>
        <v>45474</v>
      </c>
      <c r="D1653" t="s">
        <v>5088</v>
      </c>
      <c r="E1653">
        <v>268.10000000000002</v>
      </c>
      <c r="F1653">
        <v>11.2</v>
      </c>
      <c r="G1653" t="s">
        <v>59</v>
      </c>
      <c r="H1653" t="s">
        <v>227</v>
      </c>
      <c r="I1653" t="s">
        <v>48</v>
      </c>
      <c r="J1653">
        <v>120</v>
      </c>
      <c r="K1653" t="s">
        <v>33</v>
      </c>
      <c r="L1653" t="s">
        <v>96</v>
      </c>
      <c r="M1653" t="s">
        <v>71</v>
      </c>
      <c r="N1653" t="s">
        <v>97</v>
      </c>
      <c r="O1653" t="s">
        <v>7232</v>
      </c>
      <c r="P1653" t="s">
        <v>38</v>
      </c>
      <c r="Q1653" t="s">
        <v>39</v>
      </c>
      <c r="R1653">
        <v>4</v>
      </c>
      <c r="S1653" t="s">
        <v>39</v>
      </c>
      <c r="T1653">
        <v>4</v>
      </c>
      <c r="U1653">
        <v>3.1</v>
      </c>
      <c r="V1653">
        <v>20.399999999999999</v>
      </c>
      <c r="W1653" t="s">
        <v>38</v>
      </c>
      <c r="X1653" t="s">
        <v>123</v>
      </c>
      <c r="Y1653" t="s">
        <v>39</v>
      </c>
      <c r="Z1653" t="s">
        <v>53</v>
      </c>
      <c r="AA1653" t="s">
        <v>82</v>
      </c>
      <c r="AB1653" t="s">
        <v>83</v>
      </c>
      <c r="AC1653">
        <f t="shared" si="275"/>
        <v>0</v>
      </c>
      <c r="AD1653" s="12">
        <f t="shared" si="279"/>
        <v>0</v>
      </c>
      <c r="AE1653" s="12">
        <f t="shared" si="280"/>
        <v>1</v>
      </c>
      <c r="AF1653">
        <f t="shared" si="276"/>
        <v>0</v>
      </c>
      <c r="AG1653">
        <f t="shared" si="281"/>
        <v>1</v>
      </c>
      <c r="AH1653">
        <f t="shared" si="282"/>
        <v>1</v>
      </c>
      <c r="AI1653">
        <f t="shared" si="283"/>
        <v>0</v>
      </c>
      <c r="AJ1653">
        <f t="shared" si="284"/>
        <v>0</v>
      </c>
      <c r="AK1653">
        <f t="shared" si="277"/>
        <v>0</v>
      </c>
      <c r="AL1653">
        <f t="shared" si="285"/>
        <v>0</v>
      </c>
    </row>
    <row r="1654" spans="1:38">
      <c r="A1654" t="s">
        <v>5089</v>
      </c>
      <c r="B1654" t="s">
        <v>5090</v>
      </c>
      <c r="C1654" s="1">
        <f t="shared" si="278"/>
        <v>45474</v>
      </c>
      <c r="D1654" t="s">
        <v>5091</v>
      </c>
      <c r="E1654">
        <v>145.80000000000001</v>
      </c>
      <c r="F1654">
        <v>6.1</v>
      </c>
      <c r="G1654" t="s">
        <v>87</v>
      </c>
      <c r="H1654" t="s">
        <v>151</v>
      </c>
      <c r="I1654" t="s">
        <v>48</v>
      </c>
      <c r="J1654">
        <v>120</v>
      </c>
      <c r="K1654" t="s">
        <v>33</v>
      </c>
      <c r="L1654" t="s">
        <v>70</v>
      </c>
      <c r="M1654" t="s">
        <v>71</v>
      </c>
      <c r="N1654" t="s">
        <v>299</v>
      </c>
      <c r="O1654" t="s">
        <v>7232</v>
      </c>
      <c r="P1654" t="s">
        <v>38</v>
      </c>
      <c r="Q1654" t="s">
        <v>39</v>
      </c>
      <c r="R1654">
        <v>1</v>
      </c>
      <c r="S1654" t="s">
        <v>38</v>
      </c>
      <c r="T1654">
        <v>9</v>
      </c>
      <c r="U1654">
        <v>2.8</v>
      </c>
      <c r="V1654">
        <v>0</v>
      </c>
      <c r="W1654" t="s">
        <v>38</v>
      </c>
      <c r="X1654" t="s">
        <v>123</v>
      </c>
      <c r="Y1654" t="s">
        <v>38</v>
      </c>
      <c r="Z1654" t="s">
        <v>64</v>
      </c>
      <c r="AA1654" t="s">
        <v>103</v>
      </c>
      <c r="AB1654" t="s">
        <v>83</v>
      </c>
      <c r="AC1654">
        <f t="shared" si="275"/>
        <v>0</v>
      </c>
      <c r="AD1654" s="12">
        <f t="shared" si="279"/>
        <v>0</v>
      </c>
      <c r="AE1654" s="12">
        <f t="shared" si="280"/>
        <v>1</v>
      </c>
      <c r="AF1654">
        <f t="shared" si="276"/>
        <v>0</v>
      </c>
      <c r="AG1654">
        <f t="shared" si="281"/>
        <v>1</v>
      </c>
      <c r="AH1654">
        <f t="shared" si="282"/>
        <v>1</v>
      </c>
      <c r="AI1654">
        <f t="shared" si="283"/>
        <v>0</v>
      </c>
      <c r="AJ1654">
        <f t="shared" si="284"/>
        <v>0</v>
      </c>
      <c r="AK1654">
        <f t="shared" si="277"/>
        <v>0</v>
      </c>
      <c r="AL1654">
        <f t="shared" si="285"/>
        <v>1</v>
      </c>
    </row>
    <row r="1655" spans="1:38">
      <c r="A1655" t="s">
        <v>5092</v>
      </c>
      <c r="B1655" t="s">
        <v>5093</v>
      </c>
      <c r="C1655" s="1">
        <f t="shared" si="278"/>
        <v>45597</v>
      </c>
      <c r="D1655" t="s">
        <v>5094</v>
      </c>
      <c r="E1655">
        <v>238.4</v>
      </c>
      <c r="F1655">
        <v>9.9</v>
      </c>
      <c r="G1655" t="s">
        <v>77</v>
      </c>
      <c r="H1655" t="s">
        <v>187</v>
      </c>
      <c r="I1655" t="s">
        <v>79</v>
      </c>
      <c r="J1655">
        <v>360</v>
      </c>
      <c r="K1655" t="s">
        <v>49</v>
      </c>
      <c r="L1655" t="s">
        <v>70</v>
      </c>
      <c r="M1655" t="s">
        <v>35</v>
      </c>
      <c r="N1655" t="s">
        <v>61</v>
      </c>
      <c r="O1655" t="s">
        <v>37</v>
      </c>
      <c r="P1655" t="s">
        <v>39</v>
      </c>
      <c r="Q1655" t="s">
        <v>38</v>
      </c>
      <c r="R1655">
        <v>0</v>
      </c>
      <c r="S1655" t="s">
        <v>39</v>
      </c>
      <c r="T1655">
        <v>8</v>
      </c>
      <c r="U1655">
        <v>0.1</v>
      </c>
      <c r="V1655">
        <v>0</v>
      </c>
      <c r="W1655" t="s">
        <v>38</v>
      </c>
      <c r="X1655" t="s">
        <v>63</v>
      </c>
      <c r="Y1655" t="s">
        <v>39</v>
      </c>
      <c r="Z1655" t="s">
        <v>53</v>
      </c>
      <c r="AA1655" t="s">
        <v>103</v>
      </c>
      <c r="AB1655" t="s">
        <v>55</v>
      </c>
      <c r="AC1655">
        <f t="shared" si="275"/>
        <v>0</v>
      </c>
      <c r="AD1655" s="12">
        <f t="shared" si="279"/>
        <v>1</v>
      </c>
      <c r="AE1655" s="12">
        <f t="shared" si="280"/>
        <v>0</v>
      </c>
      <c r="AF1655">
        <f t="shared" si="276"/>
        <v>0</v>
      </c>
      <c r="AG1655">
        <f t="shared" si="281"/>
        <v>0</v>
      </c>
      <c r="AH1655">
        <f t="shared" si="282"/>
        <v>0</v>
      </c>
      <c r="AI1655">
        <f t="shared" si="283"/>
        <v>0</v>
      </c>
      <c r="AJ1655">
        <f t="shared" si="284"/>
        <v>0</v>
      </c>
      <c r="AK1655">
        <f t="shared" si="277"/>
        <v>0</v>
      </c>
      <c r="AL1655">
        <f t="shared" si="285"/>
        <v>0</v>
      </c>
    </row>
    <row r="1656" spans="1:38">
      <c r="A1656" t="s">
        <v>5095</v>
      </c>
      <c r="B1656" t="s">
        <v>5096</v>
      </c>
      <c r="C1656" s="1">
        <f t="shared" si="278"/>
        <v>45474</v>
      </c>
      <c r="D1656" t="s">
        <v>5097</v>
      </c>
      <c r="E1656">
        <v>129</v>
      </c>
      <c r="F1656">
        <v>5.4</v>
      </c>
      <c r="G1656" t="s">
        <v>30</v>
      </c>
      <c r="H1656" t="s">
        <v>172</v>
      </c>
      <c r="I1656" t="s">
        <v>48</v>
      </c>
      <c r="J1656">
        <v>120</v>
      </c>
      <c r="K1656" t="s">
        <v>33</v>
      </c>
      <c r="L1656" t="s">
        <v>113</v>
      </c>
      <c r="M1656" t="s">
        <v>35</v>
      </c>
      <c r="N1656" t="s">
        <v>138</v>
      </c>
      <c r="O1656" t="s">
        <v>51</v>
      </c>
      <c r="P1656" t="s">
        <v>39</v>
      </c>
      <c r="Q1656" t="s">
        <v>38</v>
      </c>
      <c r="R1656">
        <v>0</v>
      </c>
      <c r="S1656" t="s">
        <v>38</v>
      </c>
      <c r="T1656">
        <v>6</v>
      </c>
      <c r="U1656">
        <v>3.6</v>
      </c>
      <c r="V1656">
        <v>24.4</v>
      </c>
      <c r="W1656" t="s">
        <v>38</v>
      </c>
      <c r="X1656" t="s">
        <v>63</v>
      </c>
      <c r="Y1656" t="s">
        <v>39</v>
      </c>
      <c r="Z1656" t="s">
        <v>41</v>
      </c>
      <c r="AA1656" t="s">
        <v>54</v>
      </c>
      <c r="AB1656" t="s">
        <v>43</v>
      </c>
      <c r="AC1656">
        <f t="shared" si="275"/>
        <v>0</v>
      </c>
      <c r="AD1656" s="12">
        <f t="shared" si="279"/>
        <v>1</v>
      </c>
      <c r="AE1656" s="12">
        <f t="shared" si="280"/>
        <v>0</v>
      </c>
      <c r="AF1656">
        <f t="shared" si="276"/>
        <v>1</v>
      </c>
      <c r="AG1656">
        <f t="shared" si="281"/>
        <v>0</v>
      </c>
      <c r="AH1656">
        <f t="shared" si="282"/>
        <v>1</v>
      </c>
      <c r="AI1656">
        <f t="shared" si="283"/>
        <v>0</v>
      </c>
      <c r="AJ1656">
        <f t="shared" si="284"/>
        <v>0</v>
      </c>
      <c r="AK1656">
        <f t="shared" si="277"/>
        <v>1</v>
      </c>
      <c r="AL1656">
        <f t="shared" si="285"/>
        <v>0</v>
      </c>
    </row>
    <row r="1657" spans="1:38">
      <c r="A1657" t="s">
        <v>5098</v>
      </c>
      <c r="B1657" t="s">
        <v>5099</v>
      </c>
      <c r="C1657" s="1">
        <f t="shared" si="278"/>
        <v>45627</v>
      </c>
      <c r="D1657" t="s">
        <v>5100</v>
      </c>
      <c r="E1657">
        <v>31.4</v>
      </c>
      <c r="F1657">
        <v>1.3</v>
      </c>
      <c r="G1657" t="s">
        <v>101</v>
      </c>
      <c r="H1657" t="s">
        <v>442</v>
      </c>
      <c r="I1657" t="s">
        <v>95</v>
      </c>
      <c r="J1657">
        <v>48</v>
      </c>
      <c r="K1657" t="s">
        <v>49</v>
      </c>
      <c r="L1657" t="s">
        <v>96</v>
      </c>
      <c r="M1657" t="s">
        <v>35</v>
      </c>
      <c r="N1657" t="s">
        <v>188</v>
      </c>
      <c r="O1657" t="s">
        <v>7232</v>
      </c>
      <c r="P1657" t="s">
        <v>39</v>
      </c>
      <c r="Q1657" t="s">
        <v>38</v>
      </c>
      <c r="R1657">
        <v>0</v>
      </c>
      <c r="S1657" t="s">
        <v>38</v>
      </c>
      <c r="T1657">
        <v>9</v>
      </c>
      <c r="U1657">
        <v>3.5</v>
      </c>
      <c r="V1657">
        <v>13.5</v>
      </c>
      <c r="W1657" t="s">
        <v>38</v>
      </c>
      <c r="X1657" t="s">
        <v>63</v>
      </c>
      <c r="Y1657" t="s">
        <v>39</v>
      </c>
      <c r="Z1657" t="s">
        <v>115</v>
      </c>
      <c r="AA1657" t="s">
        <v>54</v>
      </c>
      <c r="AB1657" t="s">
        <v>83</v>
      </c>
      <c r="AC1657">
        <f t="shared" si="275"/>
        <v>0</v>
      </c>
      <c r="AD1657" s="12">
        <f t="shared" si="279"/>
        <v>1</v>
      </c>
      <c r="AE1657" s="12">
        <f t="shared" si="280"/>
        <v>0</v>
      </c>
      <c r="AF1657">
        <f t="shared" si="276"/>
        <v>0</v>
      </c>
      <c r="AG1657">
        <f t="shared" si="281"/>
        <v>1</v>
      </c>
      <c r="AH1657">
        <f t="shared" si="282"/>
        <v>0</v>
      </c>
      <c r="AI1657">
        <f t="shared" si="283"/>
        <v>1</v>
      </c>
      <c r="AJ1657">
        <f t="shared" si="284"/>
        <v>0</v>
      </c>
      <c r="AK1657">
        <f t="shared" si="277"/>
        <v>0</v>
      </c>
      <c r="AL1657">
        <f t="shared" si="285"/>
        <v>0</v>
      </c>
    </row>
    <row r="1658" spans="1:38">
      <c r="A1658" t="s">
        <v>5101</v>
      </c>
      <c r="B1658" t="s">
        <v>5102</v>
      </c>
      <c r="C1658" s="1">
        <f t="shared" si="278"/>
        <v>45536</v>
      </c>
      <c r="D1658" t="s">
        <v>5103</v>
      </c>
      <c r="E1658">
        <v>322.60000000000002</v>
      </c>
      <c r="F1658">
        <v>13.4</v>
      </c>
      <c r="G1658" t="s">
        <v>77</v>
      </c>
      <c r="H1658" t="s">
        <v>244</v>
      </c>
      <c r="I1658" t="s">
        <v>79</v>
      </c>
      <c r="J1658">
        <v>360</v>
      </c>
      <c r="K1658" t="s">
        <v>49</v>
      </c>
      <c r="L1658" t="s">
        <v>96</v>
      </c>
      <c r="M1658" t="s">
        <v>35</v>
      </c>
      <c r="N1658" t="s">
        <v>50</v>
      </c>
      <c r="O1658" t="s">
        <v>7232</v>
      </c>
      <c r="P1658" t="s">
        <v>39</v>
      </c>
      <c r="Q1658" t="s">
        <v>38</v>
      </c>
      <c r="R1658">
        <v>0</v>
      </c>
      <c r="S1658" t="s">
        <v>38</v>
      </c>
      <c r="T1658">
        <v>10</v>
      </c>
      <c r="U1658">
        <v>2.2999999999999998</v>
      </c>
      <c r="V1658">
        <v>0</v>
      </c>
      <c r="W1658" t="s">
        <v>39</v>
      </c>
      <c r="X1658" t="s">
        <v>52</v>
      </c>
      <c r="Y1658" t="s">
        <v>38</v>
      </c>
      <c r="Z1658" t="s">
        <v>179</v>
      </c>
      <c r="AA1658" t="s">
        <v>109</v>
      </c>
      <c r="AB1658" t="s">
        <v>83</v>
      </c>
      <c r="AC1658">
        <f t="shared" si="275"/>
        <v>1</v>
      </c>
      <c r="AD1658" s="12">
        <f t="shared" si="279"/>
        <v>0</v>
      </c>
      <c r="AE1658" s="12">
        <f t="shared" si="280"/>
        <v>0</v>
      </c>
      <c r="AF1658">
        <f t="shared" si="276"/>
        <v>0</v>
      </c>
      <c r="AG1658">
        <f t="shared" si="281"/>
        <v>1</v>
      </c>
      <c r="AH1658">
        <f t="shared" si="282"/>
        <v>0</v>
      </c>
      <c r="AI1658">
        <f t="shared" si="283"/>
        <v>0</v>
      </c>
      <c r="AJ1658">
        <f t="shared" si="284"/>
        <v>0</v>
      </c>
      <c r="AK1658">
        <f t="shared" si="277"/>
        <v>0</v>
      </c>
      <c r="AL1658">
        <f t="shared" si="285"/>
        <v>1</v>
      </c>
    </row>
    <row r="1659" spans="1:38">
      <c r="A1659" t="s">
        <v>5104</v>
      </c>
      <c r="B1659" t="s">
        <v>5105</v>
      </c>
      <c r="C1659" s="1">
        <f t="shared" si="278"/>
        <v>45597</v>
      </c>
      <c r="D1659" t="s">
        <v>5106</v>
      </c>
      <c r="E1659">
        <v>90.6</v>
      </c>
      <c r="F1659">
        <v>3.8</v>
      </c>
      <c r="G1659" t="s">
        <v>87</v>
      </c>
      <c r="H1659" t="s">
        <v>88</v>
      </c>
      <c r="I1659" t="s">
        <v>48</v>
      </c>
      <c r="J1659">
        <v>120</v>
      </c>
      <c r="K1659" t="s">
        <v>49</v>
      </c>
      <c r="L1659" t="s">
        <v>70</v>
      </c>
      <c r="M1659" t="s">
        <v>71</v>
      </c>
      <c r="N1659" t="s">
        <v>80</v>
      </c>
      <c r="O1659" t="s">
        <v>37</v>
      </c>
      <c r="P1659" t="s">
        <v>38</v>
      </c>
      <c r="Q1659" t="s">
        <v>39</v>
      </c>
      <c r="R1659">
        <v>2</v>
      </c>
      <c r="S1659" t="s">
        <v>39</v>
      </c>
      <c r="T1659">
        <v>10</v>
      </c>
      <c r="U1659">
        <v>3.9</v>
      </c>
      <c r="V1659">
        <v>23.3</v>
      </c>
      <c r="W1659" t="s">
        <v>39</v>
      </c>
      <c r="X1659" t="s">
        <v>52</v>
      </c>
      <c r="Y1659" t="s">
        <v>38</v>
      </c>
      <c r="Z1659" t="s">
        <v>64</v>
      </c>
      <c r="AA1659" t="s">
        <v>109</v>
      </c>
      <c r="AB1659" t="s">
        <v>83</v>
      </c>
      <c r="AC1659">
        <f t="shared" si="275"/>
        <v>1</v>
      </c>
      <c r="AD1659" s="12">
        <f t="shared" si="279"/>
        <v>0</v>
      </c>
      <c r="AE1659" s="12">
        <f t="shared" si="280"/>
        <v>0</v>
      </c>
      <c r="AF1659">
        <f t="shared" si="276"/>
        <v>0</v>
      </c>
      <c r="AG1659">
        <f t="shared" si="281"/>
        <v>0</v>
      </c>
      <c r="AH1659">
        <f t="shared" si="282"/>
        <v>1</v>
      </c>
      <c r="AI1659">
        <f t="shared" si="283"/>
        <v>0</v>
      </c>
      <c r="AJ1659">
        <f t="shared" si="284"/>
        <v>0</v>
      </c>
      <c r="AK1659">
        <f t="shared" si="277"/>
        <v>0</v>
      </c>
      <c r="AL1659">
        <f t="shared" si="285"/>
        <v>1</v>
      </c>
    </row>
    <row r="1660" spans="1:38">
      <c r="A1660" t="s">
        <v>5107</v>
      </c>
      <c r="B1660" t="s">
        <v>5108</v>
      </c>
      <c r="C1660" s="1">
        <f t="shared" si="278"/>
        <v>45627</v>
      </c>
      <c r="D1660" t="s">
        <v>5109</v>
      </c>
      <c r="E1660">
        <v>76.5</v>
      </c>
      <c r="F1660">
        <v>3.2</v>
      </c>
      <c r="G1660" t="s">
        <v>87</v>
      </c>
      <c r="H1660" t="s">
        <v>309</v>
      </c>
      <c r="I1660" t="s">
        <v>48</v>
      </c>
      <c r="J1660">
        <v>120</v>
      </c>
      <c r="K1660" t="s">
        <v>49</v>
      </c>
      <c r="L1660" t="s">
        <v>96</v>
      </c>
      <c r="M1660" t="s">
        <v>71</v>
      </c>
      <c r="N1660" t="s">
        <v>168</v>
      </c>
      <c r="O1660" t="s">
        <v>7232</v>
      </c>
      <c r="P1660" t="s">
        <v>38</v>
      </c>
      <c r="Q1660" t="s">
        <v>39</v>
      </c>
      <c r="R1660">
        <v>4</v>
      </c>
      <c r="S1660" t="s">
        <v>38</v>
      </c>
      <c r="T1660">
        <v>7</v>
      </c>
      <c r="U1660">
        <v>4.7</v>
      </c>
      <c r="V1660">
        <v>38.9</v>
      </c>
      <c r="W1660" t="s">
        <v>39</v>
      </c>
      <c r="X1660" t="s">
        <v>63</v>
      </c>
      <c r="Y1660" t="s">
        <v>38</v>
      </c>
      <c r="Z1660" t="s">
        <v>81</v>
      </c>
      <c r="AA1660" t="s">
        <v>109</v>
      </c>
      <c r="AB1660" t="s">
        <v>43</v>
      </c>
      <c r="AC1660">
        <f t="shared" si="275"/>
        <v>0</v>
      </c>
      <c r="AD1660" s="12">
        <f t="shared" si="279"/>
        <v>1</v>
      </c>
      <c r="AE1660" s="12">
        <f t="shared" si="280"/>
        <v>0</v>
      </c>
      <c r="AF1660">
        <f t="shared" si="276"/>
        <v>0</v>
      </c>
      <c r="AG1660">
        <f t="shared" si="281"/>
        <v>1</v>
      </c>
      <c r="AH1660">
        <f t="shared" si="282"/>
        <v>1</v>
      </c>
      <c r="AI1660">
        <f t="shared" si="283"/>
        <v>0</v>
      </c>
      <c r="AJ1660">
        <f t="shared" si="284"/>
        <v>0</v>
      </c>
      <c r="AK1660">
        <f t="shared" si="277"/>
        <v>0</v>
      </c>
      <c r="AL1660">
        <f t="shared" si="285"/>
        <v>1</v>
      </c>
    </row>
    <row r="1661" spans="1:38">
      <c r="A1661" t="s">
        <v>5110</v>
      </c>
      <c r="B1661" t="s">
        <v>5111</v>
      </c>
      <c r="C1661" s="1">
        <f t="shared" si="278"/>
        <v>45536</v>
      </c>
      <c r="D1661" t="s">
        <v>5112</v>
      </c>
      <c r="E1661">
        <v>206.8</v>
      </c>
      <c r="F1661">
        <v>8.6</v>
      </c>
      <c r="G1661" t="s">
        <v>30</v>
      </c>
      <c r="H1661" t="s">
        <v>172</v>
      </c>
      <c r="I1661" t="s">
        <v>32</v>
      </c>
      <c r="J1661">
        <v>240</v>
      </c>
      <c r="K1661" t="s">
        <v>49</v>
      </c>
      <c r="L1661" t="s">
        <v>96</v>
      </c>
      <c r="M1661" t="s">
        <v>71</v>
      </c>
      <c r="N1661" t="s">
        <v>220</v>
      </c>
      <c r="O1661" t="s">
        <v>7232</v>
      </c>
      <c r="P1661" t="s">
        <v>38</v>
      </c>
      <c r="Q1661" t="s">
        <v>39</v>
      </c>
      <c r="R1661">
        <v>3</v>
      </c>
      <c r="S1661" t="s">
        <v>38</v>
      </c>
      <c r="T1661">
        <v>7</v>
      </c>
      <c r="U1661">
        <v>2.7</v>
      </c>
      <c r="V1661">
        <v>21</v>
      </c>
      <c r="W1661" t="s">
        <v>39</v>
      </c>
      <c r="X1661" t="s">
        <v>52</v>
      </c>
      <c r="Y1661" t="s">
        <v>38</v>
      </c>
      <c r="Z1661" t="s">
        <v>41</v>
      </c>
      <c r="AA1661" t="s">
        <v>42</v>
      </c>
      <c r="AB1661" t="s">
        <v>43</v>
      </c>
      <c r="AC1661">
        <f t="shared" si="275"/>
        <v>1</v>
      </c>
      <c r="AD1661" s="12">
        <f t="shared" si="279"/>
        <v>0</v>
      </c>
      <c r="AE1661" s="12">
        <f t="shared" si="280"/>
        <v>0</v>
      </c>
      <c r="AF1661">
        <f t="shared" si="276"/>
        <v>0</v>
      </c>
      <c r="AG1661">
        <f t="shared" si="281"/>
        <v>1</v>
      </c>
      <c r="AH1661">
        <f t="shared" si="282"/>
        <v>0</v>
      </c>
      <c r="AI1661">
        <f t="shared" si="283"/>
        <v>0</v>
      </c>
      <c r="AJ1661">
        <f t="shared" si="284"/>
        <v>1</v>
      </c>
      <c r="AK1661">
        <f t="shared" si="277"/>
        <v>1</v>
      </c>
      <c r="AL1661">
        <f t="shared" si="285"/>
        <v>1</v>
      </c>
    </row>
    <row r="1662" spans="1:38">
      <c r="A1662" t="s">
        <v>5113</v>
      </c>
      <c r="B1662" t="s">
        <v>5114</v>
      </c>
      <c r="C1662" s="1">
        <f t="shared" si="278"/>
        <v>45536</v>
      </c>
      <c r="D1662" t="s">
        <v>5115</v>
      </c>
      <c r="E1662">
        <v>105.3</v>
      </c>
      <c r="F1662">
        <v>4.4000000000000004</v>
      </c>
      <c r="G1662" t="s">
        <v>101</v>
      </c>
      <c r="H1662" t="s">
        <v>442</v>
      </c>
      <c r="I1662" t="s">
        <v>48</v>
      </c>
      <c r="J1662">
        <v>120</v>
      </c>
      <c r="K1662" t="s">
        <v>49</v>
      </c>
      <c r="L1662" t="s">
        <v>70</v>
      </c>
      <c r="M1662" t="s">
        <v>35</v>
      </c>
      <c r="N1662" t="s">
        <v>188</v>
      </c>
      <c r="O1662" t="s">
        <v>7232</v>
      </c>
      <c r="P1662" t="s">
        <v>39</v>
      </c>
      <c r="Q1662" t="s">
        <v>38</v>
      </c>
      <c r="R1662">
        <v>0</v>
      </c>
      <c r="S1662" t="s">
        <v>38</v>
      </c>
      <c r="T1662">
        <v>7</v>
      </c>
      <c r="U1662">
        <v>1.6</v>
      </c>
      <c r="V1662">
        <v>40.9</v>
      </c>
      <c r="W1662" t="s">
        <v>38</v>
      </c>
      <c r="X1662" t="s">
        <v>123</v>
      </c>
      <c r="Y1662" t="s">
        <v>38</v>
      </c>
      <c r="Z1662" t="s">
        <v>115</v>
      </c>
      <c r="AA1662" t="s">
        <v>103</v>
      </c>
      <c r="AB1662" t="s">
        <v>55</v>
      </c>
      <c r="AC1662">
        <f t="shared" si="275"/>
        <v>0</v>
      </c>
      <c r="AD1662" s="12">
        <f t="shared" si="279"/>
        <v>0</v>
      </c>
      <c r="AE1662" s="12">
        <f t="shared" si="280"/>
        <v>1</v>
      </c>
      <c r="AF1662">
        <f t="shared" si="276"/>
        <v>0</v>
      </c>
      <c r="AG1662">
        <f t="shared" si="281"/>
        <v>1</v>
      </c>
      <c r="AH1662">
        <f t="shared" si="282"/>
        <v>1</v>
      </c>
      <c r="AI1662">
        <f t="shared" si="283"/>
        <v>0</v>
      </c>
      <c r="AJ1662">
        <f t="shared" si="284"/>
        <v>0</v>
      </c>
      <c r="AK1662">
        <f t="shared" si="277"/>
        <v>0</v>
      </c>
      <c r="AL1662">
        <f t="shared" si="285"/>
        <v>1</v>
      </c>
    </row>
    <row r="1663" spans="1:38">
      <c r="A1663" t="s">
        <v>5116</v>
      </c>
      <c r="B1663" t="s">
        <v>5117</v>
      </c>
      <c r="C1663" s="1">
        <f t="shared" si="278"/>
        <v>45323</v>
      </c>
      <c r="D1663" t="s">
        <v>5118</v>
      </c>
      <c r="E1663">
        <v>175.7</v>
      </c>
      <c r="F1663">
        <v>7.3</v>
      </c>
      <c r="G1663" t="s">
        <v>142</v>
      </c>
      <c r="H1663" t="s">
        <v>143</v>
      </c>
      <c r="I1663" t="s">
        <v>32</v>
      </c>
      <c r="J1663">
        <v>240</v>
      </c>
      <c r="K1663" t="s">
        <v>49</v>
      </c>
      <c r="L1663" t="s">
        <v>70</v>
      </c>
      <c r="M1663" t="s">
        <v>71</v>
      </c>
      <c r="N1663" t="s">
        <v>36</v>
      </c>
      <c r="O1663" t="s">
        <v>7232</v>
      </c>
      <c r="P1663" t="s">
        <v>38</v>
      </c>
      <c r="Q1663" t="s">
        <v>39</v>
      </c>
      <c r="R1663">
        <v>1</v>
      </c>
      <c r="S1663" t="s">
        <v>39</v>
      </c>
      <c r="T1663">
        <v>7</v>
      </c>
      <c r="U1663">
        <v>2.5</v>
      </c>
      <c r="V1663">
        <v>15.3</v>
      </c>
      <c r="W1663" t="s">
        <v>39</v>
      </c>
      <c r="X1663" t="s">
        <v>40</v>
      </c>
      <c r="Y1663" t="s">
        <v>38</v>
      </c>
      <c r="Z1663" t="s">
        <v>108</v>
      </c>
      <c r="AA1663" t="s">
        <v>42</v>
      </c>
      <c r="AB1663" t="s">
        <v>83</v>
      </c>
      <c r="AC1663">
        <f t="shared" si="275"/>
        <v>0</v>
      </c>
      <c r="AD1663" s="12">
        <f t="shared" si="279"/>
        <v>0</v>
      </c>
      <c r="AE1663" s="12">
        <f t="shared" si="280"/>
        <v>0</v>
      </c>
      <c r="AF1663">
        <f t="shared" si="276"/>
        <v>0</v>
      </c>
      <c r="AG1663">
        <f t="shared" si="281"/>
        <v>1</v>
      </c>
      <c r="AH1663">
        <f t="shared" si="282"/>
        <v>0</v>
      </c>
      <c r="AI1663">
        <f t="shared" si="283"/>
        <v>0</v>
      </c>
      <c r="AJ1663">
        <f t="shared" si="284"/>
        <v>1</v>
      </c>
      <c r="AK1663">
        <f t="shared" si="277"/>
        <v>0</v>
      </c>
      <c r="AL1663">
        <f t="shared" si="285"/>
        <v>1</v>
      </c>
    </row>
    <row r="1664" spans="1:38">
      <c r="A1664" t="s">
        <v>5119</v>
      </c>
      <c r="B1664" t="s">
        <v>5120</v>
      </c>
      <c r="C1664" s="1">
        <f t="shared" si="278"/>
        <v>45292</v>
      </c>
      <c r="D1664" t="s">
        <v>5121</v>
      </c>
      <c r="E1664">
        <v>320.8</v>
      </c>
      <c r="F1664">
        <v>13.4</v>
      </c>
      <c r="G1664" t="s">
        <v>93</v>
      </c>
      <c r="H1664" t="s">
        <v>94</v>
      </c>
      <c r="I1664" t="s">
        <v>79</v>
      </c>
      <c r="J1664">
        <v>360</v>
      </c>
      <c r="K1664" t="s">
        <v>49</v>
      </c>
      <c r="L1664" t="s">
        <v>96</v>
      </c>
      <c r="M1664" t="s">
        <v>35</v>
      </c>
      <c r="N1664" t="s">
        <v>107</v>
      </c>
      <c r="O1664" t="s">
        <v>51</v>
      </c>
      <c r="P1664" t="s">
        <v>38</v>
      </c>
      <c r="Q1664" t="s">
        <v>38</v>
      </c>
      <c r="R1664">
        <v>1</v>
      </c>
      <c r="S1664" t="s">
        <v>38</v>
      </c>
      <c r="T1664">
        <v>10</v>
      </c>
      <c r="U1664">
        <v>0.3</v>
      </c>
      <c r="V1664">
        <v>23.2</v>
      </c>
      <c r="W1664" t="s">
        <v>39</v>
      </c>
      <c r="X1664" t="s">
        <v>52</v>
      </c>
      <c r="Y1664" t="s">
        <v>39</v>
      </c>
      <c r="Z1664" t="s">
        <v>53</v>
      </c>
      <c r="AA1664" t="s">
        <v>103</v>
      </c>
      <c r="AB1664" t="s">
        <v>83</v>
      </c>
      <c r="AC1664">
        <f t="shared" si="275"/>
        <v>1</v>
      </c>
      <c r="AD1664" s="12">
        <f t="shared" si="279"/>
        <v>0</v>
      </c>
      <c r="AE1664" s="12">
        <f t="shared" si="280"/>
        <v>0</v>
      </c>
      <c r="AF1664">
        <f t="shared" si="276"/>
        <v>1</v>
      </c>
      <c r="AG1664">
        <f t="shared" si="281"/>
        <v>0</v>
      </c>
      <c r="AH1664">
        <f t="shared" si="282"/>
        <v>0</v>
      </c>
      <c r="AI1664">
        <f t="shared" si="283"/>
        <v>0</v>
      </c>
      <c r="AJ1664">
        <f t="shared" si="284"/>
        <v>0</v>
      </c>
      <c r="AK1664">
        <f t="shared" si="277"/>
        <v>0</v>
      </c>
      <c r="AL1664">
        <f t="shared" si="285"/>
        <v>0</v>
      </c>
    </row>
    <row r="1665" spans="1:38">
      <c r="A1665" t="s">
        <v>5122</v>
      </c>
      <c r="B1665" t="s">
        <v>5123</v>
      </c>
      <c r="C1665" s="1">
        <f t="shared" si="278"/>
        <v>45352</v>
      </c>
      <c r="D1665" t="s">
        <v>5124</v>
      </c>
      <c r="E1665">
        <v>254.1</v>
      </c>
      <c r="F1665">
        <v>10.6</v>
      </c>
      <c r="G1665" t="s">
        <v>93</v>
      </c>
      <c r="H1665" t="s">
        <v>291</v>
      </c>
      <c r="I1665" t="s">
        <v>32</v>
      </c>
      <c r="J1665">
        <v>240</v>
      </c>
      <c r="K1665" t="s">
        <v>33</v>
      </c>
      <c r="L1665" t="s">
        <v>96</v>
      </c>
      <c r="M1665" t="s">
        <v>71</v>
      </c>
      <c r="N1665" t="s">
        <v>299</v>
      </c>
      <c r="O1665" t="s">
        <v>51</v>
      </c>
      <c r="P1665" t="s">
        <v>38</v>
      </c>
      <c r="Q1665" t="s">
        <v>39</v>
      </c>
      <c r="R1665">
        <v>3</v>
      </c>
      <c r="S1665" t="s">
        <v>39</v>
      </c>
      <c r="T1665">
        <v>4</v>
      </c>
      <c r="U1665">
        <v>1.1000000000000001</v>
      </c>
      <c r="V1665">
        <v>19</v>
      </c>
      <c r="W1665" t="s">
        <v>38</v>
      </c>
      <c r="X1665" t="s">
        <v>52</v>
      </c>
      <c r="Y1665" t="s">
        <v>38</v>
      </c>
      <c r="Z1665" t="s">
        <v>73</v>
      </c>
      <c r="AA1665" t="s">
        <v>82</v>
      </c>
      <c r="AB1665" t="s">
        <v>83</v>
      </c>
      <c r="AC1665">
        <f t="shared" si="275"/>
        <v>1</v>
      </c>
      <c r="AD1665" s="12">
        <f t="shared" si="279"/>
        <v>0</v>
      </c>
      <c r="AE1665" s="12">
        <f t="shared" si="280"/>
        <v>0</v>
      </c>
      <c r="AF1665">
        <f t="shared" si="276"/>
        <v>1</v>
      </c>
      <c r="AG1665">
        <f t="shared" si="281"/>
        <v>0</v>
      </c>
      <c r="AH1665">
        <f t="shared" si="282"/>
        <v>0</v>
      </c>
      <c r="AI1665">
        <f t="shared" si="283"/>
        <v>0</v>
      </c>
      <c r="AJ1665">
        <f t="shared" si="284"/>
        <v>1</v>
      </c>
      <c r="AK1665">
        <f t="shared" si="277"/>
        <v>0</v>
      </c>
      <c r="AL1665">
        <f t="shared" si="285"/>
        <v>1</v>
      </c>
    </row>
    <row r="1666" spans="1:38">
      <c r="A1666" t="s">
        <v>5125</v>
      </c>
      <c r="B1666" t="s">
        <v>5126</v>
      </c>
      <c r="C1666" s="1">
        <f t="shared" si="278"/>
        <v>45474</v>
      </c>
      <c r="D1666" t="s">
        <v>5127</v>
      </c>
      <c r="E1666">
        <v>327.9</v>
      </c>
      <c r="F1666">
        <v>13.7</v>
      </c>
      <c r="G1666" t="s">
        <v>77</v>
      </c>
      <c r="H1666" t="s">
        <v>78</v>
      </c>
      <c r="I1666" t="s">
        <v>79</v>
      </c>
      <c r="J1666">
        <v>360</v>
      </c>
      <c r="K1666" t="s">
        <v>49</v>
      </c>
      <c r="L1666" t="s">
        <v>113</v>
      </c>
      <c r="M1666" t="s">
        <v>35</v>
      </c>
      <c r="N1666" t="s">
        <v>192</v>
      </c>
      <c r="O1666" t="s">
        <v>37</v>
      </c>
      <c r="P1666" t="s">
        <v>39</v>
      </c>
      <c r="Q1666" t="s">
        <v>38</v>
      </c>
      <c r="R1666">
        <v>0</v>
      </c>
      <c r="S1666" t="s">
        <v>38</v>
      </c>
      <c r="T1666">
        <v>8</v>
      </c>
      <c r="U1666">
        <v>0.1</v>
      </c>
      <c r="V1666">
        <v>25.8</v>
      </c>
      <c r="W1666" t="s">
        <v>39</v>
      </c>
      <c r="X1666" t="s">
        <v>63</v>
      </c>
      <c r="Y1666" t="s">
        <v>38</v>
      </c>
      <c r="Z1666" t="s">
        <v>64</v>
      </c>
      <c r="AA1666" t="s">
        <v>42</v>
      </c>
      <c r="AB1666" t="s">
        <v>55</v>
      </c>
      <c r="AC1666">
        <f t="shared" ref="AC1666:AC1729" si="286">IF(X1666="Poor", 1, 0)</f>
        <v>0</v>
      </c>
      <c r="AD1666" s="12">
        <f t="shared" si="279"/>
        <v>1</v>
      </c>
      <c r="AE1666" s="12">
        <f t="shared" si="280"/>
        <v>0</v>
      </c>
      <c r="AF1666">
        <f t="shared" ref="AF1666:AF1729" si="287">IF(O1666="Junior", 1, 0)</f>
        <v>0</v>
      </c>
      <c r="AG1666">
        <f t="shared" si="281"/>
        <v>0</v>
      </c>
      <c r="AH1666">
        <f t="shared" si="282"/>
        <v>0</v>
      </c>
      <c r="AI1666">
        <f t="shared" si="283"/>
        <v>0</v>
      </c>
      <c r="AJ1666">
        <f t="shared" si="284"/>
        <v>0</v>
      </c>
      <c r="AK1666">
        <f t="shared" ref="AK1666:AK1729" si="288">IF(G1666="Access Requests", 1, 0)</f>
        <v>0</v>
      </c>
      <c r="AL1666">
        <f t="shared" si="285"/>
        <v>1</v>
      </c>
    </row>
    <row r="1667" spans="1:38">
      <c r="A1667" t="s">
        <v>5128</v>
      </c>
      <c r="B1667" t="s">
        <v>5129</v>
      </c>
      <c r="C1667" s="1">
        <f t="shared" ref="C1667:C1730" si="289">DATE(YEAR(B1667),MONTH(B1667),1)</f>
        <v>45323</v>
      </c>
      <c r="D1667" t="s">
        <v>5130</v>
      </c>
      <c r="E1667">
        <v>538.6</v>
      </c>
      <c r="F1667">
        <v>22.4</v>
      </c>
      <c r="G1667" t="s">
        <v>142</v>
      </c>
      <c r="H1667" t="s">
        <v>729</v>
      </c>
      <c r="I1667" t="s">
        <v>32</v>
      </c>
      <c r="J1667">
        <v>240</v>
      </c>
      <c r="K1667" t="s">
        <v>33</v>
      </c>
      <c r="L1667" t="s">
        <v>96</v>
      </c>
      <c r="M1667" t="s">
        <v>35</v>
      </c>
      <c r="N1667" t="s">
        <v>414</v>
      </c>
      <c r="O1667" t="s">
        <v>37</v>
      </c>
      <c r="P1667" t="s">
        <v>39</v>
      </c>
      <c r="Q1667" t="s">
        <v>38</v>
      </c>
      <c r="R1667">
        <v>0</v>
      </c>
      <c r="S1667" t="s">
        <v>38</v>
      </c>
      <c r="T1667">
        <v>8</v>
      </c>
      <c r="U1667">
        <v>5.7</v>
      </c>
      <c r="V1667">
        <v>19.600000000000001</v>
      </c>
      <c r="W1667" t="s">
        <v>38</v>
      </c>
      <c r="X1667" t="s">
        <v>52</v>
      </c>
      <c r="Y1667" t="s">
        <v>38</v>
      </c>
      <c r="Z1667" t="s">
        <v>81</v>
      </c>
      <c r="AA1667" t="s">
        <v>109</v>
      </c>
      <c r="AB1667" t="s">
        <v>55</v>
      </c>
      <c r="AC1667">
        <f t="shared" si="286"/>
        <v>1</v>
      </c>
      <c r="AD1667" s="12">
        <f t="shared" ref="AD1667:AD1730" si="290">IF(X1667="Fair", 1, 0)</f>
        <v>0</v>
      </c>
      <c r="AE1667" s="12">
        <f t="shared" ref="AE1667:AE1730" si="291">IF(X1667="Good", 1, 0)</f>
        <v>0</v>
      </c>
      <c r="AF1667">
        <f t="shared" si="287"/>
        <v>0</v>
      </c>
      <c r="AG1667">
        <f t="shared" ref="AG1667:AG1730" si="292">IF(O1667="Mid", 1, 0)</f>
        <v>0</v>
      </c>
      <c r="AH1667">
        <f t="shared" ref="AH1667:AH1730" si="293">IF(I1667="High", 1, 0)</f>
        <v>0</v>
      </c>
      <c r="AI1667">
        <f t="shared" ref="AI1667:AI1730" si="294">IF(I1667="Critical", 1, 0)</f>
        <v>0</v>
      </c>
      <c r="AJ1667">
        <f t="shared" ref="AJ1667:AJ1730" si="295">IF(I1667="Medium", 1, 0)</f>
        <v>1</v>
      </c>
      <c r="AK1667">
        <f t="shared" si="288"/>
        <v>0</v>
      </c>
      <c r="AL1667">
        <f t="shared" ref="AL1667:AL1730" si="296">IF(Y1667="No", 1, 0)</f>
        <v>1</v>
      </c>
    </row>
    <row r="1668" spans="1:38">
      <c r="A1668" t="s">
        <v>5131</v>
      </c>
      <c r="B1668" t="s">
        <v>5132</v>
      </c>
      <c r="C1668" s="1">
        <f t="shared" si="289"/>
        <v>45627</v>
      </c>
      <c r="D1668" t="s">
        <v>5133</v>
      </c>
      <c r="E1668">
        <v>108.4</v>
      </c>
      <c r="F1668">
        <v>4.5</v>
      </c>
      <c r="G1668" t="s">
        <v>59</v>
      </c>
      <c r="H1668" t="s">
        <v>132</v>
      </c>
      <c r="I1668" t="s">
        <v>48</v>
      </c>
      <c r="J1668">
        <v>120</v>
      </c>
      <c r="K1668" t="s">
        <v>49</v>
      </c>
      <c r="L1668" t="s">
        <v>70</v>
      </c>
      <c r="M1668" t="s">
        <v>71</v>
      </c>
      <c r="N1668" t="s">
        <v>277</v>
      </c>
      <c r="O1668" t="s">
        <v>37</v>
      </c>
      <c r="P1668" t="s">
        <v>38</v>
      </c>
      <c r="Q1668" t="s">
        <v>39</v>
      </c>
      <c r="R1668">
        <v>4</v>
      </c>
      <c r="S1668" t="s">
        <v>38</v>
      </c>
      <c r="T1668">
        <v>9</v>
      </c>
      <c r="U1668">
        <v>0.1</v>
      </c>
      <c r="V1668">
        <v>6.4</v>
      </c>
      <c r="W1668" t="s">
        <v>39</v>
      </c>
      <c r="X1668" t="s">
        <v>52</v>
      </c>
      <c r="Y1668" t="s">
        <v>39</v>
      </c>
      <c r="Z1668" t="s">
        <v>179</v>
      </c>
      <c r="AA1668" t="s">
        <v>109</v>
      </c>
      <c r="AB1668" t="s">
        <v>83</v>
      </c>
      <c r="AC1668">
        <f t="shared" si="286"/>
        <v>1</v>
      </c>
      <c r="AD1668" s="12">
        <f t="shared" si="290"/>
        <v>0</v>
      </c>
      <c r="AE1668" s="12">
        <f t="shared" si="291"/>
        <v>0</v>
      </c>
      <c r="AF1668">
        <f t="shared" si="287"/>
        <v>0</v>
      </c>
      <c r="AG1668">
        <f t="shared" si="292"/>
        <v>0</v>
      </c>
      <c r="AH1668">
        <f t="shared" si="293"/>
        <v>1</v>
      </c>
      <c r="AI1668">
        <f t="shared" si="294"/>
        <v>0</v>
      </c>
      <c r="AJ1668">
        <f t="shared" si="295"/>
        <v>0</v>
      </c>
      <c r="AK1668">
        <f t="shared" si="288"/>
        <v>0</v>
      </c>
      <c r="AL1668">
        <f t="shared" si="296"/>
        <v>0</v>
      </c>
    </row>
    <row r="1669" spans="1:38">
      <c r="A1669" t="s">
        <v>5134</v>
      </c>
      <c r="B1669" t="s">
        <v>5135</v>
      </c>
      <c r="C1669" s="1">
        <f t="shared" si="289"/>
        <v>45505</v>
      </c>
      <c r="D1669" t="s">
        <v>5136</v>
      </c>
      <c r="E1669">
        <v>206.5</v>
      </c>
      <c r="F1669">
        <v>8.6</v>
      </c>
      <c r="G1669" t="s">
        <v>142</v>
      </c>
      <c r="H1669" t="s">
        <v>319</v>
      </c>
      <c r="I1669" t="s">
        <v>32</v>
      </c>
      <c r="J1669">
        <v>240</v>
      </c>
      <c r="K1669" t="s">
        <v>49</v>
      </c>
      <c r="L1669" t="s">
        <v>34</v>
      </c>
      <c r="M1669" t="s">
        <v>35</v>
      </c>
      <c r="N1669" t="s">
        <v>119</v>
      </c>
      <c r="O1669" t="s">
        <v>51</v>
      </c>
      <c r="P1669" t="s">
        <v>38</v>
      </c>
      <c r="Q1669" t="s">
        <v>38</v>
      </c>
      <c r="R1669">
        <v>1</v>
      </c>
      <c r="S1669" t="s">
        <v>38</v>
      </c>
      <c r="T1669">
        <v>10</v>
      </c>
      <c r="U1669">
        <v>1.8</v>
      </c>
      <c r="V1669">
        <v>4.5999999999999996</v>
      </c>
      <c r="W1669" t="s">
        <v>38</v>
      </c>
      <c r="X1669" t="s">
        <v>63</v>
      </c>
      <c r="Y1669" t="s">
        <v>38</v>
      </c>
      <c r="Z1669" t="s">
        <v>73</v>
      </c>
      <c r="AA1669" t="s">
        <v>109</v>
      </c>
      <c r="AB1669" t="s">
        <v>83</v>
      </c>
      <c r="AC1669">
        <f t="shared" si="286"/>
        <v>0</v>
      </c>
      <c r="AD1669" s="12">
        <f t="shared" si="290"/>
        <v>1</v>
      </c>
      <c r="AE1669" s="12">
        <f t="shared" si="291"/>
        <v>0</v>
      </c>
      <c r="AF1669">
        <f t="shared" si="287"/>
        <v>1</v>
      </c>
      <c r="AG1669">
        <f t="shared" si="292"/>
        <v>0</v>
      </c>
      <c r="AH1669">
        <f t="shared" si="293"/>
        <v>0</v>
      </c>
      <c r="AI1669">
        <f t="shared" si="294"/>
        <v>0</v>
      </c>
      <c r="AJ1669">
        <f t="shared" si="295"/>
        <v>1</v>
      </c>
      <c r="AK1669">
        <f t="shared" si="288"/>
        <v>0</v>
      </c>
      <c r="AL1669">
        <f t="shared" si="296"/>
        <v>1</v>
      </c>
    </row>
    <row r="1670" spans="1:38">
      <c r="A1670" t="s">
        <v>5137</v>
      </c>
      <c r="B1670" t="s">
        <v>5138</v>
      </c>
      <c r="C1670" s="1">
        <f t="shared" si="289"/>
        <v>45627</v>
      </c>
      <c r="D1670" t="s">
        <v>5139</v>
      </c>
      <c r="E1670">
        <v>1048.2</v>
      </c>
      <c r="F1670">
        <v>43.7</v>
      </c>
      <c r="G1670" t="s">
        <v>77</v>
      </c>
      <c r="H1670" t="s">
        <v>78</v>
      </c>
      <c r="I1670" t="s">
        <v>79</v>
      </c>
      <c r="J1670">
        <v>360</v>
      </c>
      <c r="K1670" t="s">
        <v>33</v>
      </c>
      <c r="L1670" t="s">
        <v>34</v>
      </c>
      <c r="M1670" t="s">
        <v>71</v>
      </c>
      <c r="N1670" t="s">
        <v>134</v>
      </c>
      <c r="O1670" t="s">
        <v>51</v>
      </c>
      <c r="P1670" t="s">
        <v>38</v>
      </c>
      <c r="Q1670" t="s">
        <v>39</v>
      </c>
      <c r="R1670">
        <v>1</v>
      </c>
      <c r="S1670" t="s">
        <v>38</v>
      </c>
      <c r="T1670">
        <v>7</v>
      </c>
      <c r="U1670">
        <v>4.2</v>
      </c>
      <c r="V1670">
        <v>8.6</v>
      </c>
      <c r="W1670" t="s">
        <v>39</v>
      </c>
      <c r="X1670" t="s">
        <v>63</v>
      </c>
      <c r="Y1670" t="s">
        <v>39</v>
      </c>
      <c r="Z1670" t="s">
        <v>53</v>
      </c>
      <c r="AA1670" t="s">
        <v>42</v>
      </c>
      <c r="AB1670" t="s">
        <v>55</v>
      </c>
      <c r="AC1670">
        <f t="shared" si="286"/>
        <v>0</v>
      </c>
      <c r="AD1670" s="12">
        <f t="shared" si="290"/>
        <v>1</v>
      </c>
      <c r="AE1670" s="12">
        <f t="shared" si="291"/>
        <v>0</v>
      </c>
      <c r="AF1670">
        <f t="shared" si="287"/>
        <v>1</v>
      </c>
      <c r="AG1670">
        <f t="shared" si="292"/>
        <v>0</v>
      </c>
      <c r="AH1670">
        <f t="shared" si="293"/>
        <v>0</v>
      </c>
      <c r="AI1670">
        <f t="shared" si="294"/>
        <v>0</v>
      </c>
      <c r="AJ1670">
        <f t="shared" si="295"/>
        <v>0</v>
      </c>
      <c r="AK1670">
        <f t="shared" si="288"/>
        <v>0</v>
      </c>
      <c r="AL1670">
        <f t="shared" si="296"/>
        <v>0</v>
      </c>
    </row>
    <row r="1671" spans="1:38">
      <c r="A1671" t="s">
        <v>5140</v>
      </c>
      <c r="B1671" t="s">
        <v>5141</v>
      </c>
      <c r="C1671" s="1">
        <f t="shared" si="289"/>
        <v>45474</v>
      </c>
      <c r="D1671" t="s">
        <v>5142</v>
      </c>
      <c r="E1671">
        <v>157.1</v>
      </c>
      <c r="F1671">
        <v>6.5</v>
      </c>
      <c r="G1671" t="s">
        <v>93</v>
      </c>
      <c r="H1671" t="s">
        <v>291</v>
      </c>
      <c r="I1671" t="s">
        <v>32</v>
      </c>
      <c r="J1671">
        <v>240</v>
      </c>
      <c r="K1671" t="s">
        <v>49</v>
      </c>
      <c r="L1671" t="s">
        <v>70</v>
      </c>
      <c r="M1671" t="s">
        <v>35</v>
      </c>
      <c r="N1671" t="s">
        <v>80</v>
      </c>
      <c r="O1671" t="s">
        <v>7232</v>
      </c>
      <c r="P1671" t="s">
        <v>39</v>
      </c>
      <c r="Q1671" t="s">
        <v>38</v>
      </c>
      <c r="R1671">
        <v>0</v>
      </c>
      <c r="S1671" t="s">
        <v>38</v>
      </c>
      <c r="T1671">
        <v>9</v>
      </c>
      <c r="U1671">
        <v>5.2</v>
      </c>
      <c r="V1671">
        <v>16.899999999999999</v>
      </c>
      <c r="W1671" t="s">
        <v>38</v>
      </c>
      <c r="X1671" t="s">
        <v>52</v>
      </c>
      <c r="Y1671" t="s">
        <v>39</v>
      </c>
      <c r="Z1671" t="s">
        <v>73</v>
      </c>
      <c r="AA1671" t="s">
        <v>54</v>
      </c>
      <c r="AB1671" t="s">
        <v>83</v>
      </c>
      <c r="AC1671">
        <f t="shared" si="286"/>
        <v>1</v>
      </c>
      <c r="AD1671" s="12">
        <f t="shared" si="290"/>
        <v>0</v>
      </c>
      <c r="AE1671" s="12">
        <f t="shared" si="291"/>
        <v>0</v>
      </c>
      <c r="AF1671">
        <f t="shared" si="287"/>
        <v>0</v>
      </c>
      <c r="AG1671">
        <f t="shared" si="292"/>
        <v>1</v>
      </c>
      <c r="AH1671">
        <f t="shared" si="293"/>
        <v>0</v>
      </c>
      <c r="AI1671">
        <f t="shared" si="294"/>
        <v>0</v>
      </c>
      <c r="AJ1671">
        <f t="shared" si="295"/>
        <v>1</v>
      </c>
      <c r="AK1671">
        <f t="shared" si="288"/>
        <v>0</v>
      </c>
      <c r="AL1671">
        <f t="shared" si="296"/>
        <v>0</v>
      </c>
    </row>
    <row r="1672" spans="1:38">
      <c r="A1672" t="s">
        <v>5143</v>
      </c>
      <c r="B1672" t="s">
        <v>5144</v>
      </c>
      <c r="C1672" s="1">
        <f t="shared" si="289"/>
        <v>45566</v>
      </c>
      <c r="D1672" t="s">
        <v>5145</v>
      </c>
      <c r="E1672">
        <v>76.8</v>
      </c>
      <c r="F1672">
        <v>3.2</v>
      </c>
      <c r="G1672" t="s">
        <v>87</v>
      </c>
      <c r="H1672" t="s">
        <v>183</v>
      </c>
      <c r="I1672" t="s">
        <v>48</v>
      </c>
      <c r="J1672">
        <v>120</v>
      </c>
      <c r="K1672" t="s">
        <v>49</v>
      </c>
      <c r="L1672" t="s">
        <v>70</v>
      </c>
      <c r="M1672" t="s">
        <v>35</v>
      </c>
      <c r="N1672" t="s">
        <v>72</v>
      </c>
      <c r="O1672" t="s">
        <v>7232</v>
      </c>
      <c r="P1672" t="s">
        <v>39</v>
      </c>
      <c r="Q1672" t="s">
        <v>38</v>
      </c>
      <c r="R1672">
        <v>0</v>
      </c>
      <c r="S1672" t="s">
        <v>38</v>
      </c>
      <c r="T1672">
        <v>9</v>
      </c>
      <c r="U1672">
        <v>5.3</v>
      </c>
      <c r="V1672">
        <v>20.6</v>
      </c>
      <c r="W1672" t="s">
        <v>38</v>
      </c>
      <c r="X1672" t="s">
        <v>63</v>
      </c>
      <c r="Y1672" t="s">
        <v>39</v>
      </c>
      <c r="Z1672" t="s">
        <v>115</v>
      </c>
      <c r="AA1672" t="s">
        <v>109</v>
      </c>
      <c r="AB1672" t="s">
        <v>55</v>
      </c>
      <c r="AC1672">
        <f t="shared" si="286"/>
        <v>0</v>
      </c>
      <c r="AD1672" s="12">
        <f t="shared" si="290"/>
        <v>1</v>
      </c>
      <c r="AE1672" s="12">
        <f t="shared" si="291"/>
        <v>0</v>
      </c>
      <c r="AF1672">
        <f t="shared" si="287"/>
        <v>0</v>
      </c>
      <c r="AG1672">
        <f t="shared" si="292"/>
        <v>1</v>
      </c>
      <c r="AH1672">
        <f t="shared" si="293"/>
        <v>1</v>
      </c>
      <c r="AI1672">
        <f t="shared" si="294"/>
        <v>0</v>
      </c>
      <c r="AJ1672">
        <f t="shared" si="295"/>
        <v>0</v>
      </c>
      <c r="AK1672">
        <f t="shared" si="288"/>
        <v>0</v>
      </c>
      <c r="AL1672">
        <f t="shared" si="296"/>
        <v>0</v>
      </c>
    </row>
    <row r="1673" spans="1:38">
      <c r="A1673" t="s">
        <v>5146</v>
      </c>
      <c r="B1673" t="s">
        <v>5147</v>
      </c>
      <c r="C1673" s="1">
        <f t="shared" si="289"/>
        <v>45352</v>
      </c>
      <c r="D1673" t="s">
        <v>5148</v>
      </c>
      <c r="E1673">
        <v>163.69999999999999</v>
      </c>
      <c r="F1673">
        <v>6.8</v>
      </c>
      <c r="G1673" t="s">
        <v>142</v>
      </c>
      <c r="H1673" t="s">
        <v>260</v>
      </c>
      <c r="I1673" t="s">
        <v>32</v>
      </c>
      <c r="J1673">
        <v>240</v>
      </c>
      <c r="K1673" t="s">
        <v>49</v>
      </c>
      <c r="L1673" t="s">
        <v>34</v>
      </c>
      <c r="M1673" t="s">
        <v>35</v>
      </c>
      <c r="N1673" t="s">
        <v>107</v>
      </c>
      <c r="O1673" t="s">
        <v>37</v>
      </c>
      <c r="P1673" t="s">
        <v>39</v>
      </c>
      <c r="Q1673" t="s">
        <v>38</v>
      </c>
      <c r="R1673">
        <v>0</v>
      </c>
      <c r="S1673" t="s">
        <v>38</v>
      </c>
      <c r="T1673">
        <v>9</v>
      </c>
      <c r="U1673">
        <v>1.8</v>
      </c>
      <c r="V1673">
        <v>32</v>
      </c>
      <c r="W1673" t="s">
        <v>39</v>
      </c>
      <c r="X1673" t="s">
        <v>52</v>
      </c>
      <c r="Y1673" t="s">
        <v>39</v>
      </c>
      <c r="Z1673" t="s">
        <v>81</v>
      </c>
      <c r="AA1673" t="s">
        <v>42</v>
      </c>
      <c r="AB1673" t="s">
        <v>55</v>
      </c>
      <c r="AC1673">
        <f t="shared" si="286"/>
        <v>1</v>
      </c>
      <c r="AD1673" s="12">
        <f t="shared" si="290"/>
        <v>0</v>
      </c>
      <c r="AE1673" s="12">
        <f t="shared" si="291"/>
        <v>0</v>
      </c>
      <c r="AF1673">
        <f t="shared" si="287"/>
        <v>0</v>
      </c>
      <c r="AG1673">
        <f t="shared" si="292"/>
        <v>0</v>
      </c>
      <c r="AH1673">
        <f t="shared" si="293"/>
        <v>0</v>
      </c>
      <c r="AI1673">
        <f t="shared" si="294"/>
        <v>0</v>
      </c>
      <c r="AJ1673">
        <f t="shared" si="295"/>
        <v>1</v>
      </c>
      <c r="AK1673">
        <f t="shared" si="288"/>
        <v>0</v>
      </c>
      <c r="AL1673">
        <f t="shared" si="296"/>
        <v>0</v>
      </c>
    </row>
    <row r="1674" spans="1:38">
      <c r="A1674" t="s">
        <v>5149</v>
      </c>
      <c r="B1674" t="s">
        <v>5150</v>
      </c>
      <c r="C1674" s="1">
        <f t="shared" si="289"/>
        <v>45444</v>
      </c>
      <c r="D1674" t="s">
        <v>5151</v>
      </c>
      <c r="E1674">
        <v>320.89999999999998</v>
      </c>
      <c r="F1674">
        <v>13.4</v>
      </c>
      <c r="G1674" t="s">
        <v>142</v>
      </c>
      <c r="H1674" t="s">
        <v>143</v>
      </c>
      <c r="I1674" t="s">
        <v>32</v>
      </c>
      <c r="J1674">
        <v>240</v>
      </c>
      <c r="K1674" t="s">
        <v>33</v>
      </c>
      <c r="L1674" t="s">
        <v>96</v>
      </c>
      <c r="M1674" t="s">
        <v>35</v>
      </c>
      <c r="N1674" t="s">
        <v>50</v>
      </c>
      <c r="O1674" t="s">
        <v>51</v>
      </c>
      <c r="P1674" t="s">
        <v>38</v>
      </c>
      <c r="Q1674" t="s">
        <v>38</v>
      </c>
      <c r="R1674">
        <v>1</v>
      </c>
      <c r="S1674" t="s">
        <v>38</v>
      </c>
      <c r="T1674">
        <v>4</v>
      </c>
      <c r="U1674">
        <v>2</v>
      </c>
      <c r="V1674">
        <v>18.899999999999999</v>
      </c>
      <c r="W1674" t="s">
        <v>38</v>
      </c>
      <c r="X1674" t="s">
        <v>63</v>
      </c>
      <c r="Y1674" t="s">
        <v>38</v>
      </c>
      <c r="Z1674" t="s">
        <v>108</v>
      </c>
      <c r="AA1674" t="s">
        <v>42</v>
      </c>
      <c r="AB1674" t="s">
        <v>43</v>
      </c>
      <c r="AC1674">
        <f t="shared" si="286"/>
        <v>0</v>
      </c>
      <c r="AD1674" s="12">
        <f t="shared" si="290"/>
        <v>1</v>
      </c>
      <c r="AE1674" s="12">
        <f t="shared" si="291"/>
        <v>0</v>
      </c>
      <c r="AF1674">
        <f t="shared" si="287"/>
        <v>1</v>
      </c>
      <c r="AG1674">
        <f t="shared" si="292"/>
        <v>0</v>
      </c>
      <c r="AH1674">
        <f t="shared" si="293"/>
        <v>0</v>
      </c>
      <c r="AI1674">
        <f t="shared" si="294"/>
        <v>0</v>
      </c>
      <c r="AJ1674">
        <f t="shared" si="295"/>
        <v>1</v>
      </c>
      <c r="AK1674">
        <f t="shared" si="288"/>
        <v>0</v>
      </c>
      <c r="AL1674">
        <f t="shared" si="296"/>
        <v>1</v>
      </c>
    </row>
    <row r="1675" spans="1:38">
      <c r="A1675" t="s">
        <v>5152</v>
      </c>
      <c r="B1675" t="s">
        <v>5153</v>
      </c>
      <c r="C1675" s="1">
        <f t="shared" si="289"/>
        <v>45352</v>
      </c>
      <c r="D1675" t="s">
        <v>5154</v>
      </c>
      <c r="E1675">
        <v>89.6</v>
      </c>
      <c r="F1675">
        <v>3.7</v>
      </c>
      <c r="G1675" t="s">
        <v>87</v>
      </c>
      <c r="H1675" t="s">
        <v>309</v>
      </c>
      <c r="I1675" t="s">
        <v>48</v>
      </c>
      <c r="J1675">
        <v>120</v>
      </c>
      <c r="K1675" t="s">
        <v>49</v>
      </c>
      <c r="L1675" t="s">
        <v>34</v>
      </c>
      <c r="M1675" t="s">
        <v>71</v>
      </c>
      <c r="N1675" t="s">
        <v>138</v>
      </c>
      <c r="O1675" t="s">
        <v>37</v>
      </c>
      <c r="P1675" t="s">
        <v>38</v>
      </c>
      <c r="Q1675" t="s">
        <v>39</v>
      </c>
      <c r="R1675">
        <v>1</v>
      </c>
      <c r="S1675" t="s">
        <v>38</v>
      </c>
      <c r="T1675">
        <v>8</v>
      </c>
      <c r="U1675">
        <v>0.6</v>
      </c>
      <c r="V1675">
        <v>15.2</v>
      </c>
      <c r="W1675" t="s">
        <v>39</v>
      </c>
      <c r="X1675" t="s">
        <v>123</v>
      </c>
      <c r="Y1675" t="s">
        <v>39</v>
      </c>
      <c r="Z1675" t="s">
        <v>73</v>
      </c>
      <c r="AA1675" t="s">
        <v>54</v>
      </c>
      <c r="AB1675" t="s">
        <v>55</v>
      </c>
      <c r="AC1675">
        <f t="shared" si="286"/>
        <v>0</v>
      </c>
      <c r="AD1675" s="12">
        <f t="shared" si="290"/>
        <v>0</v>
      </c>
      <c r="AE1675" s="12">
        <f t="shared" si="291"/>
        <v>1</v>
      </c>
      <c r="AF1675">
        <f t="shared" si="287"/>
        <v>0</v>
      </c>
      <c r="AG1675">
        <f t="shared" si="292"/>
        <v>0</v>
      </c>
      <c r="AH1675">
        <f t="shared" si="293"/>
        <v>1</v>
      </c>
      <c r="AI1675">
        <f t="shared" si="294"/>
        <v>0</v>
      </c>
      <c r="AJ1675">
        <f t="shared" si="295"/>
        <v>0</v>
      </c>
      <c r="AK1675">
        <f t="shared" si="288"/>
        <v>0</v>
      </c>
      <c r="AL1675">
        <f t="shared" si="296"/>
        <v>0</v>
      </c>
    </row>
    <row r="1676" spans="1:38">
      <c r="A1676" t="s">
        <v>5155</v>
      </c>
      <c r="B1676" t="s">
        <v>5156</v>
      </c>
      <c r="C1676" s="1">
        <f t="shared" si="289"/>
        <v>45536</v>
      </c>
      <c r="D1676" t="s">
        <v>5157</v>
      </c>
      <c r="E1676">
        <v>323.10000000000002</v>
      </c>
      <c r="F1676">
        <v>13.5</v>
      </c>
      <c r="G1676" t="s">
        <v>142</v>
      </c>
      <c r="H1676" t="s">
        <v>260</v>
      </c>
      <c r="I1676" t="s">
        <v>79</v>
      </c>
      <c r="J1676">
        <v>360</v>
      </c>
      <c r="K1676" t="s">
        <v>49</v>
      </c>
      <c r="L1676" t="s">
        <v>96</v>
      </c>
      <c r="M1676" t="s">
        <v>35</v>
      </c>
      <c r="N1676" t="s">
        <v>138</v>
      </c>
      <c r="O1676" t="s">
        <v>7232</v>
      </c>
      <c r="P1676" t="s">
        <v>38</v>
      </c>
      <c r="Q1676" t="s">
        <v>38</v>
      </c>
      <c r="R1676">
        <v>1</v>
      </c>
      <c r="S1676" t="s">
        <v>38</v>
      </c>
      <c r="T1676">
        <v>10</v>
      </c>
      <c r="U1676">
        <v>1.8</v>
      </c>
      <c r="V1676">
        <v>9.1</v>
      </c>
      <c r="W1676" t="s">
        <v>39</v>
      </c>
      <c r="X1676" t="s">
        <v>63</v>
      </c>
      <c r="Y1676" t="s">
        <v>38</v>
      </c>
      <c r="Z1676" t="s">
        <v>53</v>
      </c>
      <c r="AA1676" t="s">
        <v>42</v>
      </c>
      <c r="AB1676" t="s">
        <v>43</v>
      </c>
      <c r="AC1676">
        <f t="shared" si="286"/>
        <v>0</v>
      </c>
      <c r="AD1676" s="12">
        <f t="shared" si="290"/>
        <v>1</v>
      </c>
      <c r="AE1676" s="12">
        <f t="shared" si="291"/>
        <v>0</v>
      </c>
      <c r="AF1676">
        <f t="shared" si="287"/>
        <v>0</v>
      </c>
      <c r="AG1676">
        <f t="shared" si="292"/>
        <v>1</v>
      </c>
      <c r="AH1676">
        <f t="shared" si="293"/>
        <v>0</v>
      </c>
      <c r="AI1676">
        <f t="shared" si="294"/>
        <v>0</v>
      </c>
      <c r="AJ1676">
        <f t="shared" si="295"/>
        <v>0</v>
      </c>
      <c r="AK1676">
        <f t="shared" si="288"/>
        <v>0</v>
      </c>
      <c r="AL1676">
        <f t="shared" si="296"/>
        <v>1</v>
      </c>
    </row>
    <row r="1677" spans="1:38">
      <c r="A1677" t="s">
        <v>5158</v>
      </c>
      <c r="B1677" t="s">
        <v>5159</v>
      </c>
      <c r="C1677" s="1">
        <f t="shared" si="289"/>
        <v>45444</v>
      </c>
      <c r="D1677" t="s">
        <v>5160</v>
      </c>
      <c r="E1677">
        <v>575.70000000000005</v>
      </c>
      <c r="F1677">
        <v>24</v>
      </c>
      <c r="G1677" t="s">
        <v>101</v>
      </c>
      <c r="H1677" t="s">
        <v>102</v>
      </c>
      <c r="I1677" t="s">
        <v>79</v>
      </c>
      <c r="J1677">
        <v>360</v>
      </c>
      <c r="K1677" t="s">
        <v>33</v>
      </c>
      <c r="L1677" t="s">
        <v>34</v>
      </c>
      <c r="M1677" t="s">
        <v>71</v>
      </c>
      <c r="N1677" t="s">
        <v>36</v>
      </c>
      <c r="O1677" t="s">
        <v>51</v>
      </c>
      <c r="P1677" t="s">
        <v>38</v>
      </c>
      <c r="Q1677" t="s">
        <v>39</v>
      </c>
      <c r="R1677">
        <v>1</v>
      </c>
      <c r="S1677" t="s">
        <v>38</v>
      </c>
      <c r="T1677">
        <v>6</v>
      </c>
      <c r="U1677">
        <v>2</v>
      </c>
      <c r="V1677">
        <v>0</v>
      </c>
      <c r="W1677" t="s">
        <v>39</v>
      </c>
      <c r="X1677" t="s">
        <v>52</v>
      </c>
      <c r="Y1677" t="s">
        <v>39</v>
      </c>
      <c r="Z1677" t="s">
        <v>73</v>
      </c>
      <c r="AA1677" t="s">
        <v>109</v>
      </c>
      <c r="AB1677" t="s">
        <v>83</v>
      </c>
      <c r="AC1677">
        <f t="shared" si="286"/>
        <v>1</v>
      </c>
      <c r="AD1677" s="12">
        <f t="shared" si="290"/>
        <v>0</v>
      </c>
      <c r="AE1677" s="12">
        <f t="shared" si="291"/>
        <v>0</v>
      </c>
      <c r="AF1677">
        <f t="shared" si="287"/>
        <v>1</v>
      </c>
      <c r="AG1677">
        <f t="shared" si="292"/>
        <v>0</v>
      </c>
      <c r="AH1677">
        <f t="shared" si="293"/>
        <v>0</v>
      </c>
      <c r="AI1677">
        <f t="shared" si="294"/>
        <v>0</v>
      </c>
      <c r="AJ1677">
        <f t="shared" si="295"/>
        <v>0</v>
      </c>
      <c r="AK1677">
        <f t="shared" si="288"/>
        <v>0</v>
      </c>
      <c r="AL1677">
        <f t="shared" si="296"/>
        <v>0</v>
      </c>
    </row>
    <row r="1678" spans="1:38">
      <c r="A1678" t="s">
        <v>5161</v>
      </c>
      <c r="B1678" t="s">
        <v>5162</v>
      </c>
      <c r="C1678" s="1">
        <f t="shared" si="289"/>
        <v>45323</v>
      </c>
      <c r="D1678" t="s">
        <v>5163</v>
      </c>
      <c r="E1678">
        <v>167.8</v>
      </c>
      <c r="F1678">
        <v>7</v>
      </c>
      <c r="G1678" t="s">
        <v>101</v>
      </c>
      <c r="H1678" t="s">
        <v>295</v>
      </c>
      <c r="I1678" t="s">
        <v>32</v>
      </c>
      <c r="J1678">
        <v>240</v>
      </c>
      <c r="K1678" t="s">
        <v>49</v>
      </c>
      <c r="L1678" t="s">
        <v>34</v>
      </c>
      <c r="M1678" t="s">
        <v>35</v>
      </c>
      <c r="N1678" t="s">
        <v>164</v>
      </c>
      <c r="O1678" t="s">
        <v>37</v>
      </c>
      <c r="P1678" t="s">
        <v>39</v>
      </c>
      <c r="Q1678" t="s">
        <v>38</v>
      </c>
      <c r="R1678">
        <v>0</v>
      </c>
      <c r="S1678" t="s">
        <v>39</v>
      </c>
      <c r="T1678">
        <v>10</v>
      </c>
      <c r="U1678">
        <v>2.6</v>
      </c>
      <c r="V1678">
        <v>32</v>
      </c>
      <c r="W1678" t="s">
        <v>38</v>
      </c>
      <c r="X1678" t="s">
        <v>123</v>
      </c>
      <c r="Y1678" t="s">
        <v>39</v>
      </c>
      <c r="Z1678" t="s">
        <v>41</v>
      </c>
      <c r="AA1678" t="s">
        <v>42</v>
      </c>
      <c r="AB1678" t="s">
        <v>83</v>
      </c>
      <c r="AC1678">
        <f t="shared" si="286"/>
        <v>0</v>
      </c>
      <c r="AD1678" s="12">
        <f t="shared" si="290"/>
        <v>0</v>
      </c>
      <c r="AE1678" s="12">
        <f t="shared" si="291"/>
        <v>1</v>
      </c>
      <c r="AF1678">
        <f t="shared" si="287"/>
        <v>0</v>
      </c>
      <c r="AG1678">
        <f t="shared" si="292"/>
        <v>0</v>
      </c>
      <c r="AH1678">
        <f t="shared" si="293"/>
        <v>0</v>
      </c>
      <c r="AI1678">
        <f t="shared" si="294"/>
        <v>0</v>
      </c>
      <c r="AJ1678">
        <f t="shared" si="295"/>
        <v>1</v>
      </c>
      <c r="AK1678">
        <f t="shared" si="288"/>
        <v>0</v>
      </c>
      <c r="AL1678">
        <f t="shared" si="296"/>
        <v>0</v>
      </c>
    </row>
    <row r="1679" spans="1:38">
      <c r="A1679" t="s">
        <v>5164</v>
      </c>
      <c r="B1679" t="s">
        <v>5165</v>
      </c>
      <c r="C1679" s="1">
        <f t="shared" si="289"/>
        <v>45536</v>
      </c>
      <c r="D1679" t="s">
        <v>5166</v>
      </c>
      <c r="E1679">
        <v>246.3</v>
      </c>
      <c r="F1679">
        <v>10.3</v>
      </c>
      <c r="G1679" t="s">
        <v>77</v>
      </c>
      <c r="H1679" t="s">
        <v>244</v>
      </c>
      <c r="I1679" t="s">
        <v>79</v>
      </c>
      <c r="J1679">
        <v>360</v>
      </c>
      <c r="K1679" t="s">
        <v>49</v>
      </c>
      <c r="L1679" t="s">
        <v>96</v>
      </c>
      <c r="M1679" t="s">
        <v>35</v>
      </c>
      <c r="N1679" t="s">
        <v>299</v>
      </c>
      <c r="O1679" t="s">
        <v>7232</v>
      </c>
      <c r="P1679" t="s">
        <v>39</v>
      </c>
      <c r="Q1679" t="s">
        <v>38</v>
      </c>
      <c r="R1679">
        <v>0</v>
      </c>
      <c r="S1679" t="s">
        <v>38</v>
      </c>
      <c r="T1679">
        <v>10</v>
      </c>
      <c r="U1679">
        <v>2.1</v>
      </c>
      <c r="V1679">
        <v>1</v>
      </c>
      <c r="W1679" t="s">
        <v>38</v>
      </c>
      <c r="X1679" t="s">
        <v>52</v>
      </c>
      <c r="Y1679" t="s">
        <v>38</v>
      </c>
      <c r="Z1679" t="s">
        <v>115</v>
      </c>
      <c r="AA1679" t="s">
        <v>109</v>
      </c>
      <c r="AB1679" t="s">
        <v>55</v>
      </c>
      <c r="AC1679">
        <f t="shared" si="286"/>
        <v>1</v>
      </c>
      <c r="AD1679" s="12">
        <f t="shared" si="290"/>
        <v>0</v>
      </c>
      <c r="AE1679" s="12">
        <f t="shared" si="291"/>
        <v>0</v>
      </c>
      <c r="AF1679">
        <f t="shared" si="287"/>
        <v>0</v>
      </c>
      <c r="AG1679">
        <f t="shared" si="292"/>
        <v>1</v>
      </c>
      <c r="AH1679">
        <f t="shared" si="293"/>
        <v>0</v>
      </c>
      <c r="AI1679">
        <f t="shared" si="294"/>
        <v>0</v>
      </c>
      <c r="AJ1679">
        <f t="shared" si="295"/>
        <v>0</v>
      </c>
      <c r="AK1679">
        <f t="shared" si="288"/>
        <v>0</v>
      </c>
      <c r="AL1679">
        <f t="shared" si="296"/>
        <v>1</v>
      </c>
    </row>
    <row r="1680" spans="1:38">
      <c r="A1680" t="s">
        <v>5167</v>
      </c>
      <c r="B1680" t="s">
        <v>5168</v>
      </c>
      <c r="C1680" s="1">
        <f t="shared" si="289"/>
        <v>45627</v>
      </c>
      <c r="D1680" t="s">
        <v>5169</v>
      </c>
      <c r="E1680">
        <v>84.1</v>
      </c>
      <c r="F1680">
        <v>3.5</v>
      </c>
      <c r="G1680" t="s">
        <v>68</v>
      </c>
      <c r="H1680" t="s">
        <v>212</v>
      </c>
      <c r="I1680" t="s">
        <v>48</v>
      </c>
      <c r="J1680">
        <v>120</v>
      </c>
      <c r="K1680" t="s">
        <v>49</v>
      </c>
      <c r="L1680" t="s">
        <v>113</v>
      </c>
      <c r="M1680" t="s">
        <v>35</v>
      </c>
      <c r="N1680" t="s">
        <v>192</v>
      </c>
      <c r="O1680" t="s">
        <v>51</v>
      </c>
      <c r="P1680" t="s">
        <v>39</v>
      </c>
      <c r="Q1680" t="s">
        <v>38</v>
      </c>
      <c r="R1680">
        <v>0</v>
      </c>
      <c r="S1680" t="s">
        <v>38</v>
      </c>
      <c r="T1680">
        <v>10</v>
      </c>
      <c r="U1680">
        <v>2.7</v>
      </c>
      <c r="V1680">
        <v>14.9</v>
      </c>
      <c r="W1680" t="s">
        <v>39</v>
      </c>
      <c r="X1680" t="s">
        <v>40</v>
      </c>
      <c r="Y1680" t="s">
        <v>39</v>
      </c>
      <c r="Z1680" t="s">
        <v>73</v>
      </c>
      <c r="AA1680" t="s">
        <v>103</v>
      </c>
      <c r="AB1680" t="s">
        <v>83</v>
      </c>
      <c r="AC1680">
        <f t="shared" si="286"/>
        <v>0</v>
      </c>
      <c r="AD1680" s="12">
        <f t="shared" si="290"/>
        <v>0</v>
      </c>
      <c r="AE1680" s="12">
        <f t="shared" si="291"/>
        <v>0</v>
      </c>
      <c r="AF1680">
        <f t="shared" si="287"/>
        <v>1</v>
      </c>
      <c r="AG1680">
        <f t="shared" si="292"/>
        <v>0</v>
      </c>
      <c r="AH1680">
        <f t="shared" si="293"/>
        <v>1</v>
      </c>
      <c r="AI1680">
        <f t="shared" si="294"/>
        <v>0</v>
      </c>
      <c r="AJ1680">
        <f t="shared" si="295"/>
        <v>0</v>
      </c>
      <c r="AK1680">
        <f t="shared" si="288"/>
        <v>0</v>
      </c>
      <c r="AL1680">
        <f t="shared" si="296"/>
        <v>0</v>
      </c>
    </row>
    <row r="1681" spans="1:38">
      <c r="A1681" t="s">
        <v>5170</v>
      </c>
      <c r="B1681" t="s">
        <v>5171</v>
      </c>
      <c r="C1681" s="1">
        <f t="shared" si="289"/>
        <v>45383</v>
      </c>
      <c r="D1681" t="s">
        <v>5172</v>
      </c>
      <c r="E1681">
        <v>305.3</v>
      </c>
      <c r="F1681">
        <v>12.7</v>
      </c>
      <c r="G1681" t="s">
        <v>93</v>
      </c>
      <c r="H1681" t="s">
        <v>449</v>
      </c>
      <c r="I1681" t="s">
        <v>79</v>
      </c>
      <c r="J1681">
        <v>360</v>
      </c>
      <c r="K1681" t="s">
        <v>49</v>
      </c>
      <c r="L1681" t="s">
        <v>96</v>
      </c>
      <c r="M1681" t="s">
        <v>35</v>
      </c>
      <c r="N1681" t="s">
        <v>202</v>
      </c>
      <c r="O1681" t="s">
        <v>51</v>
      </c>
      <c r="P1681" t="s">
        <v>38</v>
      </c>
      <c r="Q1681" t="s">
        <v>38</v>
      </c>
      <c r="R1681">
        <v>1</v>
      </c>
      <c r="S1681" t="s">
        <v>38</v>
      </c>
      <c r="T1681">
        <v>8</v>
      </c>
      <c r="U1681">
        <v>2.5</v>
      </c>
      <c r="V1681">
        <v>3.4</v>
      </c>
      <c r="W1681" t="s">
        <v>38</v>
      </c>
      <c r="X1681" t="s">
        <v>52</v>
      </c>
      <c r="Y1681" t="s">
        <v>39</v>
      </c>
      <c r="Z1681" t="s">
        <v>108</v>
      </c>
      <c r="AA1681" t="s">
        <v>42</v>
      </c>
      <c r="AB1681" t="s">
        <v>55</v>
      </c>
      <c r="AC1681">
        <f t="shared" si="286"/>
        <v>1</v>
      </c>
      <c r="AD1681" s="12">
        <f t="shared" si="290"/>
        <v>0</v>
      </c>
      <c r="AE1681" s="12">
        <f t="shared" si="291"/>
        <v>0</v>
      </c>
      <c r="AF1681">
        <f t="shared" si="287"/>
        <v>1</v>
      </c>
      <c r="AG1681">
        <f t="shared" si="292"/>
        <v>0</v>
      </c>
      <c r="AH1681">
        <f t="shared" si="293"/>
        <v>0</v>
      </c>
      <c r="AI1681">
        <f t="shared" si="294"/>
        <v>0</v>
      </c>
      <c r="AJ1681">
        <f t="shared" si="295"/>
        <v>0</v>
      </c>
      <c r="AK1681">
        <f t="shared" si="288"/>
        <v>0</v>
      </c>
      <c r="AL1681">
        <f t="shared" si="296"/>
        <v>0</v>
      </c>
    </row>
    <row r="1682" spans="1:38">
      <c r="A1682" t="s">
        <v>5173</v>
      </c>
      <c r="B1682" t="s">
        <v>5174</v>
      </c>
      <c r="C1682" s="1">
        <f t="shared" si="289"/>
        <v>45566</v>
      </c>
      <c r="D1682" t="s">
        <v>5175</v>
      </c>
      <c r="E1682">
        <v>217.9</v>
      </c>
      <c r="F1682">
        <v>9.1</v>
      </c>
      <c r="G1682" t="s">
        <v>30</v>
      </c>
      <c r="H1682" t="s">
        <v>159</v>
      </c>
      <c r="I1682" t="s">
        <v>32</v>
      </c>
      <c r="J1682">
        <v>240</v>
      </c>
      <c r="K1682" t="s">
        <v>49</v>
      </c>
      <c r="L1682" t="s">
        <v>70</v>
      </c>
      <c r="M1682" t="s">
        <v>35</v>
      </c>
      <c r="N1682" t="s">
        <v>188</v>
      </c>
      <c r="O1682" t="s">
        <v>51</v>
      </c>
      <c r="P1682" t="s">
        <v>38</v>
      </c>
      <c r="Q1682" t="s">
        <v>38</v>
      </c>
      <c r="R1682">
        <v>1</v>
      </c>
      <c r="S1682" t="s">
        <v>38</v>
      </c>
      <c r="T1682">
        <v>6</v>
      </c>
      <c r="U1682">
        <v>4</v>
      </c>
      <c r="V1682">
        <v>15.1</v>
      </c>
      <c r="W1682" t="s">
        <v>39</v>
      </c>
      <c r="X1682" t="s">
        <v>63</v>
      </c>
      <c r="Y1682" t="s">
        <v>39</v>
      </c>
      <c r="Z1682" t="s">
        <v>179</v>
      </c>
      <c r="AA1682" t="s">
        <v>42</v>
      </c>
      <c r="AB1682" t="s">
        <v>55</v>
      </c>
      <c r="AC1682">
        <f t="shared" si="286"/>
        <v>0</v>
      </c>
      <c r="AD1682" s="12">
        <f t="shared" si="290"/>
        <v>1</v>
      </c>
      <c r="AE1682" s="12">
        <f t="shared" si="291"/>
        <v>0</v>
      </c>
      <c r="AF1682">
        <f t="shared" si="287"/>
        <v>1</v>
      </c>
      <c r="AG1682">
        <f t="shared" si="292"/>
        <v>0</v>
      </c>
      <c r="AH1682">
        <f t="shared" si="293"/>
        <v>0</v>
      </c>
      <c r="AI1682">
        <f t="shared" si="294"/>
        <v>0</v>
      </c>
      <c r="AJ1682">
        <f t="shared" si="295"/>
        <v>1</v>
      </c>
      <c r="AK1682">
        <f t="shared" si="288"/>
        <v>1</v>
      </c>
      <c r="AL1682">
        <f t="shared" si="296"/>
        <v>0</v>
      </c>
    </row>
    <row r="1683" spans="1:38">
      <c r="A1683" t="s">
        <v>5176</v>
      </c>
      <c r="B1683" t="s">
        <v>5177</v>
      </c>
      <c r="C1683" s="1">
        <f t="shared" si="289"/>
        <v>45627</v>
      </c>
      <c r="D1683" t="s">
        <v>5178</v>
      </c>
      <c r="E1683">
        <v>95.7</v>
      </c>
      <c r="F1683">
        <v>4</v>
      </c>
      <c r="G1683" t="s">
        <v>59</v>
      </c>
      <c r="H1683" t="s">
        <v>281</v>
      </c>
      <c r="I1683" t="s">
        <v>48</v>
      </c>
      <c r="J1683">
        <v>120</v>
      </c>
      <c r="K1683" t="s">
        <v>49</v>
      </c>
      <c r="L1683" t="s">
        <v>113</v>
      </c>
      <c r="M1683" t="s">
        <v>35</v>
      </c>
      <c r="N1683" t="s">
        <v>119</v>
      </c>
      <c r="O1683" t="s">
        <v>37</v>
      </c>
      <c r="P1683" t="s">
        <v>38</v>
      </c>
      <c r="Q1683" t="s">
        <v>38</v>
      </c>
      <c r="R1683">
        <v>1</v>
      </c>
      <c r="S1683" t="s">
        <v>38</v>
      </c>
      <c r="T1683">
        <v>8</v>
      </c>
      <c r="U1683">
        <v>0.4</v>
      </c>
      <c r="V1683">
        <v>22.7</v>
      </c>
      <c r="W1683" t="s">
        <v>39</v>
      </c>
      <c r="X1683" t="s">
        <v>123</v>
      </c>
      <c r="Y1683" t="s">
        <v>39</v>
      </c>
      <c r="Z1683" t="s">
        <v>73</v>
      </c>
      <c r="AA1683" t="s">
        <v>103</v>
      </c>
      <c r="AB1683" t="s">
        <v>55</v>
      </c>
      <c r="AC1683">
        <f t="shared" si="286"/>
        <v>0</v>
      </c>
      <c r="AD1683" s="12">
        <f t="shared" si="290"/>
        <v>0</v>
      </c>
      <c r="AE1683" s="12">
        <f t="shared" si="291"/>
        <v>1</v>
      </c>
      <c r="AF1683">
        <f t="shared" si="287"/>
        <v>0</v>
      </c>
      <c r="AG1683">
        <f t="shared" si="292"/>
        <v>0</v>
      </c>
      <c r="AH1683">
        <f t="shared" si="293"/>
        <v>1</v>
      </c>
      <c r="AI1683">
        <f t="shared" si="294"/>
        <v>0</v>
      </c>
      <c r="AJ1683">
        <f t="shared" si="295"/>
        <v>0</v>
      </c>
      <c r="AK1683">
        <f t="shared" si="288"/>
        <v>0</v>
      </c>
      <c r="AL1683">
        <f t="shared" si="296"/>
        <v>0</v>
      </c>
    </row>
    <row r="1684" spans="1:38">
      <c r="A1684" t="s">
        <v>5179</v>
      </c>
      <c r="B1684" t="s">
        <v>5180</v>
      </c>
      <c r="C1684" s="1">
        <f t="shared" si="289"/>
        <v>45413</v>
      </c>
      <c r="D1684" t="s">
        <v>5181</v>
      </c>
      <c r="E1684">
        <v>85.7</v>
      </c>
      <c r="F1684">
        <v>3.6</v>
      </c>
      <c r="G1684" t="s">
        <v>68</v>
      </c>
      <c r="H1684" t="s">
        <v>456</v>
      </c>
      <c r="I1684" t="s">
        <v>48</v>
      </c>
      <c r="J1684">
        <v>120</v>
      </c>
      <c r="K1684" t="s">
        <v>49</v>
      </c>
      <c r="L1684" t="s">
        <v>34</v>
      </c>
      <c r="M1684" t="s">
        <v>35</v>
      </c>
      <c r="N1684" t="s">
        <v>114</v>
      </c>
      <c r="O1684" t="s">
        <v>7232</v>
      </c>
      <c r="P1684" t="s">
        <v>38</v>
      </c>
      <c r="Q1684" t="s">
        <v>38</v>
      </c>
      <c r="R1684">
        <v>1</v>
      </c>
      <c r="S1684" t="s">
        <v>38</v>
      </c>
      <c r="T1684">
        <v>8</v>
      </c>
      <c r="U1684">
        <v>0.1</v>
      </c>
      <c r="V1684">
        <v>48.3</v>
      </c>
      <c r="W1684" t="s">
        <v>38</v>
      </c>
      <c r="X1684" t="s">
        <v>123</v>
      </c>
      <c r="Y1684" t="s">
        <v>39</v>
      </c>
      <c r="Z1684" t="s">
        <v>64</v>
      </c>
      <c r="AA1684" t="s">
        <v>54</v>
      </c>
      <c r="AB1684" t="s">
        <v>55</v>
      </c>
      <c r="AC1684">
        <f t="shared" si="286"/>
        <v>0</v>
      </c>
      <c r="AD1684" s="12">
        <f t="shared" si="290"/>
        <v>0</v>
      </c>
      <c r="AE1684" s="12">
        <f t="shared" si="291"/>
        <v>1</v>
      </c>
      <c r="AF1684">
        <f t="shared" si="287"/>
        <v>0</v>
      </c>
      <c r="AG1684">
        <f t="shared" si="292"/>
        <v>1</v>
      </c>
      <c r="AH1684">
        <f t="shared" si="293"/>
        <v>1</v>
      </c>
      <c r="AI1684">
        <f t="shared" si="294"/>
        <v>0</v>
      </c>
      <c r="AJ1684">
        <f t="shared" si="295"/>
        <v>0</v>
      </c>
      <c r="AK1684">
        <f t="shared" si="288"/>
        <v>0</v>
      </c>
      <c r="AL1684">
        <f t="shared" si="296"/>
        <v>0</v>
      </c>
    </row>
    <row r="1685" spans="1:38">
      <c r="A1685" t="s">
        <v>5182</v>
      </c>
      <c r="B1685" t="s">
        <v>5183</v>
      </c>
      <c r="C1685" s="1">
        <f t="shared" si="289"/>
        <v>45444</v>
      </c>
      <c r="D1685" t="s">
        <v>5184</v>
      </c>
      <c r="E1685">
        <v>104.5</v>
      </c>
      <c r="F1685">
        <v>4.4000000000000004</v>
      </c>
      <c r="G1685" t="s">
        <v>59</v>
      </c>
      <c r="H1685" t="s">
        <v>281</v>
      </c>
      <c r="I1685" t="s">
        <v>48</v>
      </c>
      <c r="J1685">
        <v>120</v>
      </c>
      <c r="K1685" t="s">
        <v>49</v>
      </c>
      <c r="L1685" t="s">
        <v>96</v>
      </c>
      <c r="M1685" t="s">
        <v>71</v>
      </c>
      <c r="N1685" t="s">
        <v>97</v>
      </c>
      <c r="O1685" t="s">
        <v>37</v>
      </c>
      <c r="P1685" t="s">
        <v>38</v>
      </c>
      <c r="Q1685" t="s">
        <v>39</v>
      </c>
      <c r="R1685">
        <v>4</v>
      </c>
      <c r="S1685" t="s">
        <v>38</v>
      </c>
      <c r="T1685">
        <v>7</v>
      </c>
      <c r="U1685">
        <v>6.2</v>
      </c>
      <c r="V1685">
        <v>24.2</v>
      </c>
      <c r="W1685" t="s">
        <v>38</v>
      </c>
      <c r="X1685" t="s">
        <v>63</v>
      </c>
      <c r="Y1685" t="s">
        <v>39</v>
      </c>
      <c r="Z1685" t="s">
        <v>179</v>
      </c>
      <c r="AA1685" t="s">
        <v>54</v>
      </c>
      <c r="AB1685" t="s">
        <v>55</v>
      </c>
      <c r="AC1685">
        <f t="shared" si="286"/>
        <v>0</v>
      </c>
      <c r="AD1685" s="12">
        <f t="shared" si="290"/>
        <v>1</v>
      </c>
      <c r="AE1685" s="12">
        <f t="shared" si="291"/>
        <v>0</v>
      </c>
      <c r="AF1685">
        <f t="shared" si="287"/>
        <v>0</v>
      </c>
      <c r="AG1685">
        <f t="shared" si="292"/>
        <v>0</v>
      </c>
      <c r="AH1685">
        <f t="shared" si="293"/>
        <v>1</v>
      </c>
      <c r="AI1685">
        <f t="shared" si="294"/>
        <v>0</v>
      </c>
      <c r="AJ1685">
        <f t="shared" si="295"/>
        <v>0</v>
      </c>
      <c r="AK1685">
        <f t="shared" si="288"/>
        <v>0</v>
      </c>
      <c r="AL1685">
        <f t="shared" si="296"/>
        <v>0</v>
      </c>
    </row>
    <row r="1686" spans="1:38">
      <c r="A1686" t="s">
        <v>5185</v>
      </c>
      <c r="B1686" t="s">
        <v>5186</v>
      </c>
      <c r="C1686" s="1">
        <f t="shared" si="289"/>
        <v>45323</v>
      </c>
      <c r="D1686" t="s">
        <v>5187</v>
      </c>
      <c r="E1686">
        <v>138</v>
      </c>
      <c r="F1686">
        <v>5.8</v>
      </c>
      <c r="G1686" t="s">
        <v>93</v>
      </c>
      <c r="H1686" t="s">
        <v>163</v>
      </c>
      <c r="I1686" t="s">
        <v>48</v>
      </c>
      <c r="J1686">
        <v>120</v>
      </c>
      <c r="K1686" t="s">
        <v>33</v>
      </c>
      <c r="L1686" t="s">
        <v>96</v>
      </c>
      <c r="M1686" t="s">
        <v>35</v>
      </c>
      <c r="N1686" t="s">
        <v>50</v>
      </c>
      <c r="O1686" t="s">
        <v>7232</v>
      </c>
      <c r="P1686" t="s">
        <v>38</v>
      </c>
      <c r="Q1686" t="s">
        <v>38</v>
      </c>
      <c r="R1686">
        <v>1</v>
      </c>
      <c r="S1686" t="s">
        <v>38</v>
      </c>
      <c r="T1686">
        <v>6</v>
      </c>
      <c r="U1686">
        <v>2</v>
      </c>
      <c r="V1686">
        <v>20.2</v>
      </c>
      <c r="W1686" t="s">
        <v>39</v>
      </c>
      <c r="X1686" t="s">
        <v>52</v>
      </c>
      <c r="Y1686" t="s">
        <v>38</v>
      </c>
      <c r="Z1686" t="s">
        <v>179</v>
      </c>
      <c r="AA1686" t="s">
        <v>82</v>
      </c>
      <c r="AB1686" t="s">
        <v>83</v>
      </c>
      <c r="AC1686">
        <f t="shared" si="286"/>
        <v>1</v>
      </c>
      <c r="AD1686" s="12">
        <f t="shared" si="290"/>
        <v>0</v>
      </c>
      <c r="AE1686" s="12">
        <f t="shared" si="291"/>
        <v>0</v>
      </c>
      <c r="AF1686">
        <f t="shared" si="287"/>
        <v>0</v>
      </c>
      <c r="AG1686">
        <f t="shared" si="292"/>
        <v>1</v>
      </c>
      <c r="AH1686">
        <f t="shared" si="293"/>
        <v>1</v>
      </c>
      <c r="AI1686">
        <f t="shared" si="294"/>
        <v>0</v>
      </c>
      <c r="AJ1686">
        <f t="shared" si="295"/>
        <v>0</v>
      </c>
      <c r="AK1686">
        <f t="shared" si="288"/>
        <v>0</v>
      </c>
      <c r="AL1686">
        <f t="shared" si="296"/>
        <v>1</v>
      </c>
    </row>
    <row r="1687" spans="1:38">
      <c r="A1687" t="s">
        <v>5188</v>
      </c>
      <c r="B1687" t="s">
        <v>5189</v>
      </c>
      <c r="C1687" s="1">
        <f t="shared" si="289"/>
        <v>45383</v>
      </c>
      <c r="D1687" t="s">
        <v>5190</v>
      </c>
      <c r="E1687">
        <v>124.1</v>
      </c>
      <c r="F1687">
        <v>5.2</v>
      </c>
      <c r="G1687" t="s">
        <v>87</v>
      </c>
      <c r="H1687" t="s">
        <v>88</v>
      </c>
      <c r="I1687" t="s">
        <v>48</v>
      </c>
      <c r="J1687">
        <v>120</v>
      </c>
      <c r="K1687" t="s">
        <v>33</v>
      </c>
      <c r="L1687" t="s">
        <v>96</v>
      </c>
      <c r="M1687" t="s">
        <v>71</v>
      </c>
      <c r="N1687" t="s">
        <v>414</v>
      </c>
      <c r="O1687" t="s">
        <v>7232</v>
      </c>
      <c r="P1687" t="s">
        <v>38</v>
      </c>
      <c r="Q1687" t="s">
        <v>39</v>
      </c>
      <c r="R1687">
        <v>4</v>
      </c>
      <c r="S1687" t="s">
        <v>38</v>
      </c>
      <c r="T1687">
        <v>4</v>
      </c>
      <c r="U1687">
        <v>2.2000000000000002</v>
      </c>
      <c r="V1687">
        <v>6.1</v>
      </c>
      <c r="W1687" t="s">
        <v>38</v>
      </c>
      <c r="X1687" t="s">
        <v>52</v>
      </c>
      <c r="Y1687" t="s">
        <v>39</v>
      </c>
      <c r="Z1687" t="s">
        <v>115</v>
      </c>
      <c r="AA1687" t="s">
        <v>82</v>
      </c>
      <c r="AB1687" t="s">
        <v>83</v>
      </c>
      <c r="AC1687">
        <f t="shared" si="286"/>
        <v>1</v>
      </c>
      <c r="AD1687" s="12">
        <f t="shared" si="290"/>
        <v>0</v>
      </c>
      <c r="AE1687" s="12">
        <f t="shared" si="291"/>
        <v>0</v>
      </c>
      <c r="AF1687">
        <f t="shared" si="287"/>
        <v>0</v>
      </c>
      <c r="AG1687">
        <f t="shared" si="292"/>
        <v>1</v>
      </c>
      <c r="AH1687">
        <f t="shared" si="293"/>
        <v>1</v>
      </c>
      <c r="AI1687">
        <f t="shared" si="294"/>
        <v>0</v>
      </c>
      <c r="AJ1687">
        <f t="shared" si="295"/>
        <v>0</v>
      </c>
      <c r="AK1687">
        <f t="shared" si="288"/>
        <v>0</v>
      </c>
      <c r="AL1687">
        <f t="shared" si="296"/>
        <v>0</v>
      </c>
    </row>
    <row r="1688" spans="1:38">
      <c r="A1688" t="s">
        <v>5191</v>
      </c>
      <c r="B1688" t="s">
        <v>5192</v>
      </c>
      <c r="C1688" s="1">
        <f t="shared" si="289"/>
        <v>45474</v>
      </c>
      <c r="D1688" t="s">
        <v>5193</v>
      </c>
      <c r="E1688">
        <v>90.3</v>
      </c>
      <c r="F1688">
        <v>3.8</v>
      </c>
      <c r="G1688" t="s">
        <v>68</v>
      </c>
      <c r="H1688" t="s">
        <v>212</v>
      </c>
      <c r="I1688" t="s">
        <v>48</v>
      </c>
      <c r="J1688">
        <v>120</v>
      </c>
      <c r="K1688" t="s">
        <v>49</v>
      </c>
      <c r="L1688" t="s">
        <v>96</v>
      </c>
      <c r="M1688" t="s">
        <v>71</v>
      </c>
      <c r="N1688" t="s">
        <v>72</v>
      </c>
      <c r="O1688" t="s">
        <v>7232</v>
      </c>
      <c r="P1688" t="s">
        <v>38</v>
      </c>
      <c r="Q1688" t="s">
        <v>39</v>
      </c>
      <c r="R1688">
        <v>2</v>
      </c>
      <c r="S1688" t="s">
        <v>38</v>
      </c>
      <c r="T1688">
        <v>10</v>
      </c>
      <c r="U1688">
        <v>4.0999999999999996</v>
      </c>
      <c r="V1688">
        <v>24</v>
      </c>
      <c r="W1688" t="s">
        <v>39</v>
      </c>
      <c r="X1688" t="s">
        <v>123</v>
      </c>
      <c r="Y1688" t="s">
        <v>38</v>
      </c>
      <c r="Z1688" t="s">
        <v>115</v>
      </c>
      <c r="AA1688" t="s">
        <v>54</v>
      </c>
      <c r="AB1688" t="s">
        <v>55</v>
      </c>
      <c r="AC1688">
        <f t="shared" si="286"/>
        <v>0</v>
      </c>
      <c r="AD1688" s="12">
        <f t="shared" si="290"/>
        <v>0</v>
      </c>
      <c r="AE1688" s="12">
        <f t="shared" si="291"/>
        <v>1</v>
      </c>
      <c r="AF1688">
        <f t="shared" si="287"/>
        <v>0</v>
      </c>
      <c r="AG1688">
        <f t="shared" si="292"/>
        <v>1</v>
      </c>
      <c r="AH1688">
        <f t="shared" si="293"/>
        <v>1</v>
      </c>
      <c r="AI1688">
        <f t="shared" si="294"/>
        <v>0</v>
      </c>
      <c r="AJ1688">
        <f t="shared" si="295"/>
        <v>0</v>
      </c>
      <c r="AK1688">
        <f t="shared" si="288"/>
        <v>0</v>
      </c>
      <c r="AL1688">
        <f t="shared" si="296"/>
        <v>1</v>
      </c>
    </row>
    <row r="1689" spans="1:38">
      <c r="A1689" t="s">
        <v>5194</v>
      </c>
      <c r="B1689" t="s">
        <v>5195</v>
      </c>
      <c r="C1689" s="1">
        <f t="shared" si="289"/>
        <v>45413</v>
      </c>
      <c r="D1689" t="s">
        <v>5196</v>
      </c>
      <c r="E1689">
        <v>225.6</v>
      </c>
      <c r="F1689">
        <v>9.4</v>
      </c>
      <c r="G1689" t="s">
        <v>142</v>
      </c>
      <c r="H1689" t="s">
        <v>319</v>
      </c>
      <c r="I1689" t="s">
        <v>79</v>
      </c>
      <c r="J1689">
        <v>360</v>
      </c>
      <c r="K1689" t="s">
        <v>49</v>
      </c>
      <c r="L1689" t="s">
        <v>96</v>
      </c>
      <c r="M1689" t="s">
        <v>35</v>
      </c>
      <c r="N1689" t="s">
        <v>61</v>
      </c>
      <c r="O1689" t="s">
        <v>37</v>
      </c>
      <c r="P1689" t="s">
        <v>38</v>
      </c>
      <c r="Q1689" t="s">
        <v>38</v>
      </c>
      <c r="R1689">
        <v>1</v>
      </c>
      <c r="S1689" t="s">
        <v>38</v>
      </c>
      <c r="T1689">
        <v>9</v>
      </c>
      <c r="U1689">
        <v>0.8</v>
      </c>
      <c r="V1689">
        <v>35.5</v>
      </c>
      <c r="W1689" t="s">
        <v>38</v>
      </c>
      <c r="X1689" t="s">
        <v>52</v>
      </c>
      <c r="Y1689" t="s">
        <v>39</v>
      </c>
      <c r="Z1689" t="s">
        <v>53</v>
      </c>
      <c r="AA1689" t="s">
        <v>54</v>
      </c>
      <c r="AB1689" t="s">
        <v>55</v>
      </c>
      <c r="AC1689">
        <f t="shared" si="286"/>
        <v>1</v>
      </c>
      <c r="AD1689" s="12">
        <f t="shared" si="290"/>
        <v>0</v>
      </c>
      <c r="AE1689" s="12">
        <f t="shared" si="291"/>
        <v>0</v>
      </c>
      <c r="AF1689">
        <f t="shared" si="287"/>
        <v>0</v>
      </c>
      <c r="AG1689">
        <f t="shared" si="292"/>
        <v>0</v>
      </c>
      <c r="AH1689">
        <f t="shared" si="293"/>
        <v>0</v>
      </c>
      <c r="AI1689">
        <f t="shared" si="294"/>
        <v>0</v>
      </c>
      <c r="AJ1689">
        <f t="shared" si="295"/>
        <v>0</v>
      </c>
      <c r="AK1689">
        <f t="shared" si="288"/>
        <v>0</v>
      </c>
      <c r="AL1689">
        <f t="shared" si="296"/>
        <v>0</v>
      </c>
    </row>
    <row r="1690" spans="1:38">
      <c r="A1690" t="s">
        <v>5197</v>
      </c>
      <c r="B1690" t="s">
        <v>5198</v>
      </c>
      <c r="C1690" s="1">
        <f t="shared" si="289"/>
        <v>45323</v>
      </c>
      <c r="D1690" t="s">
        <v>5199</v>
      </c>
      <c r="E1690">
        <v>285.39999999999998</v>
      </c>
      <c r="F1690">
        <v>11.9</v>
      </c>
      <c r="G1690" t="s">
        <v>77</v>
      </c>
      <c r="H1690" t="s">
        <v>244</v>
      </c>
      <c r="I1690" t="s">
        <v>79</v>
      </c>
      <c r="J1690">
        <v>360</v>
      </c>
      <c r="K1690" t="s">
        <v>49</v>
      </c>
      <c r="L1690" t="s">
        <v>96</v>
      </c>
      <c r="M1690" t="s">
        <v>35</v>
      </c>
      <c r="N1690" t="s">
        <v>80</v>
      </c>
      <c r="O1690" t="s">
        <v>7232</v>
      </c>
      <c r="P1690" t="s">
        <v>38</v>
      </c>
      <c r="Q1690" t="s">
        <v>38</v>
      </c>
      <c r="R1690">
        <v>1</v>
      </c>
      <c r="S1690" t="s">
        <v>38</v>
      </c>
      <c r="T1690">
        <v>8</v>
      </c>
      <c r="U1690">
        <v>5.4</v>
      </c>
      <c r="V1690">
        <v>23.8</v>
      </c>
      <c r="W1690" t="s">
        <v>38</v>
      </c>
      <c r="X1690" t="s">
        <v>63</v>
      </c>
      <c r="Y1690" t="s">
        <v>39</v>
      </c>
      <c r="Z1690" t="s">
        <v>81</v>
      </c>
      <c r="AA1690" t="s">
        <v>103</v>
      </c>
      <c r="AB1690" t="s">
        <v>83</v>
      </c>
      <c r="AC1690">
        <f t="shared" si="286"/>
        <v>0</v>
      </c>
      <c r="AD1690" s="12">
        <f t="shared" si="290"/>
        <v>1</v>
      </c>
      <c r="AE1690" s="12">
        <f t="shared" si="291"/>
        <v>0</v>
      </c>
      <c r="AF1690">
        <f t="shared" si="287"/>
        <v>0</v>
      </c>
      <c r="AG1690">
        <f t="shared" si="292"/>
        <v>1</v>
      </c>
      <c r="AH1690">
        <f t="shared" si="293"/>
        <v>0</v>
      </c>
      <c r="AI1690">
        <f t="shared" si="294"/>
        <v>0</v>
      </c>
      <c r="AJ1690">
        <f t="shared" si="295"/>
        <v>0</v>
      </c>
      <c r="AK1690">
        <f t="shared" si="288"/>
        <v>0</v>
      </c>
      <c r="AL1690">
        <f t="shared" si="296"/>
        <v>0</v>
      </c>
    </row>
    <row r="1691" spans="1:38">
      <c r="A1691" t="s">
        <v>5200</v>
      </c>
      <c r="B1691" t="s">
        <v>5201</v>
      </c>
      <c r="C1691" s="1">
        <f t="shared" si="289"/>
        <v>45566</v>
      </c>
      <c r="D1691" t="s">
        <v>5202</v>
      </c>
      <c r="E1691">
        <v>269.3</v>
      </c>
      <c r="F1691">
        <v>11.2</v>
      </c>
      <c r="G1691" t="s">
        <v>77</v>
      </c>
      <c r="H1691" t="s">
        <v>78</v>
      </c>
      <c r="I1691" t="s">
        <v>79</v>
      </c>
      <c r="J1691">
        <v>360</v>
      </c>
      <c r="K1691" t="s">
        <v>49</v>
      </c>
      <c r="L1691" t="s">
        <v>96</v>
      </c>
      <c r="M1691" t="s">
        <v>35</v>
      </c>
      <c r="N1691" t="s">
        <v>414</v>
      </c>
      <c r="O1691" t="s">
        <v>37</v>
      </c>
      <c r="P1691" t="s">
        <v>38</v>
      </c>
      <c r="Q1691" t="s">
        <v>38</v>
      </c>
      <c r="R1691">
        <v>1</v>
      </c>
      <c r="S1691" t="s">
        <v>38</v>
      </c>
      <c r="T1691">
        <v>10</v>
      </c>
      <c r="U1691">
        <v>2.1</v>
      </c>
      <c r="V1691">
        <v>8.6999999999999993</v>
      </c>
      <c r="W1691" t="s">
        <v>39</v>
      </c>
      <c r="X1691" t="s">
        <v>52</v>
      </c>
      <c r="Y1691" t="s">
        <v>38</v>
      </c>
      <c r="Z1691" t="s">
        <v>73</v>
      </c>
      <c r="AA1691" t="s">
        <v>82</v>
      </c>
      <c r="AB1691" t="s">
        <v>83</v>
      </c>
      <c r="AC1691">
        <f t="shared" si="286"/>
        <v>1</v>
      </c>
      <c r="AD1691" s="12">
        <f t="shared" si="290"/>
        <v>0</v>
      </c>
      <c r="AE1691" s="12">
        <f t="shared" si="291"/>
        <v>0</v>
      </c>
      <c r="AF1691">
        <f t="shared" si="287"/>
        <v>0</v>
      </c>
      <c r="AG1691">
        <f t="shared" si="292"/>
        <v>0</v>
      </c>
      <c r="AH1691">
        <f t="shared" si="293"/>
        <v>0</v>
      </c>
      <c r="AI1691">
        <f t="shared" si="294"/>
        <v>0</v>
      </c>
      <c r="AJ1691">
        <f t="shared" si="295"/>
        <v>0</v>
      </c>
      <c r="AK1691">
        <f t="shared" si="288"/>
        <v>0</v>
      </c>
      <c r="AL1691">
        <f t="shared" si="296"/>
        <v>1</v>
      </c>
    </row>
    <row r="1692" spans="1:38">
      <c r="A1692" t="s">
        <v>5203</v>
      </c>
      <c r="B1692" t="s">
        <v>5204</v>
      </c>
      <c r="C1692" s="1">
        <f t="shared" si="289"/>
        <v>45292</v>
      </c>
      <c r="D1692" t="s">
        <v>5205</v>
      </c>
      <c r="E1692">
        <v>169.3</v>
      </c>
      <c r="F1692">
        <v>7.1</v>
      </c>
      <c r="G1692" t="s">
        <v>30</v>
      </c>
      <c r="H1692" t="s">
        <v>31</v>
      </c>
      <c r="I1692" t="s">
        <v>32</v>
      </c>
      <c r="J1692">
        <v>240</v>
      </c>
      <c r="K1692" t="s">
        <v>49</v>
      </c>
      <c r="L1692" t="s">
        <v>113</v>
      </c>
      <c r="M1692" t="s">
        <v>35</v>
      </c>
      <c r="N1692" t="s">
        <v>299</v>
      </c>
      <c r="O1692" t="s">
        <v>7232</v>
      </c>
      <c r="P1692" t="s">
        <v>38</v>
      </c>
      <c r="Q1692" t="s">
        <v>38</v>
      </c>
      <c r="R1692">
        <v>1</v>
      </c>
      <c r="S1692" t="s">
        <v>38</v>
      </c>
      <c r="T1692">
        <v>7</v>
      </c>
      <c r="U1692">
        <v>3.8</v>
      </c>
      <c r="V1692">
        <v>0</v>
      </c>
      <c r="W1692" t="s">
        <v>38</v>
      </c>
      <c r="X1692" t="s">
        <v>63</v>
      </c>
      <c r="Y1692" t="s">
        <v>38</v>
      </c>
      <c r="Z1692" t="s">
        <v>115</v>
      </c>
      <c r="AA1692" t="s">
        <v>103</v>
      </c>
      <c r="AB1692" t="s">
        <v>43</v>
      </c>
      <c r="AC1692">
        <f t="shared" si="286"/>
        <v>0</v>
      </c>
      <c r="AD1692" s="12">
        <f t="shared" si="290"/>
        <v>1</v>
      </c>
      <c r="AE1692" s="12">
        <f t="shared" si="291"/>
        <v>0</v>
      </c>
      <c r="AF1692">
        <f t="shared" si="287"/>
        <v>0</v>
      </c>
      <c r="AG1692">
        <f t="shared" si="292"/>
        <v>1</v>
      </c>
      <c r="AH1692">
        <f t="shared" si="293"/>
        <v>0</v>
      </c>
      <c r="AI1692">
        <f t="shared" si="294"/>
        <v>0</v>
      </c>
      <c r="AJ1692">
        <f t="shared" si="295"/>
        <v>1</v>
      </c>
      <c r="AK1692">
        <f t="shared" si="288"/>
        <v>1</v>
      </c>
      <c r="AL1692">
        <f t="shared" si="296"/>
        <v>1</v>
      </c>
    </row>
    <row r="1693" spans="1:38">
      <c r="A1693" t="s">
        <v>5206</v>
      </c>
      <c r="B1693" t="s">
        <v>5207</v>
      </c>
      <c r="C1693" s="1">
        <f t="shared" si="289"/>
        <v>45474</v>
      </c>
      <c r="D1693" t="s">
        <v>5208</v>
      </c>
      <c r="E1693">
        <v>74.7</v>
      </c>
      <c r="F1693">
        <v>3.1</v>
      </c>
      <c r="G1693" t="s">
        <v>59</v>
      </c>
      <c r="H1693" t="s">
        <v>60</v>
      </c>
      <c r="I1693" t="s">
        <v>48</v>
      </c>
      <c r="J1693">
        <v>120</v>
      </c>
      <c r="K1693" t="s">
        <v>49</v>
      </c>
      <c r="L1693" t="s">
        <v>96</v>
      </c>
      <c r="M1693" t="s">
        <v>71</v>
      </c>
      <c r="N1693" t="s">
        <v>119</v>
      </c>
      <c r="O1693" t="s">
        <v>7232</v>
      </c>
      <c r="P1693" t="s">
        <v>38</v>
      </c>
      <c r="Q1693" t="s">
        <v>39</v>
      </c>
      <c r="R1693">
        <v>3</v>
      </c>
      <c r="S1693" t="s">
        <v>39</v>
      </c>
      <c r="T1693">
        <v>8</v>
      </c>
      <c r="U1693">
        <v>1.7</v>
      </c>
      <c r="V1693">
        <v>31</v>
      </c>
      <c r="W1693" t="s">
        <v>38</v>
      </c>
      <c r="X1693" t="s">
        <v>63</v>
      </c>
      <c r="Y1693" t="s">
        <v>39</v>
      </c>
      <c r="Z1693" t="s">
        <v>64</v>
      </c>
      <c r="AA1693" t="s">
        <v>54</v>
      </c>
      <c r="AB1693" t="s">
        <v>43</v>
      </c>
      <c r="AC1693">
        <f t="shared" si="286"/>
        <v>0</v>
      </c>
      <c r="AD1693" s="12">
        <f t="shared" si="290"/>
        <v>1</v>
      </c>
      <c r="AE1693" s="12">
        <f t="shared" si="291"/>
        <v>0</v>
      </c>
      <c r="AF1693">
        <f t="shared" si="287"/>
        <v>0</v>
      </c>
      <c r="AG1693">
        <f t="shared" si="292"/>
        <v>1</v>
      </c>
      <c r="AH1693">
        <f t="shared" si="293"/>
        <v>1</v>
      </c>
      <c r="AI1693">
        <f t="shared" si="294"/>
        <v>0</v>
      </c>
      <c r="AJ1693">
        <f t="shared" si="295"/>
        <v>0</v>
      </c>
      <c r="AK1693">
        <f t="shared" si="288"/>
        <v>0</v>
      </c>
      <c r="AL1693">
        <f t="shared" si="296"/>
        <v>0</v>
      </c>
    </row>
    <row r="1694" spans="1:38">
      <c r="A1694" t="s">
        <v>5209</v>
      </c>
      <c r="B1694" t="s">
        <v>5210</v>
      </c>
      <c r="C1694" s="1">
        <f t="shared" si="289"/>
        <v>45474</v>
      </c>
      <c r="D1694" t="s">
        <v>5211</v>
      </c>
      <c r="E1694">
        <v>88.3</v>
      </c>
      <c r="F1694">
        <v>3.7</v>
      </c>
      <c r="G1694" t="s">
        <v>87</v>
      </c>
      <c r="H1694" t="s">
        <v>183</v>
      </c>
      <c r="I1694" t="s">
        <v>48</v>
      </c>
      <c r="J1694">
        <v>120</v>
      </c>
      <c r="K1694" t="s">
        <v>49</v>
      </c>
      <c r="L1694" t="s">
        <v>96</v>
      </c>
      <c r="M1694" t="s">
        <v>71</v>
      </c>
      <c r="N1694" t="s">
        <v>97</v>
      </c>
      <c r="O1694" t="s">
        <v>7232</v>
      </c>
      <c r="P1694" t="s">
        <v>38</v>
      </c>
      <c r="Q1694" t="s">
        <v>39</v>
      </c>
      <c r="R1694">
        <v>1</v>
      </c>
      <c r="S1694" t="s">
        <v>38</v>
      </c>
      <c r="T1694">
        <v>7</v>
      </c>
      <c r="U1694">
        <v>2.2000000000000002</v>
      </c>
      <c r="V1694">
        <v>22.7</v>
      </c>
      <c r="W1694" t="s">
        <v>39</v>
      </c>
      <c r="X1694" t="s">
        <v>52</v>
      </c>
      <c r="Y1694" t="s">
        <v>39</v>
      </c>
      <c r="Z1694" t="s">
        <v>53</v>
      </c>
      <c r="AA1694" t="s">
        <v>103</v>
      </c>
      <c r="AB1694" t="s">
        <v>55</v>
      </c>
      <c r="AC1694">
        <f t="shared" si="286"/>
        <v>1</v>
      </c>
      <c r="AD1694" s="12">
        <f t="shared" si="290"/>
        <v>0</v>
      </c>
      <c r="AE1694" s="12">
        <f t="shared" si="291"/>
        <v>0</v>
      </c>
      <c r="AF1694">
        <f t="shared" si="287"/>
        <v>0</v>
      </c>
      <c r="AG1694">
        <f t="shared" si="292"/>
        <v>1</v>
      </c>
      <c r="AH1694">
        <f t="shared" si="293"/>
        <v>1</v>
      </c>
      <c r="AI1694">
        <f t="shared" si="294"/>
        <v>0</v>
      </c>
      <c r="AJ1694">
        <f t="shared" si="295"/>
        <v>0</v>
      </c>
      <c r="AK1694">
        <f t="shared" si="288"/>
        <v>0</v>
      </c>
      <c r="AL1694">
        <f t="shared" si="296"/>
        <v>0</v>
      </c>
    </row>
    <row r="1695" spans="1:38">
      <c r="A1695" t="s">
        <v>5212</v>
      </c>
      <c r="B1695" t="s">
        <v>5213</v>
      </c>
      <c r="C1695" s="1">
        <f t="shared" si="289"/>
        <v>45413</v>
      </c>
      <c r="D1695" t="s">
        <v>5214</v>
      </c>
      <c r="E1695">
        <v>45.3</v>
      </c>
      <c r="F1695">
        <v>1.9</v>
      </c>
      <c r="G1695" t="s">
        <v>68</v>
      </c>
      <c r="H1695" t="s">
        <v>69</v>
      </c>
      <c r="I1695" t="s">
        <v>95</v>
      </c>
      <c r="J1695">
        <v>48</v>
      </c>
      <c r="K1695" t="s">
        <v>49</v>
      </c>
      <c r="L1695" t="s">
        <v>96</v>
      </c>
      <c r="M1695" t="s">
        <v>35</v>
      </c>
      <c r="N1695" t="s">
        <v>128</v>
      </c>
      <c r="O1695" t="s">
        <v>7232</v>
      </c>
      <c r="P1695" t="s">
        <v>38</v>
      </c>
      <c r="Q1695" t="s">
        <v>38</v>
      </c>
      <c r="R1695">
        <v>1</v>
      </c>
      <c r="S1695" t="s">
        <v>38</v>
      </c>
      <c r="T1695">
        <v>7</v>
      </c>
      <c r="U1695">
        <v>0.5</v>
      </c>
      <c r="V1695">
        <v>15.8</v>
      </c>
      <c r="W1695" t="s">
        <v>39</v>
      </c>
      <c r="X1695" t="s">
        <v>123</v>
      </c>
      <c r="Y1695" t="s">
        <v>39</v>
      </c>
      <c r="Z1695" t="s">
        <v>64</v>
      </c>
      <c r="AA1695" t="s">
        <v>103</v>
      </c>
      <c r="AB1695" t="s">
        <v>83</v>
      </c>
      <c r="AC1695">
        <f t="shared" si="286"/>
        <v>0</v>
      </c>
      <c r="AD1695" s="12">
        <f t="shared" si="290"/>
        <v>0</v>
      </c>
      <c r="AE1695" s="12">
        <f t="shared" si="291"/>
        <v>1</v>
      </c>
      <c r="AF1695">
        <f t="shared" si="287"/>
        <v>0</v>
      </c>
      <c r="AG1695">
        <f t="shared" si="292"/>
        <v>1</v>
      </c>
      <c r="AH1695">
        <f t="shared" si="293"/>
        <v>0</v>
      </c>
      <c r="AI1695">
        <f t="shared" si="294"/>
        <v>1</v>
      </c>
      <c r="AJ1695">
        <f t="shared" si="295"/>
        <v>0</v>
      </c>
      <c r="AK1695">
        <f t="shared" si="288"/>
        <v>0</v>
      </c>
      <c r="AL1695">
        <f t="shared" si="296"/>
        <v>0</v>
      </c>
    </row>
    <row r="1696" spans="1:38">
      <c r="A1696" t="s">
        <v>5215</v>
      </c>
      <c r="B1696" t="s">
        <v>5216</v>
      </c>
      <c r="C1696" s="1">
        <f t="shared" si="289"/>
        <v>45597</v>
      </c>
      <c r="D1696" t="s">
        <v>5217</v>
      </c>
      <c r="E1696">
        <v>130.30000000000001</v>
      </c>
      <c r="F1696">
        <v>5.4</v>
      </c>
      <c r="G1696" t="s">
        <v>87</v>
      </c>
      <c r="H1696" t="s">
        <v>183</v>
      </c>
      <c r="I1696" t="s">
        <v>48</v>
      </c>
      <c r="J1696">
        <v>120</v>
      </c>
      <c r="K1696" t="s">
        <v>33</v>
      </c>
      <c r="L1696" t="s">
        <v>96</v>
      </c>
      <c r="M1696" t="s">
        <v>71</v>
      </c>
      <c r="N1696" t="s">
        <v>277</v>
      </c>
      <c r="O1696" t="s">
        <v>7232</v>
      </c>
      <c r="P1696" t="s">
        <v>38</v>
      </c>
      <c r="Q1696" t="s">
        <v>39</v>
      </c>
      <c r="R1696">
        <v>3</v>
      </c>
      <c r="S1696" t="s">
        <v>38</v>
      </c>
      <c r="T1696">
        <v>7</v>
      </c>
      <c r="U1696">
        <v>5.2</v>
      </c>
      <c r="V1696">
        <v>10.8</v>
      </c>
      <c r="W1696" t="s">
        <v>39</v>
      </c>
      <c r="X1696" t="s">
        <v>123</v>
      </c>
      <c r="Y1696" t="s">
        <v>38</v>
      </c>
      <c r="Z1696" t="s">
        <v>115</v>
      </c>
      <c r="AA1696" t="s">
        <v>82</v>
      </c>
      <c r="AB1696" t="s">
        <v>83</v>
      </c>
      <c r="AC1696">
        <f t="shared" si="286"/>
        <v>0</v>
      </c>
      <c r="AD1696" s="12">
        <f t="shared" si="290"/>
        <v>0</v>
      </c>
      <c r="AE1696" s="12">
        <f t="shared" si="291"/>
        <v>1</v>
      </c>
      <c r="AF1696">
        <f t="shared" si="287"/>
        <v>0</v>
      </c>
      <c r="AG1696">
        <f t="shared" si="292"/>
        <v>1</v>
      </c>
      <c r="AH1696">
        <f t="shared" si="293"/>
        <v>1</v>
      </c>
      <c r="AI1696">
        <f t="shared" si="294"/>
        <v>0</v>
      </c>
      <c r="AJ1696">
        <f t="shared" si="295"/>
        <v>0</v>
      </c>
      <c r="AK1696">
        <f t="shared" si="288"/>
        <v>0</v>
      </c>
      <c r="AL1696">
        <f t="shared" si="296"/>
        <v>1</v>
      </c>
    </row>
    <row r="1697" spans="1:38">
      <c r="A1697" t="s">
        <v>5218</v>
      </c>
      <c r="B1697" t="s">
        <v>5219</v>
      </c>
      <c r="C1697" s="1">
        <f t="shared" si="289"/>
        <v>45352</v>
      </c>
      <c r="D1697" t="s">
        <v>5220</v>
      </c>
      <c r="E1697">
        <v>51.9</v>
      </c>
      <c r="F1697">
        <v>2.2000000000000002</v>
      </c>
      <c r="G1697" t="s">
        <v>59</v>
      </c>
      <c r="H1697" t="s">
        <v>60</v>
      </c>
      <c r="I1697" t="s">
        <v>95</v>
      </c>
      <c r="J1697">
        <v>48</v>
      </c>
      <c r="K1697" t="s">
        <v>33</v>
      </c>
      <c r="L1697" t="s">
        <v>34</v>
      </c>
      <c r="M1697" t="s">
        <v>35</v>
      </c>
      <c r="N1697" t="s">
        <v>155</v>
      </c>
      <c r="O1697" t="s">
        <v>37</v>
      </c>
      <c r="P1697" t="s">
        <v>39</v>
      </c>
      <c r="Q1697" t="s">
        <v>38</v>
      </c>
      <c r="R1697">
        <v>0</v>
      </c>
      <c r="S1697" t="s">
        <v>39</v>
      </c>
      <c r="T1697">
        <v>5</v>
      </c>
      <c r="U1697">
        <v>4.2</v>
      </c>
      <c r="V1697">
        <v>47.1</v>
      </c>
      <c r="W1697" t="s">
        <v>38</v>
      </c>
      <c r="X1697" t="s">
        <v>63</v>
      </c>
      <c r="Y1697" t="s">
        <v>39</v>
      </c>
      <c r="Z1697" t="s">
        <v>81</v>
      </c>
      <c r="AA1697" t="s">
        <v>42</v>
      </c>
      <c r="AB1697" t="s">
        <v>43</v>
      </c>
      <c r="AC1697">
        <f t="shared" si="286"/>
        <v>0</v>
      </c>
      <c r="AD1697" s="12">
        <f t="shared" si="290"/>
        <v>1</v>
      </c>
      <c r="AE1697" s="12">
        <f t="shared" si="291"/>
        <v>0</v>
      </c>
      <c r="AF1697">
        <f t="shared" si="287"/>
        <v>0</v>
      </c>
      <c r="AG1697">
        <f t="shared" si="292"/>
        <v>0</v>
      </c>
      <c r="AH1697">
        <f t="shared" si="293"/>
        <v>0</v>
      </c>
      <c r="AI1697">
        <f t="shared" si="294"/>
        <v>1</v>
      </c>
      <c r="AJ1697">
        <f t="shared" si="295"/>
        <v>0</v>
      </c>
      <c r="AK1697">
        <f t="shared" si="288"/>
        <v>0</v>
      </c>
      <c r="AL1697">
        <f t="shared" si="296"/>
        <v>0</v>
      </c>
    </row>
    <row r="1698" spans="1:38">
      <c r="A1698" t="s">
        <v>5221</v>
      </c>
      <c r="B1698" t="s">
        <v>5222</v>
      </c>
      <c r="C1698" s="1">
        <f t="shared" si="289"/>
        <v>45536</v>
      </c>
      <c r="D1698" t="s">
        <v>5223</v>
      </c>
      <c r="E1698">
        <v>101.9</v>
      </c>
      <c r="F1698">
        <v>4.2</v>
      </c>
      <c r="G1698" t="s">
        <v>59</v>
      </c>
      <c r="H1698" t="s">
        <v>281</v>
      </c>
      <c r="I1698" t="s">
        <v>48</v>
      </c>
      <c r="J1698">
        <v>120</v>
      </c>
      <c r="K1698" t="s">
        <v>49</v>
      </c>
      <c r="L1698" t="s">
        <v>70</v>
      </c>
      <c r="M1698" t="s">
        <v>35</v>
      </c>
      <c r="N1698" t="s">
        <v>134</v>
      </c>
      <c r="O1698" t="s">
        <v>37</v>
      </c>
      <c r="P1698" t="s">
        <v>38</v>
      </c>
      <c r="Q1698" t="s">
        <v>38</v>
      </c>
      <c r="R1698">
        <v>1</v>
      </c>
      <c r="S1698" t="s">
        <v>39</v>
      </c>
      <c r="T1698">
        <v>10</v>
      </c>
      <c r="U1698">
        <v>2.2000000000000002</v>
      </c>
      <c r="V1698">
        <v>0</v>
      </c>
      <c r="W1698" t="s">
        <v>39</v>
      </c>
      <c r="X1698" t="s">
        <v>123</v>
      </c>
      <c r="Y1698" t="s">
        <v>38</v>
      </c>
      <c r="Z1698" t="s">
        <v>41</v>
      </c>
      <c r="AA1698" t="s">
        <v>54</v>
      </c>
      <c r="AB1698" t="s">
        <v>55</v>
      </c>
      <c r="AC1698">
        <f t="shared" si="286"/>
        <v>0</v>
      </c>
      <c r="AD1698" s="12">
        <f t="shared" si="290"/>
        <v>0</v>
      </c>
      <c r="AE1698" s="12">
        <f t="shared" si="291"/>
        <v>1</v>
      </c>
      <c r="AF1698">
        <f t="shared" si="287"/>
        <v>0</v>
      </c>
      <c r="AG1698">
        <f t="shared" si="292"/>
        <v>0</v>
      </c>
      <c r="AH1698">
        <f t="shared" si="293"/>
        <v>1</v>
      </c>
      <c r="AI1698">
        <f t="shared" si="294"/>
        <v>0</v>
      </c>
      <c r="AJ1698">
        <f t="shared" si="295"/>
        <v>0</v>
      </c>
      <c r="AK1698">
        <f t="shared" si="288"/>
        <v>0</v>
      </c>
      <c r="AL1698">
        <f t="shared" si="296"/>
        <v>1</v>
      </c>
    </row>
    <row r="1699" spans="1:38">
      <c r="A1699" t="s">
        <v>5224</v>
      </c>
      <c r="B1699" t="s">
        <v>5225</v>
      </c>
      <c r="C1699" s="1">
        <f t="shared" si="289"/>
        <v>45383</v>
      </c>
      <c r="D1699" t="s">
        <v>5226</v>
      </c>
      <c r="E1699">
        <v>162.69999999999999</v>
      </c>
      <c r="F1699">
        <v>6.8</v>
      </c>
      <c r="G1699" t="s">
        <v>142</v>
      </c>
      <c r="H1699" t="s">
        <v>319</v>
      </c>
      <c r="I1699" t="s">
        <v>32</v>
      </c>
      <c r="J1699">
        <v>240</v>
      </c>
      <c r="K1699" t="s">
        <v>49</v>
      </c>
      <c r="L1699" t="s">
        <v>96</v>
      </c>
      <c r="M1699" t="s">
        <v>71</v>
      </c>
      <c r="N1699" t="s">
        <v>188</v>
      </c>
      <c r="O1699" t="s">
        <v>37</v>
      </c>
      <c r="P1699" t="s">
        <v>38</v>
      </c>
      <c r="Q1699" t="s">
        <v>39</v>
      </c>
      <c r="R1699">
        <v>4</v>
      </c>
      <c r="S1699" t="s">
        <v>38</v>
      </c>
      <c r="T1699">
        <v>6</v>
      </c>
      <c r="U1699">
        <v>0.1</v>
      </c>
      <c r="V1699">
        <v>18.2</v>
      </c>
      <c r="W1699" t="s">
        <v>38</v>
      </c>
      <c r="X1699" t="s">
        <v>40</v>
      </c>
      <c r="Y1699" t="s">
        <v>38</v>
      </c>
      <c r="Z1699" t="s">
        <v>53</v>
      </c>
      <c r="AA1699" t="s">
        <v>82</v>
      </c>
      <c r="AB1699" t="s">
        <v>43</v>
      </c>
      <c r="AC1699">
        <f t="shared" si="286"/>
        <v>0</v>
      </c>
      <c r="AD1699" s="12">
        <f t="shared" si="290"/>
        <v>0</v>
      </c>
      <c r="AE1699" s="12">
        <f t="shared" si="291"/>
        <v>0</v>
      </c>
      <c r="AF1699">
        <f t="shared" si="287"/>
        <v>0</v>
      </c>
      <c r="AG1699">
        <f t="shared" si="292"/>
        <v>0</v>
      </c>
      <c r="AH1699">
        <f t="shared" si="293"/>
        <v>0</v>
      </c>
      <c r="AI1699">
        <f t="shared" si="294"/>
        <v>0</v>
      </c>
      <c r="AJ1699">
        <f t="shared" si="295"/>
        <v>1</v>
      </c>
      <c r="AK1699">
        <f t="shared" si="288"/>
        <v>0</v>
      </c>
      <c r="AL1699">
        <f t="shared" si="296"/>
        <v>1</v>
      </c>
    </row>
    <row r="1700" spans="1:38">
      <c r="A1700" t="s">
        <v>5227</v>
      </c>
      <c r="B1700" t="s">
        <v>5228</v>
      </c>
      <c r="C1700" s="1">
        <f t="shared" si="289"/>
        <v>45566</v>
      </c>
      <c r="D1700" t="s">
        <v>5229</v>
      </c>
      <c r="E1700">
        <v>291.3</v>
      </c>
      <c r="F1700">
        <v>12.1</v>
      </c>
      <c r="G1700" t="s">
        <v>101</v>
      </c>
      <c r="H1700" t="s">
        <v>295</v>
      </c>
      <c r="I1700" t="s">
        <v>79</v>
      </c>
      <c r="J1700">
        <v>360</v>
      </c>
      <c r="K1700" t="s">
        <v>49</v>
      </c>
      <c r="L1700" t="s">
        <v>113</v>
      </c>
      <c r="M1700" t="s">
        <v>35</v>
      </c>
      <c r="N1700" t="s">
        <v>114</v>
      </c>
      <c r="O1700" t="s">
        <v>51</v>
      </c>
      <c r="P1700" t="s">
        <v>39</v>
      </c>
      <c r="Q1700" t="s">
        <v>38</v>
      </c>
      <c r="R1700">
        <v>0</v>
      </c>
      <c r="S1700" t="s">
        <v>38</v>
      </c>
      <c r="T1700">
        <v>10</v>
      </c>
      <c r="U1700">
        <v>6.6</v>
      </c>
      <c r="V1700">
        <v>18</v>
      </c>
      <c r="W1700" t="s">
        <v>39</v>
      </c>
      <c r="X1700" t="s">
        <v>52</v>
      </c>
      <c r="Y1700" t="s">
        <v>39</v>
      </c>
      <c r="Z1700" t="s">
        <v>115</v>
      </c>
      <c r="AA1700" t="s">
        <v>82</v>
      </c>
      <c r="AB1700" t="s">
        <v>43</v>
      </c>
      <c r="AC1700">
        <f t="shared" si="286"/>
        <v>1</v>
      </c>
      <c r="AD1700" s="12">
        <f t="shared" si="290"/>
        <v>0</v>
      </c>
      <c r="AE1700" s="12">
        <f t="shared" si="291"/>
        <v>0</v>
      </c>
      <c r="AF1700">
        <f t="shared" si="287"/>
        <v>1</v>
      </c>
      <c r="AG1700">
        <f t="shared" si="292"/>
        <v>0</v>
      </c>
      <c r="AH1700">
        <f t="shared" si="293"/>
        <v>0</v>
      </c>
      <c r="AI1700">
        <f t="shared" si="294"/>
        <v>0</v>
      </c>
      <c r="AJ1700">
        <f t="shared" si="295"/>
        <v>0</v>
      </c>
      <c r="AK1700">
        <f t="shared" si="288"/>
        <v>0</v>
      </c>
      <c r="AL1700">
        <f t="shared" si="296"/>
        <v>0</v>
      </c>
    </row>
    <row r="1701" spans="1:38">
      <c r="A1701" t="s">
        <v>5230</v>
      </c>
      <c r="B1701" t="s">
        <v>5231</v>
      </c>
      <c r="C1701" s="1">
        <f t="shared" si="289"/>
        <v>45292</v>
      </c>
      <c r="D1701" t="s">
        <v>5232</v>
      </c>
      <c r="E1701">
        <v>150.19999999999999</v>
      </c>
      <c r="F1701">
        <v>6.3</v>
      </c>
      <c r="G1701" t="s">
        <v>68</v>
      </c>
      <c r="H1701" t="s">
        <v>456</v>
      </c>
      <c r="I1701" t="s">
        <v>32</v>
      </c>
      <c r="J1701">
        <v>240</v>
      </c>
      <c r="K1701" t="s">
        <v>49</v>
      </c>
      <c r="L1701" t="s">
        <v>96</v>
      </c>
      <c r="M1701" t="s">
        <v>71</v>
      </c>
      <c r="N1701" t="s">
        <v>277</v>
      </c>
      <c r="O1701" t="s">
        <v>7232</v>
      </c>
      <c r="P1701" t="s">
        <v>38</v>
      </c>
      <c r="Q1701" t="s">
        <v>39</v>
      </c>
      <c r="R1701">
        <v>4</v>
      </c>
      <c r="S1701" t="s">
        <v>38</v>
      </c>
      <c r="T1701">
        <v>6</v>
      </c>
      <c r="U1701">
        <v>0.7</v>
      </c>
      <c r="V1701">
        <v>0</v>
      </c>
      <c r="W1701" t="s">
        <v>39</v>
      </c>
      <c r="X1701" t="s">
        <v>123</v>
      </c>
      <c r="Y1701" t="s">
        <v>39</v>
      </c>
      <c r="Z1701" t="s">
        <v>115</v>
      </c>
      <c r="AA1701" t="s">
        <v>103</v>
      </c>
      <c r="AB1701" t="s">
        <v>55</v>
      </c>
      <c r="AC1701">
        <f t="shared" si="286"/>
        <v>0</v>
      </c>
      <c r="AD1701" s="12">
        <f t="shared" si="290"/>
        <v>0</v>
      </c>
      <c r="AE1701" s="12">
        <f t="shared" si="291"/>
        <v>1</v>
      </c>
      <c r="AF1701">
        <f t="shared" si="287"/>
        <v>0</v>
      </c>
      <c r="AG1701">
        <f t="shared" si="292"/>
        <v>1</v>
      </c>
      <c r="AH1701">
        <f t="shared" si="293"/>
        <v>0</v>
      </c>
      <c r="AI1701">
        <f t="shared" si="294"/>
        <v>0</v>
      </c>
      <c r="AJ1701">
        <f t="shared" si="295"/>
        <v>1</v>
      </c>
      <c r="AK1701">
        <f t="shared" si="288"/>
        <v>0</v>
      </c>
      <c r="AL1701">
        <f t="shared" si="296"/>
        <v>0</v>
      </c>
    </row>
    <row r="1702" spans="1:38">
      <c r="A1702" t="s">
        <v>5233</v>
      </c>
      <c r="B1702" t="s">
        <v>5234</v>
      </c>
      <c r="C1702" s="1">
        <f t="shared" si="289"/>
        <v>45536</v>
      </c>
      <c r="D1702" t="s">
        <v>5235</v>
      </c>
      <c r="E1702">
        <v>680.7</v>
      </c>
      <c r="F1702">
        <v>28.4</v>
      </c>
      <c r="G1702" t="s">
        <v>30</v>
      </c>
      <c r="H1702" t="s">
        <v>172</v>
      </c>
      <c r="I1702" t="s">
        <v>32</v>
      </c>
      <c r="J1702">
        <v>240</v>
      </c>
      <c r="K1702" t="s">
        <v>33</v>
      </c>
      <c r="L1702" t="s">
        <v>70</v>
      </c>
      <c r="M1702" t="s">
        <v>35</v>
      </c>
      <c r="N1702" t="s">
        <v>107</v>
      </c>
      <c r="O1702" t="s">
        <v>7232</v>
      </c>
      <c r="P1702" t="s">
        <v>39</v>
      </c>
      <c r="Q1702" t="s">
        <v>38</v>
      </c>
      <c r="R1702">
        <v>0</v>
      </c>
      <c r="S1702" t="s">
        <v>38</v>
      </c>
      <c r="T1702">
        <v>9</v>
      </c>
      <c r="U1702">
        <v>0.7</v>
      </c>
      <c r="V1702">
        <v>23.6</v>
      </c>
      <c r="W1702" t="s">
        <v>39</v>
      </c>
      <c r="X1702" t="s">
        <v>52</v>
      </c>
      <c r="Y1702" t="s">
        <v>39</v>
      </c>
      <c r="Z1702" t="s">
        <v>81</v>
      </c>
      <c r="AA1702" t="s">
        <v>103</v>
      </c>
      <c r="AB1702" t="s">
        <v>83</v>
      </c>
      <c r="AC1702">
        <f t="shared" si="286"/>
        <v>1</v>
      </c>
      <c r="AD1702" s="12">
        <f t="shared" si="290"/>
        <v>0</v>
      </c>
      <c r="AE1702" s="12">
        <f t="shared" si="291"/>
        <v>0</v>
      </c>
      <c r="AF1702">
        <f t="shared" si="287"/>
        <v>0</v>
      </c>
      <c r="AG1702">
        <f t="shared" si="292"/>
        <v>1</v>
      </c>
      <c r="AH1702">
        <f t="shared" si="293"/>
        <v>0</v>
      </c>
      <c r="AI1702">
        <f t="shared" si="294"/>
        <v>0</v>
      </c>
      <c r="AJ1702">
        <f t="shared" si="295"/>
        <v>1</v>
      </c>
      <c r="AK1702">
        <f t="shared" si="288"/>
        <v>1</v>
      </c>
      <c r="AL1702">
        <f t="shared" si="296"/>
        <v>0</v>
      </c>
    </row>
    <row r="1703" spans="1:38">
      <c r="A1703" t="s">
        <v>5236</v>
      </c>
      <c r="B1703" t="s">
        <v>5237</v>
      </c>
      <c r="C1703" s="1">
        <f t="shared" si="289"/>
        <v>45323</v>
      </c>
      <c r="D1703" t="s">
        <v>5238</v>
      </c>
      <c r="E1703">
        <v>113.7</v>
      </c>
      <c r="F1703">
        <v>4.7</v>
      </c>
      <c r="G1703" t="s">
        <v>59</v>
      </c>
      <c r="H1703" t="s">
        <v>60</v>
      </c>
      <c r="I1703" t="s">
        <v>48</v>
      </c>
      <c r="J1703">
        <v>120</v>
      </c>
      <c r="K1703" t="s">
        <v>49</v>
      </c>
      <c r="L1703" t="s">
        <v>113</v>
      </c>
      <c r="M1703" t="s">
        <v>71</v>
      </c>
      <c r="N1703" t="s">
        <v>89</v>
      </c>
      <c r="O1703" t="s">
        <v>7232</v>
      </c>
      <c r="P1703" t="s">
        <v>38</v>
      </c>
      <c r="Q1703" t="s">
        <v>39</v>
      </c>
      <c r="R1703">
        <v>4</v>
      </c>
      <c r="S1703" t="s">
        <v>38</v>
      </c>
      <c r="T1703">
        <v>8</v>
      </c>
      <c r="U1703">
        <v>2.2999999999999998</v>
      </c>
      <c r="V1703">
        <v>27.6</v>
      </c>
      <c r="W1703" t="s">
        <v>39</v>
      </c>
      <c r="X1703" t="s">
        <v>123</v>
      </c>
      <c r="Y1703" t="s">
        <v>38</v>
      </c>
      <c r="Z1703" t="s">
        <v>41</v>
      </c>
      <c r="AA1703" t="s">
        <v>109</v>
      </c>
      <c r="AB1703" t="s">
        <v>83</v>
      </c>
      <c r="AC1703">
        <f t="shared" si="286"/>
        <v>0</v>
      </c>
      <c r="AD1703" s="12">
        <f t="shared" si="290"/>
        <v>0</v>
      </c>
      <c r="AE1703" s="12">
        <f t="shared" si="291"/>
        <v>1</v>
      </c>
      <c r="AF1703">
        <f t="shared" si="287"/>
        <v>0</v>
      </c>
      <c r="AG1703">
        <f t="shared" si="292"/>
        <v>1</v>
      </c>
      <c r="AH1703">
        <f t="shared" si="293"/>
        <v>1</v>
      </c>
      <c r="AI1703">
        <f t="shared" si="294"/>
        <v>0</v>
      </c>
      <c r="AJ1703">
        <f t="shared" si="295"/>
        <v>0</v>
      </c>
      <c r="AK1703">
        <f t="shared" si="288"/>
        <v>0</v>
      </c>
      <c r="AL1703">
        <f t="shared" si="296"/>
        <v>1</v>
      </c>
    </row>
    <row r="1704" spans="1:38">
      <c r="A1704" t="s">
        <v>5239</v>
      </c>
      <c r="B1704" t="s">
        <v>5240</v>
      </c>
      <c r="C1704" s="1">
        <f t="shared" si="289"/>
        <v>45352</v>
      </c>
      <c r="D1704" t="s">
        <v>5241</v>
      </c>
      <c r="E1704">
        <v>99.9</v>
      </c>
      <c r="F1704">
        <v>4.2</v>
      </c>
      <c r="G1704" t="s">
        <v>87</v>
      </c>
      <c r="H1704" t="s">
        <v>151</v>
      </c>
      <c r="I1704" t="s">
        <v>48</v>
      </c>
      <c r="J1704">
        <v>120</v>
      </c>
      <c r="K1704" t="s">
        <v>49</v>
      </c>
      <c r="L1704" t="s">
        <v>70</v>
      </c>
      <c r="M1704" t="s">
        <v>71</v>
      </c>
      <c r="N1704" t="s">
        <v>107</v>
      </c>
      <c r="O1704" t="s">
        <v>37</v>
      </c>
      <c r="P1704" t="s">
        <v>38</v>
      </c>
      <c r="Q1704" t="s">
        <v>39</v>
      </c>
      <c r="R1704">
        <v>1</v>
      </c>
      <c r="S1704" t="s">
        <v>38</v>
      </c>
      <c r="T1704">
        <v>9</v>
      </c>
      <c r="U1704">
        <v>3.6</v>
      </c>
      <c r="V1704">
        <v>0</v>
      </c>
      <c r="W1704" t="s">
        <v>38</v>
      </c>
      <c r="X1704" t="s">
        <v>123</v>
      </c>
      <c r="Y1704" t="s">
        <v>39</v>
      </c>
      <c r="Z1704" t="s">
        <v>41</v>
      </c>
      <c r="AA1704" t="s">
        <v>42</v>
      </c>
      <c r="AB1704" t="s">
        <v>43</v>
      </c>
      <c r="AC1704">
        <f t="shared" si="286"/>
        <v>0</v>
      </c>
      <c r="AD1704" s="12">
        <f t="shared" si="290"/>
        <v>0</v>
      </c>
      <c r="AE1704" s="12">
        <f t="shared" si="291"/>
        <v>1</v>
      </c>
      <c r="AF1704">
        <f t="shared" si="287"/>
        <v>0</v>
      </c>
      <c r="AG1704">
        <f t="shared" si="292"/>
        <v>0</v>
      </c>
      <c r="AH1704">
        <f t="shared" si="293"/>
        <v>1</v>
      </c>
      <c r="AI1704">
        <f t="shared" si="294"/>
        <v>0</v>
      </c>
      <c r="AJ1704">
        <f t="shared" si="295"/>
        <v>0</v>
      </c>
      <c r="AK1704">
        <f t="shared" si="288"/>
        <v>0</v>
      </c>
      <c r="AL1704">
        <f t="shared" si="296"/>
        <v>0</v>
      </c>
    </row>
    <row r="1705" spans="1:38">
      <c r="A1705" t="s">
        <v>5242</v>
      </c>
      <c r="B1705" t="s">
        <v>5243</v>
      </c>
      <c r="C1705" s="1">
        <f t="shared" si="289"/>
        <v>45383</v>
      </c>
      <c r="D1705" t="s">
        <v>5244</v>
      </c>
      <c r="E1705">
        <v>496.7</v>
      </c>
      <c r="F1705">
        <v>20.7</v>
      </c>
      <c r="G1705" t="s">
        <v>77</v>
      </c>
      <c r="H1705" t="s">
        <v>267</v>
      </c>
      <c r="I1705" t="s">
        <v>79</v>
      </c>
      <c r="J1705">
        <v>360</v>
      </c>
      <c r="K1705" t="s">
        <v>33</v>
      </c>
      <c r="L1705" t="s">
        <v>70</v>
      </c>
      <c r="M1705" t="s">
        <v>35</v>
      </c>
      <c r="N1705" t="s">
        <v>164</v>
      </c>
      <c r="O1705" t="s">
        <v>7232</v>
      </c>
      <c r="P1705" t="s">
        <v>38</v>
      </c>
      <c r="Q1705" t="s">
        <v>38</v>
      </c>
      <c r="R1705">
        <v>1</v>
      </c>
      <c r="S1705" t="s">
        <v>38</v>
      </c>
      <c r="T1705">
        <v>3</v>
      </c>
      <c r="U1705">
        <v>6.1</v>
      </c>
      <c r="V1705">
        <v>25.6</v>
      </c>
      <c r="W1705" t="s">
        <v>39</v>
      </c>
      <c r="X1705" t="s">
        <v>123</v>
      </c>
      <c r="Y1705" t="s">
        <v>39</v>
      </c>
      <c r="Z1705" t="s">
        <v>64</v>
      </c>
      <c r="AA1705" t="s">
        <v>42</v>
      </c>
      <c r="AB1705" t="s">
        <v>83</v>
      </c>
      <c r="AC1705">
        <f t="shared" si="286"/>
        <v>0</v>
      </c>
      <c r="AD1705" s="12">
        <f t="shared" si="290"/>
        <v>0</v>
      </c>
      <c r="AE1705" s="12">
        <f t="shared" si="291"/>
        <v>1</v>
      </c>
      <c r="AF1705">
        <f t="shared" si="287"/>
        <v>0</v>
      </c>
      <c r="AG1705">
        <f t="shared" si="292"/>
        <v>1</v>
      </c>
      <c r="AH1705">
        <f t="shared" si="293"/>
        <v>0</v>
      </c>
      <c r="AI1705">
        <f t="shared" si="294"/>
        <v>0</v>
      </c>
      <c r="AJ1705">
        <f t="shared" si="295"/>
        <v>0</v>
      </c>
      <c r="AK1705">
        <f t="shared" si="288"/>
        <v>0</v>
      </c>
      <c r="AL1705">
        <f t="shared" si="296"/>
        <v>0</v>
      </c>
    </row>
    <row r="1706" spans="1:38">
      <c r="A1706" t="s">
        <v>5245</v>
      </c>
      <c r="B1706" t="s">
        <v>5246</v>
      </c>
      <c r="C1706" s="1">
        <f t="shared" si="289"/>
        <v>45444</v>
      </c>
      <c r="D1706" t="s">
        <v>5247</v>
      </c>
      <c r="E1706">
        <v>194.1</v>
      </c>
      <c r="F1706">
        <v>8.1</v>
      </c>
      <c r="G1706" t="s">
        <v>59</v>
      </c>
      <c r="H1706" t="s">
        <v>132</v>
      </c>
      <c r="I1706" t="s">
        <v>32</v>
      </c>
      <c r="J1706">
        <v>240</v>
      </c>
      <c r="K1706" t="s">
        <v>49</v>
      </c>
      <c r="L1706" t="s">
        <v>34</v>
      </c>
      <c r="M1706" t="s">
        <v>35</v>
      </c>
      <c r="N1706" t="s">
        <v>168</v>
      </c>
      <c r="O1706" t="s">
        <v>7232</v>
      </c>
      <c r="P1706" t="s">
        <v>38</v>
      </c>
      <c r="Q1706" t="s">
        <v>38</v>
      </c>
      <c r="R1706">
        <v>1</v>
      </c>
      <c r="S1706" t="s">
        <v>38</v>
      </c>
      <c r="T1706">
        <v>9</v>
      </c>
      <c r="U1706">
        <v>2.8</v>
      </c>
      <c r="V1706">
        <v>16.2</v>
      </c>
      <c r="W1706" t="s">
        <v>39</v>
      </c>
      <c r="X1706" t="s">
        <v>63</v>
      </c>
      <c r="Y1706" t="s">
        <v>39</v>
      </c>
      <c r="Z1706" t="s">
        <v>115</v>
      </c>
      <c r="AA1706" t="s">
        <v>103</v>
      </c>
      <c r="AB1706" t="s">
        <v>83</v>
      </c>
      <c r="AC1706">
        <f t="shared" si="286"/>
        <v>0</v>
      </c>
      <c r="AD1706" s="12">
        <f t="shared" si="290"/>
        <v>1</v>
      </c>
      <c r="AE1706" s="12">
        <f t="shared" si="291"/>
        <v>0</v>
      </c>
      <c r="AF1706">
        <f t="shared" si="287"/>
        <v>0</v>
      </c>
      <c r="AG1706">
        <f t="shared" si="292"/>
        <v>1</v>
      </c>
      <c r="AH1706">
        <f t="shared" si="293"/>
        <v>0</v>
      </c>
      <c r="AI1706">
        <f t="shared" si="294"/>
        <v>0</v>
      </c>
      <c r="AJ1706">
        <f t="shared" si="295"/>
        <v>1</v>
      </c>
      <c r="AK1706">
        <f t="shared" si="288"/>
        <v>0</v>
      </c>
      <c r="AL1706">
        <f t="shared" si="296"/>
        <v>0</v>
      </c>
    </row>
    <row r="1707" spans="1:38">
      <c r="A1707" t="s">
        <v>5248</v>
      </c>
      <c r="B1707" t="s">
        <v>5249</v>
      </c>
      <c r="C1707" s="1">
        <f t="shared" si="289"/>
        <v>45627</v>
      </c>
      <c r="D1707" t="s">
        <v>5250</v>
      </c>
      <c r="E1707">
        <v>74.599999999999994</v>
      </c>
      <c r="F1707">
        <v>3.1</v>
      </c>
      <c r="G1707" t="s">
        <v>68</v>
      </c>
      <c r="H1707" t="s">
        <v>212</v>
      </c>
      <c r="I1707" t="s">
        <v>48</v>
      </c>
      <c r="J1707">
        <v>120</v>
      </c>
      <c r="K1707" t="s">
        <v>49</v>
      </c>
      <c r="L1707" t="s">
        <v>70</v>
      </c>
      <c r="M1707" t="s">
        <v>35</v>
      </c>
      <c r="N1707" t="s">
        <v>89</v>
      </c>
      <c r="O1707" t="s">
        <v>37</v>
      </c>
      <c r="P1707" t="s">
        <v>39</v>
      </c>
      <c r="Q1707" t="s">
        <v>38</v>
      </c>
      <c r="R1707">
        <v>0</v>
      </c>
      <c r="S1707" t="s">
        <v>38</v>
      </c>
      <c r="T1707">
        <v>8</v>
      </c>
      <c r="U1707">
        <v>3.5</v>
      </c>
      <c r="V1707">
        <v>11.8</v>
      </c>
      <c r="W1707" t="s">
        <v>38</v>
      </c>
      <c r="X1707" t="s">
        <v>63</v>
      </c>
      <c r="Y1707" t="s">
        <v>38</v>
      </c>
      <c r="Z1707" t="s">
        <v>64</v>
      </c>
      <c r="AA1707" t="s">
        <v>82</v>
      </c>
      <c r="AB1707" t="s">
        <v>83</v>
      </c>
      <c r="AC1707">
        <f t="shared" si="286"/>
        <v>0</v>
      </c>
      <c r="AD1707" s="12">
        <f t="shared" si="290"/>
        <v>1</v>
      </c>
      <c r="AE1707" s="12">
        <f t="shared" si="291"/>
        <v>0</v>
      </c>
      <c r="AF1707">
        <f t="shared" si="287"/>
        <v>0</v>
      </c>
      <c r="AG1707">
        <f t="shared" si="292"/>
        <v>0</v>
      </c>
      <c r="AH1707">
        <f t="shared" si="293"/>
        <v>1</v>
      </c>
      <c r="AI1707">
        <f t="shared" si="294"/>
        <v>0</v>
      </c>
      <c r="AJ1707">
        <f t="shared" si="295"/>
        <v>0</v>
      </c>
      <c r="AK1707">
        <f t="shared" si="288"/>
        <v>0</v>
      </c>
      <c r="AL1707">
        <f t="shared" si="296"/>
        <v>1</v>
      </c>
    </row>
    <row r="1708" spans="1:38">
      <c r="A1708" t="s">
        <v>5251</v>
      </c>
      <c r="B1708" t="s">
        <v>5252</v>
      </c>
      <c r="C1708" s="1">
        <f t="shared" si="289"/>
        <v>45413</v>
      </c>
      <c r="D1708" t="s">
        <v>5253</v>
      </c>
      <c r="E1708">
        <v>198.6</v>
      </c>
      <c r="F1708">
        <v>8.3000000000000007</v>
      </c>
      <c r="G1708" t="s">
        <v>142</v>
      </c>
      <c r="H1708" t="s">
        <v>319</v>
      </c>
      <c r="I1708" t="s">
        <v>32</v>
      </c>
      <c r="J1708">
        <v>240</v>
      </c>
      <c r="K1708" t="s">
        <v>49</v>
      </c>
      <c r="L1708" t="s">
        <v>113</v>
      </c>
      <c r="M1708" t="s">
        <v>35</v>
      </c>
      <c r="N1708" t="s">
        <v>134</v>
      </c>
      <c r="O1708" t="s">
        <v>7232</v>
      </c>
      <c r="P1708" t="s">
        <v>38</v>
      </c>
      <c r="Q1708" t="s">
        <v>38</v>
      </c>
      <c r="R1708">
        <v>1</v>
      </c>
      <c r="S1708" t="s">
        <v>38</v>
      </c>
      <c r="T1708">
        <v>9</v>
      </c>
      <c r="U1708">
        <v>0.1</v>
      </c>
      <c r="V1708">
        <v>5</v>
      </c>
      <c r="W1708" t="s">
        <v>39</v>
      </c>
      <c r="X1708" t="s">
        <v>63</v>
      </c>
      <c r="Y1708" t="s">
        <v>39</v>
      </c>
      <c r="Z1708" t="s">
        <v>81</v>
      </c>
      <c r="AA1708" t="s">
        <v>42</v>
      </c>
      <c r="AB1708" t="s">
        <v>83</v>
      </c>
      <c r="AC1708">
        <f t="shared" si="286"/>
        <v>0</v>
      </c>
      <c r="AD1708" s="12">
        <f t="shared" si="290"/>
        <v>1</v>
      </c>
      <c r="AE1708" s="12">
        <f t="shared" si="291"/>
        <v>0</v>
      </c>
      <c r="AF1708">
        <f t="shared" si="287"/>
        <v>0</v>
      </c>
      <c r="AG1708">
        <f t="shared" si="292"/>
        <v>1</v>
      </c>
      <c r="AH1708">
        <f t="shared" si="293"/>
        <v>0</v>
      </c>
      <c r="AI1708">
        <f t="shared" si="294"/>
        <v>0</v>
      </c>
      <c r="AJ1708">
        <f t="shared" si="295"/>
        <v>1</v>
      </c>
      <c r="AK1708">
        <f t="shared" si="288"/>
        <v>0</v>
      </c>
      <c r="AL1708">
        <f t="shared" si="296"/>
        <v>0</v>
      </c>
    </row>
    <row r="1709" spans="1:38">
      <c r="A1709" t="s">
        <v>5254</v>
      </c>
      <c r="B1709" t="s">
        <v>5255</v>
      </c>
      <c r="C1709" s="1">
        <f t="shared" si="289"/>
        <v>45323</v>
      </c>
      <c r="D1709" t="s">
        <v>5256</v>
      </c>
      <c r="E1709">
        <v>334.3</v>
      </c>
      <c r="F1709">
        <v>13.9</v>
      </c>
      <c r="G1709" t="s">
        <v>30</v>
      </c>
      <c r="H1709" t="s">
        <v>47</v>
      </c>
      <c r="I1709" t="s">
        <v>48</v>
      </c>
      <c r="J1709">
        <v>120</v>
      </c>
      <c r="K1709" t="s">
        <v>33</v>
      </c>
      <c r="L1709" t="s">
        <v>34</v>
      </c>
      <c r="M1709" t="s">
        <v>35</v>
      </c>
      <c r="N1709" t="s">
        <v>134</v>
      </c>
      <c r="O1709" t="s">
        <v>7232</v>
      </c>
      <c r="P1709" t="s">
        <v>39</v>
      </c>
      <c r="Q1709" t="s">
        <v>38</v>
      </c>
      <c r="R1709">
        <v>0</v>
      </c>
      <c r="S1709" t="s">
        <v>38</v>
      </c>
      <c r="T1709">
        <v>9</v>
      </c>
      <c r="U1709">
        <v>3.1</v>
      </c>
      <c r="V1709">
        <v>27.2</v>
      </c>
      <c r="W1709" t="s">
        <v>39</v>
      </c>
      <c r="X1709" t="s">
        <v>63</v>
      </c>
      <c r="Y1709" t="s">
        <v>38</v>
      </c>
      <c r="Z1709" t="s">
        <v>81</v>
      </c>
      <c r="AA1709" t="s">
        <v>82</v>
      </c>
      <c r="AB1709" t="s">
        <v>55</v>
      </c>
      <c r="AC1709">
        <f t="shared" si="286"/>
        <v>0</v>
      </c>
      <c r="AD1709" s="12">
        <f t="shared" si="290"/>
        <v>1</v>
      </c>
      <c r="AE1709" s="12">
        <f t="shared" si="291"/>
        <v>0</v>
      </c>
      <c r="AF1709">
        <f t="shared" si="287"/>
        <v>0</v>
      </c>
      <c r="AG1709">
        <f t="shared" si="292"/>
        <v>1</v>
      </c>
      <c r="AH1709">
        <f t="shared" si="293"/>
        <v>1</v>
      </c>
      <c r="AI1709">
        <f t="shared" si="294"/>
        <v>0</v>
      </c>
      <c r="AJ1709">
        <f t="shared" si="295"/>
        <v>0</v>
      </c>
      <c r="AK1709">
        <f t="shared" si="288"/>
        <v>1</v>
      </c>
      <c r="AL1709">
        <f t="shared" si="296"/>
        <v>1</v>
      </c>
    </row>
    <row r="1710" spans="1:38">
      <c r="A1710" t="s">
        <v>5257</v>
      </c>
      <c r="B1710" t="s">
        <v>5258</v>
      </c>
      <c r="C1710" s="1">
        <f t="shared" si="289"/>
        <v>45627</v>
      </c>
      <c r="D1710" t="s">
        <v>5259</v>
      </c>
      <c r="E1710">
        <v>279</v>
      </c>
      <c r="F1710">
        <v>11.6</v>
      </c>
      <c r="G1710" t="s">
        <v>142</v>
      </c>
      <c r="H1710" t="s">
        <v>143</v>
      </c>
      <c r="I1710" t="s">
        <v>79</v>
      </c>
      <c r="J1710">
        <v>360</v>
      </c>
      <c r="K1710" t="s">
        <v>49</v>
      </c>
      <c r="L1710" t="s">
        <v>70</v>
      </c>
      <c r="M1710" t="s">
        <v>35</v>
      </c>
      <c r="N1710" t="s">
        <v>414</v>
      </c>
      <c r="O1710" t="s">
        <v>51</v>
      </c>
      <c r="P1710" t="s">
        <v>38</v>
      </c>
      <c r="Q1710" t="s">
        <v>38</v>
      </c>
      <c r="R1710">
        <v>1</v>
      </c>
      <c r="S1710" t="s">
        <v>38</v>
      </c>
      <c r="T1710">
        <v>7</v>
      </c>
      <c r="U1710">
        <v>2</v>
      </c>
      <c r="V1710">
        <v>26.3</v>
      </c>
      <c r="W1710" t="s">
        <v>38</v>
      </c>
      <c r="X1710" t="s">
        <v>63</v>
      </c>
      <c r="Y1710" t="s">
        <v>39</v>
      </c>
      <c r="Z1710" t="s">
        <v>108</v>
      </c>
      <c r="AA1710" t="s">
        <v>42</v>
      </c>
      <c r="AB1710" t="s">
        <v>55</v>
      </c>
      <c r="AC1710">
        <f t="shared" si="286"/>
        <v>0</v>
      </c>
      <c r="AD1710" s="12">
        <f t="shared" si="290"/>
        <v>1</v>
      </c>
      <c r="AE1710" s="12">
        <f t="shared" si="291"/>
        <v>0</v>
      </c>
      <c r="AF1710">
        <f t="shared" si="287"/>
        <v>1</v>
      </c>
      <c r="AG1710">
        <f t="shared" si="292"/>
        <v>0</v>
      </c>
      <c r="AH1710">
        <f t="shared" si="293"/>
        <v>0</v>
      </c>
      <c r="AI1710">
        <f t="shared" si="294"/>
        <v>0</v>
      </c>
      <c r="AJ1710">
        <f t="shared" si="295"/>
        <v>0</v>
      </c>
      <c r="AK1710">
        <f t="shared" si="288"/>
        <v>0</v>
      </c>
      <c r="AL1710">
        <f t="shared" si="296"/>
        <v>0</v>
      </c>
    </row>
    <row r="1711" spans="1:38">
      <c r="A1711" t="s">
        <v>5260</v>
      </c>
      <c r="B1711" t="s">
        <v>5261</v>
      </c>
      <c r="C1711" s="1">
        <f t="shared" si="289"/>
        <v>45474</v>
      </c>
      <c r="D1711" t="s">
        <v>5262</v>
      </c>
      <c r="E1711">
        <v>461.2</v>
      </c>
      <c r="F1711">
        <v>19.2</v>
      </c>
      <c r="G1711" t="s">
        <v>77</v>
      </c>
      <c r="H1711" t="s">
        <v>267</v>
      </c>
      <c r="I1711" t="s">
        <v>79</v>
      </c>
      <c r="J1711">
        <v>360</v>
      </c>
      <c r="K1711" t="s">
        <v>33</v>
      </c>
      <c r="L1711" t="s">
        <v>34</v>
      </c>
      <c r="M1711" t="s">
        <v>35</v>
      </c>
      <c r="N1711" t="s">
        <v>107</v>
      </c>
      <c r="O1711" t="s">
        <v>7232</v>
      </c>
      <c r="P1711" t="s">
        <v>38</v>
      </c>
      <c r="Q1711" t="s">
        <v>38</v>
      </c>
      <c r="R1711">
        <v>1</v>
      </c>
      <c r="S1711" t="s">
        <v>39</v>
      </c>
      <c r="T1711">
        <v>7</v>
      </c>
      <c r="U1711">
        <v>3.4</v>
      </c>
      <c r="V1711">
        <v>25.6</v>
      </c>
      <c r="W1711" t="s">
        <v>39</v>
      </c>
      <c r="X1711" t="s">
        <v>63</v>
      </c>
      <c r="Y1711" t="s">
        <v>39</v>
      </c>
      <c r="Z1711" t="s">
        <v>53</v>
      </c>
      <c r="AA1711" t="s">
        <v>54</v>
      </c>
      <c r="AB1711" t="s">
        <v>83</v>
      </c>
      <c r="AC1711">
        <f t="shared" si="286"/>
        <v>0</v>
      </c>
      <c r="AD1711" s="12">
        <f t="shared" si="290"/>
        <v>1</v>
      </c>
      <c r="AE1711" s="12">
        <f t="shared" si="291"/>
        <v>0</v>
      </c>
      <c r="AF1711">
        <f t="shared" si="287"/>
        <v>0</v>
      </c>
      <c r="AG1711">
        <f t="shared" si="292"/>
        <v>1</v>
      </c>
      <c r="AH1711">
        <f t="shared" si="293"/>
        <v>0</v>
      </c>
      <c r="AI1711">
        <f t="shared" si="294"/>
        <v>0</v>
      </c>
      <c r="AJ1711">
        <f t="shared" si="295"/>
        <v>0</v>
      </c>
      <c r="AK1711">
        <f t="shared" si="288"/>
        <v>0</v>
      </c>
      <c r="AL1711">
        <f t="shared" si="296"/>
        <v>0</v>
      </c>
    </row>
    <row r="1712" spans="1:38">
      <c r="A1712" t="s">
        <v>5263</v>
      </c>
      <c r="B1712" t="s">
        <v>5264</v>
      </c>
      <c r="C1712" s="1">
        <f t="shared" si="289"/>
        <v>45444</v>
      </c>
      <c r="D1712" t="s">
        <v>5265</v>
      </c>
      <c r="E1712">
        <v>204.7</v>
      </c>
      <c r="F1712">
        <v>8.5</v>
      </c>
      <c r="G1712" t="s">
        <v>142</v>
      </c>
      <c r="H1712" t="s">
        <v>240</v>
      </c>
      <c r="I1712" t="s">
        <v>32</v>
      </c>
      <c r="J1712">
        <v>240</v>
      </c>
      <c r="K1712" t="s">
        <v>49</v>
      </c>
      <c r="L1712" t="s">
        <v>96</v>
      </c>
      <c r="M1712" t="s">
        <v>35</v>
      </c>
      <c r="N1712" t="s">
        <v>97</v>
      </c>
      <c r="O1712" t="s">
        <v>7232</v>
      </c>
      <c r="P1712" t="s">
        <v>38</v>
      </c>
      <c r="Q1712" t="s">
        <v>38</v>
      </c>
      <c r="R1712">
        <v>1</v>
      </c>
      <c r="S1712" t="s">
        <v>38</v>
      </c>
      <c r="T1712">
        <v>10</v>
      </c>
      <c r="U1712">
        <v>1.4</v>
      </c>
      <c r="V1712">
        <v>17.7</v>
      </c>
      <c r="W1712" t="s">
        <v>39</v>
      </c>
      <c r="X1712" t="s">
        <v>63</v>
      </c>
      <c r="Y1712" t="s">
        <v>39</v>
      </c>
      <c r="Z1712" t="s">
        <v>179</v>
      </c>
      <c r="AA1712" t="s">
        <v>103</v>
      </c>
      <c r="AB1712" t="s">
        <v>55</v>
      </c>
      <c r="AC1712">
        <f t="shared" si="286"/>
        <v>0</v>
      </c>
      <c r="AD1712" s="12">
        <f t="shared" si="290"/>
        <v>1</v>
      </c>
      <c r="AE1712" s="12">
        <f t="shared" si="291"/>
        <v>0</v>
      </c>
      <c r="AF1712">
        <f t="shared" si="287"/>
        <v>0</v>
      </c>
      <c r="AG1712">
        <f t="shared" si="292"/>
        <v>1</v>
      </c>
      <c r="AH1712">
        <f t="shared" si="293"/>
        <v>0</v>
      </c>
      <c r="AI1712">
        <f t="shared" si="294"/>
        <v>0</v>
      </c>
      <c r="AJ1712">
        <f t="shared" si="295"/>
        <v>1</v>
      </c>
      <c r="AK1712">
        <f t="shared" si="288"/>
        <v>0</v>
      </c>
      <c r="AL1712">
        <f t="shared" si="296"/>
        <v>0</v>
      </c>
    </row>
    <row r="1713" spans="1:38">
      <c r="A1713" t="s">
        <v>5266</v>
      </c>
      <c r="B1713" t="s">
        <v>5267</v>
      </c>
      <c r="C1713" s="1">
        <f t="shared" si="289"/>
        <v>45292</v>
      </c>
      <c r="D1713" t="s">
        <v>5268</v>
      </c>
      <c r="E1713">
        <v>317.7</v>
      </c>
      <c r="F1713">
        <v>13.2</v>
      </c>
      <c r="G1713" t="s">
        <v>93</v>
      </c>
      <c r="H1713" t="s">
        <v>291</v>
      </c>
      <c r="I1713" t="s">
        <v>79</v>
      </c>
      <c r="J1713">
        <v>360</v>
      </c>
      <c r="K1713" t="s">
        <v>49</v>
      </c>
      <c r="L1713" t="s">
        <v>96</v>
      </c>
      <c r="M1713" t="s">
        <v>35</v>
      </c>
      <c r="N1713" t="s">
        <v>97</v>
      </c>
      <c r="O1713" t="s">
        <v>37</v>
      </c>
      <c r="P1713" t="s">
        <v>39</v>
      </c>
      <c r="Q1713" t="s">
        <v>38</v>
      </c>
      <c r="R1713">
        <v>0</v>
      </c>
      <c r="S1713" t="s">
        <v>38</v>
      </c>
      <c r="T1713">
        <v>8</v>
      </c>
      <c r="U1713">
        <v>1.5</v>
      </c>
      <c r="V1713">
        <v>11</v>
      </c>
      <c r="W1713" t="s">
        <v>39</v>
      </c>
      <c r="X1713" t="s">
        <v>123</v>
      </c>
      <c r="Y1713" t="s">
        <v>38</v>
      </c>
      <c r="Z1713" t="s">
        <v>73</v>
      </c>
      <c r="AA1713" t="s">
        <v>103</v>
      </c>
      <c r="AB1713" t="s">
        <v>43</v>
      </c>
      <c r="AC1713">
        <f t="shared" si="286"/>
        <v>0</v>
      </c>
      <c r="AD1713" s="12">
        <f t="shared" si="290"/>
        <v>0</v>
      </c>
      <c r="AE1713" s="12">
        <f t="shared" si="291"/>
        <v>1</v>
      </c>
      <c r="AF1713">
        <f t="shared" si="287"/>
        <v>0</v>
      </c>
      <c r="AG1713">
        <f t="shared" si="292"/>
        <v>0</v>
      </c>
      <c r="AH1713">
        <f t="shared" si="293"/>
        <v>0</v>
      </c>
      <c r="AI1713">
        <f t="shared" si="294"/>
        <v>0</v>
      </c>
      <c r="AJ1713">
        <f t="shared" si="295"/>
        <v>0</v>
      </c>
      <c r="AK1713">
        <f t="shared" si="288"/>
        <v>0</v>
      </c>
      <c r="AL1713">
        <f t="shared" si="296"/>
        <v>1</v>
      </c>
    </row>
    <row r="1714" spans="1:38">
      <c r="A1714" t="s">
        <v>5269</v>
      </c>
      <c r="B1714" t="s">
        <v>5270</v>
      </c>
      <c r="C1714" s="1">
        <f t="shared" si="289"/>
        <v>45413</v>
      </c>
      <c r="D1714" t="s">
        <v>5271</v>
      </c>
      <c r="E1714">
        <v>313.3</v>
      </c>
      <c r="F1714">
        <v>13.1</v>
      </c>
      <c r="G1714" t="s">
        <v>93</v>
      </c>
      <c r="H1714" t="s">
        <v>163</v>
      </c>
      <c r="I1714" t="s">
        <v>32</v>
      </c>
      <c r="J1714">
        <v>240</v>
      </c>
      <c r="K1714" t="s">
        <v>33</v>
      </c>
      <c r="L1714" t="s">
        <v>96</v>
      </c>
      <c r="M1714" t="s">
        <v>35</v>
      </c>
      <c r="N1714" t="s">
        <v>89</v>
      </c>
      <c r="O1714" t="s">
        <v>37</v>
      </c>
      <c r="P1714" t="s">
        <v>39</v>
      </c>
      <c r="Q1714" t="s">
        <v>38</v>
      </c>
      <c r="R1714">
        <v>0</v>
      </c>
      <c r="S1714" t="s">
        <v>38</v>
      </c>
      <c r="T1714">
        <v>5</v>
      </c>
      <c r="U1714">
        <v>2</v>
      </c>
      <c r="V1714">
        <v>16.8</v>
      </c>
      <c r="W1714" t="s">
        <v>39</v>
      </c>
      <c r="X1714" t="s">
        <v>123</v>
      </c>
      <c r="Y1714" t="s">
        <v>39</v>
      </c>
      <c r="Z1714" t="s">
        <v>73</v>
      </c>
      <c r="AA1714" t="s">
        <v>82</v>
      </c>
      <c r="AB1714" t="s">
        <v>83</v>
      </c>
      <c r="AC1714">
        <f t="shared" si="286"/>
        <v>0</v>
      </c>
      <c r="AD1714" s="12">
        <f t="shared" si="290"/>
        <v>0</v>
      </c>
      <c r="AE1714" s="12">
        <f t="shared" si="291"/>
        <v>1</v>
      </c>
      <c r="AF1714">
        <f t="shared" si="287"/>
        <v>0</v>
      </c>
      <c r="AG1714">
        <f t="shared" si="292"/>
        <v>0</v>
      </c>
      <c r="AH1714">
        <f t="shared" si="293"/>
        <v>0</v>
      </c>
      <c r="AI1714">
        <f t="shared" si="294"/>
        <v>0</v>
      </c>
      <c r="AJ1714">
        <f t="shared" si="295"/>
        <v>1</v>
      </c>
      <c r="AK1714">
        <f t="shared" si="288"/>
        <v>0</v>
      </c>
      <c r="AL1714">
        <f t="shared" si="296"/>
        <v>0</v>
      </c>
    </row>
    <row r="1715" spans="1:38">
      <c r="A1715" t="s">
        <v>5272</v>
      </c>
      <c r="B1715" t="s">
        <v>5273</v>
      </c>
      <c r="C1715" s="1">
        <f t="shared" si="289"/>
        <v>45413</v>
      </c>
      <c r="D1715" t="s">
        <v>5274</v>
      </c>
      <c r="E1715">
        <v>94.4</v>
      </c>
      <c r="F1715">
        <v>3.9</v>
      </c>
      <c r="G1715" t="s">
        <v>68</v>
      </c>
      <c r="H1715" t="s">
        <v>456</v>
      </c>
      <c r="I1715" t="s">
        <v>48</v>
      </c>
      <c r="J1715">
        <v>120</v>
      </c>
      <c r="K1715" t="s">
        <v>49</v>
      </c>
      <c r="L1715" t="s">
        <v>34</v>
      </c>
      <c r="M1715" t="s">
        <v>35</v>
      </c>
      <c r="N1715" t="s">
        <v>138</v>
      </c>
      <c r="O1715" t="s">
        <v>37</v>
      </c>
      <c r="P1715" t="s">
        <v>39</v>
      </c>
      <c r="Q1715" t="s">
        <v>38</v>
      </c>
      <c r="R1715">
        <v>0</v>
      </c>
      <c r="S1715" t="s">
        <v>38</v>
      </c>
      <c r="T1715">
        <v>8</v>
      </c>
      <c r="U1715">
        <v>2.4</v>
      </c>
      <c r="V1715">
        <v>24.6</v>
      </c>
      <c r="W1715" t="s">
        <v>39</v>
      </c>
      <c r="X1715" t="s">
        <v>63</v>
      </c>
      <c r="Y1715" t="s">
        <v>39</v>
      </c>
      <c r="Z1715" t="s">
        <v>64</v>
      </c>
      <c r="AA1715" t="s">
        <v>42</v>
      </c>
      <c r="AB1715" t="s">
        <v>43</v>
      </c>
      <c r="AC1715">
        <f t="shared" si="286"/>
        <v>0</v>
      </c>
      <c r="AD1715" s="12">
        <f t="shared" si="290"/>
        <v>1</v>
      </c>
      <c r="AE1715" s="12">
        <f t="shared" si="291"/>
        <v>0</v>
      </c>
      <c r="AF1715">
        <f t="shared" si="287"/>
        <v>0</v>
      </c>
      <c r="AG1715">
        <f t="shared" si="292"/>
        <v>0</v>
      </c>
      <c r="AH1715">
        <f t="shared" si="293"/>
        <v>1</v>
      </c>
      <c r="AI1715">
        <f t="shared" si="294"/>
        <v>0</v>
      </c>
      <c r="AJ1715">
        <f t="shared" si="295"/>
        <v>0</v>
      </c>
      <c r="AK1715">
        <f t="shared" si="288"/>
        <v>0</v>
      </c>
      <c r="AL1715">
        <f t="shared" si="296"/>
        <v>0</v>
      </c>
    </row>
    <row r="1716" spans="1:38">
      <c r="A1716" t="s">
        <v>5275</v>
      </c>
      <c r="B1716" t="s">
        <v>5276</v>
      </c>
      <c r="C1716" s="1">
        <f t="shared" si="289"/>
        <v>45413</v>
      </c>
      <c r="D1716" t="s">
        <v>5277</v>
      </c>
      <c r="E1716">
        <v>88.9</v>
      </c>
      <c r="F1716">
        <v>3.7</v>
      </c>
      <c r="G1716" t="s">
        <v>101</v>
      </c>
      <c r="H1716" t="s">
        <v>295</v>
      </c>
      <c r="I1716" t="s">
        <v>48</v>
      </c>
      <c r="J1716">
        <v>120</v>
      </c>
      <c r="K1716" t="s">
        <v>49</v>
      </c>
      <c r="L1716" t="s">
        <v>34</v>
      </c>
      <c r="M1716" t="s">
        <v>35</v>
      </c>
      <c r="N1716" t="s">
        <v>506</v>
      </c>
      <c r="O1716" t="s">
        <v>7232</v>
      </c>
      <c r="P1716" t="s">
        <v>38</v>
      </c>
      <c r="Q1716" t="s">
        <v>38</v>
      </c>
      <c r="R1716">
        <v>1</v>
      </c>
      <c r="S1716" t="s">
        <v>39</v>
      </c>
      <c r="T1716">
        <v>7</v>
      </c>
      <c r="U1716">
        <v>3.5</v>
      </c>
      <c r="V1716">
        <v>21.2</v>
      </c>
      <c r="W1716" t="s">
        <v>39</v>
      </c>
      <c r="X1716" t="s">
        <v>63</v>
      </c>
      <c r="Y1716" t="s">
        <v>38</v>
      </c>
      <c r="Z1716" t="s">
        <v>179</v>
      </c>
      <c r="AA1716" t="s">
        <v>82</v>
      </c>
      <c r="AB1716" t="s">
        <v>83</v>
      </c>
      <c r="AC1716">
        <f t="shared" si="286"/>
        <v>0</v>
      </c>
      <c r="AD1716" s="12">
        <f t="shared" si="290"/>
        <v>1</v>
      </c>
      <c r="AE1716" s="12">
        <f t="shared" si="291"/>
        <v>0</v>
      </c>
      <c r="AF1716">
        <f t="shared" si="287"/>
        <v>0</v>
      </c>
      <c r="AG1716">
        <f t="shared" si="292"/>
        <v>1</v>
      </c>
      <c r="AH1716">
        <f t="shared" si="293"/>
        <v>1</v>
      </c>
      <c r="AI1716">
        <f t="shared" si="294"/>
        <v>0</v>
      </c>
      <c r="AJ1716">
        <f t="shared" si="295"/>
        <v>0</v>
      </c>
      <c r="AK1716">
        <f t="shared" si="288"/>
        <v>0</v>
      </c>
      <c r="AL1716">
        <f t="shared" si="296"/>
        <v>1</v>
      </c>
    </row>
    <row r="1717" spans="1:38">
      <c r="A1717" t="s">
        <v>5278</v>
      </c>
      <c r="B1717" t="s">
        <v>5279</v>
      </c>
      <c r="C1717" s="1">
        <f t="shared" si="289"/>
        <v>45505</v>
      </c>
      <c r="D1717" t="s">
        <v>5280</v>
      </c>
      <c r="E1717">
        <v>525.1</v>
      </c>
      <c r="F1717">
        <v>21.9</v>
      </c>
      <c r="G1717" t="s">
        <v>30</v>
      </c>
      <c r="H1717" t="s">
        <v>172</v>
      </c>
      <c r="I1717" t="s">
        <v>79</v>
      </c>
      <c r="J1717">
        <v>360</v>
      </c>
      <c r="K1717" t="s">
        <v>33</v>
      </c>
      <c r="L1717" t="s">
        <v>96</v>
      </c>
      <c r="M1717" t="s">
        <v>35</v>
      </c>
      <c r="N1717" t="s">
        <v>144</v>
      </c>
      <c r="O1717" t="s">
        <v>7232</v>
      </c>
      <c r="P1717" t="s">
        <v>38</v>
      </c>
      <c r="Q1717" t="s">
        <v>38</v>
      </c>
      <c r="R1717">
        <v>1</v>
      </c>
      <c r="S1717" t="s">
        <v>38</v>
      </c>
      <c r="T1717">
        <v>3</v>
      </c>
      <c r="U1717">
        <v>2</v>
      </c>
      <c r="V1717">
        <v>26.6</v>
      </c>
      <c r="W1717" t="s">
        <v>38</v>
      </c>
      <c r="X1717" t="s">
        <v>40</v>
      </c>
      <c r="Y1717" t="s">
        <v>38</v>
      </c>
      <c r="Z1717" t="s">
        <v>41</v>
      </c>
      <c r="AA1717" t="s">
        <v>42</v>
      </c>
      <c r="AB1717" t="s">
        <v>83</v>
      </c>
      <c r="AC1717">
        <f t="shared" si="286"/>
        <v>0</v>
      </c>
      <c r="AD1717" s="12">
        <f t="shared" si="290"/>
        <v>0</v>
      </c>
      <c r="AE1717" s="12">
        <f t="shared" si="291"/>
        <v>0</v>
      </c>
      <c r="AF1717">
        <f t="shared" si="287"/>
        <v>0</v>
      </c>
      <c r="AG1717">
        <f t="shared" si="292"/>
        <v>1</v>
      </c>
      <c r="AH1717">
        <f t="shared" si="293"/>
        <v>0</v>
      </c>
      <c r="AI1717">
        <f t="shared" si="294"/>
        <v>0</v>
      </c>
      <c r="AJ1717">
        <f t="shared" si="295"/>
        <v>0</v>
      </c>
      <c r="AK1717">
        <f t="shared" si="288"/>
        <v>1</v>
      </c>
      <c r="AL1717">
        <f t="shared" si="296"/>
        <v>1</v>
      </c>
    </row>
    <row r="1718" spans="1:38">
      <c r="A1718" t="s">
        <v>5281</v>
      </c>
      <c r="B1718" t="s">
        <v>5282</v>
      </c>
      <c r="C1718" s="1">
        <f t="shared" si="289"/>
        <v>45474</v>
      </c>
      <c r="D1718" t="s">
        <v>5283</v>
      </c>
      <c r="E1718">
        <v>74.2</v>
      </c>
      <c r="F1718">
        <v>3.1</v>
      </c>
      <c r="G1718" t="s">
        <v>87</v>
      </c>
      <c r="H1718" t="s">
        <v>183</v>
      </c>
      <c r="I1718" t="s">
        <v>48</v>
      </c>
      <c r="J1718">
        <v>120</v>
      </c>
      <c r="K1718" t="s">
        <v>49</v>
      </c>
      <c r="L1718" t="s">
        <v>96</v>
      </c>
      <c r="M1718" t="s">
        <v>35</v>
      </c>
      <c r="N1718" t="s">
        <v>188</v>
      </c>
      <c r="O1718" t="s">
        <v>7232</v>
      </c>
      <c r="P1718" t="s">
        <v>38</v>
      </c>
      <c r="Q1718" t="s">
        <v>38</v>
      </c>
      <c r="R1718">
        <v>1</v>
      </c>
      <c r="S1718" t="s">
        <v>39</v>
      </c>
      <c r="T1718">
        <v>9</v>
      </c>
      <c r="U1718">
        <v>4.5999999999999996</v>
      </c>
      <c r="V1718">
        <v>35.200000000000003</v>
      </c>
      <c r="W1718" t="s">
        <v>39</v>
      </c>
      <c r="X1718" t="s">
        <v>63</v>
      </c>
      <c r="Y1718" t="s">
        <v>38</v>
      </c>
      <c r="Z1718" t="s">
        <v>81</v>
      </c>
      <c r="AA1718" t="s">
        <v>54</v>
      </c>
      <c r="AB1718" t="s">
        <v>55</v>
      </c>
      <c r="AC1718">
        <f t="shared" si="286"/>
        <v>0</v>
      </c>
      <c r="AD1718" s="12">
        <f t="shared" si="290"/>
        <v>1</v>
      </c>
      <c r="AE1718" s="12">
        <f t="shared" si="291"/>
        <v>0</v>
      </c>
      <c r="AF1718">
        <f t="shared" si="287"/>
        <v>0</v>
      </c>
      <c r="AG1718">
        <f t="shared" si="292"/>
        <v>1</v>
      </c>
      <c r="AH1718">
        <f t="shared" si="293"/>
        <v>1</v>
      </c>
      <c r="AI1718">
        <f t="shared" si="294"/>
        <v>0</v>
      </c>
      <c r="AJ1718">
        <f t="shared" si="295"/>
        <v>0</v>
      </c>
      <c r="AK1718">
        <f t="shared" si="288"/>
        <v>0</v>
      </c>
      <c r="AL1718">
        <f t="shared" si="296"/>
        <v>1</v>
      </c>
    </row>
    <row r="1719" spans="1:38">
      <c r="A1719" t="s">
        <v>5284</v>
      </c>
      <c r="B1719" t="s">
        <v>5285</v>
      </c>
      <c r="C1719" s="1">
        <f t="shared" si="289"/>
        <v>45566</v>
      </c>
      <c r="D1719" t="s">
        <v>5286</v>
      </c>
      <c r="E1719">
        <v>201.2</v>
      </c>
      <c r="F1719">
        <v>8.4</v>
      </c>
      <c r="G1719" t="s">
        <v>142</v>
      </c>
      <c r="H1719" t="s">
        <v>729</v>
      </c>
      <c r="I1719" t="s">
        <v>32</v>
      </c>
      <c r="J1719">
        <v>240</v>
      </c>
      <c r="K1719" t="s">
        <v>49</v>
      </c>
      <c r="L1719" t="s">
        <v>34</v>
      </c>
      <c r="M1719" t="s">
        <v>71</v>
      </c>
      <c r="N1719" t="s">
        <v>80</v>
      </c>
      <c r="O1719" t="s">
        <v>7232</v>
      </c>
      <c r="P1719" t="s">
        <v>38</v>
      </c>
      <c r="Q1719" t="s">
        <v>39</v>
      </c>
      <c r="R1719">
        <v>4</v>
      </c>
      <c r="S1719" t="s">
        <v>38</v>
      </c>
      <c r="T1719">
        <v>6</v>
      </c>
      <c r="U1719">
        <v>2.8</v>
      </c>
      <c r="V1719">
        <v>0</v>
      </c>
      <c r="W1719" t="s">
        <v>38</v>
      </c>
      <c r="X1719" t="s">
        <v>63</v>
      </c>
      <c r="Y1719" t="s">
        <v>38</v>
      </c>
      <c r="Z1719" t="s">
        <v>53</v>
      </c>
      <c r="AA1719" t="s">
        <v>109</v>
      </c>
      <c r="AB1719" t="s">
        <v>83</v>
      </c>
      <c r="AC1719">
        <f t="shared" si="286"/>
        <v>0</v>
      </c>
      <c r="AD1719" s="12">
        <f t="shared" si="290"/>
        <v>1</v>
      </c>
      <c r="AE1719" s="12">
        <f t="shared" si="291"/>
        <v>0</v>
      </c>
      <c r="AF1719">
        <f t="shared" si="287"/>
        <v>0</v>
      </c>
      <c r="AG1719">
        <f t="shared" si="292"/>
        <v>1</v>
      </c>
      <c r="AH1719">
        <f t="shared" si="293"/>
        <v>0</v>
      </c>
      <c r="AI1719">
        <f t="shared" si="294"/>
        <v>0</v>
      </c>
      <c r="AJ1719">
        <f t="shared" si="295"/>
        <v>1</v>
      </c>
      <c r="AK1719">
        <f t="shared" si="288"/>
        <v>0</v>
      </c>
      <c r="AL1719">
        <f t="shared" si="296"/>
        <v>1</v>
      </c>
    </row>
    <row r="1720" spans="1:38">
      <c r="A1720" t="s">
        <v>5287</v>
      </c>
      <c r="B1720" t="s">
        <v>5288</v>
      </c>
      <c r="C1720" s="1">
        <f t="shared" si="289"/>
        <v>45444</v>
      </c>
      <c r="D1720" t="s">
        <v>5289</v>
      </c>
      <c r="E1720">
        <v>355.7</v>
      </c>
      <c r="F1720">
        <v>14.8</v>
      </c>
      <c r="G1720" t="s">
        <v>77</v>
      </c>
      <c r="H1720" t="s">
        <v>187</v>
      </c>
      <c r="I1720" t="s">
        <v>32</v>
      </c>
      <c r="J1720">
        <v>240</v>
      </c>
      <c r="K1720" t="s">
        <v>33</v>
      </c>
      <c r="L1720" t="s">
        <v>70</v>
      </c>
      <c r="M1720" t="s">
        <v>35</v>
      </c>
      <c r="N1720" t="s">
        <v>299</v>
      </c>
      <c r="O1720" t="s">
        <v>37</v>
      </c>
      <c r="P1720" t="s">
        <v>38</v>
      </c>
      <c r="Q1720" t="s">
        <v>38</v>
      </c>
      <c r="R1720">
        <v>1</v>
      </c>
      <c r="S1720" t="s">
        <v>38</v>
      </c>
      <c r="T1720">
        <v>5</v>
      </c>
      <c r="U1720">
        <v>3.2</v>
      </c>
      <c r="V1720">
        <v>27</v>
      </c>
      <c r="W1720" t="s">
        <v>39</v>
      </c>
      <c r="X1720" t="s">
        <v>52</v>
      </c>
      <c r="Y1720" t="s">
        <v>38</v>
      </c>
      <c r="Z1720" t="s">
        <v>64</v>
      </c>
      <c r="AA1720" t="s">
        <v>54</v>
      </c>
      <c r="AB1720" t="s">
        <v>43</v>
      </c>
      <c r="AC1720">
        <f t="shared" si="286"/>
        <v>1</v>
      </c>
      <c r="AD1720" s="12">
        <f t="shared" si="290"/>
        <v>0</v>
      </c>
      <c r="AE1720" s="12">
        <f t="shared" si="291"/>
        <v>0</v>
      </c>
      <c r="AF1720">
        <f t="shared" si="287"/>
        <v>0</v>
      </c>
      <c r="AG1720">
        <f t="shared" si="292"/>
        <v>0</v>
      </c>
      <c r="AH1720">
        <f t="shared" si="293"/>
        <v>0</v>
      </c>
      <c r="AI1720">
        <f t="shared" si="294"/>
        <v>0</v>
      </c>
      <c r="AJ1720">
        <f t="shared" si="295"/>
        <v>1</v>
      </c>
      <c r="AK1720">
        <f t="shared" si="288"/>
        <v>0</v>
      </c>
      <c r="AL1720">
        <f t="shared" si="296"/>
        <v>1</v>
      </c>
    </row>
    <row r="1721" spans="1:38">
      <c r="A1721" t="s">
        <v>5290</v>
      </c>
      <c r="B1721" t="s">
        <v>5291</v>
      </c>
      <c r="C1721" s="1">
        <f t="shared" si="289"/>
        <v>45323</v>
      </c>
      <c r="D1721" t="s">
        <v>5292</v>
      </c>
      <c r="E1721">
        <v>226.6</v>
      </c>
      <c r="F1721">
        <v>9.4</v>
      </c>
      <c r="G1721" t="s">
        <v>30</v>
      </c>
      <c r="H1721" t="s">
        <v>159</v>
      </c>
      <c r="I1721" t="s">
        <v>32</v>
      </c>
      <c r="J1721">
        <v>240</v>
      </c>
      <c r="K1721" t="s">
        <v>49</v>
      </c>
      <c r="L1721" t="s">
        <v>96</v>
      </c>
      <c r="M1721" t="s">
        <v>35</v>
      </c>
      <c r="N1721" t="s">
        <v>220</v>
      </c>
      <c r="O1721" t="s">
        <v>7232</v>
      </c>
      <c r="P1721" t="s">
        <v>38</v>
      </c>
      <c r="Q1721" t="s">
        <v>38</v>
      </c>
      <c r="R1721">
        <v>1</v>
      </c>
      <c r="S1721" t="s">
        <v>39</v>
      </c>
      <c r="T1721">
        <v>10</v>
      </c>
      <c r="U1721">
        <v>0.5</v>
      </c>
      <c r="V1721">
        <v>15.8</v>
      </c>
      <c r="W1721" t="s">
        <v>39</v>
      </c>
      <c r="X1721" t="s">
        <v>52</v>
      </c>
      <c r="Y1721" t="s">
        <v>39</v>
      </c>
      <c r="Z1721" t="s">
        <v>179</v>
      </c>
      <c r="AA1721" t="s">
        <v>54</v>
      </c>
      <c r="AB1721" t="s">
        <v>83</v>
      </c>
      <c r="AC1721">
        <f t="shared" si="286"/>
        <v>1</v>
      </c>
      <c r="AD1721" s="12">
        <f t="shared" si="290"/>
        <v>0</v>
      </c>
      <c r="AE1721" s="12">
        <f t="shared" si="291"/>
        <v>0</v>
      </c>
      <c r="AF1721">
        <f t="shared" si="287"/>
        <v>0</v>
      </c>
      <c r="AG1721">
        <f t="shared" si="292"/>
        <v>1</v>
      </c>
      <c r="AH1721">
        <f t="shared" si="293"/>
        <v>0</v>
      </c>
      <c r="AI1721">
        <f t="shared" si="294"/>
        <v>0</v>
      </c>
      <c r="AJ1721">
        <f t="shared" si="295"/>
        <v>1</v>
      </c>
      <c r="AK1721">
        <f t="shared" si="288"/>
        <v>1</v>
      </c>
      <c r="AL1721">
        <f t="shared" si="296"/>
        <v>0</v>
      </c>
    </row>
    <row r="1722" spans="1:38">
      <c r="A1722" t="s">
        <v>5293</v>
      </c>
      <c r="B1722" t="s">
        <v>5294</v>
      </c>
      <c r="C1722" s="1">
        <f t="shared" si="289"/>
        <v>45566</v>
      </c>
      <c r="D1722" t="s">
        <v>5295</v>
      </c>
      <c r="E1722">
        <v>330.8</v>
      </c>
      <c r="F1722">
        <v>13.8</v>
      </c>
      <c r="G1722" t="s">
        <v>87</v>
      </c>
      <c r="H1722" t="s">
        <v>309</v>
      </c>
      <c r="I1722" t="s">
        <v>79</v>
      </c>
      <c r="J1722">
        <v>360</v>
      </c>
      <c r="K1722" t="s">
        <v>49</v>
      </c>
      <c r="L1722" t="s">
        <v>70</v>
      </c>
      <c r="M1722" t="s">
        <v>35</v>
      </c>
      <c r="N1722" t="s">
        <v>119</v>
      </c>
      <c r="O1722" t="s">
        <v>7232</v>
      </c>
      <c r="P1722" t="s">
        <v>39</v>
      </c>
      <c r="Q1722" t="s">
        <v>38</v>
      </c>
      <c r="R1722">
        <v>0</v>
      </c>
      <c r="S1722" t="s">
        <v>38</v>
      </c>
      <c r="T1722">
        <v>10</v>
      </c>
      <c r="U1722">
        <v>0.3</v>
      </c>
      <c r="V1722">
        <v>31.7</v>
      </c>
      <c r="W1722" t="s">
        <v>38</v>
      </c>
      <c r="X1722" t="s">
        <v>52</v>
      </c>
      <c r="Y1722" t="s">
        <v>38</v>
      </c>
      <c r="Z1722" t="s">
        <v>53</v>
      </c>
      <c r="AA1722" t="s">
        <v>82</v>
      </c>
      <c r="AB1722" t="s">
        <v>83</v>
      </c>
      <c r="AC1722">
        <f t="shared" si="286"/>
        <v>1</v>
      </c>
      <c r="AD1722" s="12">
        <f t="shared" si="290"/>
        <v>0</v>
      </c>
      <c r="AE1722" s="12">
        <f t="shared" si="291"/>
        <v>0</v>
      </c>
      <c r="AF1722">
        <f t="shared" si="287"/>
        <v>0</v>
      </c>
      <c r="AG1722">
        <f t="shared" si="292"/>
        <v>1</v>
      </c>
      <c r="AH1722">
        <f t="shared" si="293"/>
        <v>0</v>
      </c>
      <c r="AI1722">
        <f t="shared" si="294"/>
        <v>0</v>
      </c>
      <c r="AJ1722">
        <f t="shared" si="295"/>
        <v>0</v>
      </c>
      <c r="AK1722">
        <f t="shared" si="288"/>
        <v>0</v>
      </c>
      <c r="AL1722">
        <f t="shared" si="296"/>
        <v>1</v>
      </c>
    </row>
    <row r="1723" spans="1:38">
      <c r="A1723" t="s">
        <v>5296</v>
      </c>
      <c r="B1723" t="s">
        <v>5297</v>
      </c>
      <c r="C1723" s="1">
        <f t="shared" si="289"/>
        <v>45352</v>
      </c>
      <c r="D1723" t="s">
        <v>5298</v>
      </c>
      <c r="E1723">
        <v>224.7</v>
      </c>
      <c r="F1723">
        <v>9.4</v>
      </c>
      <c r="G1723" t="s">
        <v>77</v>
      </c>
      <c r="H1723" t="s">
        <v>267</v>
      </c>
      <c r="I1723" t="s">
        <v>79</v>
      </c>
      <c r="J1723">
        <v>360</v>
      </c>
      <c r="K1723" t="s">
        <v>49</v>
      </c>
      <c r="L1723" t="s">
        <v>70</v>
      </c>
      <c r="M1723" t="s">
        <v>35</v>
      </c>
      <c r="N1723" t="s">
        <v>188</v>
      </c>
      <c r="O1723" t="s">
        <v>51</v>
      </c>
      <c r="P1723" t="s">
        <v>39</v>
      </c>
      <c r="Q1723" t="s">
        <v>38</v>
      </c>
      <c r="R1723">
        <v>0</v>
      </c>
      <c r="S1723" t="s">
        <v>39</v>
      </c>
      <c r="T1723">
        <v>8</v>
      </c>
      <c r="U1723">
        <v>3.8</v>
      </c>
      <c r="V1723">
        <v>20.100000000000001</v>
      </c>
      <c r="W1723" t="s">
        <v>38</v>
      </c>
      <c r="X1723" t="s">
        <v>123</v>
      </c>
      <c r="Y1723" t="s">
        <v>39</v>
      </c>
      <c r="Z1723" t="s">
        <v>64</v>
      </c>
      <c r="AA1723" t="s">
        <v>54</v>
      </c>
      <c r="AB1723" t="s">
        <v>55</v>
      </c>
      <c r="AC1723">
        <f t="shared" si="286"/>
        <v>0</v>
      </c>
      <c r="AD1723" s="12">
        <f t="shared" si="290"/>
        <v>0</v>
      </c>
      <c r="AE1723" s="12">
        <f t="shared" si="291"/>
        <v>1</v>
      </c>
      <c r="AF1723">
        <f t="shared" si="287"/>
        <v>1</v>
      </c>
      <c r="AG1723">
        <f t="shared" si="292"/>
        <v>0</v>
      </c>
      <c r="AH1723">
        <f t="shared" si="293"/>
        <v>0</v>
      </c>
      <c r="AI1723">
        <f t="shared" si="294"/>
        <v>0</v>
      </c>
      <c r="AJ1723">
        <f t="shared" si="295"/>
        <v>0</v>
      </c>
      <c r="AK1723">
        <f t="shared" si="288"/>
        <v>0</v>
      </c>
      <c r="AL1723">
        <f t="shared" si="296"/>
        <v>0</v>
      </c>
    </row>
    <row r="1724" spans="1:38">
      <c r="A1724" t="s">
        <v>5299</v>
      </c>
      <c r="B1724" t="s">
        <v>5300</v>
      </c>
      <c r="C1724" s="1">
        <f t="shared" si="289"/>
        <v>45474</v>
      </c>
      <c r="D1724" t="s">
        <v>5301</v>
      </c>
      <c r="E1724">
        <v>90.5</v>
      </c>
      <c r="F1724">
        <v>3.8</v>
      </c>
      <c r="G1724" t="s">
        <v>68</v>
      </c>
      <c r="H1724" t="s">
        <v>69</v>
      </c>
      <c r="I1724" t="s">
        <v>48</v>
      </c>
      <c r="J1724">
        <v>120</v>
      </c>
      <c r="K1724" t="s">
        <v>49</v>
      </c>
      <c r="L1724" t="s">
        <v>70</v>
      </c>
      <c r="M1724" t="s">
        <v>35</v>
      </c>
      <c r="N1724" t="s">
        <v>188</v>
      </c>
      <c r="O1724" t="s">
        <v>7232</v>
      </c>
      <c r="P1724" t="s">
        <v>39</v>
      </c>
      <c r="Q1724" t="s">
        <v>38</v>
      </c>
      <c r="R1724">
        <v>0</v>
      </c>
      <c r="S1724" t="s">
        <v>38</v>
      </c>
      <c r="T1724">
        <v>8</v>
      </c>
      <c r="U1724">
        <v>0.1</v>
      </c>
      <c r="V1724">
        <v>0.9</v>
      </c>
      <c r="W1724" t="s">
        <v>39</v>
      </c>
      <c r="X1724" t="s">
        <v>63</v>
      </c>
      <c r="Y1724" t="s">
        <v>39</v>
      </c>
      <c r="Z1724" t="s">
        <v>115</v>
      </c>
      <c r="AA1724" t="s">
        <v>54</v>
      </c>
      <c r="AB1724" t="s">
        <v>83</v>
      </c>
      <c r="AC1724">
        <f t="shared" si="286"/>
        <v>0</v>
      </c>
      <c r="AD1724" s="12">
        <f t="shared" si="290"/>
        <v>1</v>
      </c>
      <c r="AE1724" s="12">
        <f t="shared" si="291"/>
        <v>0</v>
      </c>
      <c r="AF1724">
        <f t="shared" si="287"/>
        <v>0</v>
      </c>
      <c r="AG1724">
        <f t="shared" si="292"/>
        <v>1</v>
      </c>
      <c r="AH1724">
        <f t="shared" si="293"/>
        <v>1</v>
      </c>
      <c r="AI1724">
        <f t="shared" si="294"/>
        <v>0</v>
      </c>
      <c r="AJ1724">
        <f t="shared" si="295"/>
        <v>0</v>
      </c>
      <c r="AK1724">
        <f t="shared" si="288"/>
        <v>0</v>
      </c>
      <c r="AL1724">
        <f t="shared" si="296"/>
        <v>0</v>
      </c>
    </row>
    <row r="1725" spans="1:38">
      <c r="A1725" t="s">
        <v>5302</v>
      </c>
      <c r="B1725" t="s">
        <v>5303</v>
      </c>
      <c r="C1725" s="1">
        <f t="shared" si="289"/>
        <v>45383</v>
      </c>
      <c r="D1725" t="s">
        <v>5304</v>
      </c>
      <c r="E1725">
        <v>198.5</v>
      </c>
      <c r="F1725">
        <v>8.3000000000000007</v>
      </c>
      <c r="G1725" t="s">
        <v>77</v>
      </c>
      <c r="H1725" t="s">
        <v>187</v>
      </c>
      <c r="I1725" t="s">
        <v>32</v>
      </c>
      <c r="J1725">
        <v>240</v>
      </c>
      <c r="K1725" t="s">
        <v>49</v>
      </c>
      <c r="L1725" t="s">
        <v>34</v>
      </c>
      <c r="M1725" t="s">
        <v>35</v>
      </c>
      <c r="N1725" t="s">
        <v>144</v>
      </c>
      <c r="O1725" t="s">
        <v>51</v>
      </c>
      <c r="P1725" t="s">
        <v>39</v>
      </c>
      <c r="Q1725" t="s">
        <v>38</v>
      </c>
      <c r="R1725">
        <v>0</v>
      </c>
      <c r="S1725" t="s">
        <v>38</v>
      </c>
      <c r="T1725">
        <v>9</v>
      </c>
      <c r="U1725">
        <v>2.2999999999999998</v>
      </c>
      <c r="V1725">
        <v>28.6</v>
      </c>
      <c r="W1725" t="s">
        <v>38</v>
      </c>
      <c r="X1725" t="s">
        <v>63</v>
      </c>
      <c r="Y1725" t="s">
        <v>39</v>
      </c>
      <c r="Z1725" t="s">
        <v>41</v>
      </c>
      <c r="AA1725" t="s">
        <v>109</v>
      </c>
      <c r="AB1725" t="s">
        <v>83</v>
      </c>
      <c r="AC1725">
        <f t="shared" si="286"/>
        <v>0</v>
      </c>
      <c r="AD1725" s="12">
        <f t="shared" si="290"/>
        <v>1</v>
      </c>
      <c r="AE1725" s="12">
        <f t="shared" si="291"/>
        <v>0</v>
      </c>
      <c r="AF1725">
        <f t="shared" si="287"/>
        <v>1</v>
      </c>
      <c r="AG1725">
        <f t="shared" si="292"/>
        <v>0</v>
      </c>
      <c r="AH1725">
        <f t="shared" si="293"/>
        <v>0</v>
      </c>
      <c r="AI1725">
        <f t="shared" si="294"/>
        <v>0</v>
      </c>
      <c r="AJ1725">
        <f t="shared" si="295"/>
        <v>1</v>
      </c>
      <c r="AK1725">
        <f t="shared" si="288"/>
        <v>0</v>
      </c>
      <c r="AL1725">
        <f t="shared" si="296"/>
        <v>0</v>
      </c>
    </row>
    <row r="1726" spans="1:38">
      <c r="A1726" t="s">
        <v>5305</v>
      </c>
      <c r="B1726" t="s">
        <v>5306</v>
      </c>
      <c r="C1726" s="1">
        <f t="shared" si="289"/>
        <v>45597</v>
      </c>
      <c r="D1726" t="s">
        <v>5307</v>
      </c>
      <c r="E1726">
        <v>847.7</v>
      </c>
      <c r="F1726">
        <v>35.299999999999997</v>
      </c>
      <c r="G1726" t="s">
        <v>77</v>
      </c>
      <c r="H1726" t="s">
        <v>244</v>
      </c>
      <c r="I1726" t="s">
        <v>79</v>
      </c>
      <c r="J1726">
        <v>360</v>
      </c>
      <c r="K1726" t="s">
        <v>33</v>
      </c>
      <c r="L1726" t="s">
        <v>96</v>
      </c>
      <c r="M1726" t="s">
        <v>35</v>
      </c>
      <c r="N1726" t="s">
        <v>97</v>
      </c>
      <c r="O1726" t="s">
        <v>7232</v>
      </c>
      <c r="P1726" t="s">
        <v>39</v>
      </c>
      <c r="Q1726" t="s">
        <v>38</v>
      </c>
      <c r="R1726">
        <v>0</v>
      </c>
      <c r="S1726" t="s">
        <v>39</v>
      </c>
      <c r="T1726">
        <v>7</v>
      </c>
      <c r="U1726">
        <v>3.1</v>
      </c>
      <c r="V1726">
        <v>41.6</v>
      </c>
      <c r="W1726" t="s">
        <v>39</v>
      </c>
      <c r="X1726" t="s">
        <v>123</v>
      </c>
      <c r="Y1726" t="s">
        <v>38</v>
      </c>
      <c r="Z1726" t="s">
        <v>81</v>
      </c>
      <c r="AA1726" t="s">
        <v>103</v>
      </c>
      <c r="AB1726" t="s">
        <v>55</v>
      </c>
      <c r="AC1726">
        <f t="shared" si="286"/>
        <v>0</v>
      </c>
      <c r="AD1726" s="12">
        <f t="shared" si="290"/>
        <v>0</v>
      </c>
      <c r="AE1726" s="12">
        <f t="shared" si="291"/>
        <v>1</v>
      </c>
      <c r="AF1726">
        <f t="shared" si="287"/>
        <v>0</v>
      </c>
      <c r="AG1726">
        <f t="shared" si="292"/>
        <v>1</v>
      </c>
      <c r="AH1726">
        <f t="shared" si="293"/>
        <v>0</v>
      </c>
      <c r="AI1726">
        <f t="shared" si="294"/>
        <v>0</v>
      </c>
      <c r="AJ1726">
        <f t="shared" si="295"/>
        <v>0</v>
      </c>
      <c r="AK1726">
        <f t="shared" si="288"/>
        <v>0</v>
      </c>
      <c r="AL1726">
        <f t="shared" si="296"/>
        <v>1</v>
      </c>
    </row>
    <row r="1727" spans="1:38">
      <c r="A1727" t="s">
        <v>5308</v>
      </c>
      <c r="B1727" t="s">
        <v>5309</v>
      </c>
      <c r="C1727" s="1">
        <f t="shared" si="289"/>
        <v>45323</v>
      </c>
      <c r="D1727" t="s">
        <v>5310</v>
      </c>
      <c r="E1727">
        <v>198.9</v>
      </c>
      <c r="F1727">
        <v>8.3000000000000007</v>
      </c>
      <c r="G1727" t="s">
        <v>59</v>
      </c>
      <c r="H1727" t="s">
        <v>60</v>
      </c>
      <c r="I1727" t="s">
        <v>32</v>
      </c>
      <c r="J1727">
        <v>240</v>
      </c>
      <c r="K1727" t="s">
        <v>49</v>
      </c>
      <c r="L1727" t="s">
        <v>34</v>
      </c>
      <c r="M1727" t="s">
        <v>35</v>
      </c>
      <c r="N1727" t="s">
        <v>134</v>
      </c>
      <c r="O1727" t="s">
        <v>37</v>
      </c>
      <c r="P1727" t="s">
        <v>38</v>
      </c>
      <c r="Q1727" t="s">
        <v>38</v>
      </c>
      <c r="R1727">
        <v>1</v>
      </c>
      <c r="S1727" t="s">
        <v>38</v>
      </c>
      <c r="T1727">
        <v>8</v>
      </c>
      <c r="U1727">
        <v>2.5</v>
      </c>
      <c r="V1727">
        <v>10.8</v>
      </c>
      <c r="W1727" t="s">
        <v>39</v>
      </c>
      <c r="X1727" t="s">
        <v>40</v>
      </c>
      <c r="Y1727" t="s">
        <v>39</v>
      </c>
      <c r="Z1727" t="s">
        <v>73</v>
      </c>
      <c r="AA1727" t="s">
        <v>42</v>
      </c>
      <c r="AB1727" t="s">
        <v>83</v>
      </c>
      <c r="AC1727">
        <f t="shared" si="286"/>
        <v>0</v>
      </c>
      <c r="AD1727" s="12">
        <f t="shared" si="290"/>
        <v>0</v>
      </c>
      <c r="AE1727" s="12">
        <f t="shared" si="291"/>
        <v>0</v>
      </c>
      <c r="AF1727">
        <f t="shared" si="287"/>
        <v>0</v>
      </c>
      <c r="AG1727">
        <f t="shared" si="292"/>
        <v>0</v>
      </c>
      <c r="AH1727">
        <f t="shared" si="293"/>
        <v>0</v>
      </c>
      <c r="AI1727">
        <f t="shared" si="294"/>
        <v>0</v>
      </c>
      <c r="AJ1727">
        <f t="shared" si="295"/>
        <v>1</v>
      </c>
      <c r="AK1727">
        <f t="shared" si="288"/>
        <v>0</v>
      </c>
      <c r="AL1727">
        <f t="shared" si="296"/>
        <v>0</v>
      </c>
    </row>
    <row r="1728" spans="1:38">
      <c r="A1728" t="s">
        <v>5311</v>
      </c>
      <c r="B1728" t="s">
        <v>5312</v>
      </c>
      <c r="C1728" s="1">
        <f t="shared" si="289"/>
        <v>45352</v>
      </c>
      <c r="D1728" t="s">
        <v>5313</v>
      </c>
      <c r="E1728">
        <v>43.4</v>
      </c>
      <c r="F1728">
        <v>1.8</v>
      </c>
      <c r="G1728" t="s">
        <v>87</v>
      </c>
      <c r="H1728" t="s">
        <v>151</v>
      </c>
      <c r="I1728" t="s">
        <v>95</v>
      </c>
      <c r="J1728">
        <v>48</v>
      </c>
      <c r="K1728" t="s">
        <v>49</v>
      </c>
      <c r="L1728" t="s">
        <v>96</v>
      </c>
      <c r="M1728" t="s">
        <v>35</v>
      </c>
      <c r="N1728" t="s">
        <v>50</v>
      </c>
      <c r="O1728" t="s">
        <v>7232</v>
      </c>
      <c r="P1728" t="s">
        <v>38</v>
      </c>
      <c r="Q1728" t="s">
        <v>38</v>
      </c>
      <c r="R1728">
        <v>1</v>
      </c>
      <c r="S1728" t="s">
        <v>39</v>
      </c>
      <c r="T1728">
        <v>8</v>
      </c>
      <c r="U1728">
        <v>1.6</v>
      </c>
      <c r="V1728">
        <v>14.5</v>
      </c>
      <c r="W1728" t="s">
        <v>38</v>
      </c>
      <c r="X1728" t="s">
        <v>63</v>
      </c>
      <c r="Y1728" t="s">
        <v>38</v>
      </c>
      <c r="Z1728" t="s">
        <v>108</v>
      </c>
      <c r="AA1728" t="s">
        <v>54</v>
      </c>
      <c r="AB1728" t="s">
        <v>83</v>
      </c>
      <c r="AC1728">
        <f t="shared" si="286"/>
        <v>0</v>
      </c>
      <c r="AD1728" s="12">
        <f t="shared" si="290"/>
        <v>1</v>
      </c>
      <c r="AE1728" s="12">
        <f t="shared" si="291"/>
        <v>0</v>
      </c>
      <c r="AF1728">
        <f t="shared" si="287"/>
        <v>0</v>
      </c>
      <c r="AG1728">
        <f t="shared" si="292"/>
        <v>1</v>
      </c>
      <c r="AH1728">
        <f t="shared" si="293"/>
        <v>0</v>
      </c>
      <c r="AI1728">
        <f t="shared" si="294"/>
        <v>1</v>
      </c>
      <c r="AJ1728">
        <f t="shared" si="295"/>
        <v>0</v>
      </c>
      <c r="AK1728">
        <f t="shared" si="288"/>
        <v>0</v>
      </c>
      <c r="AL1728">
        <f t="shared" si="296"/>
        <v>1</v>
      </c>
    </row>
    <row r="1729" spans="1:38">
      <c r="A1729" t="s">
        <v>5314</v>
      </c>
      <c r="B1729" t="s">
        <v>5315</v>
      </c>
      <c r="C1729" s="1">
        <f t="shared" si="289"/>
        <v>45505</v>
      </c>
      <c r="D1729" t="s">
        <v>5316</v>
      </c>
      <c r="E1729">
        <v>320.39999999999998</v>
      </c>
      <c r="F1729">
        <v>13.4</v>
      </c>
      <c r="G1729" t="s">
        <v>142</v>
      </c>
      <c r="H1729" t="s">
        <v>240</v>
      </c>
      <c r="I1729" t="s">
        <v>79</v>
      </c>
      <c r="J1729">
        <v>360</v>
      </c>
      <c r="K1729" t="s">
        <v>49</v>
      </c>
      <c r="L1729" t="s">
        <v>113</v>
      </c>
      <c r="M1729" t="s">
        <v>35</v>
      </c>
      <c r="N1729" t="s">
        <v>220</v>
      </c>
      <c r="O1729" t="s">
        <v>7232</v>
      </c>
      <c r="P1729" t="s">
        <v>38</v>
      </c>
      <c r="Q1729" t="s">
        <v>38</v>
      </c>
      <c r="R1729">
        <v>1</v>
      </c>
      <c r="S1729" t="s">
        <v>38</v>
      </c>
      <c r="T1729">
        <v>7</v>
      </c>
      <c r="U1729">
        <v>3.3</v>
      </c>
      <c r="V1729">
        <v>6.8</v>
      </c>
      <c r="W1729" t="s">
        <v>38</v>
      </c>
      <c r="X1729" t="s">
        <v>63</v>
      </c>
      <c r="Y1729" t="s">
        <v>39</v>
      </c>
      <c r="Z1729" t="s">
        <v>53</v>
      </c>
      <c r="AA1729" t="s">
        <v>82</v>
      </c>
      <c r="AB1729" t="s">
        <v>83</v>
      </c>
      <c r="AC1729">
        <f t="shared" si="286"/>
        <v>0</v>
      </c>
      <c r="AD1729" s="12">
        <f t="shared" si="290"/>
        <v>1</v>
      </c>
      <c r="AE1729" s="12">
        <f t="shared" si="291"/>
        <v>0</v>
      </c>
      <c r="AF1729">
        <f t="shared" si="287"/>
        <v>0</v>
      </c>
      <c r="AG1729">
        <f t="shared" si="292"/>
        <v>1</v>
      </c>
      <c r="AH1729">
        <f t="shared" si="293"/>
        <v>0</v>
      </c>
      <c r="AI1729">
        <f t="shared" si="294"/>
        <v>0</v>
      </c>
      <c r="AJ1729">
        <f t="shared" si="295"/>
        <v>0</v>
      </c>
      <c r="AK1729">
        <f t="shared" si="288"/>
        <v>0</v>
      </c>
      <c r="AL1729">
        <f t="shared" si="296"/>
        <v>0</v>
      </c>
    </row>
    <row r="1730" spans="1:38">
      <c r="A1730" t="s">
        <v>5317</v>
      </c>
      <c r="B1730" t="s">
        <v>5318</v>
      </c>
      <c r="C1730" s="1">
        <f t="shared" si="289"/>
        <v>45474</v>
      </c>
      <c r="D1730" t="s">
        <v>5319</v>
      </c>
      <c r="E1730">
        <v>286.10000000000002</v>
      </c>
      <c r="F1730">
        <v>11.9</v>
      </c>
      <c r="G1730" t="s">
        <v>93</v>
      </c>
      <c r="H1730" t="s">
        <v>163</v>
      </c>
      <c r="I1730" t="s">
        <v>79</v>
      </c>
      <c r="J1730">
        <v>360</v>
      </c>
      <c r="K1730" t="s">
        <v>49</v>
      </c>
      <c r="L1730" t="s">
        <v>70</v>
      </c>
      <c r="M1730" t="s">
        <v>35</v>
      </c>
      <c r="N1730" t="s">
        <v>277</v>
      </c>
      <c r="O1730" t="s">
        <v>37</v>
      </c>
      <c r="P1730" t="s">
        <v>38</v>
      </c>
      <c r="Q1730" t="s">
        <v>38</v>
      </c>
      <c r="R1730">
        <v>1</v>
      </c>
      <c r="S1730" t="s">
        <v>39</v>
      </c>
      <c r="T1730">
        <v>8</v>
      </c>
      <c r="U1730">
        <v>2.7</v>
      </c>
      <c r="V1730">
        <v>0</v>
      </c>
      <c r="W1730" t="s">
        <v>39</v>
      </c>
      <c r="X1730" t="s">
        <v>52</v>
      </c>
      <c r="Y1730" t="s">
        <v>38</v>
      </c>
      <c r="Z1730" t="s">
        <v>81</v>
      </c>
      <c r="AA1730" t="s">
        <v>54</v>
      </c>
      <c r="AB1730" t="s">
        <v>55</v>
      </c>
      <c r="AC1730">
        <f t="shared" ref="AC1730:AC1793" si="297">IF(X1730="Poor", 1, 0)</f>
        <v>1</v>
      </c>
      <c r="AD1730" s="12">
        <f t="shared" si="290"/>
        <v>0</v>
      </c>
      <c r="AE1730" s="12">
        <f t="shared" si="291"/>
        <v>0</v>
      </c>
      <c r="AF1730">
        <f t="shared" ref="AF1730:AF1793" si="298">IF(O1730="Junior", 1, 0)</f>
        <v>0</v>
      </c>
      <c r="AG1730">
        <f t="shared" si="292"/>
        <v>0</v>
      </c>
      <c r="AH1730">
        <f t="shared" si="293"/>
        <v>0</v>
      </c>
      <c r="AI1730">
        <f t="shared" si="294"/>
        <v>0</v>
      </c>
      <c r="AJ1730">
        <f t="shared" si="295"/>
        <v>0</v>
      </c>
      <c r="AK1730">
        <f t="shared" ref="AK1730:AK1793" si="299">IF(G1730="Access Requests", 1, 0)</f>
        <v>0</v>
      </c>
      <c r="AL1730">
        <f t="shared" si="296"/>
        <v>1</v>
      </c>
    </row>
    <row r="1731" spans="1:38">
      <c r="A1731" t="s">
        <v>5320</v>
      </c>
      <c r="B1731" t="s">
        <v>5321</v>
      </c>
      <c r="C1731" s="1">
        <f t="shared" ref="C1731:C1794" si="300">DATE(YEAR(B1731),MONTH(B1731),1)</f>
        <v>45323</v>
      </c>
      <c r="D1731" t="s">
        <v>5322</v>
      </c>
      <c r="E1731">
        <v>279.3</v>
      </c>
      <c r="F1731">
        <v>11.6</v>
      </c>
      <c r="G1731" t="s">
        <v>77</v>
      </c>
      <c r="H1731" t="s">
        <v>187</v>
      </c>
      <c r="I1731" t="s">
        <v>79</v>
      </c>
      <c r="J1731">
        <v>360</v>
      </c>
      <c r="K1731" t="s">
        <v>49</v>
      </c>
      <c r="L1731" t="s">
        <v>70</v>
      </c>
      <c r="M1731" t="s">
        <v>35</v>
      </c>
      <c r="N1731" t="s">
        <v>134</v>
      </c>
      <c r="O1731" t="s">
        <v>37</v>
      </c>
      <c r="P1731" t="s">
        <v>39</v>
      </c>
      <c r="Q1731" t="s">
        <v>38</v>
      </c>
      <c r="R1731">
        <v>0</v>
      </c>
      <c r="S1731" t="s">
        <v>38</v>
      </c>
      <c r="T1731">
        <v>10</v>
      </c>
      <c r="U1731">
        <v>0.1</v>
      </c>
      <c r="V1731">
        <v>16.100000000000001</v>
      </c>
      <c r="W1731" t="s">
        <v>39</v>
      </c>
      <c r="X1731" t="s">
        <v>52</v>
      </c>
      <c r="Y1731" t="s">
        <v>39</v>
      </c>
      <c r="Z1731" t="s">
        <v>179</v>
      </c>
      <c r="AA1731" t="s">
        <v>109</v>
      </c>
      <c r="AB1731" t="s">
        <v>43</v>
      </c>
      <c r="AC1731">
        <f t="shared" si="297"/>
        <v>1</v>
      </c>
      <c r="AD1731" s="12">
        <f t="shared" ref="AD1731:AD1794" si="301">IF(X1731="Fair", 1, 0)</f>
        <v>0</v>
      </c>
      <c r="AE1731" s="12">
        <f t="shared" ref="AE1731:AE1794" si="302">IF(X1731="Good", 1, 0)</f>
        <v>0</v>
      </c>
      <c r="AF1731">
        <f t="shared" si="298"/>
        <v>0</v>
      </c>
      <c r="AG1731">
        <f t="shared" ref="AG1731:AG1794" si="303">IF(O1731="Mid", 1, 0)</f>
        <v>0</v>
      </c>
      <c r="AH1731">
        <f t="shared" ref="AH1731:AH1794" si="304">IF(I1731="High", 1, 0)</f>
        <v>0</v>
      </c>
      <c r="AI1731">
        <f t="shared" ref="AI1731:AI1794" si="305">IF(I1731="Critical", 1, 0)</f>
        <v>0</v>
      </c>
      <c r="AJ1731">
        <f t="shared" ref="AJ1731:AJ1794" si="306">IF(I1731="Medium", 1, 0)</f>
        <v>0</v>
      </c>
      <c r="AK1731">
        <f t="shared" si="299"/>
        <v>0</v>
      </c>
      <c r="AL1731">
        <f t="shared" ref="AL1731:AL1794" si="307">IF(Y1731="No", 1, 0)</f>
        <v>0</v>
      </c>
    </row>
    <row r="1732" spans="1:38">
      <c r="A1732" t="s">
        <v>5323</v>
      </c>
      <c r="B1732" t="s">
        <v>5324</v>
      </c>
      <c r="C1732" s="1">
        <f t="shared" si="300"/>
        <v>45627</v>
      </c>
      <c r="D1732" t="s">
        <v>5325</v>
      </c>
      <c r="E1732">
        <v>235.3</v>
      </c>
      <c r="F1732">
        <v>9.8000000000000007</v>
      </c>
      <c r="G1732" t="s">
        <v>77</v>
      </c>
      <c r="H1732" t="s">
        <v>267</v>
      </c>
      <c r="I1732" t="s">
        <v>79</v>
      </c>
      <c r="J1732">
        <v>360</v>
      </c>
      <c r="K1732" t="s">
        <v>49</v>
      </c>
      <c r="L1732" t="s">
        <v>70</v>
      </c>
      <c r="M1732" t="s">
        <v>35</v>
      </c>
      <c r="N1732" t="s">
        <v>168</v>
      </c>
      <c r="O1732" t="s">
        <v>37</v>
      </c>
      <c r="P1732" t="s">
        <v>39</v>
      </c>
      <c r="Q1732" t="s">
        <v>38</v>
      </c>
      <c r="R1732">
        <v>0</v>
      </c>
      <c r="S1732" t="s">
        <v>38</v>
      </c>
      <c r="T1732">
        <v>8</v>
      </c>
      <c r="U1732">
        <v>2.8</v>
      </c>
      <c r="V1732">
        <v>30.8</v>
      </c>
      <c r="W1732" t="s">
        <v>38</v>
      </c>
      <c r="X1732" t="s">
        <v>52</v>
      </c>
      <c r="Y1732" t="s">
        <v>39</v>
      </c>
      <c r="Z1732" t="s">
        <v>81</v>
      </c>
      <c r="AA1732" t="s">
        <v>109</v>
      </c>
      <c r="AB1732" t="s">
        <v>43</v>
      </c>
      <c r="AC1732">
        <f t="shared" si="297"/>
        <v>1</v>
      </c>
      <c r="AD1732" s="12">
        <f t="shared" si="301"/>
        <v>0</v>
      </c>
      <c r="AE1732" s="12">
        <f t="shared" si="302"/>
        <v>0</v>
      </c>
      <c r="AF1732">
        <f t="shared" si="298"/>
        <v>0</v>
      </c>
      <c r="AG1732">
        <f t="shared" si="303"/>
        <v>0</v>
      </c>
      <c r="AH1732">
        <f t="shared" si="304"/>
        <v>0</v>
      </c>
      <c r="AI1732">
        <f t="shared" si="305"/>
        <v>0</v>
      </c>
      <c r="AJ1732">
        <f t="shared" si="306"/>
        <v>0</v>
      </c>
      <c r="AK1732">
        <f t="shared" si="299"/>
        <v>0</v>
      </c>
      <c r="AL1732">
        <f t="shared" si="307"/>
        <v>0</v>
      </c>
    </row>
    <row r="1733" spans="1:38">
      <c r="A1733" t="s">
        <v>5326</v>
      </c>
      <c r="B1733" t="s">
        <v>5327</v>
      </c>
      <c r="C1733" s="1">
        <f t="shared" si="300"/>
        <v>45383</v>
      </c>
      <c r="D1733" t="s">
        <v>5328</v>
      </c>
      <c r="E1733">
        <v>84.9</v>
      </c>
      <c r="F1733">
        <v>3.5</v>
      </c>
      <c r="G1733" t="s">
        <v>68</v>
      </c>
      <c r="H1733" t="s">
        <v>456</v>
      </c>
      <c r="I1733" t="s">
        <v>48</v>
      </c>
      <c r="J1733">
        <v>120</v>
      </c>
      <c r="K1733" t="s">
        <v>49</v>
      </c>
      <c r="L1733" t="s">
        <v>70</v>
      </c>
      <c r="M1733" t="s">
        <v>35</v>
      </c>
      <c r="N1733" t="s">
        <v>192</v>
      </c>
      <c r="O1733" t="s">
        <v>37</v>
      </c>
      <c r="P1733" t="s">
        <v>38</v>
      </c>
      <c r="Q1733" t="s">
        <v>38</v>
      </c>
      <c r="R1733">
        <v>1</v>
      </c>
      <c r="S1733" t="s">
        <v>38</v>
      </c>
      <c r="T1733">
        <v>10</v>
      </c>
      <c r="U1733">
        <v>3.7</v>
      </c>
      <c r="V1733">
        <v>20.3</v>
      </c>
      <c r="W1733" t="s">
        <v>39</v>
      </c>
      <c r="X1733" t="s">
        <v>63</v>
      </c>
      <c r="Y1733" t="s">
        <v>38</v>
      </c>
      <c r="Z1733" t="s">
        <v>73</v>
      </c>
      <c r="AA1733" t="s">
        <v>54</v>
      </c>
      <c r="AB1733" t="s">
        <v>55</v>
      </c>
      <c r="AC1733">
        <f t="shared" si="297"/>
        <v>0</v>
      </c>
      <c r="AD1733" s="12">
        <f t="shared" si="301"/>
        <v>1</v>
      </c>
      <c r="AE1733" s="12">
        <f t="shared" si="302"/>
        <v>0</v>
      </c>
      <c r="AF1733">
        <f t="shared" si="298"/>
        <v>0</v>
      </c>
      <c r="AG1733">
        <f t="shared" si="303"/>
        <v>0</v>
      </c>
      <c r="AH1733">
        <f t="shared" si="304"/>
        <v>1</v>
      </c>
      <c r="AI1733">
        <f t="shared" si="305"/>
        <v>0</v>
      </c>
      <c r="AJ1733">
        <f t="shared" si="306"/>
        <v>0</v>
      </c>
      <c r="AK1733">
        <f t="shared" si="299"/>
        <v>0</v>
      </c>
      <c r="AL1733">
        <f t="shared" si="307"/>
        <v>1</v>
      </c>
    </row>
    <row r="1734" spans="1:38">
      <c r="A1734" t="s">
        <v>5329</v>
      </c>
      <c r="B1734" t="s">
        <v>5330</v>
      </c>
      <c r="C1734" s="1">
        <f t="shared" si="300"/>
        <v>45505</v>
      </c>
      <c r="D1734" t="s">
        <v>5331</v>
      </c>
      <c r="E1734">
        <v>149.80000000000001</v>
      </c>
      <c r="F1734">
        <v>6.2</v>
      </c>
      <c r="G1734" t="s">
        <v>30</v>
      </c>
      <c r="H1734" t="s">
        <v>172</v>
      </c>
      <c r="I1734" t="s">
        <v>32</v>
      </c>
      <c r="J1734">
        <v>240</v>
      </c>
      <c r="K1734" t="s">
        <v>49</v>
      </c>
      <c r="L1734" t="s">
        <v>96</v>
      </c>
      <c r="M1734" t="s">
        <v>35</v>
      </c>
      <c r="N1734" t="s">
        <v>220</v>
      </c>
      <c r="O1734" t="s">
        <v>7232</v>
      </c>
      <c r="P1734" t="s">
        <v>38</v>
      </c>
      <c r="Q1734" t="s">
        <v>38</v>
      </c>
      <c r="R1734">
        <v>1</v>
      </c>
      <c r="S1734" t="s">
        <v>38</v>
      </c>
      <c r="T1734">
        <v>9</v>
      </c>
      <c r="U1734">
        <v>3.7</v>
      </c>
      <c r="V1734">
        <v>10.1</v>
      </c>
      <c r="W1734" t="s">
        <v>39</v>
      </c>
      <c r="X1734" t="s">
        <v>52</v>
      </c>
      <c r="Y1734" t="s">
        <v>39</v>
      </c>
      <c r="Z1734" t="s">
        <v>73</v>
      </c>
      <c r="AA1734" t="s">
        <v>109</v>
      </c>
      <c r="AB1734" t="s">
        <v>83</v>
      </c>
      <c r="AC1734">
        <f t="shared" si="297"/>
        <v>1</v>
      </c>
      <c r="AD1734" s="12">
        <f t="shared" si="301"/>
        <v>0</v>
      </c>
      <c r="AE1734" s="12">
        <f t="shared" si="302"/>
        <v>0</v>
      </c>
      <c r="AF1734">
        <f t="shared" si="298"/>
        <v>0</v>
      </c>
      <c r="AG1734">
        <f t="shared" si="303"/>
        <v>1</v>
      </c>
      <c r="AH1734">
        <f t="shared" si="304"/>
        <v>0</v>
      </c>
      <c r="AI1734">
        <f t="shared" si="305"/>
        <v>0</v>
      </c>
      <c r="AJ1734">
        <f t="shared" si="306"/>
        <v>1</v>
      </c>
      <c r="AK1734">
        <f t="shared" si="299"/>
        <v>1</v>
      </c>
      <c r="AL1734">
        <f t="shared" si="307"/>
        <v>0</v>
      </c>
    </row>
    <row r="1735" spans="1:38">
      <c r="A1735" t="s">
        <v>5332</v>
      </c>
      <c r="B1735" t="s">
        <v>5333</v>
      </c>
      <c r="C1735" s="1">
        <f t="shared" si="300"/>
        <v>45352</v>
      </c>
      <c r="D1735" t="s">
        <v>5334</v>
      </c>
      <c r="E1735">
        <v>100.4</v>
      </c>
      <c r="F1735">
        <v>4.2</v>
      </c>
      <c r="G1735" t="s">
        <v>59</v>
      </c>
      <c r="H1735" t="s">
        <v>127</v>
      </c>
      <c r="I1735" t="s">
        <v>48</v>
      </c>
      <c r="J1735">
        <v>120</v>
      </c>
      <c r="K1735" t="s">
        <v>49</v>
      </c>
      <c r="L1735" t="s">
        <v>70</v>
      </c>
      <c r="M1735" t="s">
        <v>71</v>
      </c>
      <c r="N1735" t="s">
        <v>119</v>
      </c>
      <c r="O1735" t="s">
        <v>51</v>
      </c>
      <c r="P1735" t="s">
        <v>38</v>
      </c>
      <c r="Q1735" t="s">
        <v>39</v>
      </c>
      <c r="R1735">
        <v>3</v>
      </c>
      <c r="S1735" t="s">
        <v>38</v>
      </c>
      <c r="T1735">
        <v>8</v>
      </c>
      <c r="U1735">
        <v>4.9000000000000004</v>
      </c>
      <c r="V1735">
        <v>15.1</v>
      </c>
      <c r="W1735" t="s">
        <v>38</v>
      </c>
      <c r="X1735" t="s">
        <v>123</v>
      </c>
      <c r="Y1735" t="s">
        <v>39</v>
      </c>
      <c r="Z1735" t="s">
        <v>73</v>
      </c>
      <c r="AA1735" t="s">
        <v>54</v>
      </c>
      <c r="AB1735" t="s">
        <v>43</v>
      </c>
      <c r="AC1735">
        <f t="shared" si="297"/>
        <v>0</v>
      </c>
      <c r="AD1735" s="12">
        <f t="shared" si="301"/>
        <v>0</v>
      </c>
      <c r="AE1735" s="12">
        <f t="shared" si="302"/>
        <v>1</v>
      </c>
      <c r="AF1735">
        <f t="shared" si="298"/>
        <v>1</v>
      </c>
      <c r="AG1735">
        <f t="shared" si="303"/>
        <v>0</v>
      </c>
      <c r="AH1735">
        <f t="shared" si="304"/>
        <v>1</v>
      </c>
      <c r="AI1735">
        <f t="shared" si="305"/>
        <v>0</v>
      </c>
      <c r="AJ1735">
        <f t="shared" si="306"/>
        <v>0</v>
      </c>
      <c r="AK1735">
        <f t="shared" si="299"/>
        <v>0</v>
      </c>
      <c r="AL1735">
        <f t="shared" si="307"/>
        <v>0</v>
      </c>
    </row>
    <row r="1736" spans="1:38">
      <c r="A1736" t="s">
        <v>5335</v>
      </c>
      <c r="B1736" t="s">
        <v>5336</v>
      </c>
      <c r="C1736" s="1">
        <f t="shared" si="300"/>
        <v>45566</v>
      </c>
      <c r="D1736" t="s">
        <v>5337</v>
      </c>
      <c r="E1736">
        <v>345.7</v>
      </c>
      <c r="F1736">
        <v>14.4</v>
      </c>
      <c r="G1736" t="s">
        <v>68</v>
      </c>
      <c r="H1736" t="s">
        <v>69</v>
      </c>
      <c r="I1736" t="s">
        <v>48</v>
      </c>
      <c r="J1736">
        <v>120</v>
      </c>
      <c r="K1736" t="s">
        <v>33</v>
      </c>
      <c r="L1736" t="s">
        <v>70</v>
      </c>
      <c r="M1736" t="s">
        <v>35</v>
      </c>
      <c r="N1736" t="s">
        <v>72</v>
      </c>
      <c r="O1736" t="s">
        <v>51</v>
      </c>
      <c r="P1736" t="s">
        <v>38</v>
      </c>
      <c r="Q1736" t="s">
        <v>38</v>
      </c>
      <c r="R1736">
        <v>1</v>
      </c>
      <c r="S1736" t="s">
        <v>39</v>
      </c>
      <c r="T1736">
        <v>5</v>
      </c>
      <c r="U1736">
        <v>4.4000000000000004</v>
      </c>
      <c r="V1736">
        <v>23</v>
      </c>
      <c r="W1736" t="s">
        <v>39</v>
      </c>
      <c r="X1736" t="s">
        <v>123</v>
      </c>
      <c r="Y1736" t="s">
        <v>38</v>
      </c>
      <c r="Z1736" t="s">
        <v>41</v>
      </c>
      <c r="AA1736" t="s">
        <v>42</v>
      </c>
      <c r="AB1736" t="s">
        <v>83</v>
      </c>
      <c r="AC1736">
        <f t="shared" si="297"/>
        <v>0</v>
      </c>
      <c r="AD1736" s="12">
        <f t="shared" si="301"/>
        <v>0</v>
      </c>
      <c r="AE1736" s="12">
        <f t="shared" si="302"/>
        <v>1</v>
      </c>
      <c r="AF1736">
        <f t="shared" si="298"/>
        <v>1</v>
      </c>
      <c r="AG1736">
        <f t="shared" si="303"/>
        <v>0</v>
      </c>
      <c r="AH1736">
        <f t="shared" si="304"/>
        <v>1</v>
      </c>
      <c r="AI1736">
        <f t="shared" si="305"/>
        <v>0</v>
      </c>
      <c r="AJ1736">
        <f t="shared" si="306"/>
        <v>0</v>
      </c>
      <c r="AK1736">
        <f t="shared" si="299"/>
        <v>0</v>
      </c>
      <c r="AL1736">
        <f t="shared" si="307"/>
        <v>1</v>
      </c>
    </row>
    <row r="1737" spans="1:38">
      <c r="A1737" t="s">
        <v>5338</v>
      </c>
      <c r="B1737" t="s">
        <v>5339</v>
      </c>
      <c r="C1737" s="1">
        <f t="shared" si="300"/>
        <v>45383</v>
      </c>
      <c r="D1737" t="s">
        <v>5340</v>
      </c>
      <c r="E1737">
        <v>170.5</v>
      </c>
      <c r="F1737">
        <v>7.1</v>
      </c>
      <c r="G1737" t="s">
        <v>93</v>
      </c>
      <c r="H1737" t="s">
        <v>449</v>
      </c>
      <c r="I1737" t="s">
        <v>32</v>
      </c>
      <c r="J1737">
        <v>240</v>
      </c>
      <c r="K1737" t="s">
        <v>49</v>
      </c>
      <c r="L1737" t="s">
        <v>96</v>
      </c>
      <c r="M1737" t="s">
        <v>35</v>
      </c>
      <c r="N1737" t="s">
        <v>506</v>
      </c>
      <c r="O1737" t="s">
        <v>51</v>
      </c>
      <c r="P1737" t="s">
        <v>38</v>
      </c>
      <c r="Q1737" t="s">
        <v>38</v>
      </c>
      <c r="R1737">
        <v>1</v>
      </c>
      <c r="S1737" t="s">
        <v>38</v>
      </c>
      <c r="T1737">
        <v>10</v>
      </c>
      <c r="U1737">
        <v>3.2</v>
      </c>
      <c r="V1737">
        <v>19.8</v>
      </c>
      <c r="W1737" t="s">
        <v>38</v>
      </c>
      <c r="X1737" t="s">
        <v>63</v>
      </c>
      <c r="Y1737" t="s">
        <v>39</v>
      </c>
      <c r="Z1737" t="s">
        <v>81</v>
      </c>
      <c r="AA1737" t="s">
        <v>82</v>
      </c>
      <c r="AB1737" t="s">
        <v>43</v>
      </c>
      <c r="AC1737">
        <f t="shared" si="297"/>
        <v>0</v>
      </c>
      <c r="AD1737" s="12">
        <f t="shared" si="301"/>
        <v>1</v>
      </c>
      <c r="AE1737" s="12">
        <f t="shared" si="302"/>
        <v>0</v>
      </c>
      <c r="AF1737">
        <f t="shared" si="298"/>
        <v>1</v>
      </c>
      <c r="AG1737">
        <f t="shared" si="303"/>
        <v>0</v>
      </c>
      <c r="AH1737">
        <f t="shared" si="304"/>
        <v>0</v>
      </c>
      <c r="AI1737">
        <f t="shared" si="305"/>
        <v>0</v>
      </c>
      <c r="AJ1737">
        <f t="shared" si="306"/>
        <v>1</v>
      </c>
      <c r="AK1737">
        <f t="shared" si="299"/>
        <v>0</v>
      </c>
      <c r="AL1737">
        <f t="shared" si="307"/>
        <v>0</v>
      </c>
    </row>
    <row r="1738" spans="1:38">
      <c r="A1738" t="s">
        <v>5341</v>
      </c>
      <c r="B1738" t="s">
        <v>5342</v>
      </c>
      <c r="C1738" s="1">
        <f t="shared" si="300"/>
        <v>45505</v>
      </c>
      <c r="D1738" t="s">
        <v>5343</v>
      </c>
      <c r="E1738">
        <v>492.1</v>
      </c>
      <c r="F1738">
        <v>20.5</v>
      </c>
      <c r="G1738" t="s">
        <v>77</v>
      </c>
      <c r="H1738" t="s">
        <v>267</v>
      </c>
      <c r="I1738" t="s">
        <v>79</v>
      </c>
      <c r="J1738">
        <v>360</v>
      </c>
      <c r="K1738" t="s">
        <v>33</v>
      </c>
      <c r="L1738" t="s">
        <v>70</v>
      </c>
      <c r="M1738" t="s">
        <v>35</v>
      </c>
      <c r="N1738" t="s">
        <v>114</v>
      </c>
      <c r="O1738" t="s">
        <v>7232</v>
      </c>
      <c r="P1738" t="s">
        <v>39</v>
      </c>
      <c r="Q1738" t="s">
        <v>38</v>
      </c>
      <c r="R1738">
        <v>0</v>
      </c>
      <c r="S1738" t="s">
        <v>39</v>
      </c>
      <c r="T1738">
        <v>8</v>
      </c>
      <c r="U1738">
        <v>2.7</v>
      </c>
      <c r="V1738">
        <v>5.8</v>
      </c>
      <c r="W1738" t="s">
        <v>38</v>
      </c>
      <c r="X1738" t="s">
        <v>52</v>
      </c>
      <c r="Y1738" t="s">
        <v>39</v>
      </c>
      <c r="Z1738" t="s">
        <v>179</v>
      </c>
      <c r="AA1738" t="s">
        <v>42</v>
      </c>
      <c r="AB1738" t="s">
        <v>55</v>
      </c>
      <c r="AC1738">
        <f t="shared" si="297"/>
        <v>1</v>
      </c>
      <c r="AD1738" s="12">
        <f t="shared" si="301"/>
        <v>0</v>
      </c>
      <c r="AE1738" s="12">
        <f t="shared" si="302"/>
        <v>0</v>
      </c>
      <c r="AF1738">
        <f t="shared" si="298"/>
        <v>0</v>
      </c>
      <c r="AG1738">
        <f t="shared" si="303"/>
        <v>1</v>
      </c>
      <c r="AH1738">
        <f t="shared" si="304"/>
        <v>0</v>
      </c>
      <c r="AI1738">
        <f t="shared" si="305"/>
        <v>0</v>
      </c>
      <c r="AJ1738">
        <f t="shared" si="306"/>
        <v>0</v>
      </c>
      <c r="AK1738">
        <f t="shared" si="299"/>
        <v>0</v>
      </c>
      <c r="AL1738">
        <f t="shared" si="307"/>
        <v>0</v>
      </c>
    </row>
    <row r="1739" spans="1:38">
      <c r="A1739" t="s">
        <v>5344</v>
      </c>
      <c r="B1739" t="s">
        <v>5345</v>
      </c>
      <c r="C1739" s="1">
        <f t="shared" si="300"/>
        <v>45597</v>
      </c>
      <c r="D1739" t="s">
        <v>5346</v>
      </c>
      <c r="E1739">
        <v>278.8</v>
      </c>
      <c r="F1739">
        <v>11.6</v>
      </c>
      <c r="G1739" t="s">
        <v>142</v>
      </c>
      <c r="H1739" t="s">
        <v>240</v>
      </c>
      <c r="I1739" t="s">
        <v>32</v>
      </c>
      <c r="J1739">
        <v>240</v>
      </c>
      <c r="K1739" t="s">
        <v>33</v>
      </c>
      <c r="L1739" t="s">
        <v>96</v>
      </c>
      <c r="M1739" t="s">
        <v>35</v>
      </c>
      <c r="N1739" t="s">
        <v>114</v>
      </c>
      <c r="O1739" t="s">
        <v>51</v>
      </c>
      <c r="P1739" t="s">
        <v>38</v>
      </c>
      <c r="Q1739" t="s">
        <v>38</v>
      </c>
      <c r="R1739">
        <v>1</v>
      </c>
      <c r="S1739" t="s">
        <v>39</v>
      </c>
      <c r="T1739">
        <v>4</v>
      </c>
      <c r="U1739">
        <v>3.4</v>
      </c>
      <c r="V1739">
        <v>29.3</v>
      </c>
      <c r="W1739" t="s">
        <v>38</v>
      </c>
      <c r="X1739" t="s">
        <v>123</v>
      </c>
      <c r="Y1739" t="s">
        <v>39</v>
      </c>
      <c r="Z1739" t="s">
        <v>81</v>
      </c>
      <c r="AA1739" t="s">
        <v>54</v>
      </c>
      <c r="AB1739" t="s">
        <v>83</v>
      </c>
      <c r="AC1739">
        <f t="shared" si="297"/>
        <v>0</v>
      </c>
      <c r="AD1739" s="12">
        <f t="shared" si="301"/>
        <v>0</v>
      </c>
      <c r="AE1739" s="12">
        <f t="shared" si="302"/>
        <v>1</v>
      </c>
      <c r="AF1739">
        <f t="shared" si="298"/>
        <v>1</v>
      </c>
      <c r="AG1739">
        <f t="shared" si="303"/>
        <v>0</v>
      </c>
      <c r="AH1739">
        <f t="shared" si="304"/>
        <v>0</v>
      </c>
      <c r="AI1739">
        <f t="shared" si="305"/>
        <v>0</v>
      </c>
      <c r="AJ1739">
        <f t="shared" si="306"/>
        <v>1</v>
      </c>
      <c r="AK1739">
        <f t="shared" si="299"/>
        <v>0</v>
      </c>
      <c r="AL1739">
        <f t="shared" si="307"/>
        <v>0</v>
      </c>
    </row>
    <row r="1740" spans="1:38">
      <c r="A1740" t="s">
        <v>5347</v>
      </c>
      <c r="B1740" t="s">
        <v>5348</v>
      </c>
      <c r="C1740" s="1">
        <f t="shared" si="300"/>
        <v>45627</v>
      </c>
      <c r="D1740" t="s">
        <v>5349</v>
      </c>
      <c r="E1740">
        <v>304.2</v>
      </c>
      <c r="F1740">
        <v>12.7</v>
      </c>
      <c r="G1740" t="s">
        <v>30</v>
      </c>
      <c r="H1740" t="s">
        <v>159</v>
      </c>
      <c r="I1740" t="s">
        <v>32</v>
      </c>
      <c r="J1740">
        <v>240</v>
      </c>
      <c r="K1740" t="s">
        <v>33</v>
      </c>
      <c r="L1740" t="s">
        <v>70</v>
      </c>
      <c r="M1740" t="s">
        <v>71</v>
      </c>
      <c r="N1740" t="s">
        <v>50</v>
      </c>
      <c r="O1740" t="s">
        <v>37</v>
      </c>
      <c r="P1740" t="s">
        <v>38</v>
      </c>
      <c r="Q1740" t="s">
        <v>39</v>
      </c>
      <c r="R1740">
        <v>1</v>
      </c>
      <c r="S1740" t="s">
        <v>38</v>
      </c>
      <c r="T1740">
        <v>6</v>
      </c>
      <c r="U1740">
        <v>0.5</v>
      </c>
      <c r="V1740">
        <v>8.5</v>
      </c>
      <c r="W1740" t="s">
        <v>39</v>
      </c>
      <c r="X1740" t="s">
        <v>63</v>
      </c>
      <c r="Y1740" t="s">
        <v>39</v>
      </c>
      <c r="Z1740" t="s">
        <v>73</v>
      </c>
      <c r="AA1740" t="s">
        <v>109</v>
      </c>
      <c r="AB1740" t="s">
        <v>83</v>
      </c>
      <c r="AC1740">
        <f t="shared" si="297"/>
        <v>0</v>
      </c>
      <c r="AD1740" s="12">
        <f t="shared" si="301"/>
        <v>1</v>
      </c>
      <c r="AE1740" s="12">
        <f t="shared" si="302"/>
        <v>0</v>
      </c>
      <c r="AF1740">
        <f t="shared" si="298"/>
        <v>0</v>
      </c>
      <c r="AG1740">
        <f t="shared" si="303"/>
        <v>0</v>
      </c>
      <c r="AH1740">
        <f t="shared" si="304"/>
        <v>0</v>
      </c>
      <c r="AI1740">
        <f t="shared" si="305"/>
        <v>0</v>
      </c>
      <c r="AJ1740">
        <f t="shared" si="306"/>
        <v>1</v>
      </c>
      <c r="AK1740">
        <f t="shared" si="299"/>
        <v>1</v>
      </c>
      <c r="AL1740">
        <f t="shared" si="307"/>
        <v>0</v>
      </c>
    </row>
    <row r="1741" spans="1:38">
      <c r="A1741" t="s">
        <v>5350</v>
      </c>
      <c r="B1741" t="s">
        <v>5351</v>
      </c>
      <c r="C1741" s="1">
        <f t="shared" si="300"/>
        <v>45566</v>
      </c>
      <c r="D1741" t="s">
        <v>5352</v>
      </c>
      <c r="E1741">
        <v>73.599999999999994</v>
      </c>
      <c r="F1741">
        <v>3.1</v>
      </c>
      <c r="G1741" t="s">
        <v>59</v>
      </c>
      <c r="H1741" t="s">
        <v>281</v>
      </c>
      <c r="I1741" t="s">
        <v>48</v>
      </c>
      <c r="J1741">
        <v>120</v>
      </c>
      <c r="K1741" t="s">
        <v>49</v>
      </c>
      <c r="L1741" t="s">
        <v>70</v>
      </c>
      <c r="M1741" t="s">
        <v>35</v>
      </c>
      <c r="N1741" t="s">
        <v>107</v>
      </c>
      <c r="O1741" t="s">
        <v>51</v>
      </c>
      <c r="P1741" t="s">
        <v>38</v>
      </c>
      <c r="Q1741" t="s">
        <v>38</v>
      </c>
      <c r="R1741">
        <v>1</v>
      </c>
      <c r="S1741" t="s">
        <v>38</v>
      </c>
      <c r="T1741">
        <v>6</v>
      </c>
      <c r="U1741">
        <v>4.0999999999999996</v>
      </c>
      <c r="V1741">
        <v>8.9</v>
      </c>
      <c r="W1741" t="s">
        <v>39</v>
      </c>
      <c r="X1741" t="s">
        <v>123</v>
      </c>
      <c r="Y1741" t="s">
        <v>39</v>
      </c>
      <c r="Z1741" t="s">
        <v>179</v>
      </c>
      <c r="AA1741" t="s">
        <v>103</v>
      </c>
      <c r="AB1741" t="s">
        <v>83</v>
      </c>
      <c r="AC1741">
        <f t="shared" si="297"/>
        <v>0</v>
      </c>
      <c r="AD1741" s="12">
        <f t="shared" si="301"/>
        <v>0</v>
      </c>
      <c r="AE1741" s="12">
        <f t="shared" si="302"/>
        <v>1</v>
      </c>
      <c r="AF1741">
        <f t="shared" si="298"/>
        <v>1</v>
      </c>
      <c r="AG1741">
        <f t="shared" si="303"/>
        <v>0</v>
      </c>
      <c r="AH1741">
        <f t="shared" si="304"/>
        <v>1</v>
      </c>
      <c r="AI1741">
        <f t="shared" si="305"/>
        <v>0</v>
      </c>
      <c r="AJ1741">
        <f t="shared" si="306"/>
        <v>0</v>
      </c>
      <c r="AK1741">
        <f t="shared" si="299"/>
        <v>0</v>
      </c>
      <c r="AL1741">
        <f t="shared" si="307"/>
        <v>0</v>
      </c>
    </row>
    <row r="1742" spans="1:38">
      <c r="A1742" t="s">
        <v>5353</v>
      </c>
      <c r="B1742" t="s">
        <v>5354</v>
      </c>
      <c r="C1742" s="1">
        <f t="shared" si="300"/>
        <v>45352</v>
      </c>
      <c r="D1742" t="s">
        <v>5355</v>
      </c>
      <c r="E1742">
        <v>166.2</v>
      </c>
      <c r="F1742">
        <v>6.9</v>
      </c>
      <c r="G1742" t="s">
        <v>30</v>
      </c>
      <c r="H1742" t="s">
        <v>31</v>
      </c>
      <c r="I1742" t="s">
        <v>32</v>
      </c>
      <c r="J1742">
        <v>240</v>
      </c>
      <c r="K1742" t="s">
        <v>49</v>
      </c>
      <c r="L1742" t="s">
        <v>70</v>
      </c>
      <c r="M1742" t="s">
        <v>35</v>
      </c>
      <c r="N1742" t="s">
        <v>80</v>
      </c>
      <c r="O1742" t="s">
        <v>51</v>
      </c>
      <c r="P1742" t="s">
        <v>38</v>
      </c>
      <c r="Q1742" t="s">
        <v>38</v>
      </c>
      <c r="R1742">
        <v>1</v>
      </c>
      <c r="S1742" t="s">
        <v>38</v>
      </c>
      <c r="T1742">
        <v>9</v>
      </c>
      <c r="U1742">
        <v>3</v>
      </c>
      <c r="V1742">
        <v>29.7</v>
      </c>
      <c r="W1742" t="s">
        <v>39</v>
      </c>
      <c r="X1742" t="s">
        <v>63</v>
      </c>
      <c r="Y1742" t="s">
        <v>38</v>
      </c>
      <c r="Z1742" t="s">
        <v>115</v>
      </c>
      <c r="AA1742" t="s">
        <v>82</v>
      </c>
      <c r="AB1742" t="s">
        <v>55</v>
      </c>
      <c r="AC1742">
        <f t="shared" si="297"/>
        <v>0</v>
      </c>
      <c r="AD1742" s="12">
        <f t="shared" si="301"/>
        <v>1</v>
      </c>
      <c r="AE1742" s="12">
        <f t="shared" si="302"/>
        <v>0</v>
      </c>
      <c r="AF1742">
        <f t="shared" si="298"/>
        <v>1</v>
      </c>
      <c r="AG1742">
        <f t="shared" si="303"/>
        <v>0</v>
      </c>
      <c r="AH1742">
        <f t="shared" si="304"/>
        <v>0</v>
      </c>
      <c r="AI1742">
        <f t="shared" si="305"/>
        <v>0</v>
      </c>
      <c r="AJ1742">
        <f t="shared" si="306"/>
        <v>1</v>
      </c>
      <c r="AK1742">
        <f t="shared" si="299"/>
        <v>1</v>
      </c>
      <c r="AL1742">
        <f t="shared" si="307"/>
        <v>1</v>
      </c>
    </row>
    <row r="1743" spans="1:38">
      <c r="A1743" t="s">
        <v>5356</v>
      </c>
      <c r="B1743" t="s">
        <v>5357</v>
      </c>
      <c r="C1743" s="1">
        <f t="shared" si="300"/>
        <v>45474</v>
      </c>
      <c r="D1743" t="s">
        <v>5358</v>
      </c>
      <c r="E1743">
        <v>177.9</v>
      </c>
      <c r="F1743">
        <v>7.4</v>
      </c>
      <c r="G1743" t="s">
        <v>142</v>
      </c>
      <c r="H1743" t="s">
        <v>319</v>
      </c>
      <c r="I1743" t="s">
        <v>32</v>
      </c>
      <c r="J1743">
        <v>240</v>
      </c>
      <c r="K1743" t="s">
        <v>49</v>
      </c>
      <c r="L1743" t="s">
        <v>34</v>
      </c>
      <c r="M1743" t="s">
        <v>35</v>
      </c>
      <c r="N1743" t="s">
        <v>114</v>
      </c>
      <c r="O1743" t="s">
        <v>51</v>
      </c>
      <c r="P1743" t="s">
        <v>39</v>
      </c>
      <c r="Q1743" t="s">
        <v>38</v>
      </c>
      <c r="R1743">
        <v>0</v>
      </c>
      <c r="S1743" t="s">
        <v>39</v>
      </c>
      <c r="T1743">
        <v>9</v>
      </c>
      <c r="U1743">
        <v>1.6</v>
      </c>
      <c r="V1743">
        <v>7.2</v>
      </c>
      <c r="W1743" t="s">
        <v>39</v>
      </c>
      <c r="X1743" t="s">
        <v>123</v>
      </c>
      <c r="Y1743" t="s">
        <v>38</v>
      </c>
      <c r="Z1743" t="s">
        <v>81</v>
      </c>
      <c r="AA1743" t="s">
        <v>103</v>
      </c>
      <c r="AB1743" t="s">
        <v>83</v>
      </c>
      <c r="AC1743">
        <f t="shared" si="297"/>
        <v>0</v>
      </c>
      <c r="AD1743" s="12">
        <f t="shared" si="301"/>
        <v>0</v>
      </c>
      <c r="AE1743" s="12">
        <f t="shared" si="302"/>
        <v>1</v>
      </c>
      <c r="AF1743">
        <f t="shared" si="298"/>
        <v>1</v>
      </c>
      <c r="AG1743">
        <f t="shared" si="303"/>
        <v>0</v>
      </c>
      <c r="AH1743">
        <f t="shared" si="304"/>
        <v>0</v>
      </c>
      <c r="AI1743">
        <f t="shared" si="305"/>
        <v>0</v>
      </c>
      <c r="AJ1743">
        <f t="shared" si="306"/>
        <v>1</v>
      </c>
      <c r="AK1743">
        <f t="shared" si="299"/>
        <v>0</v>
      </c>
      <c r="AL1743">
        <f t="shared" si="307"/>
        <v>1</v>
      </c>
    </row>
    <row r="1744" spans="1:38">
      <c r="A1744" t="s">
        <v>5359</v>
      </c>
      <c r="B1744" t="s">
        <v>5360</v>
      </c>
      <c r="C1744" s="1">
        <f t="shared" si="300"/>
        <v>45413</v>
      </c>
      <c r="D1744" t="s">
        <v>5361</v>
      </c>
      <c r="E1744">
        <v>476.8</v>
      </c>
      <c r="F1744">
        <v>19.899999999999999</v>
      </c>
      <c r="G1744" t="s">
        <v>77</v>
      </c>
      <c r="H1744" t="s">
        <v>244</v>
      </c>
      <c r="I1744" t="s">
        <v>79</v>
      </c>
      <c r="J1744">
        <v>360</v>
      </c>
      <c r="K1744" t="s">
        <v>33</v>
      </c>
      <c r="L1744" t="s">
        <v>34</v>
      </c>
      <c r="M1744" t="s">
        <v>35</v>
      </c>
      <c r="N1744" t="s">
        <v>119</v>
      </c>
      <c r="O1744" t="s">
        <v>37</v>
      </c>
      <c r="P1744" t="s">
        <v>39</v>
      </c>
      <c r="Q1744" t="s">
        <v>38</v>
      </c>
      <c r="R1744">
        <v>0</v>
      </c>
      <c r="S1744" t="s">
        <v>38</v>
      </c>
      <c r="T1744">
        <v>8</v>
      </c>
      <c r="U1744">
        <v>0.1</v>
      </c>
      <c r="V1744">
        <v>41.3</v>
      </c>
      <c r="W1744" t="s">
        <v>39</v>
      </c>
      <c r="X1744" t="s">
        <v>63</v>
      </c>
      <c r="Y1744" t="s">
        <v>38</v>
      </c>
      <c r="Z1744" t="s">
        <v>81</v>
      </c>
      <c r="AA1744" t="s">
        <v>109</v>
      </c>
      <c r="AB1744" t="s">
        <v>55</v>
      </c>
      <c r="AC1744">
        <f t="shared" si="297"/>
        <v>0</v>
      </c>
      <c r="AD1744" s="12">
        <f t="shared" si="301"/>
        <v>1</v>
      </c>
      <c r="AE1744" s="12">
        <f t="shared" si="302"/>
        <v>0</v>
      </c>
      <c r="AF1744">
        <f t="shared" si="298"/>
        <v>0</v>
      </c>
      <c r="AG1744">
        <f t="shared" si="303"/>
        <v>0</v>
      </c>
      <c r="AH1744">
        <f t="shared" si="304"/>
        <v>0</v>
      </c>
      <c r="AI1744">
        <f t="shared" si="305"/>
        <v>0</v>
      </c>
      <c r="AJ1744">
        <f t="shared" si="306"/>
        <v>0</v>
      </c>
      <c r="AK1744">
        <f t="shared" si="299"/>
        <v>0</v>
      </c>
      <c r="AL1744">
        <f t="shared" si="307"/>
        <v>1</v>
      </c>
    </row>
    <row r="1745" spans="1:38">
      <c r="A1745" t="s">
        <v>5362</v>
      </c>
      <c r="B1745" t="s">
        <v>5363</v>
      </c>
      <c r="C1745" s="1">
        <f t="shared" si="300"/>
        <v>45323</v>
      </c>
      <c r="D1745" t="s">
        <v>5364</v>
      </c>
      <c r="E1745">
        <v>80</v>
      </c>
      <c r="F1745">
        <v>3.3</v>
      </c>
      <c r="G1745" t="s">
        <v>87</v>
      </c>
      <c r="H1745" t="s">
        <v>151</v>
      </c>
      <c r="I1745" t="s">
        <v>48</v>
      </c>
      <c r="J1745">
        <v>120</v>
      </c>
      <c r="K1745" t="s">
        <v>49</v>
      </c>
      <c r="L1745" t="s">
        <v>34</v>
      </c>
      <c r="M1745" t="s">
        <v>71</v>
      </c>
      <c r="N1745" t="s">
        <v>134</v>
      </c>
      <c r="O1745" t="s">
        <v>51</v>
      </c>
      <c r="P1745" t="s">
        <v>38</v>
      </c>
      <c r="Q1745" t="s">
        <v>39</v>
      </c>
      <c r="R1745">
        <v>3</v>
      </c>
      <c r="S1745" t="s">
        <v>38</v>
      </c>
      <c r="T1745">
        <v>8</v>
      </c>
      <c r="U1745">
        <v>1.7</v>
      </c>
      <c r="V1745">
        <v>24.8</v>
      </c>
      <c r="W1745" t="s">
        <v>38</v>
      </c>
      <c r="X1745" t="s">
        <v>63</v>
      </c>
      <c r="Y1745" t="s">
        <v>38</v>
      </c>
      <c r="Z1745" t="s">
        <v>73</v>
      </c>
      <c r="AA1745" t="s">
        <v>54</v>
      </c>
      <c r="AB1745" t="s">
        <v>83</v>
      </c>
      <c r="AC1745">
        <f t="shared" si="297"/>
        <v>0</v>
      </c>
      <c r="AD1745" s="12">
        <f t="shared" si="301"/>
        <v>1</v>
      </c>
      <c r="AE1745" s="12">
        <f t="shared" si="302"/>
        <v>0</v>
      </c>
      <c r="AF1745">
        <f t="shared" si="298"/>
        <v>1</v>
      </c>
      <c r="AG1745">
        <f t="shared" si="303"/>
        <v>0</v>
      </c>
      <c r="AH1745">
        <f t="shared" si="304"/>
        <v>1</v>
      </c>
      <c r="AI1745">
        <f t="shared" si="305"/>
        <v>0</v>
      </c>
      <c r="AJ1745">
        <f t="shared" si="306"/>
        <v>0</v>
      </c>
      <c r="AK1745">
        <f t="shared" si="299"/>
        <v>0</v>
      </c>
      <c r="AL1745">
        <f t="shared" si="307"/>
        <v>1</v>
      </c>
    </row>
    <row r="1746" spans="1:38">
      <c r="A1746" t="s">
        <v>5365</v>
      </c>
      <c r="B1746" t="s">
        <v>5366</v>
      </c>
      <c r="C1746" s="1">
        <f t="shared" si="300"/>
        <v>45627</v>
      </c>
      <c r="D1746" t="s">
        <v>5367</v>
      </c>
      <c r="E1746">
        <v>321.8</v>
      </c>
      <c r="F1746">
        <v>13.4</v>
      </c>
      <c r="G1746" t="s">
        <v>77</v>
      </c>
      <c r="H1746" t="s">
        <v>187</v>
      </c>
      <c r="I1746" t="s">
        <v>79</v>
      </c>
      <c r="J1746">
        <v>360</v>
      </c>
      <c r="K1746" t="s">
        <v>49</v>
      </c>
      <c r="L1746" t="s">
        <v>96</v>
      </c>
      <c r="M1746" t="s">
        <v>35</v>
      </c>
      <c r="N1746" t="s">
        <v>202</v>
      </c>
      <c r="O1746" t="s">
        <v>37</v>
      </c>
      <c r="P1746" t="s">
        <v>38</v>
      </c>
      <c r="Q1746" t="s">
        <v>38</v>
      </c>
      <c r="R1746">
        <v>1</v>
      </c>
      <c r="S1746" t="s">
        <v>38</v>
      </c>
      <c r="T1746">
        <v>9</v>
      </c>
      <c r="U1746">
        <v>2</v>
      </c>
      <c r="V1746">
        <v>5.6</v>
      </c>
      <c r="W1746" t="s">
        <v>39</v>
      </c>
      <c r="X1746" t="s">
        <v>123</v>
      </c>
      <c r="Y1746" t="s">
        <v>39</v>
      </c>
      <c r="Z1746" t="s">
        <v>73</v>
      </c>
      <c r="AA1746" t="s">
        <v>54</v>
      </c>
      <c r="AB1746" t="s">
        <v>55</v>
      </c>
      <c r="AC1746">
        <f t="shared" si="297"/>
        <v>0</v>
      </c>
      <c r="AD1746" s="12">
        <f t="shared" si="301"/>
        <v>0</v>
      </c>
      <c r="AE1746" s="12">
        <f t="shared" si="302"/>
        <v>1</v>
      </c>
      <c r="AF1746">
        <f t="shared" si="298"/>
        <v>0</v>
      </c>
      <c r="AG1746">
        <f t="shared" si="303"/>
        <v>0</v>
      </c>
      <c r="AH1746">
        <f t="shared" si="304"/>
        <v>0</v>
      </c>
      <c r="AI1746">
        <f t="shared" si="305"/>
        <v>0</v>
      </c>
      <c r="AJ1746">
        <f t="shared" si="306"/>
        <v>0</v>
      </c>
      <c r="AK1746">
        <f t="shared" si="299"/>
        <v>0</v>
      </c>
      <c r="AL1746">
        <f t="shared" si="307"/>
        <v>0</v>
      </c>
    </row>
    <row r="1747" spans="1:38">
      <c r="A1747" t="s">
        <v>5368</v>
      </c>
      <c r="B1747" t="s">
        <v>5369</v>
      </c>
      <c r="C1747" s="1">
        <f t="shared" si="300"/>
        <v>45292</v>
      </c>
      <c r="D1747" t="s">
        <v>5370</v>
      </c>
      <c r="E1747">
        <v>201.2</v>
      </c>
      <c r="F1747">
        <v>8.4</v>
      </c>
      <c r="G1747" t="s">
        <v>142</v>
      </c>
      <c r="H1747" t="s">
        <v>319</v>
      </c>
      <c r="I1747" t="s">
        <v>32</v>
      </c>
      <c r="J1747">
        <v>240</v>
      </c>
      <c r="K1747" t="s">
        <v>49</v>
      </c>
      <c r="L1747" t="s">
        <v>96</v>
      </c>
      <c r="M1747" t="s">
        <v>71</v>
      </c>
      <c r="N1747" t="s">
        <v>89</v>
      </c>
      <c r="O1747" t="s">
        <v>51</v>
      </c>
      <c r="P1747" t="s">
        <v>38</v>
      </c>
      <c r="Q1747" t="s">
        <v>39</v>
      </c>
      <c r="R1747">
        <v>1</v>
      </c>
      <c r="S1747" t="s">
        <v>38</v>
      </c>
      <c r="T1747">
        <v>8</v>
      </c>
      <c r="U1747">
        <v>4.4000000000000004</v>
      </c>
      <c r="V1747">
        <v>38.4</v>
      </c>
      <c r="W1747" t="s">
        <v>39</v>
      </c>
      <c r="X1747" t="s">
        <v>52</v>
      </c>
      <c r="Y1747" t="s">
        <v>39</v>
      </c>
      <c r="Z1747" t="s">
        <v>179</v>
      </c>
      <c r="AA1747" t="s">
        <v>82</v>
      </c>
      <c r="AB1747" t="s">
        <v>83</v>
      </c>
      <c r="AC1747">
        <f t="shared" si="297"/>
        <v>1</v>
      </c>
      <c r="AD1747" s="12">
        <f t="shared" si="301"/>
        <v>0</v>
      </c>
      <c r="AE1747" s="12">
        <f t="shared" si="302"/>
        <v>0</v>
      </c>
      <c r="AF1747">
        <f t="shared" si="298"/>
        <v>1</v>
      </c>
      <c r="AG1747">
        <f t="shared" si="303"/>
        <v>0</v>
      </c>
      <c r="AH1747">
        <f t="shared" si="304"/>
        <v>0</v>
      </c>
      <c r="AI1747">
        <f t="shared" si="305"/>
        <v>0</v>
      </c>
      <c r="AJ1747">
        <f t="shared" si="306"/>
        <v>1</v>
      </c>
      <c r="AK1747">
        <f t="shared" si="299"/>
        <v>0</v>
      </c>
      <c r="AL1747">
        <f t="shared" si="307"/>
        <v>0</v>
      </c>
    </row>
    <row r="1748" spans="1:38">
      <c r="A1748" t="s">
        <v>5371</v>
      </c>
      <c r="B1748" t="s">
        <v>5372</v>
      </c>
      <c r="C1748" s="1">
        <f t="shared" si="300"/>
        <v>45352</v>
      </c>
      <c r="D1748" t="s">
        <v>5373</v>
      </c>
      <c r="E1748">
        <v>232.4</v>
      </c>
      <c r="F1748">
        <v>9.6999999999999993</v>
      </c>
      <c r="G1748" t="s">
        <v>87</v>
      </c>
      <c r="H1748" t="s">
        <v>309</v>
      </c>
      <c r="I1748" t="s">
        <v>79</v>
      </c>
      <c r="J1748">
        <v>360</v>
      </c>
      <c r="K1748" t="s">
        <v>49</v>
      </c>
      <c r="L1748" t="s">
        <v>113</v>
      </c>
      <c r="M1748" t="s">
        <v>35</v>
      </c>
      <c r="N1748" t="s">
        <v>107</v>
      </c>
      <c r="O1748" t="s">
        <v>7232</v>
      </c>
      <c r="P1748" t="s">
        <v>39</v>
      </c>
      <c r="Q1748" t="s">
        <v>38</v>
      </c>
      <c r="R1748">
        <v>0</v>
      </c>
      <c r="S1748" t="s">
        <v>38</v>
      </c>
      <c r="T1748">
        <v>8</v>
      </c>
      <c r="U1748">
        <v>1.5</v>
      </c>
      <c r="V1748">
        <v>26.8</v>
      </c>
      <c r="W1748" t="s">
        <v>39</v>
      </c>
      <c r="X1748" t="s">
        <v>63</v>
      </c>
      <c r="Y1748" t="s">
        <v>38</v>
      </c>
      <c r="Z1748" t="s">
        <v>108</v>
      </c>
      <c r="AA1748" t="s">
        <v>54</v>
      </c>
      <c r="AB1748" t="s">
        <v>43</v>
      </c>
      <c r="AC1748">
        <f t="shared" si="297"/>
        <v>0</v>
      </c>
      <c r="AD1748" s="12">
        <f t="shared" si="301"/>
        <v>1</v>
      </c>
      <c r="AE1748" s="12">
        <f t="shared" si="302"/>
        <v>0</v>
      </c>
      <c r="AF1748">
        <f t="shared" si="298"/>
        <v>0</v>
      </c>
      <c r="AG1748">
        <f t="shared" si="303"/>
        <v>1</v>
      </c>
      <c r="AH1748">
        <f t="shared" si="304"/>
        <v>0</v>
      </c>
      <c r="AI1748">
        <f t="shared" si="305"/>
        <v>0</v>
      </c>
      <c r="AJ1748">
        <f t="shared" si="306"/>
        <v>0</v>
      </c>
      <c r="AK1748">
        <f t="shared" si="299"/>
        <v>0</v>
      </c>
      <c r="AL1748">
        <f t="shared" si="307"/>
        <v>1</v>
      </c>
    </row>
    <row r="1749" spans="1:38">
      <c r="A1749" t="s">
        <v>5374</v>
      </c>
      <c r="B1749" t="s">
        <v>5375</v>
      </c>
      <c r="C1749" s="1">
        <f t="shared" si="300"/>
        <v>45536</v>
      </c>
      <c r="D1749" t="s">
        <v>5376</v>
      </c>
      <c r="E1749">
        <v>149</v>
      </c>
      <c r="F1749">
        <v>6.2</v>
      </c>
      <c r="G1749" t="s">
        <v>142</v>
      </c>
      <c r="H1749" t="s">
        <v>240</v>
      </c>
      <c r="I1749" t="s">
        <v>32</v>
      </c>
      <c r="J1749">
        <v>240</v>
      </c>
      <c r="K1749" t="s">
        <v>49</v>
      </c>
      <c r="L1749" t="s">
        <v>34</v>
      </c>
      <c r="M1749" t="s">
        <v>71</v>
      </c>
      <c r="N1749" t="s">
        <v>72</v>
      </c>
      <c r="O1749" t="s">
        <v>37</v>
      </c>
      <c r="P1749" t="s">
        <v>38</v>
      </c>
      <c r="Q1749" t="s">
        <v>39</v>
      </c>
      <c r="R1749">
        <v>3</v>
      </c>
      <c r="S1749" t="s">
        <v>38</v>
      </c>
      <c r="T1749">
        <v>7</v>
      </c>
      <c r="U1749">
        <v>2.6</v>
      </c>
      <c r="V1749">
        <v>42</v>
      </c>
      <c r="W1749" t="s">
        <v>38</v>
      </c>
      <c r="X1749" t="s">
        <v>40</v>
      </c>
      <c r="Y1749" t="s">
        <v>39</v>
      </c>
      <c r="Z1749" t="s">
        <v>64</v>
      </c>
      <c r="AA1749" t="s">
        <v>82</v>
      </c>
      <c r="AB1749" t="s">
        <v>83</v>
      </c>
      <c r="AC1749">
        <f t="shared" si="297"/>
        <v>0</v>
      </c>
      <c r="AD1749" s="12">
        <f t="shared" si="301"/>
        <v>0</v>
      </c>
      <c r="AE1749" s="12">
        <f t="shared" si="302"/>
        <v>0</v>
      </c>
      <c r="AF1749">
        <f t="shared" si="298"/>
        <v>0</v>
      </c>
      <c r="AG1749">
        <f t="shared" si="303"/>
        <v>0</v>
      </c>
      <c r="AH1749">
        <f t="shared" si="304"/>
        <v>0</v>
      </c>
      <c r="AI1749">
        <f t="shared" si="305"/>
        <v>0</v>
      </c>
      <c r="AJ1749">
        <f t="shared" si="306"/>
        <v>1</v>
      </c>
      <c r="AK1749">
        <f t="shared" si="299"/>
        <v>0</v>
      </c>
      <c r="AL1749">
        <f t="shared" si="307"/>
        <v>0</v>
      </c>
    </row>
    <row r="1750" spans="1:38">
      <c r="A1750" t="s">
        <v>5377</v>
      </c>
      <c r="B1750" t="s">
        <v>5378</v>
      </c>
      <c r="C1750" s="1">
        <f t="shared" si="300"/>
        <v>45383</v>
      </c>
      <c r="D1750" t="s">
        <v>5379</v>
      </c>
      <c r="E1750">
        <v>96.1</v>
      </c>
      <c r="F1750">
        <v>4</v>
      </c>
      <c r="G1750" t="s">
        <v>87</v>
      </c>
      <c r="H1750" t="s">
        <v>309</v>
      </c>
      <c r="I1750" t="s">
        <v>48</v>
      </c>
      <c r="J1750">
        <v>120</v>
      </c>
      <c r="K1750" t="s">
        <v>49</v>
      </c>
      <c r="L1750" t="s">
        <v>96</v>
      </c>
      <c r="M1750" t="s">
        <v>71</v>
      </c>
      <c r="N1750" t="s">
        <v>72</v>
      </c>
      <c r="O1750" t="s">
        <v>37</v>
      </c>
      <c r="P1750" t="s">
        <v>38</v>
      </c>
      <c r="Q1750" t="s">
        <v>39</v>
      </c>
      <c r="R1750">
        <v>1</v>
      </c>
      <c r="S1750" t="s">
        <v>38</v>
      </c>
      <c r="T1750">
        <v>8</v>
      </c>
      <c r="U1750">
        <v>5.3</v>
      </c>
      <c r="V1750">
        <v>35.700000000000003</v>
      </c>
      <c r="W1750" t="s">
        <v>38</v>
      </c>
      <c r="X1750" t="s">
        <v>63</v>
      </c>
      <c r="Y1750" t="s">
        <v>38</v>
      </c>
      <c r="Z1750" t="s">
        <v>108</v>
      </c>
      <c r="AA1750" t="s">
        <v>54</v>
      </c>
      <c r="AB1750" t="s">
        <v>43</v>
      </c>
      <c r="AC1750">
        <f t="shared" si="297"/>
        <v>0</v>
      </c>
      <c r="AD1750" s="12">
        <f t="shared" si="301"/>
        <v>1</v>
      </c>
      <c r="AE1750" s="12">
        <f t="shared" si="302"/>
        <v>0</v>
      </c>
      <c r="AF1750">
        <f t="shared" si="298"/>
        <v>0</v>
      </c>
      <c r="AG1750">
        <f t="shared" si="303"/>
        <v>0</v>
      </c>
      <c r="AH1750">
        <f t="shared" si="304"/>
        <v>1</v>
      </c>
      <c r="AI1750">
        <f t="shared" si="305"/>
        <v>0</v>
      </c>
      <c r="AJ1750">
        <f t="shared" si="306"/>
        <v>0</v>
      </c>
      <c r="AK1750">
        <f t="shared" si="299"/>
        <v>0</v>
      </c>
      <c r="AL1750">
        <f t="shared" si="307"/>
        <v>1</v>
      </c>
    </row>
    <row r="1751" spans="1:38">
      <c r="A1751" t="s">
        <v>5380</v>
      </c>
      <c r="B1751" t="s">
        <v>5381</v>
      </c>
      <c r="C1751" s="1">
        <f t="shared" si="300"/>
        <v>45352</v>
      </c>
      <c r="D1751" t="s">
        <v>5382</v>
      </c>
      <c r="E1751">
        <v>155.6</v>
      </c>
      <c r="F1751">
        <v>6.5</v>
      </c>
      <c r="G1751" t="s">
        <v>30</v>
      </c>
      <c r="H1751" t="s">
        <v>172</v>
      </c>
      <c r="I1751" t="s">
        <v>32</v>
      </c>
      <c r="J1751">
        <v>240</v>
      </c>
      <c r="K1751" t="s">
        <v>49</v>
      </c>
      <c r="L1751" t="s">
        <v>34</v>
      </c>
      <c r="M1751" t="s">
        <v>35</v>
      </c>
      <c r="N1751" t="s">
        <v>119</v>
      </c>
      <c r="O1751" t="s">
        <v>37</v>
      </c>
      <c r="P1751" t="s">
        <v>39</v>
      </c>
      <c r="Q1751" t="s">
        <v>38</v>
      </c>
      <c r="R1751">
        <v>0</v>
      </c>
      <c r="S1751" t="s">
        <v>38</v>
      </c>
      <c r="T1751">
        <v>10</v>
      </c>
      <c r="U1751">
        <v>4.3</v>
      </c>
      <c r="V1751">
        <v>1.4</v>
      </c>
      <c r="W1751" t="s">
        <v>39</v>
      </c>
      <c r="X1751" t="s">
        <v>123</v>
      </c>
      <c r="Y1751" t="s">
        <v>38</v>
      </c>
      <c r="Z1751" t="s">
        <v>115</v>
      </c>
      <c r="AA1751" t="s">
        <v>42</v>
      </c>
      <c r="AB1751" t="s">
        <v>55</v>
      </c>
      <c r="AC1751">
        <f t="shared" si="297"/>
        <v>0</v>
      </c>
      <c r="AD1751" s="12">
        <f t="shared" si="301"/>
        <v>0</v>
      </c>
      <c r="AE1751" s="12">
        <f t="shared" si="302"/>
        <v>1</v>
      </c>
      <c r="AF1751">
        <f t="shared" si="298"/>
        <v>0</v>
      </c>
      <c r="AG1751">
        <f t="shared" si="303"/>
        <v>0</v>
      </c>
      <c r="AH1751">
        <f t="shared" si="304"/>
        <v>0</v>
      </c>
      <c r="AI1751">
        <f t="shared" si="305"/>
        <v>0</v>
      </c>
      <c r="AJ1751">
        <f t="shared" si="306"/>
        <v>1</v>
      </c>
      <c r="AK1751">
        <f t="shared" si="299"/>
        <v>1</v>
      </c>
      <c r="AL1751">
        <f t="shared" si="307"/>
        <v>1</v>
      </c>
    </row>
    <row r="1752" spans="1:38">
      <c r="A1752" t="s">
        <v>5383</v>
      </c>
      <c r="B1752" t="s">
        <v>5384</v>
      </c>
      <c r="C1752" s="1">
        <f t="shared" si="300"/>
        <v>45444</v>
      </c>
      <c r="D1752" t="s">
        <v>5385</v>
      </c>
      <c r="E1752">
        <v>204.5</v>
      </c>
      <c r="F1752">
        <v>8.5</v>
      </c>
      <c r="G1752" t="s">
        <v>77</v>
      </c>
      <c r="H1752" t="s">
        <v>187</v>
      </c>
      <c r="I1752" t="s">
        <v>32</v>
      </c>
      <c r="J1752">
        <v>240</v>
      </c>
      <c r="K1752" t="s">
        <v>49</v>
      </c>
      <c r="L1752" t="s">
        <v>96</v>
      </c>
      <c r="M1752" t="s">
        <v>35</v>
      </c>
      <c r="N1752" t="s">
        <v>114</v>
      </c>
      <c r="O1752" t="s">
        <v>51</v>
      </c>
      <c r="P1752" t="s">
        <v>39</v>
      </c>
      <c r="Q1752" t="s">
        <v>38</v>
      </c>
      <c r="R1752">
        <v>0</v>
      </c>
      <c r="S1752" t="s">
        <v>38</v>
      </c>
      <c r="T1752">
        <v>10</v>
      </c>
      <c r="U1752">
        <v>2.9</v>
      </c>
      <c r="V1752">
        <v>0</v>
      </c>
      <c r="W1752" t="s">
        <v>39</v>
      </c>
      <c r="X1752" t="s">
        <v>40</v>
      </c>
      <c r="Y1752" t="s">
        <v>39</v>
      </c>
      <c r="Z1752" t="s">
        <v>108</v>
      </c>
      <c r="AA1752" t="s">
        <v>42</v>
      </c>
      <c r="AB1752" t="s">
        <v>55</v>
      </c>
      <c r="AC1752">
        <f t="shared" si="297"/>
        <v>0</v>
      </c>
      <c r="AD1752" s="12">
        <f t="shared" si="301"/>
        <v>0</v>
      </c>
      <c r="AE1752" s="12">
        <f t="shared" si="302"/>
        <v>0</v>
      </c>
      <c r="AF1752">
        <f t="shared" si="298"/>
        <v>1</v>
      </c>
      <c r="AG1752">
        <f t="shared" si="303"/>
        <v>0</v>
      </c>
      <c r="AH1752">
        <f t="shared" si="304"/>
        <v>0</v>
      </c>
      <c r="AI1752">
        <f t="shared" si="305"/>
        <v>0</v>
      </c>
      <c r="AJ1752">
        <f t="shared" si="306"/>
        <v>1</v>
      </c>
      <c r="AK1752">
        <f t="shared" si="299"/>
        <v>0</v>
      </c>
      <c r="AL1752">
        <f t="shared" si="307"/>
        <v>0</v>
      </c>
    </row>
    <row r="1753" spans="1:38">
      <c r="A1753" t="s">
        <v>5386</v>
      </c>
      <c r="B1753" t="s">
        <v>5387</v>
      </c>
      <c r="C1753" s="1">
        <f t="shared" si="300"/>
        <v>45597</v>
      </c>
      <c r="D1753" t="s">
        <v>5388</v>
      </c>
      <c r="E1753">
        <v>32.299999999999997</v>
      </c>
      <c r="F1753">
        <v>1.3</v>
      </c>
      <c r="G1753" t="s">
        <v>68</v>
      </c>
      <c r="H1753" t="s">
        <v>212</v>
      </c>
      <c r="I1753" t="s">
        <v>95</v>
      </c>
      <c r="J1753">
        <v>48</v>
      </c>
      <c r="K1753" t="s">
        <v>49</v>
      </c>
      <c r="L1753" t="s">
        <v>96</v>
      </c>
      <c r="M1753" t="s">
        <v>35</v>
      </c>
      <c r="N1753" t="s">
        <v>202</v>
      </c>
      <c r="O1753" t="s">
        <v>7232</v>
      </c>
      <c r="P1753" t="s">
        <v>38</v>
      </c>
      <c r="Q1753" t="s">
        <v>38</v>
      </c>
      <c r="R1753">
        <v>1</v>
      </c>
      <c r="S1753" t="s">
        <v>38</v>
      </c>
      <c r="T1753">
        <v>8</v>
      </c>
      <c r="U1753">
        <v>1.6</v>
      </c>
      <c r="V1753">
        <v>8.1999999999999993</v>
      </c>
      <c r="W1753" t="s">
        <v>39</v>
      </c>
      <c r="X1753" t="s">
        <v>40</v>
      </c>
      <c r="Y1753" t="s">
        <v>38</v>
      </c>
      <c r="Z1753" t="s">
        <v>41</v>
      </c>
      <c r="AA1753" t="s">
        <v>82</v>
      </c>
      <c r="AB1753" t="s">
        <v>55</v>
      </c>
      <c r="AC1753">
        <f t="shared" si="297"/>
        <v>0</v>
      </c>
      <c r="AD1753" s="12">
        <f t="shared" si="301"/>
        <v>0</v>
      </c>
      <c r="AE1753" s="12">
        <f t="shared" si="302"/>
        <v>0</v>
      </c>
      <c r="AF1753">
        <f t="shared" si="298"/>
        <v>0</v>
      </c>
      <c r="AG1753">
        <f t="shared" si="303"/>
        <v>1</v>
      </c>
      <c r="AH1753">
        <f t="shared" si="304"/>
        <v>0</v>
      </c>
      <c r="AI1753">
        <f t="shared" si="305"/>
        <v>1</v>
      </c>
      <c r="AJ1753">
        <f t="shared" si="306"/>
        <v>0</v>
      </c>
      <c r="AK1753">
        <f t="shared" si="299"/>
        <v>0</v>
      </c>
      <c r="AL1753">
        <f t="shared" si="307"/>
        <v>1</v>
      </c>
    </row>
    <row r="1754" spans="1:38">
      <c r="A1754" t="s">
        <v>5389</v>
      </c>
      <c r="B1754" t="s">
        <v>5390</v>
      </c>
      <c r="C1754" s="1">
        <f t="shared" si="300"/>
        <v>45597</v>
      </c>
      <c r="D1754" t="s">
        <v>5391</v>
      </c>
      <c r="E1754">
        <v>280.60000000000002</v>
      </c>
      <c r="F1754">
        <v>11.7</v>
      </c>
      <c r="G1754" t="s">
        <v>93</v>
      </c>
      <c r="H1754" t="s">
        <v>449</v>
      </c>
      <c r="I1754" t="s">
        <v>79</v>
      </c>
      <c r="J1754">
        <v>360</v>
      </c>
      <c r="K1754" t="s">
        <v>49</v>
      </c>
      <c r="L1754" t="s">
        <v>113</v>
      </c>
      <c r="M1754" t="s">
        <v>71</v>
      </c>
      <c r="N1754" t="s">
        <v>192</v>
      </c>
      <c r="O1754" t="s">
        <v>7232</v>
      </c>
      <c r="P1754" t="s">
        <v>38</v>
      </c>
      <c r="Q1754" t="s">
        <v>39</v>
      </c>
      <c r="R1754">
        <v>4</v>
      </c>
      <c r="S1754" t="s">
        <v>38</v>
      </c>
      <c r="T1754">
        <v>9</v>
      </c>
      <c r="U1754">
        <v>2.1</v>
      </c>
      <c r="V1754">
        <v>15.8</v>
      </c>
      <c r="W1754" t="s">
        <v>39</v>
      </c>
      <c r="X1754" t="s">
        <v>123</v>
      </c>
      <c r="Y1754" t="s">
        <v>38</v>
      </c>
      <c r="Z1754" t="s">
        <v>81</v>
      </c>
      <c r="AA1754" t="s">
        <v>103</v>
      </c>
      <c r="AB1754" t="s">
        <v>55</v>
      </c>
      <c r="AC1754">
        <f t="shared" si="297"/>
        <v>0</v>
      </c>
      <c r="AD1754" s="12">
        <f t="shared" si="301"/>
        <v>0</v>
      </c>
      <c r="AE1754" s="12">
        <f t="shared" si="302"/>
        <v>1</v>
      </c>
      <c r="AF1754">
        <f t="shared" si="298"/>
        <v>0</v>
      </c>
      <c r="AG1754">
        <f t="shared" si="303"/>
        <v>1</v>
      </c>
      <c r="AH1754">
        <f t="shared" si="304"/>
        <v>0</v>
      </c>
      <c r="AI1754">
        <f t="shared" si="305"/>
        <v>0</v>
      </c>
      <c r="AJ1754">
        <f t="shared" si="306"/>
        <v>0</v>
      </c>
      <c r="AK1754">
        <f t="shared" si="299"/>
        <v>0</v>
      </c>
      <c r="AL1754">
        <f t="shared" si="307"/>
        <v>1</v>
      </c>
    </row>
    <row r="1755" spans="1:38">
      <c r="A1755" t="s">
        <v>5392</v>
      </c>
      <c r="B1755" t="s">
        <v>5393</v>
      </c>
      <c r="C1755" s="1">
        <f t="shared" si="300"/>
        <v>45383</v>
      </c>
      <c r="D1755" t="s">
        <v>5394</v>
      </c>
      <c r="E1755">
        <v>189.9</v>
      </c>
      <c r="F1755">
        <v>7.9</v>
      </c>
      <c r="G1755" t="s">
        <v>59</v>
      </c>
      <c r="H1755" t="s">
        <v>132</v>
      </c>
      <c r="I1755" t="s">
        <v>32</v>
      </c>
      <c r="J1755">
        <v>240</v>
      </c>
      <c r="K1755" t="s">
        <v>49</v>
      </c>
      <c r="L1755" t="s">
        <v>70</v>
      </c>
      <c r="M1755" t="s">
        <v>71</v>
      </c>
      <c r="N1755" t="s">
        <v>80</v>
      </c>
      <c r="O1755" t="s">
        <v>7232</v>
      </c>
      <c r="P1755" t="s">
        <v>38</v>
      </c>
      <c r="Q1755" t="s">
        <v>39</v>
      </c>
      <c r="R1755">
        <v>2</v>
      </c>
      <c r="S1755" t="s">
        <v>38</v>
      </c>
      <c r="T1755">
        <v>9</v>
      </c>
      <c r="U1755">
        <v>4.5</v>
      </c>
      <c r="V1755">
        <v>20</v>
      </c>
      <c r="W1755" t="s">
        <v>39</v>
      </c>
      <c r="X1755" t="s">
        <v>40</v>
      </c>
      <c r="Y1755" t="s">
        <v>39</v>
      </c>
      <c r="Z1755" t="s">
        <v>73</v>
      </c>
      <c r="AA1755" t="s">
        <v>103</v>
      </c>
      <c r="AB1755" t="s">
        <v>83</v>
      </c>
      <c r="AC1755">
        <f t="shared" si="297"/>
        <v>0</v>
      </c>
      <c r="AD1755" s="12">
        <f t="shared" si="301"/>
        <v>0</v>
      </c>
      <c r="AE1755" s="12">
        <f t="shared" si="302"/>
        <v>0</v>
      </c>
      <c r="AF1755">
        <f t="shared" si="298"/>
        <v>0</v>
      </c>
      <c r="AG1755">
        <f t="shared" si="303"/>
        <v>1</v>
      </c>
      <c r="AH1755">
        <f t="shared" si="304"/>
        <v>0</v>
      </c>
      <c r="AI1755">
        <f t="shared" si="305"/>
        <v>0</v>
      </c>
      <c r="AJ1755">
        <f t="shared" si="306"/>
        <v>1</v>
      </c>
      <c r="AK1755">
        <f t="shared" si="299"/>
        <v>0</v>
      </c>
      <c r="AL1755">
        <f t="shared" si="307"/>
        <v>0</v>
      </c>
    </row>
    <row r="1756" spans="1:38">
      <c r="A1756" t="s">
        <v>5395</v>
      </c>
      <c r="B1756" t="s">
        <v>5396</v>
      </c>
      <c r="C1756" s="1">
        <f t="shared" si="300"/>
        <v>45292</v>
      </c>
      <c r="D1756" t="s">
        <v>5397</v>
      </c>
      <c r="E1756">
        <v>184.4</v>
      </c>
      <c r="F1756">
        <v>7.7</v>
      </c>
      <c r="G1756" t="s">
        <v>68</v>
      </c>
      <c r="H1756" t="s">
        <v>456</v>
      </c>
      <c r="I1756" t="s">
        <v>32</v>
      </c>
      <c r="J1756">
        <v>240</v>
      </c>
      <c r="K1756" t="s">
        <v>49</v>
      </c>
      <c r="L1756" t="s">
        <v>34</v>
      </c>
      <c r="M1756" t="s">
        <v>35</v>
      </c>
      <c r="N1756" t="s">
        <v>128</v>
      </c>
      <c r="O1756" t="s">
        <v>37</v>
      </c>
      <c r="P1756" t="s">
        <v>38</v>
      </c>
      <c r="Q1756" t="s">
        <v>38</v>
      </c>
      <c r="R1756">
        <v>1</v>
      </c>
      <c r="S1756" t="s">
        <v>38</v>
      </c>
      <c r="T1756">
        <v>9</v>
      </c>
      <c r="U1756">
        <v>4</v>
      </c>
      <c r="V1756">
        <v>6</v>
      </c>
      <c r="W1756" t="s">
        <v>38</v>
      </c>
      <c r="X1756" t="s">
        <v>123</v>
      </c>
      <c r="Y1756" t="s">
        <v>38</v>
      </c>
      <c r="Z1756" t="s">
        <v>53</v>
      </c>
      <c r="AA1756" t="s">
        <v>103</v>
      </c>
      <c r="AB1756" t="s">
        <v>83</v>
      </c>
      <c r="AC1756">
        <f t="shared" si="297"/>
        <v>0</v>
      </c>
      <c r="AD1756" s="12">
        <f t="shared" si="301"/>
        <v>0</v>
      </c>
      <c r="AE1756" s="12">
        <f t="shared" si="302"/>
        <v>1</v>
      </c>
      <c r="AF1756">
        <f t="shared" si="298"/>
        <v>0</v>
      </c>
      <c r="AG1756">
        <f t="shared" si="303"/>
        <v>0</v>
      </c>
      <c r="AH1756">
        <f t="shared" si="304"/>
        <v>0</v>
      </c>
      <c r="AI1756">
        <f t="shared" si="305"/>
        <v>0</v>
      </c>
      <c r="AJ1756">
        <f t="shared" si="306"/>
        <v>1</v>
      </c>
      <c r="AK1756">
        <f t="shared" si="299"/>
        <v>0</v>
      </c>
      <c r="AL1756">
        <f t="shared" si="307"/>
        <v>1</v>
      </c>
    </row>
    <row r="1757" spans="1:38">
      <c r="A1757" t="s">
        <v>5398</v>
      </c>
      <c r="B1757" t="s">
        <v>5399</v>
      </c>
      <c r="C1757" s="1">
        <f t="shared" si="300"/>
        <v>45474</v>
      </c>
      <c r="D1757" t="s">
        <v>5400</v>
      </c>
      <c r="E1757">
        <v>122.2</v>
      </c>
      <c r="F1757">
        <v>5.0999999999999996</v>
      </c>
      <c r="G1757" t="s">
        <v>30</v>
      </c>
      <c r="H1757" t="s">
        <v>47</v>
      </c>
      <c r="I1757" t="s">
        <v>48</v>
      </c>
      <c r="J1757">
        <v>120</v>
      </c>
      <c r="K1757" t="s">
        <v>33</v>
      </c>
      <c r="L1757" t="s">
        <v>96</v>
      </c>
      <c r="M1757" t="s">
        <v>35</v>
      </c>
      <c r="N1757" t="s">
        <v>61</v>
      </c>
      <c r="O1757" t="s">
        <v>51</v>
      </c>
      <c r="P1757" t="s">
        <v>39</v>
      </c>
      <c r="Q1757" t="s">
        <v>38</v>
      </c>
      <c r="R1757">
        <v>0</v>
      </c>
      <c r="S1757" t="s">
        <v>38</v>
      </c>
      <c r="T1757">
        <v>7</v>
      </c>
      <c r="U1757">
        <v>1.5</v>
      </c>
      <c r="V1757">
        <v>8.6999999999999993</v>
      </c>
      <c r="W1757" t="s">
        <v>39</v>
      </c>
      <c r="X1757" t="s">
        <v>52</v>
      </c>
      <c r="Y1757" t="s">
        <v>38</v>
      </c>
      <c r="Z1757" t="s">
        <v>179</v>
      </c>
      <c r="AA1757" t="s">
        <v>103</v>
      </c>
      <c r="AB1757" t="s">
        <v>55</v>
      </c>
      <c r="AC1757">
        <f t="shared" si="297"/>
        <v>1</v>
      </c>
      <c r="AD1757" s="12">
        <f t="shared" si="301"/>
        <v>0</v>
      </c>
      <c r="AE1757" s="12">
        <f t="shared" si="302"/>
        <v>0</v>
      </c>
      <c r="AF1757">
        <f t="shared" si="298"/>
        <v>1</v>
      </c>
      <c r="AG1757">
        <f t="shared" si="303"/>
        <v>0</v>
      </c>
      <c r="AH1757">
        <f t="shared" si="304"/>
        <v>1</v>
      </c>
      <c r="AI1757">
        <f t="shared" si="305"/>
        <v>0</v>
      </c>
      <c r="AJ1757">
        <f t="shared" si="306"/>
        <v>0</v>
      </c>
      <c r="AK1757">
        <f t="shared" si="299"/>
        <v>1</v>
      </c>
      <c r="AL1757">
        <f t="shared" si="307"/>
        <v>1</v>
      </c>
    </row>
    <row r="1758" spans="1:38">
      <c r="A1758" t="s">
        <v>5401</v>
      </c>
      <c r="B1758" t="s">
        <v>5402</v>
      </c>
      <c r="C1758" s="1">
        <f t="shared" si="300"/>
        <v>45383</v>
      </c>
      <c r="D1758" t="s">
        <v>5403</v>
      </c>
      <c r="E1758">
        <v>223.7</v>
      </c>
      <c r="F1758">
        <v>9.3000000000000007</v>
      </c>
      <c r="G1758" t="s">
        <v>142</v>
      </c>
      <c r="H1758" t="s">
        <v>240</v>
      </c>
      <c r="I1758" t="s">
        <v>32</v>
      </c>
      <c r="J1758">
        <v>240</v>
      </c>
      <c r="K1758" t="s">
        <v>49</v>
      </c>
      <c r="L1758" t="s">
        <v>70</v>
      </c>
      <c r="M1758" t="s">
        <v>71</v>
      </c>
      <c r="N1758" t="s">
        <v>188</v>
      </c>
      <c r="O1758" t="s">
        <v>7232</v>
      </c>
      <c r="P1758" t="s">
        <v>38</v>
      </c>
      <c r="Q1758" t="s">
        <v>39</v>
      </c>
      <c r="R1758">
        <v>4</v>
      </c>
      <c r="S1758" t="s">
        <v>38</v>
      </c>
      <c r="T1758">
        <v>8</v>
      </c>
      <c r="U1758">
        <v>4.0999999999999996</v>
      </c>
      <c r="V1758">
        <v>19.2</v>
      </c>
      <c r="W1758" t="s">
        <v>38</v>
      </c>
      <c r="X1758" t="s">
        <v>52</v>
      </c>
      <c r="Y1758" t="s">
        <v>39</v>
      </c>
      <c r="Z1758" t="s">
        <v>64</v>
      </c>
      <c r="AA1758" t="s">
        <v>82</v>
      </c>
      <c r="AB1758" t="s">
        <v>83</v>
      </c>
      <c r="AC1758">
        <f t="shared" si="297"/>
        <v>1</v>
      </c>
      <c r="AD1758" s="12">
        <f t="shared" si="301"/>
        <v>0</v>
      </c>
      <c r="AE1758" s="12">
        <f t="shared" si="302"/>
        <v>0</v>
      </c>
      <c r="AF1758">
        <f t="shared" si="298"/>
        <v>0</v>
      </c>
      <c r="AG1758">
        <f t="shared" si="303"/>
        <v>1</v>
      </c>
      <c r="AH1758">
        <f t="shared" si="304"/>
        <v>0</v>
      </c>
      <c r="AI1758">
        <f t="shared" si="305"/>
        <v>0</v>
      </c>
      <c r="AJ1758">
        <f t="shared" si="306"/>
        <v>1</v>
      </c>
      <c r="AK1758">
        <f t="shared" si="299"/>
        <v>0</v>
      </c>
      <c r="AL1758">
        <f t="shared" si="307"/>
        <v>0</v>
      </c>
    </row>
    <row r="1759" spans="1:38">
      <c r="A1759" t="s">
        <v>5404</v>
      </c>
      <c r="B1759" t="s">
        <v>5405</v>
      </c>
      <c r="C1759" s="1">
        <f t="shared" si="300"/>
        <v>45444</v>
      </c>
      <c r="D1759" t="s">
        <v>5406</v>
      </c>
      <c r="E1759">
        <v>87</v>
      </c>
      <c r="F1759">
        <v>3.6</v>
      </c>
      <c r="G1759" t="s">
        <v>87</v>
      </c>
      <c r="H1759" t="s">
        <v>309</v>
      </c>
      <c r="I1759" t="s">
        <v>48</v>
      </c>
      <c r="J1759">
        <v>120</v>
      </c>
      <c r="K1759" t="s">
        <v>49</v>
      </c>
      <c r="L1759" t="s">
        <v>96</v>
      </c>
      <c r="M1759" t="s">
        <v>71</v>
      </c>
      <c r="N1759" t="s">
        <v>164</v>
      </c>
      <c r="O1759" t="s">
        <v>37</v>
      </c>
      <c r="P1759" t="s">
        <v>38</v>
      </c>
      <c r="Q1759" t="s">
        <v>39</v>
      </c>
      <c r="R1759">
        <v>4</v>
      </c>
      <c r="S1759" t="s">
        <v>38</v>
      </c>
      <c r="T1759">
        <v>8</v>
      </c>
      <c r="U1759">
        <v>0.1</v>
      </c>
      <c r="V1759">
        <v>29.2</v>
      </c>
      <c r="W1759" t="s">
        <v>38</v>
      </c>
      <c r="X1759" t="s">
        <v>123</v>
      </c>
      <c r="Y1759" t="s">
        <v>39</v>
      </c>
      <c r="Z1759" t="s">
        <v>108</v>
      </c>
      <c r="AA1759" t="s">
        <v>42</v>
      </c>
      <c r="AB1759" t="s">
        <v>43</v>
      </c>
      <c r="AC1759">
        <f t="shared" si="297"/>
        <v>0</v>
      </c>
      <c r="AD1759" s="12">
        <f t="shared" si="301"/>
        <v>0</v>
      </c>
      <c r="AE1759" s="12">
        <f t="shared" si="302"/>
        <v>1</v>
      </c>
      <c r="AF1759">
        <f t="shared" si="298"/>
        <v>0</v>
      </c>
      <c r="AG1759">
        <f t="shared" si="303"/>
        <v>0</v>
      </c>
      <c r="AH1759">
        <f t="shared" si="304"/>
        <v>1</v>
      </c>
      <c r="AI1759">
        <f t="shared" si="305"/>
        <v>0</v>
      </c>
      <c r="AJ1759">
        <f t="shared" si="306"/>
        <v>0</v>
      </c>
      <c r="AK1759">
        <f t="shared" si="299"/>
        <v>0</v>
      </c>
      <c r="AL1759">
        <f t="shared" si="307"/>
        <v>0</v>
      </c>
    </row>
    <row r="1760" spans="1:38">
      <c r="A1760" t="s">
        <v>5407</v>
      </c>
      <c r="B1760" t="s">
        <v>5408</v>
      </c>
      <c r="C1760" s="1">
        <f t="shared" si="300"/>
        <v>45627</v>
      </c>
      <c r="D1760" t="s">
        <v>5409</v>
      </c>
      <c r="E1760">
        <v>166.8</v>
      </c>
      <c r="F1760">
        <v>7</v>
      </c>
      <c r="G1760" t="s">
        <v>30</v>
      </c>
      <c r="H1760" t="s">
        <v>31</v>
      </c>
      <c r="I1760" t="s">
        <v>32</v>
      </c>
      <c r="J1760">
        <v>240</v>
      </c>
      <c r="K1760" t="s">
        <v>49</v>
      </c>
      <c r="L1760" t="s">
        <v>70</v>
      </c>
      <c r="M1760" t="s">
        <v>35</v>
      </c>
      <c r="N1760" t="s">
        <v>188</v>
      </c>
      <c r="O1760" t="s">
        <v>51</v>
      </c>
      <c r="P1760" t="s">
        <v>39</v>
      </c>
      <c r="Q1760" t="s">
        <v>38</v>
      </c>
      <c r="R1760">
        <v>0</v>
      </c>
      <c r="S1760" t="s">
        <v>38</v>
      </c>
      <c r="T1760">
        <v>10</v>
      </c>
      <c r="U1760">
        <v>3.7</v>
      </c>
      <c r="V1760">
        <v>15.1</v>
      </c>
      <c r="W1760" t="s">
        <v>39</v>
      </c>
      <c r="X1760" t="s">
        <v>52</v>
      </c>
      <c r="Y1760" t="s">
        <v>39</v>
      </c>
      <c r="Z1760" t="s">
        <v>81</v>
      </c>
      <c r="AA1760" t="s">
        <v>109</v>
      </c>
      <c r="AB1760" t="s">
        <v>55</v>
      </c>
      <c r="AC1760">
        <f t="shared" si="297"/>
        <v>1</v>
      </c>
      <c r="AD1760" s="12">
        <f t="shared" si="301"/>
        <v>0</v>
      </c>
      <c r="AE1760" s="12">
        <f t="shared" si="302"/>
        <v>0</v>
      </c>
      <c r="AF1760">
        <f t="shared" si="298"/>
        <v>1</v>
      </c>
      <c r="AG1760">
        <f t="shared" si="303"/>
        <v>0</v>
      </c>
      <c r="AH1760">
        <f t="shared" si="304"/>
        <v>0</v>
      </c>
      <c r="AI1760">
        <f t="shared" si="305"/>
        <v>0</v>
      </c>
      <c r="AJ1760">
        <f t="shared" si="306"/>
        <v>1</v>
      </c>
      <c r="AK1760">
        <f t="shared" si="299"/>
        <v>1</v>
      </c>
      <c r="AL1760">
        <f t="shared" si="307"/>
        <v>0</v>
      </c>
    </row>
    <row r="1761" spans="1:38">
      <c r="A1761" t="s">
        <v>5410</v>
      </c>
      <c r="B1761" t="s">
        <v>5411</v>
      </c>
      <c r="C1761" s="1">
        <f t="shared" si="300"/>
        <v>45597</v>
      </c>
      <c r="D1761" t="s">
        <v>5412</v>
      </c>
      <c r="E1761">
        <v>196.6</v>
      </c>
      <c r="F1761">
        <v>8.1999999999999993</v>
      </c>
      <c r="G1761" t="s">
        <v>142</v>
      </c>
      <c r="H1761" t="s">
        <v>143</v>
      </c>
      <c r="I1761" t="s">
        <v>32</v>
      </c>
      <c r="J1761">
        <v>240</v>
      </c>
      <c r="K1761" t="s">
        <v>49</v>
      </c>
      <c r="L1761" t="s">
        <v>70</v>
      </c>
      <c r="M1761" t="s">
        <v>71</v>
      </c>
      <c r="N1761" t="s">
        <v>36</v>
      </c>
      <c r="O1761" t="s">
        <v>7232</v>
      </c>
      <c r="P1761" t="s">
        <v>38</v>
      </c>
      <c r="Q1761" t="s">
        <v>39</v>
      </c>
      <c r="R1761">
        <v>1</v>
      </c>
      <c r="S1761" t="s">
        <v>38</v>
      </c>
      <c r="T1761">
        <v>8</v>
      </c>
      <c r="U1761">
        <v>3.9</v>
      </c>
      <c r="V1761">
        <v>30.2</v>
      </c>
      <c r="W1761" t="s">
        <v>39</v>
      </c>
      <c r="X1761" t="s">
        <v>123</v>
      </c>
      <c r="Y1761" t="s">
        <v>39</v>
      </c>
      <c r="Z1761" t="s">
        <v>53</v>
      </c>
      <c r="AA1761" t="s">
        <v>54</v>
      </c>
      <c r="AB1761" t="s">
        <v>83</v>
      </c>
      <c r="AC1761">
        <f t="shared" si="297"/>
        <v>0</v>
      </c>
      <c r="AD1761" s="12">
        <f t="shared" si="301"/>
        <v>0</v>
      </c>
      <c r="AE1761" s="12">
        <f t="shared" si="302"/>
        <v>1</v>
      </c>
      <c r="AF1761">
        <f t="shared" si="298"/>
        <v>0</v>
      </c>
      <c r="AG1761">
        <f t="shared" si="303"/>
        <v>1</v>
      </c>
      <c r="AH1761">
        <f t="shared" si="304"/>
        <v>0</v>
      </c>
      <c r="AI1761">
        <f t="shared" si="305"/>
        <v>0</v>
      </c>
      <c r="AJ1761">
        <f t="shared" si="306"/>
        <v>1</v>
      </c>
      <c r="AK1761">
        <f t="shared" si="299"/>
        <v>0</v>
      </c>
      <c r="AL1761">
        <f t="shared" si="307"/>
        <v>0</v>
      </c>
    </row>
    <row r="1762" spans="1:38">
      <c r="A1762" t="s">
        <v>5413</v>
      </c>
      <c r="B1762" t="s">
        <v>5414</v>
      </c>
      <c r="C1762" s="1">
        <f t="shared" si="300"/>
        <v>45383</v>
      </c>
      <c r="D1762" t="s">
        <v>5415</v>
      </c>
      <c r="E1762">
        <v>31</v>
      </c>
      <c r="F1762">
        <v>1.3</v>
      </c>
      <c r="G1762" t="s">
        <v>59</v>
      </c>
      <c r="H1762" t="s">
        <v>466</v>
      </c>
      <c r="I1762" t="s">
        <v>95</v>
      </c>
      <c r="J1762">
        <v>48</v>
      </c>
      <c r="K1762" t="s">
        <v>49</v>
      </c>
      <c r="L1762" t="s">
        <v>96</v>
      </c>
      <c r="M1762" t="s">
        <v>71</v>
      </c>
      <c r="N1762" t="s">
        <v>97</v>
      </c>
      <c r="O1762" t="s">
        <v>37</v>
      </c>
      <c r="P1762" t="s">
        <v>38</v>
      </c>
      <c r="Q1762" t="s">
        <v>39</v>
      </c>
      <c r="R1762">
        <v>2</v>
      </c>
      <c r="S1762" t="s">
        <v>38</v>
      </c>
      <c r="T1762">
        <v>7</v>
      </c>
      <c r="U1762">
        <v>3.2</v>
      </c>
      <c r="V1762">
        <v>25.1</v>
      </c>
      <c r="W1762" t="s">
        <v>39</v>
      </c>
      <c r="X1762" t="s">
        <v>63</v>
      </c>
      <c r="Y1762" t="s">
        <v>39</v>
      </c>
      <c r="Z1762" t="s">
        <v>73</v>
      </c>
      <c r="AA1762" t="s">
        <v>82</v>
      </c>
      <c r="AB1762" t="s">
        <v>83</v>
      </c>
      <c r="AC1762">
        <f t="shared" si="297"/>
        <v>0</v>
      </c>
      <c r="AD1762" s="12">
        <f t="shared" si="301"/>
        <v>1</v>
      </c>
      <c r="AE1762" s="12">
        <f t="shared" si="302"/>
        <v>0</v>
      </c>
      <c r="AF1762">
        <f t="shared" si="298"/>
        <v>0</v>
      </c>
      <c r="AG1762">
        <f t="shared" si="303"/>
        <v>0</v>
      </c>
      <c r="AH1762">
        <f t="shared" si="304"/>
        <v>0</v>
      </c>
      <c r="AI1762">
        <f t="shared" si="305"/>
        <v>1</v>
      </c>
      <c r="AJ1762">
        <f t="shared" si="306"/>
        <v>0</v>
      </c>
      <c r="AK1762">
        <f t="shared" si="299"/>
        <v>0</v>
      </c>
      <c r="AL1762">
        <f t="shared" si="307"/>
        <v>0</v>
      </c>
    </row>
    <row r="1763" spans="1:38">
      <c r="A1763" t="s">
        <v>5416</v>
      </c>
      <c r="B1763" t="s">
        <v>5417</v>
      </c>
      <c r="C1763" s="1">
        <f t="shared" si="300"/>
        <v>45474</v>
      </c>
      <c r="D1763" t="s">
        <v>5418</v>
      </c>
      <c r="E1763">
        <v>161.69999999999999</v>
      </c>
      <c r="F1763">
        <v>6.7</v>
      </c>
      <c r="G1763" t="s">
        <v>87</v>
      </c>
      <c r="H1763" t="s">
        <v>151</v>
      </c>
      <c r="I1763" t="s">
        <v>32</v>
      </c>
      <c r="J1763">
        <v>240</v>
      </c>
      <c r="K1763" t="s">
        <v>49</v>
      </c>
      <c r="L1763" t="s">
        <v>70</v>
      </c>
      <c r="M1763" t="s">
        <v>35</v>
      </c>
      <c r="N1763" t="s">
        <v>50</v>
      </c>
      <c r="O1763" t="s">
        <v>51</v>
      </c>
      <c r="P1763" t="s">
        <v>38</v>
      </c>
      <c r="Q1763" t="s">
        <v>38</v>
      </c>
      <c r="R1763">
        <v>1</v>
      </c>
      <c r="S1763" t="s">
        <v>38</v>
      </c>
      <c r="T1763">
        <v>9</v>
      </c>
      <c r="U1763">
        <v>4.3</v>
      </c>
      <c r="V1763">
        <v>10.5</v>
      </c>
      <c r="W1763" t="s">
        <v>38</v>
      </c>
      <c r="X1763" t="s">
        <v>63</v>
      </c>
      <c r="Y1763" t="s">
        <v>38</v>
      </c>
      <c r="Z1763" t="s">
        <v>53</v>
      </c>
      <c r="AA1763" t="s">
        <v>82</v>
      </c>
      <c r="AB1763" t="s">
        <v>83</v>
      </c>
      <c r="AC1763">
        <f t="shared" si="297"/>
        <v>0</v>
      </c>
      <c r="AD1763" s="12">
        <f t="shared" si="301"/>
        <v>1</v>
      </c>
      <c r="AE1763" s="12">
        <f t="shared" si="302"/>
        <v>0</v>
      </c>
      <c r="AF1763">
        <f t="shared" si="298"/>
        <v>1</v>
      </c>
      <c r="AG1763">
        <f t="shared" si="303"/>
        <v>0</v>
      </c>
      <c r="AH1763">
        <f t="shared" si="304"/>
        <v>0</v>
      </c>
      <c r="AI1763">
        <f t="shared" si="305"/>
        <v>0</v>
      </c>
      <c r="AJ1763">
        <f t="shared" si="306"/>
        <v>1</v>
      </c>
      <c r="AK1763">
        <f t="shared" si="299"/>
        <v>0</v>
      </c>
      <c r="AL1763">
        <f t="shared" si="307"/>
        <v>1</v>
      </c>
    </row>
    <row r="1764" spans="1:38">
      <c r="A1764" t="s">
        <v>5419</v>
      </c>
      <c r="B1764" t="s">
        <v>5420</v>
      </c>
      <c r="C1764" s="1">
        <f t="shared" si="300"/>
        <v>45413</v>
      </c>
      <c r="D1764" t="s">
        <v>5421</v>
      </c>
      <c r="E1764">
        <v>287.39999999999998</v>
      </c>
      <c r="F1764">
        <v>12</v>
      </c>
      <c r="G1764" t="s">
        <v>77</v>
      </c>
      <c r="H1764" t="s">
        <v>187</v>
      </c>
      <c r="I1764" t="s">
        <v>79</v>
      </c>
      <c r="J1764">
        <v>360</v>
      </c>
      <c r="K1764" t="s">
        <v>49</v>
      </c>
      <c r="L1764" t="s">
        <v>34</v>
      </c>
      <c r="M1764" t="s">
        <v>35</v>
      </c>
      <c r="N1764" t="s">
        <v>138</v>
      </c>
      <c r="O1764" t="s">
        <v>51</v>
      </c>
      <c r="P1764" t="s">
        <v>39</v>
      </c>
      <c r="Q1764" t="s">
        <v>38</v>
      </c>
      <c r="R1764">
        <v>0</v>
      </c>
      <c r="S1764" t="s">
        <v>38</v>
      </c>
      <c r="T1764">
        <v>10</v>
      </c>
      <c r="U1764">
        <v>3.5</v>
      </c>
      <c r="V1764">
        <v>21.8</v>
      </c>
      <c r="W1764" t="s">
        <v>39</v>
      </c>
      <c r="X1764" t="s">
        <v>63</v>
      </c>
      <c r="Y1764" t="s">
        <v>38</v>
      </c>
      <c r="Z1764" t="s">
        <v>41</v>
      </c>
      <c r="AA1764" t="s">
        <v>103</v>
      </c>
      <c r="AB1764" t="s">
        <v>83</v>
      </c>
      <c r="AC1764">
        <f t="shared" si="297"/>
        <v>0</v>
      </c>
      <c r="AD1764" s="12">
        <f t="shared" si="301"/>
        <v>1</v>
      </c>
      <c r="AE1764" s="12">
        <f t="shared" si="302"/>
        <v>0</v>
      </c>
      <c r="AF1764">
        <f t="shared" si="298"/>
        <v>1</v>
      </c>
      <c r="AG1764">
        <f t="shared" si="303"/>
        <v>0</v>
      </c>
      <c r="AH1764">
        <f t="shared" si="304"/>
        <v>0</v>
      </c>
      <c r="AI1764">
        <f t="shared" si="305"/>
        <v>0</v>
      </c>
      <c r="AJ1764">
        <f t="shared" si="306"/>
        <v>0</v>
      </c>
      <c r="AK1764">
        <f t="shared" si="299"/>
        <v>0</v>
      </c>
      <c r="AL1764">
        <f t="shared" si="307"/>
        <v>1</v>
      </c>
    </row>
    <row r="1765" spans="1:38">
      <c r="A1765" t="s">
        <v>5422</v>
      </c>
      <c r="B1765" t="s">
        <v>5423</v>
      </c>
      <c r="C1765" s="1">
        <f t="shared" si="300"/>
        <v>45474</v>
      </c>
      <c r="D1765" t="s">
        <v>5424</v>
      </c>
      <c r="E1765">
        <v>82.8</v>
      </c>
      <c r="F1765">
        <v>3.5</v>
      </c>
      <c r="G1765" t="s">
        <v>87</v>
      </c>
      <c r="H1765" t="s">
        <v>151</v>
      </c>
      <c r="I1765" t="s">
        <v>48</v>
      </c>
      <c r="J1765">
        <v>120</v>
      </c>
      <c r="K1765" t="s">
        <v>49</v>
      </c>
      <c r="L1765" t="s">
        <v>34</v>
      </c>
      <c r="M1765" t="s">
        <v>35</v>
      </c>
      <c r="N1765" t="s">
        <v>119</v>
      </c>
      <c r="O1765" t="s">
        <v>51</v>
      </c>
      <c r="P1765" t="s">
        <v>38</v>
      </c>
      <c r="Q1765" t="s">
        <v>38</v>
      </c>
      <c r="R1765">
        <v>1</v>
      </c>
      <c r="S1765" t="s">
        <v>38</v>
      </c>
      <c r="T1765">
        <v>8</v>
      </c>
      <c r="U1765">
        <v>0.1</v>
      </c>
      <c r="V1765">
        <v>0</v>
      </c>
      <c r="W1765" t="s">
        <v>39</v>
      </c>
      <c r="X1765" t="s">
        <v>123</v>
      </c>
      <c r="Y1765" t="s">
        <v>39</v>
      </c>
      <c r="Z1765" t="s">
        <v>64</v>
      </c>
      <c r="AA1765" t="s">
        <v>109</v>
      </c>
      <c r="AB1765" t="s">
        <v>83</v>
      </c>
      <c r="AC1765">
        <f t="shared" si="297"/>
        <v>0</v>
      </c>
      <c r="AD1765" s="12">
        <f t="shared" si="301"/>
        <v>0</v>
      </c>
      <c r="AE1765" s="12">
        <f t="shared" si="302"/>
        <v>1</v>
      </c>
      <c r="AF1765">
        <f t="shared" si="298"/>
        <v>1</v>
      </c>
      <c r="AG1765">
        <f t="shared" si="303"/>
        <v>0</v>
      </c>
      <c r="AH1765">
        <f t="shared" si="304"/>
        <v>1</v>
      </c>
      <c r="AI1765">
        <f t="shared" si="305"/>
        <v>0</v>
      </c>
      <c r="AJ1765">
        <f t="shared" si="306"/>
        <v>0</v>
      </c>
      <c r="AK1765">
        <f t="shared" si="299"/>
        <v>0</v>
      </c>
      <c r="AL1765">
        <f t="shared" si="307"/>
        <v>0</v>
      </c>
    </row>
    <row r="1766" spans="1:38">
      <c r="A1766" t="s">
        <v>5425</v>
      </c>
      <c r="B1766" t="s">
        <v>5426</v>
      </c>
      <c r="C1766" s="1">
        <f t="shared" si="300"/>
        <v>45597</v>
      </c>
      <c r="D1766" t="s">
        <v>5427</v>
      </c>
      <c r="E1766">
        <v>105.3</v>
      </c>
      <c r="F1766">
        <v>4.4000000000000004</v>
      </c>
      <c r="G1766" t="s">
        <v>101</v>
      </c>
      <c r="H1766" t="s">
        <v>102</v>
      </c>
      <c r="I1766" t="s">
        <v>48</v>
      </c>
      <c r="J1766">
        <v>120</v>
      </c>
      <c r="K1766" t="s">
        <v>49</v>
      </c>
      <c r="L1766" t="s">
        <v>70</v>
      </c>
      <c r="M1766" t="s">
        <v>35</v>
      </c>
      <c r="N1766" t="s">
        <v>89</v>
      </c>
      <c r="O1766" t="s">
        <v>51</v>
      </c>
      <c r="P1766" t="s">
        <v>39</v>
      </c>
      <c r="Q1766" t="s">
        <v>38</v>
      </c>
      <c r="R1766">
        <v>0</v>
      </c>
      <c r="S1766" t="s">
        <v>38</v>
      </c>
      <c r="T1766">
        <v>8</v>
      </c>
      <c r="U1766">
        <v>3.6</v>
      </c>
      <c r="V1766">
        <v>0</v>
      </c>
      <c r="W1766" t="s">
        <v>39</v>
      </c>
      <c r="X1766" t="s">
        <v>52</v>
      </c>
      <c r="Y1766" t="s">
        <v>38</v>
      </c>
      <c r="Z1766" t="s">
        <v>115</v>
      </c>
      <c r="AA1766" t="s">
        <v>42</v>
      </c>
      <c r="AB1766" t="s">
        <v>83</v>
      </c>
      <c r="AC1766">
        <f t="shared" si="297"/>
        <v>1</v>
      </c>
      <c r="AD1766" s="12">
        <f t="shared" si="301"/>
        <v>0</v>
      </c>
      <c r="AE1766" s="12">
        <f t="shared" si="302"/>
        <v>0</v>
      </c>
      <c r="AF1766">
        <f t="shared" si="298"/>
        <v>1</v>
      </c>
      <c r="AG1766">
        <f t="shared" si="303"/>
        <v>0</v>
      </c>
      <c r="AH1766">
        <f t="shared" si="304"/>
        <v>1</v>
      </c>
      <c r="AI1766">
        <f t="shared" si="305"/>
        <v>0</v>
      </c>
      <c r="AJ1766">
        <f t="shared" si="306"/>
        <v>0</v>
      </c>
      <c r="AK1766">
        <f t="shared" si="299"/>
        <v>0</v>
      </c>
      <c r="AL1766">
        <f t="shared" si="307"/>
        <v>1</v>
      </c>
    </row>
    <row r="1767" spans="1:38">
      <c r="A1767" t="s">
        <v>5428</v>
      </c>
      <c r="B1767" t="s">
        <v>5429</v>
      </c>
      <c r="C1767" s="1">
        <f t="shared" si="300"/>
        <v>45383</v>
      </c>
      <c r="D1767" t="s">
        <v>5430</v>
      </c>
      <c r="E1767">
        <v>160</v>
      </c>
      <c r="F1767">
        <v>6.7</v>
      </c>
      <c r="G1767" t="s">
        <v>142</v>
      </c>
      <c r="H1767" t="s">
        <v>729</v>
      </c>
      <c r="I1767" t="s">
        <v>32</v>
      </c>
      <c r="J1767">
        <v>240</v>
      </c>
      <c r="K1767" t="s">
        <v>49</v>
      </c>
      <c r="L1767" t="s">
        <v>133</v>
      </c>
      <c r="M1767" t="s">
        <v>71</v>
      </c>
      <c r="N1767" t="s">
        <v>277</v>
      </c>
      <c r="O1767" t="s">
        <v>7232</v>
      </c>
      <c r="P1767" t="s">
        <v>38</v>
      </c>
      <c r="Q1767" t="s">
        <v>39</v>
      </c>
      <c r="R1767">
        <v>4</v>
      </c>
      <c r="S1767" t="s">
        <v>38</v>
      </c>
      <c r="T1767">
        <v>8</v>
      </c>
      <c r="U1767">
        <v>3.9</v>
      </c>
      <c r="V1767">
        <v>18.2</v>
      </c>
      <c r="W1767" t="s">
        <v>38</v>
      </c>
      <c r="X1767" t="s">
        <v>52</v>
      </c>
      <c r="Y1767" t="s">
        <v>39</v>
      </c>
      <c r="Z1767" t="s">
        <v>81</v>
      </c>
      <c r="AA1767" t="s">
        <v>103</v>
      </c>
      <c r="AB1767" t="s">
        <v>55</v>
      </c>
      <c r="AC1767">
        <f t="shared" si="297"/>
        <v>1</v>
      </c>
      <c r="AD1767" s="12">
        <f t="shared" si="301"/>
        <v>0</v>
      </c>
      <c r="AE1767" s="12">
        <f t="shared" si="302"/>
        <v>0</v>
      </c>
      <c r="AF1767">
        <f t="shared" si="298"/>
        <v>0</v>
      </c>
      <c r="AG1767">
        <f t="shared" si="303"/>
        <v>1</v>
      </c>
      <c r="AH1767">
        <f t="shared" si="304"/>
        <v>0</v>
      </c>
      <c r="AI1767">
        <f t="shared" si="305"/>
        <v>0</v>
      </c>
      <c r="AJ1767">
        <f t="shared" si="306"/>
        <v>1</v>
      </c>
      <c r="AK1767">
        <f t="shared" si="299"/>
        <v>0</v>
      </c>
      <c r="AL1767">
        <f t="shared" si="307"/>
        <v>0</v>
      </c>
    </row>
    <row r="1768" spans="1:38">
      <c r="A1768" t="s">
        <v>5431</v>
      </c>
      <c r="B1768" t="s">
        <v>5432</v>
      </c>
      <c r="C1768" s="1">
        <f t="shared" si="300"/>
        <v>45352</v>
      </c>
      <c r="D1768" t="s">
        <v>5433</v>
      </c>
      <c r="E1768">
        <v>193</v>
      </c>
      <c r="F1768">
        <v>8</v>
      </c>
      <c r="G1768" t="s">
        <v>142</v>
      </c>
      <c r="H1768" t="s">
        <v>143</v>
      </c>
      <c r="I1768" t="s">
        <v>32</v>
      </c>
      <c r="J1768">
        <v>240</v>
      </c>
      <c r="K1768" t="s">
        <v>49</v>
      </c>
      <c r="L1768" t="s">
        <v>70</v>
      </c>
      <c r="M1768" t="s">
        <v>35</v>
      </c>
      <c r="N1768" t="s">
        <v>134</v>
      </c>
      <c r="O1768" t="s">
        <v>7232</v>
      </c>
      <c r="P1768" t="s">
        <v>38</v>
      </c>
      <c r="Q1768" t="s">
        <v>38</v>
      </c>
      <c r="R1768">
        <v>1</v>
      </c>
      <c r="S1768" t="s">
        <v>38</v>
      </c>
      <c r="T1768">
        <v>7</v>
      </c>
      <c r="U1768">
        <v>2.1</v>
      </c>
      <c r="V1768">
        <v>21.3</v>
      </c>
      <c r="W1768" t="s">
        <v>39</v>
      </c>
      <c r="X1768" t="s">
        <v>123</v>
      </c>
      <c r="Y1768" t="s">
        <v>39</v>
      </c>
      <c r="Z1768" t="s">
        <v>64</v>
      </c>
      <c r="AA1768" t="s">
        <v>109</v>
      </c>
      <c r="AB1768" t="s">
        <v>43</v>
      </c>
      <c r="AC1768">
        <f t="shared" si="297"/>
        <v>0</v>
      </c>
      <c r="AD1768" s="12">
        <f t="shared" si="301"/>
        <v>0</v>
      </c>
      <c r="AE1768" s="12">
        <f t="shared" si="302"/>
        <v>1</v>
      </c>
      <c r="AF1768">
        <f t="shared" si="298"/>
        <v>0</v>
      </c>
      <c r="AG1768">
        <f t="shared" si="303"/>
        <v>1</v>
      </c>
      <c r="AH1768">
        <f t="shared" si="304"/>
        <v>0</v>
      </c>
      <c r="AI1768">
        <f t="shared" si="305"/>
        <v>0</v>
      </c>
      <c r="AJ1768">
        <f t="shared" si="306"/>
        <v>1</v>
      </c>
      <c r="AK1768">
        <f t="shared" si="299"/>
        <v>0</v>
      </c>
      <c r="AL1768">
        <f t="shared" si="307"/>
        <v>0</v>
      </c>
    </row>
    <row r="1769" spans="1:38">
      <c r="A1769" t="s">
        <v>5434</v>
      </c>
      <c r="B1769" t="s">
        <v>5435</v>
      </c>
      <c r="C1769" s="1">
        <f t="shared" si="300"/>
        <v>45505</v>
      </c>
      <c r="D1769" t="s">
        <v>5436</v>
      </c>
      <c r="E1769">
        <v>148.80000000000001</v>
      </c>
      <c r="F1769">
        <v>6.2</v>
      </c>
      <c r="G1769" t="s">
        <v>87</v>
      </c>
      <c r="H1769" t="s">
        <v>309</v>
      </c>
      <c r="I1769" t="s">
        <v>48</v>
      </c>
      <c r="J1769">
        <v>120</v>
      </c>
      <c r="K1769" t="s">
        <v>33</v>
      </c>
      <c r="L1769" t="s">
        <v>34</v>
      </c>
      <c r="M1769" t="s">
        <v>35</v>
      </c>
      <c r="N1769" t="s">
        <v>114</v>
      </c>
      <c r="O1769" t="s">
        <v>51</v>
      </c>
      <c r="P1769" t="s">
        <v>38</v>
      </c>
      <c r="Q1769" t="s">
        <v>38</v>
      </c>
      <c r="R1769">
        <v>1</v>
      </c>
      <c r="S1769" t="s">
        <v>38</v>
      </c>
      <c r="T1769">
        <v>4</v>
      </c>
      <c r="U1769">
        <v>3.3</v>
      </c>
      <c r="V1769">
        <v>15.2</v>
      </c>
      <c r="W1769" t="s">
        <v>38</v>
      </c>
      <c r="X1769" t="s">
        <v>40</v>
      </c>
      <c r="Y1769" t="s">
        <v>38</v>
      </c>
      <c r="Z1769" t="s">
        <v>179</v>
      </c>
      <c r="AA1769" t="s">
        <v>109</v>
      </c>
      <c r="AB1769" t="s">
        <v>55</v>
      </c>
      <c r="AC1769">
        <f t="shared" si="297"/>
        <v>0</v>
      </c>
      <c r="AD1769" s="12">
        <f t="shared" si="301"/>
        <v>0</v>
      </c>
      <c r="AE1769" s="12">
        <f t="shared" si="302"/>
        <v>0</v>
      </c>
      <c r="AF1769">
        <f t="shared" si="298"/>
        <v>1</v>
      </c>
      <c r="AG1769">
        <f t="shared" si="303"/>
        <v>0</v>
      </c>
      <c r="AH1769">
        <f t="shared" si="304"/>
        <v>1</v>
      </c>
      <c r="AI1769">
        <f t="shared" si="305"/>
        <v>0</v>
      </c>
      <c r="AJ1769">
        <f t="shared" si="306"/>
        <v>0</v>
      </c>
      <c r="AK1769">
        <f t="shared" si="299"/>
        <v>0</v>
      </c>
      <c r="AL1769">
        <f t="shared" si="307"/>
        <v>1</v>
      </c>
    </row>
    <row r="1770" spans="1:38">
      <c r="A1770" t="s">
        <v>5437</v>
      </c>
      <c r="B1770" t="s">
        <v>5438</v>
      </c>
      <c r="C1770" s="1">
        <f t="shared" si="300"/>
        <v>45474</v>
      </c>
      <c r="D1770" t="s">
        <v>5439</v>
      </c>
      <c r="E1770">
        <v>498</v>
      </c>
      <c r="F1770">
        <v>20.8</v>
      </c>
      <c r="G1770" t="s">
        <v>77</v>
      </c>
      <c r="H1770" t="s">
        <v>187</v>
      </c>
      <c r="I1770" t="s">
        <v>79</v>
      </c>
      <c r="J1770">
        <v>360</v>
      </c>
      <c r="K1770" t="s">
        <v>33</v>
      </c>
      <c r="L1770" t="s">
        <v>96</v>
      </c>
      <c r="M1770" t="s">
        <v>35</v>
      </c>
      <c r="N1770" t="s">
        <v>36</v>
      </c>
      <c r="O1770" t="s">
        <v>37</v>
      </c>
      <c r="P1770" t="s">
        <v>39</v>
      </c>
      <c r="Q1770" t="s">
        <v>38</v>
      </c>
      <c r="R1770">
        <v>0</v>
      </c>
      <c r="S1770" t="s">
        <v>38</v>
      </c>
      <c r="T1770">
        <v>8</v>
      </c>
      <c r="U1770">
        <v>2.9</v>
      </c>
      <c r="V1770">
        <v>6.5</v>
      </c>
      <c r="W1770" t="s">
        <v>39</v>
      </c>
      <c r="X1770" t="s">
        <v>52</v>
      </c>
      <c r="Y1770" t="s">
        <v>39</v>
      </c>
      <c r="Z1770" t="s">
        <v>64</v>
      </c>
      <c r="AA1770" t="s">
        <v>54</v>
      </c>
      <c r="AB1770" t="s">
        <v>55</v>
      </c>
      <c r="AC1770">
        <f t="shared" si="297"/>
        <v>1</v>
      </c>
      <c r="AD1770" s="12">
        <f t="shared" si="301"/>
        <v>0</v>
      </c>
      <c r="AE1770" s="12">
        <f t="shared" si="302"/>
        <v>0</v>
      </c>
      <c r="AF1770">
        <f t="shared" si="298"/>
        <v>0</v>
      </c>
      <c r="AG1770">
        <f t="shared" si="303"/>
        <v>0</v>
      </c>
      <c r="AH1770">
        <f t="shared" si="304"/>
        <v>0</v>
      </c>
      <c r="AI1770">
        <f t="shared" si="305"/>
        <v>0</v>
      </c>
      <c r="AJ1770">
        <f t="shared" si="306"/>
        <v>0</v>
      </c>
      <c r="AK1770">
        <f t="shared" si="299"/>
        <v>0</v>
      </c>
      <c r="AL1770">
        <f t="shared" si="307"/>
        <v>0</v>
      </c>
    </row>
    <row r="1771" spans="1:38">
      <c r="A1771" t="s">
        <v>5440</v>
      </c>
      <c r="B1771" t="s">
        <v>5441</v>
      </c>
      <c r="C1771" s="1">
        <f t="shared" si="300"/>
        <v>45444</v>
      </c>
      <c r="D1771" t="s">
        <v>5442</v>
      </c>
      <c r="E1771">
        <v>226.6</v>
      </c>
      <c r="F1771">
        <v>9.4</v>
      </c>
      <c r="G1771" t="s">
        <v>30</v>
      </c>
      <c r="H1771" t="s">
        <v>47</v>
      </c>
      <c r="I1771" t="s">
        <v>32</v>
      </c>
      <c r="J1771">
        <v>240</v>
      </c>
      <c r="K1771" t="s">
        <v>49</v>
      </c>
      <c r="L1771" t="s">
        <v>96</v>
      </c>
      <c r="M1771" t="s">
        <v>35</v>
      </c>
      <c r="N1771" t="s">
        <v>192</v>
      </c>
      <c r="O1771" t="s">
        <v>37</v>
      </c>
      <c r="P1771" t="s">
        <v>38</v>
      </c>
      <c r="Q1771" t="s">
        <v>38</v>
      </c>
      <c r="R1771">
        <v>1</v>
      </c>
      <c r="S1771" t="s">
        <v>38</v>
      </c>
      <c r="T1771">
        <v>10</v>
      </c>
      <c r="U1771">
        <v>3.5</v>
      </c>
      <c r="V1771">
        <v>25.9</v>
      </c>
      <c r="W1771" t="s">
        <v>39</v>
      </c>
      <c r="X1771" t="s">
        <v>123</v>
      </c>
      <c r="Y1771" t="s">
        <v>39</v>
      </c>
      <c r="Z1771" t="s">
        <v>108</v>
      </c>
      <c r="AA1771" t="s">
        <v>103</v>
      </c>
      <c r="AB1771" t="s">
        <v>43</v>
      </c>
      <c r="AC1771">
        <f t="shared" si="297"/>
        <v>0</v>
      </c>
      <c r="AD1771" s="12">
        <f t="shared" si="301"/>
        <v>0</v>
      </c>
      <c r="AE1771" s="12">
        <f t="shared" si="302"/>
        <v>1</v>
      </c>
      <c r="AF1771">
        <f t="shared" si="298"/>
        <v>0</v>
      </c>
      <c r="AG1771">
        <f t="shared" si="303"/>
        <v>0</v>
      </c>
      <c r="AH1771">
        <f t="shared" si="304"/>
        <v>0</v>
      </c>
      <c r="AI1771">
        <f t="shared" si="305"/>
        <v>0</v>
      </c>
      <c r="AJ1771">
        <f t="shared" si="306"/>
        <v>1</v>
      </c>
      <c r="AK1771">
        <f t="shared" si="299"/>
        <v>1</v>
      </c>
      <c r="AL1771">
        <f t="shared" si="307"/>
        <v>0</v>
      </c>
    </row>
    <row r="1772" spans="1:38">
      <c r="A1772" t="s">
        <v>5443</v>
      </c>
      <c r="B1772" t="s">
        <v>5444</v>
      </c>
      <c r="C1772" s="1">
        <f t="shared" si="300"/>
        <v>45323</v>
      </c>
      <c r="D1772" t="s">
        <v>5445</v>
      </c>
      <c r="E1772">
        <v>192</v>
      </c>
      <c r="F1772">
        <v>8</v>
      </c>
      <c r="G1772" t="s">
        <v>87</v>
      </c>
      <c r="H1772" t="s">
        <v>183</v>
      </c>
      <c r="I1772" t="s">
        <v>48</v>
      </c>
      <c r="J1772">
        <v>120</v>
      </c>
      <c r="K1772" t="s">
        <v>33</v>
      </c>
      <c r="L1772" t="s">
        <v>113</v>
      </c>
      <c r="M1772" t="s">
        <v>35</v>
      </c>
      <c r="N1772" t="s">
        <v>89</v>
      </c>
      <c r="O1772" t="s">
        <v>37</v>
      </c>
      <c r="P1772" t="s">
        <v>38</v>
      </c>
      <c r="Q1772" t="s">
        <v>38</v>
      </c>
      <c r="R1772">
        <v>1</v>
      </c>
      <c r="S1772" t="s">
        <v>38</v>
      </c>
      <c r="T1772">
        <v>7</v>
      </c>
      <c r="U1772">
        <v>2.8</v>
      </c>
      <c r="V1772">
        <v>24.5</v>
      </c>
      <c r="W1772" t="s">
        <v>39</v>
      </c>
      <c r="X1772" t="s">
        <v>63</v>
      </c>
      <c r="Y1772" t="s">
        <v>39</v>
      </c>
      <c r="Z1772" t="s">
        <v>64</v>
      </c>
      <c r="AA1772" t="s">
        <v>109</v>
      </c>
      <c r="AB1772" t="s">
        <v>83</v>
      </c>
      <c r="AC1772">
        <f t="shared" si="297"/>
        <v>0</v>
      </c>
      <c r="AD1772" s="12">
        <f t="shared" si="301"/>
        <v>1</v>
      </c>
      <c r="AE1772" s="12">
        <f t="shared" si="302"/>
        <v>0</v>
      </c>
      <c r="AF1772">
        <f t="shared" si="298"/>
        <v>0</v>
      </c>
      <c r="AG1772">
        <f t="shared" si="303"/>
        <v>0</v>
      </c>
      <c r="AH1772">
        <f t="shared" si="304"/>
        <v>1</v>
      </c>
      <c r="AI1772">
        <f t="shared" si="305"/>
        <v>0</v>
      </c>
      <c r="AJ1772">
        <f t="shared" si="306"/>
        <v>0</v>
      </c>
      <c r="AK1772">
        <f t="shared" si="299"/>
        <v>0</v>
      </c>
      <c r="AL1772">
        <f t="shared" si="307"/>
        <v>0</v>
      </c>
    </row>
    <row r="1773" spans="1:38">
      <c r="A1773" t="s">
        <v>5446</v>
      </c>
      <c r="B1773" t="s">
        <v>5447</v>
      </c>
      <c r="C1773" s="1">
        <f t="shared" si="300"/>
        <v>45323</v>
      </c>
      <c r="D1773" t="s">
        <v>5448</v>
      </c>
      <c r="E1773">
        <v>181.4</v>
      </c>
      <c r="F1773">
        <v>7.6</v>
      </c>
      <c r="G1773" t="s">
        <v>101</v>
      </c>
      <c r="H1773" t="s">
        <v>102</v>
      </c>
      <c r="I1773" t="s">
        <v>32</v>
      </c>
      <c r="J1773">
        <v>240</v>
      </c>
      <c r="K1773" t="s">
        <v>49</v>
      </c>
      <c r="L1773" t="s">
        <v>96</v>
      </c>
      <c r="M1773" t="s">
        <v>35</v>
      </c>
      <c r="N1773" t="s">
        <v>299</v>
      </c>
      <c r="O1773" t="s">
        <v>7232</v>
      </c>
      <c r="P1773" t="s">
        <v>38</v>
      </c>
      <c r="Q1773" t="s">
        <v>38</v>
      </c>
      <c r="R1773">
        <v>1</v>
      </c>
      <c r="S1773" t="s">
        <v>38</v>
      </c>
      <c r="T1773">
        <v>7</v>
      </c>
      <c r="U1773">
        <v>0.1</v>
      </c>
      <c r="V1773">
        <v>32.9</v>
      </c>
      <c r="W1773" t="s">
        <v>38</v>
      </c>
      <c r="X1773" t="s">
        <v>52</v>
      </c>
      <c r="Y1773" t="s">
        <v>39</v>
      </c>
      <c r="Z1773" t="s">
        <v>108</v>
      </c>
      <c r="AA1773" t="s">
        <v>54</v>
      </c>
      <c r="AB1773" t="s">
        <v>55</v>
      </c>
      <c r="AC1773">
        <f t="shared" si="297"/>
        <v>1</v>
      </c>
      <c r="AD1773" s="12">
        <f t="shared" si="301"/>
        <v>0</v>
      </c>
      <c r="AE1773" s="12">
        <f t="shared" si="302"/>
        <v>0</v>
      </c>
      <c r="AF1773">
        <f t="shared" si="298"/>
        <v>0</v>
      </c>
      <c r="AG1773">
        <f t="shared" si="303"/>
        <v>1</v>
      </c>
      <c r="AH1773">
        <f t="shared" si="304"/>
        <v>0</v>
      </c>
      <c r="AI1773">
        <f t="shared" si="305"/>
        <v>0</v>
      </c>
      <c r="AJ1773">
        <f t="shared" si="306"/>
        <v>1</v>
      </c>
      <c r="AK1773">
        <f t="shared" si="299"/>
        <v>0</v>
      </c>
      <c r="AL1773">
        <f t="shared" si="307"/>
        <v>0</v>
      </c>
    </row>
    <row r="1774" spans="1:38">
      <c r="A1774" t="s">
        <v>5449</v>
      </c>
      <c r="B1774" t="s">
        <v>5450</v>
      </c>
      <c r="C1774" s="1">
        <f t="shared" si="300"/>
        <v>45383</v>
      </c>
      <c r="D1774" t="s">
        <v>5451</v>
      </c>
      <c r="E1774">
        <v>288.89999999999998</v>
      </c>
      <c r="F1774">
        <v>12</v>
      </c>
      <c r="G1774" t="s">
        <v>101</v>
      </c>
      <c r="H1774" t="s">
        <v>368</v>
      </c>
      <c r="I1774" t="s">
        <v>32</v>
      </c>
      <c r="J1774">
        <v>240</v>
      </c>
      <c r="K1774" t="s">
        <v>33</v>
      </c>
      <c r="L1774" t="s">
        <v>70</v>
      </c>
      <c r="M1774" t="s">
        <v>35</v>
      </c>
      <c r="N1774" t="s">
        <v>188</v>
      </c>
      <c r="O1774" t="s">
        <v>7232</v>
      </c>
      <c r="P1774" t="s">
        <v>39</v>
      </c>
      <c r="Q1774" t="s">
        <v>38</v>
      </c>
      <c r="R1774">
        <v>0</v>
      </c>
      <c r="S1774" t="s">
        <v>39</v>
      </c>
      <c r="T1774">
        <v>8</v>
      </c>
      <c r="U1774">
        <v>1.7</v>
      </c>
      <c r="V1774">
        <v>26.2</v>
      </c>
      <c r="W1774" t="s">
        <v>39</v>
      </c>
      <c r="X1774" t="s">
        <v>63</v>
      </c>
      <c r="Y1774" t="s">
        <v>38</v>
      </c>
      <c r="Z1774" t="s">
        <v>115</v>
      </c>
      <c r="AA1774" t="s">
        <v>42</v>
      </c>
      <c r="AB1774" t="s">
        <v>83</v>
      </c>
      <c r="AC1774">
        <f t="shared" si="297"/>
        <v>0</v>
      </c>
      <c r="AD1774" s="12">
        <f t="shared" si="301"/>
        <v>1</v>
      </c>
      <c r="AE1774" s="12">
        <f t="shared" si="302"/>
        <v>0</v>
      </c>
      <c r="AF1774">
        <f t="shared" si="298"/>
        <v>0</v>
      </c>
      <c r="AG1774">
        <f t="shared" si="303"/>
        <v>1</v>
      </c>
      <c r="AH1774">
        <f t="shared" si="304"/>
        <v>0</v>
      </c>
      <c r="AI1774">
        <f t="shared" si="305"/>
        <v>0</v>
      </c>
      <c r="AJ1774">
        <f t="shared" si="306"/>
        <v>1</v>
      </c>
      <c r="AK1774">
        <f t="shared" si="299"/>
        <v>0</v>
      </c>
      <c r="AL1774">
        <f t="shared" si="307"/>
        <v>1</v>
      </c>
    </row>
    <row r="1775" spans="1:38">
      <c r="A1775" t="s">
        <v>5452</v>
      </c>
      <c r="B1775" t="s">
        <v>5453</v>
      </c>
      <c r="C1775" s="1">
        <f t="shared" si="300"/>
        <v>45323</v>
      </c>
      <c r="D1775" t="s">
        <v>5454</v>
      </c>
      <c r="E1775">
        <v>328.6</v>
      </c>
      <c r="F1775">
        <v>13.7</v>
      </c>
      <c r="G1775" t="s">
        <v>77</v>
      </c>
      <c r="H1775" t="s">
        <v>267</v>
      </c>
      <c r="I1775" t="s">
        <v>79</v>
      </c>
      <c r="J1775">
        <v>360</v>
      </c>
      <c r="K1775" t="s">
        <v>49</v>
      </c>
      <c r="L1775" t="s">
        <v>70</v>
      </c>
      <c r="M1775" t="s">
        <v>35</v>
      </c>
      <c r="N1775" t="s">
        <v>128</v>
      </c>
      <c r="O1775" t="s">
        <v>7232</v>
      </c>
      <c r="P1775" t="s">
        <v>39</v>
      </c>
      <c r="Q1775" t="s">
        <v>38</v>
      </c>
      <c r="R1775">
        <v>0</v>
      </c>
      <c r="S1775" t="s">
        <v>39</v>
      </c>
      <c r="T1775">
        <v>10</v>
      </c>
      <c r="U1775">
        <v>3</v>
      </c>
      <c r="V1775">
        <v>15</v>
      </c>
      <c r="W1775" t="s">
        <v>39</v>
      </c>
      <c r="X1775" t="s">
        <v>52</v>
      </c>
      <c r="Y1775" t="s">
        <v>39</v>
      </c>
      <c r="Z1775" t="s">
        <v>115</v>
      </c>
      <c r="AA1775" t="s">
        <v>109</v>
      </c>
      <c r="AB1775" t="s">
        <v>55</v>
      </c>
      <c r="AC1775">
        <f t="shared" si="297"/>
        <v>1</v>
      </c>
      <c r="AD1775" s="12">
        <f t="shared" si="301"/>
        <v>0</v>
      </c>
      <c r="AE1775" s="12">
        <f t="shared" si="302"/>
        <v>0</v>
      </c>
      <c r="AF1775">
        <f t="shared" si="298"/>
        <v>0</v>
      </c>
      <c r="AG1775">
        <f t="shared" si="303"/>
        <v>1</v>
      </c>
      <c r="AH1775">
        <f t="shared" si="304"/>
        <v>0</v>
      </c>
      <c r="AI1775">
        <f t="shared" si="305"/>
        <v>0</v>
      </c>
      <c r="AJ1775">
        <f t="shared" si="306"/>
        <v>0</v>
      </c>
      <c r="AK1775">
        <f t="shared" si="299"/>
        <v>0</v>
      </c>
      <c r="AL1775">
        <f t="shared" si="307"/>
        <v>0</v>
      </c>
    </row>
    <row r="1776" spans="1:38">
      <c r="A1776" t="s">
        <v>5455</v>
      </c>
      <c r="B1776" t="s">
        <v>5456</v>
      </c>
      <c r="C1776" s="1">
        <f t="shared" si="300"/>
        <v>45292</v>
      </c>
      <c r="D1776" t="s">
        <v>5457</v>
      </c>
      <c r="E1776">
        <v>198.2</v>
      </c>
      <c r="F1776">
        <v>8.3000000000000007</v>
      </c>
      <c r="G1776" t="s">
        <v>77</v>
      </c>
      <c r="H1776" t="s">
        <v>187</v>
      </c>
      <c r="I1776" t="s">
        <v>32</v>
      </c>
      <c r="J1776">
        <v>240</v>
      </c>
      <c r="K1776" t="s">
        <v>49</v>
      </c>
      <c r="L1776" t="s">
        <v>34</v>
      </c>
      <c r="M1776" t="s">
        <v>35</v>
      </c>
      <c r="N1776" t="s">
        <v>134</v>
      </c>
      <c r="O1776" t="s">
        <v>51</v>
      </c>
      <c r="P1776" t="s">
        <v>39</v>
      </c>
      <c r="Q1776" t="s">
        <v>38</v>
      </c>
      <c r="R1776">
        <v>0</v>
      </c>
      <c r="S1776" t="s">
        <v>39</v>
      </c>
      <c r="T1776">
        <v>9</v>
      </c>
      <c r="U1776">
        <v>0.9</v>
      </c>
      <c r="V1776">
        <v>15.2</v>
      </c>
      <c r="W1776" t="s">
        <v>39</v>
      </c>
      <c r="X1776" t="s">
        <v>52</v>
      </c>
      <c r="Y1776" t="s">
        <v>38</v>
      </c>
      <c r="Z1776" t="s">
        <v>73</v>
      </c>
      <c r="AA1776" t="s">
        <v>42</v>
      </c>
      <c r="AB1776" t="s">
        <v>55</v>
      </c>
      <c r="AC1776">
        <f t="shared" si="297"/>
        <v>1</v>
      </c>
      <c r="AD1776" s="12">
        <f t="shared" si="301"/>
        <v>0</v>
      </c>
      <c r="AE1776" s="12">
        <f t="shared" si="302"/>
        <v>0</v>
      </c>
      <c r="AF1776">
        <f t="shared" si="298"/>
        <v>1</v>
      </c>
      <c r="AG1776">
        <f t="shared" si="303"/>
        <v>0</v>
      </c>
      <c r="AH1776">
        <f t="shared" si="304"/>
        <v>0</v>
      </c>
      <c r="AI1776">
        <f t="shared" si="305"/>
        <v>0</v>
      </c>
      <c r="AJ1776">
        <f t="shared" si="306"/>
        <v>1</v>
      </c>
      <c r="AK1776">
        <f t="shared" si="299"/>
        <v>0</v>
      </c>
      <c r="AL1776">
        <f t="shared" si="307"/>
        <v>1</v>
      </c>
    </row>
    <row r="1777" spans="1:38">
      <c r="A1777" t="s">
        <v>5458</v>
      </c>
      <c r="B1777" t="s">
        <v>5459</v>
      </c>
      <c r="C1777" s="1">
        <f t="shared" si="300"/>
        <v>45627</v>
      </c>
      <c r="D1777" t="s">
        <v>5460</v>
      </c>
      <c r="E1777">
        <v>329.5</v>
      </c>
      <c r="F1777">
        <v>13.7</v>
      </c>
      <c r="G1777" t="s">
        <v>101</v>
      </c>
      <c r="H1777" t="s">
        <v>368</v>
      </c>
      <c r="I1777" t="s">
        <v>79</v>
      </c>
      <c r="J1777">
        <v>360</v>
      </c>
      <c r="K1777" t="s">
        <v>49</v>
      </c>
      <c r="L1777" t="s">
        <v>113</v>
      </c>
      <c r="M1777" t="s">
        <v>71</v>
      </c>
      <c r="N1777" t="s">
        <v>134</v>
      </c>
      <c r="O1777" t="s">
        <v>51</v>
      </c>
      <c r="P1777" t="s">
        <v>38</v>
      </c>
      <c r="Q1777" t="s">
        <v>39</v>
      </c>
      <c r="R1777">
        <v>4</v>
      </c>
      <c r="S1777" t="s">
        <v>39</v>
      </c>
      <c r="T1777">
        <v>7</v>
      </c>
      <c r="U1777">
        <v>1.2</v>
      </c>
      <c r="V1777">
        <v>14.7</v>
      </c>
      <c r="W1777" t="s">
        <v>39</v>
      </c>
      <c r="X1777" t="s">
        <v>63</v>
      </c>
      <c r="Y1777" t="s">
        <v>39</v>
      </c>
      <c r="Z1777" t="s">
        <v>41</v>
      </c>
      <c r="AA1777" t="s">
        <v>82</v>
      </c>
      <c r="AB1777" t="s">
        <v>55</v>
      </c>
      <c r="AC1777">
        <f t="shared" si="297"/>
        <v>0</v>
      </c>
      <c r="AD1777" s="12">
        <f t="shared" si="301"/>
        <v>1</v>
      </c>
      <c r="AE1777" s="12">
        <f t="shared" si="302"/>
        <v>0</v>
      </c>
      <c r="AF1777">
        <f t="shared" si="298"/>
        <v>1</v>
      </c>
      <c r="AG1777">
        <f t="shared" si="303"/>
        <v>0</v>
      </c>
      <c r="AH1777">
        <f t="shared" si="304"/>
        <v>0</v>
      </c>
      <c r="AI1777">
        <f t="shared" si="305"/>
        <v>0</v>
      </c>
      <c r="AJ1777">
        <f t="shared" si="306"/>
        <v>0</v>
      </c>
      <c r="AK1777">
        <f t="shared" si="299"/>
        <v>0</v>
      </c>
      <c r="AL1777">
        <f t="shared" si="307"/>
        <v>0</v>
      </c>
    </row>
    <row r="1778" spans="1:38">
      <c r="A1778" t="s">
        <v>5461</v>
      </c>
      <c r="B1778" t="s">
        <v>5462</v>
      </c>
      <c r="C1778" s="1">
        <f t="shared" si="300"/>
        <v>45444</v>
      </c>
      <c r="D1778" t="s">
        <v>5463</v>
      </c>
      <c r="E1778">
        <v>108.5</v>
      </c>
      <c r="F1778">
        <v>4.5</v>
      </c>
      <c r="G1778" t="s">
        <v>87</v>
      </c>
      <c r="H1778" t="s">
        <v>183</v>
      </c>
      <c r="I1778" t="s">
        <v>95</v>
      </c>
      <c r="J1778">
        <v>48</v>
      </c>
      <c r="K1778" t="s">
        <v>33</v>
      </c>
      <c r="L1778" t="s">
        <v>96</v>
      </c>
      <c r="M1778" t="s">
        <v>71</v>
      </c>
      <c r="N1778" t="s">
        <v>155</v>
      </c>
      <c r="O1778" t="s">
        <v>7232</v>
      </c>
      <c r="P1778" t="s">
        <v>38</v>
      </c>
      <c r="Q1778" t="s">
        <v>39</v>
      </c>
      <c r="R1778">
        <v>3</v>
      </c>
      <c r="S1778" t="s">
        <v>38</v>
      </c>
      <c r="T1778">
        <v>5</v>
      </c>
      <c r="U1778">
        <v>3.2</v>
      </c>
      <c r="V1778">
        <v>11</v>
      </c>
      <c r="W1778" t="s">
        <v>39</v>
      </c>
      <c r="X1778" t="s">
        <v>123</v>
      </c>
      <c r="Y1778" t="s">
        <v>39</v>
      </c>
      <c r="Z1778" t="s">
        <v>81</v>
      </c>
      <c r="AA1778" t="s">
        <v>82</v>
      </c>
      <c r="AB1778" t="s">
        <v>55</v>
      </c>
      <c r="AC1778">
        <f t="shared" si="297"/>
        <v>0</v>
      </c>
      <c r="AD1778" s="12">
        <f t="shared" si="301"/>
        <v>0</v>
      </c>
      <c r="AE1778" s="12">
        <f t="shared" si="302"/>
        <v>1</v>
      </c>
      <c r="AF1778">
        <f t="shared" si="298"/>
        <v>0</v>
      </c>
      <c r="AG1778">
        <f t="shared" si="303"/>
        <v>1</v>
      </c>
      <c r="AH1778">
        <f t="shared" si="304"/>
        <v>0</v>
      </c>
      <c r="AI1778">
        <f t="shared" si="305"/>
        <v>1</v>
      </c>
      <c r="AJ1778">
        <f t="shared" si="306"/>
        <v>0</v>
      </c>
      <c r="AK1778">
        <f t="shared" si="299"/>
        <v>0</v>
      </c>
      <c r="AL1778">
        <f t="shared" si="307"/>
        <v>0</v>
      </c>
    </row>
    <row r="1779" spans="1:38">
      <c r="A1779" t="s">
        <v>5464</v>
      </c>
      <c r="B1779" t="s">
        <v>5465</v>
      </c>
      <c r="C1779" s="1">
        <f t="shared" si="300"/>
        <v>45292</v>
      </c>
      <c r="D1779" t="s">
        <v>5466</v>
      </c>
      <c r="E1779">
        <v>102.3</v>
      </c>
      <c r="F1779">
        <v>4.3</v>
      </c>
      <c r="G1779" t="s">
        <v>87</v>
      </c>
      <c r="H1779" t="s">
        <v>183</v>
      </c>
      <c r="I1779" t="s">
        <v>48</v>
      </c>
      <c r="J1779">
        <v>120</v>
      </c>
      <c r="K1779" t="s">
        <v>49</v>
      </c>
      <c r="L1779" t="s">
        <v>34</v>
      </c>
      <c r="M1779" t="s">
        <v>35</v>
      </c>
      <c r="N1779" t="s">
        <v>61</v>
      </c>
      <c r="O1779" t="s">
        <v>7232</v>
      </c>
      <c r="P1779" t="s">
        <v>38</v>
      </c>
      <c r="Q1779" t="s">
        <v>38</v>
      </c>
      <c r="R1779">
        <v>1</v>
      </c>
      <c r="S1779" t="s">
        <v>38</v>
      </c>
      <c r="T1779">
        <v>7</v>
      </c>
      <c r="U1779">
        <v>4.3</v>
      </c>
      <c r="V1779">
        <v>27.4</v>
      </c>
      <c r="W1779" t="s">
        <v>39</v>
      </c>
      <c r="X1779" t="s">
        <v>123</v>
      </c>
      <c r="Y1779" t="s">
        <v>38</v>
      </c>
      <c r="Z1779" t="s">
        <v>41</v>
      </c>
      <c r="AA1779" t="s">
        <v>54</v>
      </c>
      <c r="AB1779" t="s">
        <v>55</v>
      </c>
      <c r="AC1779">
        <f t="shared" si="297"/>
        <v>0</v>
      </c>
      <c r="AD1779" s="12">
        <f t="shared" si="301"/>
        <v>0</v>
      </c>
      <c r="AE1779" s="12">
        <f t="shared" si="302"/>
        <v>1</v>
      </c>
      <c r="AF1779">
        <f t="shared" si="298"/>
        <v>0</v>
      </c>
      <c r="AG1779">
        <f t="shared" si="303"/>
        <v>1</v>
      </c>
      <c r="AH1779">
        <f t="shared" si="304"/>
        <v>1</v>
      </c>
      <c r="AI1779">
        <f t="shared" si="305"/>
        <v>0</v>
      </c>
      <c r="AJ1779">
        <f t="shared" si="306"/>
        <v>0</v>
      </c>
      <c r="AK1779">
        <f t="shared" si="299"/>
        <v>0</v>
      </c>
      <c r="AL1779">
        <f t="shared" si="307"/>
        <v>1</v>
      </c>
    </row>
    <row r="1780" spans="1:38">
      <c r="A1780" t="s">
        <v>5467</v>
      </c>
      <c r="B1780" t="s">
        <v>5468</v>
      </c>
      <c r="C1780" s="1">
        <f t="shared" si="300"/>
        <v>45505</v>
      </c>
      <c r="D1780" t="s">
        <v>5469</v>
      </c>
      <c r="E1780">
        <v>411.5</v>
      </c>
      <c r="F1780">
        <v>17.100000000000001</v>
      </c>
      <c r="G1780" t="s">
        <v>77</v>
      </c>
      <c r="H1780" t="s">
        <v>78</v>
      </c>
      <c r="I1780" t="s">
        <v>79</v>
      </c>
      <c r="J1780">
        <v>360</v>
      </c>
      <c r="K1780" t="s">
        <v>33</v>
      </c>
      <c r="L1780" t="s">
        <v>96</v>
      </c>
      <c r="M1780" t="s">
        <v>35</v>
      </c>
      <c r="N1780" t="s">
        <v>220</v>
      </c>
      <c r="O1780" t="s">
        <v>7232</v>
      </c>
      <c r="P1780" t="s">
        <v>38</v>
      </c>
      <c r="Q1780" t="s">
        <v>38</v>
      </c>
      <c r="R1780">
        <v>1</v>
      </c>
      <c r="S1780" t="s">
        <v>38</v>
      </c>
      <c r="T1780">
        <v>6</v>
      </c>
      <c r="U1780">
        <v>2.5</v>
      </c>
      <c r="V1780">
        <v>32.5</v>
      </c>
      <c r="W1780" t="s">
        <v>39</v>
      </c>
      <c r="X1780" t="s">
        <v>52</v>
      </c>
      <c r="Y1780" t="s">
        <v>38</v>
      </c>
      <c r="Z1780" t="s">
        <v>81</v>
      </c>
      <c r="AA1780" t="s">
        <v>109</v>
      </c>
      <c r="AB1780" t="s">
        <v>55</v>
      </c>
      <c r="AC1780">
        <f t="shared" si="297"/>
        <v>1</v>
      </c>
      <c r="AD1780" s="12">
        <f t="shared" si="301"/>
        <v>0</v>
      </c>
      <c r="AE1780" s="12">
        <f t="shared" si="302"/>
        <v>0</v>
      </c>
      <c r="AF1780">
        <f t="shared" si="298"/>
        <v>0</v>
      </c>
      <c r="AG1780">
        <f t="shared" si="303"/>
        <v>1</v>
      </c>
      <c r="AH1780">
        <f t="shared" si="304"/>
        <v>0</v>
      </c>
      <c r="AI1780">
        <f t="shared" si="305"/>
        <v>0</v>
      </c>
      <c r="AJ1780">
        <f t="shared" si="306"/>
        <v>0</v>
      </c>
      <c r="AK1780">
        <f t="shared" si="299"/>
        <v>0</v>
      </c>
      <c r="AL1780">
        <f t="shared" si="307"/>
        <v>1</v>
      </c>
    </row>
    <row r="1781" spans="1:38">
      <c r="A1781" t="s">
        <v>5470</v>
      </c>
      <c r="B1781" t="s">
        <v>5471</v>
      </c>
      <c r="C1781" s="1">
        <f t="shared" si="300"/>
        <v>45352</v>
      </c>
      <c r="D1781" t="s">
        <v>5472</v>
      </c>
      <c r="E1781">
        <v>152.30000000000001</v>
      </c>
      <c r="F1781">
        <v>6.3</v>
      </c>
      <c r="G1781" t="s">
        <v>68</v>
      </c>
      <c r="H1781" t="s">
        <v>219</v>
      </c>
      <c r="I1781" t="s">
        <v>32</v>
      </c>
      <c r="J1781">
        <v>240</v>
      </c>
      <c r="K1781" t="s">
        <v>49</v>
      </c>
      <c r="L1781" t="s">
        <v>96</v>
      </c>
      <c r="M1781" t="s">
        <v>71</v>
      </c>
      <c r="N1781" t="s">
        <v>506</v>
      </c>
      <c r="O1781" t="s">
        <v>7232</v>
      </c>
      <c r="P1781" t="s">
        <v>38</v>
      </c>
      <c r="Q1781" t="s">
        <v>39</v>
      </c>
      <c r="R1781">
        <v>1</v>
      </c>
      <c r="S1781" t="s">
        <v>38</v>
      </c>
      <c r="T1781">
        <v>5</v>
      </c>
      <c r="U1781">
        <v>3</v>
      </c>
      <c r="V1781">
        <v>7.5</v>
      </c>
      <c r="W1781" t="s">
        <v>39</v>
      </c>
      <c r="X1781" t="s">
        <v>123</v>
      </c>
      <c r="Y1781" t="s">
        <v>38</v>
      </c>
      <c r="Z1781" t="s">
        <v>73</v>
      </c>
      <c r="AA1781" t="s">
        <v>54</v>
      </c>
      <c r="AB1781" t="s">
        <v>55</v>
      </c>
      <c r="AC1781">
        <f t="shared" si="297"/>
        <v>0</v>
      </c>
      <c r="AD1781" s="12">
        <f t="shared" si="301"/>
        <v>0</v>
      </c>
      <c r="AE1781" s="12">
        <f t="shared" si="302"/>
        <v>1</v>
      </c>
      <c r="AF1781">
        <f t="shared" si="298"/>
        <v>0</v>
      </c>
      <c r="AG1781">
        <f t="shared" si="303"/>
        <v>1</v>
      </c>
      <c r="AH1781">
        <f t="shared" si="304"/>
        <v>0</v>
      </c>
      <c r="AI1781">
        <f t="shared" si="305"/>
        <v>0</v>
      </c>
      <c r="AJ1781">
        <f t="shared" si="306"/>
        <v>1</v>
      </c>
      <c r="AK1781">
        <f t="shared" si="299"/>
        <v>0</v>
      </c>
      <c r="AL1781">
        <f t="shared" si="307"/>
        <v>1</v>
      </c>
    </row>
    <row r="1782" spans="1:38">
      <c r="A1782" t="s">
        <v>5473</v>
      </c>
      <c r="B1782" t="s">
        <v>5474</v>
      </c>
      <c r="C1782" s="1">
        <f t="shared" si="300"/>
        <v>45292</v>
      </c>
      <c r="D1782" t="s">
        <v>5475</v>
      </c>
      <c r="E1782">
        <v>304.60000000000002</v>
      </c>
      <c r="F1782">
        <v>12.7</v>
      </c>
      <c r="G1782" t="s">
        <v>30</v>
      </c>
      <c r="H1782" t="s">
        <v>172</v>
      </c>
      <c r="I1782" t="s">
        <v>79</v>
      </c>
      <c r="J1782">
        <v>360</v>
      </c>
      <c r="K1782" t="s">
        <v>49</v>
      </c>
      <c r="L1782" t="s">
        <v>70</v>
      </c>
      <c r="M1782" t="s">
        <v>35</v>
      </c>
      <c r="N1782" t="s">
        <v>138</v>
      </c>
      <c r="O1782" t="s">
        <v>7232</v>
      </c>
      <c r="P1782" t="s">
        <v>38</v>
      </c>
      <c r="Q1782" t="s">
        <v>38</v>
      </c>
      <c r="R1782">
        <v>1</v>
      </c>
      <c r="S1782" t="s">
        <v>38</v>
      </c>
      <c r="T1782">
        <v>7</v>
      </c>
      <c r="U1782">
        <v>1.9</v>
      </c>
      <c r="V1782">
        <v>13.5</v>
      </c>
      <c r="W1782" t="s">
        <v>39</v>
      </c>
      <c r="X1782" t="s">
        <v>52</v>
      </c>
      <c r="Y1782" t="s">
        <v>39</v>
      </c>
      <c r="Z1782" t="s">
        <v>108</v>
      </c>
      <c r="AA1782" t="s">
        <v>103</v>
      </c>
      <c r="AB1782" t="s">
        <v>83</v>
      </c>
      <c r="AC1782">
        <f t="shared" si="297"/>
        <v>1</v>
      </c>
      <c r="AD1782" s="12">
        <f t="shared" si="301"/>
        <v>0</v>
      </c>
      <c r="AE1782" s="12">
        <f t="shared" si="302"/>
        <v>0</v>
      </c>
      <c r="AF1782">
        <f t="shared" si="298"/>
        <v>0</v>
      </c>
      <c r="AG1782">
        <f t="shared" si="303"/>
        <v>1</v>
      </c>
      <c r="AH1782">
        <f t="shared" si="304"/>
        <v>0</v>
      </c>
      <c r="AI1782">
        <f t="shared" si="305"/>
        <v>0</v>
      </c>
      <c r="AJ1782">
        <f t="shared" si="306"/>
        <v>0</v>
      </c>
      <c r="AK1782">
        <f t="shared" si="299"/>
        <v>1</v>
      </c>
      <c r="AL1782">
        <f t="shared" si="307"/>
        <v>0</v>
      </c>
    </row>
    <row r="1783" spans="1:38">
      <c r="A1783" t="s">
        <v>5476</v>
      </c>
      <c r="B1783" t="s">
        <v>5477</v>
      </c>
      <c r="C1783" s="1">
        <f t="shared" si="300"/>
        <v>45292</v>
      </c>
      <c r="D1783" t="s">
        <v>5478</v>
      </c>
      <c r="E1783">
        <v>221</v>
      </c>
      <c r="F1783">
        <v>9.1999999999999993</v>
      </c>
      <c r="G1783" t="s">
        <v>30</v>
      </c>
      <c r="H1783" t="s">
        <v>47</v>
      </c>
      <c r="I1783" t="s">
        <v>32</v>
      </c>
      <c r="J1783">
        <v>240</v>
      </c>
      <c r="K1783" t="s">
        <v>49</v>
      </c>
      <c r="L1783" t="s">
        <v>96</v>
      </c>
      <c r="M1783" t="s">
        <v>35</v>
      </c>
      <c r="N1783" t="s">
        <v>80</v>
      </c>
      <c r="O1783" t="s">
        <v>7232</v>
      </c>
      <c r="P1783" t="s">
        <v>39</v>
      </c>
      <c r="Q1783" t="s">
        <v>38</v>
      </c>
      <c r="R1783">
        <v>0</v>
      </c>
      <c r="S1783" t="s">
        <v>39</v>
      </c>
      <c r="T1783">
        <v>9</v>
      </c>
      <c r="U1783">
        <v>1</v>
      </c>
      <c r="V1783">
        <v>10.8</v>
      </c>
      <c r="W1783" t="s">
        <v>39</v>
      </c>
      <c r="X1783" t="s">
        <v>63</v>
      </c>
      <c r="Y1783" t="s">
        <v>39</v>
      </c>
      <c r="Z1783" t="s">
        <v>41</v>
      </c>
      <c r="AA1783" t="s">
        <v>42</v>
      </c>
      <c r="AB1783" t="s">
        <v>83</v>
      </c>
      <c r="AC1783">
        <f t="shared" si="297"/>
        <v>0</v>
      </c>
      <c r="AD1783" s="12">
        <f t="shared" si="301"/>
        <v>1</v>
      </c>
      <c r="AE1783" s="12">
        <f t="shared" si="302"/>
        <v>0</v>
      </c>
      <c r="AF1783">
        <f t="shared" si="298"/>
        <v>0</v>
      </c>
      <c r="AG1783">
        <f t="shared" si="303"/>
        <v>1</v>
      </c>
      <c r="AH1783">
        <f t="shared" si="304"/>
        <v>0</v>
      </c>
      <c r="AI1783">
        <f t="shared" si="305"/>
        <v>0</v>
      </c>
      <c r="AJ1783">
        <f t="shared" si="306"/>
        <v>1</v>
      </c>
      <c r="AK1783">
        <f t="shared" si="299"/>
        <v>1</v>
      </c>
      <c r="AL1783">
        <f t="shared" si="307"/>
        <v>0</v>
      </c>
    </row>
    <row r="1784" spans="1:38">
      <c r="A1784" t="s">
        <v>5479</v>
      </c>
      <c r="B1784" t="s">
        <v>5480</v>
      </c>
      <c r="C1784" s="1">
        <f t="shared" si="300"/>
        <v>45292</v>
      </c>
      <c r="D1784" t="s">
        <v>5481</v>
      </c>
      <c r="E1784">
        <v>340.2</v>
      </c>
      <c r="F1784">
        <v>14.2</v>
      </c>
      <c r="G1784" t="s">
        <v>77</v>
      </c>
      <c r="H1784" t="s">
        <v>187</v>
      </c>
      <c r="I1784" t="s">
        <v>79</v>
      </c>
      <c r="J1784">
        <v>360</v>
      </c>
      <c r="K1784" t="s">
        <v>49</v>
      </c>
      <c r="L1784" t="s">
        <v>96</v>
      </c>
      <c r="M1784" t="s">
        <v>35</v>
      </c>
      <c r="N1784" t="s">
        <v>192</v>
      </c>
      <c r="O1784" t="s">
        <v>7232</v>
      </c>
      <c r="P1784" t="s">
        <v>39</v>
      </c>
      <c r="Q1784" t="s">
        <v>38</v>
      </c>
      <c r="R1784">
        <v>0</v>
      </c>
      <c r="S1784" t="s">
        <v>38</v>
      </c>
      <c r="T1784">
        <v>10</v>
      </c>
      <c r="U1784">
        <v>2.1</v>
      </c>
      <c r="V1784">
        <v>34.4</v>
      </c>
      <c r="W1784" t="s">
        <v>38</v>
      </c>
      <c r="X1784" t="s">
        <v>40</v>
      </c>
      <c r="Y1784" t="s">
        <v>38</v>
      </c>
      <c r="Z1784" t="s">
        <v>41</v>
      </c>
      <c r="AA1784" t="s">
        <v>54</v>
      </c>
      <c r="AB1784" t="s">
        <v>83</v>
      </c>
      <c r="AC1784">
        <f t="shared" si="297"/>
        <v>0</v>
      </c>
      <c r="AD1784" s="12">
        <f t="shared" si="301"/>
        <v>0</v>
      </c>
      <c r="AE1784" s="12">
        <f t="shared" si="302"/>
        <v>0</v>
      </c>
      <c r="AF1784">
        <f t="shared" si="298"/>
        <v>0</v>
      </c>
      <c r="AG1784">
        <f t="shared" si="303"/>
        <v>1</v>
      </c>
      <c r="AH1784">
        <f t="shared" si="304"/>
        <v>0</v>
      </c>
      <c r="AI1784">
        <f t="shared" si="305"/>
        <v>0</v>
      </c>
      <c r="AJ1784">
        <f t="shared" si="306"/>
        <v>0</v>
      </c>
      <c r="AK1784">
        <f t="shared" si="299"/>
        <v>0</v>
      </c>
      <c r="AL1784">
        <f t="shared" si="307"/>
        <v>1</v>
      </c>
    </row>
    <row r="1785" spans="1:38">
      <c r="A1785" t="s">
        <v>5482</v>
      </c>
      <c r="B1785" t="s">
        <v>5483</v>
      </c>
      <c r="C1785" s="1">
        <f t="shared" si="300"/>
        <v>45323</v>
      </c>
      <c r="D1785" t="s">
        <v>5484</v>
      </c>
      <c r="E1785">
        <v>302.8</v>
      </c>
      <c r="F1785">
        <v>12.6</v>
      </c>
      <c r="G1785" t="s">
        <v>93</v>
      </c>
      <c r="H1785" t="s">
        <v>163</v>
      </c>
      <c r="I1785" t="s">
        <v>79</v>
      </c>
      <c r="J1785">
        <v>360</v>
      </c>
      <c r="K1785" t="s">
        <v>49</v>
      </c>
      <c r="L1785" t="s">
        <v>96</v>
      </c>
      <c r="M1785" t="s">
        <v>35</v>
      </c>
      <c r="N1785" t="s">
        <v>168</v>
      </c>
      <c r="O1785" t="s">
        <v>37</v>
      </c>
      <c r="P1785" t="s">
        <v>39</v>
      </c>
      <c r="Q1785" t="s">
        <v>38</v>
      </c>
      <c r="R1785">
        <v>0</v>
      </c>
      <c r="S1785" t="s">
        <v>39</v>
      </c>
      <c r="T1785">
        <v>10</v>
      </c>
      <c r="U1785">
        <v>2.2000000000000002</v>
      </c>
      <c r="V1785">
        <v>38.799999999999997</v>
      </c>
      <c r="W1785" t="s">
        <v>39</v>
      </c>
      <c r="X1785" t="s">
        <v>123</v>
      </c>
      <c r="Y1785" t="s">
        <v>38</v>
      </c>
      <c r="Z1785" t="s">
        <v>81</v>
      </c>
      <c r="AA1785" t="s">
        <v>54</v>
      </c>
      <c r="AB1785" t="s">
        <v>55</v>
      </c>
      <c r="AC1785">
        <f t="shared" si="297"/>
        <v>0</v>
      </c>
      <c r="AD1785" s="12">
        <f t="shared" si="301"/>
        <v>0</v>
      </c>
      <c r="AE1785" s="12">
        <f t="shared" si="302"/>
        <v>1</v>
      </c>
      <c r="AF1785">
        <f t="shared" si="298"/>
        <v>0</v>
      </c>
      <c r="AG1785">
        <f t="shared" si="303"/>
        <v>0</v>
      </c>
      <c r="AH1785">
        <f t="shared" si="304"/>
        <v>0</v>
      </c>
      <c r="AI1785">
        <f t="shared" si="305"/>
        <v>0</v>
      </c>
      <c r="AJ1785">
        <f t="shared" si="306"/>
        <v>0</v>
      </c>
      <c r="AK1785">
        <f t="shared" si="299"/>
        <v>0</v>
      </c>
      <c r="AL1785">
        <f t="shared" si="307"/>
        <v>1</v>
      </c>
    </row>
    <row r="1786" spans="1:38">
      <c r="A1786" t="s">
        <v>5485</v>
      </c>
      <c r="B1786" t="s">
        <v>5486</v>
      </c>
      <c r="C1786" s="1">
        <f t="shared" si="300"/>
        <v>45352</v>
      </c>
      <c r="D1786" t="s">
        <v>5487</v>
      </c>
      <c r="E1786">
        <v>169.6</v>
      </c>
      <c r="F1786">
        <v>7.1</v>
      </c>
      <c r="G1786" t="s">
        <v>93</v>
      </c>
      <c r="H1786" t="s">
        <v>291</v>
      </c>
      <c r="I1786" t="s">
        <v>48</v>
      </c>
      <c r="J1786">
        <v>120</v>
      </c>
      <c r="K1786" t="s">
        <v>33</v>
      </c>
      <c r="L1786" t="s">
        <v>96</v>
      </c>
      <c r="M1786" t="s">
        <v>71</v>
      </c>
      <c r="N1786" t="s">
        <v>119</v>
      </c>
      <c r="O1786" t="s">
        <v>7232</v>
      </c>
      <c r="P1786" t="s">
        <v>38</v>
      </c>
      <c r="Q1786" t="s">
        <v>39</v>
      </c>
      <c r="R1786">
        <v>2</v>
      </c>
      <c r="S1786" t="s">
        <v>38</v>
      </c>
      <c r="T1786">
        <v>5</v>
      </c>
      <c r="U1786">
        <v>2.9</v>
      </c>
      <c r="V1786">
        <v>1.9</v>
      </c>
      <c r="W1786" t="s">
        <v>39</v>
      </c>
      <c r="X1786" t="s">
        <v>52</v>
      </c>
      <c r="Y1786" t="s">
        <v>39</v>
      </c>
      <c r="Z1786" t="s">
        <v>64</v>
      </c>
      <c r="AA1786" t="s">
        <v>82</v>
      </c>
      <c r="AB1786" t="s">
        <v>55</v>
      </c>
      <c r="AC1786">
        <f t="shared" si="297"/>
        <v>1</v>
      </c>
      <c r="AD1786" s="12">
        <f t="shared" si="301"/>
        <v>0</v>
      </c>
      <c r="AE1786" s="12">
        <f t="shared" si="302"/>
        <v>0</v>
      </c>
      <c r="AF1786">
        <f t="shared" si="298"/>
        <v>0</v>
      </c>
      <c r="AG1786">
        <f t="shared" si="303"/>
        <v>1</v>
      </c>
      <c r="AH1786">
        <f t="shared" si="304"/>
        <v>1</v>
      </c>
      <c r="AI1786">
        <f t="shared" si="305"/>
        <v>0</v>
      </c>
      <c r="AJ1786">
        <f t="shared" si="306"/>
        <v>0</v>
      </c>
      <c r="AK1786">
        <f t="shared" si="299"/>
        <v>0</v>
      </c>
      <c r="AL1786">
        <f t="shared" si="307"/>
        <v>0</v>
      </c>
    </row>
    <row r="1787" spans="1:38">
      <c r="A1787" t="s">
        <v>5488</v>
      </c>
      <c r="B1787" t="s">
        <v>5489</v>
      </c>
      <c r="C1787" s="1">
        <f t="shared" si="300"/>
        <v>45566</v>
      </c>
      <c r="D1787" t="s">
        <v>5490</v>
      </c>
      <c r="E1787">
        <v>189.3</v>
      </c>
      <c r="F1787">
        <v>7.9</v>
      </c>
      <c r="G1787" t="s">
        <v>101</v>
      </c>
      <c r="H1787" t="s">
        <v>102</v>
      </c>
      <c r="I1787" t="s">
        <v>32</v>
      </c>
      <c r="J1787">
        <v>240</v>
      </c>
      <c r="K1787" t="s">
        <v>49</v>
      </c>
      <c r="L1787" t="s">
        <v>34</v>
      </c>
      <c r="M1787" t="s">
        <v>35</v>
      </c>
      <c r="N1787" t="s">
        <v>119</v>
      </c>
      <c r="O1787" t="s">
        <v>51</v>
      </c>
      <c r="P1787" t="s">
        <v>38</v>
      </c>
      <c r="Q1787" t="s">
        <v>38</v>
      </c>
      <c r="R1787">
        <v>1</v>
      </c>
      <c r="S1787" t="s">
        <v>39</v>
      </c>
      <c r="T1787">
        <v>9</v>
      </c>
      <c r="U1787">
        <v>1.2</v>
      </c>
      <c r="V1787">
        <v>11.4</v>
      </c>
      <c r="W1787" t="s">
        <v>39</v>
      </c>
      <c r="X1787" t="s">
        <v>123</v>
      </c>
      <c r="Y1787" t="s">
        <v>38</v>
      </c>
      <c r="Z1787" t="s">
        <v>81</v>
      </c>
      <c r="AA1787" t="s">
        <v>103</v>
      </c>
      <c r="AB1787" t="s">
        <v>83</v>
      </c>
      <c r="AC1787">
        <f t="shared" si="297"/>
        <v>0</v>
      </c>
      <c r="AD1787" s="12">
        <f t="shared" si="301"/>
        <v>0</v>
      </c>
      <c r="AE1787" s="12">
        <f t="shared" si="302"/>
        <v>1</v>
      </c>
      <c r="AF1787">
        <f t="shared" si="298"/>
        <v>1</v>
      </c>
      <c r="AG1787">
        <f t="shared" si="303"/>
        <v>0</v>
      </c>
      <c r="AH1787">
        <f t="shared" si="304"/>
        <v>0</v>
      </c>
      <c r="AI1787">
        <f t="shared" si="305"/>
        <v>0</v>
      </c>
      <c r="AJ1787">
        <f t="shared" si="306"/>
        <v>1</v>
      </c>
      <c r="AK1787">
        <f t="shared" si="299"/>
        <v>0</v>
      </c>
      <c r="AL1787">
        <f t="shared" si="307"/>
        <v>1</v>
      </c>
    </row>
    <row r="1788" spans="1:38">
      <c r="A1788" t="s">
        <v>5491</v>
      </c>
      <c r="B1788" t="s">
        <v>5492</v>
      </c>
      <c r="C1788" s="1">
        <f t="shared" si="300"/>
        <v>45444</v>
      </c>
      <c r="D1788" t="s">
        <v>5493</v>
      </c>
      <c r="E1788">
        <v>83.3</v>
      </c>
      <c r="F1788">
        <v>3.5</v>
      </c>
      <c r="G1788" t="s">
        <v>101</v>
      </c>
      <c r="H1788" t="s">
        <v>295</v>
      </c>
      <c r="I1788" t="s">
        <v>48</v>
      </c>
      <c r="J1788">
        <v>120</v>
      </c>
      <c r="K1788" t="s">
        <v>49</v>
      </c>
      <c r="L1788" t="s">
        <v>113</v>
      </c>
      <c r="M1788" t="s">
        <v>71</v>
      </c>
      <c r="N1788" t="s">
        <v>220</v>
      </c>
      <c r="O1788" t="s">
        <v>7232</v>
      </c>
      <c r="P1788" t="s">
        <v>38</v>
      </c>
      <c r="Q1788" t="s">
        <v>39</v>
      </c>
      <c r="R1788">
        <v>1</v>
      </c>
      <c r="S1788" t="s">
        <v>39</v>
      </c>
      <c r="T1788">
        <v>7</v>
      </c>
      <c r="U1788">
        <v>1.2</v>
      </c>
      <c r="V1788">
        <v>24.5</v>
      </c>
      <c r="W1788" t="s">
        <v>38</v>
      </c>
      <c r="X1788" t="s">
        <v>123</v>
      </c>
      <c r="Y1788" t="s">
        <v>39</v>
      </c>
      <c r="Z1788" t="s">
        <v>53</v>
      </c>
      <c r="AA1788" t="s">
        <v>42</v>
      </c>
      <c r="AB1788" t="s">
        <v>83</v>
      </c>
      <c r="AC1788">
        <f t="shared" si="297"/>
        <v>0</v>
      </c>
      <c r="AD1788" s="12">
        <f t="shared" si="301"/>
        <v>0</v>
      </c>
      <c r="AE1788" s="12">
        <f t="shared" si="302"/>
        <v>1</v>
      </c>
      <c r="AF1788">
        <f t="shared" si="298"/>
        <v>0</v>
      </c>
      <c r="AG1788">
        <f t="shared" si="303"/>
        <v>1</v>
      </c>
      <c r="AH1788">
        <f t="shared" si="304"/>
        <v>1</v>
      </c>
      <c r="AI1788">
        <f t="shared" si="305"/>
        <v>0</v>
      </c>
      <c r="AJ1788">
        <f t="shared" si="306"/>
        <v>0</v>
      </c>
      <c r="AK1788">
        <f t="shared" si="299"/>
        <v>0</v>
      </c>
      <c r="AL1788">
        <f t="shared" si="307"/>
        <v>0</v>
      </c>
    </row>
    <row r="1789" spans="1:38">
      <c r="A1789" t="s">
        <v>5494</v>
      </c>
      <c r="B1789" t="s">
        <v>5495</v>
      </c>
      <c r="C1789" s="1">
        <f t="shared" si="300"/>
        <v>45536</v>
      </c>
      <c r="D1789" t="s">
        <v>5496</v>
      </c>
      <c r="E1789">
        <v>166.3</v>
      </c>
      <c r="F1789">
        <v>6.9</v>
      </c>
      <c r="G1789" t="s">
        <v>142</v>
      </c>
      <c r="H1789" t="s">
        <v>240</v>
      </c>
      <c r="I1789" t="s">
        <v>48</v>
      </c>
      <c r="J1789">
        <v>120</v>
      </c>
      <c r="K1789" t="s">
        <v>33</v>
      </c>
      <c r="L1789" t="s">
        <v>96</v>
      </c>
      <c r="M1789" t="s">
        <v>71</v>
      </c>
      <c r="N1789" t="s">
        <v>414</v>
      </c>
      <c r="O1789" t="s">
        <v>37</v>
      </c>
      <c r="P1789" t="s">
        <v>38</v>
      </c>
      <c r="Q1789" t="s">
        <v>39</v>
      </c>
      <c r="R1789">
        <v>1</v>
      </c>
      <c r="S1789" t="s">
        <v>39</v>
      </c>
      <c r="T1789">
        <v>7</v>
      </c>
      <c r="U1789">
        <v>2.8</v>
      </c>
      <c r="V1789">
        <v>22.5</v>
      </c>
      <c r="W1789" t="s">
        <v>39</v>
      </c>
      <c r="X1789" t="s">
        <v>52</v>
      </c>
      <c r="Y1789" t="s">
        <v>39</v>
      </c>
      <c r="Z1789" t="s">
        <v>73</v>
      </c>
      <c r="AA1789" t="s">
        <v>103</v>
      </c>
      <c r="AB1789" t="s">
        <v>55</v>
      </c>
      <c r="AC1789">
        <f t="shared" si="297"/>
        <v>1</v>
      </c>
      <c r="AD1789" s="12">
        <f t="shared" si="301"/>
        <v>0</v>
      </c>
      <c r="AE1789" s="12">
        <f t="shared" si="302"/>
        <v>0</v>
      </c>
      <c r="AF1789">
        <f t="shared" si="298"/>
        <v>0</v>
      </c>
      <c r="AG1789">
        <f t="shared" si="303"/>
        <v>0</v>
      </c>
      <c r="AH1789">
        <f t="shared" si="304"/>
        <v>1</v>
      </c>
      <c r="AI1789">
        <f t="shared" si="305"/>
        <v>0</v>
      </c>
      <c r="AJ1789">
        <f t="shared" si="306"/>
        <v>0</v>
      </c>
      <c r="AK1789">
        <f t="shared" si="299"/>
        <v>0</v>
      </c>
      <c r="AL1789">
        <f t="shared" si="307"/>
        <v>0</v>
      </c>
    </row>
    <row r="1790" spans="1:38">
      <c r="A1790" t="s">
        <v>5497</v>
      </c>
      <c r="B1790" t="s">
        <v>5498</v>
      </c>
      <c r="C1790" s="1">
        <f t="shared" si="300"/>
        <v>45597</v>
      </c>
      <c r="D1790" t="s">
        <v>5499</v>
      </c>
      <c r="E1790">
        <v>154.6</v>
      </c>
      <c r="F1790">
        <v>6.4</v>
      </c>
      <c r="G1790" t="s">
        <v>68</v>
      </c>
      <c r="H1790" t="s">
        <v>456</v>
      </c>
      <c r="I1790" t="s">
        <v>32</v>
      </c>
      <c r="J1790">
        <v>240</v>
      </c>
      <c r="K1790" t="s">
        <v>49</v>
      </c>
      <c r="L1790" t="s">
        <v>34</v>
      </c>
      <c r="M1790" t="s">
        <v>71</v>
      </c>
      <c r="N1790" t="s">
        <v>50</v>
      </c>
      <c r="O1790" t="s">
        <v>7232</v>
      </c>
      <c r="P1790" t="s">
        <v>38</v>
      </c>
      <c r="Q1790" t="s">
        <v>39</v>
      </c>
      <c r="R1790">
        <v>2</v>
      </c>
      <c r="S1790" t="s">
        <v>38</v>
      </c>
      <c r="T1790">
        <v>10</v>
      </c>
      <c r="U1790">
        <v>2.2000000000000002</v>
      </c>
      <c r="V1790">
        <v>18.2</v>
      </c>
      <c r="W1790" t="s">
        <v>38</v>
      </c>
      <c r="X1790" t="s">
        <v>123</v>
      </c>
      <c r="Y1790" t="s">
        <v>38</v>
      </c>
      <c r="Z1790" t="s">
        <v>53</v>
      </c>
      <c r="AA1790" t="s">
        <v>103</v>
      </c>
      <c r="AB1790" t="s">
        <v>83</v>
      </c>
      <c r="AC1790">
        <f t="shared" si="297"/>
        <v>0</v>
      </c>
      <c r="AD1790" s="12">
        <f t="shared" si="301"/>
        <v>0</v>
      </c>
      <c r="AE1790" s="12">
        <f t="shared" si="302"/>
        <v>1</v>
      </c>
      <c r="AF1790">
        <f t="shared" si="298"/>
        <v>0</v>
      </c>
      <c r="AG1790">
        <f t="shared" si="303"/>
        <v>1</v>
      </c>
      <c r="AH1790">
        <f t="shared" si="304"/>
        <v>0</v>
      </c>
      <c r="AI1790">
        <f t="shared" si="305"/>
        <v>0</v>
      </c>
      <c r="AJ1790">
        <f t="shared" si="306"/>
        <v>1</v>
      </c>
      <c r="AK1790">
        <f t="shared" si="299"/>
        <v>0</v>
      </c>
      <c r="AL1790">
        <f t="shared" si="307"/>
        <v>1</v>
      </c>
    </row>
    <row r="1791" spans="1:38">
      <c r="A1791" t="s">
        <v>5500</v>
      </c>
      <c r="B1791" t="s">
        <v>5501</v>
      </c>
      <c r="C1791" s="1">
        <f t="shared" si="300"/>
        <v>45444</v>
      </c>
      <c r="D1791" t="s">
        <v>5502</v>
      </c>
      <c r="E1791">
        <v>242.3</v>
      </c>
      <c r="F1791">
        <v>10.1</v>
      </c>
      <c r="G1791" t="s">
        <v>77</v>
      </c>
      <c r="H1791" t="s">
        <v>244</v>
      </c>
      <c r="I1791" t="s">
        <v>79</v>
      </c>
      <c r="J1791">
        <v>360</v>
      </c>
      <c r="K1791" t="s">
        <v>49</v>
      </c>
      <c r="L1791" t="s">
        <v>96</v>
      </c>
      <c r="M1791" t="s">
        <v>35</v>
      </c>
      <c r="N1791" t="s">
        <v>168</v>
      </c>
      <c r="O1791" t="s">
        <v>7232</v>
      </c>
      <c r="P1791" t="s">
        <v>39</v>
      </c>
      <c r="Q1791" t="s">
        <v>38</v>
      </c>
      <c r="R1791">
        <v>0</v>
      </c>
      <c r="S1791" t="s">
        <v>38</v>
      </c>
      <c r="T1791">
        <v>10</v>
      </c>
      <c r="U1791">
        <v>2.5</v>
      </c>
      <c r="V1791">
        <v>1.9</v>
      </c>
      <c r="W1791" t="s">
        <v>39</v>
      </c>
      <c r="X1791" t="s">
        <v>63</v>
      </c>
      <c r="Y1791" t="s">
        <v>38</v>
      </c>
      <c r="Z1791" t="s">
        <v>41</v>
      </c>
      <c r="AA1791" t="s">
        <v>103</v>
      </c>
      <c r="AB1791" t="s">
        <v>83</v>
      </c>
      <c r="AC1791">
        <f t="shared" si="297"/>
        <v>0</v>
      </c>
      <c r="AD1791" s="12">
        <f t="shared" si="301"/>
        <v>1</v>
      </c>
      <c r="AE1791" s="12">
        <f t="shared" si="302"/>
        <v>0</v>
      </c>
      <c r="AF1791">
        <f t="shared" si="298"/>
        <v>0</v>
      </c>
      <c r="AG1791">
        <f t="shared" si="303"/>
        <v>1</v>
      </c>
      <c r="AH1791">
        <f t="shared" si="304"/>
        <v>0</v>
      </c>
      <c r="AI1791">
        <f t="shared" si="305"/>
        <v>0</v>
      </c>
      <c r="AJ1791">
        <f t="shared" si="306"/>
        <v>0</v>
      </c>
      <c r="AK1791">
        <f t="shared" si="299"/>
        <v>0</v>
      </c>
      <c r="AL1791">
        <f t="shared" si="307"/>
        <v>1</v>
      </c>
    </row>
    <row r="1792" spans="1:38">
      <c r="A1792" t="s">
        <v>5503</v>
      </c>
      <c r="B1792" t="s">
        <v>5504</v>
      </c>
      <c r="C1792" s="1">
        <f t="shared" si="300"/>
        <v>45505</v>
      </c>
      <c r="D1792" t="s">
        <v>5505</v>
      </c>
      <c r="E1792">
        <v>162.80000000000001</v>
      </c>
      <c r="F1792">
        <v>6.8</v>
      </c>
      <c r="G1792" t="s">
        <v>30</v>
      </c>
      <c r="H1792" t="s">
        <v>31</v>
      </c>
      <c r="I1792" t="s">
        <v>32</v>
      </c>
      <c r="J1792">
        <v>240</v>
      </c>
      <c r="K1792" t="s">
        <v>49</v>
      </c>
      <c r="L1792" t="s">
        <v>70</v>
      </c>
      <c r="M1792" t="s">
        <v>35</v>
      </c>
      <c r="N1792" t="s">
        <v>72</v>
      </c>
      <c r="O1792" t="s">
        <v>51</v>
      </c>
      <c r="P1792" t="s">
        <v>39</v>
      </c>
      <c r="Q1792" t="s">
        <v>38</v>
      </c>
      <c r="R1792">
        <v>0</v>
      </c>
      <c r="S1792" t="s">
        <v>38</v>
      </c>
      <c r="T1792">
        <v>9</v>
      </c>
      <c r="U1792">
        <v>3.1</v>
      </c>
      <c r="V1792">
        <v>8.1</v>
      </c>
      <c r="W1792" t="s">
        <v>39</v>
      </c>
      <c r="X1792" t="s">
        <v>40</v>
      </c>
      <c r="Y1792" t="s">
        <v>39</v>
      </c>
      <c r="Z1792" t="s">
        <v>108</v>
      </c>
      <c r="AA1792" t="s">
        <v>82</v>
      </c>
      <c r="AB1792" t="s">
        <v>83</v>
      </c>
      <c r="AC1792">
        <f t="shared" si="297"/>
        <v>0</v>
      </c>
      <c r="AD1792" s="12">
        <f t="shared" si="301"/>
        <v>0</v>
      </c>
      <c r="AE1792" s="12">
        <f t="shared" si="302"/>
        <v>0</v>
      </c>
      <c r="AF1792">
        <f t="shared" si="298"/>
        <v>1</v>
      </c>
      <c r="AG1792">
        <f t="shared" si="303"/>
        <v>0</v>
      </c>
      <c r="AH1792">
        <f t="shared" si="304"/>
        <v>0</v>
      </c>
      <c r="AI1792">
        <f t="shared" si="305"/>
        <v>0</v>
      </c>
      <c r="AJ1792">
        <f t="shared" si="306"/>
        <v>1</v>
      </c>
      <c r="AK1792">
        <f t="shared" si="299"/>
        <v>1</v>
      </c>
      <c r="AL1792">
        <f t="shared" si="307"/>
        <v>0</v>
      </c>
    </row>
    <row r="1793" spans="1:38">
      <c r="A1793" t="s">
        <v>5506</v>
      </c>
      <c r="B1793" t="s">
        <v>5507</v>
      </c>
      <c r="C1793" s="1">
        <f t="shared" si="300"/>
        <v>45383</v>
      </c>
      <c r="D1793" t="s">
        <v>5508</v>
      </c>
      <c r="E1793">
        <v>285.10000000000002</v>
      </c>
      <c r="F1793">
        <v>11.9</v>
      </c>
      <c r="G1793" t="s">
        <v>93</v>
      </c>
      <c r="H1793" t="s">
        <v>449</v>
      </c>
      <c r="I1793" t="s">
        <v>79</v>
      </c>
      <c r="J1793">
        <v>360</v>
      </c>
      <c r="K1793" t="s">
        <v>49</v>
      </c>
      <c r="L1793" t="s">
        <v>34</v>
      </c>
      <c r="M1793" t="s">
        <v>35</v>
      </c>
      <c r="N1793" t="s">
        <v>134</v>
      </c>
      <c r="O1793" t="s">
        <v>51</v>
      </c>
      <c r="P1793" t="s">
        <v>38</v>
      </c>
      <c r="Q1793" t="s">
        <v>38</v>
      </c>
      <c r="R1793">
        <v>1</v>
      </c>
      <c r="S1793" t="s">
        <v>39</v>
      </c>
      <c r="T1793">
        <v>8</v>
      </c>
      <c r="U1793">
        <v>5.4</v>
      </c>
      <c r="V1793">
        <v>46.5</v>
      </c>
      <c r="W1793" t="s">
        <v>39</v>
      </c>
      <c r="X1793" t="s">
        <v>123</v>
      </c>
      <c r="Y1793" t="s">
        <v>38</v>
      </c>
      <c r="Z1793" t="s">
        <v>108</v>
      </c>
      <c r="AA1793" t="s">
        <v>42</v>
      </c>
      <c r="AB1793" t="s">
        <v>55</v>
      </c>
      <c r="AC1793">
        <f t="shared" si="297"/>
        <v>0</v>
      </c>
      <c r="AD1793" s="12">
        <f t="shared" si="301"/>
        <v>0</v>
      </c>
      <c r="AE1793" s="12">
        <f t="shared" si="302"/>
        <v>1</v>
      </c>
      <c r="AF1793">
        <f t="shared" si="298"/>
        <v>1</v>
      </c>
      <c r="AG1793">
        <f t="shared" si="303"/>
        <v>0</v>
      </c>
      <c r="AH1793">
        <f t="shared" si="304"/>
        <v>0</v>
      </c>
      <c r="AI1793">
        <f t="shared" si="305"/>
        <v>0</v>
      </c>
      <c r="AJ1793">
        <f t="shared" si="306"/>
        <v>0</v>
      </c>
      <c r="AK1793">
        <f t="shared" si="299"/>
        <v>0</v>
      </c>
      <c r="AL1793">
        <f t="shared" si="307"/>
        <v>1</v>
      </c>
    </row>
    <row r="1794" spans="1:38">
      <c r="A1794" t="s">
        <v>5509</v>
      </c>
      <c r="B1794" t="s">
        <v>5510</v>
      </c>
      <c r="C1794" s="1">
        <f t="shared" si="300"/>
        <v>45323</v>
      </c>
      <c r="D1794" t="s">
        <v>5511</v>
      </c>
      <c r="E1794">
        <v>76.099999999999994</v>
      </c>
      <c r="F1794">
        <v>3.2</v>
      </c>
      <c r="G1794" t="s">
        <v>59</v>
      </c>
      <c r="H1794" t="s">
        <v>60</v>
      </c>
      <c r="I1794" t="s">
        <v>48</v>
      </c>
      <c r="J1794">
        <v>120</v>
      </c>
      <c r="K1794" t="s">
        <v>49</v>
      </c>
      <c r="L1794" t="s">
        <v>70</v>
      </c>
      <c r="M1794" t="s">
        <v>71</v>
      </c>
      <c r="N1794" t="s">
        <v>144</v>
      </c>
      <c r="O1794" t="s">
        <v>37</v>
      </c>
      <c r="P1794" t="s">
        <v>38</v>
      </c>
      <c r="Q1794" t="s">
        <v>39</v>
      </c>
      <c r="R1794">
        <v>2</v>
      </c>
      <c r="S1794" t="s">
        <v>38</v>
      </c>
      <c r="T1794">
        <v>8</v>
      </c>
      <c r="U1794">
        <v>3</v>
      </c>
      <c r="V1794">
        <v>4.0999999999999996</v>
      </c>
      <c r="W1794" t="s">
        <v>39</v>
      </c>
      <c r="X1794" t="s">
        <v>63</v>
      </c>
      <c r="Y1794" t="s">
        <v>39</v>
      </c>
      <c r="Z1794" t="s">
        <v>64</v>
      </c>
      <c r="AA1794" t="s">
        <v>42</v>
      </c>
      <c r="AB1794" t="s">
        <v>55</v>
      </c>
      <c r="AC1794">
        <f t="shared" ref="AC1794:AC1857" si="308">IF(X1794="Poor", 1, 0)</f>
        <v>0</v>
      </c>
      <c r="AD1794" s="12">
        <f t="shared" si="301"/>
        <v>1</v>
      </c>
      <c r="AE1794" s="12">
        <f t="shared" si="302"/>
        <v>0</v>
      </c>
      <c r="AF1794">
        <f t="shared" ref="AF1794:AF1857" si="309">IF(O1794="Junior", 1, 0)</f>
        <v>0</v>
      </c>
      <c r="AG1794">
        <f t="shared" si="303"/>
        <v>0</v>
      </c>
      <c r="AH1794">
        <f t="shared" si="304"/>
        <v>1</v>
      </c>
      <c r="AI1794">
        <f t="shared" si="305"/>
        <v>0</v>
      </c>
      <c r="AJ1794">
        <f t="shared" si="306"/>
        <v>0</v>
      </c>
      <c r="AK1794">
        <f t="shared" ref="AK1794:AK1857" si="310">IF(G1794="Access Requests", 1, 0)</f>
        <v>0</v>
      </c>
      <c r="AL1794">
        <f t="shared" si="307"/>
        <v>0</v>
      </c>
    </row>
    <row r="1795" spans="1:38">
      <c r="A1795" t="s">
        <v>5512</v>
      </c>
      <c r="B1795" t="s">
        <v>5513</v>
      </c>
      <c r="C1795" s="1">
        <f t="shared" ref="C1795:C1858" si="311">DATE(YEAR(B1795),MONTH(B1795),1)</f>
        <v>45474</v>
      </c>
      <c r="D1795" t="s">
        <v>5514</v>
      </c>
      <c r="E1795">
        <v>458</v>
      </c>
      <c r="F1795">
        <v>19.100000000000001</v>
      </c>
      <c r="G1795" t="s">
        <v>93</v>
      </c>
      <c r="H1795" t="s">
        <v>163</v>
      </c>
      <c r="I1795" t="s">
        <v>79</v>
      </c>
      <c r="J1795">
        <v>360</v>
      </c>
      <c r="K1795" t="s">
        <v>33</v>
      </c>
      <c r="L1795" t="s">
        <v>133</v>
      </c>
      <c r="M1795" t="s">
        <v>71</v>
      </c>
      <c r="N1795" t="s">
        <v>164</v>
      </c>
      <c r="O1795" t="s">
        <v>7232</v>
      </c>
      <c r="P1795" t="s">
        <v>38</v>
      </c>
      <c r="Q1795" t="s">
        <v>39</v>
      </c>
      <c r="R1795">
        <v>1</v>
      </c>
      <c r="S1795" t="s">
        <v>38</v>
      </c>
      <c r="T1795">
        <v>5</v>
      </c>
      <c r="U1795">
        <v>3.2</v>
      </c>
      <c r="V1795">
        <v>23.4</v>
      </c>
      <c r="W1795" t="s">
        <v>38</v>
      </c>
      <c r="X1795" t="s">
        <v>52</v>
      </c>
      <c r="Y1795" t="s">
        <v>39</v>
      </c>
      <c r="Z1795" t="s">
        <v>41</v>
      </c>
      <c r="AA1795" t="s">
        <v>109</v>
      </c>
      <c r="AB1795" t="s">
        <v>83</v>
      </c>
      <c r="AC1795">
        <f t="shared" si="308"/>
        <v>1</v>
      </c>
      <c r="AD1795" s="12">
        <f t="shared" ref="AD1795:AD1858" si="312">IF(X1795="Fair", 1, 0)</f>
        <v>0</v>
      </c>
      <c r="AE1795" s="12">
        <f t="shared" ref="AE1795:AE1858" si="313">IF(X1795="Good", 1, 0)</f>
        <v>0</v>
      </c>
      <c r="AF1795">
        <f t="shared" si="309"/>
        <v>0</v>
      </c>
      <c r="AG1795">
        <f t="shared" ref="AG1795:AG1858" si="314">IF(O1795="Mid", 1, 0)</f>
        <v>1</v>
      </c>
      <c r="AH1795">
        <f t="shared" ref="AH1795:AH1858" si="315">IF(I1795="High", 1, 0)</f>
        <v>0</v>
      </c>
      <c r="AI1795">
        <f t="shared" ref="AI1795:AI1858" si="316">IF(I1795="Critical", 1, 0)</f>
        <v>0</v>
      </c>
      <c r="AJ1795">
        <f t="shared" ref="AJ1795:AJ1858" si="317">IF(I1795="Medium", 1, 0)</f>
        <v>0</v>
      </c>
      <c r="AK1795">
        <f t="shared" si="310"/>
        <v>0</v>
      </c>
      <c r="AL1795">
        <f t="shared" ref="AL1795:AL1858" si="318">IF(Y1795="No", 1, 0)</f>
        <v>0</v>
      </c>
    </row>
    <row r="1796" spans="1:38">
      <c r="A1796" t="s">
        <v>5515</v>
      </c>
      <c r="B1796" t="s">
        <v>5516</v>
      </c>
      <c r="C1796" s="1">
        <f t="shared" si="311"/>
        <v>45536</v>
      </c>
      <c r="D1796" t="s">
        <v>5517</v>
      </c>
      <c r="E1796">
        <v>71.599999999999994</v>
      </c>
      <c r="F1796">
        <v>3</v>
      </c>
      <c r="G1796" t="s">
        <v>93</v>
      </c>
      <c r="H1796" t="s">
        <v>163</v>
      </c>
      <c r="I1796" t="s">
        <v>95</v>
      </c>
      <c r="J1796">
        <v>48</v>
      </c>
      <c r="K1796" t="s">
        <v>33</v>
      </c>
      <c r="L1796" t="s">
        <v>113</v>
      </c>
      <c r="M1796" t="s">
        <v>71</v>
      </c>
      <c r="N1796" t="s">
        <v>202</v>
      </c>
      <c r="O1796" t="s">
        <v>37</v>
      </c>
      <c r="P1796" t="s">
        <v>38</v>
      </c>
      <c r="Q1796" t="s">
        <v>39</v>
      </c>
      <c r="R1796">
        <v>2</v>
      </c>
      <c r="S1796" t="s">
        <v>38</v>
      </c>
      <c r="T1796">
        <v>1</v>
      </c>
      <c r="U1796">
        <v>4.3</v>
      </c>
      <c r="V1796">
        <v>7.9</v>
      </c>
      <c r="W1796" t="s">
        <v>39</v>
      </c>
      <c r="X1796" t="s">
        <v>63</v>
      </c>
      <c r="Y1796" t="s">
        <v>39</v>
      </c>
      <c r="Z1796" t="s">
        <v>73</v>
      </c>
      <c r="AA1796" t="s">
        <v>82</v>
      </c>
      <c r="AB1796" t="s">
        <v>55</v>
      </c>
      <c r="AC1796">
        <f t="shared" si="308"/>
        <v>0</v>
      </c>
      <c r="AD1796" s="12">
        <f t="shared" si="312"/>
        <v>1</v>
      </c>
      <c r="AE1796" s="12">
        <f t="shared" si="313"/>
        <v>0</v>
      </c>
      <c r="AF1796">
        <f t="shared" si="309"/>
        <v>0</v>
      </c>
      <c r="AG1796">
        <f t="shared" si="314"/>
        <v>0</v>
      </c>
      <c r="AH1796">
        <f t="shared" si="315"/>
        <v>0</v>
      </c>
      <c r="AI1796">
        <f t="shared" si="316"/>
        <v>1</v>
      </c>
      <c r="AJ1796">
        <f t="shared" si="317"/>
        <v>0</v>
      </c>
      <c r="AK1796">
        <f t="shared" si="310"/>
        <v>0</v>
      </c>
      <c r="AL1796">
        <f t="shared" si="318"/>
        <v>0</v>
      </c>
    </row>
    <row r="1797" spans="1:38">
      <c r="A1797" t="s">
        <v>5518</v>
      </c>
      <c r="B1797" t="s">
        <v>5519</v>
      </c>
      <c r="C1797" s="1">
        <f t="shared" si="311"/>
        <v>45444</v>
      </c>
      <c r="D1797" t="s">
        <v>5520</v>
      </c>
      <c r="E1797">
        <v>40.5</v>
      </c>
      <c r="F1797">
        <v>1.7</v>
      </c>
      <c r="G1797" t="s">
        <v>59</v>
      </c>
      <c r="H1797" t="s">
        <v>281</v>
      </c>
      <c r="I1797" t="s">
        <v>95</v>
      </c>
      <c r="J1797">
        <v>48</v>
      </c>
      <c r="K1797" t="s">
        <v>49</v>
      </c>
      <c r="L1797" t="s">
        <v>70</v>
      </c>
      <c r="M1797" t="s">
        <v>71</v>
      </c>
      <c r="N1797" t="s">
        <v>138</v>
      </c>
      <c r="O1797" t="s">
        <v>51</v>
      </c>
      <c r="P1797" t="s">
        <v>38</v>
      </c>
      <c r="Q1797" t="s">
        <v>39</v>
      </c>
      <c r="R1797">
        <v>1</v>
      </c>
      <c r="S1797" t="s">
        <v>38</v>
      </c>
      <c r="T1797">
        <v>8</v>
      </c>
      <c r="U1797">
        <v>3.6</v>
      </c>
      <c r="V1797">
        <v>10.8</v>
      </c>
      <c r="W1797" t="s">
        <v>38</v>
      </c>
      <c r="X1797" t="s">
        <v>40</v>
      </c>
      <c r="Y1797" t="s">
        <v>38</v>
      </c>
      <c r="Z1797" t="s">
        <v>115</v>
      </c>
      <c r="AA1797" t="s">
        <v>103</v>
      </c>
      <c r="AB1797" t="s">
        <v>83</v>
      </c>
      <c r="AC1797">
        <f t="shared" si="308"/>
        <v>0</v>
      </c>
      <c r="AD1797" s="12">
        <f t="shared" si="312"/>
        <v>0</v>
      </c>
      <c r="AE1797" s="12">
        <f t="shared" si="313"/>
        <v>0</v>
      </c>
      <c r="AF1797">
        <f t="shared" si="309"/>
        <v>1</v>
      </c>
      <c r="AG1797">
        <f t="shared" si="314"/>
        <v>0</v>
      </c>
      <c r="AH1797">
        <f t="shared" si="315"/>
        <v>0</v>
      </c>
      <c r="AI1797">
        <f t="shared" si="316"/>
        <v>1</v>
      </c>
      <c r="AJ1797">
        <f t="shared" si="317"/>
        <v>0</v>
      </c>
      <c r="AK1797">
        <f t="shared" si="310"/>
        <v>0</v>
      </c>
      <c r="AL1797">
        <f t="shared" si="318"/>
        <v>1</v>
      </c>
    </row>
    <row r="1798" spans="1:38">
      <c r="A1798" t="s">
        <v>5521</v>
      </c>
      <c r="B1798" t="s">
        <v>5522</v>
      </c>
      <c r="C1798" s="1">
        <f t="shared" si="311"/>
        <v>45352</v>
      </c>
      <c r="D1798" t="s">
        <v>5523</v>
      </c>
      <c r="E1798">
        <v>299.8</v>
      </c>
      <c r="F1798">
        <v>12.5</v>
      </c>
      <c r="G1798" t="s">
        <v>68</v>
      </c>
      <c r="H1798" t="s">
        <v>456</v>
      </c>
      <c r="I1798" t="s">
        <v>32</v>
      </c>
      <c r="J1798">
        <v>240</v>
      </c>
      <c r="K1798" t="s">
        <v>33</v>
      </c>
      <c r="L1798" t="s">
        <v>133</v>
      </c>
      <c r="M1798" t="s">
        <v>71</v>
      </c>
      <c r="N1798" t="s">
        <v>164</v>
      </c>
      <c r="O1798" t="s">
        <v>7232</v>
      </c>
      <c r="P1798" t="s">
        <v>38</v>
      </c>
      <c r="Q1798" t="s">
        <v>39</v>
      </c>
      <c r="R1798">
        <v>2</v>
      </c>
      <c r="S1798" t="s">
        <v>38</v>
      </c>
      <c r="T1798">
        <v>4</v>
      </c>
      <c r="U1798">
        <v>0.1</v>
      </c>
      <c r="V1798">
        <v>0</v>
      </c>
      <c r="W1798" t="s">
        <v>38</v>
      </c>
      <c r="X1798" t="s">
        <v>52</v>
      </c>
      <c r="Y1798" t="s">
        <v>38</v>
      </c>
      <c r="Z1798" t="s">
        <v>41</v>
      </c>
      <c r="AA1798" t="s">
        <v>82</v>
      </c>
      <c r="AB1798" t="s">
        <v>83</v>
      </c>
      <c r="AC1798">
        <f t="shared" si="308"/>
        <v>1</v>
      </c>
      <c r="AD1798" s="12">
        <f t="shared" si="312"/>
        <v>0</v>
      </c>
      <c r="AE1798" s="12">
        <f t="shared" si="313"/>
        <v>0</v>
      </c>
      <c r="AF1798">
        <f t="shared" si="309"/>
        <v>0</v>
      </c>
      <c r="AG1798">
        <f t="shared" si="314"/>
        <v>1</v>
      </c>
      <c r="AH1798">
        <f t="shared" si="315"/>
        <v>0</v>
      </c>
      <c r="AI1798">
        <f t="shared" si="316"/>
        <v>0</v>
      </c>
      <c r="AJ1798">
        <f t="shared" si="317"/>
        <v>1</v>
      </c>
      <c r="AK1798">
        <f t="shared" si="310"/>
        <v>0</v>
      </c>
      <c r="AL1798">
        <f t="shared" si="318"/>
        <v>1</v>
      </c>
    </row>
    <row r="1799" spans="1:38">
      <c r="A1799" t="s">
        <v>5524</v>
      </c>
      <c r="B1799" t="s">
        <v>5525</v>
      </c>
      <c r="C1799" s="1">
        <f t="shared" si="311"/>
        <v>45292</v>
      </c>
      <c r="D1799" t="s">
        <v>5526</v>
      </c>
      <c r="E1799">
        <v>166.6</v>
      </c>
      <c r="F1799">
        <v>6.9</v>
      </c>
      <c r="G1799" t="s">
        <v>77</v>
      </c>
      <c r="H1799" t="s">
        <v>267</v>
      </c>
      <c r="I1799" t="s">
        <v>48</v>
      </c>
      <c r="J1799">
        <v>120</v>
      </c>
      <c r="K1799" t="s">
        <v>33</v>
      </c>
      <c r="L1799" t="s">
        <v>34</v>
      </c>
      <c r="M1799" t="s">
        <v>35</v>
      </c>
      <c r="N1799" t="s">
        <v>220</v>
      </c>
      <c r="O1799" t="s">
        <v>37</v>
      </c>
      <c r="P1799" t="s">
        <v>38</v>
      </c>
      <c r="Q1799" t="s">
        <v>38</v>
      </c>
      <c r="R1799">
        <v>1</v>
      </c>
      <c r="S1799" t="s">
        <v>38</v>
      </c>
      <c r="T1799">
        <v>5</v>
      </c>
      <c r="U1799">
        <v>2.2000000000000002</v>
      </c>
      <c r="V1799">
        <v>37.799999999999997</v>
      </c>
      <c r="W1799" t="s">
        <v>39</v>
      </c>
      <c r="X1799" t="s">
        <v>52</v>
      </c>
      <c r="Y1799" t="s">
        <v>39</v>
      </c>
      <c r="Z1799" t="s">
        <v>115</v>
      </c>
      <c r="AA1799" t="s">
        <v>82</v>
      </c>
      <c r="AB1799" t="s">
        <v>83</v>
      </c>
      <c r="AC1799">
        <f t="shared" si="308"/>
        <v>1</v>
      </c>
      <c r="AD1799" s="12">
        <f t="shared" si="312"/>
        <v>0</v>
      </c>
      <c r="AE1799" s="12">
        <f t="shared" si="313"/>
        <v>0</v>
      </c>
      <c r="AF1799">
        <f t="shared" si="309"/>
        <v>0</v>
      </c>
      <c r="AG1799">
        <f t="shared" si="314"/>
        <v>0</v>
      </c>
      <c r="AH1799">
        <f t="shared" si="315"/>
        <v>1</v>
      </c>
      <c r="AI1799">
        <f t="shared" si="316"/>
        <v>0</v>
      </c>
      <c r="AJ1799">
        <f t="shared" si="317"/>
        <v>0</v>
      </c>
      <c r="AK1799">
        <f t="shared" si="310"/>
        <v>0</v>
      </c>
      <c r="AL1799">
        <f t="shared" si="318"/>
        <v>0</v>
      </c>
    </row>
    <row r="1800" spans="1:38">
      <c r="A1800" t="s">
        <v>5527</v>
      </c>
      <c r="B1800" t="s">
        <v>5528</v>
      </c>
      <c r="C1800" s="1">
        <f t="shared" si="311"/>
        <v>45352</v>
      </c>
      <c r="D1800" t="s">
        <v>5529</v>
      </c>
      <c r="E1800">
        <v>186.6</v>
      </c>
      <c r="F1800">
        <v>7.8</v>
      </c>
      <c r="G1800" t="s">
        <v>142</v>
      </c>
      <c r="H1800" t="s">
        <v>729</v>
      </c>
      <c r="I1800" t="s">
        <v>32</v>
      </c>
      <c r="J1800">
        <v>240</v>
      </c>
      <c r="K1800" t="s">
        <v>49</v>
      </c>
      <c r="L1800" t="s">
        <v>96</v>
      </c>
      <c r="M1800" t="s">
        <v>71</v>
      </c>
      <c r="N1800" t="s">
        <v>168</v>
      </c>
      <c r="O1800" t="s">
        <v>7232</v>
      </c>
      <c r="P1800" t="s">
        <v>38</v>
      </c>
      <c r="Q1800" t="s">
        <v>39</v>
      </c>
      <c r="R1800">
        <v>2</v>
      </c>
      <c r="S1800" t="s">
        <v>39</v>
      </c>
      <c r="T1800">
        <v>9</v>
      </c>
      <c r="U1800">
        <v>1.9</v>
      </c>
      <c r="V1800">
        <v>5.3</v>
      </c>
      <c r="W1800" t="s">
        <v>39</v>
      </c>
      <c r="X1800" t="s">
        <v>63</v>
      </c>
      <c r="Y1800" t="s">
        <v>38</v>
      </c>
      <c r="Z1800" t="s">
        <v>64</v>
      </c>
      <c r="AA1800" t="s">
        <v>54</v>
      </c>
      <c r="AB1800" t="s">
        <v>55</v>
      </c>
      <c r="AC1800">
        <f t="shared" si="308"/>
        <v>0</v>
      </c>
      <c r="AD1800" s="12">
        <f t="shared" si="312"/>
        <v>1</v>
      </c>
      <c r="AE1800" s="12">
        <f t="shared" si="313"/>
        <v>0</v>
      </c>
      <c r="AF1800">
        <f t="shared" si="309"/>
        <v>0</v>
      </c>
      <c r="AG1800">
        <f t="shared" si="314"/>
        <v>1</v>
      </c>
      <c r="AH1800">
        <f t="shared" si="315"/>
        <v>0</v>
      </c>
      <c r="AI1800">
        <f t="shared" si="316"/>
        <v>0</v>
      </c>
      <c r="AJ1800">
        <f t="shared" si="317"/>
        <v>1</v>
      </c>
      <c r="AK1800">
        <f t="shared" si="310"/>
        <v>0</v>
      </c>
      <c r="AL1800">
        <f t="shared" si="318"/>
        <v>1</v>
      </c>
    </row>
    <row r="1801" spans="1:38">
      <c r="A1801" t="s">
        <v>5530</v>
      </c>
      <c r="B1801" t="s">
        <v>5531</v>
      </c>
      <c r="C1801" s="1">
        <f t="shared" si="311"/>
        <v>45536</v>
      </c>
      <c r="D1801" t="s">
        <v>5532</v>
      </c>
      <c r="E1801">
        <v>241.2</v>
      </c>
      <c r="F1801">
        <v>10</v>
      </c>
      <c r="G1801" t="s">
        <v>68</v>
      </c>
      <c r="H1801" t="s">
        <v>69</v>
      </c>
      <c r="I1801" t="s">
        <v>32</v>
      </c>
      <c r="J1801">
        <v>240</v>
      </c>
      <c r="K1801" t="s">
        <v>33</v>
      </c>
      <c r="L1801" t="s">
        <v>96</v>
      </c>
      <c r="M1801" t="s">
        <v>35</v>
      </c>
      <c r="N1801" t="s">
        <v>128</v>
      </c>
      <c r="O1801" t="s">
        <v>51</v>
      </c>
      <c r="P1801" t="s">
        <v>39</v>
      </c>
      <c r="Q1801" t="s">
        <v>38</v>
      </c>
      <c r="R1801">
        <v>0</v>
      </c>
      <c r="S1801" t="s">
        <v>38</v>
      </c>
      <c r="T1801">
        <v>6</v>
      </c>
      <c r="U1801">
        <v>0.1</v>
      </c>
      <c r="V1801">
        <v>14.7</v>
      </c>
      <c r="W1801" t="s">
        <v>39</v>
      </c>
      <c r="X1801" t="s">
        <v>52</v>
      </c>
      <c r="Y1801" t="s">
        <v>39</v>
      </c>
      <c r="Z1801" t="s">
        <v>53</v>
      </c>
      <c r="AA1801" t="s">
        <v>103</v>
      </c>
      <c r="AB1801" t="s">
        <v>83</v>
      </c>
      <c r="AC1801">
        <f t="shared" si="308"/>
        <v>1</v>
      </c>
      <c r="AD1801" s="12">
        <f t="shared" si="312"/>
        <v>0</v>
      </c>
      <c r="AE1801" s="12">
        <f t="shared" si="313"/>
        <v>0</v>
      </c>
      <c r="AF1801">
        <f t="shared" si="309"/>
        <v>1</v>
      </c>
      <c r="AG1801">
        <f t="shared" si="314"/>
        <v>0</v>
      </c>
      <c r="AH1801">
        <f t="shared" si="315"/>
        <v>0</v>
      </c>
      <c r="AI1801">
        <f t="shared" si="316"/>
        <v>0</v>
      </c>
      <c r="AJ1801">
        <f t="shared" si="317"/>
        <v>1</v>
      </c>
      <c r="AK1801">
        <f t="shared" si="310"/>
        <v>0</v>
      </c>
      <c r="AL1801">
        <f t="shared" si="318"/>
        <v>0</v>
      </c>
    </row>
    <row r="1802" spans="1:38">
      <c r="A1802" t="s">
        <v>5533</v>
      </c>
      <c r="B1802" t="s">
        <v>5534</v>
      </c>
      <c r="C1802" s="1">
        <f t="shared" si="311"/>
        <v>45383</v>
      </c>
      <c r="D1802" t="s">
        <v>5535</v>
      </c>
      <c r="E1802">
        <v>268.2</v>
      </c>
      <c r="F1802">
        <v>11.2</v>
      </c>
      <c r="G1802" t="s">
        <v>77</v>
      </c>
      <c r="H1802" t="s">
        <v>244</v>
      </c>
      <c r="I1802" t="s">
        <v>79</v>
      </c>
      <c r="J1802">
        <v>360</v>
      </c>
      <c r="K1802" t="s">
        <v>49</v>
      </c>
      <c r="L1802" t="s">
        <v>113</v>
      </c>
      <c r="M1802" t="s">
        <v>35</v>
      </c>
      <c r="N1802" t="s">
        <v>164</v>
      </c>
      <c r="O1802" t="s">
        <v>7232</v>
      </c>
      <c r="P1802" t="s">
        <v>39</v>
      </c>
      <c r="Q1802" t="s">
        <v>38</v>
      </c>
      <c r="R1802">
        <v>0</v>
      </c>
      <c r="S1802" t="s">
        <v>38</v>
      </c>
      <c r="T1802">
        <v>7</v>
      </c>
      <c r="U1802">
        <v>4</v>
      </c>
      <c r="V1802">
        <v>11.1</v>
      </c>
      <c r="W1802" t="s">
        <v>39</v>
      </c>
      <c r="X1802" t="s">
        <v>40</v>
      </c>
      <c r="Y1802" t="s">
        <v>39</v>
      </c>
      <c r="Z1802" t="s">
        <v>108</v>
      </c>
      <c r="AA1802" t="s">
        <v>109</v>
      </c>
      <c r="AB1802" t="s">
        <v>83</v>
      </c>
      <c r="AC1802">
        <f t="shared" si="308"/>
        <v>0</v>
      </c>
      <c r="AD1802" s="12">
        <f t="shared" si="312"/>
        <v>0</v>
      </c>
      <c r="AE1802" s="12">
        <f t="shared" si="313"/>
        <v>0</v>
      </c>
      <c r="AF1802">
        <f t="shared" si="309"/>
        <v>0</v>
      </c>
      <c r="AG1802">
        <f t="shared" si="314"/>
        <v>1</v>
      </c>
      <c r="AH1802">
        <f t="shared" si="315"/>
        <v>0</v>
      </c>
      <c r="AI1802">
        <f t="shared" si="316"/>
        <v>0</v>
      </c>
      <c r="AJ1802">
        <f t="shared" si="317"/>
        <v>0</v>
      </c>
      <c r="AK1802">
        <f t="shared" si="310"/>
        <v>0</v>
      </c>
      <c r="AL1802">
        <f t="shared" si="318"/>
        <v>0</v>
      </c>
    </row>
    <row r="1803" spans="1:38">
      <c r="A1803" t="s">
        <v>5536</v>
      </c>
      <c r="B1803" t="s">
        <v>5537</v>
      </c>
      <c r="C1803" s="1">
        <f t="shared" si="311"/>
        <v>45597</v>
      </c>
      <c r="D1803" t="s">
        <v>5538</v>
      </c>
      <c r="E1803">
        <v>178.9</v>
      </c>
      <c r="F1803">
        <v>7.5</v>
      </c>
      <c r="G1803" t="s">
        <v>142</v>
      </c>
      <c r="H1803" t="s">
        <v>143</v>
      </c>
      <c r="I1803" t="s">
        <v>32</v>
      </c>
      <c r="J1803">
        <v>240</v>
      </c>
      <c r="K1803" t="s">
        <v>49</v>
      </c>
      <c r="L1803" t="s">
        <v>96</v>
      </c>
      <c r="M1803" t="s">
        <v>35</v>
      </c>
      <c r="N1803" t="s">
        <v>506</v>
      </c>
      <c r="O1803" t="s">
        <v>7232</v>
      </c>
      <c r="P1803" t="s">
        <v>38</v>
      </c>
      <c r="Q1803" t="s">
        <v>38</v>
      </c>
      <c r="R1803">
        <v>1</v>
      </c>
      <c r="S1803" t="s">
        <v>38</v>
      </c>
      <c r="T1803">
        <v>9</v>
      </c>
      <c r="U1803">
        <v>3.3</v>
      </c>
      <c r="V1803">
        <v>12.9</v>
      </c>
      <c r="W1803" t="s">
        <v>39</v>
      </c>
      <c r="X1803" t="s">
        <v>123</v>
      </c>
      <c r="Y1803" t="s">
        <v>38</v>
      </c>
      <c r="Z1803" t="s">
        <v>64</v>
      </c>
      <c r="AA1803" t="s">
        <v>103</v>
      </c>
      <c r="AB1803" t="s">
        <v>83</v>
      </c>
      <c r="AC1803">
        <f t="shared" si="308"/>
        <v>0</v>
      </c>
      <c r="AD1803" s="12">
        <f t="shared" si="312"/>
        <v>0</v>
      </c>
      <c r="AE1803" s="12">
        <f t="shared" si="313"/>
        <v>1</v>
      </c>
      <c r="AF1803">
        <f t="shared" si="309"/>
        <v>0</v>
      </c>
      <c r="AG1803">
        <f t="shared" si="314"/>
        <v>1</v>
      </c>
      <c r="AH1803">
        <f t="shared" si="315"/>
        <v>0</v>
      </c>
      <c r="AI1803">
        <f t="shared" si="316"/>
        <v>0</v>
      </c>
      <c r="AJ1803">
        <f t="shared" si="317"/>
        <v>1</v>
      </c>
      <c r="AK1803">
        <f t="shared" si="310"/>
        <v>0</v>
      </c>
      <c r="AL1803">
        <f t="shared" si="318"/>
        <v>1</v>
      </c>
    </row>
    <row r="1804" spans="1:38">
      <c r="A1804" t="s">
        <v>5539</v>
      </c>
      <c r="B1804" t="s">
        <v>5540</v>
      </c>
      <c r="C1804" s="1">
        <f t="shared" si="311"/>
        <v>45444</v>
      </c>
      <c r="D1804" t="s">
        <v>5541</v>
      </c>
      <c r="E1804">
        <v>288.8</v>
      </c>
      <c r="F1804">
        <v>12</v>
      </c>
      <c r="G1804" t="s">
        <v>30</v>
      </c>
      <c r="H1804" t="s">
        <v>159</v>
      </c>
      <c r="I1804" t="s">
        <v>32</v>
      </c>
      <c r="J1804">
        <v>240</v>
      </c>
      <c r="K1804" t="s">
        <v>33</v>
      </c>
      <c r="L1804" t="s">
        <v>34</v>
      </c>
      <c r="M1804" t="s">
        <v>35</v>
      </c>
      <c r="N1804" t="s">
        <v>134</v>
      </c>
      <c r="O1804" t="s">
        <v>7232</v>
      </c>
      <c r="P1804" t="s">
        <v>38</v>
      </c>
      <c r="Q1804" t="s">
        <v>38</v>
      </c>
      <c r="R1804">
        <v>1</v>
      </c>
      <c r="S1804" t="s">
        <v>39</v>
      </c>
      <c r="T1804">
        <v>5</v>
      </c>
      <c r="U1804">
        <v>0.1</v>
      </c>
      <c r="V1804">
        <v>32.200000000000003</v>
      </c>
      <c r="W1804" t="s">
        <v>38</v>
      </c>
      <c r="X1804" t="s">
        <v>123</v>
      </c>
      <c r="Y1804" t="s">
        <v>39</v>
      </c>
      <c r="Z1804" t="s">
        <v>64</v>
      </c>
      <c r="AA1804" t="s">
        <v>82</v>
      </c>
      <c r="AB1804" t="s">
        <v>83</v>
      </c>
      <c r="AC1804">
        <f t="shared" si="308"/>
        <v>0</v>
      </c>
      <c r="AD1804" s="12">
        <f t="shared" si="312"/>
        <v>0</v>
      </c>
      <c r="AE1804" s="12">
        <f t="shared" si="313"/>
        <v>1</v>
      </c>
      <c r="AF1804">
        <f t="shared" si="309"/>
        <v>0</v>
      </c>
      <c r="AG1804">
        <f t="shared" si="314"/>
        <v>1</v>
      </c>
      <c r="AH1804">
        <f t="shared" si="315"/>
        <v>0</v>
      </c>
      <c r="AI1804">
        <f t="shared" si="316"/>
        <v>0</v>
      </c>
      <c r="AJ1804">
        <f t="shared" si="317"/>
        <v>1</v>
      </c>
      <c r="AK1804">
        <f t="shared" si="310"/>
        <v>1</v>
      </c>
      <c r="AL1804">
        <f t="shared" si="318"/>
        <v>0</v>
      </c>
    </row>
    <row r="1805" spans="1:38">
      <c r="A1805" t="s">
        <v>5542</v>
      </c>
      <c r="B1805" t="s">
        <v>5543</v>
      </c>
      <c r="C1805" s="1">
        <f t="shared" si="311"/>
        <v>45566</v>
      </c>
      <c r="D1805" t="s">
        <v>5544</v>
      </c>
      <c r="E1805">
        <v>319.60000000000002</v>
      </c>
      <c r="F1805">
        <v>13.3</v>
      </c>
      <c r="G1805" t="s">
        <v>59</v>
      </c>
      <c r="H1805" t="s">
        <v>281</v>
      </c>
      <c r="I1805" t="s">
        <v>32</v>
      </c>
      <c r="J1805">
        <v>240</v>
      </c>
      <c r="K1805" t="s">
        <v>33</v>
      </c>
      <c r="L1805" t="s">
        <v>96</v>
      </c>
      <c r="M1805" t="s">
        <v>35</v>
      </c>
      <c r="N1805" t="s">
        <v>119</v>
      </c>
      <c r="O1805" t="s">
        <v>7232</v>
      </c>
      <c r="P1805" t="s">
        <v>38</v>
      </c>
      <c r="Q1805" t="s">
        <v>38</v>
      </c>
      <c r="R1805">
        <v>1</v>
      </c>
      <c r="S1805" t="s">
        <v>38</v>
      </c>
      <c r="T1805">
        <v>7</v>
      </c>
      <c r="U1805">
        <v>0.6</v>
      </c>
      <c r="V1805">
        <v>14</v>
      </c>
      <c r="W1805" t="s">
        <v>39</v>
      </c>
      <c r="X1805" t="s">
        <v>123</v>
      </c>
      <c r="Y1805" t="s">
        <v>39</v>
      </c>
      <c r="Z1805" t="s">
        <v>64</v>
      </c>
      <c r="AA1805" t="s">
        <v>42</v>
      </c>
      <c r="AB1805" t="s">
        <v>83</v>
      </c>
      <c r="AC1805">
        <f t="shared" si="308"/>
        <v>0</v>
      </c>
      <c r="AD1805" s="12">
        <f t="shared" si="312"/>
        <v>0</v>
      </c>
      <c r="AE1805" s="12">
        <f t="shared" si="313"/>
        <v>1</v>
      </c>
      <c r="AF1805">
        <f t="shared" si="309"/>
        <v>0</v>
      </c>
      <c r="AG1805">
        <f t="shared" si="314"/>
        <v>1</v>
      </c>
      <c r="AH1805">
        <f t="shared" si="315"/>
        <v>0</v>
      </c>
      <c r="AI1805">
        <f t="shared" si="316"/>
        <v>0</v>
      </c>
      <c r="AJ1805">
        <f t="shared" si="317"/>
        <v>1</v>
      </c>
      <c r="AK1805">
        <f t="shared" si="310"/>
        <v>0</v>
      </c>
      <c r="AL1805">
        <f t="shared" si="318"/>
        <v>0</v>
      </c>
    </row>
    <row r="1806" spans="1:38">
      <c r="A1806" t="s">
        <v>5545</v>
      </c>
      <c r="B1806" t="s">
        <v>5546</v>
      </c>
      <c r="C1806" s="1">
        <f t="shared" si="311"/>
        <v>45536</v>
      </c>
      <c r="D1806" t="s">
        <v>5547</v>
      </c>
      <c r="E1806">
        <v>329.9</v>
      </c>
      <c r="F1806">
        <v>13.7</v>
      </c>
      <c r="G1806" t="s">
        <v>93</v>
      </c>
      <c r="H1806" t="s">
        <v>449</v>
      </c>
      <c r="I1806" t="s">
        <v>79</v>
      </c>
      <c r="J1806">
        <v>360</v>
      </c>
      <c r="K1806" t="s">
        <v>49</v>
      </c>
      <c r="L1806" t="s">
        <v>96</v>
      </c>
      <c r="M1806" t="s">
        <v>71</v>
      </c>
      <c r="N1806" t="s">
        <v>50</v>
      </c>
      <c r="O1806" t="s">
        <v>7232</v>
      </c>
      <c r="P1806" t="s">
        <v>38</v>
      </c>
      <c r="Q1806" t="s">
        <v>39</v>
      </c>
      <c r="R1806">
        <v>4</v>
      </c>
      <c r="S1806" t="s">
        <v>39</v>
      </c>
      <c r="T1806">
        <v>7</v>
      </c>
      <c r="U1806">
        <v>5.5</v>
      </c>
      <c r="V1806">
        <v>8.8000000000000007</v>
      </c>
      <c r="W1806" t="s">
        <v>38</v>
      </c>
      <c r="X1806" t="s">
        <v>52</v>
      </c>
      <c r="Y1806" t="s">
        <v>38</v>
      </c>
      <c r="Z1806" t="s">
        <v>108</v>
      </c>
      <c r="AA1806" t="s">
        <v>103</v>
      </c>
      <c r="AB1806" t="s">
        <v>55</v>
      </c>
      <c r="AC1806">
        <f t="shared" si="308"/>
        <v>1</v>
      </c>
      <c r="AD1806" s="12">
        <f t="shared" si="312"/>
        <v>0</v>
      </c>
      <c r="AE1806" s="12">
        <f t="shared" si="313"/>
        <v>0</v>
      </c>
      <c r="AF1806">
        <f t="shared" si="309"/>
        <v>0</v>
      </c>
      <c r="AG1806">
        <f t="shared" si="314"/>
        <v>1</v>
      </c>
      <c r="AH1806">
        <f t="shared" si="315"/>
        <v>0</v>
      </c>
      <c r="AI1806">
        <f t="shared" si="316"/>
        <v>0</v>
      </c>
      <c r="AJ1806">
        <f t="shared" si="317"/>
        <v>0</v>
      </c>
      <c r="AK1806">
        <f t="shared" si="310"/>
        <v>0</v>
      </c>
      <c r="AL1806">
        <f t="shared" si="318"/>
        <v>1</v>
      </c>
    </row>
    <row r="1807" spans="1:38">
      <c r="A1807" t="s">
        <v>5548</v>
      </c>
      <c r="B1807" t="s">
        <v>5549</v>
      </c>
      <c r="C1807" s="1">
        <f t="shared" si="311"/>
        <v>45413</v>
      </c>
      <c r="D1807" t="s">
        <v>5550</v>
      </c>
      <c r="E1807">
        <v>224.1</v>
      </c>
      <c r="F1807">
        <v>9.3000000000000007</v>
      </c>
      <c r="G1807" t="s">
        <v>77</v>
      </c>
      <c r="H1807" t="s">
        <v>244</v>
      </c>
      <c r="I1807" t="s">
        <v>32</v>
      </c>
      <c r="J1807">
        <v>240</v>
      </c>
      <c r="K1807" t="s">
        <v>49</v>
      </c>
      <c r="L1807" t="s">
        <v>70</v>
      </c>
      <c r="M1807" t="s">
        <v>35</v>
      </c>
      <c r="N1807" t="s">
        <v>97</v>
      </c>
      <c r="O1807" t="s">
        <v>7232</v>
      </c>
      <c r="P1807" t="s">
        <v>38</v>
      </c>
      <c r="Q1807" t="s">
        <v>38</v>
      </c>
      <c r="R1807">
        <v>1</v>
      </c>
      <c r="S1807" t="s">
        <v>38</v>
      </c>
      <c r="T1807">
        <v>10</v>
      </c>
      <c r="U1807">
        <v>1.4</v>
      </c>
      <c r="V1807">
        <v>1.4</v>
      </c>
      <c r="W1807" t="s">
        <v>38</v>
      </c>
      <c r="X1807" t="s">
        <v>52</v>
      </c>
      <c r="Y1807" t="s">
        <v>39</v>
      </c>
      <c r="Z1807" t="s">
        <v>115</v>
      </c>
      <c r="AA1807" t="s">
        <v>54</v>
      </c>
      <c r="AB1807" t="s">
        <v>55</v>
      </c>
      <c r="AC1807">
        <f t="shared" si="308"/>
        <v>1</v>
      </c>
      <c r="AD1807" s="12">
        <f t="shared" si="312"/>
        <v>0</v>
      </c>
      <c r="AE1807" s="12">
        <f t="shared" si="313"/>
        <v>0</v>
      </c>
      <c r="AF1807">
        <f t="shared" si="309"/>
        <v>0</v>
      </c>
      <c r="AG1807">
        <f t="shared" si="314"/>
        <v>1</v>
      </c>
      <c r="AH1807">
        <f t="shared" si="315"/>
        <v>0</v>
      </c>
      <c r="AI1807">
        <f t="shared" si="316"/>
        <v>0</v>
      </c>
      <c r="AJ1807">
        <f t="shared" si="317"/>
        <v>1</v>
      </c>
      <c r="AK1807">
        <f t="shared" si="310"/>
        <v>0</v>
      </c>
      <c r="AL1807">
        <f t="shared" si="318"/>
        <v>0</v>
      </c>
    </row>
    <row r="1808" spans="1:38">
      <c r="A1808" t="s">
        <v>5551</v>
      </c>
      <c r="B1808" t="s">
        <v>5552</v>
      </c>
      <c r="C1808" s="1">
        <f t="shared" si="311"/>
        <v>45323</v>
      </c>
      <c r="D1808" t="s">
        <v>5553</v>
      </c>
      <c r="E1808">
        <v>83.1</v>
      </c>
      <c r="F1808">
        <v>3.5</v>
      </c>
      <c r="G1808" t="s">
        <v>59</v>
      </c>
      <c r="H1808" t="s">
        <v>281</v>
      </c>
      <c r="I1808" t="s">
        <v>48</v>
      </c>
      <c r="J1808">
        <v>120</v>
      </c>
      <c r="K1808" t="s">
        <v>49</v>
      </c>
      <c r="L1808" t="s">
        <v>96</v>
      </c>
      <c r="M1808" t="s">
        <v>71</v>
      </c>
      <c r="N1808" t="s">
        <v>155</v>
      </c>
      <c r="O1808" t="s">
        <v>7232</v>
      </c>
      <c r="P1808" t="s">
        <v>38</v>
      </c>
      <c r="Q1808" t="s">
        <v>39</v>
      </c>
      <c r="R1808">
        <v>1</v>
      </c>
      <c r="S1808" t="s">
        <v>38</v>
      </c>
      <c r="T1808">
        <v>8</v>
      </c>
      <c r="U1808">
        <v>0.3</v>
      </c>
      <c r="V1808">
        <v>20.7</v>
      </c>
      <c r="W1808" t="s">
        <v>39</v>
      </c>
      <c r="X1808" t="s">
        <v>63</v>
      </c>
      <c r="Y1808" t="s">
        <v>38</v>
      </c>
      <c r="Z1808" t="s">
        <v>41</v>
      </c>
      <c r="AA1808" t="s">
        <v>42</v>
      </c>
      <c r="AB1808" t="s">
        <v>83</v>
      </c>
      <c r="AC1808">
        <f t="shared" si="308"/>
        <v>0</v>
      </c>
      <c r="AD1808" s="12">
        <f t="shared" si="312"/>
        <v>1</v>
      </c>
      <c r="AE1808" s="12">
        <f t="shared" si="313"/>
        <v>0</v>
      </c>
      <c r="AF1808">
        <f t="shared" si="309"/>
        <v>0</v>
      </c>
      <c r="AG1808">
        <f t="shared" si="314"/>
        <v>1</v>
      </c>
      <c r="AH1808">
        <f t="shared" si="315"/>
        <v>1</v>
      </c>
      <c r="AI1808">
        <f t="shared" si="316"/>
        <v>0</v>
      </c>
      <c r="AJ1808">
        <f t="shared" si="317"/>
        <v>0</v>
      </c>
      <c r="AK1808">
        <f t="shared" si="310"/>
        <v>0</v>
      </c>
      <c r="AL1808">
        <f t="shared" si="318"/>
        <v>1</v>
      </c>
    </row>
    <row r="1809" spans="1:38">
      <c r="A1809" t="s">
        <v>5554</v>
      </c>
      <c r="B1809" t="s">
        <v>5555</v>
      </c>
      <c r="C1809" s="1">
        <f t="shared" si="311"/>
        <v>45383</v>
      </c>
      <c r="D1809" t="s">
        <v>5556</v>
      </c>
      <c r="E1809">
        <v>285.7</v>
      </c>
      <c r="F1809">
        <v>11.9</v>
      </c>
      <c r="G1809" t="s">
        <v>87</v>
      </c>
      <c r="H1809" t="s">
        <v>183</v>
      </c>
      <c r="I1809" t="s">
        <v>32</v>
      </c>
      <c r="J1809">
        <v>240</v>
      </c>
      <c r="K1809" t="s">
        <v>33</v>
      </c>
      <c r="L1809" t="s">
        <v>70</v>
      </c>
      <c r="M1809" t="s">
        <v>35</v>
      </c>
      <c r="N1809" t="s">
        <v>134</v>
      </c>
      <c r="O1809" t="s">
        <v>7232</v>
      </c>
      <c r="P1809" t="s">
        <v>38</v>
      </c>
      <c r="Q1809" t="s">
        <v>38</v>
      </c>
      <c r="R1809">
        <v>1</v>
      </c>
      <c r="S1809" t="s">
        <v>38</v>
      </c>
      <c r="T1809">
        <v>8</v>
      </c>
      <c r="U1809">
        <v>3.1</v>
      </c>
      <c r="V1809">
        <v>9.4</v>
      </c>
      <c r="W1809" t="s">
        <v>39</v>
      </c>
      <c r="X1809" t="s">
        <v>123</v>
      </c>
      <c r="Y1809" t="s">
        <v>39</v>
      </c>
      <c r="Z1809" t="s">
        <v>73</v>
      </c>
      <c r="AA1809" t="s">
        <v>82</v>
      </c>
      <c r="AB1809" t="s">
        <v>55</v>
      </c>
      <c r="AC1809">
        <f t="shared" si="308"/>
        <v>0</v>
      </c>
      <c r="AD1809" s="12">
        <f t="shared" si="312"/>
        <v>0</v>
      </c>
      <c r="AE1809" s="12">
        <f t="shared" si="313"/>
        <v>1</v>
      </c>
      <c r="AF1809">
        <f t="shared" si="309"/>
        <v>0</v>
      </c>
      <c r="AG1809">
        <f t="shared" si="314"/>
        <v>1</v>
      </c>
      <c r="AH1809">
        <f t="shared" si="315"/>
        <v>0</v>
      </c>
      <c r="AI1809">
        <f t="shared" si="316"/>
        <v>0</v>
      </c>
      <c r="AJ1809">
        <f t="shared" si="317"/>
        <v>1</v>
      </c>
      <c r="AK1809">
        <f t="shared" si="310"/>
        <v>0</v>
      </c>
      <c r="AL1809">
        <f t="shared" si="318"/>
        <v>0</v>
      </c>
    </row>
    <row r="1810" spans="1:38">
      <c r="A1810" t="s">
        <v>5557</v>
      </c>
      <c r="B1810" t="s">
        <v>5558</v>
      </c>
      <c r="C1810" s="1">
        <f t="shared" si="311"/>
        <v>45597</v>
      </c>
      <c r="D1810" t="s">
        <v>5559</v>
      </c>
      <c r="E1810">
        <v>218.7</v>
      </c>
      <c r="F1810">
        <v>9.1</v>
      </c>
      <c r="G1810" t="s">
        <v>142</v>
      </c>
      <c r="H1810" t="s">
        <v>240</v>
      </c>
      <c r="I1810" t="s">
        <v>32</v>
      </c>
      <c r="J1810">
        <v>240</v>
      </c>
      <c r="K1810" t="s">
        <v>49</v>
      </c>
      <c r="L1810" t="s">
        <v>113</v>
      </c>
      <c r="M1810" t="s">
        <v>35</v>
      </c>
      <c r="N1810" t="s">
        <v>155</v>
      </c>
      <c r="O1810" t="s">
        <v>7232</v>
      </c>
      <c r="P1810" t="s">
        <v>38</v>
      </c>
      <c r="Q1810" t="s">
        <v>38</v>
      </c>
      <c r="R1810">
        <v>1</v>
      </c>
      <c r="S1810" t="s">
        <v>39</v>
      </c>
      <c r="T1810">
        <v>10</v>
      </c>
      <c r="U1810">
        <v>2.2999999999999998</v>
      </c>
      <c r="V1810">
        <v>25.6</v>
      </c>
      <c r="W1810" t="s">
        <v>39</v>
      </c>
      <c r="X1810" t="s">
        <v>52</v>
      </c>
      <c r="Y1810" t="s">
        <v>38</v>
      </c>
      <c r="Z1810" t="s">
        <v>64</v>
      </c>
      <c r="AA1810" t="s">
        <v>109</v>
      </c>
      <c r="AB1810" t="s">
        <v>55</v>
      </c>
      <c r="AC1810">
        <f t="shared" si="308"/>
        <v>1</v>
      </c>
      <c r="AD1810" s="12">
        <f t="shared" si="312"/>
        <v>0</v>
      </c>
      <c r="AE1810" s="12">
        <f t="shared" si="313"/>
        <v>0</v>
      </c>
      <c r="AF1810">
        <f t="shared" si="309"/>
        <v>0</v>
      </c>
      <c r="AG1810">
        <f t="shared" si="314"/>
        <v>1</v>
      </c>
      <c r="AH1810">
        <f t="shared" si="315"/>
        <v>0</v>
      </c>
      <c r="AI1810">
        <f t="shared" si="316"/>
        <v>0</v>
      </c>
      <c r="AJ1810">
        <f t="shared" si="317"/>
        <v>1</v>
      </c>
      <c r="AK1810">
        <f t="shared" si="310"/>
        <v>0</v>
      </c>
      <c r="AL1810">
        <f t="shared" si="318"/>
        <v>1</v>
      </c>
    </row>
    <row r="1811" spans="1:38">
      <c r="A1811" t="s">
        <v>5560</v>
      </c>
      <c r="B1811" t="s">
        <v>5561</v>
      </c>
      <c r="C1811" s="1">
        <f t="shared" si="311"/>
        <v>45444</v>
      </c>
      <c r="D1811" t="s">
        <v>5562</v>
      </c>
      <c r="E1811">
        <v>100.6</v>
      </c>
      <c r="F1811">
        <v>4.2</v>
      </c>
      <c r="G1811" t="s">
        <v>87</v>
      </c>
      <c r="H1811" t="s">
        <v>183</v>
      </c>
      <c r="I1811" t="s">
        <v>48</v>
      </c>
      <c r="J1811">
        <v>120</v>
      </c>
      <c r="K1811" t="s">
        <v>49</v>
      </c>
      <c r="L1811" t="s">
        <v>96</v>
      </c>
      <c r="M1811" t="s">
        <v>35</v>
      </c>
      <c r="N1811" t="s">
        <v>138</v>
      </c>
      <c r="O1811" t="s">
        <v>51</v>
      </c>
      <c r="P1811" t="s">
        <v>39</v>
      </c>
      <c r="Q1811" t="s">
        <v>38</v>
      </c>
      <c r="R1811">
        <v>0</v>
      </c>
      <c r="S1811" t="s">
        <v>38</v>
      </c>
      <c r="T1811">
        <v>10</v>
      </c>
      <c r="U1811">
        <v>1.5</v>
      </c>
      <c r="V1811">
        <v>14.3</v>
      </c>
      <c r="W1811" t="s">
        <v>38</v>
      </c>
      <c r="X1811" t="s">
        <v>123</v>
      </c>
      <c r="Y1811" t="s">
        <v>39</v>
      </c>
      <c r="Z1811" t="s">
        <v>64</v>
      </c>
      <c r="AA1811" t="s">
        <v>42</v>
      </c>
      <c r="AB1811" t="s">
        <v>55</v>
      </c>
      <c r="AC1811">
        <f t="shared" si="308"/>
        <v>0</v>
      </c>
      <c r="AD1811" s="12">
        <f t="shared" si="312"/>
        <v>0</v>
      </c>
      <c r="AE1811" s="12">
        <f t="shared" si="313"/>
        <v>1</v>
      </c>
      <c r="AF1811">
        <f t="shared" si="309"/>
        <v>1</v>
      </c>
      <c r="AG1811">
        <f t="shared" si="314"/>
        <v>0</v>
      </c>
      <c r="AH1811">
        <f t="shared" si="315"/>
        <v>1</v>
      </c>
      <c r="AI1811">
        <f t="shared" si="316"/>
        <v>0</v>
      </c>
      <c r="AJ1811">
        <f t="shared" si="317"/>
        <v>0</v>
      </c>
      <c r="AK1811">
        <f t="shared" si="310"/>
        <v>0</v>
      </c>
      <c r="AL1811">
        <f t="shared" si="318"/>
        <v>0</v>
      </c>
    </row>
    <row r="1812" spans="1:38">
      <c r="A1812" t="s">
        <v>5563</v>
      </c>
      <c r="B1812" t="s">
        <v>5564</v>
      </c>
      <c r="C1812" s="1">
        <f t="shared" si="311"/>
        <v>45383</v>
      </c>
      <c r="D1812" t="s">
        <v>5565</v>
      </c>
      <c r="E1812">
        <v>590.9</v>
      </c>
      <c r="F1812">
        <v>24.6</v>
      </c>
      <c r="G1812" t="s">
        <v>30</v>
      </c>
      <c r="H1812" t="s">
        <v>31</v>
      </c>
      <c r="I1812" t="s">
        <v>79</v>
      </c>
      <c r="J1812">
        <v>360</v>
      </c>
      <c r="K1812" t="s">
        <v>33</v>
      </c>
      <c r="L1812" t="s">
        <v>70</v>
      </c>
      <c r="M1812" t="s">
        <v>35</v>
      </c>
      <c r="N1812" t="s">
        <v>97</v>
      </c>
      <c r="O1812" t="s">
        <v>7232</v>
      </c>
      <c r="P1812" t="s">
        <v>38</v>
      </c>
      <c r="Q1812" t="s">
        <v>38</v>
      </c>
      <c r="R1812">
        <v>1</v>
      </c>
      <c r="S1812" t="s">
        <v>39</v>
      </c>
      <c r="T1812">
        <v>6</v>
      </c>
      <c r="U1812">
        <v>2.4</v>
      </c>
      <c r="V1812">
        <v>7.6</v>
      </c>
      <c r="W1812" t="s">
        <v>39</v>
      </c>
      <c r="X1812" t="s">
        <v>52</v>
      </c>
      <c r="Y1812" t="s">
        <v>39</v>
      </c>
      <c r="Z1812" t="s">
        <v>179</v>
      </c>
      <c r="AA1812" t="s">
        <v>109</v>
      </c>
      <c r="AB1812" t="s">
        <v>43</v>
      </c>
      <c r="AC1812">
        <f t="shared" si="308"/>
        <v>1</v>
      </c>
      <c r="AD1812" s="12">
        <f t="shared" si="312"/>
        <v>0</v>
      </c>
      <c r="AE1812" s="12">
        <f t="shared" si="313"/>
        <v>0</v>
      </c>
      <c r="AF1812">
        <f t="shared" si="309"/>
        <v>0</v>
      </c>
      <c r="AG1812">
        <f t="shared" si="314"/>
        <v>1</v>
      </c>
      <c r="AH1812">
        <f t="shared" si="315"/>
        <v>0</v>
      </c>
      <c r="AI1812">
        <f t="shared" si="316"/>
        <v>0</v>
      </c>
      <c r="AJ1812">
        <f t="shared" si="317"/>
        <v>0</v>
      </c>
      <c r="AK1812">
        <f t="shared" si="310"/>
        <v>1</v>
      </c>
      <c r="AL1812">
        <f t="shared" si="318"/>
        <v>0</v>
      </c>
    </row>
    <row r="1813" spans="1:38">
      <c r="A1813" t="s">
        <v>5566</v>
      </c>
      <c r="B1813" t="s">
        <v>5567</v>
      </c>
      <c r="C1813" s="1">
        <f t="shared" si="311"/>
        <v>45323</v>
      </c>
      <c r="D1813" t="s">
        <v>5568</v>
      </c>
      <c r="E1813">
        <v>120.4</v>
      </c>
      <c r="F1813">
        <v>5</v>
      </c>
      <c r="G1813" t="s">
        <v>87</v>
      </c>
      <c r="H1813" t="s">
        <v>183</v>
      </c>
      <c r="I1813" t="s">
        <v>48</v>
      </c>
      <c r="J1813">
        <v>120</v>
      </c>
      <c r="K1813" t="s">
        <v>33</v>
      </c>
      <c r="L1813" t="s">
        <v>34</v>
      </c>
      <c r="M1813" t="s">
        <v>35</v>
      </c>
      <c r="N1813" t="s">
        <v>107</v>
      </c>
      <c r="O1813" t="s">
        <v>37</v>
      </c>
      <c r="P1813" t="s">
        <v>38</v>
      </c>
      <c r="Q1813" t="s">
        <v>38</v>
      </c>
      <c r="R1813">
        <v>1</v>
      </c>
      <c r="S1813" t="s">
        <v>38</v>
      </c>
      <c r="T1813">
        <v>5</v>
      </c>
      <c r="U1813">
        <v>3.5</v>
      </c>
      <c r="V1813">
        <v>30.9</v>
      </c>
      <c r="W1813" t="s">
        <v>39</v>
      </c>
      <c r="X1813" t="s">
        <v>52</v>
      </c>
      <c r="Y1813" t="s">
        <v>39</v>
      </c>
      <c r="Z1813" t="s">
        <v>81</v>
      </c>
      <c r="AA1813" t="s">
        <v>109</v>
      </c>
      <c r="AB1813" t="s">
        <v>55</v>
      </c>
      <c r="AC1813">
        <f t="shared" si="308"/>
        <v>1</v>
      </c>
      <c r="AD1813" s="12">
        <f t="shared" si="312"/>
        <v>0</v>
      </c>
      <c r="AE1813" s="12">
        <f t="shared" si="313"/>
        <v>0</v>
      </c>
      <c r="AF1813">
        <f t="shared" si="309"/>
        <v>0</v>
      </c>
      <c r="AG1813">
        <f t="shared" si="314"/>
        <v>0</v>
      </c>
      <c r="AH1813">
        <f t="shared" si="315"/>
        <v>1</v>
      </c>
      <c r="AI1813">
        <f t="shared" si="316"/>
        <v>0</v>
      </c>
      <c r="AJ1813">
        <f t="shared" si="317"/>
        <v>0</v>
      </c>
      <c r="AK1813">
        <f t="shared" si="310"/>
        <v>0</v>
      </c>
      <c r="AL1813">
        <f t="shared" si="318"/>
        <v>0</v>
      </c>
    </row>
    <row r="1814" spans="1:38">
      <c r="A1814" t="s">
        <v>5569</v>
      </c>
      <c r="B1814" t="s">
        <v>5570</v>
      </c>
      <c r="C1814" s="1">
        <f t="shared" si="311"/>
        <v>45292</v>
      </c>
      <c r="D1814" t="s">
        <v>5571</v>
      </c>
      <c r="E1814">
        <v>374.8</v>
      </c>
      <c r="F1814">
        <v>15.6</v>
      </c>
      <c r="G1814" t="s">
        <v>101</v>
      </c>
      <c r="H1814" t="s">
        <v>368</v>
      </c>
      <c r="I1814" t="s">
        <v>79</v>
      </c>
      <c r="J1814">
        <v>360</v>
      </c>
      <c r="K1814" t="s">
        <v>33</v>
      </c>
      <c r="L1814" t="s">
        <v>34</v>
      </c>
      <c r="M1814" t="s">
        <v>35</v>
      </c>
      <c r="N1814" t="s">
        <v>119</v>
      </c>
      <c r="O1814" t="s">
        <v>7232</v>
      </c>
      <c r="P1814" t="s">
        <v>39</v>
      </c>
      <c r="Q1814" t="s">
        <v>38</v>
      </c>
      <c r="R1814">
        <v>0</v>
      </c>
      <c r="S1814" t="s">
        <v>38</v>
      </c>
      <c r="T1814">
        <v>6</v>
      </c>
      <c r="U1814">
        <v>2.7</v>
      </c>
      <c r="V1814">
        <v>27.6</v>
      </c>
      <c r="W1814" t="s">
        <v>39</v>
      </c>
      <c r="X1814" t="s">
        <v>63</v>
      </c>
      <c r="Y1814" t="s">
        <v>39</v>
      </c>
      <c r="Z1814" t="s">
        <v>64</v>
      </c>
      <c r="AA1814" t="s">
        <v>42</v>
      </c>
      <c r="AB1814" t="s">
        <v>83</v>
      </c>
      <c r="AC1814">
        <f t="shared" si="308"/>
        <v>0</v>
      </c>
      <c r="AD1814" s="12">
        <f t="shared" si="312"/>
        <v>1</v>
      </c>
      <c r="AE1814" s="12">
        <f t="shared" si="313"/>
        <v>0</v>
      </c>
      <c r="AF1814">
        <f t="shared" si="309"/>
        <v>0</v>
      </c>
      <c r="AG1814">
        <f t="shared" si="314"/>
        <v>1</v>
      </c>
      <c r="AH1814">
        <f t="shared" si="315"/>
        <v>0</v>
      </c>
      <c r="AI1814">
        <f t="shared" si="316"/>
        <v>0</v>
      </c>
      <c r="AJ1814">
        <f t="shared" si="317"/>
        <v>0</v>
      </c>
      <c r="AK1814">
        <f t="shared" si="310"/>
        <v>0</v>
      </c>
      <c r="AL1814">
        <f t="shared" si="318"/>
        <v>0</v>
      </c>
    </row>
    <row r="1815" spans="1:38">
      <c r="A1815" t="s">
        <v>5572</v>
      </c>
      <c r="B1815" t="s">
        <v>5573</v>
      </c>
      <c r="C1815" s="1">
        <f t="shared" si="311"/>
        <v>45352</v>
      </c>
      <c r="D1815" t="s">
        <v>5574</v>
      </c>
      <c r="E1815">
        <v>88</v>
      </c>
      <c r="F1815">
        <v>3.7</v>
      </c>
      <c r="G1815" t="s">
        <v>59</v>
      </c>
      <c r="H1815" t="s">
        <v>132</v>
      </c>
      <c r="I1815" t="s">
        <v>48</v>
      </c>
      <c r="J1815">
        <v>120</v>
      </c>
      <c r="K1815" t="s">
        <v>49</v>
      </c>
      <c r="L1815" t="s">
        <v>113</v>
      </c>
      <c r="M1815" t="s">
        <v>71</v>
      </c>
      <c r="N1815" t="s">
        <v>107</v>
      </c>
      <c r="O1815" t="s">
        <v>37</v>
      </c>
      <c r="P1815" t="s">
        <v>38</v>
      </c>
      <c r="Q1815" t="s">
        <v>39</v>
      </c>
      <c r="R1815">
        <v>1</v>
      </c>
      <c r="S1815" t="s">
        <v>39</v>
      </c>
      <c r="T1815">
        <v>9</v>
      </c>
      <c r="U1815">
        <v>0.6</v>
      </c>
      <c r="V1815">
        <v>24.2</v>
      </c>
      <c r="W1815" t="s">
        <v>38</v>
      </c>
      <c r="X1815" t="s">
        <v>40</v>
      </c>
      <c r="Y1815" t="s">
        <v>39</v>
      </c>
      <c r="Z1815" t="s">
        <v>64</v>
      </c>
      <c r="AA1815" t="s">
        <v>109</v>
      </c>
      <c r="AB1815" t="s">
        <v>55</v>
      </c>
      <c r="AC1815">
        <f t="shared" si="308"/>
        <v>0</v>
      </c>
      <c r="AD1815" s="12">
        <f t="shared" si="312"/>
        <v>0</v>
      </c>
      <c r="AE1815" s="12">
        <f t="shared" si="313"/>
        <v>0</v>
      </c>
      <c r="AF1815">
        <f t="shared" si="309"/>
        <v>0</v>
      </c>
      <c r="AG1815">
        <f t="shared" si="314"/>
        <v>0</v>
      </c>
      <c r="AH1815">
        <f t="shared" si="315"/>
        <v>1</v>
      </c>
      <c r="AI1815">
        <f t="shared" si="316"/>
        <v>0</v>
      </c>
      <c r="AJ1815">
        <f t="shared" si="317"/>
        <v>0</v>
      </c>
      <c r="AK1815">
        <f t="shared" si="310"/>
        <v>0</v>
      </c>
      <c r="AL1815">
        <f t="shared" si="318"/>
        <v>0</v>
      </c>
    </row>
    <row r="1816" spans="1:38">
      <c r="A1816" t="s">
        <v>5575</v>
      </c>
      <c r="B1816" t="s">
        <v>5576</v>
      </c>
      <c r="C1816" s="1">
        <f t="shared" si="311"/>
        <v>45292</v>
      </c>
      <c r="D1816" t="s">
        <v>5577</v>
      </c>
      <c r="E1816">
        <v>195.2</v>
      </c>
      <c r="F1816">
        <v>8.1</v>
      </c>
      <c r="G1816" t="s">
        <v>142</v>
      </c>
      <c r="H1816" t="s">
        <v>143</v>
      </c>
      <c r="I1816" t="s">
        <v>32</v>
      </c>
      <c r="J1816">
        <v>240</v>
      </c>
      <c r="K1816" t="s">
        <v>49</v>
      </c>
      <c r="L1816" t="s">
        <v>96</v>
      </c>
      <c r="M1816" t="s">
        <v>35</v>
      </c>
      <c r="N1816" t="s">
        <v>506</v>
      </c>
      <c r="O1816" t="s">
        <v>7232</v>
      </c>
      <c r="P1816" t="s">
        <v>39</v>
      </c>
      <c r="Q1816" t="s">
        <v>38</v>
      </c>
      <c r="R1816">
        <v>0</v>
      </c>
      <c r="S1816" t="s">
        <v>38</v>
      </c>
      <c r="T1816">
        <v>9</v>
      </c>
      <c r="U1816">
        <v>0.1</v>
      </c>
      <c r="V1816">
        <v>7</v>
      </c>
      <c r="W1816" t="s">
        <v>38</v>
      </c>
      <c r="X1816" t="s">
        <v>123</v>
      </c>
      <c r="Y1816" t="s">
        <v>38</v>
      </c>
      <c r="Z1816" t="s">
        <v>64</v>
      </c>
      <c r="AA1816" t="s">
        <v>82</v>
      </c>
      <c r="AB1816" t="s">
        <v>83</v>
      </c>
      <c r="AC1816">
        <f t="shared" si="308"/>
        <v>0</v>
      </c>
      <c r="AD1816" s="12">
        <f t="shared" si="312"/>
        <v>0</v>
      </c>
      <c r="AE1816" s="12">
        <f t="shared" si="313"/>
        <v>1</v>
      </c>
      <c r="AF1816">
        <f t="shared" si="309"/>
        <v>0</v>
      </c>
      <c r="AG1816">
        <f t="shared" si="314"/>
        <v>1</v>
      </c>
      <c r="AH1816">
        <f t="shared" si="315"/>
        <v>0</v>
      </c>
      <c r="AI1816">
        <f t="shared" si="316"/>
        <v>0</v>
      </c>
      <c r="AJ1816">
        <f t="shared" si="317"/>
        <v>1</v>
      </c>
      <c r="AK1816">
        <f t="shared" si="310"/>
        <v>0</v>
      </c>
      <c r="AL1816">
        <f t="shared" si="318"/>
        <v>1</v>
      </c>
    </row>
    <row r="1817" spans="1:38">
      <c r="A1817" t="s">
        <v>5578</v>
      </c>
      <c r="B1817" t="s">
        <v>5579</v>
      </c>
      <c r="C1817" s="1">
        <f t="shared" si="311"/>
        <v>45413</v>
      </c>
      <c r="D1817" t="s">
        <v>5580</v>
      </c>
      <c r="E1817">
        <v>218</v>
      </c>
      <c r="F1817">
        <v>9.1</v>
      </c>
      <c r="G1817" t="s">
        <v>30</v>
      </c>
      <c r="H1817" t="s">
        <v>159</v>
      </c>
      <c r="I1817" t="s">
        <v>32</v>
      </c>
      <c r="J1817">
        <v>240</v>
      </c>
      <c r="K1817" t="s">
        <v>49</v>
      </c>
      <c r="L1817" t="s">
        <v>70</v>
      </c>
      <c r="M1817" t="s">
        <v>35</v>
      </c>
      <c r="N1817" t="s">
        <v>80</v>
      </c>
      <c r="O1817" t="s">
        <v>51</v>
      </c>
      <c r="P1817" t="s">
        <v>39</v>
      </c>
      <c r="Q1817" t="s">
        <v>38</v>
      </c>
      <c r="R1817">
        <v>0</v>
      </c>
      <c r="S1817" t="s">
        <v>39</v>
      </c>
      <c r="T1817">
        <v>10</v>
      </c>
      <c r="U1817">
        <v>0.2</v>
      </c>
      <c r="V1817">
        <v>4.5</v>
      </c>
      <c r="W1817" t="s">
        <v>39</v>
      </c>
      <c r="X1817" t="s">
        <v>52</v>
      </c>
      <c r="Y1817" t="s">
        <v>38</v>
      </c>
      <c r="Z1817" t="s">
        <v>64</v>
      </c>
      <c r="AA1817" t="s">
        <v>82</v>
      </c>
      <c r="AB1817" t="s">
        <v>55</v>
      </c>
      <c r="AC1817">
        <f t="shared" si="308"/>
        <v>1</v>
      </c>
      <c r="AD1817" s="12">
        <f t="shared" si="312"/>
        <v>0</v>
      </c>
      <c r="AE1817" s="12">
        <f t="shared" si="313"/>
        <v>0</v>
      </c>
      <c r="AF1817">
        <f t="shared" si="309"/>
        <v>1</v>
      </c>
      <c r="AG1817">
        <f t="shared" si="314"/>
        <v>0</v>
      </c>
      <c r="AH1817">
        <f t="shared" si="315"/>
        <v>0</v>
      </c>
      <c r="AI1817">
        <f t="shared" si="316"/>
        <v>0</v>
      </c>
      <c r="AJ1817">
        <f t="shared" si="317"/>
        <v>1</v>
      </c>
      <c r="AK1817">
        <f t="shared" si="310"/>
        <v>1</v>
      </c>
      <c r="AL1817">
        <f t="shared" si="318"/>
        <v>1</v>
      </c>
    </row>
    <row r="1818" spans="1:38">
      <c r="A1818" t="s">
        <v>5581</v>
      </c>
      <c r="B1818" t="s">
        <v>5582</v>
      </c>
      <c r="C1818" s="1">
        <f t="shared" si="311"/>
        <v>45292</v>
      </c>
      <c r="D1818" t="s">
        <v>5583</v>
      </c>
      <c r="E1818">
        <v>209.3</v>
      </c>
      <c r="F1818">
        <v>8.6999999999999993</v>
      </c>
      <c r="G1818" t="s">
        <v>101</v>
      </c>
      <c r="H1818" t="s">
        <v>442</v>
      </c>
      <c r="I1818" t="s">
        <v>32</v>
      </c>
      <c r="J1818">
        <v>240</v>
      </c>
      <c r="K1818" t="s">
        <v>49</v>
      </c>
      <c r="L1818" t="s">
        <v>34</v>
      </c>
      <c r="M1818" t="s">
        <v>35</v>
      </c>
      <c r="N1818" t="s">
        <v>97</v>
      </c>
      <c r="O1818" t="s">
        <v>7232</v>
      </c>
      <c r="P1818" t="s">
        <v>38</v>
      </c>
      <c r="Q1818" t="s">
        <v>38</v>
      </c>
      <c r="R1818">
        <v>1</v>
      </c>
      <c r="S1818" t="s">
        <v>38</v>
      </c>
      <c r="T1818">
        <v>7</v>
      </c>
      <c r="U1818">
        <v>3</v>
      </c>
      <c r="V1818">
        <v>12.4</v>
      </c>
      <c r="W1818" t="s">
        <v>39</v>
      </c>
      <c r="X1818" t="s">
        <v>52</v>
      </c>
      <c r="Y1818" t="s">
        <v>39</v>
      </c>
      <c r="Z1818" t="s">
        <v>81</v>
      </c>
      <c r="AA1818" t="s">
        <v>103</v>
      </c>
      <c r="AB1818" t="s">
        <v>55</v>
      </c>
      <c r="AC1818">
        <f t="shared" si="308"/>
        <v>1</v>
      </c>
      <c r="AD1818" s="12">
        <f t="shared" si="312"/>
        <v>0</v>
      </c>
      <c r="AE1818" s="12">
        <f t="shared" si="313"/>
        <v>0</v>
      </c>
      <c r="AF1818">
        <f t="shared" si="309"/>
        <v>0</v>
      </c>
      <c r="AG1818">
        <f t="shared" si="314"/>
        <v>1</v>
      </c>
      <c r="AH1818">
        <f t="shared" si="315"/>
        <v>0</v>
      </c>
      <c r="AI1818">
        <f t="shared" si="316"/>
        <v>0</v>
      </c>
      <c r="AJ1818">
        <f t="shared" si="317"/>
        <v>1</v>
      </c>
      <c r="AK1818">
        <f t="shared" si="310"/>
        <v>0</v>
      </c>
      <c r="AL1818">
        <f t="shared" si="318"/>
        <v>0</v>
      </c>
    </row>
    <row r="1819" spans="1:38">
      <c r="A1819" t="s">
        <v>5584</v>
      </c>
      <c r="B1819" t="s">
        <v>5585</v>
      </c>
      <c r="C1819" s="1">
        <f t="shared" si="311"/>
        <v>45323</v>
      </c>
      <c r="D1819" t="s">
        <v>5586</v>
      </c>
      <c r="E1819">
        <v>227.5</v>
      </c>
      <c r="F1819">
        <v>9.5</v>
      </c>
      <c r="G1819" t="s">
        <v>30</v>
      </c>
      <c r="H1819" t="s">
        <v>31</v>
      </c>
      <c r="I1819" t="s">
        <v>32</v>
      </c>
      <c r="J1819">
        <v>240</v>
      </c>
      <c r="K1819" t="s">
        <v>49</v>
      </c>
      <c r="L1819" t="s">
        <v>96</v>
      </c>
      <c r="M1819" t="s">
        <v>35</v>
      </c>
      <c r="N1819" t="s">
        <v>277</v>
      </c>
      <c r="O1819" t="s">
        <v>37</v>
      </c>
      <c r="P1819" t="s">
        <v>39</v>
      </c>
      <c r="Q1819" t="s">
        <v>38</v>
      </c>
      <c r="R1819">
        <v>0</v>
      </c>
      <c r="S1819" t="s">
        <v>38</v>
      </c>
      <c r="T1819">
        <v>10</v>
      </c>
      <c r="U1819">
        <v>3.4</v>
      </c>
      <c r="V1819">
        <v>18.3</v>
      </c>
      <c r="W1819" t="s">
        <v>38</v>
      </c>
      <c r="X1819" t="s">
        <v>123</v>
      </c>
      <c r="Y1819" t="s">
        <v>38</v>
      </c>
      <c r="Z1819" t="s">
        <v>108</v>
      </c>
      <c r="AA1819" t="s">
        <v>109</v>
      </c>
      <c r="AB1819" t="s">
        <v>43</v>
      </c>
      <c r="AC1819">
        <f t="shared" si="308"/>
        <v>0</v>
      </c>
      <c r="AD1819" s="12">
        <f t="shared" si="312"/>
        <v>0</v>
      </c>
      <c r="AE1819" s="12">
        <f t="shared" si="313"/>
        <v>1</v>
      </c>
      <c r="AF1819">
        <f t="shared" si="309"/>
        <v>0</v>
      </c>
      <c r="AG1819">
        <f t="shared" si="314"/>
        <v>0</v>
      </c>
      <c r="AH1819">
        <f t="shared" si="315"/>
        <v>0</v>
      </c>
      <c r="AI1819">
        <f t="shared" si="316"/>
        <v>0</v>
      </c>
      <c r="AJ1819">
        <f t="shared" si="317"/>
        <v>1</v>
      </c>
      <c r="AK1819">
        <f t="shared" si="310"/>
        <v>1</v>
      </c>
      <c r="AL1819">
        <f t="shared" si="318"/>
        <v>1</v>
      </c>
    </row>
    <row r="1820" spans="1:38">
      <c r="A1820" t="s">
        <v>5587</v>
      </c>
      <c r="B1820" t="s">
        <v>5588</v>
      </c>
      <c r="C1820" s="1">
        <f t="shared" si="311"/>
        <v>45536</v>
      </c>
      <c r="D1820" t="s">
        <v>5589</v>
      </c>
      <c r="E1820">
        <v>86.1</v>
      </c>
      <c r="F1820">
        <v>3.6</v>
      </c>
      <c r="G1820" t="s">
        <v>142</v>
      </c>
      <c r="H1820" t="s">
        <v>143</v>
      </c>
      <c r="I1820" t="s">
        <v>48</v>
      </c>
      <c r="J1820">
        <v>120</v>
      </c>
      <c r="K1820" t="s">
        <v>49</v>
      </c>
      <c r="L1820" t="s">
        <v>34</v>
      </c>
      <c r="M1820" t="s">
        <v>71</v>
      </c>
      <c r="N1820" t="s">
        <v>114</v>
      </c>
      <c r="O1820" t="s">
        <v>37</v>
      </c>
      <c r="P1820" t="s">
        <v>38</v>
      </c>
      <c r="Q1820" t="s">
        <v>39</v>
      </c>
      <c r="R1820">
        <v>4</v>
      </c>
      <c r="S1820" t="s">
        <v>38</v>
      </c>
      <c r="T1820">
        <v>5</v>
      </c>
      <c r="U1820">
        <v>0.1</v>
      </c>
      <c r="V1820">
        <v>16.3</v>
      </c>
      <c r="W1820" t="s">
        <v>39</v>
      </c>
      <c r="X1820" t="s">
        <v>63</v>
      </c>
      <c r="Y1820" t="s">
        <v>38</v>
      </c>
      <c r="Z1820" t="s">
        <v>41</v>
      </c>
      <c r="AA1820" t="s">
        <v>82</v>
      </c>
      <c r="AB1820" t="s">
        <v>43</v>
      </c>
      <c r="AC1820">
        <f t="shared" si="308"/>
        <v>0</v>
      </c>
      <c r="AD1820" s="12">
        <f t="shared" si="312"/>
        <v>1</v>
      </c>
      <c r="AE1820" s="12">
        <f t="shared" si="313"/>
        <v>0</v>
      </c>
      <c r="AF1820">
        <f t="shared" si="309"/>
        <v>0</v>
      </c>
      <c r="AG1820">
        <f t="shared" si="314"/>
        <v>0</v>
      </c>
      <c r="AH1820">
        <f t="shared" si="315"/>
        <v>1</v>
      </c>
      <c r="AI1820">
        <f t="shared" si="316"/>
        <v>0</v>
      </c>
      <c r="AJ1820">
        <f t="shared" si="317"/>
        <v>0</v>
      </c>
      <c r="AK1820">
        <f t="shared" si="310"/>
        <v>0</v>
      </c>
      <c r="AL1820">
        <f t="shared" si="318"/>
        <v>1</v>
      </c>
    </row>
    <row r="1821" spans="1:38">
      <c r="A1821" t="s">
        <v>5590</v>
      </c>
      <c r="B1821" t="s">
        <v>5591</v>
      </c>
      <c r="C1821" s="1">
        <f t="shared" si="311"/>
        <v>45536</v>
      </c>
      <c r="D1821" t="s">
        <v>5592</v>
      </c>
      <c r="E1821">
        <v>334.9</v>
      </c>
      <c r="F1821">
        <v>14</v>
      </c>
      <c r="G1821" t="s">
        <v>87</v>
      </c>
      <c r="H1821" t="s">
        <v>151</v>
      </c>
      <c r="I1821" t="s">
        <v>32</v>
      </c>
      <c r="J1821">
        <v>240</v>
      </c>
      <c r="K1821" t="s">
        <v>33</v>
      </c>
      <c r="L1821" t="s">
        <v>34</v>
      </c>
      <c r="M1821" t="s">
        <v>71</v>
      </c>
      <c r="N1821" t="s">
        <v>80</v>
      </c>
      <c r="O1821" t="s">
        <v>51</v>
      </c>
      <c r="P1821" t="s">
        <v>38</v>
      </c>
      <c r="Q1821" t="s">
        <v>39</v>
      </c>
      <c r="R1821">
        <v>2</v>
      </c>
      <c r="S1821" t="s">
        <v>39</v>
      </c>
      <c r="T1821">
        <v>4</v>
      </c>
      <c r="U1821">
        <v>4</v>
      </c>
      <c r="V1821">
        <v>29.6</v>
      </c>
      <c r="W1821" t="s">
        <v>39</v>
      </c>
      <c r="X1821" t="s">
        <v>52</v>
      </c>
      <c r="Y1821" t="s">
        <v>38</v>
      </c>
      <c r="Z1821" t="s">
        <v>115</v>
      </c>
      <c r="AA1821" t="s">
        <v>42</v>
      </c>
      <c r="AB1821" t="s">
        <v>83</v>
      </c>
      <c r="AC1821">
        <f t="shared" si="308"/>
        <v>1</v>
      </c>
      <c r="AD1821" s="12">
        <f t="shared" si="312"/>
        <v>0</v>
      </c>
      <c r="AE1821" s="12">
        <f t="shared" si="313"/>
        <v>0</v>
      </c>
      <c r="AF1821">
        <f t="shared" si="309"/>
        <v>1</v>
      </c>
      <c r="AG1821">
        <f t="shared" si="314"/>
        <v>0</v>
      </c>
      <c r="AH1821">
        <f t="shared" si="315"/>
        <v>0</v>
      </c>
      <c r="AI1821">
        <f t="shared" si="316"/>
        <v>0</v>
      </c>
      <c r="AJ1821">
        <f t="shared" si="317"/>
        <v>1</v>
      </c>
      <c r="AK1821">
        <f t="shared" si="310"/>
        <v>0</v>
      </c>
      <c r="AL1821">
        <f t="shared" si="318"/>
        <v>1</v>
      </c>
    </row>
    <row r="1822" spans="1:38">
      <c r="A1822" t="s">
        <v>5593</v>
      </c>
      <c r="B1822" t="s">
        <v>5594</v>
      </c>
      <c r="C1822" s="1">
        <f t="shared" si="311"/>
        <v>45536</v>
      </c>
      <c r="D1822" t="s">
        <v>5595</v>
      </c>
      <c r="E1822">
        <v>109</v>
      </c>
      <c r="F1822">
        <v>4.5</v>
      </c>
      <c r="G1822" t="s">
        <v>59</v>
      </c>
      <c r="H1822" t="s">
        <v>132</v>
      </c>
      <c r="I1822" t="s">
        <v>48</v>
      </c>
      <c r="J1822">
        <v>120</v>
      </c>
      <c r="K1822" t="s">
        <v>49</v>
      </c>
      <c r="L1822" t="s">
        <v>133</v>
      </c>
      <c r="M1822" t="s">
        <v>35</v>
      </c>
      <c r="N1822" t="s">
        <v>61</v>
      </c>
      <c r="O1822" t="s">
        <v>37</v>
      </c>
      <c r="P1822" t="s">
        <v>38</v>
      </c>
      <c r="Q1822" t="s">
        <v>38</v>
      </c>
      <c r="R1822">
        <v>1</v>
      </c>
      <c r="S1822" t="s">
        <v>38</v>
      </c>
      <c r="T1822">
        <v>7</v>
      </c>
      <c r="U1822">
        <v>0.1</v>
      </c>
      <c r="V1822">
        <v>11</v>
      </c>
      <c r="W1822" t="s">
        <v>38</v>
      </c>
      <c r="X1822" t="s">
        <v>52</v>
      </c>
      <c r="Y1822" t="s">
        <v>38</v>
      </c>
      <c r="Z1822" t="s">
        <v>115</v>
      </c>
      <c r="AA1822" t="s">
        <v>103</v>
      </c>
      <c r="AB1822" t="s">
        <v>55</v>
      </c>
      <c r="AC1822">
        <f t="shared" si="308"/>
        <v>1</v>
      </c>
      <c r="AD1822" s="12">
        <f t="shared" si="312"/>
        <v>0</v>
      </c>
      <c r="AE1822" s="12">
        <f t="shared" si="313"/>
        <v>0</v>
      </c>
      <c r="AF1822">
        <f t="shared" si="309"/>
        <v>0</v>
      </c>
      <c r="AG1822">
        <f t="shared" si="314"/>
        <v>0</v>
      </c>
      <c r="AH1822">
        <f t="shared" si="315"/>
        <v>1</v>
      </c>
      <c r="AI1822">
        <f t="shared" si="316"/>
        <v>0</v>
      </c>
      <c r="AJ1822">
        <f t="shared" si="317"/>
        <v>0</v>
      </c>
      <c r="AK1822">
        <f t="shared" si="310"/>
        <v>0</v>
      </c>
      <c r="AL1822">
        <f t="shared" si="318"/>
        <v>1</v>
      </c>
    </row>
    <row r="1823" spans="1:38">
      <c r="A1823" t="s">
        <v>5596</v>
      </c>
      <c r="B1823" t="s">
        <v>5597</v>
      </c>
      <c r="C1823" s="1">
        <f t="shared" si="311"/>
        <v>45566</v>
      </c>
      <c r="D1823" t="s">
        <v>5598</v>
      </c>
      <c r="E1823">
        <v>110.6</v>
      </c>
      <c r="F1823">
        <v>4.5999999999999996</v>
      </c>
      <c r="G1823" t="s">
        <v>87</v>
      </c>
      <c r="H1823" t="s">
        <v>183</v>
      </c>
      <c r="I1823" t="s">
        <v>48</v>
      </c>
      <c r="J1823">
        <v>120</v>
      </c>
      <c r="K1823" t="s">
        <v>49</v>
      </c>
      <c r="L1823" t="s">
        <v>96</v>
      </c>
      <c r="M1823" t="s">
        <v>35</v>
      </c>
      <c r="N1823" t="s">
        <v>97</v>
      </c>
      <c r="O1823" t="s">
        <v>7232</v>
      </c>
      <c r="P1823" t="s">
        <v>39</v>
      </c>
      <c r="Q1823" t="s">
        <v>38</v>
      </c>
      <c r="R1823">
        <v>0</v>
      </c>
      <c r="S1823" t="s">
        <v>38</v>
      </c>
      <c r="T1823">
        <v>6</v>
      </c>
      <c r="U1823">
        <v>3.9</v>
      </c>
      <c r="V1823">
        <v>19.399999999999999</v>
      </c>
      <c r="W1823" t="s">
        <v>39</v>
      </c>
      <c r="X1823" t="s">
        <v>63</v>
      </c>
      <c r="Y1823" t="s">
        <v>38</v>
      </c>
      <c r="Z1823" t="s">
        <v>81</v>
      </c>
      <c r="AA1823" t="s">
        <v>54</v>
      </c>
      <c r="AB1823" t="s">
        <v>55</v>
      </c>
      <c r="AC1823">
        <f t="shared" si="308"/>
        <v>0</v>
      </c>
      <c r="AD1823" s="12">
        <f t="shared" si="312"/>
        <v>1</v>
      </c>
      <c r="AE1823" s="12">
        <f t="shared" si="313"/>
        <v>0</v>
      </c>
      <c r="AF1823">
        <f t="shared" si="309"/>
        <v>0</v>
      </c>
      <c r="AG1823">
        <f t="shared" si="314"/>
        <v>1</v>
      </c>
      <c r="AH1823">
        <f t="shared" si="315"/>
        <v>1</v>
      </c>
      <c r="AI1823">
        <f t="shared" si="316"/>
        <v>0</v>
      </c>
      <c r="AJ1823">
        <f t="shared" si="317"/>
        <v>0</v>
      </c>
      <c r="AK1823">
        <f t="shared" si="310"/>
        <v>0</v>
      </c>
      <c r="AL1823">
        <f t="shared" si="318"/>
        <v>1</v>
      </c>
    </row>
    <row r="1824" spans="1:38">
      <c r="A1824" t="s">
        <v>5599</v>
      </c>
      <c r="B1824" t="s">
        <v>5600</v>
      </c>
      <c r="C1824" s="1">
        <f t="shared" si="311"/>
        <v>45566</v>
      </c>
      <c r="D1824" t="s">
        <v>5601</v>
      </c>
      <c r="E1824">
        <v>188.8</v>
      </c>
      <c r="F1824">
        <v>7.9</v>
      </c>
      <c r="G1824" t="s">
        <v>68</v>
      </c>
      <c r="H1824" t="s">
        <v>219</v>
      </c>
      <c r="I1824" t="s">
        <v>48</v>
      </c>
      <c r="J1824">
        <v>120</v>
      </c>
      <c r="K1824" t="s">
        <v>33</v>
      </c>
      <c r="L1824" t="s">
        <v>70</v>
      </c>
      <c r="M1824" t="s">
        <v>35</v>
      </c>
      <c r="N1824" t="s">
        <v>202</v>
      </c>
      <c r="O1824" t="s">
        <v>7232</v>
      </c>
      <c r="P1824" t="s">
        <v>38</v>
      </c>
      <c r="Q1824" t="s">
        <v>38</v>
      </c>
      <c r="R1824">
        <v>1</v>
      </c>
      <c r="S1824" t="s">
        <v>38</v>
      </c>
      <c r="T1824">
        <v>5</v>
      </c>
      <c r="U1824">
        <v>2</v>
      </c>
      <c r="V1824">
        <v>17.100000000000001</v>
      </c>
      <c r="W1824" t="s">
        <v>38</v>
      </c>
      <c r="X1824" t="s">
        <v>123</v>
      </c>
      <c r="Y1824" t="s">
        <v>39</v>
      </c>
      <c r="Z1824" t="s">
        <v>115</v>
      </c>
      <c r="AA1824" t="s">
        <v>82</v>
      </c>
      <c r="AB1824" t="s">
        <v>83</v>
      </c>
      <c r="AC1824">
        <f t="shared" si="308"/>
        <v>0</v>
      </c>
      <c r="AD1824" s="12">
        <f t="shared" si="312"/>
        <v>0</v>
      </c>
      <c r="AE1824" s="12">
        <f t="shared" si="313"/>
        <v>1</v>
      </c>
      <c r="AF1824">
        <f t="shared" si="309"/>
        <v>0</v>
      </c>
      <c r="AG1824">
        <f t="shared" si="314"/>
        <v>1</v>
      </c>
      <c r="AH1824">
        <f t="shared" si="315"/>
        <v>1</v>
      </c>
      <c r="AI1824">
        <f t="shared" si="316"/>
        <v>0</v>
      </c>
      <c r="AJ1824">
        <f t="shared" si="317"/>
        <v>0</v>
      </c>
      <c r="AK1824">
        <f t="shared" si="310"/>
        <v>0</v>
      </c>
      <c r="AL1824">
        <f t="shared" si="318"/>
        <v>0</v>
      </c>
    </row>
    <row r="1825" spans="1:38">
      <c r="A1825" t="s">
        <v>5602</v>
      </c>
      <c r="B1825" t="s">
        <v>5603</v>
      </c>
      <c r="C1825" s="1">
        <f t="shared" si="311"/>
        <v>45536</v>
      </c>
      <c r="D1825" t="s">
        <v>5604</v>
      </c>
      <c r="E1825">
        <v>163.4</v>
      </c>
      <c r="F1825">
        <v>6.8</v>
      </c>
      <c r="G1825" t="s">
        <v>59</v>
      </c>
      <c r="H1825" t="s">
        <v>132</v>
      </c>
      <c r="I1825" t="s">
        <v>32</v>
      </c>
      <c r="J1825">
        <v>240</v>
      </c>
      <c r="K1825" t="s">
        <v>49</v>
      </c>
      <c r="L1825" t="s">
        <v>96</v>
      </c>
      <c r="M1825" t="s">
        <v>71</v>
      </c>
      <c r="N1825" t="s">
        <v>138</v>
      </c>
      <c r="O1825" t="s">
        <v>37</v>
      </c>
      <c r="P1825" t="s">
        <v>38</v>
      </c>
      <c r="Q1825" t="s">
        <v>39</v>
      </c>
      <c r="R1825">
        <v>4</v>
      </c>
      <c r="S1825" t="s">
        <v>38</v>
      </c>
      <c r="T1825">
        <v>9</v>
      </c>
      <c r="U1825">
        <v>3</v>
      </c>
      <c r="V1825">
        <v>40.299999999999997</v>
      </c>
      <c r="W1825" t="s">
        <v>39</v>
      </c>
      <c r="X1825" t="s">
        <v>63</v>
      </c>
      <c r="Y1825" t="s">
        <v>38</v>
      </c>
      <c r="Z1825" t="s">
        <v>81</v>
      </c>
      <c r="AA1825" t="s">
        <v>103</v>
      </c>
      <c r="AB1825" t="s">
        <v>55</v>
      </c>
      <c r="AC1825">
        <f t="shared" si="308"/>
        <v>0</v>
      </c>
      <c r="AD1825" s="12">
        <f t="shared" si="312"/>
        <v>1</v>
      </c>
      <c r="AE1825" s="12">
        <f t="shared" si="313"/>
        <v>0</v>
      </c>
      <c r="AF1825">
        <f t="shared" si="309"/>
        <v>0</v>
      </c>
      <c r="AG1825">
        <f t="shared" si="314"/>
        <v>0</v>
      </c>
      <c r="AH1825">
        <f t="shared" si="315"/>
        <v>0</v>
      </c>
      <c r="AI1825">
        <f t="shared" si="316"/>
        <v>0</v>
      </c>
      <c r="AJ1825">
        <f t="shared" si="317"/>
        <v>1</v>
      </c>
      <c r="AK1825">
        <f t="shared" si="310"/>
        <v>0</v>
      </c>
      <c r="AL1825">
        <f t="shared" si="318"/>
        <v>1</v>
      </c>
    </row>
    <row r="1826" spans="1:38">
      <c r="A1826" t="s">
        <v>5605</v>
      </c>
      <c r="B1826" t="s">
        <v>5606</v>
      </c>
      <c r="C1826" s="1">
        <f t="shared" si="311"/>
        <v>45413</v>
      </c>
      <c r="D1826" t="s">
        <v>5607</v>
      </c>
      <c r="E1826">
        <v>265.3</v>
      </c>
      <c r="F1826">
        <v>11.1</v>
      </c>
      <c r="G1826" t="s">
        <v>142</v>
      </c>
      <c r="H1826" t="s">
        <v>260</v>
      </c>
      <c r="I1826" t="s">
        <v>32</v>
      </c>
      <c r="J1826">
        <v>240</v>
      </c>
      <c r="K1826" t="s">
        <v>33</v>
      </c>
      <c r="L1826" t="s">
        <v>70</v>
      </c>
      <c r="M1826" t="s">
        <v>35</v>
      </c>
      <c r="N1826" t="s">
        <v>134</v>
      </c>
      <c r="O1826" t="s">
        <v>51</v>
      </c>
      <c r="P1826" t="s">
        <v>38</v>
      </c>
      <c r="Q1826" t="s">
        <v>38</v>
      </c>
      <c r="R1826">
        <v>1</v>
      </c>
      <c r="S1826" t="s">
        <v>38</v>
      </c>
      <c r="T1826">
        <v>6</v>
      </c>
      <c r="U1826">
        <v>0.5</v>
      </c>
      <c r="V1826">
        <v>17.3</v>
      </c>
      <c r="W1826" t="s">
        <v>38</v>
      </c>
      <c r="X1826" t="s">
        <v>52</v>
      </c>
      <c r="Y1826" t="s">
        <v>39</v>
      </c>
      <c r="Z1826" t="s">
        <v>179</v>
      </c>
      <c r="AA1826" t="s">
        <v>42</v>
      </c>
      <c r="AB1826" t="s">
        <v>43</v>
      </c>
      <c r="AC1826">
        <f t="shared" si="308"/>
        <v>1</v>
      </c>
      <c r="AD1826" s="12">
        <f t="shared" si="312"/>
        <v>0</v>
      </c>
      <c r="AE1826" s="12">
        <f t="shared" si="313"/>
        <v>0</v>
      </c>
      <c r="AF1826">
        <f t="shared" si="309"/>
        <v>1</v>
      </c>
      <c r="AG1826">
        <f t="shared" si="314"/>
        <v>0</v>
      </c>
      <c r="AH1826">
        <f t="shared" si="315"/>
        <v>0</v>
      </c>
      <c r="AI1826">
        <f t="shared" si="316"/>
        <v>0</v>
      </c>
      <c r="AJ1826">
        <f t="shared" si="317"/>
        <v>1</v>
      </c>
      <c r="AK1826">
        <f t="shared" si="310"/>
        <v>0</v>
      </c>
      <c r="AL1826">
        <f t="shared" si="318"/>
        <v>0</v>
      </c>
    </row>
    <row r="1827" spans="1:38">
      <c r="A1827" t="s">
        <v>5608</v>
      </c>
      <c r="B1827" t="s">
        <v>5609</v>
      </c>
      <c r="C1827" s="1">
        <f t="shared" si="311"/>
        <v>45627</v>
      </c>
      <c r="D1827" t="s">
        <v>5610</v>
      </c>
      <c r="E1827">
        <v>342.8</v>
      </c>
      <c r="F1827">
        <v>14.3</v>
      </c>
      <c r="G1827" t="s">
        <v>142</v>
      </c>
      <c r="H1827" t="s">
        <v>240</v>
      </c>
      <c r="I1827" t="s">
        <v>32</v>
      </c>
      <c r="J1827">
        <v>240</v>
      </c>
      <c r="K1827" t="s">
        <v>33</v>
      </c>
      <c r="L1827" t="s">
        <v>96</v>
      </c>
      <c r="M1827" t="s">
        <v>35</v>
      </c>
      <c r="N1827" t="s">
        <v>220</v>
      </c>
      <c r="O1827" t="s">
        <v>37</v>
      </c>
      <c r="P1827" t="s">
        <v>38</v>
      </c>
      <c r="Q1827" t="s">
        <v>38</v>
      </c>
      <c r="R1827">
        <v>1</v>
      </c>
      <c r="S1827" t="s">
        <v>39</v>
      </c>
      <c r="T1827">
        <v>6</v>
      </c>
      <c r="U1827">
        <v>4.5</v>
      </c>
      <c r="V1827">
        <v>4.7</v>
      </c>
      <c r="W1827" t="s">
        <v>39</v>
      </c>
      <c r="X1827" t="s">
        <v>52</v>
      </c>
      <c r="Y1827" t="s">
        <v>39</v>
      </c>
      <c r="Z1827" t="s">
        <v>41</v>
      </c>
      <c r="AA1827" t="s">
        <v>54</v>
      </c>
      <c r="AB1827" t="s">
        <v>43</v>
      </c>
      <c r="AC1827">
        <f t="shared" si="308"/>
        <v>1</v>
      </c>
      <c r="AD1827" s="12">
        <f t="shared" si="312"/>
        <v>0</v>
      </c>
      <c r="AE1827" s="12">
        <f t="shared" si="313"/>
        <v>0</v>
      </c>
      <c r="AF1827">
        <f t="shared" si="309"/>
        <v>0</v>
      </c>
      <c r="AG1827">
        <f t="shared" si="314"/>
        <v>0</v>
      </c>
      <c r="AH1827">
        <f t="shared" si="315"/>
        <v>0</v>
      </c>
      <c r="AI1827">
        <f t="shared" si="316"/>
        <v>0</v>
      </c>
      <c r="AJ1827">
        <f t="shared" si="317"/>
        <v>1</v>
      </c>
      <c r="AK1827">
        <f t="shared" si="310"/>
        <v>0</v>
      </c>
      <c r="AL1827">
        <f t="shared" si="318"/>
        <v>0</v>
      </c>
    </row>
    <row r="1828" spans="1:38">
      <c r="A1828" t="s">
        <v>5611</v>
      </c>
      <c r="B1828" t="s">
        <v>5612</v>
      </c>
      <c r="C1828" s="1">
        <f t="shared" si="311"/>
        <v>45413</v>
      </c>
      <c r="D1828" t="s">
        <v>5613</v>
      </c>
      <c r="E1828">
        <v>385.4</v>
      </c>
      <c r="F1828">
        <v>16.100000000000001</v>
      </c>
      <c r="G1828" t="s">
        <v>77</v>
      </c>
      <c r="H1828" t="s">
        <v>267</v>
      </c>
      <c r="I1828" t="s">
        <v>79</v>
      </c>
      <c r="J1828">
        <v>360</v>
      </c>
      <c r="K1828" t="s">
        <v>33</v>
      </c>
      <c r="L1828" t="s">
        <v>70</v>
      </c>
      <c r="M1828" t="s">
        <v>35</v>
      </c>
      <c r="N1828" t="s">
        <v>61</v>
      </c>
      <c r="O1828" t="s">
        <v>7232</v>
      </c>
      <c r="P1828" t="s">
        <v>38</v>
      </c>
      <c r="Q1828" t="s">
        <v>38</v>
      </c>
      <c r="R1828">
        <v>1</v>
      </c>
      <c r="S1828" t="s">
        <v>38</v>
      </c>
      <c r="T1828">
        <v>6</v>
      </c>
      <c r="U1828">
        <v>3.4</v>
      </c>
      <c r="V1828">
        <v>10.3</v>
      </c>
      <c r="W1828" t="s">
        <v>39</v>
      </c>
      <c r="X1828" t="s">
        <v>123</v>
      </c>
      <c r="Y1828" t="s">
        <v>39</v>
      </c>
      <c r="Z1828" t="s">
        <v>81</v>
      </c>
      <c r="AA1828" t="s">
        <v>82</v>
      </c>
      <c r="AB1828" t="s">
        <v>55</v>
      </c>
      <c r="AC1828">
        <f t="shared" si="308"/>
        <v>0</v>
      </c>
      <c r="AD1828" s="12">
        <f t="shared" si="312"/>
        <v>0</v>
      </c>
      <c r="AE1828" s="12">
        <f t="shared" si="313"/>
        <v>1</v>
      </c>
      <c r="AF1828">
        <f t="shared" si="309"/>
        <v>0</v>
      </c>
      <c r="AG1828">
        <f t="shared" si="314"/>
        <v>1</v>
      </c>
      <c r="AH1828">
        <f t="shared" si="315"/>
        <v>0</v>
      </c>
      <c r="AI1828">
        <f t="shared" si="316"/>
        <v>0</v>
      </c>
      <c r="AJ1828">
        <f t="shared" si="317"/>
        <v>0</v>
      </c>
      <c r="AK1828">
        <f t="shared" si="310"/>
        <v>0</v>
      </c>
      <c r="AL1828">
        <f t="shared" si="318"/>
        <v>0</v>
      </c>
    </row>
    <row r="1829" spans="1:38">
      <c r="A1829" t="s">
        <v>5614</v>
      </c>
      <c r="B1829" t="s">
        <v>5615</v>
      </c>
      <c r="C1829" s="1">
        <f t="shared" si="311"/>
        <v>45536</v>
      </c>
      <c r="D1829" t="s">
        <v>5616</v>
      </c>
      <c r="E1829">
        <v>350.9</v>
      </c>
      <c r="F1829">
        <v>14.6</v>
      </c>
      <c r="G1829" t="s">
        <v>30</v>
      </c>
      <c r="H1829" t="s">
        <v>31</v>
      </c>
      <c r="I1829" t="s">
        <v>32</v>
      </c>
      <c r="J1829">
        <v>240</v>
      </c>
      <c r="K1829" t="s">
        <v>33</v>
      </c>
      <c r="L1829" t="s">
        <v>113</v>
      </c>
      <c r="M1829" t="s">
        <v>35</v>
      </c>
      <c r="N1829" t="s">
        <v>299</v>
      </c>
      <c r="O1829" t="s">
        <v>37</v>
      </c>
      <c r="P1829" t="s">
        <v>38</v>
      </c>
      <c r="Q1829" t="s">
        <v>38</v>
      </c>
      <c r="R1829">
        <v>1</v>
      </c>
      <c r="S1829" t="s">
        <v>38</v>
      </c>
      <c r="T1829">
        <v>7</v>
      </c>
      <c r="U1829">
        <v>2.4</v>
      </c>
      <c r="V1829">
        <v>24.3</v>
      </c>
      <c r="W1829" t="s">
        <v>38</v>
      </c>
      <c r="X1829" t="s">
        <v>52</v>
      </c>
      <c r="Y1829" t="s">
        <v>38</v>
      </c>
      <c r="Z1829" t="s">
        <v>81</v>
      </c>
      <c r="AA1829" t="s">
        <v>82</v>
      </c>
      <c r="AB1829" t="s">
        <v>83</v>
      </c>
      <c r="AC1829">
        <f t="shared" si="308"/>
        <v>1</v>
      </c>
      <c r="AD1829" s="12">
        <f t="shared" si="312"/>
        <v>0</v>
      </c>
      <c r="AE1829" s="12">
        <f t="shared" si="313"/>
        <v>0</v>
      </c>
      <c r="AF1829">
        <f t="shared" si="309"/>
        <v>0</v>
      </c>
      <c r="AG1829">
        <f t="shared" si="314"/>
        <v>0</v>
      </c>
      <c r="AH1829">
        <f t="shared" si="315"/>
        <v>0</v>
      </c>
      <c r="AI1829">
        <f t="shared" si="316"/>
        <v>0</v>
      </c>
      <c r="AJ1829">
        <f t="shared" si="317"/>
        <v>1</v>
      </c>
      <c r="AK1829">
        <f t="shared" si="310"/>
        <v>1</v>
      </c>
      <c r="AL1829">
        <f t="shared" si="318"/>
        <v>1</v>
      </c>
    </row>
    <row r="1830" spans="1:38">
      <c r="A1830" t="s">
        <v>5617</v>
      </c>
      <c r="B1830" t="s">
        <v>5618</v>
      </c>
      <c r="C1830" s="1">
        <f t="shared" si="311"/>
        <v>45444</v>
      </c>
      <c r="D1830" t="s">
        <v>5619</v>
      </c>
      <c r="E1830">
        <v>100.4</v>
      </c>
      <c r="F1830">
        <v>4.2</v>
      </c>
      <c r="G1830" t="s">
        <v>101</v>
      </c>
      <c r="H1830" t="s">
        <v>442</v>
      </c>
      <c r="I1830" t="s">
        <v>48</v>
      </c>
      <c r="J1830">
        <v>120</v>
      </c>
      <c r="K1830" t="s">
        <v>49</v>
      </c>
      <c r="L1830" t="s">
        <v>70</v>
      </c>
      <c r="M1830" t="s">
        <v>35</v>
      </c>
      <c r="N1830" t="s">
        <v>80</v>
      </c>
      <c r="O1830" t="s">
        <v>7232</v>
      </c>
      <c r="P1830" t="s">
        <v>38</v>
      </c>
      <c r="Q1830" t="s">
        <v>38</v>
      </c>
      <c r="R1830">
        <v>1</v>
      </c>
      <c r="S1830" t="s">
        <v>38</v>
      </c>
      <c r="T1830">
        <v>10</v>
      </c>
      <c r="U1830">
        <v>3.5</v>
      </c>
      <c r="V1830">
        <v>25.5</v>
      </c>
      <c r="W1830" t="s">
        <v>38</v>
      </c>
      <c r="X1830" t="s">
        <v>63</v>
      </c>
      <c r="Y1830" t="s">
        <v>38</v>
      </c>
      <c r="Z1830" t="s">
        <v>179</v>
      </c>
      <c r="AA1830" t="s">
        <v>109</v>
      </c>
      <c r="AB1830" t="s">
        <v>43</v>
      </c>
      <c r="AC1830">
        <f t="shared" si="308"/>
        <v>0</v>
      </c>
      <c r="AD1830" s="12">
        <f t="shared" si="312"/>
        <v>1</v>
      </c>
      <c r="AE1830" s="12">
        <f t="shared" si="313"/>
        <v>0</v>
      </c>
      <c r="AF1830">
        <f t="shared" si="309"/>
        <v>0</v>
      </c>
      <c r="AG1830">
        <f t="shared" si="314"/>
        <v>1</v>
      </c>
      <c r="AH1830">
        <f t="shared" si="315"/>
        <v>1</v>
      </c>
      <c r="AI1830">
        <f t="shared" si="316"/>
        <v>0</v>
      </c>
      <c r="AJ1830">
        <f t="shared" si="317"/>
        <v>0</v>
      </c>
      <c r="AK1830">
        <f t="shared" si="310"/>
        <v>0</v>
      </c>
      <c r="AL1830">
        <f t="shared" si="318"/>
        <v>1</v>
      </c>
    </row>
    <row r="1831" spans="1:38">
      <c r="A1831" t="s">
        <v>5620</v>
      </c>
      <c r="B1831" t="s">
        <v>5621</v>
      </c>
      <c r="C1831" s="1">
        <f t="shared" si="311"/>
        <v>45474</v>
      </c>
      <c r="D1831" t="s">
        <v>5622</v>
      </c>
      <c r="E1831">
        <v>202</v>
      </c>
      <c r="F1831">
        <v>8.4</v>
      </c>
      <c r="G1831" t="s">
        <v>142</v>
      </c>
      <c r="H1831" t="s">
        <v>143</v>
      </c>
      <c r="I1831" t="s">
        <v>32</v>
      </c>
      <c r="J1831">
        <v>240</v>
      </c>
      <c r="K1831" t="s">
        <v>49</v>
      </c>
      <c r="L1831" t="s">
        <v>34</v>
      </c>
      <c r="M1831" t="s">
        <v>71</v>
      </c>
      <c r="N1831" t="s">
        <v>114</v>
      </c>
      <c r="O1831" t="s">
        <v>37</v>
      </c>
      <c r="P1831" t="s">
        <v>38</v>
      </c>
      <c r="Q1831" t="s">
        <v>39</v>
      </c>
      <c r="R1831">
        <v>2</v>
      </c>
      <c r="S1831" t="s">
        <v>38</v>
      </c>
      <c r="T1831">
        <v>7</v>
      </c>
      <c r="U1831">
        <v>1.5</v>
      </c>
      <c r="V1831">
        <v>6.9</v>
      </c>
      <c r="W1831" t="s">
        <v>39</v>
      </c>
      <c r="X1831" t="s">
        <v>40</v>
      </c>
      <c r="Y1831" t="s">
        <v>38</v>
      </c>
      <c r="Z1831" t="s">
        <v>73</v>
      </c>
      <c r="AA1831" t="s">
        <v>82</v>
      </c>
      <c r="AB1831" t="s">
        <v>43</v>
      </c>
      <c r="AC1831">
        <f t="shared" si="308"/>
        <v>0</v>
      </c>
      <c r="AD1831" s="12">
        <f t="shared" si="312"/>
        <v>0</v>
      </c>
      <c r="AE1831" s="12">
        <f t="shared" si="313"/>
        <v>0</v>
      </c>
      <c r="AF1831">
        <f t="shared" si="309"/>
        <v>0</v>
      </c>
      <c r="AG1831">
        <f t="shared" si="314"/>
        <v>0</v>
      </c>
      <c r="AH1831">
        <f t="shared" si="315"/>
        <v>0</v>
      </c>
      <c r="AI1831">
        <f t="shared" si="316"/>
        <v>0</v>
      </c>
      <c r="AJ1831">
        <f t="shared" si="317"/>
        <v>1</v>
      </c>
      <c r="AK1831">
        <f t="shared" si="310"/>
        <v>0</v>
      </c>
      <c r="AL1831">
        <f t="shared" si="318"/>
        <v>1</v>
      </c>
    </row>
    <row r="1832" spans="1:38">
      <c r="A1832" t="s">
        <v>5623</v>
      </c>
      <c r="B1832" t="s">
        <v>5624</v>
      </c>
      <c r="C1832" s="1">
        <f t="shared" si="311"/>
        <v>45474</v>
      </c>
      <c r="D1832" t="s">
        <v>5625</v>
      </c>
      <c r="E1832">
        <v>161</v>
      </c>
      <c r="F1832">
        <v>6.7</v>
      </c>
      <c r="G1832" t="s">
        <v>30</v>
      </c>
      <c r="H1832" t="s">
        <v>159</v>
      </c>
      <c r="I1832" t="s">
        <v>32</v>
      </c>
      <c r="J1832">
        <v>240</v>
      </c>
      <c r="K1832" t="s">
        <v>49</v>
      </c>
      <c r="L1832" t="s">
        <v>133</v>
      </c>
      <c r="M1832" t="s">
        <v>35</v>
      </c>
      <c r="N1832" t="s">
        <v>188</v>
      </c>
      <c r="O1832" t="s">
        <v>37</v>
      </c>
      <c r="P1832" t="s">
        <v>38</v>
      </c>
      <c r="Q1832" t="s">
        <v>38</v>
      </c>
      <c r="R1832">
        <v>1</v>
      </c>
      <c r="S1832" t="s">
        <v>39</v>
      </c>
      <c r="T1832">
        <v>5</v>
      </c>
      <c r="U1832">
        <v>2.4</v>
      </c>
      <c r="V1832">
        <v>37.1</v>
      </c>
      <c r="W1832" t="s">
        <v>39</v>
      </c>
      <c r="X1832" t="s">
        <v>63</v>
      </c>
      <c r="Y1832" t="s">
        <v>39</v>
      </c>
      <c r="Z1832" t="s">
        <v>41</v>
      </c>
      <c r="AA1832" t="s">
        <v>103</v>
      </c>
      <c r="AB1832" t="s">
        <v>43</v>
      </c>
      <c r="AC1832">
        <f t="shared" si="308"/>
        <v>0</v>
      </c>
      <c r="AD1832" s="12">
        <f t="shared" si="312"/>
        <v>1</v>
      </c>
      <c r="AE1832" s="12">
        <f t="shared" si="313"/>
        <v>0</v>
      </c>
      <c r="AF1832">
        <f t="shared" si="309"/>
        <v>0</v>
      </c>
      <c r="AG1832">
        <f t="shared" si="314"/>
        <v>0</v>
      </c>
      <c r="AH1832">
        <f t="shared" si="315"/>
        <v>0</v>
      </c>
      <c r="AI1832">
        <f t="shared" si="316"/>
        <v>0</v>
      </c>
      <c r="AJ1832">
        <f t="shared" si="317"/>
        <v>1</v>
      </c>
      <c r="AK1832">
        <f t="shared" si="310"/>
        <v>1</v>
      </c>
      <c r="AL1832">
        <f t="shared" si="318"/>
        <v>0</v>
      </c>
    </row>
    <row r="1833" spans="1:38">
      <c r="A1833" t="s">
        <v>5626</v>
      </c>
      <c r="B1833" t="s">
        <v>5627</v>
      </c>
      <c r="C1833" s="1">
        <f t="shared" si="311"/>
        <v>45474</v>
      </c>
      <c r="D1833" t="s">
        <v>5628</v>
      </c>
      <c r="E1833">
        <v>38.4</v>
      </c>
      <c r="F1833">
        <v>1.6</v>
      </c>
      <c r="G1833" t="s">
        <v>77</v>
      </c>
      <c r="H1833" t="s">
        <v>187</v>
      </c>
      <c r="I1833" t="s">
        <v>95</v>
      </c>
      <c r="J1833">
        <v>48</v>
      </c>
      <c r="K1833" t="s">
        <v>49</v>
      </c>
      <c r="L1833" t="s">
        <v>96</v>
      </c>
      <c r="M1833" t="s">
        <v>35</v>
      </c>
      <c r="N1833" t="s">
        <v>107</v>
      </c>
      <c r="O1833" t="s">
        <v>37</v>
      </c>
      <c r="P1833" t="s">
        <v>39</v>
      </c>
      <c r="Q1833" t="s">
        <v>38</v>
      </c>
      <c r="R1833">
        <v>0</v>
      </c>
      <c r="S1833" t="s">
        <v>38</v>
      </c>
      <c r="T1833">
        <v>9</v>
      </c>
      <c r="U1833">
        <v>0.1</v>
      </c>
      <c r="V1833">
        <v>0</v>
      </c>
      <c r="W1833" t="s">
        <v>38</v>
      </c>
      <c r="X1833" t="s">
        <v>63</v>
      </c>
      <c r="Y1833" t="s">
        <v>39</v>
      </c>
      <c r="Z1833" t="s">
        <v>179</v>
      </c>
      <c r="AA1833" t="s">
        <v>103</v>
      </c>
      <c r="AB1833" t="s">
        <v>83</v>
      </c>
      <c r="AC1833">
        <f t="shared" si="308"/>
        <v>0</v>
      </c>
      <c r="AD1833" s="12">
        <f t="shared" si="312"/>
        <v>1</v>
      </c>
      <c r="AE1833" s="12">
        <f t="shared" si="313"/>
        <v>0</v>
      </c>
      <c r="AF1833">
        <f t="shared" si="309"/>
        <v>0</v>
      </c>
      <c r="AG1833">
        <f t="shared" si="314"/>
        <v>0</v>
      </c>
      <c r="AH1833">
        <f t="shared" si="315"/>
        <v>0</v>
      </c>
      <c r="AI1833">
        <f t="shared" si="316"/>
        <v>1</v>
      </c>
      <c r="AJ1833">
        <f t="shared" si="317"/>
        <v>0</v>
      </c>
      <c r="AK1833">
        <f t="shared" si="310"/>
        <v>0</v>
      </c>
      <c r="AL1833">
        <f t="shared" si="318"/>
        <v>0</v>
      </c>
    </row>
    <row r="1834" spans="1:38">
      <c r="A1834" t="s">
        <v>5629</v>
      </c>
      <c r="B1834" t="s">
        <v>5630</v>
      </c>
      <c r="C1834" s="1">
        <f t="shared" si="311"/>
        <v>45505</v>
      </c>
      <c r="D1834" t="s">
        <v>5631</v>
      </c>
      <c r="E1834">
        <v>340.2</v>
      </c>
      <c r="F1834">
        <v>14.2</v>
      </c>
      <c r="G1834" t="s">
        <v>77</v>
      </c>
      <c r="H1834" t="s">
        <v>244</v>
      </c>
      <c r="I1834" t="s">
        <v>79</v>
      </c>
      <c r="J1834">
        <v>360</v>
      </c>
      <c r="K1834" t="s">
        <v>49</v>
      </c>
      <c r="L1834" t="s">
        <v>113</v>
      </c>
      <c r="M1834" t="s">
        <v>35</v>
      </c>
      <c r="N1834" t="s">
        <v>72</v>
      </c>
      <c r="O1834" t="s">
        <v>7232</v>
      </c>
      <c r="P1834" t="s">
        <v>39</v>
      </c>
      <c r="Q1834" t="s">
        <v>38</v>
      </c>
      <c r="R1834">
        <v>0</v>
      </c>
      <c r="S1834" t="s">
        <v>38</v>
      </c>
      <c r="T1834">
        <v>8</v>
      </c>
      <c r="U1834">
        <v>0.1</v>
      </c>
      <c r="V1834">
        <v>5.8</v>
      </c>
      <c r="W1834" t="s">
        <v>38</v>
      </c>
      <c r="X1834" t="s">
        <v>40</v>
      </c>
      <c r="Y1834" t="s">
        <v>38</v>
      </c>
      <c r="Z1834" t="s">
        <v>179</v>
      </c>
      <c r="AA1834" t="s">
        <v>82</v>
      </c>
      <c r="AB1834" t="s">
        <v>55</v>
      </c>
      <c r="AC1834">
        <f t="shared" si="308"/>
        <v>0</v>
      </c>
      <c r="AD1834" s="12">
        <f t="shared" si="312"/>
        <v>0</v>
      </c>
      <c r="AE1834" s="12">
        <f t="shared" si="313"/>
        <v>0</v>
      </c>
      <c r="AF1834">
        <f t="shared" si="309"/>
        <v>0</v>
      </c>
      <c r="AG1834">
        <f t="shared" si="314"/>
        <v>1</v>
      </c>
      <c r="AH1834">
        <f t="shared" si="315"/>
        <v>0</v>
      </c>
      <c r="AI1834">
        <f t="shared" si="316"/>
        <v>0</v>
      </c>
      <c r="AJ1834">
        <f t="shared" si="317"/>
        <v>0</v>
      </c>
      <c r="AK1834">
        <f t="shared" si="310"/>
        <v>0</v>
      </c>
      <c r="AL1834">
        <f t="shared" si="318"/>
        <v>1</v>
      </c>
    </row>
    <row r="1835" spans="1:38">
      <c r="A1835" t="s">
        <v>5632</v>
      </c>
      <c r="B1835" t="s">
        <v>5633</v>
      </c>
      <c r="C1835" s="1">
        <f t="shared" si="311"/>
        <v>45383</v>
      </c>
      <c r="D1835" t="s">
        <v>5634</v>
      </c>
      <c r="E1835">
        <v>211.1</v>
      </c>
      <c r="F1835">
        <v>8.8000000000000007</v>
      </c>
      <c r="G1835" t="s">
        <v>101</v>
      </c>
      <c r="H1835" t="s">
        <v>368</v>
      </c>
      <c r="I1835" t="s">
        <v>32</v>
      </c>
      <c r="J1835">
        <v>240</v>
      </c>
      <c r="K1835" t="s">
        <v>49</v>
      </c>
      <c r="L1835" t="s">
        <v>70</v>
      </c>
      <c r="M1835" t="s">
        <v>35</v>
      </c>
      <c r="N1835" t="s">
        <v>134</v>
      </c>
      <c r="O1835" t="s">
        <v>7232</v>
      </c>
      <c r="P1835" t="s">
        <v>38</v>
      </c>
      <c r="Q1835" t="s">
        <v>38</v>
      </c>
      <c r="R1835">
        <v>1</v>
      </c>
      <c r="S1835" t="s">
        <v>38</v>
      </c>
      <c r="T1835">
        <v>8</v>
      </c>
      <c r="U1835">
        <v>0.1</v>
      </c>
      <c r="V1835">
        <v>13.1</v>
      </c>
      <c r="W1835" t="s">
        <v>39</v>
      </c>
      <c r="X1835" t="s">
        <v>52</v>
      </c>
      <c r="Y1835" t="s">
        <v>39</v>
      </c>
      <c r="Z1835" t="s">
        <v>115</v>
      </c>
      <c r="AA1835" t="s">
        <v>54</v>
      </c>
      <c r="AB1835" t="s">
        <v>83</v>
      </c>
      <c r="AC1835">
        <f t="shared" si="308"/>
        <v>1</v>
      </c>
      <c r="AD1835" s="12">
        <f t="shared" si="312"/>
        <v>0</v>
      </c>
      <c r="AE1835" s="12">
        <f t="shared" si="313"/>
        <v>0</v>
      </c>
      <c r="AF1835">
        <f t="shared" si="309"/>
        <v>0</v>
      </c>
      <c r="AG1835">
        <f t="shared" si="314"/>
        <v>1</v>
      </c>
      <c r="AH1835">
        <f t="shared" si="315"/>
        <v>0</v>
      </c>
      <c r="AI1835">
        <f t="shared" si="316"/>
        <v>0</v>
      </c>
      <c r="AJ1835">
        <f t="shared" si="317"/>
        <v>1</v>
      </c>
      <c r="AK1835">
        <f t="shared" si="310"/>
        <v>0</v>
      </c>
      <c r="AL1835">
        <f t="shared" si="318"/>
        <v>0</v>
      </c>
    </row>
    <row r="1836" spans="1:38">
      <c r="A1836" t="s">
        <v>5635</v>
      </c>
      <c r="B1836" t="s">
        <v>5636</v>
      </c>
      <c r="C1836" s="1">
        <f t="shared" si="311"/>
        <v>45536</v>
      </c>
      <c r="D1836" t="s">
        <v>5637</v>
      </c>
      <c r="E1836">
        <v>201.6</v>
      </c>
      <c r="F1836">
        <v>8.4</v>
      </c>
      <c r="G1836" t="s">
        <v>30</v>
      </c>
      <c r="H1836" t="s">
        <v>159</v>
      </c>
      <c r="I1836" t="s">
        <v>32</v>
      </c>
      <c r="J1836">
        <v>240</v>
      </c>
      <c r="K1836" t="s">
        <v>49</v>
      </c>
      <c r="L1836" t="s">
        <v>113</v>
      </c>
      <c r="M1836" t="s">
        <v>35</v>
      </c>
      <c r="N1836" t="s">
        <v>128</v>
      </c>
      <c r="O1836" t="s">
        <v>37</v>
      </c>
      <c r="P1836" t="s">
        <v>39</v>
      </c>
      <c r="Q1836" t="s">
        <v>38</v>
      </c>
      <c r="R1836">
        <v>0</v>
      </c>
      <c r="S1836" t="s">
        <v>38</v>
      </c>
      <c r="T1836">
        <v>10</v>
      </c>
      <c r="U1836">
        <v>2.4</v>
      </c>
      <c r="V1836">
        <v>19.8</v>
      </c>
      <c r="W1836" t="s">
        <v>39</v>
      </c>
      <c r="X1836" t="s">
        <v>123</v>
      </c>
      <c r="Y1836" t="s">
        <v>38</v>
      </c>
      <c r="Z1836" t="s">
        <v>179</v>
      </c>
      <c r="AA1836" t="s">
        <v>42</v>
      </c>
      <c r="AB1836" t="s">
        <v>55</v>
      </c>
      <c r="AC1836">
        <f t="shared" si="308"/>
        <v>0</v>
      </c>
      <c r="AD1836" s="12">
        <f t="shared" si="312"/>
        <v>0</v>
      </c>
      <c r="AE1836" s="12">
        <f t="shared" si="313"/>
        <v>1</v>
      </c>
      <c r="AF1836">
        <f t="shared" si="309"/>
        <v>0</v>
      </c>
      <c r="AG1836">
        <f t="shared" si="314"/>
        <v>0</v>
      </c>
      <c r="AH1836">
        <f t="shared" si="315"/>
        <v>0</v>
      </c>
      <c r="AI1836">
        <f t="shared" si="316"/>
        <v>0</v>
      </c>
      <c r="AJ1836">
        <f t="shared" si="317"/>
        <v>1</v>
      </c>
      <c r="AK1836">
        <f t="shared" si="310"/>
        <v>1</v>
      </c>
      <c r="AL1836">
        <f t="shared" si="318"/>
        <v>1</v>
      </c>
    </row>
    <row r="1837" spans="1:38">
      <c r="A1837" t="s">
        <v>5638</v>
      </c>
      <c r="B1837" t="s">
        <v>5639</v>
      </c>
      <c r="C1837" s="1">
        <f t="shared" si="311"/>
        <v>45352</v>
      </c>
      <c r="D1837" t="s">
        <v>5640</v>
      </c>
      <c r="E1837">
        <v>300.5</v>
      </c>
      <c r="F1837">
        <v>12.5</v>
      </c>
      <c r="G1837" t="s">
        <v>93</v>
      </c>
      <c r="H1837" t="s">
        <v>163</v>
      </c>
      <c r="I1837" t="s">
        <v>79</v>
      </c>
      <c r="J1837">
        <v>360</v>
      </c>
      <c r="K1837" t="s">
        <v>49</v>
      </c>
      <c r="L1837" t="s">
        <v>96</v>
      </c>
      <c r="M1837" t="s">
        <v>35</v>
      </c>
      <c r="N1837" t="s">
        <v>506</v>
      </c>
      <c r="O1837" t="s">
        <v>51</v>
      </c>
      <c r="P1837" t="s">
        <v>38</v>
      </c>
      <c r="Q1837" t="s">
        <v>38</v>
      </c>
      <c r="R1837">
        <v>1</v>
      </c>
      <c r="S1837" t="s">
        <v>38</v>
      </c>
      <c r="T1837">
        <v>7</v>
      </c>
      <c r="U1837">
        <v>3.4</v>
      </c>
      <c r="V1837">
        <v>11.6</v>
      </c>
      <c r="W1837" t="s">
        <v>39</v>
      </c>
      <c r="X1837" t="s">
        <v>123</v>
      </c>
      <c r="Y1837" t="s">
        <v>39</v>
      </c>
      <c r="Z1837" t="s">
        <v>81</v>
      </c>
      <c r="AA1837" t="s">
        <v>109</v>
      </c>
      <c r="AB1837" t="s">
        <v>83</v>
      </c>
      <c r="AC1837">
        <f t="shared" si="308"/>
        <v>0</v>
      </c>
      <c r="AD1837" s="12">
        <f t="shared" si="312"/>
        <v>0</v>
      </c>
      <c r="AE1837" s="12">
        <f t="shared" si="313"/>
        <v>1</v>
      </c>
      <c r="AF1837">
        <f t="shared" si="309"/>
        <v>1</v>
      </c>
      <c r="AG1837">
        <f t="shared" si="314"/>
        <v>0</v>
      </c>
      <c r="AH1837">
        <f t="shared" si="315"/>
        <v>0</v>
      </c>
      <c r="AI1837">
        <f t="shared" si="316"/>
        <v>0</v>
      </c>
      <c r="AJ1837">
        <f t="shared" si="317"/>
        <v>0</v>
      </c>
      <c r="AK1837">
        <f t="shared" si="310"/>
        <v>0</v>
      </c>
      <c r="AL1837">
        <f t="shared" si="318"/>
        <v>0</v>
      </c>
    </row>
    <row r="1838" spans="1:38">
      <c r="A1838" t="s">
        <v>5641</v>
      </c>
      <c r="B1838" t="s">
        <v>5642</v>
      </c>
      <c r="C1838" s="1">
        <f t="shared" si="311"/>
        <v>45413</v>
      </c>
      <c r="D1838" t="s">
        <v>5643</v>
      </c>
      <c r="E1838">
        <v>84.1</v>
      </c>
      <c r="F1838">
        <v>3.5</v>
      </c>
      <c r="G1838" t="s">
        <v>142</v>
      </c>
      <c r="H1838" t="s">
        <v>260</v>
      </c>
      <c r="I1838" t="s">
        <v>48</v>
      </c>
      <c r="J1838">
        <v>120</v>
      </c>
      <c r="K1838" t="s">
        <v>49</v>
      </c>
      <c r="L1838" t="s">
        <v>70</v>
      </c>
      <c r="M1838" t="s">
        <v>35</v>
      </c>
      <c r="N1838" t="s">
        <v>114</v>
      </c>
      <c r="O1838" t="s">
        <v>51</v>
      </c>
      <c r="P1838" t="s">
        <v>39</v>
      </c>
      <c r="Q1838" t="s">
        <v>38</v>
      </c>
      <c r="R1838">
        <v>0</v>
      </c>
      <c r="S1838" t="s">
        <v>38</v>
      </c>
      <c r="T1838">
        <v>9</v>
      </c>
      <c r="U1838">
        <v>1.5</v>
      </c>
      <c r="V1838">
        <v>13.8</v>
      </c>
      <c r="W1838" t="s">
        <v>39</v>
      </c>
      <c r="X1838" t="s">
        <v>52</v>
      </c>
      <c r="Y1838" t="s">
        <v>38</v>
      </c>
      <c r="Z1838" t="s">
        <v>73</v>
      </c>
      <c r="AA1838" t="s">
        <v>42</v>
      </c>
      <c r="AB1838" t="s">
        <v>83</v>
      </c>
      <c r="AC1838">
        <f t="shared" si="308"/>
        <v>1</v>
      </c>
      <c r="AD1838" s="12">
        <f t="shared" si="312"/>
        <v>0</v>
      </c>
      <c r="AE1838" s="12">
        <f t="shared" si="313"/>
        <v>0</v>
      </c>
      <c r="AF1838">
        <f t="shared" si="309"/>
        <v>1</v>
      </c>
      <c r="AG1838">
        <f t="shared" si="314"/>
        <v>0</v>
      </c>
      <c r="AH1838">
        <f t="shared" si="315"/>
        <v>1</v>
      </c>
      <c r="AI1838">
        <f t="shared" si="316"/>
        <v>0</v>
      </c>
      <c r="AJ1838">
        <f t="shared" si="317"/>
        <v>0</v>
      </c>
      <c r="AK1838">
        <f t="shared" si="310"/>
        <v>0</v>
      </c>
      <c r="AL1838">
        <f t="shared" si="318"/>
        <v>1</v>
      </c>
    </row>
    <row r="1839" spans="1:38">
      <c r="A1839" t="s">
        <v>5644</v>
      </c>
      <c r="B1839" t="s">
        <v>5645</v>
      </c>
      <c r="C1839" s="1">
        <f t="shared" si="311"/>
        <v>45413</v>
      </c>
      <c r="D1839" t="s">
        <v>5646</v>
      </c>
      <c r="E1839">
        <v>318</v>
      </c>
      <c r="F1839">
        <v>13.3</v>
      </c>
      <c r="G1839" t="s">
        <v>77</v>
      </c>
      <c r="H1839" t="s">
        <v>267</v>
      </c>
      <c r="I1839" t="s">
        <v>79</v>
      </c>
      <c r="J1839">
        <v>360</v>
      </c>
      <c r="K1839" t="s">
        <v>49</v>
      </c>
      <c r="L1839" t="s">
        <v>70</v>
      </c>
      <c r="M1839" t="s">
        <v>35</v>
      </c>
      <c r="N1839" t="s">
        <v>128</v>
      </c>
      <c r="O1839" t="s">
        <v>7232</v>
      </c>
      <c r="P1839" t="s">
        <v>39</v>
      </c>
      <c r="Q1839" t="s">
        <v>38</v>
      </c>
      <c r="R1839">
        <v>0</v>
      </c>
      <c r="S1839" t="s">
        <v>38</v>
      </c>
      <c r="T1839">
        <v>10</v>
      </c>
      <c r="U1839">
        <v>1.8</v>
      </c>
      <c r="V1839">
        <v>23.3</v>
      </c>
      <c r="W1839" t="s">
        <v>39</v>
      </c>
      <c r="X1839" t="s">
        <v>123</v>
      </c>
      <c r="Y1839" t="s">
        <v>39</v>
      </c>
      <c r="Z1839" t="s">
        <v>64</v>
      </c>
      <c r="AA1839" t="s">
        <v>103</v>
      </c>
      <c r="AB1839" t="s">
        <v>83</v>
      </c>
      <c r="AC1839">
        <f t="shared" si="308"/>
        <v>0</v>
      </c>
      <c r="AD1839" s="12">
        <f t="shared" si="312"/>
        <v>0</v>
      </c>
      <c r="AE1839" s="12">
        <f t="shared" si="313"/>
        <v>1</v>
      </c>
      <c r="AF1839">
        <f t="shared" si="309"/>
        <v>0</v>
      </c>
      <c r="AG1839">
        <f t="shared" si="314"/>
        <v>1</v>
      </c>
      <c r="AH1839">
        <f t="shared" si="315"/>
        <v>0</v>
      </c>
      <c r="AI1839">
        <f t="shared" si="316"/>
        <v>0</v>
      </c>
      <c r="AJ1839">
        <f t="shared" si="317"/>
        <v>0</v>
      </c>
      <c r="AK1839">
        <f t="shared" si="310"/>
        <v>0</v>
      </c>
      <c r="AL1839">
        <f t="shared" si="318"/>
        <v>0</v>
      </c>
    </row>
    <row r="1840" spans="1:38">
      <c r="A1840" t="s">
        <v>5647</v>
      </c>
      <c r="B1840" t="s">
        <v>5648</v>
      </c>
      <c r="C1840" s="1">
        <f t="shared" si="311"/>
        <v>45444</v>
      </c>
      <c r="D1840" t="s">
        <v>5649</v>
      </c>
      <c r="E1840">
        <v>111.2</v>
      </c>
      <c r="F1840">
        <v>4.5999999999999996</v>
      </c>
      <c r="G1840" t="s">
        <v>101</v>
      </c>
      <c r="H1840" t="s">
        <v>442</v>
      </c>
      <c r="I1840" t="s">
        <v>48</v>
      </c>
      <c r="J1840">
        <v>120</v>
      </c>
      <c r="K1840" t="s">
        <v>49</v>
      </c>
      <c r="L1840" t="s">
        <v>70</v>
      </c>
      <c r="M1840" t="s">
        <v>35</v>
      </c>
      <c r="N1840" t="s">
        <v>202</v>
      </c>
      <c r="O1840" t="s">
        <v>7232</v>
      </c>
      <c r="P1840" t="s">
        <v>38</v>
      </c>
      <c r="Q1840" t="s">
        <v>38</v>
      </c>
      <c r="R1840">
        <v>1</v>
      </c>
      <c r="S1840" t="s">
        <v>39</v>
      </c>
      <c r="T1840">
        <v>5</v>
      </c>
      <c r="U1840">
        <v>1.7</v>
      </c>
      <c r="V1840">
        <v>25.3</v>
      </c>
      <c r="W1840" t="s">
        <v>38</v>
      </c>
      <c r="X1840" t="s">
        <v>63</v>
      </c>
      <c r="Y1840" t="s">
        <v>38</v>
      </c>
      <c r="Z1840" t="s">
        <v>53</v>
      </c>
      <c r="AA1840" t="s">
        <v>82</v>
      </c>
      <c r="AB1840" t="s">
        <v>83</v>
      </c>
      <c r="AC1840">
        <f t="shared" si="308"/>
        <v>0</v>
      </c>
      <c r="AD1840" s="12">
        <f t="shared" si="312"/>
        <v>1</v>
      </c>
      <c r="AE1840" s="12">
        <f t="shared" si="313"/>
        <v>0</v>
      </c>
      <c r="AF1840">
        <f t="shared" si="309"/>
        <v>0</v>
      </c>
      <c r="AG1840">
        <f t="shared" si="314"/>
        <v>1</v>
      </c>
      <c r="AH1840">
        <f t="shared" si="315"/>
        <v>1</v>
      </c>
      <c r="AI1840">
        <f t="shared" si="316"/>
        <v>0</v>
      </c>
      <c r="AJ1840">
        <f t="shared" si="317"/>
        <v>0</v>
      </c>
      <c r="AK1840">
        <f t="shared" si="310"/>
        <v>0</v>
      </c>
      <c r="AL1840">
        <f t="shared" si="318"/>
        <v>1</v>
      </c>
    </row>
    <row r="1841" spans="1:38">
      <c r="A1841" t="s">
        <v>5650</v>
      </c>
      <c r="B1841" t="s">
        <v>5651</v>
      </c>
      <c r="C1841" s="1">
        <f t="shared" si="311"/>
        <v>45474</v>
      </c>
      <c r="D1841" t="s">
        <v>5652</v>
      </c>
      <c r="E1841">
        <v>151</v>
      </c>
      <c r="F1841">
        <v>6.3</v>
      </c>
      <c r="G1841" t="s">
        <v>30</v>
      </c>
      <c r="H1841" t="s">
        <v>172</v>
      </c>
      <c r="I1841" t="s">
        <v>32</v>
      </c>
      <c r="J1841">
        <v>240</v>
      </c>
      <c r="K1841" t="s">
        <v>49</v>
      </c>
      <c r="L1841" t="s">
        <v>70</v>
      </c>
      <c r="M1841" t="s">
        <v>35</v>
      </c>
      <c r="N1841" t="s">
        <v>414</v>
      </c>
      <c r="O1841" t="s">
        <v>37</v>
      </c>
      <c r="P1841" t="s">
        <v>38</v>
      </c>
      <c r="Q1841" t="s">
        <v>38</v>
      </c>
      <c r="R1841">
        <v>1</v>
      </c>
      <c r="S1841" t="s">
        <v>38</v>
      </c>
      <c r="T1841">
        <v>10</v>
      </c>
      <c r="U1841">
        <v>0.8</v>
      </c>
      <c r="V1841">
        <v>48.4</v>
      </c>
      <c r="W1841" t="s">
        <v>39</v>
      </c>
      <c r="X1841" t="s">
        <v>63</v>
      </c>
      <c r="Y1841" t="s">
        <v>38</v>
      </c>
      <c r="Z1841" t="s">
        <v>179</v>
      </c>
      <c r="AA1841" t="s">
        <v>103</v>
      </c>
      <c r="AB1841" t="s">
        <v>43</v>
      </c>
      <c r="AC1841">
        <f t="shared" si="308"/>
        <v>0</v>
      </c>
      <c r="AD1841" s="12">
        <f t="shared" si="312"/>
        <v>1</v>
      </c>
      <c r="AE1841" s="12">
        <f t="shared" si="313"/>
        <v>0</v>
      </c>
      <c r="AF1841">
        <f t="shared" si="309"/>
        <v>0</v>
      </c>
      <c r="AG1841">
        <f t="shared" si="314"/>
        <v>0</v>
      </c>
      <c r="AH1841">
        <f t="shared" si="315"/>
        <v>0</v>
      </c>
      <c r="AI1841">
        <f t="shared" si="316"/>
        <v>0</v>
      </c>
      <c r="AJ1841">
        <f t="shared" si="317"/>
        <v>1</v>
      </c>
      <c r="AK1841">
        <f t="shared" si="310"/>
        <v>1</v>
      </c>
      <c r="AL1841">
        <f t="shared" si="318"/>
        <v>1</v>
      </c>
    </row>
    <row r="1842" spans="1:38">
      <c r="A1842" t="s">
        <v>5653</v>
      </c>
      <c r="B1842" t="s">
        <v>5654</v>
      </c>
      <c r="C1842" s="1">
        <f t="shared" si="311"/>
        <v>45505</v>
      </c>
      <c r="D1842" t="s">
        <v>5655</v>
      </c>
      <c r="E1842">
        <v>286.3</v>
      </c>
      <c r="F1842">
        <v>11.9</v>
      </c>
      <c r="G1842" t="s">
        <v>142</v>
      </c>
      <c r="H1842" t="s">
        <v>260</v>
      </c>
      <c r="I1842" t="s">
        <v>79</v>
      </c>
      <c r="J1842">
        <v>360</v>
      </c>
      <c r="K1842" t="s">
        <v>49</v>
      </c>
      <c r="L1842" t="s">
        <v>113</v>
      </c>
      <c r="M1842" t="s">
        <v>71</v>
      </c>
      <c r="N1842" t="s">
        <v>89</v>
      </c>
      <c r="O1842" t="s">
        <v>7232</v>
      </c>
      <c r="P1842" t="s">
        <v>38</v>
      </c>
      <c r="Q1842" t="s">
        <v>39</v>
      </c>
      <c r="R1842">
        <v>4</v>
      </c>
      <c r="S1842" t="s">
        <v>38</v>
      </c>
      <c r="T1842">
        <v>8</v>
      </c>
      <c r="U1842">
        <v>6.1</v>
      </c>
      <c r="V1842">
        <v>14.5</v>
      </c>
      <c r="W1842" t="s">
        <v>38</v>
      </c>
      <c r="X1842" t="s">
        <v>63</v>
      </c>
      <c r="Y1842" t="s">
        <v>38</v>
      </c>
      <c r="Z1842" t="s">
        <v>41</v>
      </c>
      <c r="AA1842" t="s">
        <v>109</v>
      </c>
      <c r="AB1842" t="s">
        <v>55</v>
      </c>
      <c r="AC1842">
        <f t="shared" si="308"/>
        <v>0</v>
      </c>
      <c r="AD1842" s="12">
        <f t="shared" si="312"/>
        <v>1</v>
      </c>
      <c r="AE1842" s="12">
        <f t="shared" si="313"/>
        <v>0</v>
      </c>
      <c r="AF1842">
        <f t="shared" si="309"/>
        <v>0</v>
      </c>
      <c r="AG1842">
        <f t="shared" si="314"/>
        <v>1</v>
      </c>
      <c r="AH1842">
        <f t="shared" si="315"/>
        <v>0</v>
      </c>
      <c r="AI1842">
        <f t="shared" si="316"/>
        <v>0</v>
      </c>
      <c r="AJ1842">
        <f t="shared" si="317"/>
        <v>0</v>
      </c>
      <c r="AK1842">
        <f t="shared" si="310"/>
        <v>0</v>
      </c>
      <c r="AL1842">
        <f t="shared" si="318"/>
        <v>1</v>
      </c>
    </row>
    <row r="1843" spans="1:38">
      <c r="A1843" t="s">
        <v>5656</v>
      </c>
      <c r="B1843" t="s">
        <v>5657</v>
      </c>
      <c r="C1843" s="1">
        <f t="shared" si="311"/>
        <v>45413</v>
      </c>
      <c r="D1843" t="s">
        <v>5658</v>
      </c>
      <c r="E1843">
        <v>84</v>
      </c>
      <c r="F1843">
        <v>3.5</v>
      </c>
      <c r="G1843" t="s">
        <v>87</v>
      </c>
      <c r="H1843" t="s">
        <v>309</v>
      </c>
      <c r="I1843" t="s">
        <v>48</v>
      </c>
      <c r="J1843">
        <v>120</v>
      </c>
      <c r="K1843" t="s">
        <v>49</v>
      </c>
      <c r="L1843" t="s">
        <v>96</v>
      </c>
      <c r="M1843" t="s">
        <v>71</v>
      </c>
      <c r="N1843" t="s">
        <v>119</v>
      </c>
      <c r="O1843" t="s">
        <v>51</v>
      </c>
      <c r="P1843" t="s">
        <v>38</v>
      </c>
      <c r="Q1843" t="s">
        <v>39</v>
      </c>
      <c r="R1843">
        <v>2</v>
      </c>
      <c r="S1843" t="s">
        <v>38</v>
      </c>
      <c r="T1843">
        <v>7</v>
      </c>
      <c r="U1843">
        <v>3.5</v>
      </c>
      <c r="V1843">
        <v>7.2</v>
      </c>
      <c r="W1843" t="s">
        <v>39</v>
      </c>
      <c r="X1843" t="s">
        <v>40</v>
      </c>
      <c r="Y1843" t="s">
        <v>38</v>
      </c>
      <c r="Z1843" t="s">
        <v>108</v>
      </c>
      <c r="AA1843" t="s">
        <v>42</v>
      </c>
      <c r="AB1843" t="s">
        <v>83</v>
      </c>
      <c r="AC1843">
        <f t="shared" si="308"/>
        <v>0</v>
      </c>
      <c r="AD1843" s="12">
        <f t="shared" si="312"/>
        <v>0</v>
      </c>
      <c r="AE1843" s="12">
        <f t="shared" si="313"/>
        <v>0</v>
      </c>
      <c r="AF1843">
        <f t="shared" si="309"/>
        <v>1</v>
      </c>
      <c r="AG1843">
        <f t="shared" si="314"/>
        <v>0</v>
      </c>
      <c r="AH1843">
        <f t="shared" si="315"/>
        <v>1</v>
      </c>
      <c r="AI1843">
        <f t="shared" si="316"/>
        <v>0</v>
      </c>
      <c r="AJ1843">
        <f t="shared" si="317"/>
        <v>0</v>
      </c>
      <c r="AK1843">
        <f t="shared" si="310"/>
        <v>0</v>
      </c>
      <c r="AL1843">
        <f t="shared" si="318"/>
        <v>1</v>
      </c>
    </row>
    <row r="1844" spans="1:38">
      <c r="A1844" t="s">
        <v>5659</v>
      </c>
      <c r="B1844" t="s">
        <v>5660</v>
      </c>
      <c r="C1844" s="1">
        <f t="shared" si="311"/>
        <v>45383</v>
      </c>
      <c r="D1844" t="s">
        <v>5661</v>
      </c>
      <c r="E1844">
        <v>106.8</v>
      </c>
      <c r="F1844">
        <v>4.5</v>
      </c>
      <c r="G1844" t="s">
        <v>68</v>
      </c>
      <c r="H1844" t="s">
        <v>456</v>
      </c>
      <c r="I1844" t="s">
        <v>48</v>
      </c>
      <c r="J1844">
        <v>120</v>
      </c>
      <c r="K1844" t="s">
        <v>49</v>
      </c>
      <c r="L1844" t="s">
        <v>34</v>
      </c>
      <c r="M1844" t="s">
        <v>35</v>
      </c>
      <c r="N1844" t="s">
        <v>128</v>
      </c>
      <c r="O1844" t="s">
        <v>37</v>
      </c>
      <c r="P1844" t="s">
        <v>38</v>
      </c>
      <c r="Q1844" t="s">
        <v>38</v>
      </c>
      <c r="R1844">
        <v>1</v>
      </c>
      <c r="S1844" t="s">
        <v>38</v>
      </c>
      <c r="T1844">
        <v>9</v>
      </c>
      <c r="U1844">
        <v>5</v>
      </c>
      <c r="V1844">
        <v>29.2</v>
      </c>
      <c r="W1844" t="s">
        <v>39</v>
      </c>
      <c r="X1844" t="s">
        <v>52</v>
      </c>
      <c r="Y1844" t="s">
        <v>38</v>
      </c>
      <c r="Z1844" t="s">
        <v>81</v>
      </c>
      <c r="AA1844" t="s">
        <v>42</v>
      </c>
      <c r="AB1844" t="s">
        <v>55</v>
      </c>
      <c r="AC1844">
        <f t="shared" si="308"/>
        <v>1</v>
      </c>
      <c r="AD1844" s="12">
        <f t="shared" si="312"/>
        <v>0</v>
      </c>
      <c r="AE1844" s="12">
        <f t="shared" si="313"/>
        <v>0</v>
      </c>
      <c r="AF1844">
        <f t="shared" si="309"/>
        <v>0</v>
      </c>
      <c r="AG1844">
        <f t="shared" si="314"/>
        <v>0</v>
      </c>
      <c r="AH1844">
        <f t="shared" si="315"/>
        <v>1</v>
      </c>
      <c r="AI1844">
        <f t="shared" si="316"/>
        <v>0</v>
      </c>
      <c r="AJ1844">
        <f t="shared" si="317"/>
        <v>0</v>
      </c>
      <c r="AK1844">
        <f t="shared" si="310"/>
        <v>0</v>
      </c>
      <c r="AL1844">
        <f t="shared" si="318"/>
        <v>1</v>
      </c>
    </row>
    <row r="1845" spans="1:38">
      <c r="A1845" t="s">
        <v>5662</v>
      </c>
      <c r="B1845" t="s">
        <v>5663</v>
      </c>
      <c r="C1845" s="1">
        <f t="shared" si="311"/>
        <v>45352</v>
      </c>
      <c r="D1845" t="s">
        <v>5664</v>
      </c>
      <c r="E1845">
        <v>290.7</v>
      </c>
      <c r="F1845">
        <v>12.1</v>
      </c>
      <c r="G1845" t="s">
        <v>77</v>
      </c>
      <c r="H1845" t="s">
        <v>78</v>
      </c>
      <c r="I1845" t="s">
        <v>79</v>
      </c>
      <c r="J1845">
        <v>360</v>
      </c>
      <c r="K1845" t="s">
        <v>49</v>
      </c>
      <c r="L1845" t="s">
        <v>113</v>
      </c>
      <c r="M1845" t="s">
        <v>35</v>
      </c>
      <c r="N1845" t="s">
        <v>134</v>
      </c>
      <c r="O1845" t="s">
        <v>7232</v>
      </c>
      <c r="P1845" t="s">
        <v>39</v>
      </c>
      <c r="Q1845" t="s">
        <v>38</v>
      </c>
      <c r="R1845">
        <v>0</v>
      </c>
      <c r="S1845" t="s">
        <v>39</v>
      </c>
      <c r="T1845">
        <v>10</v>
      </c>
      <c r="U1845">
        <v>1.9</v>
      </c>
      <c r="V1845">
        <v>45.1</v>
      </c>
      <c r="W1845" t="s">
        <v>39</v>
      </c>
      <c r="X1845" t="s">
        <v>52</v>
      </c>
      <c r="Y1845" t="s">
        <v>38</v>
      </c>
      <c r="Z1845" t="s">
        <v>53</v>
      </c>
      <c r="AA1845" t="s">
        <v>109</v>
      </c>
      <c r="AB1845" t="s">
        <v>55</v>
      </c>
      <c r="AC1845">
        <f t="shared" si="308"/>
        <v>1</v>
      </c>
      <c r="AD1845" s="12">
        <f t="shared" si="312"/>
        <v>0</v>
      </c>
      <c r="AE1845" s="12">
        <f t="shared" si="313"/>
        <v>0</v>
      </c>
      <c r="AF1845">
        <f t="shared" si="309"/>
        <v>0</v>
      </c>
      <c r="AG1845">
        <f t="shared" si="314"/>
        <v>1</v>
      </c>
      <c r="AH1845">
        <f t="shared" si="315"/>
        <v>0</v>
      </c>
      <c r="AI1845">
        <f t="shared" si="316"/>
        <v>0</v>
      </c>
      <c r="AJ1845">
        <f t="shared" si="317"/>
        <v>0</v>
      </c>
      <c r="AK1845">
        <f t="shared" si="310"/>
        <v>0</v>
      </c>
      <c r="AL1845">
        <f t="shared" si="318"/>
        <v>1</v>
      </c>
    </row>
    <row r="1846" spans="1:38">
      <c r="A1846" t="s">
        <v>5665</v>
      </c>
      <c r="B1846" t="s">
        <v>5666</v>
      </c>
      <c r="C1846" s="1">
        <f t="shared" si="311"/>
        <v>45536</v>
      </c>
      <c r="D1846" t="s">
        <v>5667</v>
      </c>
      <c r="E1846">
        <v>196.7</v>
      </c>
      <c r="F1846">
        <v>8.1999999999999993</v>
      </c>
      <c r="G1846" t="s">
        <v>142</v>
      </c>
      <c r="H1846" t="s">
        <v>729</v>
      </c>
      <c r="I1846" t="s">
        <v>32</v>
      </c>
      <c r="J1846">
        <v>240</v>
      </c>
      <c r="K1846" t="s">
        <v>49</v>
      </c>
      <c r="L1846" t="s">
        <v>70</v>
      </c>
      <c r="M1846" t="s">
        <v>35</v>
      </c>
      <c r="N1846" t="s">
        <v>192</v>
      </c>
      <c r="O1846" t="s">
        <v>51</v>
      </c>
      <c r="P1846" t="s">
        <v>38</v>
      </c>
      <c r="Q1846" t="s">
        <v>38</v>
      </c>
      <c r="R1846">
        <v>1</v>
      </c>
      <c r="S1846" t="s">
        <v>38</v>
      </c>
      <c r="T1846">
        <v>8</v>
      </c>
      <c r="U1846">
        <v>2.2999999999999998</v>
      </c>
      <c r="V1846">
        <v>25.7</v>
      </c>
      <c r="W1846" t="s">
        <v>38</v>
      </c>
      <c r="X1846" t="s">
        <v>52</v>
      </c>
      <c r="Y1846" t="s">
        <v>39</v>
      </c>
      <c r="Z1846" t="s">
        <v>53</v>
      </c>
      <c r="AA1846" t="s">
        <v>42</v>
      </c>
      <c r="AB1846" t="s">
        <v>83</v>
      </c>
      <c r="AC1846">
        <f t="shared" si="308"/>
        <v>1</v>
      </c>
      <c r="AD1846" s="12">
        <f t="shared" si="312"/>
        <v>0</v>
      </c>
      <c r="AE1846" s="12">
        <f t="shared" si="313"/>
        <v>0</v>
      </c>
      <c r="AF1846">
        <f t="shared" si="309"/>
        <v>1</v>
      </c>
      <c r="AG1846">
        <f t="shared" si="314"/>
        <v>0</v>
      </c>
      <c r="AH1846">
        <f t="shared" si="315"/>
        <v>0</v>
      </c>
      <c r="AI1846">
        <f t="shared" si="316"/>
        <v>0</v>
      </c>
      <c r="AJ1846">
        <f t="shared" si="317"/>
        <v>1</v>
      </c>
      <c r="AK1846">
        <f t="shared" si="310"/>
        <v>0</v>
      </c>
      <c r="AL1846">
        <f t="shared" si="318"/>
        <v>0</v>
      </c>
    </row>
    <row r="1847" spans="1:38">
      <c r="A1847" t="s">
        <v>5668</v>
      </c>
      <c r="B1847" t="s">
        <v>5669</v>
      </c>
      <c r="C1847" s="1">
        <f t="shared" si="311"/>
        <v>45292</v>
      </c>
      <c r="D1847" t="s">
        <v>5670</v>
      </c>
      <c r="E1847">
        <v>244.9</v>
      </c>
      <c r="F1847">
        <v>10.199999999999999</v>
      </c>
      <c r="G1847" t="s">
        <v>77</v>
      </c>
      <c r="H1847" t="s">
        <v>244</v>
      </c>
      <c r="I1847" t="s">
        <v>79</v>
      </c>
      <c r="J1847">
        <v>360</v>
      </c>
      <c r="K1847" t="s">
        <v>49</v>
      </c>
      <c r="L1847" t="s">
        <v>96</v>
      </c>
      <c r="M1847" t="s">
        <v>35</v>
      </c>
      <c r="N1847" t="s">
        <v>80</v>
      </c>
      <c r="O1847" t="s">
        <v>37</v>
      </c>
      <c r="P1847" t="s">
        <v>39</v>
      </c>
      <c r="Q1847" t="s">
        <v>38</v>
      </c>
      <c r="R1847">
        <v>0</v>
      </c>
      <c r="S1847" t="s">
        <v>38</v>
      </c>
      <c r="T1847">
        <v>10</v>
      </c>
      <c r="U1847">
        <v>3.8</v>
      </c>
      <c r="V1847">
        <v>14.5</v>
      </c>
      <c r="W1847" t="s">
        <v>39</v>
      </c>
      <c r="X1847" t="s">
        <v>52</v>
      </c>
      <c r="Y1847" t="s">
        <v>38</v>
      </c>
      <c r="Z1847" t="s">
        <v>64</v>
      </c>
      <c r="AA1847" t="s">
        <v>54</v>
      </c>
      <c r="AB1847" t="s">
        <v>55</v>
      </c>
      <c r="AC1847">
        <f t="shared" si="308"/>
        <v>1</v>
      </c>
      <c r="AD1847" s="12">
        <f t="shared" si="312"/>
        <v>0</v>
      </c>
      <c r="AE1847" s="12">
        <f t="shared" si="313"/>
        <v>0</v>
      </c>
      <c r="AF1847">
        <f t="shared" si="309"/>
        <v>0</v>
      </c>
      <c r="AG1847">
        <f t="shared" si="314"/>
        <v>0</v>
      </c>
      <c r="AH1847">
        <f t="shared" si="315"/>
        <v>0</v>
      </c>
      <c r="AI1847">
        <f t="shared" si="316"/>
        <v>0</v>
      </c>
      <c r="AJ1847">
        <f t="shared" si="317"/>
        <v>0</v>
      </c>
      <c r="AK1847">
        <f t="shared" si="310"/>
        <v>0</v>
      </c>
      <c r="AL1847">
        <f t="shared" si="318"/>
        <v>1</v>
      </c>
    </row>
    <row r="1848" spans="1:38">
      <c r="A1848" t="s">
        <v>5671</v>
      </c>
      <c r="B1848" t="s">
        <v>5672</v>
      </c>
      <c r="C1848" s="1">
        <f t="shared" si="311"/>
        <v>45597</v>
      </c>
      <c r="D1848" t="s">
        <v>5673</v>
      </c>
      <c r="E1848">
        <v>282.10000000000002</v>
      </c>
      <c r="F1848">
        <v>11.8</v>
      </c>
      <c r="G1848" t="s">
        <v>77</v>
      </c>
      <c r="H1848" t="s">
        <v>244</v>
      </c>
      <c r="I1848" t="s">
        <v>79</v>
      </c>
      <c r="J1848">
        <v>360</v>
      </c>
      <c r="K1848" t="s">
        <v>49</v>
      </c>
      <c r="L1848" t="s">
        <v>96</v>
      </c>
      <c r="M1848" t="s">
        <v>35</v>
      </c>
      <c r="N1848" t="s">
        <v>164</v>
      </c>
      <c r="O1848" t="s">
        <v>51</v>
      </c>
      <c r="P1848" t="s">
        <v>39</v>
      </c>
      <c r="Q1848" t="s">
        <v>38</v>
      </c>
      <c r="R1848">
        <v>0</v>
      </c>
      <c r="S1848" t="s">
        <v>38</v>
      </c>
      <c r="T1848">
        <v>10</v>
      </c>
      <c r="U1848">
        <v>2.5</v>
      </c>
      <c r="V1848">
        <v>33.700000000000003</v>
      </c>
      <c r="W1848" t="s">
        <v>38</v>
      </c>
      <c r="X1848" t="s">
        <v>40</v>
      </c>
      <c r="Y1848" t="s">
        <v>39</v>
      </c>
      <c r="Z1848" t="s">
        <v>41</v>
      </c>
      <c r="AA1848" t="s">
        <v>54</v>
      </c>
      <c r="AB1848" t="s">
        <v>55</v>
      </c>
      <c r="AC1848">
        <f t="shared" si="308"/>
        <v>0</v>
      </c>
      <c r="AD1848" s="12">
        <f t="shared" si="312"/>
        <v>0</v>
      </c>
      <c r="AE1848" s="12">
        <f t="shared" si="313"/>
        <v>0</v>
      </c>
      <c r="AF1848">
        <f t="shared" si="309"/>
        <v>1</v>
      </c>
      <c r="AG1848">
        <f t="shared" si="314"/>
        <v>0</v>
      </c>
      <c r="AH1848">
        <f t="shared" si="315"/>
        <v>0</v>
      </c>
      <c r="AI1848">
        <f t="shared" si="316"/>
        <v>0</v>
      </c>
      <c r="AJ1848">
        <f t="shared" si="317"/>
        <v>0</v>
      </c>
      <c r="AK1848">
        <f t="shared" si="310"/>
        <v>0</v>
      </c>
      <c r="AL1848">
        <f t="shared" si="318"/>
        <v>0</v>
      </c>
    </row>
    <row r="1849" spans="1:38">
      <c r="A1849" t="s">
        <v>5674</v>
      </c>
      <c r="B1849" t="s">
        <v>5675</v>
      </c>
      <c r="C1849" s="1">
        <f t="shared" si="311"/>
        <v>45566</v>
      </c>
      <c r="D1849" t="s">
        <v>5676</v>
      </c>
      <c r="E1849">
        <v>337.6</v>
      </c>
      <c r="F1849">
        <v>14.1</v>
      </c>
      <c r="G1849" t="s">
        <v>77</v>
      </c>
      <c r="H1849" t="s">
        <v>267</v>
      </c>
      <c r="I1849" t="s">
        <v>79</v>
      </c>
      <c r="J1849">
        <v>360</v>
      </c>
      <c r="K1849" t="s">
        <v>49</v>
      </c>
      <c r="L1849" t="s">
        <v>133</v>
      </c>
      <c r="M1849" t="s">
        <v>35</v>
      </c>
      <c r="N1849" t="s">
        <v>155</v>
      </c>
      <c r="O1849" t="s">
        <v>37</v>
      </c>
      <c r="P1849" t="s">
        <v>38</v>
      </c>
      <c r="Q1849" t="s">
        <v>38</v>
      </c>
      <c r="R1849">
        <v>1</v>
      </c>
      <c r="S1849" t="s">
        <v>38</v>
      </c>
      <c r="T1849">
        <v>8</v>
      </c>
      <c r="U1849">
        <v>3.8</v>
      </c>
      <c r="V1849">
        <v>13.6</v>
      </c>
      <c r="W1849" t="s">
        <v>39</v>
      </c>
      <c r="X1849" t="s">
        <v>52</v>
      </c>
      <c r="Y1849" t="s">
        <v>39</v>
      </c>
      <c r="Z1849" t="s">
        <v>64</v>
      </c>
      <c r="AA1849" t="s">
        <v>103</v>
      </c>
      <c r="AB1849" t="s">
        <v>43</v>
      </c>
      <c r="AC1849">
        <f t="shared" si="308"/>
        <v>1</v>
      </c>
      <c r="AD1849" s="12">
        <f t="shared" si="312"/>
        <v>0</v>
      </c>
      <c r="AE1849" s="12">
        <f t="shared" si="313"/>
        <v>0</v>
      </c>
      <c r="AF1849">
        <f t="shared" si="309"/>
        <v>0</v>
      </c>
      <c r="AG1849">
        <f t="shared" si="314"/>
        <v>0</v>
      </c>
      <c r="AH1849">
        <f t="shared" si="315"/>
        <v>0</v>
      </c>
      <c r="AI1849">
        <f t="shared" si="316"/>
        <v>0</v>
      </c>
      <c r="AJ1849">
        <f t="shared" si="317"/>
        <v>0</v>
      </c>
      <c r="AK1849">
        <f t="shared" si="310"/>
        <v>0</v>
      </c>
      <c r="AL1849">
        <f t="shared" si="318"/>
        <v>0</v>
      </c>
    </row>
    <row r="1850" spans="1:38">
      <c r="A1850" t="s">
        <v>5677</v>
      </c>
      <c r="B1850" t="s">
        <v>5678</v>
      </c>
      <c r="C1850" s="1">
        <f t="shared" si="311"/>
        <v>45292</v>
      </c>
      <c r="D1850" t="s">
        <v>5679</v>
      </c>
      <c r="E1850">
        <v>157.9</v>
      </c>
      <c r="F1850">
        <v>6.6</v>
      </c>
      <c r="G1850" t="s">
        <v>142</v>
      </c>
      <c r="H1850" t="s">
        <v>729</v>
      </c>
      <c r="I1850" t="s">
        <v>48</v>
      </c>
      <c r="J1850">
        <v>120</v>
      </c>
      <c r="K1850" t="s">
        <v>33</v>
      </c>
      <c r="L1850" t="s">
        <v>34</v>
      </c>
      <c r="M1850" t="s">
        <v>71</v>
      </c>
      <c r="N1850" t="s">
        <v>168</v>
      </c>
      <c r="O1850" t="s">
        <v>51</v>
      </c>
      <c r="P1850" t="s">
        <v>38</v>
      </c>
      <c r="Q1850" t="s">
        <v>39</v>
      </c>
      <c r="R1850">
        <v>2</v>
      </c>
      <c r="S1850" t="s">
        <v>38</v>
      </c>
      <c r="T1850">
        <v>6</v>
      </c>
      <c r="U1850">
        <v>0.8</v>
      </c>
      <c r="V1850">
        <v>29.4</v>
      </c>
      <c r="W1850" t="s">
        <v>39</v>
      </c>
      <c r="X1850" t="s">
        <v>123</v>
      </c>
      <c r="Y1850" t="s">
        <v>39</v>
      </c>
      <c r="Z1850" t="s">
        <v>64</v>
      </c>
      <c r="AA1850" t="s">
        <v>109</v>
      </c>
      <c r="AB1850" t="s">
        <v>55</v>
      </c>
      <c r="AC1850">
        <f t="shared" si="308"/>
        <v>0</v>
      </c>
      <c r="AD1850" s="12">
        <f t="shared" si="312"/>
        <v>0</v>
      </c>
      <c r="AE1850" s="12">
        <f t="shared" si="313"/>
        <v>1</v>
      </c>
      <c r="AF1850">
        <f t="shared" si="309"/>
        <v>1</v>
      </c>
      <c r="AG1850">
        <f t="shared" si="314"/>
        <v>0</v>
      </c>
      <c r="AH1850">
        <f t="shared" si="315"/>
        <v>1</v>
      </c>
      <c r="AI1850">
        <f t="shared" si="316"/>
        <v>0</v>
      </c>
      <c r="AJ1850">
        <f t="shared" si="317"/>
        <v>0</v>
      </c>
      <c r="AK1850">
        <f t="shared" si="310"/>
        <v>0</v>
      </c>
      <c r="AL1850">
        <f t="shared" si="318"/>
        <v>0</v>
      </c>
    </row>
    <row r="1851" spans="1:38">
      <c r="A1851" t="s">
        <v>5680</v>
      </c>
      <c r="B1851" t="s">
        <v>5681</v>
      </c>
      <c r="C1851" s="1">
        <f t="shared" si="311"/>
        <v>45536</v>
      </c>
      <c r="D1851" t="s">
        <v>5682</v>
      </c>
      <c r="E1851">
        <v>149.6</v>
      </c>
      <c r="F1851">
        <v>6.2</v>
      </c>
      <c r="G1851" t="s">
        <v>68</v>
      </c>
      <c r="H1851" t="s">
        <v>69</v>
      </c>
      <c r="I1851" t="s">
        <v>48</v>
      </c>
      <c r="J1851">
        <v>120</v>
      </c>
      <c r="K1851" t="s">
        <v>33</v>
      </c>
      <c r="L1851" t="s">
        <v>70</v>
      </c>
      <c r="M1851" t="s">
        <v>35</v>
      </c>
      <c r="N1851" t="s">
        <v>119</v>
      </c>
      <c r="O1851" t="s">
        <v>37</v>
      </c>
      <c r="P1851" t="s">
        <v>38</v>
      </c>
      <c r="Q1851" t="s">
        <v>38</v>
      </c>
      <c r="R1851">
        <v>1</v>
      </c>
      <c r="S1851" t="s">
        <v>38</v>
      </c>
      <c r="T1851">
        <v>5</v>
      </c>
      <c r="U1851">
        <v>1.9</v>
      </c>
      <c r="V1851">
        <v>12.8</v>
      </c>
      <c r="W1851" t="s">
        <v>38</v>
      </c>
      <c r="X1851" t="s">
        <v>63</v>
      </c>
      <c r="Y1851" t="s">
        <v>38</v>
      </c>
      <c r="Z1851" t="s">
        <v>53</v>
      </c>
      <c r="AA1851" t="s">
        <v>42</v>
      </c>
      <c r="AB1851" t="s">
        <v>55</v>
      </c>
      <c r="AC1851">
        <f t="shared" si="308"/>
        <v>0</v>
      </c>
      <c r="AD1851" s="12">
        <f t="shared" si="312"/>
        <v>1</v>
      </c>
      <c r="AE1851" s="12">
        <f t="shared" si="313"/>
        <v>0</v>
      </c>
      <c r="AF1851">
        <f t="shared" si="309"/>
        <v>0</v>
      </c>
      <c r="AG1851">
        <f t="shared" si="314"/>
        <v>0</v>
      </c>
      <c r="AH1851">
        <f t="shared" si="315"/>
        <v>1</v>
      </c>
      <c r="AI1851">
        <f t="shared" si="316"/>
        <v>0</v>
      </c>
      <c r="AJ1851">
        <f t="shared" si="317"/>
        <v>0</v>
      </c>
      <c r="AK1851">
        <f t="shared" si="310"/>
        <v>0</v>
      </c>
      <c r="AL1851">
        <f t="shared" si="318"/>
        <v>1</v>
      </c>
    </row>
    <row r="1852" spans="1:38">
      <c r="A1852" t="s">
        <v>5683</v>
      </c>
      <c r="B1852" t="s">
        <v>5684</v>
      </c>
      <c r="C1852" s="1">
        <f t="shared" si="311"/>
        <v>45597</v>
      </c>
      <c r="D1852" t="s">
        <v>5685</v>
      </c>
      <c r="E1852">
        <v>166.2</v>
      </c>
      <c r="F1852">
        <v>6.9</v>
      </c>
      <c r="G1852" t="s">
        <v>30</v>
      </c>
      <c r="H1852" t="s">
        <v>31</v>
      </c>
      <c r="I1852" t="s">
        <v>32</v>
      </c>
      <c r="J1852">
        <v>240</v>
      </c>
      <c r="K1852" t="s">
        <v>49</v>
      </c>
      <c r="L1852" t="s">
        <v>70</v>
      </c>
      <c r="M1852" t="s">
        <v>35</v>
      </c>
      <c r="N1852" t="s">
        <v>202</v>
      </c>
      <c r="O1852" t="s">
        <v>51</v>
      </c>
      <c r="P1852" t="s">
        <v>39</v>
      </c>
      <c r="Q1852" t="s">
        <v>38</v>
      </c>
      <c r="R1852">
        <v>0</v>
      </c>
      <c r="S1852" t="s">
        <v>38</v>
      </c>
      <c r="T1852">
        <v>10</v>
      </c>
      <c r="U1852">
        <v>2.7</v>
      </c>
      <c r="V1852">
        <v>42.1</v>
      </c>
      <c r="W1852" t="s">
        <v>39</v>
      </c>
      <c r="X1852" t="s">
        <v>63</v>
      </c>
      <c r="Y1852" t="s">
        <v>39</v>
      </c>
      <c r="Z1852" t="s">
        <v>73</v>
      </c>
      <c r="AA1852" t="s">
        <v>109</v>
      </c>
      <c r="AB1852" t="s">
        <v>83</v>
      </c>
      <c r="AC1852">
        <f t="shared" si="308"/>
        <v>0</v>
      </c>
      <c r="AD1852" s="12">
        <f t="shared" si="312"/>
        <v>1</v>
      </c>
      <c r="AE1852" s="12">
        <f t="shared" si="313"/>
        <v>0</v>
      </c>
      <c r="AF1852">
        <f t="shared" si="309"/>
        <v>1</v>
      </c>
      <c r="AG1852">
        <f t="shared" si="314"/>
        <v>0</v>
      </c>
      <c r="AH1852">
        <f t="shared" si="315"/>
        <v>0</v>
      </c>
      <c r="AI1852">
        <f t="shared" si="316"/>
        <v>0</v>
      </c>
      <c r="AJ1852">
        <f t="shared" si="317"/>
        <v>1</v>
      </c>
      <c r="AK1852">
        <f t="shared" si="310"/>
        <v>1</v>
      </c>
      <c r="AL1852">
        <f t="shared" si="318"/>
        <v>0</v>
      </c>
    </row>
    <row r="1853" spans="1:38">
      <c r="A1853" t="s">
        <v>5686</v>
      </c>
      <c r="B1853" t="s">
        <v>5687</v>
      </c>
      <c r="C1853" s="1">
        <f t="shared" si="311"/>
        <v>45444</v>
      </c>
      <c r="D1853" t="s">
        <v>5688</v>
      </c>
      <c r="E1853">
        <v>301</v>
      </c>
      <c r="F1853">
        <v>12.5</v>
      </c>
      <c r="G1853" t="s">
        <v>68</v>
      </c>
      <c r="H1853" t="s">
        <v>212</v>
      </c>
      <c r="I1853" t="s">
        <v>79</v>
      </c>
      <c r="J1853">
        <v>360</v>
      </c>
      <c r="K1853" t="s">
        <v>49</v>
      </c>
      <c r="L1853" t="s">
        <v>96</v>
      </c>
      <c r="M1853" t="s">
        <v>71</v>
      </c>
      <c r="N1853" t="s">
        <v>188</v>
      </c>
      <c r="O1853" t="s">
        <v>7232</v>
      </c>
      <c r="P1853" t="s">
        <v>38</v>
      </c>
      <c r="Q1853" t="s">
        <v>39</v>
      </c>
      <c r="R1853">
        <v>2</v>
      </c>
      <c r="S1853" t="s">
        <v>38</v>
      </c>
      <c r="T1853">
        <v>8</v>
      </c>
      <c r="U1853">
        <v>0.8</v>
      </c>
      <c r="V1853">
        <v>16.2</v>
      </c>
      <c r="W1853" t="s">
        <v>39</v>
      </c>
      <c r="X1853" t="s">
        <v>40</v>
      </c>
      <c r="Y1853" t="s">
        <v>39</v>
      </c>
      <c r="Z1853" t="s">
        <v>73</v>
      </c>
      <c r="AA1853" t="s">
        <v>42</v>
      </c>
      <c r="AB1853" t="s">
        <v>83</v>
      </c>
      <c r="AC1853">
        <f t="shared" si="308"/>
        <v>0</v>
      </c>
      <c r="AD1853" s="12">
        <f t="shared" si="312"/>
        <v>0</v>
      </c>
      <c r="AE1853" s="12">
        <f t="shared" si="313"/>
        <v>0</v>
      </c>
      <c r="AF1853">
        <f t="shared" si="309"/>
        <v>0</v>
      </c>
      <c r="AG1853">
        <f t="shared" si="314"/>
        <v>1</v>
      </c>
      <c r="AH1853">
        <f t="shared" si="315"/>
        <v>0</v>
      </c>
      <c r="AI1853">
        <f t="shared" si="316"/>
        <v>0</v>
      </c>
      <c r="AJ1853">
        <f t="shared" si="317"/>
        <v>0</v>
      </c>
      <c r="AK1853">
        <f t="shared" si="310"/>
        <v>0</v>
      </c>
      <c r="AL1853">
        <f t="shared" si="318"/>
        <v>0</v>
      </c>
    </row>
    <row r="1854" spans="1:38">
      <c r="A1854" t="s">
        <v>5689</v>
      </c>
      <c r="B1854" t="s">
        <v>5690</v>
      </c>
      <c r="C1854" s="1">
        <f t="shared" si="311"/>
        <v>45597</v>
      </c>
      <c r="D1854" t="s">
        <v>5691</v>
      </c>
      <c r="E1854">
        <v>150.1</v>
      </c>
      <c r="F1854">
        <v>6.3</v>
      </c>
      <c r="G1854" t="s">
        <v>142</v>
      </c>
      <c r="H1854" t="s">
        <v>240</v>
      </c>
      <c r="I1854" t="s">
        <v>48</v>
      </c>
      <c r="J1854">
        <v>120</v>
      </c>
      <c r="K1854" t="s">
        <v>33</v>
      </c>
      <c r="L1854" t="s">
        <v>113</v>
      </c>
      <c r="M1854" t="s">
        <v>71</v>
      </c>
      <c r="N1854" t="s">
        <v>134</v>
      </c>
      <c r="O1854" t="s">
        <v>7232</v>
      </c>
      <c r="P1854" t="s">
        <v>38</v>
      </c>
      <c r="Q1854" t="s">
        <v>39</v>
      </c>
      <c r="R1854">
        <v>3</v>
      </c>
      <c r="S1854" t="s">
        <v>38</v>
      </c>
      <c r="T1854">
        <v>5</v>
      </c>
      <c r="U1854">
        <v>4.5999999999999996</v>
      </c>
      <c r="V1854">
        <v>31</v>
      </c>
      <c r="W1854" t="s">
        <v>38</v>
      </c>
      <c r="X1854" t="s">
        <v>52</v>
      </c>
      <c r="Y1854" t="s">
        <v>39</v>
      </c>
      <c r="Z1854" t="s">
        <v>115</v>
      </c>
      <c r="AA1854" t="s">
        <v>109</v>
      </c>
      <c r="AB1854" t="s">
        <v>83</v>
      </c>
      <c r="AC1854">
        <f t="shared" si="308"/>
        <v>1</v>
      </c>
      <c r="AD1854" s="12">
        <f t="shared" si="312"/>
        <v>0</v>
      </c>
      <c r="AE1854" s="12">
        <f t="shared" si="313"/>
        <v>0</v>
      </c>
      <c r="AF1854">
        <f t="shared" si="309"/>
        <v>0</v>
      </c>
      <c r="AG1854">
        <f t="shared" si="314"/>
        <v>1</v>
      </c>
      <c r="AH1854">
        <f t="shared" si="315"/>
        <v>1</v>
      </c>
      <c r="AI1854">
        <f t="shared" si="316"/>
        <v>0</v>
      </c>
      <c r="AJ1854">
        <f t="shared" si="317"/>
        <v>0</v>
      </c>
      <c r="AK1854">
        <f t="shared" si="310"/>
        <v>0</v>
      </c>
      <c r="AL1854">
        <f t="shared" si="318"/>
        <v>0</v>
      </c>
    </row>
    <row r="1855" spans="1:38">
      <c r="A1855" t="s">
        <v>5692</v>
      </c>
      <c r="B1855" t="s">
        <v>5693</v>
      </c>
      <c r="C1855" s="1">
        <f t="shared" si="311"/>
        <v>45536</v>
      </c>
      <c r="D1855" t="s">
        <v>5694</v>
      </c>
      <c r="E1855">
        <v>397.5</v>
      </c>
      <c r="F1855">
        <v>16.600000000000001</v>
      </c>
      <c r="G1855" t="s">
        <v>77</v>
      </c>
      <c r="H1855" t="s">
        <v>78</v>
      </c>
      <c r="I1855" t="s">
        <v>79</v>
      </c>
      <c r="J1855">
        <v>360</v>
      </c>
      <c r="K1855" t="s">
        <v>33</v>
      </c>
      <c r="L1855" t="s">
        <v>96</v>
      </c>
      <c r="M1855" t="s">
        <v>35</v>
      </c>
      <c r="N1855" t="s">
        <v>72</v>
      </c>
      <c r="O1855" t="s">
        <v>51</v>
      </c>
      <c r="P1855" t="s">
        <v>39</v>
      </c>
      <c r="Q1855" t="s">
        <v>38</v>
      </c>
      <c r="R1855">
        <v>0</v>
      </c>
      <c r="S1855" t="s">
        <v>39</v>
      </c>
      <c r="T1855">
        <v>6</v>
      </c>
      <c r="U1855">
        <v>1.5</v>
      </c>
      <c r="V1855">
        <v>10.3</v>
      </c>
      <c r="W1855" t="s">
        <v>38</v>
      </c>
      <c r="X1855" t="s">
        <v>123</v>
      </c>
      <c r="Y1855" t="s">
        <v>39</v>
      </c>
      <c r="Z1855" t="s">
        <v>64</v>
      </c>
      <c r="AA1855" t="s">
        <v>109</v>
      </c>
      <c r="AB1855" t="s">
        <v>55</v>
      </c>
      <c r="AC1855">
        <f t="shared" si="308"/>
        <v>0</v>
      </c>
      <c r="AD1855" s="12">
        <f t="shared" si="312"/>
        <v>0</v>
      </c>
      <c r="AE1855" s="12">
        <f t="shared" si="313"/>
        <v>1</v>
      </c>
      <c r="AF1855">
        <f t="shared" si="309"/>
        <v>1</v>
      </c>
      <c r="AG1855">
        <f t="shared" si="314"/>
        <v>0</v>
      </c>
      <c r="AH1855">
        <f t="shared" si="315"/>
        <v>0</v>
      </c>
      <c r="AI1855">
        <f t="shared" si="316"/>
        <v>0</v>
      </c>
      <c r="AJ1855">
        <f t="shared" si="317"/>
        <v>0</v>
      </c>
      <c r="AK1855">
        <f t="shared" si="310"/>
        <v>0</v>
      </c>
      <c r="AL1855">
        <f t="shared" si="318"/>
        <v>0</v>
      </c>
    </row>
    <row r="1856" spans="1:38">
      <c r="A1856" t="s">
        <v>5695</v>
      </c>
      <c r="B1856" t="s">
        <v>5696</v>
      </c>
      <c r="C1856" s="1">
        <f t="shared" si="311"/>
        <v>45323</v>
      </c>
      <c r="D1856" t="s">
        <v>5697</v>
      </c>
      <c r="E1856">
        <v>101.6</v>
      </c>
      <c r="F1856">
        <v>4.2</v>
      </c>
      <c r="G1856" t="s">
        <v>68</v>
      </c>
      <c r="H1856" t="s">
        <v>456</v>
      </c>
      <c r="I1856" t="s">
        <v>48</v>
      </c>
      <c r="J1856">
        <v>120</v>
      </c>
      <c r="K1856" t="s">
        <v>49</v>
      </c>
      <c r="L1856" t="s">
        <v>113</v>
      </c>
      <c r="M1856" t="s">
        <v>35</v>
      </c>
      <c r="N1856" t="s">
        <v>128</v>
      </c>
      <c r="O1856" t="s">
        <v>7232</v>
      </c>
      <c r="P1856" t="s">
        <v>38</v>
      </c>
      <c r="Q1856" t="s">
        <v>38</v>
      </c>
      <c r="R1856">
        <v>1</v>
      </c>
      <c r="S1856" t="s">
        <v>38</v>
      </c>
      <c r="T1856">
        <v>9</v>
      </c>
      <c r="U1856">
        <v>6</v>
      </c>
      <c r="V1856">
        <v>38.9</v>
      </c>
      <c r="W1856" t="s">
        <v>39</v>
      </c>
      <c r="X1856" t="s">
        <v>123</v>
      </c>
      <c r="Y1856" t="s">
        <v>39</v>
      </c>
      <c r="Z1856" t="s">
        <v>53</v>
      </c>
      <c r="AA1856" t="s">
        <v>109</v>
      </c>
      <c r="AB1856" t="s">
        <v>55</v>
      </c>
      <c r="AC1856">
        <f t="shared" si="308"/>
        <v>0</v>
      </c>
      <c r="AD1856" s="12">
        <f t="shared" si="312"/>
        <v>0</v>
      </c>
      <c r="AE1856" s="12">
        <f t="shared" si="313"/>
        <v>1</v>
      </c>
      <c r="AF1856">
        <f t="shared" si="309"/>
        <v>0</v>
      </c>
      <c r="AG1856">
        <f t="shared" si="314"/>
        <v>1</v>
      </c>
      <c r="AH1856">
        <f t="shared" si="315"/>
        <v>1</v>
      </c>
      <c r="AI1856">
        <f t="shared" si="316"/>
        <v>0</v>
      </c>
      <c r="AJ1856">
        <f t="shared" si="317"/>
        <v>0</v>
      </c>
      <c r="AK1856">
        <f t="shared" si="310"/>
        <v>0</v>
      </c>
      <c r="AL1856">
        <f t="shared" si="318"/>
        <v>0</v>
      </c>
    </row>
    <row r="1857" spans="1:38">
      <c r="A1857" t="s">
        <v>5698</v>
      </c>
      <c r="B1857" t="s">
        <v>5699</v>
      </c>
      <c r="C1857" s="1">
        <f t="shared" si="311"/>
        <v>45292</v>
      </c>
      <c r="D1857" t="s">
        <v>5700</v>
      </c>
      <c r="E1857">
        <v>306.8</v>
      </c>
      <c r="F1857">
        <v>12.8</v>
      </c>
      <c r="G1857" t="s">
        <v>87</v>
      </c>
      <c r="H1857" t="s">
        <v>151</v>
      </c>
      <c r="I1857" t="s">
        <v>32</v>
      </c>
      <c r="J1857">
        <v>240</v>
      </c>
      <c r="K1857" t="s">
        <v>33</v>
      </c>
      <c r="L1857" t="s">
        <v>96</v>
      </c>
      <c r="M1857" t="s">
        <v>35</v>
      </c>
      <c r="N1857" t="s">
        <v>114</v>
      </c>
      <c r="O1857" t="s">
        <v>37</v>
      </c>
      <c r="P1857" t="s">
        <v>39</v>
      </c>
      <c r="Q1857" t="s">
        <v>38</v>
      </c>
      <c r="R1857">
        <v>0</v>
      </c>
      <c r="S1857" t="s">
        <v>39</v>
      </c>
      <c r="T1857">
        <v>8</v>
      </c>
      <c r="U1857">
        <v>2.2000000000000002</v>
      </c>
      <c r="V1857">
        <v>0</v>
      </c>
      <c r="W1857" t="s">
        <v>38</v>
      </c>
      <c r="X1857" t="s">
        <v>52</v>
      </c>
      <c r="Y1857" t="s">
        <v>39</v>
      </c>
      <c r="Z1857" t="s">
        <v>53</v>
      </c>
      <c r="AA1857" t="s">
        <v>54</v>
      </c>
      <c r="AB1857" t="s">
        <v>83</v>
      </c>
      <c r="AC1857">
        <f t="shared" si="308"/>
        <v>1</v>
      </c>
      <c r="AD1857" s="12">
        <f t="shared" si="312"/>
        <v>0</v>
      </c>
      <c r="AE1857" s="12">
        <f t="shared" si="313"/>
        <v>0</v>
      </c>
      <c r="AF1857">
        <f t="shared" si="309"/>
        <v>0</v>
      </c>
      <c r="AG1857">
        <f t="shared" si="314"/>
        <v>0</v>
      </c>
      <c r="AH1857">
        <f t="shared" si="315"/>
        <v>0</v>
      </c>
      <c r="AI1857">
        <f t="shared" si="316"/>
        <v>0</v>
      </c>
      <c r="AJ1857">
        <f t="shared" si="317"/>
        <v>1</v>
      </c>
      <c r="AK1857">
        <f t="shared" si="310"/>
        <v>0</v>
      </c>
      <c r="AL1857">
        <f t="shared" si="318"/>
        <v>0</v>
      </c>
    </row>
    <row r="1858" spans="1:38">
      <c r="A1858" t="s">
        <v>5701</v>
      </c>
      <c r="B1858" t="s">
        <v>5702</v>
      </c>
      <c r="C1858" s="1">
        <f t="shared" si="311"/>
        <v>45413</v>
      </c>
      <c r="D1858" t="s">
        <v>5703</v>
      </c>
      <c r="E1858">
        <v>219.6</v>
      </c>
      <c r="F1858">
        <v>9.1999999999999993</v>
      </c>
      <c r="G1858" t="s">
        <v>77</v>
      </c>
      <c r="H1858" t="s">
        <v>267</v>
      </c>
      <c r="I1858" t="s">
        <v>79</v>
      </c>
      <c r="J1858">
        <v>360</v>
      </c>
      <c r="K1858" t="s">
        <v>49</v>
      </c>
      <c r="L1858" t="s">
        <v>70</v>
      </c>
      <c r="M1858" t="s">
        <v>35</v>
      </c>
      <c r="N1858" t="s">
        <v>168</v>
      </c>
      <c r="O1858" t="s">
        <v>51</v>
      </c>
      <c r="P1858" t="s">
        <v>39</v>
      </c>
      <c r="Q1858" t="s">
        <v>38</v>
      </c>
      <c r="R1858">
        <v>0</v>
      </c>
      <c r="S1858" t="s">
        <v>39</v>
      </c>
      <c r="T1858">
        <v>9</v>
      </c>
      <c r="U1858">
        <v>3.8</v>
      </c>
      <c r="V1858">
        <v>6.2</v>
      </c>
      <c r="W1858" t="s">
        <v>39</v>
      </c>
      <c r="X1858" t="s">
        <v>63</v>
      </c>
      <c r="Y1858" t="s">
        <v>38</v>
      </c>
      <c r="Z1858" t="s">
        <v>73</v>
      </c>
      <c r="AA1858" t="s">
        <v>54</v>
      </c>
      <c r="AB1858" t="s">
        <v>43</v>
      </c>
      <c r="AC1858">
        <f t="shared" ref="AC1858:AC1921" si="319">IF(X1858="Poor", 1, 0)</f>
        <v>0</v>
      </c>
      <c r="AD1858" s="12">
        <f t="shared" si="312"/>
        <v>1</v>
      </c>
      <c r="AE1858" s="12">
        <f t="shared" si="313"/>
        <v>0</v>
      </c>
      <c r="AF1858">
        <f t="shared" ref="AF1858:AF1921" si="320">IF(O1858="Junior", 1, 0)</f>
        <v>1</v>
      </c>
      <c r="AG1858">
        <f t="shared" si="314"/>
        <v>0</v>
      </c>
      <c r="AH1858">
        <f t="shared" si="315"/>
        <v>0</v>
      </c>
      <c r="AI1858">
        <f t="shared" si="316"/>
        <v>0</v>
      </c>
      <c r="AJ1858">
        <f t="shared" si="317"/>
        <v>0</v>
      </c>
      <c r="AK1858">
        <f t="shared" ref="AK1858:AK1921" si="321">IF(G1858="Access Requests", 1, 0)</f>
        <v>0</v>
      </c>
      <c r="AL1858">
        <f t="shared" si="318"/>
        <v>1</v>
      </c>
    </row>
    <row r="1859" spans="1:38">
      <c r="A1859" t="s">
        <v>5704</v>
      </c>
      <c r="B1859" t="s">
        <v>5705</v>
      </c>
      <c r="C1859" s="1">
        <f t="shared" ref="C1859:C1922" si="322">DATE(YEAR(B1859),MONTH(B1859),1)</f>
        <v>45627</v>
      </c>
      <c r="D1859" t="s">
        <v>5706</v>
      </c>
      <c r="E1859">
        <v>37.700000000000003</v>
      </c>
      <c r="F1859">
        <v>1.6</v>
      </c>
      <c r="G1859" t="s">
        <v>59</v>
      </c>
      <c r="H1859" t="s">
        <v>132</v>
      </c>
      <c r="I1859" t="s">
        <v>95</v>
      </c>
      <c r="J1859">
        <v>48</v>
      </c>
      <c r="K1859" t="s">
        <v>49</v>
      </c>
      <c r="L1859" t="s">
        <v>34</v>
      </c>
      <c r="M1859" t="s">
        <v>35</v>
      </c>
      <c r="N1859" t="s">
        <v>128</v>
      </c>
      <c r="O1859" t="s">
        <v>37</v>
      </c>
      <c r="P1859" t="s">
        <v>38</v>
      </c>
      <c r="Q1859" t="s">
        <v>38</v>
      </c>
      <c r="R1859">
        <v>1</v>
      </c>
      <c r="S1859" t="s">
        <v>38</v>
      </c>
      <c r="T1859">
        <v>10</v>
      </c>
      <c r="U1859">
        <v>3.3</v>
      </c>
      <c r="V1859">
        <v>3.9</v>
      </c>
      <c r="W1859" t="s">
        <v>38</v>
      </c>
      <c r="X1859" t="s">
        <v>40</v>
      </c>
      <c r="Y1859" t="s">
        <v>38</v>
      </c>
      <c r="Z1859" t="s">
        <v>179</v>
      </c>
      <c r="AA1859" t="s">
        <v>54</v>
      </c>
      <c r="AB1859" t="s">
        <v>55</v>
      </c>
      <c r="AC1859">
        <f t="shared" si="319"/>
        <v>0</v>
      </c>
      <c r="AD1859" s="12">
        <f t="shared" ref="AD1859:AD1922" si="323">IF(X1859="Fair", 1, 0)</f>
        <v>0</v>
      </c>
      <c r="AE1859" s="12">
        <f t="shared" ref="AE1859:AE1922" si="324">IF(X1859="Good", 1, 0)</f>
        <v>0</v>
      </c>
      <c r="AF1859">
        <f t="shared" si="320"/>
        <v>0</v>
      </c>
      <c r="AG1859">
        <f t="shared" ref="AG1859:AG1922" si="325">IF(O1859="Mid", 1, 0)</f>
        <v>0</v>
      </c>
      <c r="AH1859">
        <f t="shared" ref="AH1859:AH1922" si="326">IF(I1859="High", 1, 0)</f>
        <v>0</v>
      </c>
      <c r="AI1859">
        <f t="shared" ref="AI1859:AI1922" si="327">IF(I1859="Critical", 1, 0)</f>
        <v>1</v>
      </c>
      <c r="AJ1859">
        <f t="shared" ref="AJ1859:AJ1922" si="328">IF(I1859="Medium", 1, 0)</f>
        <v>0</v>
      </c>
      <c r="AK1859">
        <f t="shared" si="321"/>
        <v>0</v>
      </c>
      <c r="AL1859">
        <f t="shared" ref="AL1859:AL1922" si="329">IF(Y1859="No", 1, 0)</f>
        <v>1</v>
      </c>
    </row>
    <row r="1860" spans="1:38">
      <c r="A1860" t="s">
        <v>5707</v>
      </c>
      <c r="B1860" t="s">
        <v>5708</v>
      </c>
      <c r="C1860" s="1">
        <f t="shared" si="322"/>
        <v>45352</v>
      </c>
      <c r="D1860" t="s">
        <v>5709</v>
      </c>
      <c r="E1860">
        <v>144.30000000000001</v>
      </c>
      <c r="F1860">
        <v>6</v>
      </c>
      <c r="G1860" t="s">
        <v>142</v>
      </c>
      <c r="H1860" t="s">
        <v>240</v>
      </c>
      <c r="I1860" t="s">
        <v>48</v>
      </c>
      <c r="J1860">
        <v>120</v>
      </c>
      <c r="K1860" t="s">
        <v>33</v>
      </c>
      <c r="L1860" t="s">
        <v>34</v>
      </c>
      <c r="M1860" t="s">
        <v>35</v>
      </c>
      <c r="N1860" t="s">
        <v>144</v>
      </c>
      <c r="O1860" t="s">
        <v>51</v>
      </c>
      <c r="P1860" t="s">
        <v>39</v>
      </c>
      <c r="Q1860" t="s">
        <v>38</v>
      </c>
      <c r="R1860">
        <v>0</v>
      </c>
      <c r="S1860" t="s">
        <v>38</v>
      </c>
      <c r="T1860">
        <v>7</v>
      </c>
      <c r="U1860">
        <v>3.8</v>
      </c>
      <c r="V1860">
        <v>17.100000000000001</v>
      </c>
      <c r="W1860" t="s">
        <v>39</v>
      </c>
      <c r="X1860" t="s">
        <v>52</v>
      </c>
      <c r="Y1860" t="s">
        <v>39</v>
      </c>
      <c r="Z1860" t="s">
        <v>115</v>
      </c>
      <c r="AA1860" t="s">
        <v>103</v>
      </c>
      <c r="AB1860" t="s">
        <v>83</v>
      </c>
      <c r="AC1860">
        <f t="shared" si="319"/>
        <v>1</v>
      </c>
      <c r="AD1860" s="12">
        <f t="shared" si="323"/>
        <v>0</v>
      </c>
      <c r="AE1860" s="12">
        <f t="shared" si="324"/>
        <v>0</v>
      </c>
      <c r="AF1860">
        <f t="shared" si="320"/>
        <v>1</v>
      </c>
      <c r="AG1860">
        <f t="shared" si="325"/>
        <v>0</v>
      </c>
      <c r="AH1860">
        <f t="shared" si="326"/>
        <v>1</v>
      </c>
      <c r="AI1860">
        <f t="shared" si="327"/>
        <v>0</v>
      </c>
      <c r="AJ1860">
        <f t="shared" si="328"/>
        <v>0</v>
      </c>
      <c r="AK1860">
        <f t="shared" si="321"/>
        <v>0</v>
      </c>
      <c r="AL1860">
        <f t="shared" si="329"/>
        <v>0</v>
      </c>
    </row>
    <row r="1861" spans="1:38">
      <c r="A1861" t="s">
        <v>5710</v>
      </c>
      <c r="B1861" t="s">
        <v>5711</v>
      </c>
      <c r="C1861" s="1">
        <f t="shared" si="322"/>
        <v>45323</v>
      </c>
      <c r="D1861" t="s">
        <v>5712</v>
      </c>
      <c r="E1861">
        <v>331</v>
      </c>
      <c r="F1861">
        <v>13.8</v>
      </c>
      <c r="G1861" t="s">
        <v>93</v>
      </c>
      <c r="H1861" t="s">
        <v>291</v>
      </c>
      <c r="I1861" t="s">
        <v>79</v>
      </c>
      <c r="J1861">
        <v>360</v>
      </c>
      <c r="K1861" t="s">
        <v>49</v>
      </c>
      <c r="L1861" t="s">
        <v>96</v>
      </c>
      <c r="M1861" t="s">
        <v>35</v>
      </c>
      <c r="N1861" t="s">
        <v>144</v>
      </c>
      <c r="O1861" t="s">
        <v>7232</v>
      </c>
      <c r="P1861" t="s">
        <v>38</v>
      </c>
      <c r="Q1861" t="s">
        <v>38</v>
      </c>
      <c r="R1861">
        <v>1</v>
      </c>
      <c r="S1861" t="s">
        <v>38</v>
      </c>
      <c r="T1861">
        <v>6</v>
      </c>
      <c r="U1861">
        <v>3</v>
      </c>
      <c r="V1861">
        <v>9</v>
      </c>
      <c r="W1861" t="s">
        <v>39</v>
      </c>
      <c r="X1861" t="s">
        <v>52</v>
      </c>
      <c r="Y1861" t="s">
        <v>38</v>
      </c>
      <c r="Z1861" t="s">
        <v>41</v>
      </c>
      <c r="AA1861" t="s">
        <v>82</v>
      </c>
      <c r="AB1861" t="s">
        <v>83</v>
      </c>
      <c r="AC1861">
        <f t="shared" si="319"/>
        <v>1</v>
      </c>
      <c r="AD1861" s="12">
        <f t="shared" si="323"/>
        <v>0</v>
      </c>
      <c r="AE1861" s="12">
        <f t="shared" si="324"/>
        <v>0</v>
      </c>
      <c r="AF1861">
        <f t="shared" si="320"/>
        <v>0</v>
      </c>
      <c r="AG1861">
        <f t="shared" si="325"/>
        <v>1</v>
      </c>
      <c r="AH1861">
        <f t="shared" si="326"/>
        <v>0</v>
      </c>
      <c r="AI1861">
        <f t="shared" si="327"/>
        <v>0</v>
      </c>
      <c r="AJ1861">
        <f t="shared" si="328"/>
        <v>0</v>
      </c>
      <c r="AK1861">
        <f t="shared" si="321"/>
        <v>0</v>
      </c>
      <c r="AL1861">
        <f t="shared" si="329"/>
        <v>1</v>
      </c>
    </row>
    <row r="1862" spans="1:38">
      <c r="A1862" t="s">
        <v>5713</v>
      </c>
      <c r="B1862" t="s">
        <v>5714</v>
      </c>
      <c r="C1862" s="1">
        <f t="shared" si="322"/>
        <v>45627</v>
      </c>
      <c r="D1862" t="s">
        <v>5715</v>
      </c>
      <c r="E1862">
        <v>182.8</v>
      </c>
      <c r="F1862">
        <v>7.6</v>
      </c>
      <c r="G1862" t="s">
        <v>30</v>
      </c>
      <c r="H1862" t="s">
        <v>31</v>
      </c>
      <c r="I1862" t="s">
        <v>32</v>
      </c>
      <c r="J1862">
        <v>240</v>
      </c>
      <c r="K1862" t="s">
        <v>49</v>
      </c>
      <c r="L1862" t="s">
        <v>70</v>
      </c>
      <c r="M1862" t="s">
        <v>35</v>
      </c>
      <c r="N1862" t="s">
        <v>192</v>
      </c>
      <c r="O1862" t="s">
        <v>37</v>
      </c>
      <c r="P1862" t="s">
        <v>38</v>
      </c>
      <c r="Q1862" t="s">
        <v>38</v>
      </c>
      <c r="R1862">
        <v>1</v>
      </c>
      <c r="S1862" t="s">
        <v>38</v>
      </c>
      <c r="T1862">
        <v>8</v>
      </c>
      <c r="U1862">
        <v>2.9</v>
      </c>
      <c r="V1862">
        <v>0</v>
      </c>
      <c r="W1862" t="s">
        <v>38</v>
      </c>
      <c r="X1862" t="s">
        <v>63</v>
      </c>
      <c r="Y1862" t="s">
        <v>39</v>
      </c>
      <c r="Z1862" t="s">
        <v>108</v>
      </c>
      <c r="AA1862" t="s">
        <v>42</v>
      </c>
      <c r="AB1862" t="s">
        <v>43</v>
      </c>
      <c r="AC1862">
        <f t="shared" si="319"/>
        <v>0</v>
      </c>
      <c r="AD1862" s="12">
        <f t="shared" si="323"/>
        <v>1</v>
      </c>
      <c r="AE1862" s="12">
        <f t="shared" si="324"/>
        <v>0</v>
      </c>
      <c r="AF1862">
        <f t="shared" si="320"/>
        <v>0</v>
      </c>
      <c r="AG1862">
        <f t="shared" si="325"/>
        <v>0</v>
      </c>
      <c r="AH1862">
        <f t="shared" si="326"/>
        <v>0</v>
      </c>
      <c r="AI1862">
        <f t="shared" si="327"/>
        <v>0</v>
      </c>
      <c r="AJ1862">
        <f t="shared" si="328"/>
        <v>1</v>
      </c>
      <c r="AK1862">
        <f t="shared" si="321"/>
        <v>1</v>
      </c>
      <c r="AL1862">
        <f t="shared" si="329"/>
        <v>0</v>
      </c>
    </row>
    <row r="1863" spans="1:38">
      <c r="A1863" t="s">
        <v>5716</v>
      </c>
      <c r="B1863" t="s">
        <v>5717</v>
      </c>
      <c r="C1863" s="1">
        <f t="shared" si="322"/>
        <v>45566</v>
      </c>
      <c r="D1863" t="s">
        <v>5718</v>
      </c>
      <c r="E1863">
        <v>86.8</v>
      </c>
      <c r="F1863">
        <v>3.6</v>
      </c>
      <c r="G1863" t="s">
        <v>59</v>
      </c>
      <c r="H1863" t="s">
        <v>281</v>
      </c>
      <c r="I1863" t="s">
        <v>48</v>
      </c>
      <c r="J1863">
        <v>120</v>
      </c>
      <c r="K1863" t="s">
        <v>49</v>
      </c>
      <c r="L1863" t="s">
        <v>34</v>
      </c>
      <c r="M1863" t="s">
        <v>71</v>
      </c>
      <c r="N1863" t="s">
        <v>119</v>
      </c>
      <c r="O1863" t="s">
        <v>7232</v>
      </c>
      <c r="P1863" t="s">
        <v>38</v>
      </c>
      <c r="Q1863" t="s">
        <v>39</v>
      </c>
      <c r="R1863">
        <v>1</v>
      </c>
      <c r="S1863" t="s">
        <v>38</v>
      </c>
      <c r="T1863">
        <v>9</v>
      </c>
      <c r="U1863">
        <v>1.8</v>
      </c>
      <c r="V1863">
        <v>13.4</v>
      </c>
      <c r="W1863" t="s">
        <v>39</v>
      </c>
      <c r="X1863" t="s">
        <v>123</v>
      </c>
      <c r="Y1863" t="s">
        <v>39</v>
      </c>
      <c r="Z1863" t="s">
        <v>81</v>
      </c>
      <c r="AA1863" t="s">
        <v>54</v>
      </c>
      <c r="AB1863" t="s">
        <v>83</v>
      </c>
      <c r="AC1863">
        <f t="shared" si="319"/>
        <v>0</v>
      </c>
      <c r="AD1863" s="12">
        <f t="shared" si="323"/>
        <v>0</v>
      </c>
      <c r="AE1863" s="12">
        <f t="shared" si="324"/>
        <v>1</v>
      </c>
      <c r="AF1863">
        <f t="shared" si="320"/>
        <v>0</v>
      </c>
      <c r="AG1863">
        <f t="shared" si="325"/>
        <v>1</v>
      </c>
      <c r="AH1863">
        <f t="shared" si="326"/>
        <v>1</v>
      </c>
      <c r="AI1863">
        <f t="shared" si="327"/>
        <v>0</v>
      </c>
      <c r="AJ1863">
        <f t="shared" si="328"/>
        <v>0</v>
      </c>
      <c r="AK1863">
        <f t="shared" si="321"/>
        <v>0</v>
      </c>
      <c r="AL1863">
        <f t="shared" si="329"/>
        <v>0</v>
      </c>
    </row>
    <row r="1864" spans="1:38">
      <c r="A1864" t="s">
        <v>5719</v>
      </c>
      <c r="B1864" t="s">
        <v>5720</v>
      </c>
      <c r="C1864" s="1">
        <f t="shared" si="322"/>
        <v>45627</v>
      </c>
      <c r="D1864" t="s">
        <v>5721</v>
      </c>
      <c r="E1864">
        <v>268.3</v>
      </c>
      <c r="F1864">
        <v>11.2</v>
      </c>
      <c r="G1864" t="s">
        <v>77</v>
      </c>
      <c r="H1864" t="s">
        <v>244</v>
      </c>
      <c r="I1864" t="s">
        <v>79</v>
      </c>
      <c r="J1864">
        <v>360</v>
      </c>
      <c r="K1864" t="s">
        <v>49</v>
      </c>
      <c r="L1864" t="s">
        <v>70</v>
      </c>
      <c r="M1864" t="s">
        <v>35</v>
      </c>
      <c r="N1864" t="s">
        <v>220</v>
      </c>
      <c r="O1864" t="s">
        <v>37</v>
      </c>
      <c r="P1864" t="s">
        <v>39</v>
      </c>
      <c r="Q1864" t="s">
        <v>38</v>
      </c>
      <c r="R1864">
        <v>0</v>
      </c>
      <c r="S1864" t="s">
        <v>38</v>
      </c>
      <c r="T1864">
        <v>7</v>
      </c>
      <c r="U1864">
        <v>4.5999999999999996</v>
      </c>
      <c r="V1864">
        <v>12</v>
      </c>
      <c r="W1864" t="s">
        <v>38</v>
      </c>
      <c r="X1864" t="s">
        <v>40</v>
      </c>
      <c r="Y1864" t="s">
        <v>38</v>
      </c>
      <c r="Z1864" t="s">
        <v>64</v>
      </c>
      <c r="AA1864" t="s">
        <v>103</v>
      </c>
      <c r="AB1864" t="s">
        <v>55</v>
      </c>
      <c r="AC1864">
        <f t="shared" si="319"/>
        <v>0</v>
      </c>
      <c r="AD1864" s="12">
        <f t="shared" si="323"/>
        <v>0</v>
      </c>
      <c r="AE1864" s="12">
        <f t="shared" si="324"/>
        <v>0</v>
      </c>
      <c r="AF1864">
        <f t="shared" si="320"/>
        <v>0</v>
      </c>
      <c r="AG1864">
        <f t="shared" si="325"/>
        <v>0</v>
      </c>
      <c r="AH1864">
        <f t="shared" si="326"/>
        <v>0</v>
      </c>
      <c r="AI1864">
        <f t="shared" si="327"/>
        <v>0</v>
      </c>
      <c r="AJ1864">
        <f t="shared" si="328"/>
        <v>0</v>
      </c>
      <c r="AK1864">
        <f t="shared" si="321"/>
        <v>0</v>
      </c>
      <c r="AL1864">
        <f t="shared" si="329"/>
        <v>1</v>
      </c>
    </row>
    <row r="1865" spans="1:38">
      <c r="A1865" t="s">
        <v>5722</v>
      </c>
      <c r="B1865" t="s">
        <v>5723</v>
      </c>
      <c r="C1865" s="1">
        <f t="shared" si="322"/>
        <v>45536</v>
      </c>
      <c r="D1865" t="s">
        <v>5724</v>
      </c>
      <c r="E1865">
        <v>246</v>
      </c>
      <c r="F1865">
        <v>10.3</v>
      </c>
      <c r="G1865" t="s">
        <v>77</v>
      </c>
      <c r="H1865" t="s">
        <v>187</v>
      </c>
      <c r="I1865" t="s">
        <v>79</v>
      </c>
      <c r="J1865">
        <v>360</v>
      </c>
      <c r="K1865" t="s">
        <v>49</v>
      </c>
      <c r="L1865" t="s">
        <v>70</v>
      </c>
      <c r="M1865" t="s">
        <v>35</v>
      </c>
      <c r="N1865" t="s">
        <v>220</v>
      </c>
      <c r="O1865" t="s">
        <v>7232</v>
      </c>
      <c r="P1865" t="s">
        <v>39</v>
      </c>
      <c r="Q1865" t="s">
        <v>38</v>
      </c>
      <c r="R1865">
        <v>0</v>
      </c>
      <c r="S1865" t="s">
        <v>38</v>
      </c>
      <c r="T1865">
        <v>10</v>
      </c>
      <c r="U1865">
        <v>5.4</v>
      </c>
      <c r="V1865">
        <v>0</v>
      </c>
      <c r="W1865" t="s">
        <v>39</v>
      </c>
      <c r="X1865" t="s">
        <v>52</v>
      </c>
      <c r="Y1865" t="s">
        <v>39</v>
      </c>
      <c r="Z1865" t="s">
        <v>115</v>
      </c>
      <c r="AA1865" t="s">
        <v>42</v>
      </c>
      <c r="AB1865" t="s">
        <v>83</v>
      </c>
      <c r="AC1865">
        <f t="shared" si="319"/>
        <v>1</v>
      </c>
      <c r="AD1865" s="12">
        <f t="shared" si="323"/>
        <v>0</v>
      </c>
      <c r="AE1865" s="12">
        <f t="shared" si="324"/>
        <v>0</v>
      </c>
      <c r="AF1865">
        <f t="shared" si="320"/>
        <v>0</v>
      </c>
      <c r="AG1865">
        <f t="shared" si="325"/>
        <v>1</v>
      </c>
      <c r="AH1865">
        <f t="shared" si="326"/>
        <v>0</v>
      </c>
      <c r="AI1865">
        <f t="shared" si="327"/>
        <v>0</v>
      </c>
      <c r="AJ1865">
        <f t="shared" si="328"/>
        <v>0</v>
      </c>
      <c r="AK1865">
        <f t="shared" si="321"/>
        <v>0</v>
      </c>
      <c r="AL1865">
        <f t="shared" si="329"/>
        <v>0</v>
      </c>
    </row>
    <row r="1866" spans="1:38">
      <c r="A1866" t="s">
        <v>5725</v>
      </c>
      <c r="B1866" t="s">
        <v>5726</v>
      </c>
      <c r="C1866" s="1">
        <f t="shared" si="322"/>
        <v>45566</v>
      </c>
      <c r="D1866" t="s">
        <v>5727</v>
      </c>
      <c r="E1866">
        <v>34</v>
      </c>
      <c r="F1866">
        <v>1.4</v>
      </c>
      <c r="G1866" t="s">
        <v>30</v>
      </c>
      <c r="H1866" t="s">
        <v>172</v>
      </c>
      <c r="I1866" t="s">
        <v>95</v>
      </c>
      <c r="J1866">
        <v>48</v>
      </c>
      <c r="K1866" t="s">
        <v>49</v>
      </c>
      <c r="L1866" t="s">
        <v>96</v>
      </c>
      <c r="M1866" t="s">
        <v>35</v>
      </c>
      <c r="N1866" t="s">
        <v>299</v>
      </c>
      <c r="O1866" t="s">
        <v>51</v>
      </c>
      <c r="P1866" t="s">
        <v>39</v>
      </c>
      <c r="Q1866" t="s">
        <v>38</v>
      </c>
      <c r="R1866">
        <v>0</v>
      </c>
      <c r="S1866" t="s">
        <v>38</v>
      </c>
      <c r="T1866">
        <v>10</v>
      </c>
      <c r="U1866">
        <v>1.7</v>
      </c>
      <c r="V1866">
        <v>22.1</v>
      </c>
      <c r="W1866" t="s">
        <v>38</v>
      </c>
      <c r="X1866" t="s">
        <v>52</v>
      </c>
      <c r="Y1866" t="s">
        <v>38</v>
      </c>
      <c r="Z1866" t="s">
        <v>53</v>
      </c>
      <c r="AA1866" t="s">
        <v>54</v>
      </c>
      <c r="AB1866" t="s">
        <v>55</v>
      </c>
      <c r="AC1866">
        <f t="shared" si="319"/>
        <v>1</v>
      </c>
      <c r="AD1866" s="12">
        <f t="shared" si="323"/>
        <v>0</v>
      </c>
      <c r="AE1866" s="12">
        <f t="shared" si="324"/>
        <v>0</v>
      </c>
      <c r="AF1866">
        <f t="shared" si="320"/>
        <v>1</v>
      </c>
      <c r="AG1866">
        <f t="shared" si="325"/>
        <v>0</v>
      </c>
      <c r="AH1866">
        <f t="shared" si="326"/>
        <v>0</v>
      </c>
      <c r="AI1866">
        <f t="shared" si="327"/>
        <v>1</v>
      </c>
      <c r="AJ1866">
        <f t="shared" si="328"/>
        <v>0</v>
      </c>
      <c r="AK1866">
        <f t="shared" si="321"/>
        <v>1</v>
      </c>
      <c r="AL1866">
        <f t="shared" si="329"/>
        <v>1</v>
      </c>
    </row>
    <row r="1867" spans="1:38">
      <c r="A1867" t="s">
        <v>5728</v>
      </c>
      <c r="B1867" t="s">
        <v>5729</v>
      </c>
      <c r="C1867" s="1">
        <f t="shared" si="322"/>
        <v>45505</v>
      </c>
      <c r="D1867" t="s">
        <v>5730</v>
      </c>
      <c r="E1867">
        <v>124.5</v>
      </c>
      <c r="F1867">
        <v>5.2</v>
      </c>
      <c r="G1867" t="s">
        <v>59</v>
      </c>
      <c r="H1867" t="s">
        <v>466</v>
      </c>
      <c r="I1867" t="s">
        <v>48</v>
      </c>
      <c r="J1867">
        <v>120</v>
      </c>
      <c r="K1867" t="s">
        <v>33</v>
      </c>
      <c r="L1867" t="s">
        <v>133</v>
      </c>
      <c r="M1867" t="s">
        <v>35</v>
      </c>
      <c r="N1867" t="s">
        <v>144</v>
      </c>
      <c r="O1867" t="s">
        <v>7232</v>
      </c>
      <c r="P1867" t="s">
        <v>39</v>
      </c>
      <c r="Q1867" t="s">
        <v>38</v>
      </c>
      <c r="R1867">
        <v>0</v>
      </c>
      <c r="S1867" t="s">
        <v>38</v>
      </c>
      <c r="T1867">
        <v>10</v>
      </c>
      <c r="U1867">
        <v>2.2000000000000002</v>
      </c>
      <c r="V1867">
        <v>20.100000000000001</v>
      </c>
      <c r="W1867" t="s">
        <v>38</v>
      </c>
      <c r="X1867" t="s">
        <v>123</v>
      </c>
      <c r="Y1867" t="s">
        <v>39</v>
      </c>
      <c r="Z1867" t="s">
        <v>108</v>
      </c>
      <c r="AA1867" t="s">
        <v>42</v>
      </c>
      <c r="AB1867" t="s">
        <v>43</v>
      </c>
      <c r="AC1867">
        <f t="shared" si="319"/>
        <v>0</v>
      </c>
      <c r="AD1867" s="12">
        <f t="shared" si="323"/>
        <v>0</v>
      </c>
      <c r="AE1867" s="12">
        <f t="shared" si="324"/>
        <v>1</v>
      </c>
      <c r="AF1867">
        <f t="shared" si="320"/>
        <v>0</v>
      </c>
      <c r="AG1867">
        <f t="shared" si="325"/>
        <v>1</v>
      </c>
      <c r="AH1867">
        <f t="shared" si="326"/>
        <v>1</v>
      </c>
      <c r="AI1867">
        <f t="shared" si="327"/>
        <v>0</v>
      </c>
      <c r="AJ1867">
        <f t="shared" si="328"/>
        <v>0</v>
      </c>
      <c r="AK1867">
        <f t="shared" si="321"/>
        <v>0</v>
      </c>
      <c r="AL1867">
        <f t="shared" si="329"/>
        <v>0</v>
      </c>
    </row>
    <row r="1868" spans="1:38">
      <c r="A1868" t="s">
        <v>5731</v>
      </c>
      <c r="B1868" t="s">
        <v>5732</v>
      </c>
      <c r="C1868" s="1">
        <f t="shared" si="322"/>
        <v>45444</v>
      </c>
      <c r="D1868" t="s">
        <v>5733</v>
      </c>
      <c r="E1868">
        <v>103.3</v>
      </c>
      <c r="F1868">
        <v>4.3</v>
      </c>
      <c r="G1868" t="s">
        <v>59</v>
      </c>
      <c r="H1868" t="s">
        <v>281</v>
      </c>
      <c r="I1868" t="s">
        <v>48</v>
      </c>
      <c r="J1868">
        <v>120</v>
      </c>
      <c r="K1868" t="s">
        <v>49</v>
      </c>
      <c r="L1868" t="s">
        <v>96</v>
      </c>
      <c r="M1868" t="s">
        <v>71</v>
      </c>
      <c r="N1868" t="s">
        <v>192</v>
      </c>
      <c r="O1868" t="s">
        <v>37</v>
      </c>
      <c r="P1868" t="s">
        <v>38</v>
      </c>
      <c r="Q1868" t="s">
        <v>39</v>
      </c>
      <c r="R1868">
        <v>4</v>
      </c>
      <c r="S1868" t="s">
        <v>38</v>
      </c>
      <c r="T1868">
        <v>7</v>
      </c>
      <c r="U1868">
        <v>3.4</v>
      </c>
      <c r="V1868">
        <v>39.200000000000003</v>
      </c>
      <c r="W1868" t="s">
        <v>39</v>
      </c>
      <c r="X1868" t="s">
        <v>40</v>
      </c>
      <c r="Y1868" t="s">
        <v>39</v>
      </c>
      <c r="Z1868" t="s">
        <v>64</v>
      </c>
      <c r="AA1868" t="s">
        <v>82</v>
      </c>
      <c r="AB1868" t="s">
        <v>83</v>
      </c>
      <c r="AC1868">
        <f t="shared" si="319"/>
        <v>0</v>
      </c>
      <c r="AD1868" s="12">
        <f t="shared" si="323"/>
        <v>0</v>
      </c>
      <c r="AE1868" s="12">
        <f t="shared" si="324"/>
        <v>0</v>
      </c>
      <c r="AF1868">
        <f t="shared" si="320"/>
        <v>0</v>
      </c>
      <c r="AG1868">
        <f t="shared" si="325"/>
        <v>0</v>
      </c>
      <c r="AH1868">
        <f t="shared" si="326"/>
        <v>1</v>
      </c>
      <c r="AI1868">
        <f t="shared" si="327"/>
        <v>0</v>
      </c>
      <c r="AJ1868">
        <f t="shared" si="328"/>
        <v>0</v>
      </c>
      <c r="AK1868">
        <f t="shared" si="321"/>
        <v>0</v>
      </c>
      <c r="AL1868">
        <f t="shared" si="329"/>
        <v>0</v>
      </c>
    </row>
    <row r="1869" spans="1:38">
      <c r="A1869" t="s">
        <v>5734</v>
      </c>
      <c r="B1869" t="s">
        <v>5735</v>
      </c>
      <c r="C1869" s="1">
        <f t="shared" si="322"/>
        <v>45444</v>
      </c>
      <c r="D1869" t="s">
        <v>5736</v>
      </c>
      <c r="E1869">
        <v>457.1</v>
      </c>
      <c r="F1869">
        <v>19</v>
      </c>
      <c r="G1869" t="s">
        <v>77</v>
      </c>
      <c r="H1869" t="s">
        <v>244</v>
      </c>
      <c r="I1869" t="s">
        <v>79</v>
      </c>
      <c r="J1869">
        <v>360</v>
      </c>
      <c r="K1869" t="s">
        <v>33</v>
      </c>
      <c r="L1869" t="s">
        <v>113</v>
      </c>
      <c r="M1869" t="s">
        <v>35</v>
      </c>
      <c r="N1869" t="s">
        <v>61</v>
      </c>
      <c r="O1869" t="s">
        <v>7232</v>
      </c>
      <c r="P1869" t="s">
        <v>39</v>
      </c>
      <c r="Q1869" t="s">
        <v>38</v>
      </c>
      <c r="R1869">
        <v>0</v>
      </c>
      <c r="S1869" t="s">
        <v>38</v>
      </c>
      <c r="T1869">
        <v>5</v>
      </c>
      <c r="U1869">
        <v>0.5</v>
      </c>
      <c r="V1869">
        <v>8.6999999999999993</v>
      </c>
      <c r="W1869" t="s">
        <v>39</v>
      </c>
      <c r="X1869" t="s">
        <v>63</v>
      </c>
      <c r="Y1869" t="s">
        <v>38</v>
      </c>
      <c r="Z1869" t="s">
        <v>115</v>
      </c>
      <c r="AA1869" t="s">
        <v>42</v>
      </c>
      <c r="AB1869" t="s">
        <v>43</v>
      </c>
      <c r="AC1869">
        <f t="shared" si="319"/>
        <v>0</v>
      </c>
      <c r="AD1869" s="12">
        <f t="shared" si="323"/>
        <v>1</v>
      </c>
      <c r="AE1869" s="12">
        <f t="shared" si="324"/>
        <v>0</v>
      </c>
      <c r="AF1869">
        <f t="shared" si="320"/>
        <v>0</v>
      </c>
      <c r="AG1869">
        <f t="shared" si="325"/>
        <v>1</v>
      </c>
      <c r="AH1869">
        <f t="shared" si="326"/>
        <v>0</v>
      </c>
      <c r="AI1869">
        <f t="shared" si="327"/>
        <v>0</v>
      </c>
      <c r="AJ1869">
        <f t="shared" si="328"/>
        <v>0</v>
      </c>
      <c r="AK1869">
        <f t="shared" si="321"/>
        <v>0</v>
      </c>
      <c r="AL1869">
        <f t="shared" si="329"/>
        <v>1</v>
      </c>
    </row>
    <row r="1870" spans="1:38">
      <c r="A1870" t="s">
        <v>5737</v>
      </c>
      <c r="B1870" t="s">
        <v>5738</v>
      </c>
      <c r="C1870" s="1">
        <f t="shared" si="322"/>
        <v>45292</v>
      </c>
      <c r="D1870" t="s">
        <v>5739</v>
      </c>
      <c r="E1870">
        <v>105.9</v>
      </c>
      <c r="F1870">
        <v>4.4000000000000004</v>
      </c>
      <c r="G1870" t="s">
        <v>59</v>
      </c>
      <c r="H1870" t="s">
        <v>281</v>
      </c>
      <c r="I1870" t="s">
        <v>48</v>
      </c>
      <c r="J1870">
        <v>120</v>
      </c>
      <c r="K1870" t="s">
        <v>49</v>
      </c>
      <c r="L1870" t="s">
        <v>34</v>
      </c>
      <c r="M1870" t="s">
        <v>71</v>
      </c>
      <c r="N1870" t="s">
        <v>119</v>
      </c>
      <c r="O1870" t="s">
        <v>37</v>
      </c>
      <c r="P1870" t="s">
        <v>38</v>
      </c>
      <c r="Q1870" t="s">
        <v>39</v>
      </c>
      <c r="R1870">
        <v>1</v>
      </c>
      <c r="S1870" t="s">
        <v>38</v>
      </c>
      <c r="T1870">
        <v>9</v>
      </c>
      <c r="U1870">
        <v>3.6</v>
      </c>
      <c r="V1870">
        <v>5.7</v>
      </c>
      <c r="W1870" t="s">
        <v>39</v>
      </c>
      <c r="X1870" t="s">
        <v>123</v>
      </c>
      <c r="Y1870" t="s">
        <v>38</v>
      </c>
      <c r="Z1870" t="s">
        <v>179</v>
      </c>
      <c r="AA1870" t="s">
        <v>82</v>
      </c>
      <c r="AB1870" t="s">
        <v>55</v>
      </c>
      <c r="AC1870">
        <f t="shared" si="319"/>
        <v>0</v>
      </c>
      <c r="AD1870" s="12">
        <f t="shared" si="323"/>
        <v>0</v>
      </c>
      <c r="AE1870" s="12">
        <f t="shared" si="324"/>
        <v>1</v>
      </c>
      <c r="AF1870">
        <f t="shared" si="320"/>
        <v>0</v>
      </c>
      <c r="AG1870">
        <f t="shared" si="325"/>
        <v>0</v>
      </c>
      <c r="AH1870">
        <f t="shared" si="326"/>
        <v>1</v>
      </c>
      <c r="AI1870">
        <f t="shared" si="327"/>
        <v>0</v>
      </c>
      <c r="AJ1870">
        <f t="shared" si="328"/>
        <v>0</v>
      </c>
      <c r="AK1870">
        <f t="shared" si="321"/>
        <v>0</v>
      </c>
      <c r="AL1870">
        <f t="shared" si="329"/>
        <v>1</v>
      </c>
    </row>
    <row r="1871" spans="1:38">
      <c r="A1871" t="s">
        <v>5740</v>
      </c>
      <c r="B1871" t="s">
        <v>5741</v>
      </c>
      <c r="C1871" s="1">
        <f t="shared" si="322"/>
        <v>45536</v>
      </c>
      <c r="D1871" t="s">
        <v>5742</v>
      </c>
      <c r="E1871">
        <v>96.2</v>
      </c>
      <c r="F1871">
        <v>4</v>
      </c>
      <c r="G1871" t="s">
        <v>59</v>
      </c>
      <c r="H1871" t="s">
        <v>281</v>
      </c>
      <c r="I1871" t="s">
        <v>48</v>
      </c>
      <c r="J1871">
        <v>120</v>
      </c>
      <c r="K1871" t="s">
        <v>49</v>
      </c>
      <c r="L1871" t="s">
        <v>96</v>
      </c>
      <c r="M1871" t="s">
        <v>35</v>
      </c>
      <c r="N1871" t="s">
        <v>72</v>
      </c>
      <c r="O1871" t="s">
        <v>7232</v>
      </c>
      <c r="P1871" t="s">
        <v>38</v>
      </c>
      <c r="Q1871" t="s">
        <v>38</v>
      </c>
      <c r="R1871">
        <v>1</v>
      </c>
      <c r="S1871" t="s">
        <v>38</v>
      </c>
      <c r="T1871">
        <v>6</v>
      </c>
      <c r="U1871">
        <v>2.6</v>
      </c>
      <c r="V1871">
        <v>47.9</v>
      </c>
      <c r="W1871" t="s">
        <v>39</v>
      </c>
      <c r="X1871" t="s">
        <v>52</v>
      </c>
      <c r="Y1871" t="s">
        <v>38</v>
      </c>
      <c r="Z1871" t="s">
        <v>108</v>
      </c>
      <c r="AA1871" t="s">
        <v>103</v>
      </c>
      <c r="AB1871" t="s">
        <v>55</v>
      </c>
      <c r="AC1871">
        <f t="shared" si="319"/>
        <v>1</v>
      </c>
      <c r="AD1871" s="12">
        <f t="shared" si="323"/>
        <v>0</v>
      </c>
      <c r="AE1871" s="12">
        <f t="shared" si="324"/>
        <v>0</v>
      </c>
      <c r="AF1871">
        <f t="shared" si="320"/>
        <v>0</v>
      </c>
      <c r="AG1871">
        <f t="shared" si="325"/>
        <v>1</v>
      </c>
      <c r="AH1871">
        <f t="shared" si="326"/>
        <v>1</v>
      </c>
      <c r="AI1871">
        <f t="shared" si="327"/>
        <v>0</v>
      </c>
      <c r="AJ1871">
        <f t="shared" si="328"/>
        <v>0</v>
      </c>
      <c r="AK1871">
        <f t="shared" si="321"/>
        <v>0</v>
      </c>
      <c r="AL1871">
        <f t="shared" si="329"/>
        <v>1</v>
      </c>
    </row>
    <row r="1872" spans="1:38">
      <c r="A1872" t="s">
        <v>5743</v>
      </c>
      <c r="B1872" t="s">
        <v>5744</v>
      </c>
      <c r="C1872" s="1">
        <f t="shared" si="322"/>
        <v>45536</v>
      </c>
      <c r="D1872" t="s">
        <v>5745</v>
      </c>
      <c r="E1872">
        <v>131.9</v>
      </c>
      <c r="F1872">
        <v>5.5</v>
      </c>
      <c r="G1872" t="s">
        <v>93</v>
      </c>
      <c r="H1872" t="s">
        <v>94</v>
      </c>
      <c r="I1872" t="s">
        <v>95</v>
      </c>
      <c r="J1872">
        <v>48</v>
      </c>
      <c r="K1872" t="s">
        <v>33</v>
      </c>
      <c r="L1872" t="s">
        <v>70</v>
      </c>
      <c r="M1872" t="s">
        <v>35</v>
      </c>
      <c r="N1872" t="s">
        <v>80</v>
      </c>
      <c r="O1872" t="s">
        <v>51</v>
      </c>
      <c r="P1872" t="s">
        <v>38</v>
      </c>
      <c r="Q1872" t="s">
        <v>38</v>
      </c>
      <c r="R1872">
        <v>1</v>
      </c>
      <c r="S1872" t="s">
        <v>38</v>
      </c>
      <c r="T1872">
        <v>3</v>
      </c>
      <c r="U1872">
        <v>1.8</v>
      </c>
      <c r="V1872">
        <v>19.399999999999999</v>
      </c>
      <c r="W1872" t="s">
        <v>38</v>
      </c>
      <c r="X1872" t="s">
        <v>63</v>
      </c>
      <c r="Y1872" t="s">
        <v>39</v>
      </c>
      <c r="Z1872" t="s">
        <v>41</v>
      </c>
      <c r="AA1872" t="s">
        <v>109</v>
      </c>
      <c r="AB1872" t="s">
        <v>43</v>
      </c>
      <c r="AC1872">
        <f t="shared" si="319"/>
        <v>0</v>
      </c>
      <c r="AD1872" s="12">
        <f t="shared" si="323"/>
        <v>1</v>
      </c>
      <c r="AE1872" s="12">
        <f t="shared" si="324"/>
        <v>0</v>
      </c>
      <c r="AF1872">
        <f t="shared" si="320"/>
        <v>1</v>
      </c>
      <c r="AG1872">
        <f t="shared" si="325"/>
        <v>0</v>
      </c>
      <c r="AH1872">
        <f t="shared" si="326"/>
        <v>0</v>
      </c>
      <c r="AI1872">
        <f t="shared" si="327"/>
        <v>1</v>
      </c>
      <c r="AJ1872">
        <f t="shared" si="328"/>
        <v>0</v>
      </c>
      <c r="AK1872">
        <f t="shared" si="321"/>
        <v>0</v>
      </c>
      <c r="AL1872">
        <f t="shared" si="329"/>
        <v>0</v>
      </c>
    </row>
    <row r="1873" spans="1:38">
      <c r="A1873" t="s">
        <v>5746</v>
      </c>
      <c r="B1873" t="s">
        <v>5747</v>
      </c>
      <c r="C1873" s="1">
        <f t="shared" si="322"/>
        <v>45323</v>
      </c>
      <c r="D1873" t="s">
        <v>5748</v>
      </c>
      <c r="E1873">
        <v>148.80000000000001</v>
      </c>
      <c r="F1873">
        <v>6.2</v>
      </c>
      <c r="G1873" t="s">
        <v>59</v>
      </c>
      <c r="H1873" t="s">
        <v>281</v>
      </c>
      <c r="I1873" t="s">
        <v>48</v>
      </c>
      <c r="J1873">
        <v>120</v>
      </c>
      <c r="K1873" t="s">
        <v>33</v>
      </c>
      <c r="L1873" t="s">
        <v>70</v>
      </c>
      <c r="M1873" t="s">
        <v>71</v>
      </c>
      <c r="N1873" t="s">
        <v>50</v>
      </c>
      <c r="O1873" t="s">
        <v>7232</v>
      </c>
      <c r="P1873" t="s">
        <v>38</v>
      </c>
      <c r="Q1873" t="s">
        <v>39</v>
      </c>
      <c r="R1873">
        <v>2</v>
      </c>
      <c r="S1873" t="s">
        <v>38</v>
      </c>
      <c r="T1873">
        <v>6</v>
      </c>
      <c r="U1873">
        <v>1.9</v>
      </c>
      <c r="V1873">
        <v>18.2</v>
      </c>
      <c r="W1873" t="s">
        <v>38</v>
      </c>
      <c r="X1873" t="s">
        <v>52</v>
      </c>
      <c r="Y1873" t="s">
        <v>38</v>
      </c>
      <c r="Z1873" t="s">
        <v>179</v>
      </c>
      <c r="AA1873" t="s">
        <v>103</v>
      </c>
      <c r="AB1873" t="s">
        <v>83</v>
      </c>
      <c r="AC1873">
        <f t="shared" si="319"/>
        <v>1</v>
      </c>
      <c r="AD1873" s="12">
        <f t="shared" si="323"/>
        <v>0</v>
      </c>
      <c r="AE1873" s="12">
        <f t="shared" si="324"/>
        <v>0</v>
      </c>
      <c r="AF1873">
        <f t="shared" si="320"/>
        <v>0</v>
      </c>
      <c r="AG1873">
        <f t="shared" si="325"/>
        <v>1</v>
      </c>
      <c r="AH1873">
        <f t="shared" si="326"/>
        <v>1</v>
      </c>
      <c r="AI1873">
        <f t="shared" si="327"/>
        <v>0</v>
      </c>
      <c r="AJ1873">
        <f t="shared" si="328"/>
        <v>0</v>
      </c>
      <c r="AK1873">
        <f t="shared" si="321"/>
        <v>0</v>
      </c>
      <c r="AL1873">
        <f t="shared" si="329"/>
        <v>1</v>
      </c>
    </row>
    <row r="1874" spans="1:38">
      <c r="A1874" t="s">
        <v>5749</v>
      </c>
      <c r="B1874" t="s">
        <v>5750</v>
      </c>
      <c r="C1874" s="1">
        <f t="shared" si="322"/>
        <v>45444</v>
      </c>
      <c r="D1874" t="s">
        <v>5751</v>
      </c>
      <c r="E1874">
        <v>83.7</v>
      </c>
      <c r="F1874">
        <v>3.5</v>
      </c>
      <c r="G1874" t="s">
        <v>101</v>
      </c>
      <c r="H1874" t="s">
        <v>295</v>
      </c>
      <c r="I1874" t="s">
        <v>48</v>
      </c>
      <c r="J1874">
        <v>120</v>
      </c>
      <c r="K1874" t="s">
        <v>49</v>
      </c>
      <c r="L1874" t="s">
        <v>96</v>
      </c>
      <c r="M1874" t="s">
        <v>35</v>
      </c>
      <c r="N1874" t="s">
        <v>50</v>
      </c>
      <c r="O1874" t="s">
        <v>7232</v>
      </c>
      <c r="P1874" t="s">
        <v>38</v>
      </c>
      <c r="Q1874" t="s">
        <v>38</v>
      </c>
      <c r="R1874">
        <v>1</v>
      </c>
      <c r="S1874" t="s">
        <v>38</v>
      </c>
      <c r="T1874">
        <v>10</v>
      </c>
      <c r="U1874">
        <v>0.1</v>
      </c>
      <c r="V1874">
        <v>2.9</v>
      </c>
      <c r="W1874" t="s">
        <v>39</v>
      </c>
      <c r="X1874" t="s">
        <v>123</v>
      </c>
      <c r="Y1874" t="s">
        <v>38</v>
      </c>
      <c r="Z1874" t="s">
        <v>41</v>
      </c>
      <c r="AA1874" t="s">
        <v>42</v>
      </c>
      <c r="AB1874" t="s">
        <v>55</v>
      </c>
      <c r="AC1874">
        <f t="shared" si="319"/>
        <v>0</v>
      </c>
      <c r="AD1874" s="12">
        <f t="shared" si="323"/>
        <v>0</v>
      </c>
      <c r="AE1874" s="12">
        <f t="shared" si="324"/>
        <v>1</v>
      </c>
      <c r="AF1874">
        <f t="shared" si="320"/>
        <v>0</v>
      </c>
      <c r="AG1874">
        <f t="shared" si="325"/>
        <v>1</v>
      </c>
      <c r="AH1874">
        <f t="shared" si="326"/>
        <v>1</v>
      </c>
      <c r="AI1874">
        <f t="shared" si="327"/>
        <v>0</v>
      </c>
      <c r="AJ1874">
        <f t="shared" si="328"/>
        <v>0</v>
      </c>
      <c r="AK1874">
        <f t="shared" si="321"/>
        <v>0</v>
      </c>
      <c r="AL1874">
        <f t="shared" si="329"/>
        <v>1</v>
      </c>
    </row>
    <row r="1875" spans="1:38">
      <c r="A1875" t="s">
        <v>5752</v>
      </c>
      <c r="B1875" t="s">
        <v>5753</v>
      </c>
      <c r="C1875" s="1">
        <f t="shared" si="322"/>
        <v>45292</v>
      </c>
      <c r="D1875" t="s">
        <v>5754</v>
      </c>
      <c r="E1875">
        <v>38.5</v>
      </c>
      <c r="F1875">
        <v>1.6</v>
      </c>
      <c r="G1875" t="s">
        <v>59</v>
      </c>
      <c r="H1875" t="s">
        <v>227</v>
      </c>
      <c r="I1875" t="s">
        <v>95</v>
      </c>
      <c r="J1875">
        <v>48</v>
      </c>
      <c r="K1875" t="s">
        <v>49</v>
      </c>
      <c r="L1875" t="s">
        <v>96</v>
      </c>
      <c r="M1875" t="s">
        <v>35</v>
      </c>
      <c r="N1875" t="s">
        <v>138</v>
      </c>
      <c r="O1875" t="s">
        <v>37</v>
      </c>
      <c r="P1875" t="s">
        <v>38</v>
      </c>
      <c r="Q1875" t="s">
        <v>38</v>
      </c>
      <c r="R1875">
        <v>1</v>
      </c>
      <c r="S1875" t="s">
        <v>39</v>
      </c>
      <c r="T1875">
        <v>9</v>
      </c>
      <c r="U1875">
        <v>0.1</v>
      </c>
      <c r="V1875">
        <v>5.5</v>
      </c>
      <c r="W1875" t="s">
        <v>39</v>
      </c>
      <c r="X1875" t="s">
        <v>40</v>
      </c>
      <c r="Y1875" t="s">
        <v>38</v>
      </c>
      <c r="Z1875" t="s">
        <v>179</v>
      </c>
      <c r="AA1875" t="s">
        <v>54</v>
      </c>
      <c r="AB1875" t="s">
        <v>43</v>
      </c>
      <c r="AC1875">
        <f t="shared" si="319"/>
        <v>0</v>
      </c>
      <c r="AD1875" s="12">
        <f t="shared" si="323"/>
        <v>0</v>
      </c>
      <c r="AE1875" s="12">
        <f t="shared" si="324"/>
        <v>0</v>
      </c>
      <c r="AF1875">
        <f t="shared" si="320"/>
        <v>0</v>
      </c>
      <c r="AG1875">
        <f t="shared" si="325"/>
        <v>0</v>
      </c>
      <c r="AH1875">
        <f t="shared" si="326"/>
        <v>0</v>
      </c>
      <c r="AI1875">
        <f t="shared" si="327"/>
        <v>1</v>
      </c>
      <c r="AJ1875">
        <f t="shared" si="328"/>
        <v>0</v>
      </c>
      <c r="AK1875">
        <f t="shared" si="321"/>
        <v>0</v>
      </c>
      <c r="AL1875">
        <f t="shared" si="329"/>
        <v>1</v>
      </c>
    </row>
    <row r="1876" spans="1:38">
      <c r="A1876" t="s">
        <v>5755</v>
      </c>
      <c r="B1876" t="s">
        <v>5756</v>
      </c>
      <c r="C1876" s="1">
        <f t="shared" si="322"/>
        <v>45413</v>
      </c>
      <c r="D1876" t="s">
        <v>5757</v>
      </c>
      <c r="E1876">
        <v>161.6</v>
      </c>
      <c r="F1876">
        <v>6.7</v>
      </c>
      <c r="G1876" t="s">
        <v>87</v>
      </c>
      <c r="H1876" t="s">
        <v>151</v>
      </c>
      <c r="I1876" t="s">
        <v>32</v>
      </c>
      <c r="J1876">
        <v>240</v>
      </c>
      <c r="K1876" t="s">
        <v>49</v>
      </c>
      <c r="L1876" t="s">
        <v>96</v>
      </c>
      <c r="M1876" t="s">
        <v>71</v>
      </c>
      <c r="N1876" t="s">
        <v>50</v>
      </c>
      <c r="O1876" t="s">
        <v>7232</v>
      </c>
      <c r="P1876" t="s">
        <v>38</v>
      </c>
      <c r="Q1876" t="s">
        <v>39</v>
      </c>
      <c r="R1876">
        <v>4</v>
      </c>
      <c r="S1876" t="s">
        <v>38</v>
      </c>
      <c r="T1876">
        <v>8</v>
      </c>
      <c r="U1876">
        <v>2</v>
      </c>
      <c r="V1876">
        <v>0</v>
      </c>
      <c r="W1876" t="s">
        <v>39</v>
      </c>
      <c r="X1876" t="s">
        <v>63</v>
      </c>
      <c r="Y1876" t="s">
        <v>38</v>
      </c>
      <c r="Z1876" t="s">
        <v>115</v>
      </c>
      <c r="AA1876" t="s">
        <v>42</v>
      </c>
      <c r="AB1876" t="s">
        <v>55</v>
      </c>
      <c r="AC1876">
        <f t="shared" si="319"/>
        <v>0</v>
      </c>
      <c r="AD1876" s="12">
        <f t="shared" si="323"/>
        <v>1</v>
      </c>
      <c r="AE1876" s="12">
        <f t="shared" si="324"/>
        <v>0</v>
      </c>
      <c r="AF1876">
        <f t="shared" si="320"/>
        <v>0</v>
      </c>
      <c r="AG1876">
        <f t="shared" si="325"/>
        <v>1</v>
      </c>
      <c r="AH1876">
        <f t="shared" si="326"/>
        <v>0</v>
      </c>
      <c r="AI1876">
        <f t="shared" si="327"/>
        <v>0</v>
      </c>
      <c r="AJ1876">
        <f t="shared" si="328"/>
        <v>1</v>
      </c>
      <c r="AK1876">
        <f t="shared" si="321"/>
        <v>0</v>
      </c>
      <c r="AL1876">
        <f t="shared" si="329"/>
        <v>1</v>
      </c>
    </row>
    <row r="1877" spans="1:38">
      <c r="A1877" t="s">
        <v>5758</v>
      </c>
      <c r="B1877" t="s">
        <v>5759</v>
      </c>
      <c r="C1877" s="1">
        <f t="shared" si="322"/>
        <v>45566</v>
      </c>
      <c r="D1877" t="s">
        <v>5760</v>
      </c>
      <c r="E1877">
        <v>216.5</v>
      </c>
      <c r="F1877">
        <v>9</v>
      </c>
      <c r="G1877" t="s">
        <v>77</v>
      </c>
      <c r="H1877" t="s">
        <v>244</v>
      </c>
      <c r="I1877" t="s">
        <v>79</v>
      </c>
      <c r="J1877">
        <v>360</v>
      </c>
      <c r="K1877" t="s">
        <v>49</v>
      </c>
      <c r="L1877" t="s">
        <v>34</v>
      </c>
      <c r="M1877" t="s">
        <v>35</v>
      </c>
      <c r="N1877" t="s">
        <v>192</v>
      </c>
      <c r="O1877" t="s">
        <v>7232</v>
      </c>
      <c r="P1877" t="s">
        <v>38</v>
      </c>
      <c r="Q1877" t="s">
        <v>38</v>
      </c>
      <c r="R1877">
        <v>1</v>
      </c>
      <c r="S1877" t="s">
        <v>38</v>
      </c>
      <c r="T1877">
        <v>5</v>
      </c>
      <c r="U1877">
        <v>0.4</v>
      </c>
      <c r="V1877">
        <v>0</v>
      </c>
      <c r="W1877" t="s">
        <v>39</v>
      </c>
      <c r="X1877" t="s">
        <v>40</v>
      </c>
      <c r="Y1877" t="s">
        <v>38</v>
      </c>
      <c r="Z1877" t="s">
        <v>64</v>
      </c>
      <c r="AA1877" t="s">
        <v>82</v>
      </c>
      <c r="AB1877" t="s">
        <v>83</v>
      </c>
      <c r="AC1877">
        <f t="shared" si="319"/>
        <v>0</v>
      </c>
      <c r="AD1877" s="12">
        <f t="shared" si="323"/>
        <v>0</v>
      </c>
      <c r="AE1877" s="12">
        <f t="shared" si="324"/>
        <v>0</v>
      </c>
      <c r="AF1877">
        <f t="shared" si="320"/>
        <v>0</v>
      </c>
      <c r="AG1877">
        <f t="shared" si="325"/>
        <v>1</v>
      </c>
      <c r="AH1877">
        <f t="shared" si="326"/>
        <v>0</v>
      </c>
      <c r="AI1877">
        <f t="shared" si="327"/>
        <v>0</v>
      </c>
      <c r="AJ1877">
        <f t="shared" si="328"/>
        <v>0</v>
      </c>
      <c r="AK1877">
        <f t="shared" si="321"/>
        <v>0</v>
      </c>
      <c r="AL1877">
        <f t="shared" si="329"/>
        <v>1</v>
      </c>
    </row>
    <row r="1878" spans="1:38">
      <c r="A1878" t="s">
        <v>5761</v>
      </c>
      <c r="B1878" t="s">
        <v>5762</v>
      </c>
      <c r="C1878" s="1">
        <f t="shared" si="322"/>
        <v>45566</v>
      </c>
      <c r="D1878" t="s">
        <v>5763</v>
      </c>
      <c r="E1878">
        <v>227.4</v>
      </c>
      <c r="F1878">
        <v>9.5</v>
      </c>
      <c r="G1878" t="s">
        <v>77</v>
      </c>
      <c r="H1878" t="s">
        <v>187</v>
      </c>
      <c r="I1878" t="s">
        <v>79</v>
      </c>
      <c r="J1878">
        <v>360</v>
      </c>
      <c r="K1878" t="s">
        <v>49</v>
      </c>
      <c r="L1878" t="s">
        <v>70</v>
      </c>
      <c r="M1878" t="s">
        <v>35</v>
      </c>
      <c r="N1878" t="s">
        <v>107</v>
      </c>
      <c r="O1878" t="s">
        <v>37</v>
      </c>
      <c r="P1878" t="s">
        <v>39</v>
      </c>
      <c r="Q1878" t="s">
        <v>38</v>
      </c>
      <c r="R1878">
        <v>0</v>
      </c>
      <c r="S1878" t="s">
        <v>39</v>
      </c>
      <c r="T1878">
        <v>10</v>
      </c>
      <c r="U1878">
        <v>1.6</v>
      </c>
      <c r="V1878">
        <v>21.6</v>
      </c>
      <c r="W1878" t="s">
        <v>39</v>
      </c>
      <c r="X1878" t="s">
        <v>52</v>
      </c>
      <c r="Y1878" t="s">
        <v>38</v>
      </c>
      <c r="Z1878" t="s">
        <v>41</v>
      </c>
      <c r="AA1878" t="s">
        <v>82</v>
      </c>
      <c r="AB1878" t="s">
        <v>83</v>
      </c>
      <c r="AC1878">
        <f t="shared" si="319"/>
        <v>1</v>
      </c>
      <c r="AD1878" s="12">
        <f t="shared" si="323"/>
        <v>0</v>
      </c>
      <c r="AE1878" s="12">
        <f t="shared" si="324"/>
        <v>0</v>
      </c>
      <c r="AF1878">
        <f t="shared" si="320"/>
        <v>0</v>
      </c>
      <c r="AG1878">
        <f t="shared" si="325"/>
        <v>0</v>
      </c>
      <c r="AH1878">
        <f t="shared" si="326"/>
        <v>0</v>
      </c>
      <c r="AI1878">
        <f t="shared" si="327"/>
        <v>0</v>
      </c>
      <c r="AJ1878">
        <f t="shared" si="328"/>
        <v>0</v>
      </c>
      <c r="AK1878">
        <f t="shared" si="321"/>
        <v>0</v>
      </c>
      <c r="AL1878">
        <f t="shared" si="329"/>
        <v>1</v>
      </c>
    </row>
    <row r="1879" spans="1:38">
      <c r="A1879" t="s">
        <v>5764</v>
      </c>
      <c r="B1879" t="s">
        <v>5765</v>
      </c>
      <c r="C1879" s="1">
        <f t="shared" si="322"/>
        <v>45383</v>
      </c>
      <c r="D1879" t="s">
        <v>5766</v>
      </c>
      <c r="E1879">
        <v>109.4</v>
      </c>
      <c r="F1879">
        <v>4.5999999999999996</v>
      </c>
      <c r="G1879" t="s">
        <v>30</v>
      </c>
      <c r="H1879" t="s">
        <v>159</v>
      </c>
      <c r="I1879" t="s">
        <v>48</v>
      </c>
      <c r="J1879">
        <v>120</v>
      </c>
      <c r="K1879" t="s">
        <v>49</v>
      </c>
      <c r="L1879" t="s">
        <v>96</v>
      </c>
      <c r="M1879" t="s">
        <v>35</v>
      </c>
      <c r="N1879" t="s">
        <v>134</v>
      </c>
      <c r="O1879" t="s">
        <v>7232</v>
      </c>
      <c r="P1879" t="s">
        <v>38</v>
      </c>
      <c r="Q1879" t="s">
        <v>38</v>
      </c>
      <c r="R1879">
        <v>1</v>
      </c>
      <c r="S1879" t="s">
        <v>39</v>
      </c>
      <c r="T1879">
        <v>9</v>
      </c>
      <c r="U1879">
        <v>1.2</v>
      </c>
      <c r="V1879">
        <v>2.1</v>
      </c>
      <c r="W1879" t="s">
        <v>39</v>
      </c>
      <c r="X1879" t="s">
        <v>40</v>
      </c>
      <c r="Y1879" t="s">
        <v>39</v>
      </c>
      <c r="Z1879" t="s">
        <v>81</v>
      </c>
      <c r="AA1879" t="s">
        <v>103</v>
      </c>
      <c r="AB1879" t="s">
        <v>55</v>
      </c>
      <c r="AC1879">
        <f t="shared" si="319"/>
        <v>0</v>
      </c>
      <c r="AD1879" s="12">
        <f t="shared" si="323"/>
        <v>0</v>
      </c>
      <c r="AE1879" s="12">
        <f t="shared" si="324"/>
        <v>0</v>
      </c>
      <c r="AF1879">
        <f t="shared" si="320"/>
        <v>0</v>
      </c>
      <c r="AG1879">
        <f t="shared" si="325"/>
        <v>1</v>
      </c>
      <c r="AH1879">
        <f t="shared" si="326"/>
        <v>1</v>
      </c>
      <c r="AI1879">
        <f t="shared" si="327"/>
        <v>0</v>
      </c>
      <c r="AJ1879">
        <f t="shared" si="328"/>
        <v>0</v>
      </c>
      <c r="AK1879">
        <f t="shared" si="321"/>
        <v>1</v>
      </c>
      <c r="AL1879">
        <f t="shared" si="329"/>
        <v>0</v>
      </c>
    </row>
    <row r="1880" spans="1:38">
      <c r="A1880" t="s">
        <v>5767</v>
      </c>
      <c r="B1880" t="s">
        <v>5768</v>
      </c>
      <c r="C1880" s="1">
        <f t="shared" si="322"/>
        <v>45413</v>
      </c>
      <c r="D1880" t="s">
        <v>5769</v>
      </c>
      <c r="E1880">
        <v>205.5</v>
      </c>
      <c r="F1880">
        <v>8.6</v>
      </c>
      <c r="G1880" t="s">
        <v>142</v>
      </c>
      <c r="H1880" t="s">
        <v>240</v>
      </c>
      <c r="I1880" t="s">
        <v>32</v>
      </c>
      <c r="J1880">
        <v>240</v>
      </c>
      <c r="K1880" t="s">
        <v>49</v>
      </c>
      <c r="L1880" t="s">
        <v>133</v>
      </c>
      <c r="M1880" t="s">
        <v>35</v>
      </c>
      <c r="N1880" t="s">
        <v>114</v>
      </c>
      <c r="O1880" t="s">
        <v>7232</v>
      </c>
      <c r="P1880" t="s">
        <v>38</v>
      </c>
      <c r="Q1880" t="s">
        <v>38</v>
      </c>
      <c r="R1880">
        <v>1</v>
      </c>
      <c r="S1880" t="s">
        <v>38</v>
      </c>
      <c r="T1880">
        <v>7</v>
      </c>
      <c r="U1880">
        <v>2.1</v>
      </c>
      <c r="V1880">
        <v>15.1</v>
      </c>
      <c r="W1880" t="s">
        <v>39</v>
      </c>
      <c r="X1880" t="s">
        <v>123</v>
      </c>
      <c r="Y1880" t="s">
        <v>39</v>
      </c>
      <c r="Z1880" t="s">
        <v>53</v>
      </c>
      <c r="AA1880" t="s">
        <v>109</v>
      </c>
      <c r="AB1880" t="s">
        <v>55</v>
      </c>
      <c r="AC1880">
        <f t="shared" si="319"/>
        <v>0</v>
      </c>
      <c r="AD1880" s="12">
        <f t="shared" si="323"/>
        <v>0</v>
      </c>
      <c r="AE1880" s="12">
        <f t="shared" si="324"/>
        <v>1</v>
      </c>
      <c r="AF1880">
        <f t="shared" si="320"/>
        <v>0</v>
      </c>
      <c r="AG1880">
        <f t="shared" si="325"/>
        <v>1</v>
      </c>
      <c r="AH1880">
        <f t="shared" si="326"/>
        <v>0</v>
      </c>
      <c r="AI1880">
        <f t="shared" si="327"/>
        <v>0</v>
      </c>
      <c r="AJ1880">
        <f t="shared" si="328"/>
        <v>1</v>
      </c>
      <c r="AK1880">
        <f t="shared" si="321"/>
        <v>0</v>
      </c>
      <c r="AL1880">
        <f t="shared" si="329"/>
        <v>0</v>
      </c>
    </row>
    <row r="1881" spans="1:38">
      <c r="A1881" t="s">
        <v>5770</v>
      </c>
      <c r="B1881" t="s">
        <v>5771</v>
      </c>
      <c r="C1881" s="1">
        <f t="shared" si="322"/>
        <v>45505</v>
      </c>
      <c r="D1881" t="s">
        <v>5772</v>
      </c>
      <c r="E1881">
        <v>317.60000000000002</v>
      </c>
      <c r="F1881">
        <v>13.2</v>
      </c>
      <c r="G1881" t="s">
        <v>68</v>
      </c>
      <c r="H1881" t="s">
        <v>212</v>
      </c>
      <c r="I1881" t="s">
        <v>48</v>
      </c>
      <c r="J1881">
        <v>120</v>
      </c>
      <c r="K1881" t="s">
        <v>33</v>
      </c>
      <c r="L1881" t="s">
        <v>70</v>
      </c>
      <c r="M1881" t="s">
        <v>71</v>
      </c>
      <c r="N1881" t="s">
        <v>192</v>
      </c>
      <c r="O1881" t="s">
        <v>7232</v>
      </c>
      <c r="P1881" t="s">
        <v>38</v>
      </c>
      <c r="Q1881" t="s">
        <v>39</v>
      </c>
      <c r="R1881">
        <v>1</v>
      </c>
      <c r="S1881" t="s">
        <v>38</v>
      </c>
      <c r="T1881">
        <v>6</v>
      </c>
      <c r="U1881">
        <v>5.8</v>
      </c>
      <c r="V1881">
        <v>13.8</v>
      </c>
      <c r="W1881" t="s">
        <v>39</v>
      </c>
      <c r="X1881" t="s">
        <v>40</v>
      </c>
      <c r="Y1881" t="s">
        <v>38</v>
      </c>
      <c r="Z1881" t="s">
        <v>179</v>
      </c>
      <c r="AA1881" t="s">
        <v>42</v>
      </c>
      <c r="AB1881" t="s">
        <v>83</v>
      </c>
      <c r="AC1881">
        <f t="shared" si="319"/>
        <v>0</v>
      </c>
      <c r="AD1881" s="12">
        <f t="shared" si="323"/>
        <v>0</v>
      </c>
      <c r="AE1881" s="12">
        <f t="shared" si="324"/>
        <v>0</v>
      </c>
      <c r="AF1881">
        <f t="shared" si="320"/>
        <v>0</v>
      </c>
      <c r="AG1881">
        <f t="shared" si="325"/>
        <v>1</v>
      </c>
      <c r="AH1881">
        <f t="shared" si="326"/>
        <v>1</v>
      </c>
      <c r="AI1881">
        <f t="shared" si="327"/>
        <v>0</v>
      </c>
      <c r="AJ1881">
        <f t="shared" si="328"/>
        <v>0</v>
      </c>
      <c r="AK1881">
        <f t="shared" si="321"/>
        <v>0</v>
      </c>
      <c r="AL1881">
        <f t="shared" si="329"/>
        <v>1</v>
      </c>
    </row>
    <row r="1882" spans="1:38">
      <c r="A1882" t="s">
        <v>5773</v>
      </c>
      <c r="B1882" t="s">
        <v>5774</v>
      </c>
      <c r="C1882" s="1">
        <f t="shared" si="322"/>
        <v>45505</v>
      </c>
      <c r="D1882" t="s">
        <v>5775</v>
      </c>
      <c r="E1882">
        <v>105</v>
      </c>
      <c r="F1882">
        <v>4.4000000000000004</v>
      </c>
      <c r="G1882" t="s">
        <v>87</v>
      </c>
      <c r="H1882" t="s">
        <v>88</v>
      </c>
      <c r="I1882" t="s">
        <v>48</v>
      </c>
      <c r="J1882">
        <v>120</v>
      </c>
      <c r="K1882" t="s">
        <v>49</v>
      </c>
      <c r="L1882" t="s">
        <v>34</v>
      </c>
      <c r="M1882" t="s">
        <v>35</v>
      </c>
      <c r="N1882" t="s">
        <v>36</v>
      </c>
      <c r="O1882" t="s">
        <v>37</v>
      </c>
      <c r="P1882" t="s">
        <v>39</v>
      </c>
      <c r="Q1882" t="s">
        <v>38</v>
      </c>
      <c r="R1882">
        <v>0</v>
      </c>
      <c r="S1882" t="s">
        <v>38</v>
      </c>
      <c r="T1882">
        <v>10</v>
      </c>
      <c r="U1882">
        <v>3.4</v>
      </c>
      <c r="V1882">
        <v>17.5</v>
      </c>
      <c r="W1882" t="s">
        <v>38</v>
      </c>
      <c r="X1882" t="s">
        <v>63</v>
      </c>
      <c r="Y1882" t="s">
        <v>39</v>
      </c>
      <c r="Z1882" t="s">
        <v>115</v>
      </c>
      <c r="AA1882" t="s">
        <v>109</v>
      </c>
      <c r="AB1882" t="s">
        <v>83</v>
      </c>
      <c r="AC1882">
        <f t="shared" si="319"/>
        <v>0</v>
      </c>
      <c r="AD1882" s="12">
        <f t="shared" si="323"/>
        <v>1</v>
      </c>
      <c r="AE1882" s="12">
        <f t="shared" si="324"/>
        <v>0</v>
      </c>
      <c r="AF1882">
        <f t="shared" si="320"/>
        <v>0</v>
      </c>
      <c r="AG1882">
        <f t="shared" si="325"/>
        <v>0</v>
      </c>
      <c r="AH1882">
        <f t="shared" si="326"/>
        <v>1</v>
      </c>
      <c r="AI1882">
        <f t="shared" si="327"/>
        <v>0</v>
      </c>
      <c r="AJ1882">
        <f t="shared" si="328"/>
        <v>0</v>
      </c>
      <c r="AK1882">
        <f t="shared" si="321"/>
        <v>0</v>
      </c>
      <c r="AL1882">
        <f t="shared" si="329"/>
        <v>0</v>
      </c>
    </row>
    <row r="1883" spans="1:38">
      <c r="A1883" t="s">
        <v>5776</v>
      </c>
      <c r="B1883" t="s">
        <v>5777</v>
      </c>
      <c r="C1883" s="1">
        <f t="shared" si="322"/>
        <v>45597</v>
      </c>
      <c r="D1883" t="s">
        <v>5778</v>
      </c>
      <c r="E1883">
        <v>356.3</v>
      </c>
      <c r="F1883">
        <v>14.8</v>
      </c>
      <c r="G1883" t="s">
        <v>142</v>
      </c>
      <c r="H1883" t="s">
        <v>240</v>
      </c>
      <c r="I1883" t="s">
        <v>32</v>
      </c>
      <c r="J1883">
        <v>240</v>
      </c>
      <c r="K1883" t="s">
        <v>33</v>
      </c>
      <c r="L1883" t="s">
        <v>96</v>
      </c>
      <c r="M1883" t="s">
        <v>71</v>
      </c>
      <c r="N1883" t="s">
        <v>61</v>
      </c>
      <c r="O1883" t="s">
        <v>51</v>
      </c>
      <c r="P1883" t="s">
        <v>38</v>
      </c>
      <c r="Q1883" t="s">
        <v>39</v>
      </c>
      <c r="R1883">
        <v>4</v>
      </c>
      <c r="S1883" t="s">
        <v>38</v>
      </c>
      <c r="T1883">
        <v>5</v>
      </c>
      <c r="U1883">
        <v>2.4</v>
      </c>
      <c r="V1883">
        <v>0</v>
      </c>
      <c r="W1883" t="s">
        <v>38</v>
      </c>
      <c r="X1883" t="s">
        <v>63</v>
      </c>
      <c r="Y1883" t="s">
        <v>39</v>
      </c>
      <c r="Z1883" t="s">
        <v>41</v>
      </c>
      <c r="AA1883" t="s">
        <v>42</v>
      </c>
      <c r="AB1883" t="s">
        <v>55</v>
      </c>
      <c r="AC1883">
        <f t="shared" si="319"/>
        <v>0</v>
      </c>
      <c r="AD1883" s="12">
        <f t="shared" si="323"/>
        <v>1</v>
      </c>
      <c r="AE1883" s="12">
        <f t="shared" si="324"/>
        <v>0</v>
      </c>
      <c r="AF1883">
        <f t="shared" si="320"/>
        <v>1</v>
      </c>
      <c r="AG1883">
        <f t="shared" si="325"/>
        <v>0</v>
      </c>
      <c r="AH1883">
        <f t="shared" si="326"/>
        <v>0</v>
      </c>
      <c r="AI1883">
        <f t="shared" si="327"/>
        <v>0</v>
      </c>
      <c r="AJ1883">
        <f t="shared" si="328"/>
        <v>1</v>
      </c>
      <c r="AK1883">
        <f t="shared" si="321"/>
        <v>0</v>
      </c>
      <c r="AL1883">
        <f t="shared" si="329"/>
        <v>0</v>
      </c>
    </row>
    <row r="1884" spans="1:38">
      <c r="A1884" t="s">
        <v>5779</v>
      </c>
      <c r="B1884" t="s">
        <v>5780</v>
      </c>
      <c r="C1884" s="1">
        <f t="shared" si="322"/>
        <v>45413</v>
      </c>
      <c r="D1884" t="s">
        <v>5781</v>
      </c>
      <c r="E1884">
        <v>620.6</v>
      </c>
      <c r="F1884">
        <v>25.9</v>
      </c>
      <c r="G1884" t="s">
        <v>30</v>
      </c>
      <c r="H1884" t="s">
        <v>159</v>
      </c>
      <c r="I1884" t="s">
        <v>32</v>
      </c>
      <c r="J1884">
        <v>240</v>
      </c>
      <c r="K1884" t="s">
        <v>33</v>
      </c>
      <c r="L1884" t="s">
        <v>96</v>
      </c>
      <c r="M1884" t="s">
        <v>35</v>
      </c>
      <c r="N1884" t="s">
        <v>192</v>
      </c>
      <c r="O1884" t="s">
        <v>51</v>
      </c>
      <c r="P1884" t="s">
        <v>39</v>
      </c>
      <c r="Q1884" t="s">
        <v>38</v>
      </c>
      <c r="R1884">
        <v>0</v>
      </c>
      <c r="S1884" t="s">
        <v>38</v>
      </c>
      <c r="T1884">
        <v>6</v>
      </c>
      <c r="U1884">
        <v>4.9000000000000004</v>
      </c>
      <c r="V1884">
        <v>22</v>
      </c>
      <c r="W1884" t="s">
        <v>38</v>
      </c>
      <c r="X1884" t="s">
        <v>123</v>
      </c>
      <c r="Y1884" t="s">
        <v>38</v>
      </c>
      <c r="Z1884" t="s">
        <v>53</v>
      </c>
      <c r="AA1884" t="s">
        <v>54</v>
      </c>
      <c r="AB1884" t="s">
        <v>55</v>
      </c>
      <c r="AC1884">
        <f t="shared" si="319"/>
        <v>0</v>
      </c>
      <c r="AD1884" s="12">
        <f t="shared" si="323"/>
        <v>0</v>
      </c>
      <c r="AE1884" s="12">
        <f t="shared" si="324"/>
        <v>1</v>
      </c>
      <c r="AF1884">
        <f t="shared" si="320"/>
        <v>1</v>
      </c>
      <c r="AG1884">
        <f t="shared" si="325"/>
        <v>0</v>
      </c>
      <c r="AH1884">
        <f t="shared" si="326"/>
        <v>0</v>
      </c>
      <c r="AI1884">
        <f t="shared" si="327"/>
        <v>0</v>
      </c>
      <c r="AJ1884">
        <f t="shared" si="328"/>
        <v>1</v>
      </c>
      <c r="AK1884">
        <f t="shared" si="321"/>
        <v>1</v>
      </c>
      <c r="AL1884">
        <f t="shared" si="329"/>
        <v>1</v>
      </c>
    </row>
    <row r="1885" spans="1:38">
      <c r="A1885" t="s">
        <v>5782</v>
      </c>
      <c r="B1885" t="s">
        <v>5783</v>
      </c>
      <c r="C1885" s="1">
        <f t="shared" si="322"/>
        <v>45505</v>
      </c>
      <c r="D1885" t="s">
        <v>5784</v>
      </c>
      <c r="E1885">
        <v>185</v>
      </c>
      <c r="F1885">
        <v>7.7</v>
      </c>
      <c r="G1885" t="s">
        <v>59</v>
      </c>
      <c r="H1885" t="s">
        <v>466</v>
      </c>
      <c r="I1885" t="s">
        <v>32</v>
      </c>
      <c r="J1885">
        <v>240</v>
      </c>
      <c r="K1885" t="s">
        <v>49</v>
      </c>
      <c r="L1885" t="s">
        <v>70</v>
      </c>
      <c r="M1885" t="s">
        <v>35</v>
      </c>
      <c r="N1885" t="s">
        <v>138</v>
      </c>
      <c r="O1885" t="s">
        <v>7232</v>
      </c>
      <c r="P1885" t="s">
        <v>38</v>
      </c>
      <c r="Q1885" t="s">
        <v>38</v>
      </c>
      <c r="R1885">
        <v>1</v>
      </c>
      <c r="S1885" t="s">
        <v>38</v>
      </c>
      <c r="T1885">
        <v>6</v>
      </c>
      <c r="U1885">
        <v>2.1</v>
      </c>
      <c r="V1885">
        <v>7.8</v>
      </c>
      <c r="W1885" t="s">
        <v>39</v>
      </c>
      <c r="X1885" t="s">
        <v>123</v>
      </c>
      <c r="Y1885" t="s">
        <v>39</v>
      </c>
      <c r="Z1885" t="s">
        <v>73</v>
      </c>
      <c r="AA1885" t="s">
        <v>103</v>
      </c>
      <c r="AB1885" t="s">
        <v>83</v>
      </c>
      <c r="AC1885">
        <f t="shared" si="319"/>
        <v>0</v>
      </c>
      <c r="AD1885" s="12">
        <f t="shared" si="323"/>
        <v>0</v>
      </c>
      <c r="AE1885" s="12">
        <f t="shared" si="324"/>
        <v>1</v>
      </c>
      <c r="AF1885">
        <f t="shared" si="320"/>
        <v>0</v>
      </c>
      <c r="AG1885">
        <f t="shared" si="325"/>
        <v>1</v>
      </c>
      <c r="AH1885">
        <f t="shared" si="326"/>
        <v>0</v>
      </c>
      <c r="AI1885">
        <f t="shared" si="327"/>
        <v>0</v>
      </c>
      <c r="AJ1885">
        <f t="shared" si="328"/>
        <v>1</v>
      </c>
      <c r="AK1885">
        <f t="shared" si="321"/>
        <v>0</v>
      </c>
      <c r="AL1885">
        <f t="shared" si="329"/>
        <v>0</v>
      </c>
    </row>
    <row r="1886" spans="1:38">
      <c r="A1886" t="s">
        <v>5785</v>
      </c>
      <c r="B1886" t="s">
        <v>5786</v>
      </c>
      <c r="C1886" s="1">
        <f t="shared" si="322"/>
        <v>45566</v>
      </c>
      <c r="D1886" t="s">
        <v>5787</v>
      </c>
      <c r="E1886">
        <v>174.4</v>
      </c>
      <c r="F1886">
        <v>7.3</v>
      </c>
      <c r="G1886" t="s">
        <v>142</v>
      </c>
      <c r="H1886" t="s">
        <v>143</v>
      </c>
      <c r="I1886" t="s">
        <v>32</v>
      </c>
      <c r="J1886">
        <v>240</v>
      </c>
      <c r="K1886" t="s">
        <v>49</v>
      </c>
      <c r="L1886" t="s">
        <v>113</v>
      </c>
      <c r="M1886" t="s">
        <v>71</v>
      </c>
      <c r="N1886" t="s">
        <v>202</v>
      </c>
      <c r="O1886" t="s">
        <v>51</v>
      </c>
      <c r="P1886" t="s">
        <v>38</v>
      </c>
      <c r="Q1886" t="s">
        <v>39</v>
      </c>
      <c r="R1886">
        <v>2</v>
      </c>
      <c r="S1886" t="s">
        <v>38</v>
      </c>
      <c r="T1886">
        <v>9</v>
      </c>
      <c r="U1886">
        <v>0.1</v>
      </c>
      <c r="V1886">
        <v>26.6</v>
      </c>
      <c r="W1886" t="s">
        <v>38</v>
      </c>
      <c r="X1886" t="s">
        <v>52</v>
      </c>
      <c r="Y1886" t="s">
        <v>39</v>
      </c>
      <c r="Z1886" t="s">
        <v>64</v>
      </c>
      <c r="AA1886" t="s">
        <v>42</v>
      </c>
      <c r="AB1886" t="s">
        <v>43</v>
      </c>
      <c r="AC1886">
        <f t="shared" si="319"/>
        <v>1</v>
      </c>
      <c r="AD1886" s="12">
        <f t="shared" si="323"/>
        <v>0</v>
      </c>
      <c r="AE1886" s="12">
        <f t="shared" si="324"/>
        <v>0</v>
      </c>
      <c r="AF1886">
        <f t="shared" si="320"/>
        <v>1</v>
      </c>
      <c r="AG1886">
        <f t="shared" si="325"/>
        <v>0</v>
      </c>
      <c r="AH1886">
        <f t="shared" si="326"/>
        <v>0</v>
      </c>
      <c r="AI1886">
        <f t="shared" si="327"/>
        <v>0</v>
      </c>
      <c r="AJ1886">
        <f t="shared" si="328"/>
        <v>1</v>
      </c>
      <c r="AK1886">
        <f t="shared" si="321"/>
        <v>0</v>
      </c>
      <c r="AL1886">
        <f t="shared" si="329"/>
        <v>0</v>
      </c>
    </row>
    <row r="1887" spans="1:38">
      <c r="A1887" t="s">
        <v>5788</v>
      </c>
      <c r="B1887" t="s">
        <v>5789</v>
      </c>
      <c r="C1887" s="1">
        <f t="shared" si="322"/>
        <v>45597</v>
      </c>
      <c r="D1887" t="s">
        <v>5790</v>
      </c>
      <c r="E1887">
        <v>216</v>
      </c>
      <c r="F1887">
        <v>9</v>
      </c>
      <c r="G1887" t="s">
        <v>87</v>
      </c>
      <c r="H1887" t="s">
        <v>183</v>
      </c>
      <c r="I1887" t="s">
        <v>32</v>
      </c>
      <c r="J1887">
        <v>240</v>
      </c>
      <c r="K1887" t="s">
        <v>49</v>
      </c>
      <c r="L1887" t="s">
        <v>34</v>
      </c>
      <c r="M1887" t="s">
        <v>71</v>
      </c>
      <c r="N1887" t="s">
        <v>144</v>
      </c>
      <c r="O1887" t="s">
        <v>7232</v>
      </c>
      <c r="P1887" t="s">
        <v>38</v>
      </c>
      <c r="Q1887" t="s">
        <v>39</v>
      </c>
      <c r="R1887">
        <v>4</v>
      </c>
      <c r="S1887" t="s">
        <v>38</v>
      </c>
      <c r="T1887">
        <v>9</v>
      </c>
      <c r="U1887">
        <v>3.2</v>
      </c>
      <c r="V1887">
        <v>14.7</v>
      </c>
      <c r="W1887" t="s">
        <v>39</v>
      </c>
      <c r="X1887" t="s">
        <v>63</v>
      </c>
      <c r="Y1887" t="s">
        <v>38</v>
      </c>
      <c r="Z1887" t="s">
        <v>41</v>
      </c>
      <c r="AA1887" t="s">
        <v>54</v>
      </c>
      <c r="AB1887" t="s">
        <v>83</v>
      </c>
      <c r="AC1887">
        <f t="shared" si="319"/>
        <v>0</v>
      </c>
      <c r="AD1887" s="12">
        <f t="shared" si="323"/>
        <v>1</v>
      </c>
      <c r="AE1887" s="12">
        <f t="shared" si="324"/>
        <v>0</v>
      </c>
      <c r="AF1887">
        <f t="shared" si="320"/>
        <v>0</v>
      </c>
      <c r="AG1887">
        <f t="shared" si="325"/>
        <v>1</v>
      </c>
      <c r="AH1887">
        <f t="shared" si="326"/>
        <v>0</v>
      </c>
      <c r="AI1887">
        <f t="shared" si="327"/>
        <v>0</v>
      </c>
      <c r="AJ1887">
        <f t="shared" si="328"/>
        <v>1</v>
      </c>
      <c r="AK1887">
        <f t="shared" si="321"/>
        <v>0</v>
      </c>
      <c r="AL1887">
        <f t="shared" si="329"/>
        <v>1</v>
      </c>
    </row>
    <row r="1888" spans="1:38">
      <c r="A1888" t="s">
        <v>5791</v>
      </c>
      <c r="B1888" t="s">
        <v>5792</v>
      </c>
      <c r="C1888" s="1">
        <f t="shared" si="322"/>
        <v>45292</v>
      </c>
      <c r="D1888" t="s">
        <v>5793</v>
      </c>
      <c r="E1888">
        <v>332.1</v>
      </c>
      <c r="F1888">
        <v>13.8</v>
      </c>
      <c r="G1888" t="s">
        <v>77</v>
      </c>
      <c r="H1888" t="s">
        <v>244</v>
      </c>
      <c r="I1888" t="s">
        <v>79</v>
      </c>
      <c r="J1888">
        <v>360</v>
      </c>
      <c r="K1888" t="s">
        <v>49</v>
      </c>
      <c r="L1888" t="s">
        <v>70</v>
      </c>
      <c r="M1888" t="s">
        <v>35</v>
      </c>
      <c r="N1888" t="s">
        <v>155</v>
      </c>
      <c r="O1888" t="s">
        <v>7232</v>
      </c>
      <c r="P1888" t="s">
        <v>39</v>
      </c>
      <c r="Q1888" t="s">
        <v>38</v>
      </c>
      <c r="R1888">
        <v>0</v>
      </c>
      <c r="S1888" t="s">
        <v>38</v>
      </c>
      <c r="T1888">
        <v>9</v>
      </c>
      <c r="U1888">
        <v>4.0999999999999996</v>
      </c>
      <c r="V1888">
        <v>0</v>
      </c>
      <c r="W1888" t="s">
        <v>39</v>
      </c>
      <c r="X1888" t="s">
        <v>52</v>
      </c>
      <c r="Y1888" t="s">
        <v>38</v>
      </c>
      <c r="Z1888" t="s">
        <v>73</v>
      </c>
      <c r="AA1888" t="s">
        <v>109</v>
      </c>
      <c r="AB1888" t="s">
        <v>55</v>
      </c>
      <c r="AC1888">
        <f t="shared" si="319"/>
        <v>1</v>
      </c>
      <c r="AD1888" s="12">
        <f t="shared" si="323"/>
        <v>0</v>
      </c>
      <c r="AE1888" s="12">
        <f t="shared" si="324"/>
        <v>0</v>
      </c>
      <c r="AF1888">
        <f t="shared" si="320"/>
        <v>0</v>
      </c>
      <c r="AG1888">
        <f t="shared" si="325"/>
        <v>1</v>
      </c>
      <c r="AH1888">
        <f t="shared" si="326"/>
        <v>0</v>
      </c>
      <c r="AI1888">
        <f t="shared" si="327"/>
        <v>0</v>
      </c>
      <c r="AJ1888">
        <f t="shared" si="328"/>
        <v>0</v>
      </c>
      <c r="AK1888">
        <f t="shared" si="321"/>
        <v>0</v>
      </c>
      <c r="AL1888">
        <f t="shared" si="329"/>
        <v>1</v>
      </c>
    </row>
    <row r="1889" spans="1:38">
      <c r="A1889" t="s">
        <v>5794</v>
      </c>
      <c r="B1889" t="s">
        <v>5795</v>
      </c>
      <c r="C1889" s="1">
        <f t="shared" si="322"/>
        <v>45505</v>
      </c>
      <c r="D1889" t="s">
        <v>5796</v>
      </c>
      <c r="E1889">
        <v>191.4</v>
      </c>
      <c r="F1889">
        <v>8</v>
      </c>
      <c r="G1889" t="s">
        <v>142</v>
      </c>
      <c r="H1889" t="s">
        <v>729</v>
      </c>
      <c r="I1889" t="s">
        <v>32</v>
      </c>
      <c r="J1889">
        <v>240</v>
      </c>
      <c r="K1889" t="s">
        <v>49</v>
      </c>
      <c r="L1889" t="s">
        <v>96</v>
      </c>
      <c r="M1889" t="s">
        <v>35</v>
      </c>
      <c r="N1889" t="s">
        <v>277</v>
      </c>
      <c r="O1889" t="s">
        <v>51</v>
      </c>
      <c r="P1889" t="s">
        <v>39</v>
      </c>
      <c r="Q1889" t="s">
        <v>38</v>
      </c>
      <c r="R1889">
        <v>0</v>
      </c>
      <c r="S1889" t="s">
        <v>38</v>
      </c>
      <c r="T1889">
        <v>10</v>
      </c>
      <c r="U1889">
        <v>3.6</v>
      </c>
      <c r="V1889">
        <v>37.5</v>
      </c>
      <c r="W1889" t="s">
        <v>39</v>
      </c>
      <c r="X1889" t="s">
        <v>52</v>
      </c>
      <c r="Y1889" t="s">
        <v>39</v>
      </c>
      <c r="Z1889" t="s">
        <v>73</v>
      </c>
      <c r="AA1889" t="s">
        <v>109</v>
      </c>
      <c r="AB1889" t="s">
        <v>55</v>
      </c>
      <c r="AC1889">
        <f t="shared" si="319"/>
        <v>1</v>
      </c>
      <c r="AD1889" s="12">
        <f t="shared" si="323"/>
        <v>0</v>
      </c>
      <c r="AE1889" s="12">
        <f t="shared" si="324"/>
        <v>0</v>
      </c>
      <c r="AF1889">
        <f t="shared" si="320"/>
        <v>1</v>
      </c>
      <c r="AG1889">
        <f t="shared" si="325"/>
        <v>0</v>
      </c>
      <c r="AH1889">
        <f t="shared" si="326"/>
        <v>0</v>
      </c>
      <c r="AI1889">
        <f t="shared" si="327"/>
        <v>0</v>
      </c>
      <c r="AJ1889">
        <f t="shared" si="328"/>
        <v>1</v>
      </c>
      <c r="AK1889">
        <f t="shared" si="321"/>
        <v>0</v>
      </c>
      <c r="AL1889">
        <f t="shared" si="329"/>
        <v>0</v>
      </c>
    </row>
    <row r="1890" spans="1:38">
      <c r="A1890" t="s">
        <v>5797</v>
      </c>
      <c r="B1890" t="s">
        <v>5798</v>
      </c>
      <c r="C1890" s="1">
        <f t="shared" si="322"/>
        <v>45323</v>
      </c>
      <c r="D1890" t="s">
        <v>5799</v>
      </c>
      <c r="E1890">
        <v>157.4</v>
      </c>
      <c r="F1890">
        <v>6.6</v>
      </c>
      <c r="G1890" t="s">
        <v>142</v>
      </c>
      <c r="H1890" t="s">
        <v>319</v>
      </c>
      <c r="I1890" t="s">
        <v>32</v>
      </c>
      <c r="J1890">
        <v>240</v>
      </c>
      <c r="K1890" t="s">
        <v>49</v>
      </c>
      <c r="L1890" t="s">
        <v>96</v>
      </c>
      <c r="M1890" t="s">
        <v>35</v>
      </c>
      <c r="N1890" t="s">
        <v>506</v>
      </c>
      <c r="O1890" t="s">
        <v>51</v>
      </c>
      <c r="P1890" t="s">
        <v>38</v>
      </c>
      <c r="Q1890" t="s">
        <v>38</v>
      </c>
      <c r="R1890">
        <v>1</v>
      </c>
      <c r="S1890" t="s">
        <v>38</v>
      </c>
      <c r="T1890">
        <v>8</v>
      </c>
      <c r="U1890">
        <v>2.9</v>
      </c>
      <c r="V1890">
        <v>14.1</v>
      </c>
      <c r="W1890" t="s">
        <v>38</v>
      </c>
      <c r="X1890" t="s">
        <v>40</v>
      </c>
      <c r="Y1890" t="s">
        <v>38</v>
      </c>
      <c r="Z1890" t="s">
        <v>108</v>
      </c>
      <c r="AA1890" t="s">
        <v>42</v>
      </c>
      <c r="AB1890" t="s">
        <v>55</v>
      </c>
      <c r="AC1890">
        <f t="shared" si="319"/>
        <v>0</v>
      </c>
      <c r="AD1890" s="12">
        <f t="shared" si="323"/>
        <v>0</v>
      </c>
      <c r="AE1890" s="12">
        <f t="shared" si="324"/>
        <v>0</v>
      </c>
      <c r="AF1890">
        <f t="shared" si="320"/>
        <v>1</v>
      </c>
      <c r="AG1890">
        <f t="shared" si="325"/>
        <v>0</v>
      </c>
      <c r="AH1890">
        <f t="shared" si="326"/>
        <v>0</v>
      </c>
      <c r="AI1890">
        <f t="shared" si="327"/>
        <v>0</v>
      </c>
      <c r="AJ1890">
        <f t="shared" si="328"/>
        <v>1</v>
      </c>
      <c r="AK1890">
        <f t="shared" si="321"/>
        <v>0</v>
      </c>
      <c r="AL1890">
        <f t="shared" si="329"/>
        <v>1</v>
      </c>
    </row>
    <row r="1891" spans="1:38">
      <c r="A1891" t="s">
        <v>5800</v>
      </c>
      <c r="B1891" t="s">
        <v>5801</v>
      </c>
      <c r="C1891" s="1">
        <f t="shared" si="322"/>
        <v>45627</v>
      </c>
      <c r="D1891" t="s">
        <v>5802</v>
      </c>
      <c r="E1891">
        <v>168.5</v>
      </c>
      <c r="F1891">
        <v>7</v>
      </c>
      <c r="G1891" t="s">
        <v>87</v>
      </c>
      <c r="H1891" t="s">
        <v>151</v>
      </c>
      <c r="I1891" t="s">
        <v>48</v>
      </c>
      <c r="J1891">
        <v>120</v>
      </c>
      <c r="K1891" t="s">
        <v>33</v>
      </c>
      <c r="L1891" t="s">
        <v>70</v>
      </c>
      <c r="M1891" t="s">
        <v>71</v>
      </c>
      <c r="N1891" t="s">
        <v>107</v>
      </c>
      <c r="O1891" t="s">
        <v>51</v>
      </c>
      <c r="P1891" t="s">
        <v>38</v>
      </c>
      <c r="Q1891" t="s">
        <v>39</v>
      </c>
      <c r="R1891">
        <v>4</v>
      </c>
      <c r="S1891" t="s">
        <v>38</v>
      </c>
      <c r="T1891">
        <v>4</v>
      </c>
      <c r="U1891">
        <v>1.6</v>
      </c>
      <c r="V1891">
        <v>15.8</v>
      </c>
      <c r="W1891" t="s">
        <v>39</v>
      </c>
      <c r="X1891" t="s">
        <v>123</v>
      </c>
      <c r="Y1891" t="s">
        <v>38</v>
      </c>
      <c r="Z1891" t="s">
        <v>53</v>
      </c>
      <c r="AA1891" t="s">
        <v>42</v>
      </c>
      <c r="AB1891" t="s">
        <v>55</v>
      </c>
      <c r="AC1891">
        <f t="shared" si="319"/>
        <v>0</v>
      </c>
      <c r="AD1891" s="12">
        <f t="shared" si="323"/>
        <v>0</v>
      </c>
      <c r="AE1891" s="12">
        <f t="shared" si="324"/>
        <v>1</v>
      </c>
      <c r="AF1891">
        <f t="shared" si="320"/>
        <v>1</v>
      </c>
      <c r="AG1891">
        <f t="shared" si="325"/>
        <v>0</v>
      </c>
      <c r="AH1891">
        <f t="shared" si="326"/>
        <v>1</v>
      </c>
      <c r="AI1891">
        <f t="shared" si="327"/>
        <v>0</v>
      </c>
      <c r="AJ1891">
        <f t="shared" si="328"/>
        <v>0</v>
      </c>
      <c r="AK1891">
        <f t="shared" si="321"/>
        <v>0</v>
      </c>
      <c r="AL1891">
        <f t="shared" si="329"/>
        <v>1</v>
      </c>
    </row>
    <row r="1892" spans="1:38">
      <c r="A1892" t="s">
        <v>5803</v>
      </c>
      <c r="B1892" t="s">
        <v>5804</v>
      </c>
      <c r="C1892" s="1">
        <f t="shared" si="322"/>
        <v>45292</v>
      </c>
      <c r="D1892" t="s">
        <v>5805</v>
      </c>
      <c r="E1892">
        <v>264.5</v>
      </c>
      <c r="F1892">
        <v>11</v>
      </c>
      <c r="G1892" t="s">
        <v>101</v>
      </c>
      <c r="H1892" t="s">
        <v>102</v>
      </c>
      <c r="I1892" t="s">
        <v>79</v>
      </c>
      <c r="J1892">
        <v>360</v>
      </c>
      <c r="K1892" t="s">
        <v>49</v>
      </c>
      <c r="L1892" t="s">
        <v>96</v>
      </c>
      <c r="M1892" t="s">
        <v>71</v>
      </c>
      <c r="N1892" t="s">
        <v>36</v>
      </c>
      <c r="O1892" t="s">
        <v>7232</v>
      </c>
      <c r="P1892" t="s">
        <v>38</v>
      </c>
      <c r="Q1892" t="s">
        <v>39</v>
      </c>
      <c r="R1892">
        <v>3</v>
      </c>
      <c r="S1892" t="s">
        <v>38</v>
      </c>
      <c r="T1892">
        <v>9</v>
      </c>
      <c r="U1892">
        <v>2.2999999999999998</v>
      </c>
      <c r="V1892">
        <v>21.2</v>
      </c>
      <c r="W1892" t="s">
        <v>39</v>
      </c>
      <c r="X1892" t="s">
        <v>63</v>
      </c>
      <c r="Y1892" t="s">
        <v>39</v>
      </c>
      <c r="Z1892" t="s">
        <v>64</v>
      </c>
      <c r="AA1892" t="s">
        <v>42</v>
      </c>
      <c r="AB1892" t="s">
        <v>83</v>
      </c>
      <c r="AC1892">
        <f t="shared" si="319"/>
        <v>0</v>
      </c>
      <c r="AD1892" s="12">
        <f t="shared" si="323"/>
        <v>1</v>
      </c>
      <c r="AE1892" s="12">
        <f t="shared" si="324"/>
        <v>0</v>
      </c>
      <c r="AF1892">
        <f t="shared" si="320"/>
        <v>0</v>
      </c>
      <c r="AG1892">
        <f t="shared" si="325"/>
        <v>1</v>
      </c>
      <c r="AH1892">
        <f t="shared" si="326"/>
        <v>0</v>
      </c>
      <c r="AI1892">
        <f t="shared" si="327"/>
        <v>0</v>
      </c>
      <c r="AJ1892">
        <f t="shared" si="328"/>
        <v>0</v>
      </c>
      <c r="AK1892">
        <f t="shared" si="321"/>
        <v>0</v>
      </c>
      <c r="AL1892">
        <f t="shared" si="329"/>
        <v>0</v>
      </c>
    </row>
    <row r="1893" spans="1:38">
      <c r="A1893" t="s">
        <v>5806</v>
      </c>
      <c r="B1893" t="s">
        <v>5807</v>
      </c>
      <c r="C1893" s="1">
        <f t="shared" si="322"/>
        <v>45597</v>
      </c>
      <c r="D1893" t="s">
        <v>5808</v>
      </c>
      <c r="E1893">
        <v>366.5</v>
      </c>
      <c r="F1893">
        <v>15.3</v>
      </c>
      <c r="G1893" t="s">
        <v>77</v>
      </c>
      <c r="H1893" t="s">
        <v>244</v>
      </c>
      <c r="I1893" t="s">
        <v>79</v>
      </c>
      <c r="J1893">
        <v>360</v>
      </c>
      <c r="K1893" t="s">
        <v>33</v>
      </c>
      <c r="L1893" t="s">
        <v>70</v>
      </c>
      <c r="M1893" t="s">
        <v>35</v>
      </c>
      <c r="N1893" t="s">
        <v>164</v>
      </c>
      <c r="O1893" t="s">
        <v>7232</v>
      </c>
      <c r="P1893" t="s">
        <v>39</v>
      </c>
      <c r="Q1893" t="s">
        <v>38</v>
      </c>
      <c r="R1893">
        <v>0</v>
      </c>
      <c r="S1893" t="s">
        <v>39</v>
      </c>
      <c r="T1893">
        <v>8</v>
      </c>
      <c r="U1893">
        <v>3.7</v>
      </c>
      <c r="V1893">
        <v>5.2</v>
      </c>
      <c r="W1893" t="s">
        <v>39</v>
      </c>
      <c r="X1893" t="s">
        <v>40</v>
      </c>
      <c r="Y1893" t="s">
        <v>39</v>
      </c>
      <c r="Z1893" t="s">
        <v>115</v>
      </c>
      <c r="AA1893" t="s">
        <v>82</v>
      </c>
      <c r="AB1893" t="s">
        <v>55</v>
      </c>
      <c r="AC1893">
        <f t="shared" si="319"/>
        <v>0</v>
      </c>
      <c r="AD1893" s="12">
        <f t="shared" si="323"/>
        <v>0</v>
      </c>
      <c r="AE1893" s="12">
        <f t="shared" si="324"/>
        <v>0</v>
      </c>
      <c r="AF1893">
        <f t="shared" si="320"/>
        <v>0</v>
      </c>
      <c r="AG1893">
        <f t="shared" si="325"/>
        <v>1</v>
      </c>
      <c r="AH1893">
        <f t="shared" si="326"/>
        <v>0</v>
      </c>
      <c r="AI1893">
        <f t="shared" si="327"/>
        <v>0</v>
      </c>
      <c r="AJ1893">
        <f t="shared" si="328"/>
        <v>0</v>
      </c>
      <c r="AK1893">
        <f t="shared" si="321"/>
        <v>0</v>
      </c>
      <c r="AL1893">
        <f t="shared" si="329"/>
        <v>0</v>
      </c>
    </row>
    <row r="1894" spans="1:38">
      <c r="A1894" t="s">
        <v>5809</v>
      </c>
      <c r="B1894" t="s">
        <v>5810</v>
      </c>
      <c r="C1894" s="1">
        <f t="shared" si="322"/>
        <v>45292</v>
      </c>
      <c r="D1894" t="s">
        <v>5811</v>
      </c>
      <c r="E1894">
        <v>224.8</v>
      </c>
      <c r="F1894">
        <v>9.4</v>
      </c>
      <c r="G1894" t="s">
        <v>30</v>
      </c>
      <c r="H1894" t="s">
        <v>31</v>
      </c>
      <c r="I1894" t="s">
        <v>32</v>
      </c>
      <c r="J1894">
        <v>240</v>
      </c>
      <c r="K1894" t="s">
        <v>49</v>
      </c>
      <c r="L1894" t="s">
        <v>113</v>
      </c>
      <c r="M1894" t="s">
        <v>35</v>
      </c>
      <c r="N1894" t="s">
        <v>97</v>
      </c>
      <c r="O1894" t="s">
        <v>7232</v>
      </c>
      <c r="P1894" t="s">
        <v>39</v>
      </c>
      <c r="Q1894" t="s">
        <v>38</v>
      </c>
      <c r="R1894">
        <v>0</v>
      </c>
      <c r="S1894" t="s">
        <v>38</v>
      </c>
      <c r="T1894">
        <v>10</v>
      </c>
      <c r="U1894">
        <v>2</v>
      </c>
      <c r="V1894">
        <v>29.9</v>
      </c>
      <c r="W1894" t="s">
        <v>38</v>
      </c>
      <c r="X1894" t="s">
        <v>40</v>
      </c>
      <c r="Y1894" t="s">
        <v>38</v>
      </c>
      <c r="Z1894" t="s">
        <v>53</v>
      </c>
      <c r="AA1894" t="s">
        <v>103</v>
      </c>
      <c r="AB1894" t="s">
        <v>43</v>
      </c>
      <c r="AC1894">
        <f t="shared" si="319"/>
        <v>0</v>
      </c>
      <c r="AD1894" s="12">
        <f t="shared" si="323"/>
        <v>0</v>
      </c>
      <c r="AE1894" s="12">
        <f t="shared" si="324"/>
        <v>0</v>
      </c>
      <c r="AF1894">
        <f t="shared" si="320"/>
        <v>0</v>
      </c>
      <c r="AG1894">
        <f t="shared" si="325"/>
        <v>1</v>
      </c>
      <c r="AH1894">
        <f t="shared" si="326"/>
        <v>0</v>
      </c>
      <c r="AI1894">
        <f t="shared" si="327"/>
        <v>0</v>
      </c>
      <c r="AJ1894">
        <f t="shared" si="328"/>
        <v>1</v>
      </c>
      <c r="AK1894">
        <f t="shared" si="321"/>
        <v>1</v>
      </c>
      <c r="AL1894">
        <f t="shared" si="329"/>
        <v>1</v>
      </c>
    </row>
    <row r="1895" spans="1:38">
      <c r="A1895" t="s">
        <v>5812</v>
      </c>
      <c r="B1895" t="s">
        <v>5813</v>
      </c>
      <c r="C1895" s="1">
        <f t="shared" si="322"/>
        <v>45292</v>
      </c>
      <c r="D1895" t="s">
        <v>5814</v>
      </c>
      <c r="E1895">
        <v>134.1</v>
      </c>
      <c r="F1895">
        <v>5.6</v>
      </c>
      <c r="G1895" t="s">
        <v>87</v>
      </c>
      <c r="H1895" t="s">
        <v>88</v>
      </c>
      <c r="I1895" t="s">
        <v>48</v>
      </c>
      <c r="J1895">
        <v>120</v>
      </c>
      <c r="K1895" t="s">
        <v>33</v>
      </c>
      <c r="L1895" t="s">
        <v>96</v>
      </c>
      <c r="M1895" t="s">
        <v>71</v>
      </c>
      <c r="N1895" t="s">
        <v>155</v>
      </c>
      <c r="O1895" t="s">
        <v>51</v>
      </c>
      <c r="P1895" t="s">
        <v>38</v>
      </c>
      <c r="Q1895" t="s">
        <v>39</v>
      </c>
      <c r="R1895">
        <v>2</v>
      </c>
      <c r="S1895" t="s">
        <v>38</v>
      </c>
      <c r="T1895">
        <v>8</v>
      </c>
      <c r="U1895">
        <v>3.7</v>
      </c>
      <c r="V1895">
        <v>40.200000000000003</v>
      </c>
      <c r="W1895" t="s">
        <v>39</v>
      </c>
      <c r="X1895" t="s">
        <v>63</v>
      </c>
      <c r="Y1895" t="s">
        <v>39</v>
      </c>
      <c r="Z1895" t="s">
        <v>53</v>
      </c>
      <c r="AA1895" t="s">
        <v>109</v>
      </c>
      <c r="AB1895" t="s">
        <v>55</v>
      </c>
      <c r="AC1895">
        <f t="shared" si="319"/>
        <v>0</v>
      </c>
      <c r="AD1895" s="12">
        <f t="shared" si="323"/>
        <v>1</v>
      </c>
      <c r="AE1895" s="12">
        <f t="shared" si="324"/>
        <v>0</v>
      </c>
      <c r="AF1895">
        <f t="shared" si="320"/>
        <v>1</v>
      </c>
      <c r="AG1895">
        <f t="shared" si="325"/>
        <v>0</v>
      </c>
      <c r="AH1895">
        <f t="shared" si="326"/>
        <v>1</v>
      </c>
      <c r="AI1895">
        <f t="shared" si="327"/>
        <v>0</v>
      </c>
      <c r="AJ1895">
        <f t="shared" si="328"/>
        <v>0</v>
      </c>
      <c r="AK1895">
        <f t="shared" si="321"/>
        <v>0</v>
      </c>
      <c r="AL1895">
        <f t="shared" si="329"/>
        <v>0</v>
      </c>
    </row>
    <row r="1896" spans="1:38">
      <c r="A1896" t="s">
        <v>5815</v>
      </c>
      <c r="B1896" t="s">
        <v>5816</v>
      </c>
      <c r="C1896" s="1">
        <f t="shared" si="322"/>
        <v>45292</v>
      </c>
      <c r="D1896" t="s">
        <v>5817</v>
      </c>
      <c r="E1896">
        <v>172.4</v>
      </c>
      <c r="F1896">
        <v>7.2</v>
      </c>
      <c r="G1896" t="s">
        <v>142</v>
      </c>
      <c r="H1896" t="s">
        <v>240</v>
      </c>
      <c r="I1896" t="s">
        <v>32</v>
      </c>
      <c r="J1896">
        <v>240</v>
      </c>
      <c r="K1896" t="s">
        <v>49</v>
      </c>
      <c r="L1896" t="s">
        <v>70</v>
      </c>
      <c r="M1896" t="s">
        <v>35</v>
      </c>
      <c r="N1896" t="s">
        <v>107</v>
      </c>
      <c r="O1896" t="s">
        <v>7232</v>
      </c>
      <c r="P1896" t="s">
        <v>38</v>
      </c>
      <c r="Q1896" t="s">
        <v>38</v>
      </c>
      <c r="R1896">
        <v>1</v>
      </c>
      <c r="S1896" t="s">
        <v>39</v>
      </c>
      <c r="T1896">
        <v>7</v>
      </c>
      <c r="U1896">
        <v>1.9</v>
      </c>
      <c r="V1896">
        <v>39.1</v>
      </c>
      <c r="W1896" t="s">
        <v>38</v>
      </c>
      <c r="X1896" t="s">
        <v>52</v>
      </c>
      <c r="Y1896" t="s">
        <v>38</v>
      </c>
      <c r="Z1896" t="s">
        <v>73</v>
      </c>
      <c r="AA1896" t="s">
        <v>103</v>
      </c>
      <c r="AB1896" t="s">
        <v>55</v>
      </c>
      <c r="AC1896">
        <f t="shared" si="319"/>
        <v>1</v>
      </c>
      <c r="AD1896" s="12">
        <f t="shared" si="323"/>
        <v>0</v>
      </c>
      <c r="AE1896" s="12">
        <f t="shared" si="324"/>
        <v>0</v>
      </c>
      <c r="AF1896">
        <f t="shared" si="320"/>
        <v>0</v>
      </c>
      <c r="AG1896">
        <f t="shared" si="325"/>
        <v>1</v>
      </c>
      <c r="AH1896">
        <f t="shared" si="326"/>
        <v>0</v>
      </c>
      <c r="AI1896">
        <f t="shared" si="327"/>
        <v>0</v>
      </c>
      <c r="AJ1896">
        <f t="shared" si="328"/>
        <v>1</v>
      </c>
      <c r="AK1896">
        <f t="shared" si="321"/>
        <v>0</v>
      </c>
      <c r="AL1896">
        <f t="shared" si="329"/>
        <v>1</v>
      </c>
    </row>
    <row r="1897" spans="1:38">
      <c r="A1897" t="s">
        <v>5818</v>
      </c>
      <c r="B1897" t="s">
        <v>5819</v>
      </c>
      <c r="C1897" s="1">
        <f t="shared" si="322"/>
        <v>45444</v>
      </c>
      <c r="D1897" t="s">
        <v>5820</v>
      </c>
      <c r="E1897">
        <v>246.2</v>
      </c>
      <c r="F1897">
        <v>10.3</v>
      </c>
      <c r="G1897" t="s">
        <v>30</v>
      </c>
      <c r="H1897" t="s">
        <v>159</v>
      </c>
      <c r="I1897" t="s">
        <v>79</v>
      </c>
      <c r="J1897">
        <v>360</v>
      </c>
      <c r="K1897" t="s">
        <v>49</v>
      </c>
      <c r="L1897" t="s">
        <v>70</v>
      </c>
      <c r="M1897" t="s">
        <v>35</v>
      </c>
      <c r="N1897" t="s">
        <v>220</v>
      </c>
      <c r="O1897" t="s">
        <v>51</v>
      </c>
      <c r="P1897" t="s">
        <v>38</v>
      </c>
      <c r="Q1897" t="s">
        <v>38</v>
      </c>
      <c r="R1897">
        <v>1</v>
      </c>
      <c r="S1897" t="s">
        <v>38</v>
      </c>
      <c r="T1897">
        <v>7</v>
      </c>
      <c r="U1897">
        <v>2.5</v>
      </c>
      <c r="V1897">
        <v>1.7</v>
      </c>
      <c r="W1897" t="s">
        <v>38</v>
      </c>
      <c r="X1897" t="s">
        <v>63</v>
      </c>
      <c r="Y1897" t="s">
        <v>39</v>
      </c>
      <c r="Z1897" t="s">
        <v>81</v>
      </c>
      <c r="AA1897" t="s">
        <v>109</v>
      </c>
      <c r="AB1897" t="s">
        <v>83</v>
      </c>
      <c r="AC1897">
        <f t="shared" si="319"/>
        <v>0</v>
      </c>
      <c r="AD1897" s="12">
        <f t="shared" si="323"/>
        <v>1</v>
      </c>
      <c r="AE1897" s="12">
        <f t="shared" si="324"/>
        <v>0</v>
      </c>
      <c r="AF1897">
        <f t="shared" si="320"/>
        <v>1</v>
      </c>
      <c r="AG1897">
        <f t="shared" si="325"/>
        <v>0</v>
      </c>
      <c r="AH1897">
        <f t="shared" si="326"/>
        <v>0</v>
      </c>
      <c r="AI1897">
        <f t="shared" si="327"/>
        <v>0</v>
      </c>
      <c r="AJ1897">
        <f t="shared" si="328"/>
        <v>0</v>
      </c>
      <c r="AK1897">
        <f t="shared" si="321"/>
        <v>1</v>
      </c>
      <c r="AL1897">
        <f t="shared" si="329"/>
        <v>0</v>
      </c>
    </row>
    <row r="1898" spans="1:38">
      <c r="A1898" t="s">
        <v>5821</v>
      </c>
      <c r="B1898" t="s">
        <v>5822</v>
      </c>
      <c r="C1898" s="1">
        <f t="shared" si="322"/>
        <v>45413</v>
      </c>
      <c r="D1898" t="s">
        <v>5823</v>
      </c>
      <c r="E1898">
        <v>295.39999999999998</v>
      </c>
      <c r="F1898">
        <v>12.3</v>
      </c>
      <c r="G1898" t="s">
        <v>93</v>
      </c>
      <c r="H1898" t="s">
        <v>291</v>
      </c>
      <c r="I1898" t="s">
        <v>32</v>
      </c>
      <c r="J1898">
        <v>240</v>
      </c>
      <c r="K1898" t="s">
        <v>33</v>
      </c>
      <c r="L1898" t="s">
        <v>96</v>
      </c>
      <c r="M1898" t="s">
        <v>71</v>
      </c>
      <c r="N1898" t="s">
        <v>277</v>
      </c>
      <c r="O1898" t="s">
        <v>37</v>
      </c>
      <c r="P1898" t="s">
        <v>38</v>
      </c>
      <c r="Q1898" t="s">
        <v>39</v>
      </c>
      <c r="R1898">
        <v>4</v>
      </c>
      <c r="S1898" t="s">
        <v>38</v>
      </c>
      <c r="T1898">
        <v>6</v>
      </c>
      <c r="U1898">
        <v>3</v>
      </c>
      <c r="V1898">
        <v>18.8</v>
      </c>
      <c r="W1898" t="s">
        <v>38</v>
      </c>
      <c r="X1898" t="s">
        <v>123</v>
      </c>
      <c r="Y1898" t="s">
        <v>39</v>
      </c>
      <c r="Z1898" t="s">
        <v>81</v>
      </c>
      <c r="AA1898" t="s">
        <v>109</v>
      </c>
      <c r="AB1898" t="s">
        <v>83</v>
      </c>
      <c r="AC1898">
        <f t="shared" si="319"/>
        <v>0</v>
      </c>
      <c r="AD1898" s="12">
        <f t="shared" si="323"/>
        <v>0</v>
      </c>
      <c r="AE1898" s="12">
        <f t="shared" si="324"/>
        <v>1</v>
      </c>
      <c r="AF1898">
        <f t="shared" si="320"/>
        <v>0</v>
      </c>
      <c r="AG1898">
        <f t="shared" si="325"/>
        <v>0</v>
      </c>
      <c r="AH1898">
        <f t="shared" si="326"/>
        <v>0</v>
      </c>
      <c r="AI1898">
        <f t="shared" si="327"/>
        <v>0</v>
      </c>
      <c r="AJ1898">
        <f t="shared" si="328"/>
        <v>1</v>
      </c>
      <c r="AK1898">
        <f t="shared" si="321"/>
        <v>0</v>
      </c>
      <c r="AL1898">
        <f t="shared" si="329"/>
        <v>0</v>
      </c>
    </row>
    <row r="1899" spans="1:38">
      <c r="A1899" t="s">
        <v>5824</v>
      </c>
      <c r="B1899" t="s">
        <v>5825</v>
      </c>
      <c r="C1899" s="1">
        <f t="shared" si="322"/>
        <v>45444</v>
      </c>
      <c r="D1899" t="s">
        <v>5826</v>
      </c>
      <c r="E1899">
        <v>106</v>
      </c>
      <c r="F1899">
        <v>4.4000000000000004</v>
      </c>
      <c r="G1899" t="s">
        <v>59</v>
      </c>
      <c r="H1899" t="s">
        <v>466</v>
      </c>
      <c r="I1899" t="s">
        <v>48</v>
      </c>
      <c r="J1899">
        <v>120</v>
      </c>
      <c r="K1899" t="s">
        <v>49</v>
      </c>
      <c r="L1899" t="s">
        <v>133</v>
      </c>
      <c r="M1899" t="s">
        <v>35</v>
      </c>
      <c r="N1899" t="s">
        <v>119</v>
      </c>
      <c r="O1899" t="s">
        <v>7232</v>
      </c>
      <c r="P1899" t="s">
        <v>38</v>
      </c>
      <c r="Q1899" t="s">
        <v>38</v>
      </c>
      <c r="R1899">
        <v>1</v>
      </c>
      <c r="S1899" t="s">
        <v>38</v>
      </c>
      <c r="T1899">
        <v>10</v>
      </c>
      <c r="U1899">
        <v>1.8</v>
      </c>
      <c r="V1899">
        <v>14.1</v>
      </c>
      <c r="W1899" t="s">
        <v>38</v>
      </c>
      <c r="X1899" t="s">
        <v>123</v>
      </c>
      <c r="Y1899" t="s">
        <v>38</v>
      </c>
      <c r="Z1899" t="s">
        <v>73</v>
      </c>
      <c r="AA1899" t="s">
        <v>42</v>
      </c>
      <c r="AB1899" t="s">
        <v>43</v>
      </c>
      <c r="AC1899">
        <f t="shared" si="319"/>
        <v>0</v>
      </c>
      <c r="AD1899" s="12">
        <f t="shared" si="323"/>
        <v>0</v>
      </c>
      <c r="AE1899" s="12">
        <f t="shared" si="324"/>
        <v>1</v>
      </c>
      <c r="AF1899">
        <f t="shared" si="320"/>
        <v>0</v>
      </c>
      <c r="AG1899">
        <f t="shared" si="325"/>
        <v>1</v>
      </c>
      <c r="AH1899">
        <f t="shared" si="326"/>
        <v>1</v>
      </c>
      <c r="AI1899">
        <f t="shared" si="327"/>
        <v>0</v>
      </c>
      <c r="AJ1899">
        <f t="shared" si="328"/>
        <v>0</v>
      </c>
      <c r="AK1899">
        <f t="shared" si="321"/>
        <v>0</v>
      </c>
      <c r="AL1899">
        <f t="shared" si="329"/>
        <v>1</v>
      </c>
    </row>
    <row r="1900" spans="1:38">
      <c r="A1900" t="s">
        <v>5827</v>
      </c>
      <c r="B1900" t="s">
        <v>5828</v>
      </c>
      <c r="C1900" s="1">
        <f t="shared" si="322"/>
        <v>45536</v>
      </c>
      <c r="D1900" t="s">
        <v>5829</v>
      </c>
      <c r="E1900">
        <v>239.4</v>
      </c>
      <c r="F1900">
        <v>10</v>
      </c>
      <c r="G1900" t="s">
        <v>87</v>
      </c>
      <c r="H1900" t="s">
        <v>88</v>
      </c>
      <c r="I1900" t="s">
        <v>79</v>
      </c>
      <c r="J1900">
        <v>360</v>
      </c>
      <c r="K1900" t="s">
        <v>49</v>
      </c>
      <c r="L1900" t="s">
        <v>96</v>
      </c>
      <c r="M1900" t="s">
        <v>35</v>
      </c>
      <c r="N1900" t="s">
        <v>72</v>
      </c>
      <c r="O1900" t="s">
        <v>37</v>
      </c>
      <c r="P1900" t="s">
        <v>38</v>
      </c>
      <c r="Q1900" t="s">
        <v>38</v>
      </c>
      <c r="R1900">
        <v>1</v>
      </c>
      <c r="S1900" t="s">
        <v>39</v>
      </c>
      <c r="T1900">
        <v>8</v>
      </c>
      <c r="U1900">
        <v>4.5999999999999996</v>
      </c>
      <c r="V1900">
        <v>24</v>
      </c>
      <c r="W1900" t="s">
        <v>39</v>
      </c>
      <c r="X1900" t="s">
        <v>63</v>
      </c>
      <c r="Y1900" t="s">
        <v>39</v>
      </c>
      <c r="Z1900" t="s">
        <v>81</v>
      </c>
      <c r="AA1900" t="s">
        <v>82</v>
      </c>
      <c r="AB1900" t="s">
        <v>55</v>
      </c>
      <c r="AC1900">
        <f t="shared" si="319"/>
        <v>0</v>
      </c>
      <c r="AD1900" s="12">
        <f t="shared" si="323"/>
        <v>1</v>
      </c>
      <c r="AE1900" s="12">
        <f t="shared" si="324"/>
        <v>0</v>
      </c>
      <c r="AF1900">
        <f t="shared" si="320"/>
        <v>0</v>
      </c>
      <c r="AG1900">
        <f t="shared" si="325"/>
        <v>0</v>
      </c>
      <c r="AH1900">
        <f t="shared" si="326"/>
        <v>0</v>
      </c>
      <c r="AI1900">
        <f t="shared" si="327"/>
        <v>0</v>
      </c>
      <c r="AJ1900">
        <f t="shared" si="328"/>
        <v>0</v>
      </c>
      <c r="AK1900">
        <f t="shared" si="321"/>
        <v>0</v>
      </c>
      <c r="AL1900">
        <f t="shared" si="329"/>
        <v>0</v>
      </c>
    </row>
    <row r="1901" spans="1:38">
      <c r="A1901" t="s">
        <v>5830</v>
      </c>
      <c r="B1901" t="s">
        <v>5831</v>
      </c>
      <c r="C1901" s="1">
        <f t="shared" si="322"/>
        <v>45383</v>
      </c>
      <c r="D1901" t="s">
        <v>5832</v>
      </c>
      <c r="E1901">
        <v>334.6</v>
      </c>
      <c r="F1901">
        <v>13.9</v>
      </c>
      <c r="G1901" t="s">
        <v>87</v>
      </c>
      <c r="H1901" t="s">
        <v>309</v>
      </c>
      <c r="I1901" t="s">
        <v>79</v>
      </c>
      <c r="J1901">
        <v>360</v>
      </c>
      <c r="K1901" t="s">
        <v>49</v>
      </c>
      <c r="L1901" t="s">
        <v>34</v>
      </c>
      <c r="M1901" t="s">
        <v>71</v>
      </c>
      <c r="N1901" t="s">
        <v>168</v>
      </c>
      <c r="O1901" t="s">
        <v>7232</v>
      </c>
      <c r="P1901" t="s">
        <v>38</v>
      </c>
      <c r="Q1901" t="s">
        <v>39</v>
      </c>
      <c r="R1901">
        <v>4</v>
      </c>
      <c r="S1901" t="s">
        <v>38</v>
      </c>
      <c r="T1901">
        <v>9</v>
      </c>
      <c r="U1901">
        <v>2.2000000000000002</v>
      </c>
      <c r="V1901">
        <v>23.4</v>
      </c>
      <c r="W1901" t="s">
        <v>39</v>
      </c>
      <c r="X1901" t="s">
        <v>123</v>
      </c>
      <c r="Y1901" t="s">
        <v>39</v>
      </c>
      <c r="Z1901" t="s">
        <v>81</v>
      </c>
      <c r="AA1901" t="s">
        <v>109</v>
      </c>
      <c r="AB1901" t="s">
        <v>43</v>
      </c>
      <c r="AC1901">
        <f t="shared" si="319"/>
        <v>0</v>
      </c>
      <c r="AD1901" s="12">
        <f t="shared" si="323"/>
        <v>0</v>
      </c>
      <c r="AE1901" s="12">
        <f t="shared" si="324"/>
        <v>1</v>
      </c>
      <c r="AF1901">
        <f t="shared" si="320"/>
        <v>0</v>
      </c>
      <c r="AG1901">
        <f t="shared" si="325"/>
        <v>1</v>
      </c>
      <c r="AH1901">
        <f t="shared" si="326"/>
        <v>0</v>
      </c>
      <c r="AI1901">
        <f t="shared" si="327"/>
        <v>0</v>
      </c>
      <c r="AJ1901">
        <f t="shared" si="328"/>
        <v>0</v>
      </c>
      <c r="AK1901">
        <f t="shared" si="321"/>
        <v>0</v>
      </c>
      <c r="AL1901">
        <f t="shared" si="329"/>
        <v>0</v>
      </c>
    </row>
    <row r="1902" spans="1:38">
      <c r="A1902" t="s">
        <v>5833</v>
      </c>
      <c r="B1902" t="s">
        <v>5834</v>
      </c>
      <c r="C1902" s="1">
        <f t="shared" si="322"/>
        <v>45413</v>
      </c>
      <c r="D1902" t="s">
        <v>5835</v>
      </c>
      <c r="E1902">
        <v>598</v>
      </c>
      <c r="F1902">
        <v>24.9</v>
      </c>
      <c r="G1902" t="s">
        <v>30</v>
      </c>
      <c r="H1902" t="s">
        <v>159</v>
      </c>
      <c r="I1902" t="s">
        <v>32</v>
      </c>
      <c r="J1902">
        <v>240</v>
      </c>
      <c r="K1902" t="s">
        <v>33</v>
      </c>
      <c r="L1902" t="s">
        <v>34</v>
      </c>
      <c r="M1902" t="s">
        <v>35</v>
      </c>
      <c r="N1902" t="s">
        <v>202</v>
      </c>
      <c r="O1902" t="s">
        <v>37</v>
      </c>
      <c r="P1902" t="s">
        <v>39</v>
      </c>
      <c r="Q1902" t="s">
        <v>38</v>
      </c>
      <c r="R1902">
        <v>0</v>
      </c>
      <c r="S1902" t="s">
        <v>39</v>
      </c>
      <c r="T1902">
        <v>8</v>
      </c>
      <c r="U1902">
        <v>1.8</v>
      </c>
      <c r="V1902">
        <v>16.8</v>
      </c>
      <c r="W1902" t="s">
        <v>39</v>
      </c>
      <c r="X1902" t="s">
        <v>40</v>
      </c>
      <c r="Y1902" t="s">
        <v>39</v>
      </c>
      <c r="Z1902" t="s">
        <v>64</v>
      </c>
      <c r="AA1902" t="s">
        <v>109</v>
      </c>
      <c r="AB1902" t="s">
        <v>55</v>
      </c>
      <c r="AC1902">
        <f t="shared" si="319"/>
        <v>0</v>
      </c>
      <c r="AD1902" s="12">
        <f t="shared" si="323"/>
        <v>0</v>
      </c>
      <c r="AE1902" s="12">
        <f t="shared" si="324"/>
        <v>0</v>
      </c>
      <c r="AF1902">
        <f t="shared" si="320"/>
        <v>0</v>
      </c>
      <c r="AG1902">
        <f t="shared" si="325"/>
        <v>0</v>
      </c>
      <c r="AH1902">
        <f t="shared" si="326"/>
        <v>0</v>
      </c>
      <c r="AI1902">
        <f t="shared" si="327"/>
        <v>0</v>
      </c>
      <c r="AJ1902">
        <f t="shared" si="328"/>
        <v>1</v>
      </c>
      <c r="AK1902">
        <f t="shared" si="321"/>
        <v>1</v>
      </c>
      <c r="AL1902">
        <f t="shared" si="329"/>
        <v>0</v>
      </c>
    </row>
    <row r="1903" spans="1:38">
      <c r="A1903" t="s">
        <v>5836</v>
      </c>
      <c r="B1903" t="s">
        <v>5837</v>
      </c>
      <c r="C1903" s="1">
        <f t="shared" si="322"/>
        <v>45292</v>
      </c>
      <c r="D1903" t="s">
        <v>5838</v>
      </c>
      <c r="E1903">
        <v>211.2</v>
      </c>
      <c r="F1903">
        <v>8.8000000000000007</v>
      </c>
      <c r="G1903" t="s">
        <v>30</v>
      </c>
      <c r="H1903" t="s">
        <v>159</v>
      </c>
      <c r="I1903" t="s">
        <v>32</v>
      </c>
      <c r="J1903">
        <v>240</v>
      </c>
      <c r="K1903" t="s">
        <v>49</v>
      </c>
      <c r="L1903" t="s">
        <v>34</v>
      </c>
      <c r="M1903" t="s">
        <v>35</v>
      </c>
      <c r="N1903" t="s">
        <v>134</v>
      </c>
      <c r="O1903" t="s">
        <v>51</v>
      </c>
      <c r="P1903" t="s">
        <v>39</v>
      </c>
      <c r="Q1903" t="s">
        <v>38</v>
      </c>
      <c r="R1903">
        <v>0</v>
      </c>
      <c r="S1903" t="s">
        <v>38</v>
      </c>
      <c r="T1903">
        <v>10</v>
      </c>
      <c r="U1903">
        <v>0.1</v>
      </c>
      <c r="V1903">
        <v>10.9</v>
      </c>
      <c r="W1903" t="s">
        <v>38</v>
      </c>
      <c r="X1903" t="s">
        <v>63</v>
      </c>
      <c r="Y1903" t="s">
        <v>38</v>
      </c>
      <c r="Z1903" t="s">
        <v>179</v>
      </c>
      <c r="AA1903" t="s">
        <v>82</v>
      </c>
      <c r="AB1903" t="s">
        <v>55</v>
      </c>
      <c r="AC1903">
        <f t="shared" si="319"/>
        <v>0</v>
      </c>
      <c r="AD1903" s="12">
        <f t="shared" si="323"/>
        <v>1</v>
      </c>
      <c r="AE1903" s="12">
        <f t="shared" si="324"/>
        <v>0</v>
      </c>
      <c r="AF1903">
        <f t="shared" si="320"/>
        <v>1</v>
      </c>
      <c r="AG1903">
        <f t="shared" si="325"/>
        <v>0</v>
      </c>
      <c r="AH1903">
        <f t="shared" si="326"/>
        <v>0</v>
      </c>
      <c r="AI1903">
        <f t="shared" si="327"/>
        <v>0</v>
      </c>
      <c r="AJ1903">
        <f t="shared" si="328"/>
        <v>1</v>
      </c>
      <c r="AK1903">
        <f t="shared" si="321"/>
        <v>1</v>
      </c>
      <c r="AL1903">
        <f t="shared" si="329"/>
        <v>1</v>
      </c>
    </row>
    <row r="1904" spans="1:38">
      <c r="A1904" t="s">
        <v>5839</v>
      </c>
      <c r="B1904" t="s">
        <v>5840</v>
      </c>
      <c r="C1904" s="1">
        <f t="shared" si="322"/>
        <v>45566</v>
      </c>
      <c r="D1904" t="s">
        <v>5841</v>
      </c>
      <c r="E1904">
        <v>191.5</v>
      </c>
      <c r="F1904">
        <v>8</v>
      </c>
      <c r="G1904" t="s">
        <v>93</v>
      </c>
      <c r="H1904" t="s">
        <v>291</v>
      </c>
      <c r="I1904" t="s">
        <v>32</v>
      </c>
      <c r="J1904">
        <v>240</v>
      </c>
      <c r="K1904" t="s">
        <v>49</v>
      </c>
      <c r="L1904" t="s">
        <v>96</v>
      </c>
      <c r="M1904" t="s">
        <v>71</v>
      </c>
      <c r="N1904" t="s">
        <v>144</v>
      </c>
      <c r="O1904" t="s">
        <v>37</v>
      </c>
      <c r="P1904" t="s">
        <v>38</v>
      </c>
      <c r="Q1904" t="s">
        <v>39</v>
      </c>
      <c r="R1904">
        <v>4</v>
      </c>
      <c r="S1904" t="s">
        <v>38</v>
      </c>
      <c r="T1904">
        <v>7</v>
      </c>
      <c r="U1904">
        <v>1.5</v>
      </c>
      <c r="V1904">
        <v>0</v>
      </c>
      <c r="W1904" t="s">
        <v>38</v>
      </c>
      <c r="X1904" t="s">
        <v>52</v>
      </c>
      <c r="Y1904" t="s">
        <v>38</v>
      </c>
      <c r="Z1904" t="s">
        <v>53</v>
      </c>
      <c r="AA1904" t="s">
        <v>103</v>
      </c>
      <c r="AB1904" t="s">
        <v>55</v>
      </c>
      <c r="AC1904">
        <f t="shared" si="319"/>
        <v>1</v>
      </c>
      <c r="AD1904" s="12">
        <f t="shared" si="323"/>
        <v>0</v>
      </c>
      <c r="AE1904" s="12">
        <f t="shared" si="324"/>
        <v>0</v>
      </c>
      <c r="AF1904">
        <f t="shared" si="320"/>
        <v>0</v>
      </c>
      <c r="AG1904">
        <f t="shared" si="325"/>
        <v>0</v>
      </c>
      <c r="AH1904">
        <f t="shared" si="326"/>
        <v>0</v>
      </c>
      <c r="AI1904">
        <f t="shared" si="327"/>
        <v>0</v>
      </c>
      <c r="AJ1904">
        <f t="shared" si="328"/>
        <v>1</v>
      </c>
      <c r="AK1904">
        <f t="shared" si="321"/>
        <v>0</v>
      </c>
      <c r="AL1904">
        <f t="shared" si="329"/>
        <v>1</v>
      </c>
    </row>
    <row r="1905" spans="1:38">
      <c r="A1905" t="s">
        <v>5842</v>
      </c>
      <c r="B1905" t="s">
        <v>5843</v>
      </c>
      <c r="C1905" s="1">
        <f t="shared" si="322"/>
        <v>45352</v>
      </c>
      <c r="D1905" t="s">
        <v>5844</v>
      </c>
      <c r="E1905">
        <v>319.39999999999998</v>
      </c>
      <c r="F1905">
        <v>13.3</v>
      </c>
      <c r="G1905" t="s">
        <v>77</v>
      </c>
      <c r="H1905" t="s">
        <v>78</v>
      </c>
      <c r="I1905" t="s">
        <v>79</v>
      </c>
      <c r="J1905">
        <v>360</v>
      </c>
      <c r="K1905" t="s">
        <v>49</v>
      </c>
      <c r="L1905" t="s">
        <v>133</v>
      </c>
      <c r="M1905" t="s">
        <v>35</v>
      </c>
      <c r="N1905" t="s">
        <v>144</v>
      </c>
      <c r="O1905" t="s">
        <v>7232</v>
      </c>
      <c r="P1905" t="s">
        <v>39</v>
      </c>
      <c r="Q1905" t="s">
        <v>38</v>
      </c>
      <c r="R1905">
        <v>0</v>
      </c>
      <c r="S1905" t="s">
        <v>38</v>
      </c>
      <c r="T1905">
        <v>8</v>
      </c>
      <c r="U1905">
        <v>1.4</v>
      </c>
      <c r="V1905">
        <v>18.8</v>
      </c>
      <c r="W1905" t="s">
        <v>39</v>
      </c>
      <c r="X1905" t="s">
        <v>123</v>
      </c>
      <c r="Y1905" t="s">
        <v>39</v>
      </c>
      <c r="Z1905" t="s">
        <v>108</v>
      </c>
      <c r="AA1905" t="s">
        <v>109</v>
      </c>
      <c r="AB1905" t="s">
        <v>55</v>
      </c>
      <c r="AC1905">
        <f t="shared" si="319"/>
        <v>0</v>
      </c>
      <c r="AD1905" s="12">
        <f t="shared" si="323"/>
        <v>0</v>
      </c>
      <c r="AE1905" s="12">
        <f t="shared" si="324"/>
        <v>1</v>
      </c>
      <c r="AF1905">
        <f t="shared" si="320"/>
        <v>0</v>
      </c>
      <c r="AG1905">
        <f t="shared" si="325"/>
        <v>1</v>
      </c>
      <c r="AH1905">
        <f t="shared" si="326"/>
        <v>0</v>
      </c>
      <c r="AI1905">
        <f t="shared" si="327"/>
        <v>0</v>
      </c>
      <c r="AJ1905">
        <f t="shared" si="328"/>
        <v>0</v>
      </c>
      <c r="AK1905">
        <f t="shared" si="321"/>
        <v>0</v>
      </c>
      <c r="AL1905">
        <f t="shared" si="329"/>
        <v>0</v>
      </c>
    </row>
    <row r="1906" spans="1:38">
      <c r="A1906" t="s">
        <v>5845</v>
      </c>
      <c r="B1906" t="s">
        <v>5846</v>
      </c>
      <c r="C1906" s="1">
        <f t="shared" si="322"/>
        <v>45505</v>
      </c>
      <c r="D1906" t="s">
        <v>5847</v>
      </c>
      <c r="E1906">
        <v>351.4</v>
      </c>
      <c r="F1906">
        <v>14.6</v>
      </c>
      <c r="G1906" t="s">
        <v>87</v>
      </c>
      <c r="H1906" t="s">
        <v>88</v>
      </c>
      <c r="I1906" t="s">
        <v>32</v>
      </c>
      <c r="J1906">
        <v>240</v>
      </c>
      <c r="K1906" t="s">
        <v>33</v>
      </c>
      <c r="L1906" t="s">
        <v>133</v>
      </c>
      <c r="M1906" t="s">
        <v>35</v>
      </c>
      <c r="N1906" t="s">
        <v>50</v>
      </c>
      <c r="O1906" t="s">
        <v>37</v>
      </c>
      <c r="P1906" t="s">
        <v>38</v>
      </c>
      <c r="Q1906" t="s">
        <v>38</v>
      </c>
      <c r="R1906">
        <v>1</v>
      </c>
      <c r="S1906" t="s">
        <v>38</v>
      </c>
      <c r="T1906">
        <v>4</v>
      </c>
      <c r="U1906">
        <v>6</v>
      </c>
      <c r="V1906">
        <v>35.6</v>
      </c>
      <c r="W1906" t="s">
        <v>38</v>
      </c>
      <c r="X1906" t="s">
        <v>123</v>
      </c>
      <c r="Y1906" t="s">
        <v>39</v>
      </c>
      <c r="Z1906" t="s">
        <v>64</v>
      </c>
      <c r="AA1906" t="s">
        <v>54</v>
      </c>
      <c r="AB1906" t="s">
        <v>83</v>
      </c>
      <c r="AC1906">
        <f t="shared" si="319"/>
        <v>0</v>
      </c>
      <c r="AD1906" s="12">
        <f t="shared" si="323"/>
        <v>0</v>
      </c>
      <c r="AE1906" s="12">
        <f t="shared" si="324"/>
        <v>1</v>
      </c>
      <c r="AF1906">
        <f t="shared" si="320"/>
        <v>0</v>
      </c>
      <c r="AG1906">
        <f t="shared" si="325"/>
        <v>0</v>
      </c>
      <c r="AH1906">
        <f t="shared" si="326"/>
        <v>0</v>
      </c>
      <c r="AI1906">
        <f t="shared" si="327"/>
        <v>0</v>
      </c>
      <c r="AJ1906">
        <f t="shared" si="328"/>
        <v>1</v>
      </c>
      <c r="AK1906">
        <f t="shared" si="321"/>
        <v>0</v>
      </c>
      <c r="AL1906">
        <f t="shared" si="329"/>
        <v>0</v>
      </c>
    </row>
    <row r="1907" spans="1:38">
      <c r="A1907" t="s">
        <v>5848</v>
      </c>
      <c r="B1907" t="s">
        <v>5849</v>
      </c>
      <c r="C1907" s="1">
        <f t="shared" si="322"/>
        <v>45536</v>
      </c>
      <c r="D1907" t="s">
        <v>5850</v>
      </c>
      <c r="E1907">
        <v>103.6</v>
      </c>
      <c r="F1907">
        <v>4.3</v>
      </c>
      <c r="G1907" t="s">
        <v>68</v>
      </c>
      <c r="H1907" t="s">
        <v>456</v>
      </c>
      <c r="I1907" t="s">
        <v>48</v>
      </c>
      <c r="J1907">
        <v>120</v>
      </c>
      <c r="K1907" t="s">
        <v>49</v>
      </c>
      <c r="L1907" t="s">
        <v>34</v>
      </c>
      <c r="M1907" t="s">
        <v>71</v>
      </c>
      <c r="N1907" t="s">
        <v>220</v>
      </c>
      <c r="O1907" t="s">
        <v>51</v>
      </c>
      <c r="P1907" t="s">
        <v>38</v>
      </c>
      <c r="Q1907" t="s">
        <v>39</v>
      </c>
      <c r="R1907">
        <v>1</v>
      </c>
      <c r="S1907" t="s">
        <v>39</v>
      </c>
      <c r="T1907">
        <v>9</v>
      </c>
      <c r="U1907">
        <v>4.7</v>
      </c>
      <c r="V1907">
        <v>27.1</v>
      </c>
      <c r="W1907" t="s">
        <v>39</v>
      </c>
      <c r="X1907" t="s">
        <v>52</v>
      </c>
      <c r="Y1907" t="s">
        <v>39</v>
      </c>
      <c r="Z1907" t="s">
        <v>179</v>
      </c>
      <c r="AA1907" t="s">
        <v>42</v>
      </c>
      <c r="AB1907" t="s">
        <v>55</v>
      </c>
      <c r="AC1907">
        <f t="shared" si="319"/>
        <v>1</v>
      </c>
      <c r="AD1907" s="12">
        <f t="shared" si="323"/>
        <v>0</v>
      </c>
      <c r="AE1907" s="12">
        <f t="shared" si="324"/>
        <v>0</v>
      </c>
      <c r="AF1907">
        <f t="shared" si="320"/>
        <v>1</v>
      </c>
      <c r="AG1907">
        <f t="shared" si="325"/>
        <v>0</v>
      </c>
      <c r="AH1907">
        <f t="shared" si="326"/>
        <v>1</v>
      </c>
      <c r="AI1907">
        <f t="shared" si="327"/>
        <v>0</v>
      </c>
      <c r="AJ1907">
        <f t="shared" si="328"/>
        <v>0</v>
      </c>
      <c r="AK1907">
        <f t="shared" si="321"/>
        <v>0</v>
      </c>
      <c r="AL1907">
        <f t="shared" si="329"/>
        <v>0</v>
      </c>
    </row>
    <row r="1908" spans="1:38">
      <c r="A1908" t="s">
        <v>5851</v>
      </c>
      <c r="B1908" t="s">
        <v>5852</v>
      </c>
      <c r="C1908" s="1">
        <f t="shared" si="322"/>
        <v>45292</v>
      </c>
      <c r="D1908" t="s">
        <v>5853</v>
      </c>
      <c r="E1908">
        <v>73</v>
      </c>
      <c r="F1908">
        <v>3</v>
      </c>
      <c r="G1908" t="s">
        <v>87</v>
      </c>
      <c r="H1908" t="s">
        <v>183</v>
      </c>
      <c r="I1908" t="s">
        <v>95</v>
      </c>
      <c r="J1908">
        <v>48</v>
      </c>
      <c r="K1908" t="s">
        <v>33</v>
      </c>
      <c r="L1908" t="s">
        <v>70</v>
      </c>
      <c r="M1908" t="s">
        <v>35</v>
      </c>
      <c r="N1908" t="s">
        <v>72</v>
      </c>
      <c r="O1908" t="s">
        <v>51</v>
      </c>
      <c r="P1908" t="s">
        <v>38</v>
      </c>
      <c r="Q1908" t="s">
        <v>38</v>
      </c>
      <c r="R1908">
        <v>1</v>
      </c>
      <c r="S1908" t="s">
        <v>38</v>
      </c>
      <c r="T1908">
        <v>3</v>
      </c>
      <c r="U1908">
        <v>4.2</v>
      </c>
      <c r="V1908">
        <v>18.399999999999999</v>
      </c>
      <c r="W1908" t="s">
        <v>39</v>
      </c>
      <c r="X1908" t="s">
        <v>123</v>
      </c>
      <c r="Y1908" t="s">
        <v>39</v>
      </c>
      <c r="Z1908" t="s">
        <v>81</v>
      </c>
      <c r="AA1908" t="s">
        <v>109</v>
      </c>
      <c r="AB1908" t="s">
        <v>55</v>
      </c>
      <c r="AC1908">
        <f t="shared" si="319"/>
        <v>0</v>
      </c>
      <c r="AD1908" s="12">
        <f t="shared" si="323"/>
        <v>0</v>
      </c>
      <c r="AE1908" s="12">
        <f t="shared" si="324"/>
        <v>1</v>
      </c>
      <c r="AF1908">
        <f t="shared" si="320"/>
        <v>1</v>
      </c>
      <c r="AG1908">
        <f t="shared" si="325"/>
        <v>0</v>
      </c>
      <c r="AH1908">
        <f t="shared" si="326"/>
        <v>0</v>
      </c>
      <c r="AI1908">
        <f t="shared" si="327"/>
        <v>1</v>
      </c>
      <c r="AJ1908">
        <f t="shared" si="328"/>
        <v>0</v>
      </c>
      <c r="AK1908">
        <f t="shared" si="321"/>
        <v>0</v>
      </c>
      <c r="AL1908">
        <f t="shared" si="329"/>
        <v>0</v>
      </c>
    </row>
    <row r="1909" spans="1:38">
      <c r="A1909" t="s">
        <v>5854</v>
      </c>
      <c r="B1909" t="s">
        <v>5855</v>
      </c>
      <c r="C1909" s="1">
        <f t="shared" si="322"/>
        <v>45627</v>
      </c>
      <c r="D1909" t="s">
        <v>5856</v>
      </c>
      <c r="E1909">
        <v>298.10000000000002</v>
      </c>
      <c r="F1909">
        <v>12.4</v>
      </c>
      <c r="G1909" t="s">
        <v>68</v>
      </c>
      <c r="H1909" t="s">
        <v>219</v>
      </c>
      <c r="I1909" t="s">
        <v>48</v>
      </c>
      <c r="J1909">
        <v>120</v>
      </c>
      <c r="K1909" t="s">
        <v>33</v>
      </c>
      <c r="L1909" t="s">
        <v>70</v>
      </c>
      <c r="M1909" t="s">
        <v>35</v>
      </c>
      <c r="N1909" t="s">
        <v>97</v>
      </c>
      <c r="O1909" t="s">
        <v>51</v>
      </c>
      <c r="P1909" t="s">
        <v>39</v>
      </c>
      <c r="Q1909" t="s">
        <v>38</v>
      </c>
      <c r="R1909">
        <v>0</v>
      </c>
      <c r="S1909" t="s">
        <v>39</v>
      </c>
      <c r="T1909">
        <v>7</v>
      </c>
      <c r="U1909">
        <v>0.1</v>
      </c>
      <c r="V1909">
        <v>28</v>
      </c>
      <c r="W1909" t="s">
        <v>39</v>
      </c>
      <c r="X1909" t="s">
        <v>63</v>
      </c>
      <c r="Y1909" t="s">
        <v>39</v>
      </c>
      <c r="Z1909" t="s">
        <v>108</v>
      </c>
      <c r="AA1909" t="s">
        <v>42</v>
      </c>
      <c r="AB1909" t="s">
        <v>55</v>
      </c>
      <c r="AC1909">
        <f t="shared" si="319"/>
        <v>0</v>
      </c>
      <c r="AD1909" s="12">
        <f t="shared" si="323"/>
        <v>1</v>
      </c>
      <c r="AE1909" s="12">
        <f t="shared" si="324"/>
        <v>0</v>
      </c>
      <c r="AF1909">
        <f t="shared" si="320"/>
        <v>1</v>
      </c>
      <c r="AG1909">
        <f t="shared" si="325"/>
        <v>0</v>
      </c>
      <c r="AH1909">
        <f t="shared" si="326"/>
        <v>1</v>
      </c>
      <c r="AI1909">
        <f t="shared" si="327"/>
        <v>0</v>
      </c>
      <c r="AJ1909">
        <f t="shared" si="328"/>
        <v>0</v>
      </c>
      <c r="AK1909">
        <f t="shared" si="321"/>
        <v>0</v>
      </c>
      <c r="AL1909">
        <f t="shared" si="329"/>
        <v>0</v>
      </c>
    </row>
    <row r="1910" spans="1:38">
      <c r="A1910" t="s">
        <v>5857</v>
      </c>
      <c r="B1910" t="s">
        <v>5858</v>
      </c>
      <c r="C1910" s="1">
        <f t="shared" si="322"/>
        <v>45474</v>
      </c>
      <c r="D1910" t="s">
        <v>5859</v>
      </c>
      <c r="E1910">
        <v>303.2</v>
      </c>
      <c r="F1910">
        <v>12.6</v>
      </c>
      <c r="G1910" t="s">
        <v>77</v>
      </c>
      <c r="H1910" t="s">
        <v>267</v>
      </c>
      <c r="I1910" t="s">
        <v>79</v>
      </c>
      <c r="J1910">
        <v>360</v>
      </c>
      <c r="K1910" t="s">
        <v>49</v>
      </c>
      <c r="L1910" t="s">
        <v>70</v>
      </c>
      <c r="M1910" t="s">
        <v>35</v>
      </c>
      <c r="N1910" t="s">
        <v>168</v>
      </c>
      <c r="O1910" t="s">
        <v>7232</v>
      </c>
      <c r="P1910" t="s">
        <v>38</v>
      </c>
      <c r="Q1910" t="s">
        <v>38</v>
      </c>
      <c r="R1910">
        <v>1</v>
      </c>
      <c r="S1910" t="s">
        <v>38</v>
      </c>
      <c r="T1910">
        <v>7</v>
      </c>
      <c r="U1910">
        <v>1</v>
      </c>
      <c r="V1910">
        <v>26</v>
      </c>
      <c r="W1910" t="s">
        <v>39</v>
      </c>
      <c r="X1910" t="s">
        <v>123</v>
      </c>
      <c r="Y1910" t="s">
        <v>38</v>
      </c>
      <c r="Z1910" t="s">
        <v>53</v>
      </c>
      <c r="AA1910" t="s">
        <v>42</v>
      </c>
      <c r="AB1910" t="s">
        <v>83</v>
      </c>
      <c r="AC1910">
        <f t="shared" si="319"/>
        <v>0</v>
      </c>
      <c r="AD1910" s="12">
        <f t="shared" si="323"/>
        <v>0</v>
      </c>
      <c r="AE1910" s="12">
        <f t="shared" si="324"/>
        <v>1</v>
      </c>
      <c r="AF1910">
        <f t="shared" si="320"/>
        <v>0</v>
      </c>
      <c r="AG1910">
        <f t="shared" si="325"/>
        <v>1</v>
      </c>
      <c r="AH1910">
        <f t="shared" si="326"/>
        <v>0</v>
      </c>
      <c r="AI1910">
        <f t="shared" si="327"/>
        <v>0</v>
      </c>
      <c r="AJ1910">
        <f t="shared" si="328"/>
        <v>0</v>
      </c>
      <c r="AK1910">
        <f t="shared" si="321"/>
        <v>0</v>
      </c>
      <c r="AL1910">
        <f t="shared" si="329"/>
        <v>1</v>
      </c>
    </row>
    <row r="1911" spans="1:38">
      <c r="A1911" t="s">
        <v>5860</v>
      </c>
      <c r="B1911" t="s">
        <v>5861</v>
      </c>
      <c r="C1911" s="1">
        <f t="shared" si="322"/>
        <v>45323</v>
      </c>
      <c r="D1911" t="s">
        <v>5862</v>
      </c>
      <c r="E1911">
        <v>621.9</v>
      </c>
      <c r="F1911">
        <v>25.9</v>
      </c>
      <c r="G1911" t="s">
        <v>142</v>
      </c>
      <c r="H1911" t="s">
        <v>319</v>
      </c>
      <c r="I1911" t="s">
        <v>32</v>
      </c>
      <c r="J1911">
        <v>240</v>
      </c>
      <c r="K1911" t="s">
        <v>33</v>
      </c>
      <c r="L1911" t="s">
        <v>133</v>
      </c>
      <c r="M1911" t="s">
        <v>35</v>
      </c>
      <c r="N1911" t="s">
        <v>168</v>
      </c>
      <c r="O1911" t="s">
        <v>7232</v>
      </c>
      <c r="P1911" t="s">
        <v>38</v>
      </c>
      <c r="Q1911" t="s">
        <v>38</v>
      </c>
      <c r="R1911">
        <v>1</v>
      </c>
      <c r="S1911" t="s">
        <v>38</v>
      </c>
      <c r="T1911">
        <v>4</v>
      </c>
      <c r="U1911">
        <v>0.1</v>
      </c>
      <c r="V1911">
        <v>16.5</v>
      </c>
      <c r="W1911" t="s">
        <v>39</v>
      </c>
      <c r="X1911" t="s">
        <v>63</v>
      </c>
      <c r="Y1911" t="s">
        <v>38</v>
      </c>
      <c r="Z1911" t="s">
        <v>53</v>
      </c>
      <c r="AA1911" t="s">
        <v>103</v>
      </c>
      <c r="AB1911" t="s">
        <v>55</v>
      </c>
      <c r="AC1911">
        <f t="shared" si="319"/>
        <v>0</v>
      </c>
      <c r="AD1911" s="12">
        <f t="shared" si="323"/>
        <v>1</v>
      </c>
      <c r="AE1911" s="12">
        <f t="shared" si="324"/>
        <v>0</v>
      </c>
      <c r="AF1911">
        <f t="shared" si="320"/>
        <v>0</v>
      </c>
      <c r="AG1911">
        <f t="shared" si="325"/>
        <v>1</v>
      </c>
      <c r="AH1911">
        <f t="shared" si="326"/>
        <v>0</v>
      </c>
      <c r="AI1911">
        <f t="shared" si="327"/>
        <v>0</v>
      </c>
      <c r="AJ1911">
        <f t="shared" si="328"/>
        <v>1</v>
      </c>
      <c r="AK1911">
        <f t="shared" si="321"/>
        <v>0</v>
      </c>
      <c r="AL1911">
        <f t="shared" si="329"/>
        <v>1</v>
      </c>
    </row>
    <row r="1912" spans="1:38">
      <c r="A1912" t="s">
        <v>5863</v>
      </c>
      <c r="B1912" t="s">
        <v>5864</v>
      </c>
      <c r="C1912" s="1">
        <f t="shared" si="322"/>
        <v>45413</v>
      </c>
      <c r="D1912" t="s">
        <v>5865</v>
      </c>
      <c r="E1912">
        <v>533.70000000000005</v>
      </c>
      <c r="F1912">
        <v>22.2</v>
      </c>
      <c r="G1912" t="s">
        <v>68</v>
      </c>
      <c r="H1912" t="s">
        <v>212</v>
      </c>
      <c r="I1912" t="s">
        <v>32</v>
      </c>
      <c r="J1912">
        <v>240</v>
      </c>
      <c r="K1912" t="s">
        <v>33</v>
      </c>
      <c r="L1912" t="s">
        <v>113</v>
      </c>
      <c r="M1912" t="s">
        <v>35</v>
      </c>
      <c r="N1912" t="s">
        <v>188</v>
      </c>
      <c r="O1912" t="s">
        <v>37</v>
      </c>
      <c r="P1912" t="s">
        <v>39</v>
      </c>
      <c r="Q1912" t="s">
        <v>38</v>
      </c>
      <c r="R1912">
        <v>0</v>
      </c>
      <c r="S1912" t="s">
        <v>38</v>
      </c>
      <c r="T1912">
        <v>7</v>
      </c>
      <c r="U1912">
        <v>0.1</v>
      </c>
      <c r="V1912">
        <v>0</v>
      </c>
      <c r="W1912" t="s">
        <v>39</v>
      </c>
      <c r="X1912" t="s">
        <v>52</v>
      </c>
      <c r="Y1912" t="s">
        <v>39</v>
      </c>
      <c r="Z1912" t="s">
        <v>41</v>
      </c>
      <c r="AA1912" t="s">
        <v>42</v>
      </c>
      <c r="AB1912" t="s">
        <v>83</v>
      </c>
      <c r="AC1912">
        <f t="shared" si="319"/>
        <v>1</v>
      </c>
      <c r="AD1912" s="12">
        <f t="shared" si="323"/>
        <v>0</v>
      </c>
      <c r="AE1912" s="12">
        <f t="shared" si="324"/>
        <v>0</v>
      </c>
      <c r="AF1912">
        <f t="shared" si="320"/>
        <v>0</v>
      </c>
      <c r="AG1912">
        <f t="shared" si="325"/>
        <v>0</v>
      </c>
      <c r="AH1912">
        <f t="shared" si="326"/>
        <v>0</v>
      </c>
      <c r="AI1912">
        <f t="shared" si="327"/>
        <v>0</v>
      </c>
      <c r="AJ1912">
        <f t="shared" si="328"/>
        <v>1</v>
      </c>
      <c r="AK1912">
        <f t="shared" si="321"/>
        <v>0</v>
      </c>
      <c r="AL1912">
        <f t="shared" si="329"/>
        <v>0</v>
      </c>
    </row>
    <row r="1913" spans="1:38">
      <c r="A1913" t="s">
        <v>5866</v>
      </c>
      <c r="B1913" t="s">
        <v>5867</v>
      </c>
      <c r="C1913" s="1">
        <f t="shared" si="322"/>
        <v>45474</v>
      </c>
      <c r="D1913" t="s">
        <v>5868</v>
      </c>
      <c r="E1913">
        <v>533.70000000000005</v>
      </c>
      <c r="F1913">
        <v>22.2</v>
      </c>
      <c r="G1913" t="s">
        <v>77</v>
      </c>
      <c r="H1913" t="s">
        <v>187</v>
      </c>
      <c r="I1913" t="s">
        <v>79</v>
      </c>
      <c r="J1913">
        <v>360</v>
      </c>
      <c r="K1913" t="s">
        <v>33</v>
      </c>
      <c r="L1913" t="s">
        <v>133</v>
      </c>
      <c r="M1913" t="s">
        <v>35</v>
      </c>
      <c r="N1913" t="s">
        <v>50</v>
      </c>
      <c r="O1913" t="s">
        <v>51</v>
      </c>
      <c r="P1913" t="s">
        <v>38</v>
      </c>
      <c r="Q1913" t="s">
        <v>38</v>
      </c>
      <c r="R1913">
        <v>1</v>
      </c>
      <c r="S1913" t="s">
        <v>38</v>
      </c>
      <c r="T1913">
        <v>6</v>
      </c>
      <c r="U1913">
        <v>0.9</v>
      </c>
      <c r="V1913">
        <v>14.1</v>
      </c>
      <c r="W1913" t="s">
        <v>39</v>
      </c>
      <c r="X1913" t="s">
        <v>123</v>
      </c>
      <c r="Y1913" t="s">
        <v>39</v>
      </c>
      <c r="Z1913" t="s">
        <v>108</v>
      </c>
      <c r="AA1913" t="s">
        <v>42</v>
      </c>
      <c r="AB1913" t="s">
        <v>83</v>
      </c>
      <c r="AC1913">
        <f t="shared" si="319"/>
        <v>0</v>
      </c>
      <c r="AD1913" s="12">
        <f t="shared" si="323"/>
        <v>0</v>
      </c>
      <c r="AE1913" s="12">
        <f t="shared" si="324"/>
        <v>1</v>
      </c>
      <c r="AF1913">
        <f t="shared" si="320"/>
        <v>1</v>
      </c>
      <c r="AG1913">
        <f t="shared" si="325"/>
        <v>0</v>
      </c>
      <c r="AH1913">
        <f t="shared" si="326"/>
        <v>0</v>
      </c>
      <c r="AI1913">
        <f t="shared" si="327"/>
        <v>0</v>
      </c>
      <c r="AJ1913">
        <f t="shared" si="328"/>
        <v>0</v>
      </c>
      <c r="AK1913">
        <f t="shared" si="321"/>
        <v>0</v>
      </c>
      <c r="AL1913">
        <f t="shared" si="329"/>
        <v>0</v>
      </c>
    </row>
    <row r="1914" spans="1:38">
      <c r="A1914" t="s">
        <v>5869</v>
      </c>
      <c r="B1914" t="s">
        <v>5870</v>
      </c>
      <c r="C1914" s="1">
        <f t="shared" si="322"/>
        <v>45444</v>
      </c>
      <c r="D1914" t="s">
        <v>5871</v>
      </c>
      <c r="E1914">
        <v>144.80000000000001</v>
      </c>
      <c r="F1914">
        <v>6</v>
      </c>
      <c r="G1914" t="s">
        <v>142</v>
      </c>
      <c r="H1914" t="s">
        <v>319</v>
      </c>
      <c r="I1914" t="s">
        <v>32</v>
      </c>
      <c r="J1914">
        <v>240</v>
      </c>
      <c r="K1914" t="s">
        <v>49</v>
      </c>
      <c r="L1914" t="s">
        <v>133</v>
      </c>
      <c r="M1914" t="s">
        <v>35</v>
      </c>
      <c r="N1914" t="s">
        <v>188</v>
      </c>
      <c r="O1914" t="s">
        <v>7232</v>
      </c>
      <c r="P1914" t="s">
        <v>38</v>
      </c>
      <c r="Q1914" t="s">
        <v>38</v>
      </c>
      <c r="R1914">
        <v>1</v>
      </c>
      <c r="S1914" t="s">
        <v>38</v>
      </c>
      <c r="T1914">
        <v>10</v>
      </c>
      <c r="U1914">
        <v>4.7</v>
      </c>
      <c r="V1914">
        <v>25.6</v>
      </c>
      <c r="W1914" t="s">
        <v>38</v>
      </c>
      <c r="X1914" t="s">
        <v>63</v>
      </c>
      <c r="Y1914" t="s">
        <v>39</v>
      </c>
      <c r="Z1914" t="s">
        <v>64</v>
      </c>
      <c r="AA1914" t="s">
        <v>82</v>
      </c>
      <c r="AB1914" t="s">
        <v>43</v>
      </c>
      <c r="AC1914">
        <f t="shared" si="319"/>
        <v>0</v>
      </c>
      <c r="AD1914" s="12">
        <f t="shared" si="323"/>
        <v>1</v>
      </c>
      <c r="AE1914" s="12">
        <f t="shared" si="324"/>
        <v>0</v>
      </c>
      <c r="AF1914">
        <f t="shared" si="320"/>
        <v>0</v>
      </c>
      <c r="AG1914">
        <f t="shared" si="325"/>
        <v>1</v>
      </c>
      <c r="AH1914">
        <f t="shared" si="326"/>
        <v>0</v>
      </c>
      <c r="AI1914">
        <f t="shared" si="327"/>
        <v>0</v>
      </c>
      <c r="AJ1914">
        <f t="shared" si="328"/>
        <v>1</v>
      </c>
      <c r="AK1914">
        <f t="shared" si="321"/>
        <v>0</v>
      </c>
      <c r="AL1914">
        <f t="shared" si="329"/>
        <v>0</v>
      </c>
    </row>
    <row r="1915" spans="1:38">
      <c r="A1915" t="s">
        <v>5872</v>
      </c>
      <c r="B1915" t="s">
        <v>5873</v>
      </c>
      <c r="C1915" s="1">
        <f t="shared" si="322"/>
        <v>45566</v>
      </c>
      <c r="D1915" t="s">
        <v>5874</v>
      </c>
      <c r="E1915">
        <v>272.39999999999998</v>
      </c>
      <c r="F1915">
        <v>11.4</v>
      </c>
      <c r="G1915" t="s">
        <v>77</v>
      </c>
      <c r="H1915" t="s">
        <v>187</v>
      </c>
      <c r="I1915" t="s">
        <v>79</v>
      </c>
      <c r="J1915">
        <v>360</v>
      </c>
      <c r="K1915" t="s">
        <v>49</v>
      </c>
      <c r="L1915" t="s">
        <v>34</v>
      </c>
      <c r="M1915" t="s">
        <v>35</v>
      </c>
      <c r="N1915" t="s">
        <v>61</v>
      </c>
      <c r="O1915" t="s">
        <v>51</v>
      </c>
      <c r="P1915" t="s">
        <v>39</v>
      </c>
      <c r="Q1915" t="s">
        <v>38</v>
      </c>
      <c r="R1915">
        <v>0</v>
      </c>
      <c r="S1915" t="s">
        <v>38</v>
      </c>
      <c r="T1915">
        <v>7</v>
      </c>
      <c r="U1915">
        <v>2.8</v>
      </c>
      <c r="V1915">
        <v>1</v>
      </c>
      <c r="W1915" t="s">
        <v>39</v>
      </c>
      <c r="X1915" t="s">
        <v>123</v>
      </c>
      <c r="Y1915" t="s">
        <v>38</v>
      </c>
      <c r="Z1915" t="s">
        <v>53</v>
      </c>
      <c r="AA1915" t="s">
        <v>54</v>
      </c>
      <c r="AB1915" t="s">
        <v>55</v>
      </c>
      <c r="AC1915">
        <f t="shared" si="319"/>
        <v>0</v>
      </c>
      <c r="AD1915" s="12">
        <f t="shared" si="323"/>
        <v>0</v>
      </c>
      <c r="AE1915" s="12">
        <f t="shared" si="324"/>
        <v>1</v>
      </c>
      <c r="AF1915">
        <f t="shared" si="320"/>
        <v>1</v>
      </c>
      <c r="AG1915">
        <f t="shared" si="325"/>
        <v>0</v>
      </c>
      <c r="AH1915">
        <f t="shared" si="326"/>
        <v>0</v>
      </c>
      <c r="AI1915">
        <f t="shared" si="327"/>
        <v>0</v>
      </c>
      <c r="AJ1915">
        <f t="shared" si="328"/>
        <v>0</v>
      </c>
      <c r="AK1915">
        <f t="shared" si="321"/>
        <v>0</v>
      </c>
      <c r="AL1915">
        <f t="shared" si="329"/>
        <v>1</v>
      </c>
    </row>
    <row r="1916" spans="1:38">
      <c r="A1916" t="s">
        <v>5875</v>
      </c>
      <c r="B1916" t="s">
        <v>5876</v>
      </c>
      <c r="C1916" s="1">
        <f t="shared" si="322"/>
        <v>45597</v>
      </c>
      <c r="D1916" t="s">
        <v>5877</v>
      </c>
      <c r="E1916">
        <v>223.8</v>
      </c>
      <c r="F1916">
        <v>9.3000000000000007</v>
      </c>
      <c r="G1916" t="s">
        <v>77</v>
      </c>
      <c r="H1916" t="s">
        <v>78</v>
      </c>
      <c r="I1916" t="s">
        <v>79</v>
      </c>
      <c r="J1916">
        <v>360</v>
      </c>
      <c r="K1916" t="s">
        <v>49</v>
      </c>
      <c r="L1916" t="s">
        <v>34</v>
      </c>
      <c r="M1916" t="s">
        <v>35</v>
      </c>
      <c r="N1916" t="s">
        <v>155</v>
      </c>
      <c r="O1916" t="s">
        <v>51</v>
      </c>
      <c r="P1916" t="s">
        <v>39</v>
      </c>
      <c r="Q1916" t="s">
        <v>38</v>
      </c>
      <c r="R1916">
        <v>0</v>
      </c>
      <c r="S1916" t="s">
        <v>38</v>
      </c>
      <c r="T1916">
        <v>8</v>
      </c>
      <c r="U1916">
        <v>1.9</v>
      </c>
      <c r="V1916">
        <v>27.1</v>
      </c>
      <c r="W1916" t="s">
        <v>39</v>
      </c>
      <c r="X1916" t="s">
        <v>63</v>
      </c>
      <c r="Y1916" t="s">
        <v>38</v>
      </c>
      <c r="Z1916" t="s">
        <v>179</v>
      </c>
      <c r="AA1916" t="s">
        <v>54</v>
      </c>
      <c r="AB1916" t="s">
        <v>83</v>
      </c>
      <c r="AC1916">
        <f t="shared" si="319"/>
        <v>0</v>
      </c>
      <c r="AD1916" s="12">
        <f t="shared" si="323"/>
        <v>1</v>
      </c>
      <c r="AE1916" s="12">
        <f t="shared" si="324"/>
        <v>0</v>
      </c>
      <c r="AF1916">
        <f t="shared" si="320"/>
        <v>1</v>
      </c>
      <c r="AG1916">
        <f t="shared" si="325"/>
        <v>0</v>
      </c>
      <c r="AH1916">
        <f t="shared" si="326"/>
        <v>0</v>
      </c>
      <c r="AI1916">
        <f t="shared" si="327"/>
        <v>0</v>
      </c>
      <c r="AJ1916">
        <f t="shared" si="328"/>
        <v>0</v>
      </c>
      <c r="AK1916">
        <f t="shared" si="321"/>
        <v>0</v>
      </c>
      <c r="AL1916">
        <f t="shared" si="329"/>
        <v>1</v>
      </c>
    </row>
    <row r="1917" spans="1:38">
      <c r="A1917" t="s">
        <v>5878</v>
      </c>
      <c r="B1917" t="s">
        <v>5879</v>
      </c>
      <c r="C1917" s="1">
        <f t="shared" si="322"/>
        <v>45505</v>
      </c>
      <c r="D1917" t="s">
        <v>5880</v>
      </c>
      <c r="E1917">
        <v>202.4</v>
      </c>
      <c r="F1917">
        <v>8.4</v>
      </c>
      <c r="G1917" t="s">
        <v>142</v>
      </c>
      <c r="H1917" t="s">
        <v>319</v>
      </c>
      <c r="I1917" t="s">
        <v>48</v>
      </c>
      <c r="J1917">
        <v>120</v>
      </c>
      <c r="K1917" t="s">
        <v>33</v>
      </c>
      <c r="L1917" t="s">
        <v>96</v>
      </c>
      <c r="M1917" t="s">
        <v>71</v>
      </c>
      <c r="N1917" t="s">
        <v>202</v>
      </c>
      <c r="O1917" t="s">
        <v>7232</v>
      </c>
      <c r="P1917" t="s">
        <v>38</v>
      </c>
      <c r="Q1917" t="s">
        <v>39</v>
      </c>
      <c r="R1917">
        <v>1</v>
      </c>
      <c r="S1917" t="s">
        <v>38</v>
      </c>
      <c r="T1917">
        <v>6</v>
      </c>
      <c r="U1917">
        <v>0.1</v>
      </c>
      <c r="V1917">
        <v>43</v>
      </c>
      <c r="W1917" t="s">
        <v>39</v>
      </c>
      <c r="X1917" t="s">
        <v>40</v>
      </c>
      <c r="Y1917" t="s">
        <v>39</v>
      </c>
      <c r="Z1917" t="s">
        <v>81</v>
      </c>
      <c r="AA1917" t="s">
        <v>109</v>
      </c>
      <c r="AB1917" t="s">
        <v>83</v>
      </c>
      <c r="AC1917">
        <f t="shared" si="319"/>
        <v>0</v>
      </c>
      <c r="AD1917" s="12">
        <f t="shared" si="323"/>
        <v>0</v>
      </c>
      <c r="AE1917" s="12">
        <f t="shared" si="324"/>
        <v>0</v>
      </c>
      <c r="AF1917">
        <f t="shared" si="320"/>
        <v>0</v>
      </c>
      <c r="AG1917">
        <f t="shared" si="325"/>
        <v>1</v>
      </c>
      <c r="AH1917">
        <f t="shared" si="326"/>
        <v>1</v>
      </c>
      <c r="AI1917">
        <f t="shared" si="327"/>
        <v>0</v>
      </c>
      <c r="AJ1917">
        <f t="shared" si="328"/>
        <v>0</v>
      </c>
      <c r="AK1917">
        <f t="shared" si="321"/>
        <v>0</v>
      </c>
      <c r="AL1917">
        <f t="shared" si="329"/>
        <v>0</v>
      </c>
    </row>
    <row r="1918" spans="1:38">
      <c r="A1918" t="s">
        <v>5881</v>
      </c>
      <c r="B1918" t="s">
        <v>5882</v>
      </c>
      <c r="C1918" s="1">
        <f t="shared" si="322"/>
        <v>45505</v>
      </c>
      <c r="D1918" t="s">
        <v>5883</v>
      </c>
      <c r="E1918">
        <v>104.5</v>
      </c>
      <c r="F1918">
        <v>4.4000000000000004</v>
      </c>
      <c r="G1918" t="s">
        <v>87</v>
      </c>
      <c r="H1918" t="s">
        <v>88</v>
      </c>
      <c r="I1918" t="s">
        <v>48</v>
      </c>
      <c r="J1918">
        <v>120</v>
      </c>
      <c r="K1918" t="s">
        <v>49</v>
      </c>
      <c r="L1918" t="s">
        <v>113</v>
      </c>
      <c r="M1918" t="s">
        <v>35</v>
      </c>
      <c r="N1918" t="s">
        <v>119</v>
      </c>
      <c r="O1918" t="s">
        <v>51</v>
      </c>
      <c r="P1918" t="s">
        <v>38</v>
      </c>
      <c r="Q1918" t="s">
        <v>38</v>
      </c>
      <c r="R1918">
        <v>1</v>
      </c>
      <c r="S1918" t="s">
        <v>38</v>
      </c>
      <c r="T1918">
        <v>9</v>
      </c>
      <c r="U1918">
        <v>2</v>
      </c>
      <c r="V1918">
        <v>27.7</v>
      </c>
      <c r="W1918" t="s">
        <v>39</v>
      </c>
      <c r="X1918" t="s">
        <v>63</v>
      </c>
      <c r="Y1918" t="s">
        <v>38</v>
      </c>
      <c r="Z1918" t="s">
        <v>81</v>
      </c>
      <c r="AA1918" t="s">
        <v>103</v>
      </c>
      <c r="AB1918" t="s">
        <v>83</v>
      </c>
      <c r="AC1918">
        <f t="shared" si="319"/>
        <v>0</v>
      </c>
      <c r="AD1918" s="12">
        <f t="shared" si="323"/>
        <v>1</v>
      </c>
      <c r="AE1918" s="12">
        <f t="shared" si="324"/>
        <v>0</v>
      </c>
      <c r="AF1918">
        <f t="shared" si="320"/>
        <v>1</v>
      </c>
      <c r="AG1918">
        <f t="shared" si="325"/>
        <v>0</v>
      </c>
      <c r="AH1918">
        <f t="shared" si="326"/>
        <v>1</v>
      </c>
      <c r="AI1918">
        <f t="shared" si="327"/>
        <v>0</v>
      </c>
      <c r="AJ1918">
        <f t="shared" si="328"/>
        <v>0</v>
      </c>
      <c r="AK1918">
        <f t="shared" si="321"/>
        <v>0</v>
      </c>
      <c r="AL1918">
        <f t="shared" si="329"/>
        <v>1</v>
      </c>
    </row>
    <row r="1919" spans="1:38">
      <c r="A1919" t="s">
        <v>5884</v>
      </c>
      <c r="B1919" t="s">
        <v>5885</v>
      </c>
      <c r="C1919" s="1">
        <f t="shared" si="322"/>
        <v>45566</v>
      </c>
      <c r="D1919" t="s">
        <v>5886</v>
      </c>
      <c r="E1919">
        <v>204.9</v>
      </c>
      <c r="F1919">
        <v>8.5</v>
      </c>
      <c r="G1919" t="s">
        <v>77</v>
      </c>
      <c r="H1919" t="s">
        <v>267</v>
      </c>
      <c r="I1919" t="s">
        <v>32</v>
      </c>
      <c r="J1919">
        <v>240</v>
      </c>
      <c r="K1919" t="s">
        <v>49</v>
      </c>
      <c r="L1919" t="s">
        <v>34</v>
      </c>
      <c r="M1919" t="s">
        <v>35</v>
      </c>
      <c r="N1919" t="s">
        <v>72</v>
      </c>
      <c r="O1919" t="s">
        <v>7232</v>
      </c>
      <c r="P1919" t="s">
        <v>39</v>
      </c>
      <c r="Q1919" t="s">
        <v>38</v>
      </c>
      <c r="R1919">
        <v>0</v>
      </c>
      <c r="S1919" t="s">
        <v>38</v>
      </c>
      <c r="T1919">
        <v>10</v>
      </c>
      <c r="U1919">
        <v>0.5</v>
      </c>
      <c r="V1919">
        <v>15.2</v>
      </c>
      <c r="W1919" t="s">
        <v>39</v>
      </c>
      <c r="X1919" t="s">
        <v>123</v>
      </c>
      <c r="Y1919" t="s">
        <v>38</v>
      </c>
      <c r="Z1919" t="s">
        <v>41</v>
      </c>
      <c r="AA1919" t="s">
        <v>42</v>
      </c>
      <c r="AB1919" t="s">
        <v>55</v>
      </c>
      <c r="AC1919">
        <f t="shared" si="319"/>
        <v>0</v>
      </c>
      <c r="AD1919" s="12">
        <f t="shared" si="323"/>
        <v>0</v>
      </c>
      <c r="AE1919" s="12">
        <f t="shared" si="324"/>
        <v>1</v>
      </c>
      <c r="AF1919">
        <f t="shared" si="320"/>
        <v>0</v>
      </c>
      <c r="AG1919">
        <f t="shared" si="325"/>
        <v>1</v>
      </c>
      <c r="AH1919">
        <f t="shared" si="326"/>
        <v>0</v>
      </c>
      <c r="AI1919">
        <f t="shared" si="327"/>
        <v>0</v>
      </c>
      <c r="AJ1919">
        <f t="shared" si="328"/>
        <v>1</v>
      </c>
      <c r="AK1919">
        <f t="shared" si="321"/>
        <v>0</v>
      </c>
      <c r="AL1919">
        <f t="shared" si="329"/>
        <v>1</v>
      </c>
    </row>
    <row r="1920" spans="1:38">
      <c r="A1920" t="s">
        <v>5887</v>
      </c>
      <c r="B1920" t="s">
        <v>5888</v>
      </c>
      <c r="C1920" s="1">
        <f t="shared" si="322"/>
        <v>45413</v>
      </c>
      <c r="D1920" t="s">
        <v>5889</v>
      </c>
      <c r="E1920">
        <v>104.8</v>
      </c>
      <c r="F1920">
        <v>4.4000000000000004</v>
      </c>
      <c r="G1920" t="s">
        <v>87</v>
      </c>
      <c r="H1920" t="s">
        <v>151</v>
      </c>
      <c r="I1920" t="s">
        <v>48</v>
      </c>
      <c r="J1920">
        <v>120</v>
      </c>
      <c r="K1920" t="s">
        <v>49</v>
      </c>
      <c r="L1920" t="s">
        <v>96</v>
      </c>
      <c r="M1920" t="s">
        <v>35</v>
      </c>
      <c r="N1920" t="s">
        <v>299</v>
      </c>
      <c r="O1920" t="s">
        <v>51</v>
      </c>
      <c r="P1920" t="s">
        <v>39</v>
      </c>
      <c r="Q1920" t="s">
        <v>38</v>
      </c>
      <c r="R1920">
        <v>0</v>
      </c>
      <c r="S1920" t="s">
        <v>38</v>
      </c>
      <c r="T1920">
        <v>10</v>
      </c>
      <c r="U1920">
        <v>1.5</v>
      </c>
      <c r="V1920">
        <v>29.8</v>
      </c>
      <c r="W1920" t="s">
        <v>39</v>
      </c>
      <c r="X1920" t="s">
        <v>40</v>
      </c>
      <c r="Y1920" t="s">
        <v>39</v>
      </c>
      <c r="Z1920" t="s">
        <v>115</v>
      </c>
      <c r="AA1920" t="s">
        <v>42</v>
      </c>
      <c r="AB1920" t="s">
        <v>55</v>
      </c>
      <c r="AC1920">
        <f t="shared" si="319"/>
        <v>0</v>
      </c>
      <c r="AD1920" s="12">
        <f t="shared" si="323"/>
        <v>0</v>
      </c>
      <c r="AE1920" s="12">
        <f t="shared" si="324"/>
        <v>0</v>
      </c>
      <c r="AF1920">
        <f t="shared" si="320"/>
        <v>1</v>
      </c>
      <c r="AG1920">
        <f t="shared" si="325"/>
        <v>0</v>
      </c>
      <c r="AH1920">
        <f t="shared" si="326"/>
        <v>1</v>
      </c>
      <c r="AI1920">
        <f t="shared" si="327"/>
        <v>0</v>
      </c>
      <c r="AJ1920">
        <f t="shared" si="328"/>
        <v>0</v>
      </c>
      <c r="AK1920">
        <f t="shared" si="321"/>
        <v>0</v>
      </c>
      <c r="AL1920">
        <f t="shared" si="329"/>
        <v>0</v>
      </c>
    </row>
    <row r="1921" spans="1:38">
      <c r="A1921" t="s">
        <v>5890</v>
      </c>
      <c r="B1921" t="s">
        <v>5891</v>
      </c>
      <c r="C1921" s="1">
        <f t="shared" si="322"/>
        <v>45352</v>
      </c>
      <c r="D1921" t="s">
        <v>5892</v>
      </c>
      <c r="E1921">
        <v>409.2</v>
      </c>
      <c r="F1921">
        <v>17.100000000000001</v>
      </c>
      <c r="G1921" t="s">
        <v>93</v>
      </c>
      <c r="H1921" t="s">
        <v>291</v>
      </c>
      <c r="I1921" t="s">
        <v>79</v>
      </c>
      <c r="J1921">
        <v>360</v>
      </c>
      <c r="K1921" t="s">
        <v>33</v>
      </c>
      <c r="L1921" t="s">
        <v>34</v>
      </c>
      <c r="M1921" t="s">
        <v>35</v>
      </c>
      <c r="N1921" t="s">
        <v>188</v>
      </c>
      <c r="O1921" t="s">
        <v>7232</v>
      </c>
      <c r="P1921" t="s">
        <v>39</v>
      </c>
      <c r="Q1921" t="s">
        <v>38</v>
      </c>
      <c r="R1921">
        <v>0</v>
      </c>
      <c r="S1921" t="s">
        <v>38</v>
      </c>
      <c r="T1921">
        <v>8</v>
      </c>
      <c r="U1921">
        <v>4.2</v>
      </c>
      <c r="V1921">
        <v>11.2</v>
      </c>
      <c r="W1921" t="s">
        <v>39</v>
      </c>
      <c r="X1921" t="s">
        <v>123</v>
      </c>
      <c r="Y1921" t="s">
        <v>39</v>
      </c>
      <c r="Z1921" t="s">
        <v>64</v>
      </c>
      <c r="AA1921" t="s">
        <v>54</v>
      </c>
      <c r="AB1921" t="s">
        <v>83</v>
      </c>
      <c r="AC1921">
        <f t="shared" si="319"/>
        <v>0</v>
      </c>
      <c r="AD1921" s="12">
        <f t="shared" si="323"/>
        <v>0</v>
      </c>
      <c r="AE1921" s="12">
        <f t="shared" si="324"/>
        <v>1</v>
      </c>
      <c r="AF1921">
        <f t="shared" si="320"/>
        <v>0</v>
      </c>
      <c r="AG1921">
        <f t="shared" si="325"/>
        <v>1</v>
      </c>
      <c r="AH1921">
        <f t="shared" si="326"/>
        <v>0</v>
      </c>
      <c r="AI1921">
        <f t="shared" si="327"/>
        <v>0</v>
      </c>
      <c r="AJ1921">
        <f t="shared" si="328"/>
        <v>0</v>
      </c>
      <c r="AK1921">
        <f t="shared" si="321"/>
        <v>0</v>
      </c>
      <c r="AL1921">
        <f t="shared" si="329"/>
        <v>0</v>
      </c>
    </row>
    <row r="1922" spans="1:38">
      <c r="A1922" t="s">
        <v>5893</v>
      </c>
      <c r="B1922" t="s">
        <v>5894</v>
      </c>
      <c r="C1922" s="1">
        <f t="shared" si="322"/>
        <v>45505</v>
      </c>
      <c r="D1922" t="s">
        <v>5895</v>
      </c>
      <c r="E1922">
        <v>199.6</v>
      </c>
      <c r="F1922">
        <v>8.3000000000000007</v>
      </c>
      <c r="G1922" t="s">
        <v>77</v>
      </c>
      <c r="H1922" t="s">
        <v>78</v>
      </c>
      <c r="I1922" t="s">
        <v>32</v>
      </c>
      <c r="J1922">
        <v>240</v>
      </c>
      <c r="K1922" t="s">
        <v>49</v>
      </c>
      <c r="L1922" t="s">
        <v>96</v>
      </c>
      <c r="M1922" t="s">
        <v>35</v>
      </c>
      <c r="N1922" t="s">
        <v>202</v>
      </c>
      <c r="O1922" t="s">
        <v>7232</v>
      </c>
      <c r="P1922" t="s">
        <v>39</v>
      </c>
      <c r="Q1922" t="s">
        <v>38</v>
      </c>
      <c r="R1922">
        <v>0</v>
      </c>
      <c r="S1922" t="s">
        <v>38</v>
      </c>
      <c r="T1922">
        <v>10</v>
      </c>
      <c r="U1922">
        <v>0.7</v>
      </c>
      <c r="V1922">
        <v>23.4</v>
      </c>
      <c r="W1922" t="s">
        <v>39</v>
      </c>
      <c r="X1922" t="s">
        <v>40</v>
      </c>
      <c r="Y1922" t="s">
        <v>39</v>
      </c>
      <c r="Z1922" t="s">
        <v>108</v>
      </c>
      <c r="AA1922" t="s">
        <v>103</v>
      </c>
      <c r="AB1922" t="s">
        <v>83</v>
      </c>
      <c r="AC1922">
        <f t="shared" ref="AC1922:AC1985" si="330">IF(X1922="Poor", 1, 0)</f>
        <v>0</v>
      </c>
      <c r="AD1922" s="12">
        <f t="shared" si="323"/>
        <v>0</v>
      </c>
      <c r="AE1922" s="12">
        <f t="shared" si="324"/>
        <v>0</v>
      </c>
      <c r="AF1922">
        <f t="shared" ref="AF1922:AF1985" si="331">IF(O1922="Junior", 1, 0)</f>
        <v>0</v>
      </c>
      <c r="AG1922">
        <f t="shared" si="325"/>
        <v>1</v>
      </c>
      <c r="AH1922">
        <f t="shared" si="326"/>
        <v>0</v>
      </c>
      <c r="AI1922">
        <f t="shared" si="327"/>
        <v>0</v>
      </c>
      <c r="AJ1922">
        <f t="shared" si="328"/>
        <v>1</v>
      </c>
      <c r="AK1922">
        <f t="shared" ref="AK1922:AK1985" si="332">IF(G1922="Access Requests", 1, 0)</f>
        <v>0</v>
      </c>
      <c r="AL1922">
        <f t="shared" si="329"/>
        <v>0</v>
      </c>
    </row>
    <row r="1923" spans="1:38">
      <c r="A1923" t="s">
        <v>5896</v>
      </c>
      <c r="B1923" t="s">
        <v>5897</v>
      </c>
      <c r="C1923" s="1">
        <f t="shared" ref="C1923:C1986" si="333">DATE(YEAR(B1923),MONTH(B1923),1)</f>
        <v>45536</v>
      </c>
      <c r="D1923" t="s">
        <v>5898</v>
      </c>
      <c r="E1923">
        <v>282.2</v>
      </c>
      <c r="F1923">
        <v>11.8</v>
      </c>
      <c r="G1923" t="s">
        <v>59</v>
      </c>
      <c r="H1923" t="s">
        <v>466</v>
      </c>
      <c r="I1923" t="s">
        <v>79</v>
      </c>
      <c r="J1923">
        <v>360</v>
      </c>
      <c r="K1923" t="s">
        <v>49</v>
      </c>
      <c r="L1923" t="s">
        <v>96</v>
      </c>
      <c r="M1923" t="s">
        <v>71</v>
      </c>
      <c r="N1923" t="s">
        <v>220</v>
      </c>
      <c r="O1923" t="s">
        <v>37</v>
      </c>
      <c r="P1923" t="s">
        <v>38</v>
      </c>
      <c r="Q1923" t="s">
        <v>39</v>
      </c>
      <c r="R1923">
        <v>4</v>
      </c>
      <c r="S1923" t="s">
        <v>38</v>
      </c>
      <c r="T1923">
        <v>6</v>
      </c>
      <c r="U1923">
        <v>1.2</v>
      </c>
      <c r="V1923">
        <v>7.6</v>
      </c>
      <c r="W1923" t="s">
        <v>39</v>
      </c>
      <c r="X1923" t="s">
        <v>40</v>
      </c>
      <c r="Y1923" t="s">
        <v>39</v>
      </c>
      <c r="Z1923" t="s">
        <v>81</v>
      </c>
      <c r="AA1923" t="s">
        <v>42</v>
      </c>
      <c r="AB1923" t="s">
        <v>55</v>
      </c>
      <c r="AC1923">
        <f t="shared" si="330"/>
        <v>0</v>
      </c>
      <c r="AD1923" s="12">
        <f t="shared" ref="AD1923:AD1986" si="334">IF(X1923="Fair", 1, 0)</f>
        <v>0</v>
      </c>
      <c r="AE1923" s="12">
        <f t="shared" ref="AE1923:AE1986" si="335">IF(X1923="Good", 1, 0)</f>
        <v>0</v>
      </c>
      <c r="AF1923">
        <f t="shared" si="331"/>
        <v>0</v>
      </c>
      <c r="AG1923">
        <f t="shared" ref="AG1923:AG1986" si="336">IF(O1923="Mid", 1, 0)</f>
        <v>0</v>
      </c>
      <c r="AH1923">
        <f t="shared" ref="AH1923:AH1986" si="337">IF(I1923="High", 1, 0)</f>
        <v>0</v>
      </c>
      <c r="AI1923">
        <f t="shared" ref="AI1923:AI1986" si="338">IF(I1923="Critical", 1, 0)</f>
        <v>0</v>
      </c>
      <c r="AJ1923">
        <f t="shared" ref="AJ1923:AJ1986" si="339">IF(I1923="Medium", 1, 0)</f>
        <v>0</v>
      </c>
      <c r="AK1923">
        <f t="shared" si="332"/>
        <v>0</v>
      </c>
      <c r="AL1923">
        <f t="shared" ref="AL1923:AL1986" si="340">IF(Y1923="No", 1, 0)</f>
        <v>0</v>
      </c>
    </row>
    <row r="1924" spans="1:38">
      <c r="A1924" t="s">
        <v>5899</v>
      </c>
      <c r="B1924" t="s">
        <v>5900</v>
      </c>
      <c r="C1924" s="1">
        <f t="shared" si="333"/>
        <v>45383</v>
      </c>
      <c r="D1924" t="s">
        <v>5901</v>
      </c>
      <c r="E1924">
        <v>196.3</v>
      </c>
      <c r="F1924">
        <v>8.1999999999999993</v>
      </c>
      <c r="G1924" t="s">
        <v>87</v>
      </c>
      <c r="H1924" t="s">
        <v>309</v>
      </c>
      <c r="I1924" t="s">
        <v>32</v>
      </c>
      <c r="J1924">
        <v>240</v>
      </c>
      <c r="K1924" t="s">
        <v>49</v>
      </c>
      <c r="L1924" t="s">
        <v>34</v>
      </c>
      <c r="M1924" t="s">
        <v>35</v>
      </c>
      <c r="N1924" t="s">
        <v>107</v>
      </c>
      <c r="O1924" t="s">
        <v>51</v>
      </c>
      <c r="P1924" t="s">
        <v>38</v>
      </c>
      <c r="Q1924" t="s">
        <v>38</v>
      </c>
      <c r="R1924">
        <v>1</v>
      </c>
      <c r="S1924" t="s">
        <v>38</v>
      </c>
      <c r="T1924">
        <v>8</v>
      </c>
      <c r="U1924">
        <v>2</v>
      </c>
      <c r="V1924">
        <v>12.5</v>
      </c>
      <c r="W1924" t="s">
        <v>39</v>
      </c>
      <c r="X1924" t="s">
        <v>63</v>
      </c>
      <c r="Y1924" t="s">
        <v>39</v>
      </c>
      <c r="Z1924" t="s">
        <v>115</v>
      </c>
      <c r="AA1924" t="s">
        <v>103</v>
      </c>
      <c r="AB1924" t="s">
        <v>83</v>
      </c>
      <c r="AC1924">
        <f t="shared" si="330"/>
        <v>0</v>
      </c>
      <c r="AD1924" s="12">
        <f t="shared" si="334"/>
        <v>1</v>
      </c>
      <c r="AE1924" s="12">
        <f t="shared" si="335"/>
        <v>0</v>
      </c>
      <c r="AF1924">
        <f t="shared" si="331"/>
        <v>1</v>
      </c>
      <c r="AG1924">
        <f t="shared" si="336"/>
        <v>0</v>
      </c>
      <c r="AH1924">
        <f t="shared" si="337"/>
        <v>0</v>
      </c>
      <c r="AI1924">
        <f t="shared" si="338"/>
        <v>0</v>
      </c>
      <c r="AJ1924">
        <f t="shared" si="339"/>
        <v>1</v>
      </c>
      <c r="AK1924">
        <f t="shared" si="332"/>
        <v>0</v>
      </c>
      <c r="AL1924">
        <f t="shared" si="340"/>
        <v>0</v>
      </c>
    </row>
    <row r="1925" spans="1:38">
      <c r="A1925" t="s">
        <v>5902</v>
      </c>
      <c r="B1925" t="s">
        <v>5903</v>
      </c>
      <c r="C1925" s="1">
        <f t="shared" si="333"/>
        <v>45474</v>
      </c>
      <c r="D1925" t="s">
        <v>5904</v>
      </c>
      <c r="E1925">
        <v>201.7</v>
      </c>
      <c r="F1925">
        <v>8.4</v>
      </c>
      <c r="G1925" t="s">
        <v>30</v>
      </c>
      <c r="H1925" t="s">
        <v>47</v>
      </c>
      <c r="I1925" t="s">
        <v>32</v>
      </c>
      <c r="J1925">
        <v>240</v>
      </c>
      <c r="K1925" t="s">
        <v>49</v>
      </c>
      <c r="L1925" t="s">
        <v>96</v>
      </c>
      <c r="M1925" t="s">
        <v>71</v>
      </c>
      <c r="N1925" t="s">
        <v>97</v>
      </c>
      <c r="O1925" t="s">
        <v>51</v>
      </c>
      <c r="P1925" t="s">
        <v>38</v>
      </c>
      <c r="Q1925" t="s">
        <v>39</v>
      </c>
      <c r="R1925">
        <v>2</v>
      </c>
      <c r="S1925" t="s">
        <v>38</v>
      </c>
      <c r="T1925">
        <v>9</v>
      </c>
      <c r="U1925">
        <v>1.1000000000000001</v>
      </c>
      <c r="V1925">
        <v>0</v>
      </c>
      <c r="W1925" t="s">
        <v>39</v>
      </c>
      <c r="X1925" t="s">
        <v>63</v>
      </c>
      <c r="Y1925" t="s">
        <v>39</v>
      </c>
      <c r="Z1925" t="s">
        <v>115</v>
      </c>
      <c r="AA1925" t="s">
        <v>42</v>
      </c>
      <c r="AB1925" t="s">
        <v>83</v>
      </c>
      <c r="AC1925">
        <f t="shared" si="330"/>
        <v>0</v>
      </c>
      <c r="AD1925" s="12">
        <f t="shared" si="334"/>
        <v>1</v>
      </c>
      <c r="AE1925" s="12">
        <f t="shared" si="335"/>
        <v>0</v>
      </c>
      <c r="AF1925">
        <f t="shared" si="331"/>
        <v>1</v>
      </c>
      <c r="AG1925">
        <f t="shared" si="336"/>
        <v>0</v>
      </c>
      <c r="AH1925">
        <f t="shared" si="337"/>
        <v>0</v>
      </c>
      <c r="AI1925">
        <f t="shared" si="338"/>
        <v>0</v>
      </c>
      <c r="AJ1925">
        <f t="shared" si="339"/>
        <v>1</v>
      </c>
      <c r="AK1925">
        <f t="shared" si="332"/>
        <v>1</v>
      </c>
      <c r="AL1925">
        <f t="shared" si="340"/>
        <v>0</v>
      </c>
    </row>
    <row r="1926" spans="1:38">
      <c r="A1926" t="s">
        <v>5905</v>
      </c>
      <c r="B1926" t="s">
        <v>5906</v>
      </c>
      <c r="C1926" s="1">
        <f t="shared" si="333"/>
        <v>45627</v>
      </c>
      <c r="D1926" t="s">
        <v>5907</v>
      </c>
      <c r="E1926">
        <v>204.5</v>
      </c>
      <c r="F1926">
        <v>8.5</v>
      </c>
      <c r="G1926" t="s">
        <v>30</v>
      </c>
      <c r="H1926" t="s">
        <v>159</v>
      </c>
      <c r="I1926" t="s">
        <v>32</v>
      </c>
      <c r="J1926">
        <v>240</v>
      </c>
      <c r="K1926" t="s">
        <v>49</v>
      </c>
      <c r="L1926" t="s">
        <v>70</v>
      </c>
      <c r="M1926" t="s">
        <v>35</v>
      </c>
      <c r="N1926" t="s">
        <v>134</v>
      </c>
      <c r="O1926" t="s">
        <v>51</v>
      </c>
      <c r="P1926" t="s">
        <v>38</v>
      </c>
      <c r="Q1926" t="s">
        <v>38</v>
      </c>
      <c r="R1926">
        <v>1</v>
      </c>
      <c r="S1926" t="s">
        <v>39</v>
      </c>
      <c r="T1926">
        <v>10</v>
      </c>
      <c r="U1926">
        <v>3</v>
      </c>
      <c r="V1926">
        <v>12.2</v>
      </c>
      <c r="W1926" t="s">
        <v>38</v>
      </c>
      <c r="X1926" t="s">
        <v>63</v>
      </c>
      <c r="Y1926" t="s">
        <v>39</v>
      </c>
      <c r="Z1926" t="s">
        <v>108</v>
      </c>
      <c r="AA1926" t="s">
        <v>103</v>
      </c>
      <c r="AB1926" t="s">
        <v>55</v>
      </c>
      <c r="AC1926">
        <f t="shared" si="330"/>
        <v>0</v>
      </c>
      <c r="AD1926" s="12">
        <f t="shared" si="334"/>
        <v>1</v>
      </c>
      <c r="AE1926" s="12">
        <f t="shared" si="335"/>
        <v>0</v>
      </c>
      <c r="AF1926">
        <f t="shared" si="331"/>
        <v>1</v>
      </c>
      <c r="AG1926">
        <f t="shared" si="336"/>
        <v>0</v>
      </c>
      <c r="AH1926">
        <f t="shared" si="337"/>
        <v>0</v>
      </c>
      <c r="AI1926">
        <f t="shared" si="338"/>
        <v>0</v>
      </c>
      <c r="AJ1926">
        <f t="shared" si="339"/>
        <v>1</v>
      </c>
      <c r="AK1926">
        <f t="shared" si="332"/>
        <v>1</v>
      </c>
      <c r="AL1926">
        <f t="shared" si="340"/>
        <v>0</v>
      </c>
    </row>
    <row r="1927" spans="1:38">
      <c r="A1927" t="s">
        <v>5908</v>
      </c>
      <c r="B1927" t="s">
        <v>5909</v>
      </c>
      <c r="C1927" s="1">
        <f t="shared" si="333"/>
        <v>45505</v>
      </c>
      <c r="D1927" t="s">
        <v>5910</v>
      </c>
      <c r="E1927">
        <v>218.4</v>
      </c>
      <c r="F1927">
        <v>9.1</v>
      </c>
      <c r="G1927" t="s">
        <v>77</v>
      </c>
      <c r="H1927" t="s">
        <v>244</v>
      </c>
      <c r="I1927" t="s">
        <v>79</v>
      </c>
      <c r="J1927">
        <v>360</v>
      </c>
      <c r="K1927" t="s">
        <v>49</v>
      </c>
      <c r="L1927" t="s">
        <v>96</v>
      </c>
      <c r="M1927" t="s">
        <v>35</v>
      </c>
      <c r="N1927" t="s">
        <v>89</v>
      </c>
      <c r="O1927" t="s">
        <v>7232</v>
      </c>
      <c r="P1927" t="s">
        <v>38</v>
      </c>
      <c r="Q1927" t="s">
        <v>38</v>
      </c>
      <c r="R1927">
        <v>1</v>
      </c>
      <c r="S1927" t="s">
        <v>38</v>
      </c>
      <c r="T1927">
        <v>5</v>
      </c>
      <c r="U1927">
        <v>0.4</v>
      </c>
      <c r="V1927">
        <v>49.5</v>
      </c>
      <c r="W1927" t="s">
        <v>39</v>
      </c>
      <c r="X1927" t="s">
        <v>52</v>
      </c>
      <c r="Y1927" t="s">
        <v>39</v>
      </c>
      <c r="Z1927" t="s">
        <v>115</v>
      </c>
      <c r="AA1927" t="s">
        <v>103</v>
      </c>
      <c r="AB1927" t="s">
        <v>83</v>
      </c>
      <c r="AC1927">
        <f t="shared" si="330"/>
        <v>1</v>
      </c>
      <c r="AD1927" s="12">
        <f t="shared" si="334"/>
        <v>0</v>
      </c>
      <c r="AE1927" s="12">
        <f t="shared" si="335"/>
        <v>0</v>
      </c>
      <c r="AF1927">
        <f t="shared" si="331"/>
        <v>0</v>
      </c>
      <c r="AG1927">
        <f t="shared" si="336"/>
        <v>1</v>
      </c>
      <c r="AH1927">
        <f t="shared" si="337"/>
        <v>0</v>
      </c>
      <c r="AI1927">
        <f t="shared" si="338"/>
        <v>0</v>
      </c>
      <c r="AJ1927">
        <f t="shared" si="339"/>
        <v>0</v>
      </c>
      <c r="AK1927">
        <f t="shared" si="332"/>
        <v>0</v>
      </c>
      <c r="AL1927">
        <f t="shared" si="340"/>
        <v>0</v>
      </c>
    </row>
    <row r="1928" spans="1:38">
      <c r="A1928" t="s">
        <v>5911</v>
      </c>
      <c r="B1928" t="s">
        <v>5912</v>
      </c>
      <c r="C1928" s="1">
        <f t="shared" si="333"/>
        <v>45566</v>
      </c>
      <c r="D1928" t="s">
        <v>5913</v>
      </c>
      <c r="E1928">
        <v>160.9</v>
      </c>
      <c r="F1928">
        <v>6.7</v>
      </c>
      <c r="G1928" t="s">
        <v>142</v>
      </c>
      <c r="H1928" t="s">
        <v>240</v>
      </c>
      <c r="I1928" t="s">
        <v>32</v>
      </c>
      <c r="J1928">
        <v>240</v>
      </c>
      <c r="K1928" t="s">
        <v>49</v>
      </c>
      <c r="L1928" t="s">
        <v>133</v>
      </c>
      <c r="M1928" t="s">
        <v>35</v>
      </c>
      <c r="N1928" t="s">
        <v>97</v>
      </c>
      <c r="O1928" t="s">
        <v>37</v>
      </c>
      <c r="P1928" t="s">
        <v>38</v>
      </c>
      <c r="Q1928" t="s">
        <v>38</v>
      </c>
      <c r="R1928">
        <v>1</v>
      </c>
      <c r="S1928" t="s">
        <v>38</v>
      </c>
      <c r="T1928">
        <v>10</v>
      </c>
      <c r="U1928">
        <v>3.1</v>
      </c>
      <c r="V1928">
        <v>20.399999999999999</v>
      </c>
      <c r="W1928" t="s">
        <v>39</v>
      </c>
      <c r="X1928" t="s">
        <v>52</v>
      </c>
      <c r="Y1928" t="s">
        <v>39</v>
      </c>
      <c r="Z1928" t="s">
        <v>81</v>
      </c>
      <c r="AA1928" t="s">
        <v>54</v>
      </c>
      <c r="AB1928" t="s">
        <v>83</v>
      </c>
      <c r="AC1928">
        <f t="shared" si="330"/>
        <v>1</v>
      </c>
      <c r="AD1928" s="12">
        <f t="shared" si="334"/>
        <v>0</v>
      </c>
      <c r="AE1928" s="12">
        <f t="shared" si="335"/>
        <v>0</v>
      </c>
      <c r="AF1928">
        <f t="shared" si="331"/>
        <v>0</v>
      </c>
      <c r="AG1928">
        <f t="shared" si="336"/>
        <v>0</v>
      </c>
      <c r="AH1928">
        <f t="shared" si="337"/>
        <v>0</v>
      </c>
      <c r="AI1928">
        <f t="shared" si="338"/>
        <v>0</v>
      </c>
      <c r="AJ1928">
        <f t="shared" si="339"/>
        <v>1</v>
      </c>
      <c r="AK1928">
        <f t="shared" si="332"/>
        <v>0</v>
      </c>
      <c r="AL1928">
        <f t="shared" si="340"/>
        <v>0</v>
      </c>
    </row>
    <row r="1929" spans="1:38">
      <c r="A1929" t="s">
        <v>5914</v>
      </c>
      <c r="B1929" t="s">
        <v>5915</v>
      </c>
      <c r="C1929" s="1">
        <f t="shared" si="333"/>
        <v>45566</v>
      </c>
      <c r="D1929" t="s">
        <v>5916</v>
      </c>
      <c r="E1929">
        <v>329.9</v>
      </c>
      <c r="F1929">
        <v>13.7</v>
      </c>
      <c r="G1929" t="s">
        <v>30</v>
      </c>
      <c r="H1929" t="s">
        <v>159</v>
      </c>
      <c r="I1929" t="s">
        <v>79</v>
      </c>
      <c r="J1929">
        <v>360</v>
      </c>
      <c r="K1929" t="s">
        <v>49</v>
      </c>
      <c r="L1929" t="s">
        <v>96</v>
      </c>
      <c r="M1929" t="s">
        <v>35</v>
      </c>
      <c r="N1929" t="s">
        <v>168</v>
      </c>
      <c r="O1929" t="s">
        <v>7232</v>
      </c>
      <c r="P1929" t="s">
        <v>38</v>
      </c>
      <c r="Q1929" t="s">
        <v>38</v>
      </c>
      <c r="R1929">
        <v>1</v>
      </c>
      <c r="S1929" t="s">
        <v>38</v>
      </c>
      <c r="T1929">
        <v>8</v>
      </c>
      <c r="U1929">
        <v>0.3</v>
      </c>
      <c r="V1929">
        <v>15.3</v>
      </c>
      <c r="W1929" t="s">
        <v>39</v>
      </c>
      <c r="X1929" t="s">
        <v>52</v>
      </c>
      <c r="Y1929" t="s">
        <v>39</v>
      </c>
      <c r="Z1929" t="s">
        <v>179</v>
      </c>
      <c r="AA1929" t="s">
        <v>103</v>
      </c>
      <c r="AB1929" t="s">
        <v>83</v>
      </c>
      <c r="AC1929">
        <f t="shared" si="330"/>
        <v>1</v>
      </c>
      <c r="AD1929" s="12">
        <f t="shared" si="334"/>
        <v>0</v>
      </c>
      <c r="AE1929" s="12">
        <f t="shared" si="335"/>
        <v>0</v>
      </c>
      <c r="AF1929">
        <f t="shared" si="331"/>
        <v>0</v>
      </c>
      <c r="AG1929">
        <f t="shared" si="336"/>
        <v>1</v>
      </c>
      <c r="AH1929">
        <f t="shared" si="337"/>
        <v>0</v>
      </c>
      <c r="AI1929">
        <f t="shared" si="338"/>
        <v>0</v>
      </c>
      <c r="AJ1929">
        <f t="shared" si="339"/>
        <v>0</v>
      </c>
      <c r="AK1929">
        <f t="shared" si="332"/>
        <v>1</v>
      </c>
      <c r="AL1929">
        <f t="shared" si="340"/>
        <v>0</v>
      </c>
    </row>
    <row r="1930" spans="1:38">
      <c r="A1930" t="s">
        <v>5917</v>
      </c>
      <c r="B1930" t="s">
        <v>5918</v>
      </c>
      <c r="C1930" s="1">
        <f t="shared" si="333"/>
        <v>45413</v>
      </c>
      <c r="D1930" t="s">
        <v>5919</v>
      </c>
      <c r="E1930">
        <v>689.4</v>
      </c>
      <c r="F1930">
        <v>28.7</v>
      </c>
      <c r="G1930" t="s">
        <v>68</v>
      </c>
      <c r="H1930" t="s">
        <v>212</v>
      </c>
      <c r="I1930" t="s">
        <v>32</v>
      </c>
      <c r="J1930">
        <v>240</v>
      </c>
      <c r="K1930" t="s">
        <v>33</v>
      </c>
      <c r="L1930" t="s">
        <v>34</v>
      </c>
      <c r="M1930" t="s">
        <v>35</v>
      </c>
      <c r="N1930" t="s">
        <v>155</v>
      </c>
      <c r="O1930" t="s">
        <v>7232</v>
      </c>
      <c r="P1930" t="s">
        <v>39</v>
      </c>
      <c r="Q1930" t="s">
        <v>38</v>
      </c>
      <c r="R1930">
        <v>0</v>
      </c>
      <c r="S1930" t="s">
        <v>38</v>
      </c>
      <c r="T1930">
        <v>9</v>
      </c>
      <c r="U1930">
        <v>6</v>
      </c>
      <c r="V1930">
        <v>0</v>
      </c>
      <c r="W1930" t="s">
        <v>39</v>
      </c>
      <c r="X1930" t="s">
        <v>52</v>
      </c>
      <c r="Y1930" t="s">
        <v>39</v>
      </c>
      <c r="Z1930" t="s">
        <v>108</v>
      </c>
      <c r="AA1930" t="s">
        <v>54</v>
      </c>
      <c r="AB1930" t="s">
        <v>55</v>
      </c>
      <c r="AC1930">
        <f t="shared" si="330"/>
        <v>1</v>
      </c>
      <c r="AD1930" s="12">
        <f t="shared" si="334"/>
        <v>0</v>
      </c>
      <c r="AE1930" s="12">
        <f t="shared" si="335"/>
        <v>0</v>
      </c>
      <c r="AF1930">
        <f t="shared" si="331"/>
        <v>0</v>
      </c>
      <c r="AG1930">
        <f t="shared" si="336"/>
        <v>1</v>
      </c>
      <c r="AH1930">
        <f t="shared" si="337"/>
        <v>0</v>
      </c>
      <c r="AI1930">
        <f t="shared" si="338"/>
        <v>0</v>
      </c>
      <c r="AJ1930">
        <f t="shared" si="339"/>
        <v>1</v>
      </c>
      <c r="AK1930">
        <f t="shared" si="332"/>
        <v>0</v>
      </c>
      <c r="AL1930">
        <f t="shared" si="340"/>
        <v>0</v>
      </c>
    </row>
    <row r="1931" spans="1:38">
      <c r="A1931" t="s">
        <v>5920</v>
      </c>
      <c r="B1931" t="s">
        <v>5921</v>
      </c>
      <c r="C1931" s="1">
        <f t="shared" si="333"/>
        <v>45444</v>
      </c>
      <c r="D1931" t="s">
        <v>5922</v>
      </c>
      <c r="E1931">
        <v>144.6</v>
      </c>
      <c r="F1931">
        <v>6</v>
      </c>
      <c r="G1931" t="s">
        <v>59</v>
      </c>
      <c r="H1931" t="s">
        <v>466</v>
      </c>
      <c r="I1931" t="s">
        <v>32</v>
      </c>
      <c r="J1931">
        <v>240</v>
      </c>
      <c r="K1931" t="s">
        <v>49</v>
      </c>
      <c r="L1931" t="s">
        <v>34</v>
      </c>
      <c r="M1931" t="s">
        <v>71</v>
      </c>
      <c r="N1931" t="s">
        <v>164</v>
      </c>
      <c r="O1931" t="s">
        <v>7232</v>
      </c>
      <c r="P1931" t="s">
        <v>38</v>
      </c>
      <c r="Q1931" t="s">
        <v>39</v>
      </c>
      <c r="R1931">
        <v>3</v>
      </c>
      <c r="S1931" t="s">
        <v>39</v>
      </c>
      <c r="T1931">
        <v>9</v>
      </c>
      <c r="U1931">
        <v>2</v>
      </c>
      <c r="V1931">
        <v>10.199999999999999</v>
      </c>
      <c r="W1931" t="s">
        <v>38</v>
      </c>
      <c r="X1931" t="s">
        <v>40</v>
      </c>
      <c r="Y1931" t="s">
        <v>38</v>
      </c>
      <c r="Z1931" t="s">
        <v>115</v>
      </c>
      <c r="AA1931" t="s">
        <v>109</v>
      </c>
      <c r="AB1931" t="s">
        <v>83</v>
      </c>
      <c r="AC1931">
        <f t="shared" si="330"/>
        <v>0</v>
      </c>
      <c r="AD1931" s="12">
        <f t="shared" si="334"/>
        <v>0</v>
      </c>
      <c r="AE1931" s="12">
        <f t="shared" si="335"/>
        <v>0</v>
      </c>
      <c r="AF1931">
        <f t="shared" si="331"/>
        <v>0</v>
      </c>
      <c r="AG1931">
        <f t="shared" si="336"/>
        <v>1</v>
      </c>
      <c r="AH1931">
        <f t="shared" si="337"/>
        <v>0</v>
      </c>
      <c r="AI1931">
        <f t="shared" si="338"/>
        <v>0</v>
      </c>
      <c r="AJ1931">
        <f t="shared" si="339"/>
        <v>1</v>
      </c>
      <c r="AK1931">
        <f t="shared" si="332"/>
        <v>0</v>
      </c>
      <c r="AL1931">
        <f t="shared" si="340"/>
        <v>1</v>
      </c>
    </row>
    <row r="1932" spans="1:38">
      <c r="A1932" t="s">
        <v>5923</v>
      </c>
      <c r="B1932" t="s">
        <v>5924</v>
      </c>
      <c r="C1932" s="1">
        <f t="shared" si="333"/>
        <v>45505</v>
      </c>
      <c r="D1932" t="s">
        <v>5925</v>
      </c>
      <c r="E1932">
        <v>292.5</v>
      </c>
      <c r="F1932">
        <v>12.2</v>
      </c>
      <c r="G1932" t="s">
        <v>77</v>
      </c>
      <c r="H1932" t="s">
        <v>244</v>
      </c>
      <c r="I1932" t="s">
        <v>79</v>
      </c>
      <c r="J1932">
        <v>360</v>
      </c>
      <c r="K1932" t="s">
        <v>49</v>
      </c>
      <c r="L1932" t="s">
        <v>70</v>
      </c>
      <c r="M1932" t="s">
        <v>35</v>
      </c>
      <c r="N1932" t="s">
        <v>164</v>
      </c>
      <c r="O1932" t="s">
        <v>37</v>
      </c>
      <c r="P1932" t="s">
        <v>39</v>
      </c>
      <c r="Q1932" t="s">
        <v>38</v>
      </c>
      <c r="R1932">
        <v>0</v>
      </c>
      <c r="S1932" t="s">
        <v>38</v>
      </c>
      <c r="T1932">
        <v>10</v>
      </c>
      <c r="U1932">
        <v>0.5</v>
      </c>
      <c r="V1932">
        <v>26.6</v>
      </c>
      <c r="W1932" t="s">
        <v>39</v>
      </c>
      <c r="X1932" t="s">
        <v>52</v>
      </c>
      <c r="Y1932" t="s">
        <v>38</v>
      </c>
      <c r="Z1932" t="s">
        <v>115</v>
      </c>
      <c r="AA1932" t="s">
        <v>54</v>
      </c>
      <c r="AB1932" t="s">
        <v>83</v>
      </c>
      <c r="AC1932">
        <f t="shared" si="330"/>
        <v>1</v>
      </c>
      <c r="AD1932" s="12">
        <f t="shared" si="334"/>
        <v>0</v>
      </c>
      <c r="AE1932" s="12">
        <f t="shared" si="335"/>
        <v>0</v>
      </c>
      <c r="AF1932">
        <f t="shared" si="331"/>
        <v>0</v>
      </c>
      <c r="AG1932">
        <f t="shared" si="336"/>
        <v>0</v>
      </c>
      <c r="AH1932">
        <f t="shared" si="337"/>
        <v>0</v>
      </c>
      <c r="AI1932">
        <f t="shared" si="338"/>
        <v>0</v>
      </c>
      <c r="AJ1932">
        <f t="shared" si="339"/>
        <v>0</v>
      </c>
      <c r="AK1932">
        <f t="shared" si="332"/>
        <v>0</v>
      </c>
      <c r="AL1932">
        <f t="shared" si="340"/>
        <v>1</v>
      </c>
    </row>
    <row r="1933" spans="1:38">
      <c r="A1933" t="s">
        <v>5926</v>
      </c>
      <c r="B1933" t="s">
        <v>5927</v>
      </c>
      <c r="C1933" s="1">
        <f t="shared" si="333"/>
        <v>45627</v>
      </c>
      <c r="D1933" t="s">
        <v>5928</v>
      </c>
      <c r="E1933">
        <v>38.6</v>
      </c>
      <c r="F1933">
        <v>1.6</v>
      </c>
      <c r="G1933" t="s">
        <v>59</v>
      </c>
      <c r="H1933" t="s">
        <v>466</v>
      </c>
      <c r="I1933" t="s">
        <v>95</v>
      </c>
      <c r="J1933">
        <v>48</v>
      </c>
      <c r="K1933" t="s">
        <v>49</v>
      </c>
      <c r="L1933" t="s">
        <v>133</v>
      </c>
      <c r="M1933" t="s">
        <v>35</v>
      </c>
      <c r="N1933" t="s">
        <v>155</v>
      </c>
      <c r="O1933" t="s">
        <v>37</v>
      </c>
      <c r="P1933" t="s">
        <v>39</v>
      </c>
      <c r="Q1933" t="s">
        <v>38</v>
      </c>
      <c r="R1933">
        <v>0</v>
      </c>
      <c r="S1933" t="s">
        <v>38</v>
      </c>
      <c r="T1933">
        <v>10</v>
      </c>
      <c r="U1933">
        <v>3.3</v>
      </c>
      <c r="V1933">
        <v>1.8</v>
      </c>
      <c r="W1933" t="s">
        <v>38</v>
      </c>
      <c r="X1933" t="s">
        <v>63</v>
      </c>
      <c r="Y1933" t="s">
        <v>39</v>
      </c>
      <c r="Z1933" t="s">
        <v>81</v>
      </c>
      <c r="AA1933" t="s">
        <v>82</v>
      </c>
      <c r="AB1933" t="s">
        <v>55</v>
      </c>
      <c r="AC1933">
        <f t="shared" si="330"/>
        <v>0</v>
      </c>
      <c r="AD1933" s="12">
        <f t="shared" si="334"/>
        <v>1</v>
      </c>
      <c r="AE1933" s="12">
        <f t="shared" si="335"/>
        <v>0</v>
      </c>
      <c r="AF1933">
        <f t="shared" si="331"/>
        <v>0</v>
      </c>
      <c r="AG1933">
        <f t="shared" si="336"/>
        <v>0</v>
      </c>
      <c r="AH1933">
        <f t="shared" si="337"/>
        <v>0</v>
      </c>
      <c r="AI1933">
        <f t="shared" si="338"/>
        <v>1</v>
      </c>
      <c r="AJ1933">
        <f t="shared" si="339"/>
        <v>0</v>
      </c>
      <c r="AK1933">
        <f t="shared" si="332"/>
        <v>0</v>
      </c>
      <c r="AL1933">
        <f t="shared" si="340"/>
        <v>0</v>
      </c>
    </row>
    <row r="1934" spans="1:38">
      <c r="A1934" t="s">
        <v>5929</v>
      </c>
      <c r="B1934" t="s">
        <v>5930</v>
      </c>
      <c r="C1934" s="1">
        <f t="shared" si="333"/>
        <v>45383</v>
      </c>
      <c r="D1934" t="s">
        <v>5931</v>
      </c>
      <c r="E1934">
        <v>308.89999999999998</v>
      </c>
      <c r="F1934">
        <v>12.9</v>
      </c>
      <c r="G1934" t="s">
        <v>59</v>
      </c>
      <c r="H1934" t="s">
        <v>466</v>
      </c>
      <c r="I1934" t="s">
        <v>32</v>
      </c>
      <c r="J1934">
        <v>240</v>
      </c>
      <c r="K1934" t="s">
        <v>33</v>
      </c>
      <c r="L1934" t="s">
        <v>96</v>
      </c>
      <c r="M1934" t="s">
        <v>35</v>
      </c>
      <c r="N1934" t="s">
        <v>107</v>
      </c>
      <c r="O1934" t="s">
        <v>37</v>
      </c>
      <c r="P1934" t="s">
        <v>38</v>
      </c>
      <c r="Q1934" t="s">
        <v>38</v>
      </c>
      <c r="R1934">
        <v>1</v>
      </c>
      <c r="S1934" t="s">
        <v>38</v>
      </c>
      <c r="T1934">
        <v>6</v>
      </c>
      <c r="U1934">
        <v>0.1</v>
      </c>
      <c r="V1934">
        <v>18.5</v>
      </c>
      <c r="W1934" t="s">
        <v>39</v>
      </c>
      <c r="X1934" t="s">
        <v>52</v>
      </c>
      <c r="Y1934" t="s">
        <v>39</v>
      </c>
      <c r="Z1934" t="s">
        <v>81</v>
      </c>
      <c r="AA1934" t="s">
        <v>42</v>
      </c>
      <c r="AB1934" t="s">
        <v>83</v>
      </c>
      <c r="AC1934">
        <f t="shared" si="330"/>
        <v>1</v>
      </c>
      <c r="AD1934" s="12">
        <f t="shared" si="334"/>
        <v>0</v>
      </c>
      <c r="AE1934" s="12">
        <f t="shared" si="335"/>
        <v>0</v>
      </c>
      <c r="AF1934">
        <f t="shared" si="331"/>
        <v>0</v>
      </c>
      <c r="AG1934">
        <f t="shared" si="336"/>
        <v>0</v>
      </c>
      <c r="AH1934">
        <f t="shared" si="337"/>
        <v>0</v>
      </c>
      <c r="AI1934">
        <f t="shared" si="338"/>
        <v>0</v>
      </c>
      <c r="AJ1934">
        <f t="shared" si="339"/>
        <v>1</v>
      </c>
      <c r="AK1934">
        <f t="shared" si="332"/>
        <v>0</v>
      </c>
      <c r="AL1934">
        <f t="shared" si="340"/>
        <v>0</v>
      </c>
    </row>
    <row r="1935" spans="1:38">
      <c r="A1935" t="s">
        <v>5932</v>
      </c>
      <c r="B1935" t="s">
        <v>5933</v>
      </c>
      <c r="C1935" s="1">
        <f t="shared" si="333"/>
        <v>45413</v>
      </c>
      <c r="D1935" t="s">
        <v>5934</v>
      </c>
      <c r="E1935">
        <v>220.8</v>
      </c>
      <c r="F1935">
        <v>9.1999999999999993</v>
      </c>
      <c r="G1935" t="s">
        <v>68</v>
      </c>
      <c r="H1935" t="s">
        <v>212</v>
      </c>
      <c r="I1935" t="s">
        <v>32</v>
      </c>
      <c r="J1935">
        <v>240</v>
      </c>
      <c r="K1935" t="s">
        <v>49</v>
      </c>
      <c r="L1935" t="s">
        <v>96</v>
      </c>
      <c r="M1935" t="s">
        <v>35</v>
      </c>
      <c r="N1935" t="s">
        <v>506</v>
      </c>
      <c r="O1935" t="s">
        <v>37</v>
      </c>
      <c r="P1935" t="s">
        <v>38</v>
      </c>
      <c r="Q1935" t="s">
        <v>38</v>
      </c>
      <c r="R1935">
        <v>1</v>
      </c>
      <c r="S1935" t="s">
        <v>38</v>
      </c>
      <c r="T1935">
        <v>8</v>
      </c>
      <c r="U1935">
        <v>1</v>
      </c>
      <c r="V1935">
        <v>23.8</v>
      </c>
      <c r="W1935" t="s">
        <v>38</v>
      </c>
      <c r="X1935" t="s">
        <v>52</v>
      </c>
      <c r="Y1935" t="s">
        <v>38</v>
      </c>
      <c r="Z1935" t="s">
        <v>41</v>
      </c>
      <c r="AA1935" t="s">
        <v>103</v>
      </c>
      <c r="AB1935" t="s">
        <v>55</v>
      </c>
      <c r="AC1935">
        <f t="shared" si="330"/>
        <v>1</v>
      </c>
      <c r="AD1935" s="12">
        <f t="shared" si="334"/>
        <v>0</v>
      </c>
      <c r="AE1935" s="12">
        <f t="shared" si="335"/>
        <v>0</v>
      </c>
      <c r="AF1935">
        <f t="shared" si="331"/>
        <v>0</v>
      </c>
      <c r="AG1935">
        <f t="shared" si="336"/>
        <v>0</v>
      </c>
      <c r="AH1935">
        <f t="shared" si="337"/>
        <v>0</v>
      </c>
      <c r="AI1935">
        <f t="shared" si="338"/>
        <v>0</v>
      </c>
      <c r="AJ1935">
        <f t="shared" si="339"/>
        <v>1</v>
      </c>
      <c r="AK1935">
        <f t="shared" si="332"/>
        <v>0</v>
      </c>
      <c r="AL1935">
        <f t="shared" si="340"/>
        <v>1</v>
      </c>
    </row>
    <row r="1936" spans="1:38">
      <c r="A1936" t="s">
        <v>5935</v>
      </c>
      <c r="B1936" t="s">
        <v>5936</v>
      </c>
      <c r="C1936" s="1">
        <f t="shared" si="333"/>
        <v>45444</v>
      </c>
      <c r="D1936" t="s">
        <v>5937</v>
      </c>
      <c r="E1936">
        <v>168.6</v>
      </c>
      <c r="F1936">
        <v>7</v>
      </c>
      <c r="G1936" t="s">
        <v>87</v>
      </c>
      <c r="H1936" t="s">
        <v>88</v>
      </c>
      <c r="I1936" t="s">
        <v>32</v>
      </c>
      <c r="J1936">
        <v>240</v>
      </c>
      <c r="K1936" t="s">
        <v>49</v>
      </c>
      <c r="L1936" t="s">
        <v>34</v>
      </c>
      <c r="M1936" t="s">
        <v>71</v>
      </c>
      <c r="N1936" t="s">
        <v>506</v>
      </c>
      <c r="O1936" t="s">
        <v>37</v>
      </c>
      <c r="P1936" t="s">
        <v>38</v>
      </c>
      <c r="Q1936" t="s">
        <v>39</v>
      </c>
      <c r="R1936">
        <v>3</v>
      </c>
      <c r="S1936" t="s">
        <v>38</v>
      </c>
      <c r="T1936">
        <v>10</v>
      </c>
      <c r="U1936">
        <v>1.4</v>
      </c>
      <c r="V1936">
        <v>18.7</v>
      </c>
      <c r="W1936" t="s">
        <v>39</v>
      </c>
      <c r="X1936" t="s">
        <v>123</v>
      </c>
      <c r="Y1936" t="s">
        <v>39</v>
      </c>
      <c r="Z1936" t="s">
        <v>53</v>
      </c>
      <c r="AA1936" t="s">
        <v>82</v>
      </c>
      <c r="AB1936" t="s">
        <v>43</v>
      </c>
      <c r="AC1936">
        <f t="shared" si="330"/>
        <v>0</v>
      </c>
      <c r="AD1936" s="12">
        <f t="shared" si="334"/>
        <v>0</v>
      </c>
      <c r="AE1936" s="12">
        <f t="shared" si="335"/>
        <v>1</v>
      </c>
      <c r="AF1936">
        <f t="shared" si="331"/>
        <v>0</v>
      </c>
      <c r="AG1936">
        <f t="shared" si="336"/>
        <v>0</v>
      </c>
      <c r="AH1936">
        <f t="shared" si="337"/>
        <v>0</v>
      </c>
      <c r="AI1936">
        <f t="shared" si="338"/>
        <v>0</v>
      </c>
      <c r="AJ1936">
        <f t="shared" si="339"/>
        <v>1</v>
      </c>
      <c r="AK1936">
        <f t="shared" si="332"/>
        <v>0</v>
      </c>
      <c r="AL1936">
        <f t="shared" si="340"/>
        <v>0</v>
      </c>
    </row>
    <row r="1937" spans="1:38">
      <c r="A1937" t="s">
        <v>5938</v>
      </c>
      <c r="B1937" t="s">
        <v>5939</v>
      </c>
      <c r="C1937" s="1">
        <f t="shared" si="333"/>
        <v>45597</v>
      </c>
      <c r="D1937" t="s">
        <v>5940</v>
      </c>
      <c r="E1937">
        <v>73.900000000000006</v>
      </c>
      <c r="F1937">
        <v>3.1</v>
      </c>
      <c r="G1937" t="s">
        <v>59</v>
      </c>
      <c r="H1937" t="s">
        <v>227</v>
      </c>
      <c r="I1937" t="s">
        <v>48</v>
      </c>
      <c r="J1937">
        <v>120</v>
      </c>
      <c r="K1937" t="s">
        <v>49</v>
      </c>
      <c r="L1937" t="s">
        <v>70</v>
      </c>
      <c r="M1937" t="s">
        <v>71</v>
      </c>
      <c r="N1937" t="s">
        <v>192</v>
      </c>
      <c r="O1937" t="s">
        <v>7232</v>
      </c>
      <c r="P1937" t="s">
        <v>38</v>
      </c>
      <c r="Q1937" t="s">
        <v>39</v>
      </c>
      <c r="R1937">
        <v>3</v>
      </c>
      <c r="S1937" t="s">
        <v>38</v>
      </c>
      <c r="T1937">
        <v>8</v>
      </c>
      <c r="U1937">
        <v>3.5</v>
      </c>
      <c r="V1937">
        <v>17.100000000000001</v>
      </c>
      <c r="W1937" t="s">
        <v>38</v>
      </c>
      <c r="X1937" t="s">
        <v>63</v>
      </c>
      <c r="Y1937" t="s">
        <v>39</v>
      </c>
      <c r="Z1937" t="s">
        <v>64</v>
      </c>
      <c r="AA1937" t="s">
        <v>54</v>
      </c>
      <c r="AB1937" t="s">
        <v>83</v>
      </c>
      <c r="AC1937">
        <f t="shared" si="330"/>
        <v>0</v>
      </c>
      <c r="AD1937" s="12">
        <f t="shared" si="334"/>
        <v>1</v>
      </c>
      <c r="AE1937" s="12">
        <f t="shared" si="335"/>
        <v>0</v>
      </c>
      <c r="AF1937">
        <f t="shared" si="331"/>
        <v>0</v>
      </c>
      <c r="AG1937">
        <f t="shared" si="336"/>
        <v>1</v>
      </c>
      <c r="AH1937">
        <f t="shared" si="337"/>
        <v>1</v>
      </c>
      <c r="AI1937">
        <f t="shared" si="338"/>
        <v>0</v>
      </c>
      <c r="AJ1937">
        <f t="shared" si="339"/>
        <v>0</v>
      </c>
      <c r="AK1937">
        <f t="shared" si="332"/>
        <v>0</v>
      </c>
      <c r="AL1937">
        <f t="shared" si="340"/>
        <v>0</v>
      </c>
    </row>
    <row r="1938" spans="1:38">
      <c r="A1938" t="s">
        <v>5941</v>
      </c>
      <c r="B1938" t="s">
        <v>5942</v>
      </c>
      <c r="C1938" s="1">
        <f t="shared" si="333"/>
        <v>45444</v>
      </c>
      <c r="D1938" t="s">
        <v>5943</v>
      </c>
      <c r="E1938">
        <v>422.2</v>
      </c>
      <c r="F1938">
        <v>17.600000000000001</v>
      </c>
      <c r="G1938" t="s">
        <v>30</v>
      </c>
      <c r="H1938" t="s">
        <v>159</v>
      </c>
      <c r="I1938" t="s">
        <v>79</v>
      </c>
      <c r="J1938">
        <v>360</v>
      </c>
      <c r="K1938" t="s">
        <v>33</v>
      </c>
      <c r="L1938" t="s">
        <v>113</v>
      </c>
      <c r="M1938" t="s">
        <v>35</v>
      </c>
      <c r="N1938" t="s">
        <v>202</v>
      </c>
      <c r="O1938" t="s">
        <v>7232</v>
      </c>
      <c r="P1938" t="s">
        <v>38</v>
      </c>
      <c r="Q1938" t="s">
        <v>38</v>
      </c>
      <c r="R1938">
        <v>1</v>
      </c>
      <c r="S1938" t="s">
        <v>38</v>
      </c>
      <c r="T1938">
        <v>6</v>
      </c>
      <c r="U1938">
        <v>1.4</v>
      </c>
      <c r="V1938">
        <v>16.5</v>
      </c>
      <c r="W1938" t="s">
        <v>39</v>
      </c>
      <c r="X1938" t="s">
        <v>123</v>
      </c>
      <c r="Y1938" t="s">
        <v>38</v>
      </c>
      <c r="Z1938" t="s">
        <v>81</v>
      </c>
      <c r="AA1938" t="s">
        <v>109</v>
      </c>
      <c r="AB1938" t="s">
        <v>55</v>
      </c>
      <c r="AC1938">
        <f t="shared" si="330"/>
        <v>0</v>
      </c>
      <c r="AD1938" s="12">
        <f t="shared" si="334"/>
        <v>0</v>
      </c>
      <c r="AE1938" s="12">
        <f t="shared" si="335"/>
        <v>1</v>
      </c>
      <c r="AF1938">
        <f t="shared" si="331"/>
        <v>0</v>
      </c>
      <c r="AG1938">
        <f t="shared" si="336"/>
        <v>1</v>
      </c>
      <c r="AH1938">
        <f t="shared" si="337"/>
        <v>0</v>
      </c>
      <c r="AI1938">
        <f t="shared" si="338"/>
        <v>0</v>
      </c>
      <c r="AJ1938">
        <f t="shared" si="339"/>
        <v>0</v>
      </c>
      <c r="AK1938">
        <f t="shared" si="332"/>
        <v>1</v>
      </c>
      <c r="AL1938">
        <f t="shared" si="340"/>
        <v>1</v>
      </c>
    </row>
    <row r="1939" spans="1:38">
      <c r="A1939" t="s">
        <v>5944</v>
      </c>
      <c r="B1939" t="s">
        <v>5945</v>
      </c>
      <c r="C1939" s="1">
        <f t="shared" si="333"/>
        <v>45444</v>
      </c>
      <c r="D1939" t="s">
        <v>5946</v>
      </c>
      <c r="E1939">
        <v>171.4</v>
      </c>
      <c r="F1939">
        <v>7.1</v>
      </c>
      <c r="G1939" t="s">
        <v>77</v>
      </c>
      <c r="H1939" t="s">
        <v>244</v>
      </c>
      <c r="I1939" t="s">
        <v>32</v>
      </c>
      <c r="J1939">
        <v>240</v>
      </c>
      <c r="K1939" t="s">
        <v>49</v>
      </c>
      <c r="L1939" t="s">
        <v>96</v>
      </c>
      <c r="M1939" t="s">
        <v>35</v>
      </c>
      <c r="N1939" t="s">
        <v>202</v>
      </c>
      <c r="O1939" t="s">
        <v>7232</v>
      </c>
      <c r="P1939" t="s">
        <v>38</v>
      </c>
      <c r="Q1939" t="s">
        <v>38</v>
      </c>
      <c r="R1939">
        <v>1</v>
      </c>
      <c r="S1939" t="s">
        <v>39</v>
      </c>
      <c r="T1939">
        <v>10</v>
      </c>
      <c r="U1939">
        <v>0.6</v>
      </c>
      <c r="V1939">
        <v>10.5</v>
      </c>
      <c r="W1939" t="s">
        <v>39</v>
      </c>
      <c r="X1939" t="s">
        <v>123</v>
      </c>
      <c r="Y1939" t="s">
        <v>39</v>
      </c>
      <c r="Z1939" t="s">
        <v>179</v>
      </c>
      <c r="AA1939" t="s">
        <v>103</v>
      </c>
      <c r="AB1939" t="s">
        <v>83</v>
      </c>
      <c r="AC1939">
        <f t="shared" si="330"/>
        <v>0</v>
      </c>
      <c r="AD1939" s="12">
        <f t="shared" si="334"/>
        <v>0</v>
      </c>
      <c r="AE1939" s="12">
        <f t="shared" si="335"/>
        <v>1</v>
      </c>
      <c r="AF1939">
        <f t="shared" si="331"/>
        <v>0</v>
      </c>
      <c r="AG1939">
        <f t="shared" si="336"/>
        <v>1</v>
      </c>
      <c r="AH1939">
        <f t="shared" si="337"/>
        <v>0</v>
      </c>
      <c r="AI1939">
        <f t="shared" si="338"/>
        <v>0</v>
      </c>
      <c r="AJ1939">
        <f t="shared" si="339"/>
        <v>1</v>
      </c>
      <c r="AK1939">
        <f t="shared" si="332"/>
        <v>0</v>
      </c>
      <c r="AL1939">
        <f t="shared" si="340"/>
        <v>0</v>
      </c>
    </row>
    <row r="1940" spans="1:38">
      <c r="A1940" t="s">
        <v>5947</v>
      </c>
      <c r="B1940" t="s">
        <v>5948</v>
      </c>
      <c r="C1940" s="1">
        <f t="shared" si="333"/>
        <v>45505</v>
      </c>
      <c r="D1940" t="s">
        <v>5949</v>
      </c>
      <c r="E1940">
        <v>198.4</v>
      </c>
      <c r="F1940">
        <v>8.3000000000000007</v>
      </c>
      <c r="G1940" t="s">
        <v>77</v>
      </c>
      <c r="H1940" t="s">
        <v>78</v>
      </c>
      <c r="I1940" t="s">
        <v>32</v>
      </c>
      <c r="J1940">
        <v>240</v>
      </c>
      <c r="K1940" t="s">
        <v>49</v>
      </c>
      <c r="L1940" t="s">
        <v>34</v>
      </c>
      <c r="M1940" t="s">
        <v>35</v>
      </c>
      <c r="N1940" t="s">
        <v>61</v>
      </c>
      <c r="O1940" t="s">
        <v>37</v>
      </c>
      <c r="P1940" t="s">
        <v>39</v>
      </c>
      <c r="Q1940" t="s">
        <v>38</v>
      </c>
      <c r="R1940">
        <v>0</v>
      </c>
      <c r="S1940" t="s">
        <v>38</v>
      </c>
      <c r="T1940">
        <v>7</v>
      </c>
      <c r="U1940">
        <v>0.1</v>
      </c>
      <c r="V1940">
        <v>13.8</v>
      </c>
      <c r="W1940" t="s">
        <v>38</v>
      </c>
      <c r="X1940" t="s">
        <v>63</v>
      </c>
      <c r="Y1940" t="s">
        <v>39</v>
      </c>
      <c r="Z1940" t="s">
        <v>64</v>
      </c>
      <c r="AA1940" t="s">
        <v>82</v>
      </c>
      <c r="AB1940" t="s">
        <v>55</v>
      </c>
      <c r="AC1940">
        <f t="shared" si="330"/>
        <v>0</v>
      </c>
      <c r="AD1940" s="12">
        <f t="shared" si="334"/>
        <v>1</v>
      </c>
      <c r="AE1940" s="12">
        <f t="shared" si="335"/>
        <v>0</v>
      </c>
      <c r="AF1940">
        <f t="shared" si="331"/>
        <v>0</v>
      </c>
      <c r="AG1940">
        <f t="shared" si="336"/>
        <v>0</v>
      </c>
      <c r="AH1940">
        <f t="shared" si="337"/>
        <v>0</v>
      </c>
      <c r="AI1940">
        <f t="shared" si="338"/>
        <v>0</v>
      </c>
      <c r="AJ1940">
        <f t="shared" si="339"/>
        <v>1</v>
      </c>
      <c r="AK1940">
        <f t="shared" si="332"/>
        <v>0</v>
      </c>
      <c r="AL1940">
        <f t="shared" si="340"/>
        <v>0</v>
      </c>
    </row>
    <row r="1941" spans="1:38">
      <c r="A1941" t="s">
        <v>5950</v>
      </c>
      <c r="B1941" t="s">
        <v>5951</v>
      </c>
      <c r="C1941" s="1">
        <f t="shared" si="333"/>
        <v>45505</v>
      </c>
      <c r="D1941" t="s">
        <v>5952</v>
      </c>
      <c r="E1941">
        <v>292</v>
      </c>
      <c r="F1941">
        <v>12.2</v>
      </c>
      <c r="G1941" t="s">
        <v>77</v>
      </c>
      <c r="H1941" t="s">
        <v>187</v>
      </c>
      <c r="I1941" t="s">
        <v>79</v>
      </c>
      <c r="J1941">
        <v>360</v>
      </c>
      <c r="K1941" t="s">
        <v>49</v>
      </c>
      <c r="L1941" t="s">
        <v>34</v>
      </c>
      <c r="M1941" t="s">
        <v>35</v>
      </c>
      <c r="N1941" t="s">
        <v>299</v>
      </c>
      <c r="O1941" t="s">
        <v>37</v>
      </c>
      <c r="P1941" t="s">
        <v>39</v>
      </c>
      <c r="Q1941" t="s">
        <v>38</v>
      </c>
      <c r="R1941">
        <v>0</v>
      </c>
      <c r="S1941" t="s">
        <v>38</v>
      </c>
      <c r="T1941">
        <v>9</v>
      </c>
      <c r="U1941">
        <v>2.8</v>
      </c>
      <c r="V1941">
        <v>23.5</v>
      </c>
      <c r="W1941" t="s">
        <v>39</v>
      </c>
      <c r="X1941" t="s">
        <v>123</v>
      </c>
      <c r="Y1941" t="s">
        <v>39</v>
      </c>
      <c r="Z1941" t="s">
        <v>73</v>
      </c>
      <c r="AA1941" t="s">
        <v>82</v>
      </c>
      <c r="AB1941" t="s">
        <v>43</v>
      </c>
      <c r="AC1941">
        <f t="shared" si="330"/>
        <v>0</v>
      </c>
      <c r="AD1941" s="12">
        <f t="shared" si="334"/>
        <v>0</v>
      </c>
      <c r="AE1941" s="12">
        <f t="shared" si="335"/>
        <v>1</v>
      </c>
      <c r="AF1941">
        <f t="shared" si="331"/>
        <v>0</v>
      </c>
      <c r="AG1941">
        <f t="shared" si="336"/>
        <v>0</v>
      </c>
      <c r="AH1941">
        <f t="shared" si="337"/>
        <v>0</v>
      </c>
      <c r="AI1941">
        <f t="shared" si="338"/>
        <v>0</v>
      </c>
      <c r="AJ1941">
        <f t="shared" si="339"/>
        <v>0</v>
      </c>
      <c r="AK1941">
        <f t="shared" si="332"/>
        <v>0</v>
      </c>
      <c r="AL1941">
        <f t="shared" si="340"/>
        <v>0</v>
      </c>
    </row>
    <row r="1942" spans="1:38">
      <c r="A1942" t="s">
        <v>5953</v>
      </c>
      <c r="B1942" t="s">
        <v>5954</v>
      </c>
      <c r="C1942" s="1">
        <f t="shared" si="333"/>
        <v>45505</v>
      </c>
      <c r="D1942" t="s">
        <v>5955</v>
      </c>
      <c r="E1942">
        <v>317.7</v>
      </c>
      <c r="F1942">
        <v>13.2</v>
      </c>
      <c r="G1942" t="s">
        <v>77</v>
      </c>
      <c r="H1942" t="s">
        <v>78</v>
      </c>
      <c r="I1942" t="s">
        <v>79</v>
      </c>
      <c r="J1942">
        <v>360</v>
      </c>
      <c r="K1942" t="s">
        <v>49</v>
      </c>
      <c r="L1942" t="s">
        <v>70</v>
      </c>
      <c r="M1942" t="s">
        <v>35</v>
      </c>
      <c r="N1942" t="s">
        <v>414</v>
      </c>
      <c r="O1942" t="s">
        <v>51</v>
      </c>
      <c r="P1942" t="s">
        <v>39</v>
      </c>
      <c r="Q1942" t="s">
        <v>38</v>
      </c>
      <c r="R1942">
        <v>0</v>
      </c>
      <c r="S1942" t="s">
        <v>38</v>
      </c>
      <c r="T1942">
        <v>9</v>
      </c>
      <c r="U1942">
        <v>0.1</v>
      </c>
      <c r="V1942">
        <v>26</v>
      </c>
      <c r="W1942" t="s">
        <v>39</v>
      </c>
      <c r="X1942" t="s">
        <v>63</v>
      </c>
      <c r="Y1942" t="s">
        <v>39</v>
      </c>
      <c r="Z1942" t="s">
        <v>115</v>
      </c>
      <c r="AA1942" t="s">
        <v>54</v>
      </c>
      <c r="AB1942" t="s">
        <v>55</v>
      </c>
      <c r="AC1942">
        <f t="shared" si="330"/>
        <v>0</v>
      </c>
      <c r="AD1942" s="12">
        <f t="shared" si="334"/>
        <v>1</v>
      </c>
      <c r="AE1942" s="12">
        <f t="shared" si="335"/>
        <v>0</v>
      </c>
      <c r="AF1942">
        <f t="shared" si="331"/>
        <v>1</v>
      </c>
      <c r="AG1942">
        <f t="shared" si="336"/>
        <v>0</v>
      </c>
      <c r="AH1942">
        <f t="shared" si="337"/>
        <v>0</v>
      </c>
      <c r="AI1942">
        <f t="shared" si="338"/>
        <v>0</v>
      </c>
      <c r="AJ1942">
        <f t="shared" si="339"/>
        <v>0</v>
      </c>
      <c r="AK1942">
        <f t="shared" si="332"/>
        <v>0</v>
      </c>
      <c r="AL1942">
        <f t="shared" si="340"/>
        <v>0</v>
      </c>
    </row>
    <row r="1943" spans="1:38">
      <c r="A1943" t="s">
        <v>5956</v>
      </c>
      <c r="B1943" t="s">
        <v>5957</v>
      </c>
      <c r="C1943" s="1">
        <f t="shared" si="333"/>
        <v>45413</v>
      </c>
      <c r="D1943" t="s">
        <v>5958</v>
      </c>
      <c r="E1943">
        <v>314.10000000000002</v>
      </c>
      <c r="F1943">
        <v>13.1</v>
      </c>
      <c r="G1943" t="s">
        <v>77</v>
      </c>
      <c r="H1943" t="s">
        <v>78</v>
      </c>
      <c r="I1943" t="s">
        <v>79</v>
      </c>
      <c r="J1943">
        <v>360</v>
      </c>
      <c r="K1943" t="s">
        <v>49</v>
      </c>
      <c r="L1943" t="s">
        <v>70</v>
      </c>
      <c r="M1943" t="s">
        <v>35</v>
      </c>
      <c r="N1943" t="s">
        <v>202</v>
      </c>
      <c r="O1943" t="s">
        <v>37</v>
      </c>
      <c r="P1943" t="s">
        <v>39</v>
      </c>
      <c r="Q1943" t="s">
        <v>38</v>
      </c>
      <c r="R1943">
        <v>0</v>
      </c>
      <c r="S1943" t="s">
        <v>38</v>
      </c>
      <c r="T1943">
        <v>10</v>
      </c>
      <c r="U1943">
        <v>0.7</v>
      </c>
      <c r="V1943">
        <v>21.1</v>
      </c>
      <c r="W1943" t="s">
        <v>39</v>
      </c>
      <c r="X1943" t="s">
        <v>63</v>
      </c>
      <c r="Y1943" t="s">
        <v>38</v>
      </c>
      <c r="Z1943" t="s">
        <v>53</v>
      </c>
      <c r="AA1943" t="s">
        <v>54</v>
      </c>
      <c r="AB1943" t="s">
        <v>55</v>
      </c>
      <c r="AC1943">
        <f t="shared" si="330"/>
        <v>0</v>
      </c>
      <c r="AD1943" s="12">
        <f t="shared" si="334"/>
        <v>1</v>
      </c>
      <c r="AE1943" s="12">
        <f t="shared" si="335"/>
        <v>0</v>
      </c>
      <c r="AF1943">
        <f t="shared" si="331"/>
        <v>0</v>
      </c>
      <c r="AG1943">
        <f t="shared" si="336"/>
        <v>0</v>
      </c>
      <c r="AH1943">
        <f t="shared" si="337"/>
        <v>0</v>
      </c>
      <c r="AI1943">
        <f t="shared" si="338"/>
        <v>0</v>
      </c>
      <c r="AJ1943">
        <f t="shared" si="339"/>
        <v>0</v>
      </c>
      <c r="AK1943">
        <f t="shared" si="332"/>
        <v>0</v>
      </c>
      <c r="AL1943">
        <f t="shared" si="340"/>
        <v>1</v>
      </c>
    </row>
    <row r="1944" spans="1:38">
      <c r="A1944" t="s">
        <v>5959</v>
      </c>
      <c r="B1944" t="s">
        <v>5960</v>
      </c>
      <c r="C1944" s="1">
        <f t="shared" si="333"/>
        <v>45413</v>
      </c>
      <c r="D1944" t="s">
        <v>5961</v>
      </c>
      <c r="E1944">
        <v>536.1</v>
      </c>
      <c r="F1944">
        <v>22.3</v>
      </c>
      <c r="G1944" t="s">
        <v>77</v>
      </c>
      <c r="H1944" t="s">
        <v>187</v>
      </c>
      <c r="I1944" t="s">
        <v>32</v>
      </c>
      <c r="J1944">
        <v>240</v>
      </c>
      <c r="K1944" t="s">
        <v>33</v>
      </c>
      <c r="L1944" t="s">
        <v>34</v>
      </c>
      <c r="M1944" t="s">
        <v>35</v>
      </c>
      <c r="N1944" t="s">
        <v>144</v>
      </c>
      <c r="O1944" t="s">
        <v>7232</v>
      </c>
      <c r="P1944" t="s">
        <v>39</v>
      </c>
      <c r="Q1944" t="s">
        <v>38</v>
      </c>
      <c r="R1944">
        <v>0</v>
      </c>
      <c r="S1944" t="s">
        <v>38</v>
      </c>
      <c r="T1944">
        <v>5</v>
      </c>
      <c r="U1944">
        <v>0.1</v>
      </c>
      <c r="V1944">
        <v>33.4</v>
      </c>
      <c r="W1944" t="s">
        <v>38</v>
      </c>
      <c r="X1944" t="s">
        <v>63</v>
      </c>
      <c r="Y1944" t="s">
        <v>39</v>
      </c>
      <c r="Z1944" t="s">
        <v>41</v>
      </c>
      <c r="AA1944" t="s">
        <v>42</v>
      </c>
      <c r="AB1944" t="s">
        <v>83</v>
      </c>
      <c r="AC1944">
        <f t="shared" si="330"/>
        <v>0</v>
      </c>
      <c r="AD1944" s="12">
        <f t="shared" si="334"/>
        <v>1</v>
      </c>
      <c r="AE1944" s="12">
        <f t="shared" si="335"/>
        <v>0</v>
      </c>
      <c r="AF1944">
        <f t="shared" si="331"/>
        <v>0</v>
      </c>
      <c r="AG1944">
        <f t="shared" si="336"/>
        <v>1</v>
      </c>
      <c r="AH1944">
        <f t="shared" si="337"/>
        <v>0</v>
      </c>
      <c r="AI1944">
        <f t="shared" si="338"/>
        <v>0</v>
      </c>
      <c r="AJ1944">
        <f t="shared" si="339"/>
        <v>1</v>
      </c>
      <c r="AK1944">
        <f t="shared" si="332"/>
        <v>0</v>
      </c>
      <c r="AL1944">
        <f t="shared" si="340"/>
        <v>0</v>
      </c>
    </row>
    <row r="1945" spans="1:38">
      <c r="A1945" t="s">
        <v>5962</v>
      </c>
      <c r="B1945" t="s">
        <v>5963</v>
      </c>
      <c r="C1945" s="1">
        <f t="shared" si="333"/>
        <v>45444</v>
      </c>
      <c r="D1945" t="s">
        <v>5964</v>
      </c>
      <c r="E1945">
        <v>103.3</v>
      </c>
      <c r="F1945">
        <v>4.3</v>
      </c>
      <c r="G1945" t="s">
        <v>142</v>
      </c>
      <c r="H1945" t="s">
        <v>260</v>
      </c>
      <c r="I1945" t="s">
        <v>48</v>
      </c>
      <c r="J1945">
        <v>120</v>
      </c>
      <c r="K1945" t="s">
        <v>49</v>
      </c>
      <c r="L1945" t="s">
        <v>96</v>
      </c>
      <c r="M1945" t="s">
        <v>35</v>
      </c>
      <c r="N1945" t="s">
        <v>164</v>
      </c>
      <c r="O1945" t="s">
        <v>51</v>
      </c>
      <c r="P1945" t="s">
        <v>38</v>
      </c>
      <c r="Q1945" t="s">
        <v>38</v>
      </c>
      <c r="R1945">
        <v>1</v>
      </c>
      <c r="S1945" t="s">
        <v>38</v>
      </c>
      <c r="T1945">
        <v>8</v>
      </c>
      <c r="U1945">
        <v>0.5</v>
      </c>
      <c r="V1945">
        <v>7.2</v>
      </c>
      <c r="W1945" t="s">
        <v>39</v>
      </c>
      <c r="X1945" t="s">
        <v>63</v>
      </c>
      <c r="Y1945" t="s">
        <v>39</v>
      </c>
      <c r="Z1945" t="s">
        <v>108</v>
      </c>
      <c r="AA1945" t="s">
        <v>103</v>
      </c>
      <c r="AB1945" t="s">
        <v>83</v>
      </c>
      <c r="AC1945">
        <f t="shared" si="330"/>
        <v>0</v>
      </c>
      <c r="AD1945" s="12">
        <f t="shared" si="334"/>
        <v>1</v>
      </c>
      <c r="AE1945" s="12">
        <f t="shared" si="335"/>
        <v>0</v>
      </c>
      <c r="AF1945">
        <f t="shared" si="331"/>
        <v>1</v>
      </c>
      <c r="AG1945">
        <f t="shared" si="336"/>
        <v>0</v>
      </c>
      <c r="AH1945">
        <f t="shared" si="337"/>
        <v>1</v>
      </c>
      <c r="AI1945">
        <f t="shared" si="338"/>
        <v>0</v>
      </c>
      <c r="AJ1945">
        <f t="shared" si="339"/>
        <v>0</v>
      </c>
      <c r="AK1945">
        <f t="shared" si="332"/>
        <v>0</v>
      </c>
      <c r="AL1945">
        <f t="shared" si="340"/>
        <v>0</v>
      </c>
    </row>
    <row r="1946" spans="1:38">
      <c r="A1946" t="s">
        <v>5965</v>
      </c>
      <c r="B1946" t="s">
        <v>5966</v>
      </c>
      <c r="C1946" s="1">
        <f t="shared" si="333"/>
        <v>45352</v>
      </c>
      <c r="D1946" t="s">
        <v>5967</v>
      </c>
      <c r="E1946">
        <v>223.1</v>
      </c>
      <c r="F1946">
        <v>9.3000000000000007</v>
      </c>
      <c r="G1946" t="s">
        <v>87</v>
      </c>
      <c r="H1946" t="s">
        <v>309</v>
      </c>
      <c r="I1946" t="s">
        <v>79</v>
      </c>
      <c r="J1946">
        <v>360</v>
      </c>
      <c r="K1946" t="s">
        <v>49</v>
      </c>
      <c r="L1946" t="s">
        <v>133</v>
      </c>
      <c r="M1946" t="s">
        <v>71</v>
      </c>
      <c r="N1946" t="s">
        <v>61</v>
      </c>
      <c r="O1946" t="s">
        <v>51</v>
      </c>
      <c r="P1946" t="s">
        <v>38</v>
      </c>
      <c r="Q1946" t="s">
        <v>39</v>
      </c>
      <c r="R1946">
        <v>2</v>
      </c>
      <c r="S1946" t="s">
        <v>38</v>
      </c>
      <c r="T1946">
        <v>9</v>
      </c>
      <c r="U1946">
        <v>4.0999999999999996</v>
      </c>
      <c r="V1946">
        <v>16.8</v>
      </c>
      <c r="W1946" t="s">
        <v>39</v>
      </c>
      <c r="X1946" t="s">
        <v>123</v>
      </c>
      <c r="Y1946" t="s">
        <v>38</v>
      </c>
      <c r="Z1946" t="s">
        <v>64</v>
      </c>
      <c r="AA1946" t="s">
        <v>109</v>
      </c>
      <c r="AB1946" t="s">
        <v>83</v>
      </c>
      <c r="AC1946">
        <f t="shared" si="330"/>
        <v>0</v>
      </c>
      <c r="AD1946" s="12">
        <f t="shared" si="334"/>
        <v>0</v>
      </c>
      <c r="AE1946" s="12">
        <f t="shared" si="335"/>
        <v>1</v>
      </c>
      <c r="AF1946">
        <f t="shared" si="331"/>
        <v>1</v>
      </c>
      <c r="AG1946">
        <f t="shared" si="336"/>
        <v>0</v>
      </c>
      <c r="AH1946">
        <f t="shared" si="337"/>
        <v>0</v>
      </c>
      <c r="AI1946">
        <f t="shared" si="338"/>
        <v>0</v>
      </c>
      <c r="AJ1946">
        <f t="shared" si="339"/>
        <v>0</v>
      </c>
      <c r="AK1946">
        <f t="shared" si="332"/>
        <v>0</v>
      </c>
      <c r="AL1946">
        <f t="shared" si="340"/>
        <v>1</v>
      </c>
    </row>
    <row r="1947" spans="1:38">
      <c r="A1947" t="s">
        <v>5968</v>
      </c>
      <c r="B1947" t="s">
        <v>5969</v>
      </c>
      <c r="C1947" s="1">
        <f t="shared" si="333"/>
        <v>45566</v>
      </c>
      <c r="D1947" t="s">
        <v>5970</v>
      </c>
      <c r="E1947">
        <v>225.1</v>
      </c>
      <c r="F1947">
        <v>9.4</v>
      </c>
      <c r="G1947" t="s">
        <v>30</v>
      </c>
      <c r="H1947" t="s">
        <v>31</v>
      </c>
      <c r="I1947" t="s">
        <v>32</v>
      </c>
      <c r="J1947">
        <v>240</v>
      </c>
      <c r="K1947" t="s">
        <v>49</v>
      </c>
      <c r="L1947" t="s">
        <v>70</v>
      </c>
      <c r="M1947" t="s">
        <v>35</v>
      </c>
      <c r="N1947" t="s">
        <v>134</v>
      </c>
      <c r="O1947" t="s">
        <v>37</v>
      </c>
      <c r="P1947" t="s">
        <v>38</v>
      </c>
      <c r="Q1947" t="s">
        <v>38</v>
      </c>
      <c r="R1947">
        <v>1</v>
      </c>
      <c r="S1947" t="s">
        <v>39</v>
      </c>
      <c r="T1947">
        <v>9</v>
      </c>
      <c r="U1947">
        <v>4.7</v>
      </c>
      <c r="V1947">
        <v>23.4</v>
      </c>
      <c r="W1947" t="s">
        <v>38</v>
      </c>
      <c r="X1947" t="s">
        <v>63</v>
      </c>
      <c r="Y1947" t="s">
        <v>39</v>
      </c>
      <c r="Z1947" t="s">
        <v>108</v>
      </c>
      <c r="AA1947" t="s">
        <v>103</v>
      </c>
      <c r="AB1947" t="s">
        <v>83</v>
      </c>
      <c r="AC1947">
        <f t="shared" si="330"/>
        <v>0</v>
      </c>
      <c r="AD1947" s="12">
        <f t="shared" si="334"/>
        <v>1</v>
      </c>
      <c r="AE1947" s="12">
        <f t="shared" si="335"/>
        <v>0</v>
      </c>
      <c r="AF1947">
        <f t="shared" si="331"/>
        <v>0</v>
      </c>
      <c r="AG1947">
        <f t="shared" si="336"/>
        <v>0</v>
      </c>
      <c r="AH1947">
        <f t="shared" si="337"/>
        <v>0</v>
      </c>
      <c r="AI1947">
        <f t="shared" si="338"/>
        <v>0</v>
      </c>
      <c r="AJ1947">
        <f t="shared" si="339"/>
        <v>1</v>
      </c>
      <c r="AK1947">
        <f t="shared" si="332"/>
        <v>1</v>
      </c>
      <c r="AL1947">
        <f t="shared" si="340"/>
        <v>0</v>
      </c>
    </row>
    <row r="1948" spans="1:38">
      <c r="A1948" t="s">
        <v>5971</v>
      </c>
      <c r="B1948" t="s">
        <v>5972</v>
      </c>
      <c r="C1948" s="1">
        <f t="shared" si="333"/>
        <v>45413</v>
      </c>
      <c r="D1948" t="s">
        <v>5973</v>
      </c>
      <c r="E1948">
        <v>203.6</v>
      </c>
      <c r="F1948">
        <v>8.5</v>
      </c>
      <c r="G1948" t="s">
        <v>30</v>
      </c>
      <c r="H1948" t="s">
        <v>47</v>
      </c>
      <c r="I1948" t="s">
        <v>32</v>
      </c>
      <c r="J1948">
        <v>240</v>
      </c>
      <c r="K1948" t="s">
        <v>49</v>
      </c>
      <c r="L1948" t="s">
        <v>96</v>
      </c>
      <c r="M1948" t="s">
        <v>35</v>
      </c>
      <c r="N1948" t="s">
        <v>97</v>
      </c>
      <c r="O1948" t="s">
        <v>37</v>
      </c>
      <c r="P1948" t="s">
        <v>39</v>
      </c>
      <c r="Q1948" t="s">
        <v>38</v>
      </c>
      <c r="R1948">
        <v>0</v>
      </c>
      <c r="S1948" t="s">
        <v>38</v>
      </c>
      <c r="T1948">
        <v>10</v>
      </c>
      <c r="U1948">
        <v>0.9</v>
      </c>
      <c r="V1948">
        <v>29.8</v>
      </c>
      <c r="W1948" t="s">
        <v>39</v>
      </c>
      <c r="X1948" t="s">
        <v>63</v>
      </c>
      <c r="Y1948" t="s">
        <v>39</v>
      </c>
      <c r="Z1948" t="s">
        <v>41</v>
      </c>
      <c r="AA1948" t="s">
        <v>109</v>
      </c>
      <c r="AB1948" t="s">
        <v>55</v>
      </c>
      <c r="AC1948">
        <f t="shared" si="330"/>
        <v>0</v>
      </c>
      <c r="AD1948" s="12">
        <f t="shared" si="334"/>
        <v>1</v>
      </c>
      <c r="AE1948" s="12">
        <f t="shared" si="335"/>
        <v>0</v>
      </c>
      <c r="AF1948">
        <f t="shared" si="331"/>
        <v>0</v>
      </c>
      <c r="AG1948">
        <f t="shared" si="336"/>
        <v>0</v>
      </c>
      <c r="AH1948">
        <f t="shared" si="337"/>
        <v>0</v>
      </c>
      <c r="AI1948">
        <f t="shared" si="338"/>
        <v>0</v>
      </c>
      <c r="AJ1948">
        <f t="shared" si="339"/>
        <v>1</v>
      </c>
      <c r="AK1948">
        <f t="shared" si="332"/>
        <v>1</v>
      </c>
      <c r="AL1948">
        <f t="shared" si="340"/>
        <v>0</v>
      </c>
    </row>
    <row r="1949" spans="1:38">
      <c r="A1949" t="s">
        <v>5974</v>
      </c>
      <c r="B1949" t="s">
        <v>5975</v>
      </c>
      <c r="C1949" s="1">
        <f t="shared" si="333"/>
        <v>45536</v>
      </c>
      <c r="D1949" t="s">
        <v>5976</v>
      </c>
      <c r="E1949">
        <v>170.6</v>
      </c>
      <c r="F1949">
        <v>7.1</v>
      </c>
      <c r="G1949" t="s">
        <v>30</v>
      </c>
      <c r="H1949" t="s">
        <v>47</v>
      </c>
      <c r="I1949" t="s">
        <v>32</v>
      </c>
      <c r="J1949">
        <v>240</v>
      </c>
      <c r="K1949" t="s">
        <v>49</v>
      </c>
      <c r="L1949" t="s">
        <v>70</v>
      </c>
      <c r="M1949" t="s">
        <v>35</v>
      </c>
      <c r="N1949" t="s">
        <v>72</v>
      </c>
      <c r="O1949" t="s">
        <v>7232</v>
      </c>
      <c r="P1949" t="s">
        <v>38</v>
      </c>
      <c r="Q1949" t="s">
        <v>38</v>
      </c>
      <c r="R1949">
        <v>1</v>
      </c>
      <c r="S1949" t="s">
        <v>38</v>
      </c>
      <c r="T1949">
        <v>8</v>
      </c>
      <c r="U1949">
        <v>2.2999999999999998</v>
      </c>
      <c r="V1949">
        <v>33.5</v>
      </c>
      <c r="W1949" t="s">
        <v>39</v>
      </c>
      <c r="X1949" t="s">
        <v>52</v>
      </c>
      <c r="Y1949" t="s">
        <v>39</v>
      </c>
      <c r="Z1949" t="s">
        <v>108</v>
      </c>
      <c r="AA1949" t="s">
        <v>82</v>
      </c>
      <c r="AB1949" t="s">
        <v>83</v>
      </c>
      <c r="AC1949">
        <f t="shared" si="330"/>
        <v>1</v>
      </c>
      <c r="AD1949" s="12">
        <f t="shared" si="334"/>
        <v>0</v>
      </c>
      <c r="AE1949" s="12">
        <f t="shared" si="335"/>
        <v>0</v>
      </c>
      <c r="AF1949">
        <f t="shared" si="331"/>
        <v>0</v>
      </c>
      <c r="AG1949">
        <f t="shared" si="336"/>
        <v>1</v>
      </c>
      <c r="AH1949">
        <f t="shared" si="337"/>
        <v>0</v>
      </c>
      <c r="AI1949">
        <f t="shared" si="338"/>
        <v>0</v>
      </c>
      <c r="AJ1949">
        <f t="shared" si="339"/>
        <v>1</v>
      </c>
      <c r="AK1949">
        <f t="shared" si="332"/>
        <v>1</v>
      </c>
      <c r="AL1949">
        <f t="shared" si="340"/>
        <v>0</v>
      </c>
    </row>
    <row r="1950" spans="1:38">
      <c r="A1950" t="s">
        <v>5977</v>
      </c>
      <c r="B1950" t="s">
        <v>5978</v>
      </c>
      <c r="C1950" s="1">
        <f t="shared" si="333"/>
        <v>45536</v>
      </c>
      <c r="D1950" t="s">
        <v>5979</v>
      </c>
      <c r="E1950">
        <v>108.8</v>
      </c>
      <c r="F1950">
        <v>4.5</v>
      </c>
      <c r="G1950" t="s">
        <v>59</v>
      </c>
      <c r="H1950" t="s">
        <v>281</v>
      </c>
      <c r="I1950" t="s">
        <v>48</v>
      </c>
      <c r="J1950">
        <v>120</v>
      </c>
      <c r="K1950" t="s">
        <v>49</v>
      </c>
      <c r="L1950" t="s">
        <v>96</v>
      </c>
      <c r="M1950" t="s">
        <v>71</v>
      </c>
      <c r="N1950" t="s">
        <v>134</v>
      </c>
      <c r="O1950" t="s">
        <v>37</v>
      </c>
      <c r="P1950" t="s">
        <v>38</v>
      </c>
      <c r="Q1950" t="s">
        <v>39</v>
      </c>
      <c r="R1950">
        <v>4</v>
      </c>
      <c r="S1950" t="s">
        <v>38</v>
      </c>
      <c r="T1950">
        <v>9</v>
      </c>
      <c r="U1950">
        <v>3.7</v>
      </c>
      <c r="V1950">
        <v>32.1</v>
      </c>
      <c r="W1950" t="s">
        <v>39</v>
      </c>
      <c r="X1950" t="s">
        <v>52</v>
      </c>
      <c r="Y1950" t="s">
        <v>39</v>
      </c>
      <c r="Z1950" t="s">
        <v>115</v>
      </c>
      <c r="AA1950" t="s">
        <v>54</v>
      </c>
      <c r="AB1950" t="s">
        <v>83</v>
      </c>
      <c r="AC1950">
        <f t="shared" si="330"/>
        <v>1</v>
      </c>
      <c r="AD1950" s="12">
        <f t="shared" si="334"/>
        <v>0</v>
      </c>
      <c r="AE1950" s="12">
        <f t="shared" si="335"/>
        <v>0</v>
      </c>
      <c r="AF1950">
        <f t="shared" si="331"/>
        <v>0</v>
      </c>
      <c r="AG1950">
        <f t="shared" si="336"/>
        <v>0</v>
      </c>
      <c r="AH1950">
        <f t="shared" si="337"/>
        <v>1</v>
      </c>
      <c r="AI1950">
        <f t="shared" si="338"/>
        <v>0</v>
      </c>
      <c r="AJ1950">
        <f t="shared" si="339"/>
        <v>0</v>
      </c>
      <c r="AK1950">
        <f t="shared" si="332"/>
        <v>0</v>
      </c>
      <c r="AL1950">
        <f t="shared" si="340"/>
        <v>0</v>
      </c>
    </row>
    <row r="1951" spans="1:38">
      <c r="A1951" t="s">
        <v>5980</v>
      </c>
      <c r="B1951" t="s">
        <v>5981</v>
      </c>
      <c r="C1951" s="1">
        <f t="shared" si="333"/>
        <v>45536</v>
      </c>
      <c r="D1951" t="s">
        <v>5982</v>
      </c>
      <c r="E1951">
        <v>97.8</v>
      </c>
      <c r="F1951">
        <v>4.0999999999999996</v>
      </c>
      <c r="G1951" t="s">
        <v>59</v>
      </c>
      <c r="H1951" t="s">
        <v>132</v>
      </c>
      <c r="I1951" t="s">
        <v>48</v>
      </c>
      <c r="J1951">
        <v>120</v>
      </c>
      <c r="K1951" t="s">
        <v>49</v>
      </c>
      <c r="L1951" t="s">
        <v>96</v>
      </c>
      <c r="M1951" t="s">
        <v>71</v>
      </c>
      <c r="N1951" t="s">
        <v>144</v>
      </c>
      <c r="O1951" t="s">
        <v>7232</v>
      </c>
      <c r="P1951" t="s">
        <v>38</v>
      </c>
      <c r="Q1951" t="s">
        <v>39</v>
      </c>
      <c r="R1951">
        <v>4</v>
      </c>
      <c r="S1951" t="s">
        <v>39</v>
      </c>
      <c r="T1951">
        <v>7</v>
      </c>
      <c r="U1951">
        <v>3.1</v>
      </c>
      <c r="V1951">
        <v>34.1</v>
      </c>
      <c r="W1951" t="s">
        <v>39</v>
      </c>
      <c r="X1951" t="s">
        <v>40</v>
      </c>
      <c r="Y1951" t="s">
        <v>38</v>
      </c>
      <c r="Z1951" t="s">
        <v>64</v>
      </c>
      <c r="AA1951" t="s">
        <v>103</v>
      </c>
      <c r="AB1951" t="s">
        <v>55</v>
      </c>
      <c r="AC1951">
        <f t="shared" si="330"/>
        <v>0</v>
      </c>
      <c r="AD1951" s="12">
        <f t="shared" si="334"/>
        <v>0</v>
      </c>
      <c r="AE1951" s="12">
        <f t="shared" si="335"/>
        <v>0</v>
      </c>
      <c r="AF1951">
        <f t="shared" si="331"/>
        <v>0</v>
      </c>
      <c r="AG1951">
        <f t="shared" si="336"/>
        <v>1</v>
      </c>
      <c r="AH1951">
        <f t="shared" si="337"/>
        <v>1</v>
      </c>
      <c r="AI1951">
        <f t="shared" si="338"/>
        <v>0</v>
      </c>
      <c r="AJ1951">
        <f t="shared" si="339"/>
        <v>0</v>
      </c>
      <c r="AK1951">
        <f t="shared" si="332"/>
        <v>0</v>
      </c>
      <c r="AL1951">
        <f t="shared" si="340"/>
        <v>1</v>
      </c>
    </row>
    <row r="1952" spans="1:38">
      <c r="A1952" t="s">
        <v>5983</v>
      </c>
      <c r="B1952" t="s">
        <v>5984</v>
      </c>
      <c r="C1952" s="1">
        <f t="shared" si="333"/>
        <v>45323</v>
      </c>
      <c r="D1952" t="s">
        <v>5985</v>
      </c>
      <c r="E1952">
        <v>282</v>
      </c>
      <c r="F1952">
        <v>11.8</v>
      </c>
      <c r="G1952" t="s">
        <v>142</v>
      </c>
      <c r="H1952" t="s">
        <v>240</v>
      </c>
      <c r="I1952" t="s">
        <v>79</v>
      </c>
      <c r="J1952">
        <v>360</v>
      </c>
      <c r="K1952" t="s">
        <v>49</v>
      </c>
      <c r="L1952" t="s">
        <v>96</v>
      </c>
      <c r="M1952" t="s">
        <v>71</v>
      </c>
      <c r="N1952" t="s">
        <v>80</v>
      </c>
      <c r="O1952" t="s">
        <v>51</v>
      </c>
      <c r="P1952" t="s">
        <v>38</v>
      </c>
      <c r="Q1952" t="s">
        <v>39</v>
      </c>
      <c r="R1952">
        <v>2</v>
      </c>
      <c r="S1952" t="s">
        <v>38</v>
      </c>
      <c r="T1952">
        <v>7</v>
      </c>
      <c r="U1952">
        <v>2</v>
      </c>
      <c r="V1952">
        <v>22</v>
      </c>
      <c r="W1952" t="s">
        <v>39</v>
      </c>
      <c r="X1952" t="s">
        <v>63</v>
      </c>
      <c r="Y1952" t="s">
        <v>39</v>
      </c>
      <c r="Z1952" t="s">
        <v>115</v>
      </c>
      <c r="AA1952" t="s">
        <v>54</v>
      </c>
      <c r="AB1952" t="s">
        <v>83</v>
      </c>
      <c r="AC1952">
        <f t="shared" si="330"/>
        <v>0</v>
      </c>
      <c r="AD1952" s="12">
        <f t="shared" si="334"/>
        <v>1</v>
      </c>
      <c r="AE1952" s="12">
        <f t="shared" si="335"/>
        <v>0</v>
      </c>
      <c r="AF1952">
        <f t="shared" si="331"/>
        <v>1</v>
      </c>
      <c r="AG1952">
        <f t="shared" si="336"/>
        <v>0</v>
      </c>
      <c r="AH1952">
        <f t="shared" si="337"/>
        <v>0</v>
      </c>
      <c r="AI1952">
        <f t="shared" si="338"/>
        <v>0</v>
      </c>
      <c r="AJ1952">
        <f t="shared" si="339"/>
        <v>0</v>
      </c>
      <c r="AK1952">
        <f t="shared" si="332"/>
        <v>0</v>
      </c>
      <c r="AL1952">
        <f t="shared" si="340"/>
        <v>0</v>
      </c>
    </row>
    <row r="1953" spans="1:38">
      <c r="A1953" t="s">
        <v>5986</v>
      </c>
      <c r="B1953" t="s">
        <v>5987</v>
      </c>
      <c r="C1953" s="1">
        <f t="shared" si="333"/>
        <v>45597</v>
      </c>
      <c r="D1953" t="s">
        <v>5988</v>
      </c>
      <c r="E1953">
        <v>286.60000000000002</v>
      </c>
      <c r="F1953">
        <v>11.9</v>
      </c>
      <c r="G1953" t="s">
        <v>93</v>
      </c>
      <c r="H1953" t="s">
        <v>291</v>
      </c>
      <c r="I1953" t="s">
        <v>79</v>
      </c>
      <c r="J1953">
        <v>360</v>
      </c>
      <c r="K1953" t="s">
        <v>49</v>
      </c>
      <c r="L1953" t="s">
        <v>96</v>
      </c>
      <c r="M1953" t="s">
        <v>35</v>
      </c>
      <c r="N1953" t="s">
        <v>299</v>
      </c>
      <c r="O1953" t="s">
        <v>51</v>
      </c>
      <c r="P1953" t="s">
        <v>39</v>
      </c>
      <c r="Q1953" t="s">
        <v>38</v>
      </c>
      <c r="R1953">
        <v>0</v>
      </c>
      <c r="S1953" t="s">
        <v>38</v>
      </c>
      <c r="T1953">
        <v>10</v>
      </c>
      <c r="U1953">
        <v>0.1</v>
      </c>
      <c r="V1953">
        <v>33.299999999999997</v>
      </c>
      <c r="W1953" t="s">
        <v>39</v>
      </c>
      <c r="X1953" t="s">
        <v>40</v>
      </c>
      <c r="Y1953" t="s">
        <v>39</v>
      </c>
      <c r="Z1953" t="s">
        <v>53</v>
      </c>
      <c r="AA1953" t="s">
        <v>103</v>
      </c>
      <c r="AB1953" t="s">
        <v>83</v>
      </c>
      <c r="AC1953">
        <f t="shared" si="330"/>
        <v>0</v>
      </c>
      <c r="AD1953" s="12">
        <f t="shared" si="334"/>
        <v>0</v>
      </c>
      <c r="AE1953" s="12">
        <f t="shared" si="335"/>
        <v>0</v>
      </c>
      <c r="AF1953">
        <f t="shared" si="331"/>
        <v>1</v>
      </c>
      <c r="AG1953">
        <f t="shared" si="336"/>
        <v>0</v>
      </c>
      <c r="AH1953">
        <f t="shared" si="337"/>
        <v>0</v>
      </c>
      <c r="AI1953">
        <f t="shared" si="338"/>
        <v>0</v>
      </c>
      <c r="AJ1953">
        <f t="shared" si="339"/>
        <v>0</v>
      </c>
      <c r="AK1953">
        <f t="shared" si="332"/>
        <v>0</v>
      </c>
      <c r="AL1953">
        <f t="shared" si="340"/>
        <v>0</v>
      </c>
    </row>
    <row r="1954" spans="1:38">
      <c r="A1954" t="s">
        <v>5989</v>
      </c>
      <c r="B1954" t="s">
        <v>5990</v>
      </c>
      <c r="C1954" s="1">
        <f t="shared" si="333"/>
        <v>45474</v>
      </c>
      <c r="D1954" t="s">
        <v>5991</v>
      </c>
      <c r="E1954">
        <v>918.1</v>
      </c>
      <c r="F1954">
        <v>38.299999999999997</v>
      </c>
      <c r="G1954" t="s">
        <v>77</v>
      </c>
      <c r="H1954" t="s">
        <v>187</v>
      </c>
      <c r="I1954" t="s">
        <v>79</v>
      </c>
      <c r="J1954">
        <v>360</v>
      </c>
      <c r="K1954" t="s">
        <v>33</v>
      </c>
      <c r="L1954" t="s">
        <v>70</v>
      </c>
      <c r="M1954" t="s">
        <v>35</v>
      </c>
      <c r="N1954" t="s">
        <v>61</v>
      </c>
      <c r="O1954" t="s">
        <v>37</v>
      </c>
      <c r="P1954" t="s">
        <v>39</v>
      </c>
      <c r="Q1954" t="s">
        <v>38</v>
      </c>
      <c r="R1954">
        <v>0</v>
      </c>
      <c r="S1954" t="s">
        <v>38</v>
      </c>
      <c r="T1954">
        <v>7</v>
      </c>
      <c r="U1954">
        <v>0.1</v>
      </c>
      <c r="V1954">
        <v>2.1</v>
      </c>
      <c r="W1954" t="s">
        <v>38</v>
      </c>
      <c r="X1954" t="s">
        <v>123</v>
      </c>
      <c r="Y1954" t="s">
        <v>39</v>
      </c>
      <c r="Z1954" t="s">
        <v>64</v>
      </c>
      <c r="AA1954" t="s">
        <v>109</v>
      </c>
      <c r="AB1954" t="s">
        <v>55</v>
      </c>
      <c r="AC1954">
        <f t="shared" si="330"/>
        <v>0</v>
      </c>
      <c r="AD1954" s="12">
        <f t="shared" si="334"/>
        <v>0</v>
      </c>
      <c r="AE1954" s="12">
        <f t="shared" si="335"/>
        <v>1</v>
      </c>
      <c r="AF1954">
        <f t="shared" si="331"/>
        <v>0</v>
      </c>
      <c r="AG1954">
        <f t="shared" si="336"/>
        <v>0</v>
      </c>
      <c r="AH1954">
        <f t="shared" si="337"/>
        <v>0</v>
      </c>
      <c r="AI1954">
        <f t="shared" si="338"/>
        <v>0</v>
      </c>
      <c r="AJ1954">
        <f t="shared" si="339"/>
        <v>0</v>
      </c>
      <c r="AK1954">
        <f t="shared" si="332"/>
        <v>0</v>
      </c>
      <c r="AL1954">
        <f t="shared" si="340"/>
        <v>0</v>
      </c>
    </row>
    <row r="1955" spans="1:38">
      <c r="A1955" t="s">
        <v>5992</v>
      </c>
      <c r="B1955" t="s">
        <v>5993</v>
      </c>
      <c r="C1955" s="1">
        <f t="shared" si="333"/>
        <v>45597</v>
      </c>
      <c r="D1955" t="s">
        <v>5994</v>
      </c>
      <c r="E1955">
        <v>260.60000000000002</v>
      </c>
      <c r="F1955">
        <v>10.9</v>
      </c>
      <c r="G1955" t="s">
        <v>93</v>
      </c>
      <c r="H1955" t="s">
        <v>163</v>
      </c>
      <c r="I1955" t="s">
        <v>32</v>
      </c>
      <c r="J1955">
        <v>240</v>
      </c>
      <c r="K1955" t="s">
        <v>33</v>
      </c>
      <c r="L1955" t="s">
        <v>34</v>
      </c>
      <c r="M1955" t="s">
        <v>35</v>
      </c>
      <c r="N1955" t="s">
        <v>128</v>
      </c>
      <c r="O1955" t="s">
        <v>7232</v>
      </c>
      <c r="P1955" t="s">
        <v>38</v>
      </c>
      <c r="Q1955" t="s">
        <v>38</v>
      </c>
      <c r="R1955">
        <v>1</v>
      </c>
      <c r="S1955" t="s">
        <v>38</v>
      </c>
      <c r="T1955">
        <v>5</v>
      </c>
      <c r="U1955">
        <v>2.2999999999999998</v>
      </c>
      <c r="V1955">
        <v>4.4000000000000004</v>
      </c>
      <c r="W1955" t="s">
        <v>39</v>
      </c>
      <c r="X1955" t="s">
        <v>63</v>
      </c>
      <c r="Y1955" t="s">
        <v>39</v>
      </c>
      <c r="Z1955" t="s">
        <v>179</v>
      </c>
      <c r="AA1955" t="s">
        <v>103</v>
      </c>
      <c r="AB1955" t="s">
        <v>55</v>
      </c>
      <c r="AC1955">
        <f t="shared" si="330"/>
        <v>0</v>
      </c>
      <c r="AD1955" s="12">
        <f t="shared" si="334"/>
        <v>1</v>
      </c>
      <c r="AE1955" s="12">
        <f t="shared" si="335"/>
        <v>0</v>
      </c>
      <c r="AF1955">
        <f t="shared" si="331"/>
        <v>0</v>
      </c>
      <c r="AG1955">
        <f t="shared" si="336"/>
        <v>1</v>
      </c>
      <c r="AH1955">
        <f t="shared" si="337"/>
        <v>0</v>
      </c>
      <c r="AI1955">
        <f t="shared" si="338"/>
        <v>0</v>
      </c>
      <c r="AJ1955">
        <f t="shared" si="339"/>
        <v>1</v>
      </c>
      <c r="AK1955">
        <f t="shared" si="332"/>
        <v>0</v>
      </c>
      <c r="AL1955">
        <f t="shared" si="340"/>
        <v>0</v>
      </c>
    </row>
    <row r="1956" spans="1:38">
      <c r="A1956" t="s">
        <v>5995</v>
      </c>
      <c r="B1956" t="s">
        <v>5996</v>
      </c>
      <c r="C1956" s="1">
        <f t="shared" si="333"/>
        <v>45444</v>
      </c>
      <c r="D1956" t="s">
        <v>5997</v>
      </c>
      <c r="E1956">
        <v>81.599999999999994</v>
      </c>
      <c r="F1956">
        <v>3.4</v>
      </c>
      <c r="G1956" t="s">
        <v>87</v>
      </c>
      <c r="H1956" t="s">
        <v>88</v>
      </c>
      <c r="I1956" t="s">
        <v>48</v>
      </c>
      <c r="J1956">
        <v>120</v>
      </c>
      <c r="K1956" t="s">
        <v>49</v>
      </c>
      <c r="L1956" t="s">
        <v>96</v>
      </c>
      <c r="M1956" t="s">
        <v>35</v>
      </c>
      <c r="N1956" t="s">
        <v>128</v>
      </c>
      <c r="O1956" t="s">
        <v>51</v>
      </c>
      <c r="P1956" t="s">
        <v>39</v>
      </c>
      <c r="Q1956" t="s">
        <v>38</v>
      </c>
      <c r="R1956">
        <v>0</v>
      </c>
      <c r="S1956" t="s">
        <v>38</v>
      </c>
      <c r="T1956">
        <v>9</v>
      </c>
      <c r="U1956">
        <v>3.2</v>
      </c>
      <c r="V1956">
        <v>33.6</v>
      </c>
      <c r="W1956" t="s">
        <v>38</v>
      </c>
      <c r="X1956" t="s">
        <v>52</v>
      </c>
      <c r="Y1956" t="s">
        <v>39</v>
      </c>
      <c r="Z1956" t="s">
        <v>108</v>
      </c>
      <c r="AA1956" t="s">
        <v>103</v>
      </c>
      <c r="AB1956" t="s">
        <v>55</v>
      </c>
      <c r="AC1956">
        <f t="shared" si="330"/>
        <v>1</v>
      </c>
      <c r="AD1956" s="12">
        <f t="shared" si="334"/>
        <v>0</v>
      </c>
      <c r="AE1956" s="12">
        <f t="shared" si="335"/>
        <v>0</v>
      </c>
      <c r="AF1956">
        <f t="shared" si="331"/>
        <v>1</v>
      </c>
      <c r="AG1956">
        <f t="shared" si="336"/>
        <v>0</v>
      </c>
      <c r="AH1956">
        <f t="shared" si="337"/>
        <v>1</v>
      </c>
      <c r="AI1956">
        <f t="shared" si="338"/>
        <v>0</v>
      </c>
      <c r="AJ1956">
        <f t="shared" si="339"/>
        <v>0</v>
      </c>
      <c r="AK1956">
        <f t="shared" si="332"/>
        <v>0</v>
      </c>
      <c r="AL1956">
        <f t="shared" si="340"/>
        <v>0</v>
      </c>
    </row>
    <row r="1957" spans="1:38">
      <c r="A1957" t="s">
        <v>5998</v>
      </c>
      <c r="B1957" t="s">
        <v>5999</v>
      </c>
      <c r="C1957" s="1">
        <f t="shared" si="333"/>
        <v>45383</v>
      </c>
      <c r="D1957" t="s">
        <v>6000</v>
      </c>
      <c r="E1957">
        <v>227.2</v>
      </c>
      <c r="F1957">
        <v>9.5</v>
      </c>
      <c r="G1957" t="s">
        <v>30</v>
      </c>
      <c r="H1957" t="s">
        <v>31</v>
      </c>
      <c r="I1957" t="s">
        <v>32</v>
      </c>
      <c r="J1957">
        <v>240</v>
      </c>
      <c r="K1957" t="s">
        <v>49</v>
      </c>
      <c r="L1957" t="s">
        <v>133</v>
      </c>
      <c r="M1957" t="s">
        <v>35</v>
      </c>
      <c r="N1957" t="s">
        <v>80</v>
      </c>
      <c r="O1957" t="s">
        <v>7232</v>
      </c>
      <c r="P1957" t="s">
        <v>38</v>
      </c>
      <c r="Q1957" t="s">
        <v>38</v>
      </c>
      <c r="R1957">
        <v>1</v>
      </c>
      <c r="S1957" t="s">
        <v>39</v>
      </c>
      <c r="T1957">
        <v>9</v>
      </c>
      <c r="U1957">
        <v>1</v>
      </c>
      <c r="V1957">
        <v>27.3</v>
      </c>
      <c r="W1957" t="s">
        <v>38</v>
      </c>
      <c r="X1957" t="s">
        <v>123</v>
      </c>
      <c r="Y1957" t="s">
        <v>38</v>
      </c>
      <c r="Z1957" t="s">
        <v>108</v>
      </c>
      <c r="AA1957" t="s">
        <v>82</v>
      </c>
      <c r="AB1957" t="s">
        <v>55</v>
      </c>
      <c r="AC1957">
        <f t="shared" si="330"/>
        <v>0</v>
      </c>
      <c r="AD1957" s="12">
        <f t="shared" si="334"/>
        <v>0</v>
      </c>
      <c r="AE1957" s="12">
        <f t="shared" si="335"/>
        <v>1</v>
      </c>
      <c r="AF1957">
        <f t="shared" si="331"/>
        <v>0</v>
      </c>
      <c r="AG1957">
        <f t="shared" si="336"/>
        <v>1</v>
      </c>
      <c r="AH1957">
        <f t="shared" si="337"/>
        <v>0</v>
      </c>
      <c r="AI1957">
        <f t="shared" si="338"/>
        <v>0</v>
      </c>
      <c r="AJ1957">
        <f t="shared" si="339"/>
        <v>1</v>
      </c>
      <c r="AK1957">
        <f t="shared" si="332"/>
        <v>1</v>
      </c>
      <c r="AL1957">
        <f t="shared" si="340"/>
        <v>1</v>
      </c>
    </row>
    <row r="1958" spans="1:38">
      <c r="A1958" t="s">
        <v>6001</v>
      </c>
      <c r="B1958" t="s">
        <v>6002</v>
      </c>
      <c r="C1958" s="1">
        <f t="shared" si="333"/>
        <v>45505</v>
      </c>
      <c r="D1958" t="s">
        <v>6003</v>
      </c>
      <c r="E1958">
        <v>247.2</v>
      </c>
      <c r="F1958">
        <v>10.3</v>
      </c>
      <c r="G1958" t="s">
        <v>77</v>
      </c>
      <c r="H1958" t="s">
        <v>78</v>
      </c>
      <c r="I1958" t="s">
        <v>79</v>
      </c>
      <c r="J1958">
        <v>360</v>
      </c>
      <c r="K1958" t="s">
        <v>49</v>
      </c>
      <c r="L1958" t="s">
        <v>34</v>
      </c>
      <c r="M1958" t="s">
        <v>35</v>
      </c>
      <c r="N1958" t="s">
        <v>164</v>
      </c>
      <c r="O1958" t="s">
        <v>7232</v>
      </c>
      <c r="P1958" t="s">
        <v>39</v>
      </c>
      <c r="Q1958" t="s">
        <v>38</v>
      </c>
      <c r="R1958">
        <v>0</v>
      </c>
      <c r="S1958" t="s">
        <v>38</v>
      </c>
      <c r="T1958">
        <v>10</v>
      </c>
      <c r="U1958">
        <v>2.5</v>
      </c>
      <c r="V1958">
        <v>38.5</v>
      </c>
      <c r="W1958" t="s">
        <v>39</v>
      </c>
      <c r="X1958" t="s">
        <v>52</v>
      </c>
      <c r="Y1958" t="s">
        <v>39</v>
      </c>
      <c r="Z1958" t="s">
        <v>41</v>
      </c>
      <c r="AA1958" t="s">
        <v>54</v>
      </c>
      <c r="AB1958" t="s">
        <v>83</v>
      </c>
      <c r="AC1958">
        <f t="shared" si="330"/>
        <v>1</v>
      </c>
      <c r="AD1958" s="12">
        <f t="shared" si="334"/>
        <v>0</v>
      </c>
      <c r="AE1958" s="12">
        <f t="shared" si="335"/>
        <v>0</v>
      </c>
      <c r="AF1958">
        <f t="shared" si="331"/>
        <v>0</v>
      </c>
      <c r="AG1958">
        <f t="shared" si="336"/>
        <v>1</v>
      </c>
      <c r="AH1958">
        <f t="shared" si="337"/>
        <v>0</v>
      </c>
      <c r="AI1958">
        <f t="shared" si="338"/>
        <v>0</v>
      </c>
      <c r="AJ1958">
        <f t="shared" si="339"/>
        <v>0</v>
      </c>
      <c r="AK1958">
        <f t="shared" si="332"/>
        <v>0</v>
      </c>
      <c r="AL1958">
        <f t="shared" si="340"/>
        <v>0</v>
      </c>
    </row>
    <row r="1959" spans="1:38">
      <c r="A1959" t="s">
        <v>6004</v>
      </c>
      <c r="B1959" t="s">
        <v>6005</v>
      </c>
      <c r="C1959" s="1">
        <f t="shared" si="333"/>
        <v>45536</v>
      </c>
      <c r="D1959" t="s">
        <v>6006</v>
      </c>
      <c r="E1959">
        <v>412</v>
      </c>
      <c r="F1959">
        <v>17.2</v>
      </c>
      <c r="G1959" t="s">
        <v>101</v>
      </c>
      <c r="H1959" t="s">
        <v>368</v>
      </c>
      <c r="I1959" t="s">
        <v>32</v>
      </c>
      <c r="J1959">
        <v>240</v>
      </c>
      <c r="K1959" t="s">
        <v>33</v>
      </c>
      <c r="L1959" t="s">
        <v>34</v>
      </c>
      <c r="M1959" t="s">
        <v>35</v>
      </c>
      <c r="N1959" t="s">
        <v>299</v>
      </c>
      <c r="O1959" t="s">
        <v>37</v>
      </c>
      <c r="P1959" t="s">
        <v>38</v>
      </c>
      <c r="Q1959" t="s">
        <v>38</v>
      </c>
      <c r="R1959">
        <v>1</v>
      </c>
      <c r="S1959" t="s">
        <v>39</v>
      </c>
      <c r="T1959">
        <v>8</v>
      </c>
      <c r="U1959">
        <v>4</v>
      </c>
      <c r="V1959">
        <v>22.6</v>
      </c>
      <c r="W1959" t="s">
        <v>38</v>
      </c>
      <c r="X1959" t="s">
        <v>40</v>
      </c>
      <c r="Y1959" t="s">
        <v>38</v>
      </c>
      <c r="Z1959" t="s">
        <v>108</v>
      </c>
      <c r="AA1959" t="s">
        <v>42</v>
      </c>
      <c r="AB1959" t="s">
        <v>43</v>
      </c>
      <c r="AC1959">
        <f t="shared" si="330"/>
        <v>0</v>
      </c>
      <c r="AD1959" s="12">
        <f t="shared" si="334"/>
        <v>0</v>
      </c>
      <c r="AE1959" s="12">
        <f t="shared" si="335"/>
        <v>0</v>
      </c>
      <c r="AF1959">
        <f t="shared" si="331"/>
        <v>0</v>
      </c>
      <c r="AG1959">
        <f t="shared" si="336"/>
        <v>0</v>
      </c>
      <c r="AH1959">
        <f t="shared" si="337"/>
        <v>0</v>
      </c>
      <c r="AI1959">
        <f t="shared" si="338"/>
        <v>0</v>
      </c>
      <c r="AJ1959">
        <f t="shared" si="339"/>
        <v>1</v>
      </c>
      <c r="AK1959">
        <f t="shared" si="332"/>
        <v>0</v>
      </c>
      <c r="AL1959">
        <f t="shared" si="340"/>
        <v>1</v>
      </c>
    </row>
    <row r="1960" spans="1:38">
      <c r="A1960" t="s">
        <v>6007</v>
      </c>
      <c r="B1960" t="s">
        <v>6008</v>
      </c>
      <c r="C1960" s="1">
        <f t="shared" si="333"/>
        <v>45505</v>
      </c>
      <c r="D1960" t="s">
        <v>6009</v>
      </c>
      <c r="E1960">
        <v>265.10000000000002</v>
      </c>
      <c r="F1960">
        <v>11</v>
      </c>
      <c r="G1960" t="s">
        <v>142</v>
      </c>
      <c r="H1960" t="s">
        <v>319</v>
      </c>
      <c r="I1960" t="s">
        <v>32</v>
      </c>
      <c r="J1960">
        <v>240</v>
      </c>
      <c r="K1960" t="s">
        <v>33</v>
      </c>
      <c r="L1960" t="s">
        <v>70</v>
      </c>
      <c r="M1960" t="s">
        <v>35</v>
      </c>
      <c r="N1960" t="s">
        <v>164</v>
      </c>
      <c r="O1960" t="s">
        <v>7232</v>
      </c>
      <c r="P1960" t="s">
        <v>38</v>
      </c>
      <c r="Q1960" t="s">
        <v>38</v>
      </c>
      <c r="R1960">
        <v>1</v>
      </c>
      <c r="S1960" t="s">
        <v>38</v>
      </c>
      <c r="T1960">
        <v>4</v>
      </c>
      <c r="U1960">
        <v>0.9</v>
      </c>
      <c r="V1960">
        <v>43.8</v>
      </c>
      <c r="W1960" t="s">
        <v>39</v>
      </c>
      <c r="X1960" t="s">
        <v>40</v>
      </c>
      <c r="Y1960" t="s">
        <v>39</v>
      </c>
      <c r="Z1960" t="s">
        <v>53</v>
      </c>
      <c r="AA1960" t="s">
        <v>82</v>
      </c>
      <c r="AB1960" t="s">
        <v>83</v>
      </c>
      <c r="AC1960">
        <f t="shared" si="330"/>
        <v>0</v>
      </c>
      <c r="AD1960" s="12">
        <f t="shared" si="334"/>
        <v>0</v>
      </c>
      <c r="AE1960" s="12">
        <f t="shared" si="335"/>
        <v>0</v>
      </c>
      <c r="AF1960">
        <f t="shared" si="331"/>
        <v>0</v>
      </c>
      <c r="AG1960">
        <f t="shared" si="336"/>
        <v>1</v>
      </c>
      <c r="AH1960">
        <f t="shared" si="337"/>
        <v>0</v>
      </c>
      <c r="AI1960">
        <f t="shared" si="338"/>
        <v>0</v>
      </c>
      <c r="AJ1960">
        <f t="shared" si="339"/>
        <v>1</v>
      </c>
      <c r="AK1960">
        <f t="shared" si="332"/>
        <v>0</v>
      </c>
      <c r="AL1960">
        <f t="shared" si="340"/>
        <v>0</v>
      </c>
    </row>
    <row r="1961" spans="1:38">
      <c r="A1961" t="s">
        <v>6010</v>
      </c>
      <c r="B1961" t="s">
        <v>6011</v>
      </c>
      <c r="C1961" s="1">
        <f t="shared" si="333"/>
        <v>45627</v>
      </c>
      <c r="D1961" t="s">
        <v>6012</v>
      </c>
      <c r="E1961">
        <v>103.2</v>
      </c>
      <c r="F1961">
        <v>4.3</v>
      </c>
      <c r="G1961" t="s">
        <v>59</v>
      </c>
      <c r="H1961" t="s">
        <v>227</v>
      </c>
      <c r="I1961" t="s">
        <v>48</v>
      </c>
      <c r="J1961">
        <v>120</v>
      </c>
      <c r="K1961" t="s">
        <v>49</v>
      </c>
      <c r="L1961" t="s">
        <v>70</v>
      </c>
      <c r="M1961" t="s">
        <v>71</v>
      </c>
      <c r="N1961" t="s">
        <v>299</v>
      </c>
      <c r="O1961" t="s">
        <v>51</v>
      </c>
      <c r="P1961" t="s">
        <v>38</v>
      </c>
      <c r="Q1961" t="s">
        <v>39</v>
      </c>
      <c r="R1961">
        <v>1</v>
      </c>
      <c r="S1961" t="s">
        <v>38</v>
      </c>
      <c r="T1961">
        <v>8</v>
      </c>
      <c r="U1961">
        <v>0.4</v>
      </c>
      <c r="V1961">
        <v>24.2</v>
      </c>
      <c r="W1961" t="s">
        <v>39</v>
      </c>
      <c r="X1961" t="s">
        <v>63</v>
      </c>
      <c r="Y1961" t="s">
        <v>39</v>
      </c>
      <c r="Z1961" t="s">
        <v>179</v>
      </c>
      <c r="AA1961" t="s">
        <v>109</v>
      </c>
      <c r="AB1961" t="s">
        <v>55</v>
      </c>
      <c r="AC1961">
        <f t="shared" si="330"/>
        <v>0</v>
      </c>
      <c r="AD1961" s="12">
        <f t="shared" si="334"/>
        <v>1</v>
      </c>
      <c r="AE1961" s="12">
        <f t="shared" si="335"/>
        <v>0</v>
      </c>
      <c r="AF1961">
        <f t="shared" si="331"/>
        <v>1</v>
      </c>
      <c r="AG1961">
        <f t="shared" si="336"/>
        <v>0</v>
      </c>
      <c r="AH1961">
        <f t="shared" si="337"/>
        <v>1</v>
      </c>
      <c r="AI1961">
        <f t="shared" si="338"/>
        <v>0</v>
      </c>
      <c r="AJ1961">
        <f t="shared" si="339"/>
        <v>0</v>
      </c>
      <c r="AK1961">
        <f t="shared" si="332"/>
        <v>0</v>
      </c>
      <c r="AL1961">
        <f t="shared" si="340"/>
        <v>0</v>
      </c>
    </row>
    <row r="1962" spans="1:38">
      <c r="A1962" t="s">
        <v>6013</v>
      </c>
      <c r="B1962" t="s">
        <v>6014</v>
      </c>
      <c r="C1962" s="1">
        <f t="shared" si="333"/>
        <v>45383</v>
      </c>
      <c r="D1962" t="s">
        <v>6015</v>
      </c>
      <c r="E1962">
        <v>213</v>
      </c>
      <c r="F1962">
        <v>8.9</v>
      </c>
      <c r="G1962" t="s">
        <v>87</v>
      </c>
      <c r="H1962" t="s">
        <v>183</v>
      </c>
      <c r="I1962" t="s">
        <v>32</v>
      </c>
      <c r="J1962">
        <v>240</v>
      </c>
      <c r="K1962" t="s">
        <v>49</v>
      </c>
      <c r="L1962" t="s">
        <v>96</v>
      </c>
      <c r="M1962" t="s">
        <v>71</v>
      </c>
      <c r="N1962" t="s">
        <v>72</v>
      </c>
      <c r="O1962" t="s">
        <v>7232</v>
      </c>
      <c r="P1962" t="s">
        <v>38</v>
      </c>
      <c r="Q1962" t="s">
        <v>39</v>
      </c>
      <c r="R1962">
        <v>2</v>
      </c>
      <c r="S1962" t="s">
        <v>38</v>
      </c>
      <c r="T1962">
        <v>9</v>
      </c>
      <c r="U1962">
        <v>0.1</v>
      </c>
      <c r="V1962">
        <v>35.700000000000003</v>
      </c>
      <c r="W1962" t="s">
        <v>39</v>
      </c>
      <c r="X1962" t="s">
        <v>52</v>
      </c>
      <c r="Y1962" t="s">
        <v>39</v>
      </c>
      <c r="Z1962" t="s">
        <v>73</v>
      </c>
      <c r="AA1962" t="s">
        <v>54</v>
      </c>
      <c r="AB1962" t="s">
        <v>43</v>
      </c>
      <c r="AC1962">
        <f t="shared" si="330"/>
        <v>1</v>
      </c>
      <c r="AD1962" s="12">
        <f t="shared" si="334"/>
        <v>0</v>
      </c>
      <c r="AE1962" s="12">
        <f t="shared" si="335"/>
        <v>0</v>
      </c>
      <c r="AF1962">
        <f t="shared" si="331"/>
        <v>0</v>
      </c>
      <c r="AG1962">
        <f t="shared" si="336"/>
        <v>1</v>
      </c>
      <c r="AH1962">
        <f t="shared" si="337"/>
        <v>0</v>
      </c>
      <c r="AI1962">
        <f t="shared" si="338"/>
        <v>0</v>
      </c>
      <c r="AJ1962">
        <f t="shared" si="339"/>
        <v>1</v>
      </c>
      <c r="AK1962">
        <f t="shared" si="332"/>
        <v>0</v>
      </c>
      <c r="AL1962">
        <f t="shared" si="340"/>
        <v>0</v>
      </c>
    </row>
    <row r="1963" spans="1:38">
      <c r="A1963" t="s">
        <v>6016</v>
      </c>
      <c r="B1963" t="s">
        <v>6017</v>
      </c>
      <c r="C1963" s="1">
        <f t="shared" si="333"/>
        <v>45627</v>
      </c>
      <c r="D1963" t="s">
        <v>6018</v>
      </c>
      <c r="E1963">
        <v>173.7</v>
      </c>
      <c r="F1963">
        <v>7.2</v>
      </c>
      <c r="G1963" t="s">
        <v>59</v>
      </c>
      <c r="H1963" t="s">
        <v>281</v>
      </c>
      <c r="I1963" t="s">
        <v>32</v>
      </c>
      <c r="J1963">
        <v>240</v>
      </c>
      <c r="K1963" t="s">
        <v>49</v>
      </c>
      <c r="L1963" t="s">
        <v>34</v>
      </c>
      <c r="M1963" t="s">
        <v>35</v>
      </c>
      <c r="N1963" t="s">
        <v>220</v>
      </c>
      <c r="O1963" t="s">
        <v>7232</v>
      </c>
      <c r="P1963" t="s">
        <v>38</v>
      </c>
      <c r="Q1963" t="s">
        <v>38</v>
      </c>
      <c r="R1963">
        <v>1</v>
      </c>
      <c r="S1963" t="s">
        <v>38</v>
      </c>
      <c r="T1963">
        <v>7</v>
      </c>
      <c r="U1963">
        <v>2.4</v>
      </c>
      <c r="V1963">
        <v>15.8</v>
      </c>
      <c r="W1963" t="s">
        <v>38</v>
      </c>
      <c r="X1963" t="s">
        <v>52</v>
      </c>
      <c r="Y1963" t="s">
        <v>38</v>
      </c>
      <c r="Z1963" t="s">
        <v>179</v>
      </c>
      <c r="AA1963" t="s">
        <v>82</v>
      </c>
      <c r="AB1963" t="s">
        <v>43</v>
      </c>
      <c r="AC1963">
        <f t="shared" si="330"/>
        <v>1</v>
      </c>
      <c r="AD1963" s="12">
        <f t="shared" si="334"/>
        <v>0</v>
      </c>
      <c r="AE1963" s="12">
        <f t="shared" si="335"/>
        <v>0</v>
      </c>
      <c r="AF1963">
        <f t="shared" si="331"/>
        <v>0</v>
      </c>
      <c r="AG1963">
        <f t="shared" si="336"/>
        <v>1</v>
      </c>
      <c r="AH1963">
        <f t="shared" si="337"/>
        <v>0</v>
      </c>
      <c r="AI1963">
        <f t="shared" si="338"/>
        <v>0</v>
      </c>
      <c r="AJ1963">
        <f t="shared" si="339"/>
        <v>1</v>
      </c>
      <c r="AK1963">
        <f t="shared" si="332"/>
        <v>0</v>
      </c>
      <c r="AL1963">
        <f t="shared" si="340"/>
        <v>1</v>
      </c>
    </row>
    <row r="1964" spans="1:38">
      <c r="A1964" t="s">
        <v>6019</v>
      </c>
      <c r="B1964" t="s">
        <v>6020</v>
      </c>
      <c r="C1964" s="1">
        <f t="shared" si="333"/>
        <v>45413</v>
      </c>
      <c r="D1964" t="s">
        <v>6021</v>
      </c>
      <c r="E1964">
        <v>226.6</v>
      </c>
      <c r="F1964">
        <v>9.4</v>
      </c>
      <c r="G1964" t="s">
        <v>77</v>
      </c>
      <c r="H1964" t="s">
        <v>187</v>
      </c>
      <c r="I1964" t="s">
        <v>79</v>
      </c>
      <c r="J1964">
        <v>360</v>
      </c>
      <c r="K1964" t="s">
        <v>49</v>
      </c>
      <c r="L1964" t="s">
        <v>113</v>
      </c>
      <c r="M1964" t="s">
        <v>35</v>
      </c>
      <c r="N1964" t="s">
        <v>97</v>
      </c>
      <c r="O1964" t="s">
        <v>51</v>
      </c>
      <c r="P1964" t="s">
        <v>39</v>
      </c>
      <c r="Q1964" t="s">
        <v>38</v>
      </c>
      <c r="R1964">
        <v>0</v>
      </c>
      <c r="S1964" t="s">
        <v>38</v>
      </c>
      <c r="T1964">
        <v>10</v>
      </c>
      <c r="U1964">
        <v>1.8</v>
      </c>
      <c r="V1964">
        <v>0</v>
      </c>
      <c r="W1964" t="s">
        <v>38</v>
      </c>
      <c r="X1964" t="s">
        <v>123</v>
      </c>
      <c r="Y1964" t="s">
        <v>38</v>
      </c>
      <c r="Z1964" t="s">
        <v>179</v>
      </c>
      <c r="AA1964" t="s">
        <v>54</v>
      </c>
      <c r="AB1964" t="s">
        <v>83</v>
      </c>
      <c r="AC1964">
        <f t="shared" si="330"/>
        <v>0</v>
      </c>
      <c r="AD1964" s="12">
        <f t="shared" si="334"/>
        <v>0</v>
      </c>
      <c r="AE1964" s="12">
        <f t="shared" si="335"/>
        <v>1</v>
      </c>
      <c r="AF1964">
        <f t="shared" si="331"/>
        <v>1</v>
      </c>
      <c r="AG1964">
        <f t="shared" si="336"/>
        <v>0</v>
      </c>
      <c r="AH1964">
        <f t="shared" si="337"/>
        <v>0</v>
      </c>
      <c r="AI1964">
        <f t="shared" si="338"/>
        <v>0</v>
      </c>
      <c r="AJ1964">
        <f t="shared" si="339"/>
        <v>0</v>
      </c>
      <c r="AK1964">
        <f t="shared" si="332"/>
        <v>0</v>
      </c>
      <c r="AL1964">
        <f t="shared" si="340"/>
        <v>1</v>
      </c>
    </row>
    <row r="1965" spans="1:38">
      <c r="A1965" t="s">
        <v>6022</v>
      </c>
      <c r="B1965" t="s">
        <v>6023</v>
      </c>
      <c r="C1965" s="1">
        <f t="shared" si="333"/>
        <v>45536</v>
      </c>
      <c r="D1965" t="s">
        <v>6024</v>
      </c>
      <c r="E1965">
        <v>284</v>
      </c>
      <c r="F1965">
        <v>11.8</v>
      </c>
      <c r="G1965" t="s">
        <v>77</v>
      </c>
      <c r="H1965" t="s">
        <v>244</v>
      </c>
      <c r="I1965" t="s">
        <v>79</v>
      </c>
      <c r="J1965">
        <v>360</v>
      </c>
      <c r="K1965" t="s">
        <v>49</v>
      </c>
      <c r="L1965" t="s">
        <v>34</v>
      </c>
      <c r="M1965" t="s">
        <v>35</v>
      </c>
      <c r="N1965" t="s">
        <v>144</v>
      </c>
      <c r="O1965" t="s">
        <v>37</v>
      </c>
      <c r="P1965" t="s">
        <v>39</v>
      </c>
      <c r="Q1965" t="s">
        <v>38</v>
      </c>
      <c r="R1965">
        <v>0</v>
      </c>
      <c r="S1965" t="s">
        <v>38</v>
      </c>
      <c r="T1965">
        <v>9</v>
      </c>
      <c r="U1965">
        <v>1.4</v>
      </c>
      <c r="V1965">
        <v>20.2</v>
      </c>
      <c r="W1965" t="s">
        <v>38</v>
      </c>
      <c r="X1965" t="s">
        <v>63</v>
      </c>
      <c r="Y1965" t="s">
        <v>38</v>
      </c>
      <c r="Z1965" t="s">
        <v>81</v>
      </c>
      <c r="AA1965" t="s">
        <v>42</v>
      </c>
      <c r="AB1965" t="s">
        <v>83</v>
      </c>
      <c r="AC1965">
        <f t="shared" si="330"/>
        <v>0</v>
      </c>
      <c r="AD1965" s="12">
        <f t="shared" si="334"/>
        <v>1</v>
      </c>
      <c r="AE1965" s="12">
        <f t="shared" si="335"/>
        <v>0</v>
      </c>
      <c r="AF1965">
        <f t="shared" si="331"/>
        <v>0</v>
      </c>
      <c r="AG1965">
        <f t="shared" si="336"/>
        <v>0</v>
      </c>
      <c r="AH1965">
        <f t="shared" si="337"/>
        <v>0</v>
      </c>
      <c r="AI1965">
        <f t="shared" si="338"/>
        <v>0</v>
      </c>
      <c r="AJ1965">
        <f t="shared" si="339"/>
        <v>0</v>
      </c>
      <c r="AK1965">
        <f t="shared" si="332"/>
        <v>0</v>
      </c>
      <c r="AL1965">
        <f t="shared" si="340"/>
        <v>1</v>
      </c>
    </row>
    <row r="1966" spans="1:38">
      <c r="A1966" t="s">
        <v>6025</v>
      </c>
      <c r="B1966" t="s">
        <v>6026</v>
      </c>
      <c r="C1966" s="1">
        <f t="shared" si="333"/>
        <v>45413</v>
      </c>
      <c r="D1966" t="s">
        <v>6027</v>
      </c>
      <c r="E1966">
        <v>56.3</v>
      </c>
      <c r="F1966">
        <v>2.2999999999999998</v>
      </c>
      <c r="G1966" t="s">
        <v>59</v>
      </c>
      <c r="H1966" t="s">
        <v>132</v>
      </c>
      <c r="I1966" t="s">
        <v>95</v>
      </c>
      <c r="J1966">
        <v>48</v>
      </c>
      <c r="K1966" t="s">
        <v>33</v>
      </c>
      <c r="L1966" t="s">
        <v>70</v>
      </c>
      <c r="M1966" t="s">
        <v>71</v>
      </c>
      <c r="N1966" t="s">
        <v>89</v>
      </c>
      <c r="O1966" t="s">
        <v>7232</v>
      </c>
      <c r="P1966" t="s">
        <v>38</v>
      </c>
      <c r="Q1966" t="s">
        <v>39</v>
      </c>
      <c r="R1966">
        <v>4</v>
      </c>
      <c r="S1966" t="s">
        <v>38</v>
      </c>
      <c r="T1966">
        <v>6</v>
      </c>
      <c r="U1966">
        <v>1.3</v>
      </c>
      <c r="V1966">
        <v>28.9</v>
      </c>
      <c r="W1966" t="s">
        <v>39</v>
      </c>
      <c r="X1966" t="s">
        <v>63</v>
      </c>
      <c r="Y1966" t="s">
        <v>38</v>
      </c>
      <c r="Z1966" t="s">
        <v>108</v>
      </c>
      <c r="AA1966" t="s">
        <v>42</v>
      </c>
      <c r="AB1966" t="s">
        <v>55</v>
      </c>
      <c r="AC1966">
        <f t="shared" si="330"/>
        <v>0</v>
      </c>
      <c r="AD1966" s="12">
        <f t="shared" si="334"/>
        <v>1</v>
      </c>
      <c r="AE1966" s="12">
        <f t="shared" si="335"/>
        <v>0</v>
      </c>
      <c r="AF1966">
        <f t="shared" si="331"/>
        <v>0</v>
      </c>
      <c r="AG1966">
        <f t="shared" si="336"/>
        <v>1</v>
      </c>
      <c r="AH1966">
        <f t="shared" si="337"/>
        <v>0</v>
      </c>
      <c r="AI1966">
        <f t="shared" si="338"/>
        <v>1</v>
      </c>
      <c r="AJ1966">
        <f t="shared" si="339"/>
        <v>0</v>
      </c>
      <c r="AK1966">
        <f t="shared" si="332"/>
        <v>0</v>
      </c>
      <c r="AL1966">
        <f t="shared" si="340"/>
        <v>1</v>
      </c>
    </row>
    <row r="1967" spans="1:38">
      <c r="A1967" t="s">
        <v>6028</v>
      </c>
      <c r="B1967" t="s">
        <v>6029</v>
      </c>
      <c r="C1967" s="1">
        <f t="shared" si="333"/>
        <v>45597</v>
      </c>
      <c r="D1967" t="s">
        <v>6030</v>
      </c>
      <c r="E1967">
        <v>72.900000000000006</v>
      </c>
      <c r="F1967">
        <v>3</v>
      </c>
      <c r="G1967" t="s">
        <v>68</v>
      </c>
      <c r="H1967" t="s">
        <v>219</v>
      </c>
      <c r="I1967" t="s">
        <v>95</v>
      </c>
      <c r="J1967">
        <v>48</v>
      </c>
      <c r="K1967" t="s">
        <v>33</v>
      </c>
      <c r="L1967" t="s">
        <v>113</v>
      </c>
      <c r="M1967" t="s">
        <v>35</v>
      </c>
      <c r="N1967" t="s">
        <v>128</v>
      </c>
      <c r="O1967" t="s">
        <v>7232</v>
      </c>
      <c r="P1967" t="s">
        <v>39</v>
      </c>
      <c r="Q1967" t="s">
        <v>38</v>
      </c>
      <c r="R1967">
        <v>0</v>
      </c>
      <c r="S1967" t="s">
        <v>38</v>
      </c>
      <c r="T1967">
        <v>3</v>
      </c>
      <c r="U1967">
        <v>1.4</v>
      </c>
      <c r="V1967">
        <v>25.3</v>
      </c>
      <c r="W1967" t="s">
        <v>38</v>
      </c>
      <c r="X1967" t="s">
        <v>52</v>
      </c>
      <c r="Y1967" t="s">
        <v>38</v>
      </c>
      <c r="Z1967" t="s">
        <v>64</v>
      </c>
      <c r="AA1967" t="s">
        <v>42</v>
      </c>
      <c r="AB1967" t="s">
        <v>43</v>
      </c>
      <c r="AC1967">
        <f t="shared" si="330"/>
        <v>1</v>
      </c>
      <c r="AD1967" s="12">
        <f t="shared" si="334"/>
        <v>0</v>
      </c>
      <c r="AE1967" s="12">
        <f t="shared" si="335"/>
        <v>0</v>
      </c>
      <c r="AF1967">
        <f t="shared" si="331"/>
        <v>0</v>
      </c>
      <c r="AG1967">
        <f t="shared" si="336"/>
        <v>1</v>
      </c>
      <c r="AH1967">
        <f t="shared" si="337"/>
        <v>0</v>
      </c>
      <c r="AI1967">
        <f t="shared" si="338"/>
        <v>1</v>
      </c>
      <c r="AJ1967">
        <f t="shared" si="339"/>
        <v>0</v>
      </c>
      <c r="AK1967">
        <f t="shared" si="332"/>
        <v>0</v>
      </c>
      <c r="AL1967">
        <f t="shared" si="340"/>
        <v>1</v>
      </c>
    </row>
    <row r="1968" spans="1:38">
      <c r="A1968" t="s">
        <v>6031</v>
      </c>
      <c r="B1968" t="s">
        <v>6032</v>
      </c>
      <c r="C1968" s="1">
        <f t="shared" si="333"/>
        <v>45505</v>
      </c>
      <c r="D1968" t="s">
        <v>6033</v>
      </c>
      <c r="E1968">
        <v>101.7</v>
      </c>
      <c r="F1968">
        <v>4.2</v>
      </c>
      <c r="G1968" t="s">
        <v>77</v>
      </c>
      <c r="H1968" t="s">
        <v>244</v>
      </c>
      <c r="I1968" t="s">
        <v>48</v>
      </c>
      <c r="J1968">
        <v>120</v>
      </c>
      <c r="K1968" t="s">
        <v>49</v>
      </c>
      <c r="L1968" t="s">
        <v>70</v>
      </c>
      <c r="M1968" t="s">
        <v>35</v>
      </c>
      <c r="N1968" t="s">
        <v>89</v>
      </c>
      <c r="O1968" t="s">
        <v>51</v>
      </c>
      <c r="P1968" t="s">
        <v>39</v>
      </c>
      <c r="Q1968" t="s">
        <v>38</v>
      </c>
      <c r="R1968">
        <v>0</v>
      </c>
      <c r="S1968" t="s">
        <v>38</v>
      </c>
      <c r="T1968">
        <v>8</v>
      </c>
      <c r="U1968">
        <v>0.6</v>
      </c>
      <c r="V1968">
        <v>19.3</v>
      </c>
      <c r="W1968" t="s">
        <v>38</v>
      </c>
      <c r="X1968" t="s">
        <v>123</v>
      </c>
      <c r="Y1968" t="s">
        <v>38</v>
      </c>
      <c r="Z1968" t="s">
        <v>179</v>
      </c>
      <c r="AA1968" t="s">
        <v>42</v>
      </c>
      <c r="AB1968" t="s">
        <v>55</v>
      </c>
      <c r="AC1968">
        <f t="shared" si="330"/>
        <v>0</v>
      </c>
      <c r="AD1968" s="12">
        <f t="shared" si="334"/>
        <v>0</v>
      </c>
      <c r="AE1968" s="12">
        <f t="shared" si="335"/>
        <v>1</v>
      </c>
      <c r="AF1968">
        <f t="shared" si="331"/>
        <v>1</v>
      </c>
      <c r="AG1968">
        <f t="shared" si="336"/>
        <v>0</v>
      </c>
      <c r="AH1968">
        <f t="shared" si="337"/>
        <v>1</v>
      </c>
      <c r="AI1968">
        <f t="shared" si="338"/>
        <v>0</v>
      </c>
      <c r="AJ1968">
        <f t="shared" si="339"/>
        <v>0</v>
      </c>
      <c r="AK1968">
        <f t="shared" si="332"/>
        <v>0</v>
      </c>
      <c r="AL1968">
        <f t="shared" si="340"/>
        <v>1</v>
      </c>
    </row>
    <row r="1969" spans="1:38">
      <c r="A1969" t="s">
        <v>6034</v>
      </c>
      <c r="B1969" t="s">
        <v>6035</v>
      </c>
      <c r="C1969" s="1">
        <f t="shared" si="333"/>
        <v>45352</v>
      </c>
      <c r="D1969" t="s">
        <v>6036</v>
      </c>
      <c r="E1969">
        <v>225</v>
      </c>
      <c r="F1969">
        <v>9.4</v>
      </c>
      <c r="G1969" t="s">
        <v>77</v>
      </c>
      <c r="H1969" t="s">
        <v>267</v>
      </c>
      <c r="I1969" t="s">
        <v>79</v>
      </c>
      <c r="J1969">
        <v>360</v>
      </c>
      <c r="K1969" t="s">
        <v>49</v>
      </c>
      <c r="L1969" t="s">
        <v>34</v>
      </c>
      <c r="M1969" t="s">
        <v>35</v>
      </c>
      <c r="N1969" t="s">
        <v>188</v>
      </c>
      <c r="O1969" t="s">
        <v>7232</v>
      </c>
      <c r="P1969" t="s">
        <v>38</v>
      </c>
      <c r="Q1969" t="s">
        <v>38</v>
      </c>
      <c r="R1969">
        <v>1</v>
      </c>
      <c r="S1969" t="s">
        <v>38</v>
      </c>
      <c r="T1969">
        <v>6</v>
      </c>
      <c r="U1969">
        <v>3.5</v>
      </c>
      <c r="V1969">
        <v>26.1</v>
      </c>
      <c r="W1969" t="s">
        <v>39</v>
      </c>
      <c r="X1969" t="s">
        <v>123</v>
      </c>
      <c r="Y1969" t="s">
        <v>39</v>
      </c>
      <c r="Z1969" t="s">
        <v>73</v>
      </c>
      <c r="AA1969" t="s">
        <v>54</v>
      </c>
      <c r="AB1969" t="s">
        <v>55</v>
      </c>
      <c r="AC1969">
        <f t="shared" si="330"/>
        <v>0</v>
      </c>
      <c r="AD1969" s="12">
        <f t="shared" si="334"/>
        <v>0</v>
      </c>
      <c r="AE1969" s="12">
        <f t="shared" si="335"/>
        <v>1</v>
      </c>
      <c r="AF1969">
        <f t="shared" si="331"/>
        <v>0</v>
      </c>
      <c r="AG1969">
        <f t="shared" si="336"/>
        <v>1</v>
      </c>
      <c r="AH1969">
        <f t="shared" si="337"/>
        <v>0</v>
      </c>
      <c r="AI1969">
        <f t="shared" si="338"/>
        <v>0</v>
      </c>
      <c r="AJ1969">
        <f t="shared" si="339"/>
        <v>0</v>
      </c>
      <c r="AK1969">
        <f t="shared" si="332"/>
        <v>0</v>
      </c>
      <c r="AL1969">
        <f t="shared" si="340"/>
        <v>0</v>
      </c>
    </row>
    <row r="1970" spans="1:38">
      <c r="A1970" t="s">
        <v>6037</v>
      </c>
      <c r="B1970" t="s">
        <v>6038</v>
      </c>
      <c r="C1970" s="1">
        <f t="shared" si="333"/>
        <v>45292</v>
      </c>
      <c r="D1970" t="s">
        <v>6039</v>
      </c>
      <c r="E1970">
        <v>66.5</v>
      </c>
      <c r="F1970">
        <v>2.8</v>
      </c>
      <c r="G1970" t="s">
        <v>142</v>
      </c>
      <c r="H1970" t="s">
        <v>240</v>
      </c>
      <c r="I1970" t="s">
        <v>95</v>
      </c>
      <c r="J1970">
        <v>48</v>
      </c>
      <c r="K1970" t="s">
        <v>33</v>
      </c>
      <c r="L1970" t="s">
        <v>96</v>
      </c>
      <c r="M1970" t="s">
        <v>35</v>
      </c>
      <c r="N1970" t="s">
        <v>36</v>
      </c>
      <c r="O1970" t="s">
        <v>7232</v>
      </c>
      <c r="P1970" t="s">
        <v>39</v>
      </c>
      <c r="Q1970" t="s">
        <v>38</v>
      </c>
      <c r="R1970">
        <v>0</v>
      </c>
      <c r="S1970" t="s">
        <v>38</v>
      </c>
      <c r="T1970">
        <v>5</v>
      </c>
      <c r="U1970">
        <v>3.7</v>
      </c>
      <c r="V1970">
        <v>0</v>
      </c>
      <c r="W1970" t="s">
        <v>39</v>
      </c>
      <c r="X1970" t="s">
        <v>63</v>
      </c>
      <c r="Y1970" t="s">
        <v>38</v>
      </c>
      <c r="Z1970" t="s">
        <v>53</v>
      </c>
      <c r="AA1970" t="s">
        <v>42</v>
      </c>
      <c r="AB1970" t="s">
        <v>55</v>
      </c>
      <c r="AC1970">
        <f t="shared" si="330"/>
        <v>0</v>
      </c>
      <c r="AD1970" s="12">
        <f t="shared" si="334"/>
        <v>1</v>
      </c>
      <c r="AE1970" s="12">
        <f t="shared" si="335"/>
        <v>0</v>
      </c>
      <c r="AF1970">
        <f t="shared" si="331"/>
        <v>0</v>
      </c>
      <c r="AG1970">
        <f t="shared" si="336"/>
        <v>1</v>
      </c>
      <c r="AH1970">
        <f t="shared" si="337"/>
        <v>0</v>
      </c>
      <c r="AI1970">
        <f t="shared" si="338"/>
        <v>1</v>
      </c>
      <c r="AJ1970">
        <f t="shared" si="339"/>
        <v>0</v>
      </c>
      <c r="AK1970">
        <f t="shared" si="332"/>
        <v>0</v>
      </c>
      <c r="AL1970">
        <f t="shared" si="340"/>
        <v>1</v>
      </c>
    </row>
    <row r="1971" spans="1:38">
      <c r="A1971" t="s">
        <v>6040</v>
      </c>
      <c r="B1971" t="s">
        <v>6041</v>
      </c>
      <c r="C1971" s="1">
        <f t="shared" si="333"/>
        <v>45352</v>
      </c>
      <c r="D1971" t="s">
        <v>6042</v>
      </c>
      <c r="E1971">
        <v>101.8</v>
      </c>
      <c r="F1971">
        <v>4.2</v>
      </c>
      <c r="G1971" t="s">
        <v>68</v>
      </c>
      <c r="H1971" t="s">
        <v>69</v>
      </c>
      <c r="I1971" t="s">
        <v>48</v>
      </c>
      <c r="J1971">
        <v>120</v>
      </c>
      <c r="K1971" t="s">
        <v>49</v>
      </c>
      <c r="L1971" t="s">
        <v>96</v>
      </c>
      <c r="M1971" t="s">
        <v>35</v>
      </c>
      <c r="N1971" t="s">
        <v>97</v>
      </c>
      <c r="O1971" t="s">
        <v>7232</v>
      </c>
      <c r="P1971" t="s">
        <v>38</v>
      </c>
      <c r="Q1971" t="s">
        <v>38</v>
      </c>
      <c r="R1971">
        <v>1</v>
      </c>
      <c r="S1971" t="s">
        <v>39</v>
      </c>
      <c r="T1971">
        <v>10</v>
      </c>
      <c r="U1971">
        <v>0.1</v>
      </c>
      <c r="V1971">
        <v>32.6</v>
      </c>
      <c r="W1971" t="s">
        <v>38</v>
      </c>
      <c r="X1971" t="s">
        <v>123</v>
      </c>
      <c r="Y1971" t="s">
        <v>39</v>
      </c>
      <c r="Z1971" t="s">
        <v>115</v>
      </c>
      <c r="AA1971" t="s">
        <v>54</v>
      </c>
      <c r="AB1971" t="s">
        <v>43</v>
      </c>
      <c r="AC1971">
        <f t="shared" si="330"/>
        <v>0</v>
      </c>
      <c r="AD1971" s="12">
        <f t="shared" si="334"/>
        <v>0</v>
      </c>
      <c r="AE1971" s="12">
        <f t="shared" si="335"/>
        <v>1</v>
      </c>
      <c r="AF1971">
        <f t="shared" si="331"/>
        <v>0</v>
      </c>
      <c r="AG1971">
        <f t="shared" si="336"/>
        <v>1</v>
      </c>
      <c r="AH1971">
        <f t="shared" si="337"/>
        <v>1</v>
      </c>
      <c r="AI1971">
        <f t="shared" si="338"/>
        <v>0</v>
      </c>
      <c r="AJ1971">
        <f t="shared" si="339"/>
        <v>0</v>
      </c>
      <c r="AK1971">
        <f t="shared" si="332"/>
        <v>0</v>
      </c>
      <c r="AL1971">
        <f t="shared" si="340"/>
        <v>0</v>
      </c>
    </row>
    <row r="1972" spans="1:38">
      <c r="A1972" t="s">
        <v>6043</v>
      </c>
      <c r="B1972" t="s">
        <v>6044</v>
      </c>
      <c r="C1972" s="1">
        <f t="shared" si="333"/>
        <v>45352</v>
      </c>
      <c r="D1972" t="s">
        <v>6045</v>
      </c>
      <c r="E1972">
        <v>87.8</v>
      </c>
      <c r="F1972">
        <v>3.7</v>
      </c>
      <c r="G1972" t="s">
        <v>59</v>
      </c>
      <c r="H1972" t="s">
        <v>60</v>
      </c>
      <c r="I1972" t="s">
        <v>48</v>
      </c>
      <c r="J1972">
        <v>120</v>
      </c>
      <c r="K1972" t="s">
        <v>49</v>
      </c>
      <c r="L1972" t="s">
        <v>34</v>
      </c>
      <c r="M1972" t="s">
        <v>35</v>
      </c>
      <c r="N1972" t="s">
        <v>155</v>
      </c>
      <c r="O1972" t="s">
        <v>51</v>
      </c>
      <c r="P1972" t="s">
        <v>38</v>
      </c>
      <c r="Q1972" t="s">
        <v>38</v>
      </c>
      <c r="R1972">
        <v>1</v>
      </c>
      <c r="S1972" t="s">
        <v>38</v>
      </c>
      <c r="T1972">
        <v>6</v>
      </c>
      <c r="U1972">
        <v>4</v>
      </c>
      <c r="V1972">
        <v>0</v>
      </c>
      <c r="W1972" t="s">
        <v>38</v>
      </c>
      <c r="X1972" t="s">
        <v>63</v>
      </c>
      <c r="Y1972" t="s">
        <v>39</v>
      </c>
      <c r="Z1972" t="s">
        <v>64</v>
      </c>
      <c r="AA1972" t="s">
        <v>82</v>
      </c>
      <c r="AB1972" t="s">
        <v>83</v>
      </c>
      <c r="AC1972">
        <f t="shared" si="330"/>
        <v>0</v>
      </c>
      <c r="AD1972" s="12">
        <f t="shared" si="334"/>
        <v>1</v>
      </c>
      <c r="AE1972" s="12">
        <f t="shared" si="335"/>
        <v>0</v>
      </c>
      <c r="AF1972">
        <f t="shared" si="331"/>
        <v>1</v>
      </c>
      <c r="AG1972">
        <f t="shared" si="336"/>
        <v>0</v>
      </c>
      <c r="AH1972">
        <f t="shared" si="337"/>
        <v>1</v>
      </c>
      <c r="AI1972">
        <f t="shared" si="338"/>
        <v>0</v>
      </c>
      <c r="AJ1972">
        <f t="shared" si="339"/>
        <v>0</v>
      </c>
      <c r="AK1972">
        <f t="shared" si="332"/>
        <v>0</v>
      </c>
      <c r="AL1972">
        <f t="shared" si="340"/>
        <v>0</v>
      </c>
    </row>
    <row r="1973" spans="1:38">
      <c r="A1973" t="s">
        <v>6046</v>
      </c>
      <c r="B1973" t="s">
        <v>6047</v>
      </c>
      <c r="C1973" s="1">
        <f t="shared" si="333"/>
        <v>45536</v>
      </c>
      <c r="D1973" t="s">
        <v>6048</v>
      </c>
      <c r="E1973">
        <v>177.4</v>
      </c>
      <c r="F1973">
        <v>7.4</v>
      </c>
      <c r="G1973" t="s">
        <v>30</v>
      </c>
      <c r="H1973" t="s">
        <v>47</v>
      </c>
      <c r="I1973" t="s">
        <v>32</v>
      </c>
      <c r="J1973">
        <v>240</v>
      </c>
      <c r="K1973" t="s">
        <v>49</v>
      </c>
      <c r="L1973" t="s">
        <v>70</v>
      </c>
      <c r="M1973" t="s">
        <v>35</v>
      </c>
      <c r="N1973" t="s">
        <v>36</v>
      </c>
      <c r="O1973" t="s">
        <v>37</v>
      </c>
      <c r="P1973" t="s">
        <v>39</v>
      </c>
      <c r="Q1973" t="s">
        <v>38</v>
      </c>
      <c r="R1973">
        <v>0</v>
      </c>
      <c r="S1973" t="s">
        <v>39</v>
      </c>
      <c r="T1973">
        <v>8</v>
      </c>
      <c r="U1973">
        <v>3.3</v>
      </c>
      <c r="V1973">
        <v>23.8</v>
      </c>
      <c r="W1973" t="s">
        <v>38</v>
      </c>
      <c r="X1973" t="s">
        <v>63</v>
      </c>
      <c r="Y1973" t="s">
        <v>39</v>
      </c>
      <c r="Z1973" t="s">
        <v>81</v>
      </c>
      <c r="AA1973" t="s">
        <v>103</v>
      </c>
      <c r="AB1973" t="s">
        <v>55</v>
      </c>
      <c r="AC1973">
        <f t="shared" si="330"/>
        <v>0</v>
      </c>
      <c r="AD1973" s="12">
        <f t="shared" si="334"/>
        <v>1</v>
      </c>
      <c r="AE1973" s="12">
        <f t="shared" si="335"/>
        <v>0</v>
      </c>
      <c r="AF1973">
        <f t="shared" si="331"/>
        <v>0</v>
      </c>
      <c r="AG1973">
        <f t="shared" si="336"/>
        <v>0</v>
      </c>
      <c r="AH1973">
        <f t="shared" si="337"/>
        <v>0</v>
      </c>
      <c r="AI1973">
        <f t="shared" si="338"/>
        <v>0</v>
      </c>
      <c r="AJ1973">
        <f t="shared" si="339"/>
        <v>1</v>
      </c>
      <c r="AK1973">
        <f t="shared" si="332"/>
        <v>1</v>
      </c>
      <c r="AL1973">
        <f t="shared" si="340"/>
        <v>0</v>
      </c>
    </row>
    <row r="1974" spans="1:38">
      <c r="A1974" t="s">
        <v>6049</v>
      </c>
      <c r="B1974" t="s">
        <v>6050</v>
      </c>
      <c r="C1974" s="1">
        <f t="shared" si="333"/>
        <v>45292</v>
      </c>
      <c r="D1974" t="s">
        <v>6051</v>
      </c>
      <c r="E1974">
        <v>209.5</v>
      </c>
      <c r="F1974">
        <v>8.6999999999999993</v>
      </c>
      <c r="G1974" t="s">
        <v>142</v>
      </c>
      <c r="H1974" t="s">
        <v>240</v>
      </c>
      <c r="I1974" t="s">
        <v>32</v>
      </c>
      <c r="J1974">
        <v>240</v>
      </c>
      <c r="K1974" t="s">
        <v>49</v>
      </c>
      <c r="L1974" t="s">
        <v>96</v>
      </c>
      <c r="M1974" t="s">
        <v>35</v>
      </c>
      <c r="N1974" t="s">
        <v>202</v>
      </c>
      <c r="O1974" t="s">
        <v>7232</v>
      </c>
      <c r="P1974" t="s">
        <v>38</v>
      </c>
      <c r="Q1974" t="s">
        <v>38</v>
      </c>
      <c r="R1974">
        <v>1</v>
      </c>
      <c r="S1974" t="s">
        <v>38</v>
      </c>
      <c r="T1974">
        <v>8</v>
      </c>
      <c r="U1974">
        <v>1</v>
      </c>
      <c r="V1974">
        <v>5.2</v>
      </c>
      <c r="W1974" t="s">
        <v>38</v>
      </c>
      <c r="X1974" t="s">
        <v>52</v>
      </c>
      <c r="Y1974" t="s">
        <v>39</v>
      </c>
      <c r="Z1974" t="s">
        <v>179</v>
      </c>
      <c r="AA1974" t="s">
        <v>103</v>
      </c>
      <c r="AB1974" t="s">
        <v>83</v>
      </c>
      <c r="AC1974">
        <f t="shared" si="330"/>
        <v>1</v>
      </c>
      <c r="AD1974" s="12">
        <f t="shared" si="334"/>
        <v>0</v>
      </c>
      <c r="AE1974" s="12">
        <f t="shared" si="335"/>
        <v>0</v>
      </c>
      <c r="AF1974">
        <f t="shared" si="331"/>
        <v>0</v>
      </c>
      <c r="AG1974">
        <f t="shared" si="336"/>
        <v>1</v>
      </c>
      <c r="AH1974">
        <f t="shared" si="337"/>
        <v>0</v>
      </c>
      <c r="AI1974">
        <f t="shared" si="338"/>
        <v>0</v>
      </c>
      <c r="AJ1974">
        <f t="shared" si="339"/>
        <v>1</v>
      </c>
      <c r="AK1974">
        <f t="shared" si="332"/>
        <v>0</v>
      </c>
      <c r="AL1974">
        <f t="shared" si="340"/>
        <v>0</v>
      </c>
    </row>
    <row r="1975" spans="1:38">
      <c r="A1975" t="s">
        <v>6052</v>
      </c>
      <c r="B1975" t="s">
        <v>6053</v>
      </c>
      <c r="C1975" s="1">
        <f t="shared" si="333"/>
        <v>45444</v>
      </c>
      <c r="D1975" t="s">
        <v>6054</v>
      </c>
      <c r="E1975">
        <v>334.4</v>
      </c>
      <c r="F1975">
        <v>13.9</v>
      </c>
      <c r="G1975" t="s">
        <v>77</v>
      </c>
      <c r="H1975" t="s">
        <v>187</v>
      </c>
      <c r="I1975" t="s">
        <v>79</v>
      </c>
      <c r="J1975">
        <v>360</v>
      </c>
      <c r="K1975" t="s">
        <v>49</v>
      </c>
      <c r="L1975" t="s">
        <v>96</v>
      </c>
      <c r="M1975" t="s">
        <v>35</v>
      </c>
      <c r="N1975" t="s">
        <v>114</v>
      </c>
      <c r="O1975" t="s">
        <v>51</v>
      </c>
      <c r="P1975" t="s">
        <v>39</v>
      </c>
      <c r="Q1975" t="s">
        <v>38</v>
      </c>
      <c r="R1975">
        <v>0</v>
      </c>
      <c r="S1975" t="s">
        <v>38</v>
      </c>
      <c r="T1975">
        <v>7</v>
      </c>
      <c r="U1975">
        <v>2.2000000000000002</v>
      </c>
      <c r="V1975">
        <v>8.1</v>
      </c>
      <c r="W1975" t="s">
        <v>38</v>
      </c>
      <c r="X1975" t="s">
        <v>63</v>
      </c>
      <c r="Y1975" t="s">
        <v>39</v>
      </c>
      <c r="Z1975" t="s">
        <v>41</v>
      </c>
      <c r="AA1975" t="s">
        <v>82</v>
      </c>
      <c r="AB1975" t="s">
        <v>83</v>
      </c>
      <c r="AC1975">
        <f t="shared" si="330"/>
        <v>0</v>
      </c>
      <c r="AD1975" s="12">
        <f t="shared" si="334"/>
        <v>1</v>
      </c>
      <c r="AE1975" s="12">
        <f t="shared" si="335"/>
        <v>0</v>
      </c>
      <c r="AF1975">
        <f t="shared" si="331"/>
        <v>1</v>
      </c>
      <c r="AG1975">
        <f t="shared" si="336"/>
        <v>0</v>
      </c>
      <c r="AH1975">
        <f t="shared" si="337"/>
        <v>0</v>
      </c>
      <c r="AI1975">
        <f t="shared" si="338"/>
        <v>0</v>
      </c>
      <c r="AJ1975">
        <f t="shared" si="339"/>
        <v>0</v>
      </c>
      <c r="AK1975">
        <f t="shared" si="332"/>
        <v>0</v>
      </c>
      <c r="AL1975">
        <f t="shared" si="340"/>
        <v>0</v>
      </c>
    </row>
    <row r="1976" spans="1:38">
      <c r="A1976" t="s">
        <v>6055</v>
      </c>
      <c r="B1976" t="s">
        <v>6056</v>
      </c>
      <c r="C1976" s="1">
        <f t="shared" si="333"/>
        <v>45383</v>
      </c>
      <c r="D1976" t="s">
        <v>6057</v>
      </c>
      <c r="E1976">
        <v>392.9</v>
      </c>
      <c r="F1976">
        <v>16.399999999999999</v>
      </c>
      <c r="G1976" t="s">
        <v>101</v>
      </c>
      <c r="H1976" t="s">
        <v>295</v>
      </c>
      <c r="I1976" t="s">
        <v>79</v>
      </c>
      <c r="J1976">
        <v>360</v>
      </c>
      <c r="K1976" t="s">
        <v>33</v>
      </c>
      <c r="L1976" t="s">
        <v>113</v>
      </c>
      <c r="M1976" t="s">
        <v>35</v>
      </c>
      <c r="N1976" t="s">
        <v>50</v>
      </c>
      <c r="O1976" t="s">
        <v>51</v>
      </c>
      <c r="P1976" t="s">
        <v>39</v>
      </c>
      <c r="Q1976" t="s">
        <v>38</v>
      </c>
      <c r="R1976">
        <v>0</v>
      </c>
      <c r="S1976" t="s">
        <v>38</v>
      </c>
      <c r="T1976">
        <v>7</v>
      </c>
      <c r="U1976">
        <v>1.6</v>
      </c>
      <c r="V1976">
        <v>25.7</v>
      </c>
      <c r="W1976" t="s">
        <v>39</v>
      </c>
      <c r="X1976" t="s">
        <v>123</v>
      </c>
      <c r="Y1976" t="s">
        <v>39</v>
      </c>
      <c r="Z1976" t="s">
        <v>179</v>
      </c>
      <c r="AA1976" t="s">
        <v>42</v>
      </c>
      <c r="AB1976" t="s">
        <v>55</v>
      </c>
      <c r="AC1976">
        <f t="shared" si="330"/>
        <v>0</v>
      </c>
      <c r="AD1976" s="12">
        <f t="shared" si="334"/>
        <v>0</v>
      </c>
      <c r="AE1976" s="12">
        <f t="shared" si="335"/>
        <v>1</v>
      </c>
      <c r="AF1976">
        <f t="shared" si="331"/>
        <v>1</v>
      </c>
      <c r="AG1976">
        <f t="shared" si="336"/>
        <v>0</v>
      </c>
      <c r="AH1976">
        <f t="shared" si="337"/>
        <v>0</v>
      </c>
      <c r="AI1976">
        <f t="shared" si="338"/>
        <v>0</v>
      </c>
      <c r="AJ1976">
        <f t="shared" si="339"/>
        <v>0</v>
      </c>
      <c r="AK1976">
        <f t="shared" si="332"/>
        <v>0</v>
      </c>
      <c r="AL1976">
        <f t="shared" si="340"/>
        <v>0</v>
      </c>
    </row>
    <row r="1977" spans="1:38">
      <c r="A1977" t="s">
        <v>6058</v>
      </c>
      <c r="B1977" t="s">
        <v>6059</v>
      </c>
      <c r="C1977" s="1">
        <f t="shared" si="333"/>
        <v>45474</v>
      </c>
      <c r="D1977" t="s">
        <v>6060</v>
      </c>
      <c r="E1977">
        <v>200.3</v>
      </c>
      <c r="F1977">
        <v>8.3000000000000007</v>
      </c>
      <c r="G1977" t="s">
        <v>87</v>
      </c>
      <c r="H1977" t="s">
        <v>183</v>
      </c>
      <c r="I1977" t="s">
        <v>32</v>
      </c>
      <c r="J1977">
        <v>240</v>
      </c>
      <c r="K1977" t="s">
        <v>49</v>
      </c>
      <c r="L1977" t="s">
        <v>96</v>
      </c>
      <c r="M1977" t="s">
        <v>71</v>
      </c>
      <c r="N1977" t="s">
        <v>61</v>
      </c>
      <c r="O1977" t="s">
        <v>7232</v>
      </c>
      <c r="P1977" t="s">
        <v>38</v>
      </c>
      <c r="Q1977" t="s">
        <v>39</v>
      </c>
      <c r="R1977">
        <v>1</v>
      </c>
      <c r="S1977" t="s">
        <v>38</v>
      </c>
      <c r="T1977">
        <v>5</v>
      </c>
      <c r="U1977">
        <v>2.2000000000000002</v>
      </c>
      <c r="V1977">
        <v>0.1</v>
      </c>
      <c r="W1977" t="s">
        <v>39</v>
      </c>
      <c r="X1977" t="s">
        <v>123</v>
      </c>
      <c r="Y1977" t="s">
        <v>39</v>
      </c>
      <c r="Z1977" t="s">
        <v>179</v>
      </c>
      <c r="AA1977" t="s">
        <v>54</v>
      </c>
      <c r="AB1977" t="s">
        <v>55</v>
      </c>
      <c r="AC1977">
        <f t="shared" si="330"/>
        <v>0</v>
      </c>
      <c r="AD1977" s="12">
        <f t="shared" si="334"/>
        <v>0</v>
      </c>
      <c r="AE1977" s="12">
        <f t="shared" si="335"/>
        <v>1</v>
      </c>
      <c r="AF1977">
        <f t="shared" si="331"/>
        <v>0</v>
      </c>
      <c r="AG1977">
        <f t="shared" si="336"/>
        <v>1</v>
      </c>
      <c r="AH1977">
        <f t="shared" si="337"/>
        <v>0</v>
      </c>
      <c r="AI1977">
        <f t="shared" si="338"/>
        <v>0</v>
      </c>
      <c r="AJ1977">
        <f t="shared" si="339"/>
        <v>1</v>
      </c>
      <c r="AK1977">
        <f t="shared" si="332"/>
        <v>0</v>
      </c>
      <c r="AL1977">
        <f t="shared" si="340"/>
        <v>0</v>
      </c>
    </row>
    <row r="1978" spans="1:38">
      <c r="A1978" t="s">
        <v>6061</v>
      </c>
      <c r="B1978" t="s">
        <v>6062</v>
      </c>
      <c r="C1978" s="1">
        <f t="shared" si="333"/>
        <v>45444</v>
      </c>
      <c r="D1978" t="s">
        <v>6063</v>
      </c>
      <c r="E1978">
        <v>37.799999999999997</v>
      </c>
      <c r="F1978">
        <v>1.6</v>
      </c>
      <c r="G1978" t="s">
        <v>59</v>
      </c>
      <c r="H1978" t="s">
        <v>127</v>
      </c>
      <c r="I1978" t="s">
        <v>95</v>
      </c>
      <c r="J1978">
        <v>48</v>
      </c>
      <c r="K1978" t="s">
        <v>49</v>
      </c>
      <c r="L1978" t="s">
        <v>96</v>
      </c>
      <c r="M1978" t="s">
        <v>71</v>
      </c>
      <c r="N1978" t="s">
        <v>119</v>
      </c>
      <c r="O1978" t="s">
        <v>37</v>
      </c>
      <c r="P1978" t="s">
        <v>38</v>
      </c>
      <c r="Q1978" t="s">
        <v>39</v>
      </c>
      <c r="R1978">
        <v>1</v>
      </c>
      <c r="S1978" t="s">
        <v>38</v>
      </c>
      <c r="T1978">
        <v>9</v>
      </c>
      <c r="U1978">
        <v>0.9</v>
      </c>
      <c r="V1978">
        <v>26.3</v>
      </c>
      <c r="W1978" t="s">
        <v>38</v>
      </c>
      <c r="X1978" t="s">
        <v>52</v>
      </c>
      <c r="Y1978" t="s">
        <v>38</v>
      </c>
      <c r="Z1978" t="s">
        <v>53</v>
      </c>
      <c r="AA1978" t="s">
        <v>109</v>
      </c>
      <c r="AB1978" t="s">
        <v>83</v>
      </c>
      <c r="AC1978">
        <f t="shared" si="330"/>
        <v>1</v>
      </c>
      <c r="AD1978" s="12">
        <f t="shared" si="334"/>
        <v>0</v>
      </c>
      <c r="AE1978" s="12">
        <f t="shared" si="335"/>
        <v>0</v>
      </c>
      <c r="AF1978">
        <f t="shared" si="331"/>
        <v>0</v>
      </c>
      <c r="AG1978">
        <f t="shared" si="336"/>
        <v>0</v>
      </c>
      <c r="AH1978">
        <f t="shared" si="337"/>
        <v>0</v>
      </c>
      <c r="AI1978">
        <f t="shared" si="338"/>
        <v>1</v>
      </c>
      <c r="AJ1978">
        <f t="shared" si="339"/>
        <v>0</v>
      </c>
      <c r="AK1978">
        <f t="shared" si="332"/>
        <v>0</v>
      </c>
      <c r="AL1978">
        <f t="shared" si="340"/>
        <v>1</v>
      </c>
    </row>
    <row r="1979" spans="1:38">
      <c r="A1979" t="s">
        <v>6064</v>
      </c>
      <c r="B1979" t="s">
        <v>6065</v>
      </c>
      <c r="C1979" s="1">
        <f t="shared" si="333"/>
        <v>45505</v>
      </c>
      <c r="D1979" t="s">
        <v>6066</v>
      </c>
      <c r="E1979">
        <v>258.7</v>
      </c>
      <c r="F1979">
        <v>10.8</v>
      </c>
      <c r="G1979" t="s">
        <v>59</v>
      </c>
      <c r="H1979" t="s">
        <v>466</v>
      </c>
      <c r="I1979" t="s">
        <v>79</v>
      </c>
      <c r="J1979">
        <v>360</v>
      </c>
      <c r="K1979" t="s">
        <v>49</v>
      </c>
      <c r="L1979" t="s">
        <v>70</v>
      </c>
      <c r="M1979" t="s">
        <v>71</v>
      </c>
      <c r="N1979" t="s">
        <v>414</v>
      </c>
      <c r="O1979" t="s">
        <v>51</v>
      </c>
      <c r="P1979" t="s">
        <v>38</v>
      </c>
      <c r="Q1979" t="s">
        <v>39</v>
      </c>
      <c r="R1979">
        <v>4</v>
      </c>
      <c r="S1979" t="s">
        <v>39</v>
      </c>
      <c r="T1979">
        <v>8</v>
      </c>
      <c r="U1979">
        <v>2.4</v>
      </c>
      <c r="V1979">
        <v>32.1</v>
      </c>
      <c r="W1979" t="s">
        <v>39</v>
      </c>
      <c r="X1979" t="s">
        <v>63</v>
      </c>
      <c r="Y1979" t="s">
        <v>39</v>
      </c>
      <c r="Z1979" t="s">
        <v>73</v>
      </c>
      <c r="AA1979" t="s">
        <v>109</v>
      </c>
      <c r="AB1979" t="s">
        <v>43</v>
      </c>
      <c r="AC1979">
        <f t="shared" si="330"/>
        <v>0</v>
      </c>
      <c r="AD1979" s="12">
        <f t="shared" si="334"/>
        <v>1</v>
      </c>
      <c r="AE1979" s="12">
        <f t="shared" si="335"/>
        <v>0</v>
      </c>
      <c r="AF1979">
        <f t="shared" si="331"/>
        <v>1</v>
      </c>
      <c r="AG1979">
        <f t="shared" si="336"/>
        <v>0</v>
      </c>
      <c r="AH1979">
        <f t="shared" si="337"/>
        <v>0</v>
      </c>
      <c r="AI1979">
        <f t="shared" si="338"/>
        <v>0</v>
      </c>
      <c r="AJ1979">
        <f t="shared" si="339"/>
        <v>0</v>
      </c>
      <c r="AK1979">
        <f t="shared" si="332"/>
        <v>0</v>
      </c>
      <c r="AL1979">
        <f t="shared" si="340"/>
        <v>0</v>
      </c>
    </row>
    <row r="1980" spans="1:38">
      <c r="A1980" t="s">
        <v>6067</v>
      </c>
      <c r="B1980" t="s">
        <v>6068</v>
      </c>
      <c r="C1980" s="1">
        <f t="shared" si="333"/>
        <v>45474</v>
      </c>
      <c r="D1980" t="s">
        <v>6069</v>
      </c>
      <c r="E1980">
        <v>167.2</v>
      </c>
      <c r="F1980">
        <v>7</v>
      </c>
      <c r="G1980" t="s">
        <v>87</v>
      </c>
      <c r="H1980" t="s">
        <v>88</v>
      </c>
      <c r="I1980" t="s">
        <v>32</v>
      </c>
      <c r="J1980">
        <v>240</v>
      </c>
      <c r="K1980" t="s">
        <v>49</v>
      </c>
      <c r="L1980" t="s">
        <v>113</v>
      </c>
      <c r="M1980" t="s">
        <v>35</v>
      </c>
      <c r="N1980" t="s">
        <v>138</v>
      </c>
      <c r="O1980" t="s">
        <v>37</v>
      </c>
      <c r="P1980" t="s">
        <v>38</v>
      </c>
      <c r="Q1980" t="s">
        <v>38</v>
      </c>
      <c r="R1980">
        <v>1</v>
      </c>
      <c r="S1980" t="s">
        <v>39</v>
      </c>
      <c r="T1980">
        <v>5</v>
      </c>
      <c r="U1980">
        <v>5.3</v>
      </c>
      <c r="V1980">
        <v>14</v>
      </c>
      <c r="W1980" t="s">
        <v>39</v>
      </c>
      <c r="X1980" t="s">
        <v>63</v>
      </c>
      <c r="Y1980" t="s">
        <v>39</v>
      </c>
      <c r="Z1980" t="s">
        <v>115</v>
      </c>
      <c r="AA1980" t="s">
        <v>54</v>
      </c>
      <c r="AB1980" t="s">
        <v>55</v>
      </c>
      <c r="AC1980">
        <f t="shared" si="330"/>
        <v>0</v>
      </c>
      <c r="AD1980" s="12">
        <f t="shared" si="334"/>
        <v>1</v>
      </c>
      <c r="AE1980" s="12">
        <f t="shared" si="335"/>
        <v>0</v>
      </c>
      <c r="AF1980">
        <f t="shared" si="331"/>
        <v>0</v>
      </c>
      <c r="AG1980">
        <f t="shared" si="336"/>
        <v>0</v>
      </c>
      <c r="AH1980">
        <f t="shared" si="337"/>
        <v>0</v>
      </c>
      <c r="AI1980">
        <f t="shared" si="338"/>
        <v>0</v>
      </c>
      <c r="AJ1980">
        <f t="shared" si="339"/>
        <v>1</v>
      </c>
      <c r="AK1980">
        <f t="shared" si="332"/>
        <v>0</v>
      </c>
      <c r="AL1980">
        <f t="shared" si="340"/>
        <v>0</v>
      </c>
    </row>
    <row r="1981" spans="1:38">
      <c r="A1981" t="s">
        <v>6070</v>
      </c>
      <c r="B1981" t="s">
        <v>6071</v>
      </c>
      <c r="C1981" s="1">
        <f t="shared" si="333"/>
        <v>45383</v>
      </c>
      <c r="D1981" t="s">
        <v>6072</v>
      </c>
      <c r="E1981">
        <v>87.6</v>
      </c>
      <c r="F1981">
        <v>3.7</v>
      </c>
      <c r="G1981" t="s">
        <v>30</v>
      </c>
      <c r="H1981" t="s">
        <v>47</v>
      </c>
      <c r="I1981" t="s">
        <v>48</v>
      </c>
      <c r="J1981">
        <v>120</v>
      </c>
      <c r="K1981" t="s">
        <v>49</v>
      </c>
      <c r="L1981" t="s">
        <v>96</v>
      </c>
      <c r="M1981" t="s">
        <v>35</v>
      </c>
      <c r="N1981" t="s">
        <v>50</v>
      </c>
      <c r="O1981" t="s">
        <v>51</v>
      </c>
      <c r="P1981" t="s">
        <v>38</v>
      </c>
      <c r="Q1981" t="s">
        <v>38</v>
      </c>
      <c r="R1981">
        <v>1</v>
      </c>
      <c r="S1981" t="s">
        <v>39</v>
      </c>
      <c r="T1981">
        <v>10</v>
      </c>
      <c r="U1981">
        <v>2.2999999999999998</v>
      </c>
      <c r="V1981">
        <v>13.2</v>
      </c>
      <c r="W1981" t="s">
        <v>39</v>
      </c>
      <c r="X1981" t="s">
        <v>52</v>
      </c>
      <c r="Y1981" t="s">
        <v>39</v>
      </c>
      <c r="Z1981" t="s">
        <v>179</v>
      </c>
      <c r="AA1981" t="s">
        <v>109</v>
      </c>
      <c r="AB1981" t="s">
        <v>83</v>
      </c>
      <c r="AC1981">
        <f t="shared" si="330"/>
        <v>1</v>
      </c>
      <c r="AD1981" s="12">
        <f t="shared" si="334"/>
        <v>0</v>
      </c>
      <c r="AE1981" s="12">
        <f t="shared" si="335"/>
        <v>0</v>
      </c>
      <c r="AF1981">
        <f t="shared" si="331"/>
        <v>1</v>
      </c>
      <c r="AG1981">
        <f t="shared" si="336"/>
        <v>0</v>
      </c>
      <c r="AH1981">
        <f t="shared" si="337"/>
        <v>1</v>
      </c>
      <c r="AI1981">
        <f t="shared" si="338"/>
        <v>0</v>
      </c>
      <c r="AJ1981">
        <f t="shared" si="339"/>
        <v>0</v>
      </c>
      <c r="AK1981">
        <f t="shared" si="332"/>
        <v>1</v>
      </c>
      <c r="AL1981">
        <f t="shared" si="340"/>
        <v>0</v>
      </c>
    </row>
    <row r="1982" spans="1:38">
      <c r="A1982" t="s">
        <v>6073</v>
      </c>
      <c r="B1982" t="s">
        <v>6074</v>
      </c>
      <c r="C1982" s="1">
        <f t="shared" si="333"/>
        <v>45323</v>
      </c>
      <c r="D1982" t="s">
        <v>6075</v>
      </c>
      <c r="E1982">
        <v>210.6</v>
      </c>
      <c r="F1982">
        <v>8.8000000000000007</v>
      </c>
      <c r="G1982" t="s">
        <v>30</v>
      </c>
      <c r="H1982" t="s">
        <v>47</v>
      </c>
      <c r="I1982" t="s">
        <v>32</v>
      </c>
      <c r="J1982">
        <v>240</v>
      </c>
      <c r="K1982" t="s">
        <v>49</v>
      </c>
      <c r="L1982" t="s">
        <v>96</v>
      </c>
      <c r="M1982" t="s">
        <v>35</v>
      </c>
      <c r="N1982" t="s">
        <v>192</v>
      </c>
      <c r="O1982" t="s">
        <v>51</v>
      </c>
      <c r="P1982" t="s">
        <v>38</v>
      </c>
      <c r="Q1982" t="s">
        <v>38</v>
      </c>
      <c r="R1982">
        <v>1</v>
      </c>
      <c r="S1982" t="s">
        <v>38</v>
      </c>
      <c r="T1982">
        <v>9</v>
      </c>
      <c r="U1982">
        <v>4.5</v>
      </c>
      <c r="V1982">
        <v>19.100000000000001</v>
      </c>
      <c r="W1982" t="s">
        <v>39</v>
      </c>
      <c r="X1982" t="s">
        <v>123</v>
      </c>
      <c r="Y1982" t="s">
        <v>39</v>
      </c>
      <c r="Z1982" t="s">
        <v>64</v>
      </c>
      <c r="AA1982" t="s">
        <v>103</v>
      </c>
      <c r="AB1982" t="s">
        <v>83</v>
      </c>
      <c r="AC1982">
        <f t="shared" si="330"/>
        <v>0</v>
      </c>
      <c r="AD1982" s="12">
        <f t="shared" si="334"/>
        <v>0</v>
      </c>
      <c r="AE1982" s="12">
        <f t="shared" si="335"/>
        <v>1</v>
      </c>
      <c r="AF1982">
        <f t="shared" si="331"/>
        <v>1</v>
      </c>
      <c r="AG1982">
        <f t="shared" si="336"/>
        <v>0</v>
      </c>
      <c r="AH1982">
        <f t="shared" si="337"/>
        <v>0</v>
      </c>
      <c r="AI1982">
        <f t="shared" si="338"/>
        <v>0</v>
      </c>
      <c r="AJ1982">
        <f t="shared" si="339"/>
        <v>1</v>
      </c>
      <c r="AK1982">
        <f t="shared" si="332"/>
        <v>1</v>
      </c>
      <c r="AL1982">
        <f t="shared" si="340"/>
        <v>0</v>
      </c>
    </row>
    <row r="1983" spans="1:38">
      <c r="A1983" t="s">
        <v>6076</v>
      </c>
      <c r="B1983" t="s">
        <v>6077</v>
      </c>
      <c r="C1983" s="1">
        <f t="shared" si="333"/>
        <v>45505</v>
      </c>
      <c r="D1983" t="s">
        <v>6078</v>
      </c>
      <c r="E1983">
        <v>184.4</v>
      </c>
      <c r="F1983">
        <v>7.7</v>
      </c>
      <c r="G1983" t="s">
        <v>59</v>
      </c>
      <c r="H1983" t="s">
        <v>60</v>
      </c>
      <c r="I1983" t="s">
        <v>32</v>
      </c>
      <c r="J1983">
        <v>240</v>
      </c>
      <c r="K1983" t="s">
        <v>49</v>
      </c>
      <c r="L1983" t="s">
        <v>70</v>
      </c>
      <c r="M1983" t="s">
        <v>35</v>
      </c>
      <c r="N1983" t="s">
        <v>299</v>
      </c>
      <c r="O1983" t="s">
        <v>51</v>
      </c>
      <c r="P1983" t="s">
        <v>39</v>
      </c>
      <c r="Q1983" t="s">
        <v>38</v>
      </c>
      <c r="R1983">
        <v>0</v>
      </c>
      <c r="S1983" t="s">
        <v>39</v>
      </c>
      <c r="T1983">
        <v>9</v>
      </c>
      <c r="U1983">
        <v>3.8</v>
      </c>
      <c r="V1983">
        <v>3.3</v>
      </c>
      <c r="W1983" t="s">
        <v>39</v>
      </c>
      <c r="X1983" t="s">
        <v>63</v>
      </c>
      <c r="Y1983" t="s">
        <v>39</v>
      </c>
      <c r="Z1983" t="s">
        <v>73</v>
      </c>
      <c r="AA1983" t="s">
        <v>54</v>
      </c>
      <c r="AB1983" t="s">
        <v>55</v>
      </c>
      <c r="AC1983">
        <f t="shared" si="330"/>
        <v>0</v>
      </c>
      <c r="AD1983" s="12">
        <f t="shared" si="334"/>
        <v>1</v>
      </c>
      <c r="AE1983" s="12">
        <f t="shared" si="335"/>
        <v>0</v>
      </c>
      <c r="AF1983">
        <f t="shared" si="331"/>
        <v>1</v>
      </c>
      <c r="AG1983">
        <f t="shared" si="336"/>
        <v>0</v>
      </c>
      <c r="AH1983">
        <f t="shared" si="337"/>
        <v>0</v>
      </c>
      <c r="AI1983">
        <f t="shared" si="338"/>
        <v>0</v>
      </c>
      <c r="AJ1983">
        <f t="shared" si="339"/>
        <v>1</v>
      </c>
      <c r="AK1983">
        <f t="shared" si="332"/>
        <v>0</v>
      </c>
      <c r="AL1983">
        <f t="shared" si="340"/>
        <v>0</v>
      </c>
    </row>
    <row r="1984" spans="1:38">
      <c r="A1984" t="s">
        <v>6079</v>
      </c>
      <c r="B1984" t="s">
        <v>6080</v>
      </c>
      <c r="C1984" s="1">
        <f t="shared" si="333"/>
        <v>45597</v>
      </c>
      <c r="D1984" t="s">
        <v>6081</v>
      </c>
      <c r="E1984">
        <v>278.60000000000002</v>
      </c>
      <c r="F1984">
        <v>11.6</v>
      </c>
      <c r="G1984" t="s">
        <v>77</v>
      </c>
      <c r="H1984" t="s">
        <v>244</v>
      </c>
      <c r="I1984" t="s">
        <v>79</v>
      </c>
      <c r="J1984">
        <v>360</v>
      </c>
      <c r="K1984" t="s">
        <v>49</v>
      </c>
      <c r="L1984" t="s">
        <v>133</v>
      </c>
      <c r="M1984" t="s">
        <v>35</v>
      </c>
      <c r="N1984" t="s">
        <v>277</v>
      </c>
      <c r="O1984" t="s">
        <v>51</v>
      </c>
      <c r="P1984" t="s">
        <v>39</v>
      </c>
      <c r="Q1984" t="s">
        <v>38</v>
      </c>
      <c r="R1984">
        <v>0</v>
      </c>
      <c r="S1984" t="s">
        <v>38</v>
      </c>
      <c r="T1984">
        <v>6</v>
      </c>
      <c r="U1984">
        <v>4.2</v>
      </c>
      <c r="V1984">
        <v>16.2</v>
      </c>
      <c r="W1984" t="s">
        <v>39</v>
      </c>
      <c r="X1984" t="s">
        <v>63</v>
      </c>
      <c r="Y1984" t="s">
        <v>39</v>
      </c>
      <c r="Z1984" t="s">
        <v>64</v>
      </c>
      <c r="AA1984" t="s">
        <v>54</v>
      </c>
      <c r="AB1984" t="s">
        <v>55</v>
      </c>
      <c r="AC1984">
        <f t="shared" si="330"/>
        <v>0</v>
      </c>
      <c r="AD1984" s="12">
        <f t="shared" si="334"/>
        <v>1</v>
      </c>
      <c r="AE1984" s="12">
        <f t="shared" si="335"/>
        <v>0</v>
      </c>
      <c r="AF1984">
        <f t="shared" si="331"/>
        <v>1</v>
      </c>
      <c r="AG1984">
        <f t="shared" si="336"/>
        <v>0</v>
      </c>
      <c r="AH1984">
        <f t="shared" si="337"/>
        <v>0</v>
      </c>
      <c r="AI1984">
        <f t="shared" si="338"/>
        <v>0</v>
      </c>
      <c r="AJ1984">
        <f t="shared" si="339"/>
        <v>0</v>
      </c>
      <c r="AK1984">
        <f t="shared" si="332"/>
        <v>0</v>
      </c>
      <c r="AL1984">
        <f t="shared" si="340"/>
        <v>0</v>
      </c>
    </row>
    <row r="1985" spans="1:38">
      <c r="A1985" t="s">
        <v>6082</v>
      </c>
      <c r="B1985" t="s">
        <v>6083</v>
      </c>
      <c r="C1985" s="1">
        <f t="shared" si="333"/>
        <v>45474</v>
      </c>
      <c r="D1985" t="s">
        <v>6084</v>
      </c>
      <c r="E1985">
        <v>58.8</v>
      </c>
      <c r="F1985">
        <v>2.4</v>
      </c>
      <c r="G1985" t="s">
        <v>68</v>
      </c>
      <c r="H1985" t="s">
        <v>456</v>
      </c>
      <c r="I1985" t="s">
        <v>95</v>
      </c>
      <c r="J1985">
        <v>48</v>
      </c>
      <c r="K1985" t="s">
        <v>33</v>
      </c>
      <c r="L1985" t="s">
        <v>96</v>
      </c>
      <c r="M1985" t="s">
        <v>35</v>
      </c>
      <c r="N1985" t="s">
        <v>155</v>
      </c>
      <c r="O1985" t="s">
        <v>37</v>
      </c>
      <c r="P1985" t="s">
        <v>38</v>
      </c>
      <c r="Q1985" t="s">
        <v>38</v>
      </c>
      <c r="R1985">
        <v>1</v>
      </c>
      <c r="S1985" t="s">
        <v>38</v>
      </c>
      <c r="T1985">
        <v>5</v>
      </c>
      <c r="U1985">
        <v>4.5999999999999996</v>
      </c>
      <c r="V1985">
        <v>23.8</v>
      </c>
      <c r="W1985" t="s">
        <v>38</v>
      </c>
      <c r="X1985" t="s">
        <v>63</v>
      </c>
      <c r="Y1985" t="s">
        <v>38</v>
      </c>
      <c r="Z1985" t="s">
        <v>64</v>
      </c>
      <c r="AA1985" t="s">
        <v>103</v>
      </c>
      <c r="AB1985" t="s">
        <v>83</v>
      </c>
      <c r="AC1985">
        <f t="shared" si="330"/>
        <v>0</v>
      </c>
      <c r="AD1985" s="12">
        <f t="shared" si="334"/>
        <v>1</v>
      </c>
      <c r="AE1985" s="12">
        <f t="shared" si="335"/>
        <v>0</v>
      </c>
      <c r="AF1985">
        <f t="shared" si="331"/>
        <v>0</v>
      </c>
      <c r="AG1985">
        <f t="shared" si="336"/>
        <v>0</v>
      </c>
      <c r="AH1985">
        <f t="shared" si="337"/>
        <v>0</v>
      </c>
      <c r="AI1985">
        <f t="shared" si="338"/>
        <v>1</v>
      </c>
      <c r="AJ1985">
        <f t="shared" si="339"/>
        <v>0</v>
      </c>
      <c r="AK1985">
        <f t="shared" si="332"/>
        <v>0</v>
      </c>
      <c r="AL1985">
        <f t="shared" si="340"/>
        <v>1</v>
      </c>
    </row>
    <row r="1986" spans="1:38">
      <c r="A1986" t="s">
        <v>6085</v>
      </c>
      <c r="B1986" t="s">
        <v>6086</v>
      </c>
      <c r="C1986" s="1">
        <f t="shared" si="333"/>
        <v>45536</v>
      </c>
      <c r="D1986" t="s">
        <v>6087</v>
      </c>
      <c r="E1986">
        <v>225.3</v>
      </c>
      <c r="F1986">
        <v>9.4</v>
      </c>
      <c r="G1986" t="s">
        <v>77</v>
      </c>
      <c r="H1986" t="s">
        <v>187</v>
      </c>
      <c r="I1986" t="s">
        <v>79</v>
      </c>
      <c r="J1986">
        <v>360</v>
      </c>
      <c r="K1986" t="s">
        <v>49</v>
      </c>
      <c r="L1986" t="s">
        <v>96</v>
      </c>
      <c r="M1986" t="s">
        <v>35</v>
      </c>
      <c r="N1986" t="s">
        <v>168</v>
      </c>
      <c r="O1986" t="s">
        <v>7232</v>
      </c>
      <c r="P1986" t="s">
        <v>39</v>
      </c>
      <c r="Q1986" t="s">
        <v>38</v>
      </c>
      <c r="R1986">
        <v>0</v>
      </c>
      <c r="S1986" t="s">
        <v>38</v>
      </c>
      <c r="T1986">
        <v>10</v>
      </c>
      <c r="U1986">
        <v>0.1</v>
      </c>
      <c r="V1986">
        <v>20.8</v>
      </c>
      <c r="W1986" t="s">
        <v>39</v>
      </c>
      <c r="X1986" t="s">
        <v>63</v>
      </c>
      <c r="Y1986" t="s">
        <v>39</v>
      </c>
      <c r="Z1986" t="s">
        <v>64</v>
      </c>
      <c r="AA1986" t="s">
        <v>109</v>
      </c>
      <c r="AB1986" t="s">
        <v>83</v>
      </c>
      <c r="AC1986">
        <f t="shared" ref="AC1986:AC2049" si="341">IF(X1986="Poor", 1, 0)</f>
        <v>0</v>
      </c>
      <c r="AD1986" s="12">
        <f t="shared" si="334"/>
        <v>1</v>
      </c>
      <c r="AE1986" s="12">
        <f t="shared" si="335"/>
        <v>0</v>
      </c>
      <c r="AF1986">
        <f t="shared" ref="AF1986:AF2049" si="342">IF(O1986="Junior", 1, 0)</f>
        <v>0</v>
      </c>
      <c r="AG1986">
        <f t="shared" si="336"/>
        <v>1</v>
      </c>
      <c r="AH1986">
        <f t="shared" si="337"/>
        <v>0</v>
      </c>
      <c r="AI1986">
        <f t="shared" si="338"/>
        <v>0</v>
      </c>
      <c r="AJ1986">
        <f t="shared" si="339"/>
        <v>0</v>
      </c>
      <c r="AK1986">
        <f t="shared" ref="AK1986:AK2049" si="343">IF(G1986="Access Requests", 1, 0)</f>
        <v>0</v>
      </c>
      <c r="AL1986">
        <f t="shared" si="340"/>
        <v>0</v>
      </c>
    </row>
    <row r="1987" spans="1:38">
      <c r="A1987" t="s">
        <v>6088</v>
      </c>
      <c r="B1987" t="s">
        <v>6089</v>
      </c>
      <c r="C1987" s="1">
        <f t="shared" ref="C1987:C2050" si="344">DATE(YEAR(B1987),MONTH(B1987),1)</f>
        <v>45597</v>
      </c>
      <c r="D1987" t="s">
        <v>6090</v>
      </c>
      <c r="E1987">
        <v>182.4</v>
      </c>
      <c r="F1987">
        <v>7.6</v>
      </c>
      <c r="G1987" t="s">
        <v>142</v>
      </c>
      <c r="H1987" t="s">
        <v>729</v>
      </c>
      <c r="I1987" t="s">
        <v>32</v>
      </c>
      <c r="J1987">
        <v>240</v>
      </c>
      <c r="K1987" t="s">
        <v>49</v>
      </c>
      <c r="L1987" t="s">
        <v>133</v>
      </c>
      <c r="M1987" t="s">
        <v>35</v>
      </c>
      <c r="N1987" t="s">
        <v>36</v>
      </c>
      <c r="O1987" t="s">
        <v>7232</v>
      </c>
      <c r="P1987" t="s">
        <v>38</v>
      </c>
      <c r="Q1987" t="s">
        <v>38</v>
      </c>
      <c r="R1987">
        <v>1</v>
      </c>
      <c r="S1987" t="s">
        <v>38</v>
      </c>
      <c r="T1987">
        <v>6</v>
      </c>
      <c r="U1987">
        <v>3.1</v>
      </c>
      <c r="V1987">
        <v>38.700000000000003</v>
      </c>
      <c r="W1987" t="s">
        <v>39</v>
      </c>
      <c r="X1987" t="s">
        <v>52</v>
      </c>
      <c r="Y1987" t="s">
        <v>38</v>
      </c>
      <c r="Z1987" t="s">
        <v>115</v>
      </c>
      <c r="AA1987" t="s">
        <v>42</v>
      </c>
      <c r="AB1987" t="s">
        <v>55</v>
      </c>
      <c r="AC1987">
        <f t="shared" si="341"/>
        <v>1</v>
      </c>
      <c r="AD1987" s="12">
        <f t="shared" ref="AD1987:AD2050" si="345">IF(X1987="Fair", 1, 0)</f>
        <v>0</v>
      </c>
      <c r="AE1987" s="12">
        <f t="shared" ref="AE1987:AE2050" si="346">IF(X1987="Good", 1, 0)</f>
        <v>0</v>
      </c>
      <c r="AF1987">
        <f t="shared" si="342"/>
        <v>0</v>
      </c>
      <c r="AG1987">
        <f t="shared" ref="AG1987:AG2050" si="347">IF(O1987="Mid", 1, 0)</f>
        <v>1</v>
      </c>
      <c r="AH1987">
        <f t="shared" ref="AH1987:AH2050" si="348">IF(I1987="High", 1, 0)</f>
        <v>0</v>
      </c>
      <c r="AI1987">
        <f t="shared" ref="AI1987:AI2050" si="349">IF(I1987="Critical", 1, 0)</f>
        <v>0</v>
      </c>
      <c r="AJ1987">
        <f t="shared" ref="AJ1987:AJ2050" si="350">IF(I1987="Medium", 1, 0)</f>
        <v>1</v>
      </c>
      <c r="AK1987">
        <f t="shared" si="343"/>
        <v>0</v>
      </c>
      <c r="AL1987">
        <f t="shared" ref="AL1987:AL2050" si="351">IF(Y1987="No", 1, 0)</f>
        <v>1</v>
      </c>
    </row>
    <row r="1988" spans="1:38">
      <c r="A1988" t="s">
        <v>6091</v>
      </c>
      <c r="B1988" t="s">
        <v>6092</v>
      </c>
      <c r="C1988" s="1">
        <f t="shared" si="344"/>
        <v>45627</v>
      </c>
      <c r="D1988" t="s">
        <v>6093</v>
      </c>
      <c r="E1988">
        <v>179.7</v>
      </c>
      <c r="F1988">
        <v>7.5</v>
      </c>
      <c r="G1988" t="s">
        <v>101</v>
      </c>
      <c r="H1988" t="s">
        <v>442</v>
      </c>
      <c r="I1988" t="s">
        <v>32</v>
      </c>
      <c r="J1988">
        <v>240</v>
      </c>
      <c r="K1988" t="s">
        <v>49</v>
      </c>
      <c r="L1988" t="s">
        <v>133</v>
      </c>
      <c r="M1988" t="s">
        <v>35</v>
      </c>
      <c r="N1988" t="s">
        <v>299</v>
      </c>
      <c r="O1988" t="s">
        <v>7232</v>
      </c>
      <c r="P1988" t="s">
        <v>38</v>
      </c>
      <c r="Q1988" t="s">
        <v>38</v>
      </c>
      <c r="R1988">
        <v>1</v>
      </c>
      <c r="S1988" t="s">
        <v>38</v>
      </c>
      <c r="T1988">
        <v>8</v>
      </c>
      <c r="U1988">
        <v>1</v>
      </c>
      <c r="V1988">
        <v>33.9</v>
      </c>
      <c r="W1988" t="s">
        <v>39</v>
      </c>
      <c r="X1988" t="s">
        <v>52</v>
      </c>
      <c r="Y1988" t="s">
        <v>38</v>
      </c>
      <c r="Z1988" t="s">
        <v>64</v>
      </c>
      <c r="AA1988" t="s">
        <v>109</v>
      </c>
      <c r="AB1988" t="s">
        <v>83</v>
      </c>
      <c r="AC1988">
        <f t="shared" si="341"/>
        <v>1</v>
      </c>
      <c r="AD1988" s="12">
        <f t="shared" si="345"/>
        <v>0</v>
      </c>
      <c r="AE1988" s="12">
        <f t="shared" si="346"/>
        <v>0</v>
      </c>
      <c r="AF1988">
        <f t="shared" si="342"/>
        <v>0</v>
      </c>
      <c r="AG1988">
        <f t="shared" si="347"/>
        <v>1</v>
      </c>
      <c r="AH1988">
        <f t="shared" si="348"/>
        <v>0</v>
      </c>
      <c r="AI1988">
        <f t="shared" si="349"/>
        <v>0</v>
      </c>
      <c r="AJ1988">
        <f t="shared" si="350"/>
        <v>1</v>
      </c>
      <c r="AK1988">
        <f t="shared" si="343"/>
        <v>0</v>
      </c>
      <c r="AL1988">
        <f t="shared" si="351"/>
        <v>1</v>
      </c>
    </row>
    <row r="1989" spans="1:38">
      <c r="A1989" t="s">
        <v>6094</v>
      </c>
      <c r="B1989" t="s">
        <v>6095</v>
      </c>
      <c r="C1989" s="1">
        <f t="shared" si="344"/>
        <v>45474</v>
      </c>
      <c r="D1989" t="s">
        <v>6096</v>
      </c>
      <c r="E1989">
        <v>79.099999999999994</v>
      </c>
      <c r="F1989">
        <v>3.3</v>
      </c>
      <c r="G1989" t="s">
        <v>30</v>
      </c>
      <c r="H1989" t="s">
        <v>159</v>
      </c>
      <c r="I1989" t="s">
        <v>48</v>
      </c>
      <c r="J1989">
        <v>120</v>
      </c>
      <c r="K1989" t="s">
        <v>49</v>
      </c>
      <c r="L1989" t="s">
        <v>34</v>
      </c>
      <c r="M1989" t="s">
        <v>35</v>
      </c>
      <c r="N1989" t="s">
        <v>414</v>
      </c>
      <c r="O1989" t="s">
        <v>7232</v>
      </c>
      <c r="P1989" t="s">
        <v>38</v>
      </c>
      <c r="Q1989" t="s">
        <v>38</v>
      </c>
      <c r="R1989">
        <v>1</v>
      </c>
      <c r="S1989" t="s">
        <v>38</v>
      </c>
      <c r="T1989">
        <v>8</v>
      </c>
      <c r="U1989">
        <v>2.6</v>
      </c>
      <c r="V1989">
        <v>23.2</v>
      </c>
      <c r="W1989" t="s">
        <v>38</v>
      </c>
      <c r="X1989" t="s">
        <v>123</v>
      </c>
      <c r="Y1989" t="s">
        <v>39</v>
      </c>
      <c r="Z1989" t="s">
        <v>81</v>
      </c>
      <c r="AA1989" t="s">
        <v>54</v>
      </c>
      <c r="AB1989" t="s">
        <v>55</v>
      </c>
      <c r="AC1989">
        <f t="shared" si="341"/>
        <v>0</v>
      </c>
      <c r="AD1989" s="12">
        <f t="shared" si="345"/>
        <v>0</v>
      </c>
      <c r="AE1989" s="12">
        <f t="shared" si="346"/>
        <v>1</v>
      </c>
      <c r="AF1989">
        <f t="shared" si="342"/>
        <v>0</v>
      </c>
      <c r="AG1989">
        <f t="shared" si="347"/>
        <v>1</v>
      </c>
      <c r="AH1989">
        <f t="shared" si="348"/>
        <v>1</v>
      </c>
      <c r="AI1989">
        <f t="shared" si="349"/>
        <v>0</v>
      </c>
      <c r="AJ1989">
        <f t="shared" si="350"/>
        <v>0</v>
      </c>
      <c r="AK1989">
        <f t="shared" si="343"/>
        <v>1</v>
      </c>
      <c r="AL1989">
        <f t="shared" si="351"/>
        <v>0</v>
      </c>
    </row>
    <row r="1990" spans="1:38">
      <c r="A1990" t="s">
        <v>6097</v>
      </c>
      <c r="B1990" t="s">
        <v>6098</v>
      </c>
      <c r="C1990" s="1">
        <f t="shared" si="344"/>
        <v>45566</v>
      </c>
      <c r="D1990" t="s">
        <v>6099</v>
      </c>
      <c r="E1990">
        <v>358.6</v>
      </c>
      <c r="F1990">
        <v>14.9</v>
      </c>
      <c r="G1990" t="s">
        <v>142</v>
      </c>
      <c r="H1990" t="s">
        <v>260</v>
      </c>
      <c r="I1990" t="s">
        <v>32</v>
      </c>
      <c r="J1990">
        <v>240</v>
      </c>
      <c r="K1990" t="s">
        <v>33</v>
      </c>
      <c r="L1990" t="s">
        <v>96</v>
      </c>
      <c r="M1990" t="s">
        <v>35</v>
      </c>
      <c r="N1990" t="s">
        <v>128</v>
      </c>
      <c r="O1990" t="s">
        <v>7232</v>
      </c>
      <c r="P1990" t="s">
        <v>38</v>
      </c>
      <c r="Q1990" t="s">
        <v>38</v>
      </c>
      <c r="R1990">
        <v>1</v>
      </c>
      <c r="S1990" t="s">
        <v>39</v>
      </c>
      <c r="T1990">
        <v>6</v>
      </c>
      <c r="U1990">
        <v>5.3</v>
      </c>
      <c r="V1990">
        <v>29.9</v>
      </c>
      <c r="W1990" t="s">
        <v>39</v>
      </c>
      <c r="X1990" t="s">
        <v>52</v>
      </c>
      <c r="Y1990" t="s">
        <v>39</v>
      </c>
      <c r="Z1990" t="s">
        <v>179</v>
      </c>
      <c r="AA1990" t="s">
        <v>82</v>
      </c>
      <c r="AB1990" t="s">
        <v>43</v>
      </c>
      <c r="AC1990">
        <f t="shared" si="341"/>
        <v>1</v>
      </c>
      <c r="AD1990" s="12">
        <f t="shared" si="345"/>
        <v>0</v>
      </c>
      <c r="AE1990" s="12">
        <f t="shared" si="346"/>
        <v>0</v>
      </c>
      <c r="AF1990">
        <f t="shared" si="342"/>
        <v>0</v>
      </c>
      <c r="AG1990">
        <f t="shared" si="347"/>
        <v>1</v>
      </c>
      <c r="AH1990">
        <f t="shared" si="348"/>
        <v>0</v>
      </c>
      <c r="AI1990">
        <f t="shared" si="349"/>
        <v>0</v>
      </c>
      <c r="AJ1990">
        <f t="shared" si="350"/>
        <v>1</v>
      </c>
      <c r="AK1990">
        <f t="shared" si="343"/>
        <v>0</v>
      </c>
      <c r="AL1990">
        <f t="shared" si="351"/>
        <v>0</v>
      </c>
    </row>
    <row r="1991" spans="1:38">
      <c r="A1991" t="s">
        <v>6100</v>
      </c>
      <c r="B1991" t="s">
        <v>6101</v>
      </c>
      <c r="C1991" s="1">
        <f t="shared" si="344"/>
        <v>45352</v>
      </c>
      <c r="D1991" t="s">
        <v>6102</v>
      </c>
      <c r="E1991">
        <v>497.8</v>
      </c>
      <c r="F1991">
        <v>20.7</v>
      </c>
      <c r="G1991" t="s">
        <v>142</v>
      </c>
      <c r="H1991" t="s">
        <v>260</v>
      </c>
      <c r="I1991" t="s">
        <v>79</v>
      </c>
      <c r="J1991">
        <v>360</v>
      </c>
      <c r="K1991" t="s">
        <v>33</v>
      </c>
      <c r="L1991" t="s">
        <v>70</v>
      </c>
      <c r="M1991" t="s">
        <v>35</v>
      </c>
      <c r="N1991" t="s">
        <v>144</v>
      </c>
      <c r="O1991" t="s">
        <v>7232</v>
      </c>
      <c r="P1991" t="s">
        <v>38</v>
      </c>
      <c r="Q1991" t="s">
        <v>38</v>
      </c>
      <c r="R1991">
        <v>1</v>
      </c>
      <c r="S1991" t="s">
        <v>38</v>
      </c>
      <c r="T1991">
        <v>6</v>
      </c>
      <c r="U1991">
        <v>1.7</v>
      </c>
      <c r="V1991">
        <v>13.1</v>
      </c>
      <c r="W1991" t="s">
        <v>38</v>
      </c>
      <c r="X1991" t="s">
        <v>40</v>
      </c>
      <c r="Y1991" t="s">
        <v>39</v>
      </c>
      <c r="Z1991" t="s">
        <v>115</v>
      </c>
      <c r="AA1991" t="s">
        <v>54</v>
      </c>
      <c r="AB1991" t="s">
        <v>55</v>
      </c>
      <c r="AC1991">
        <f t="shared" si="341"/>
        <v>0</v>
      </c>
      <c r="AD1991" s="12">
        <f t="shared" si="345"/>
        <v>0</v>
      </c>
      <c r="AE1991" s="12">
        <f t="shared" si="346"/>
        <v>0</v>
      </c>
      <c r="AF1991">
        <f t="shared" si="342"/>
        <v>0</v>
      </c>
      <c r="AG1991">
        <f t="shared" si="347"/>
        <v>1</v>
      </c>
      <c r="AH1991">
        <f t="shared" si="348"/>
        <v>0</v>
      </c>
      <c r="AI1991">
        <f t="shared" si="349"/>
        <v>0</v>
      </c>
      <c r="AJ1991">
        <f t="shared" si="350"/>
        <v>0</v>
      </c>
      <c r="AK1991">
        <f t="shared" si="343"/>
        <v>0</v>
      </c>
      <c r="AL1991">
        <f t="shared" si="351"/>
        <v>0</v>
      </c>
    </row>
    <row r="1992" spans="1:38">
      <c r="A1992" t="s">
        <v>6103</v>
      </c>
      <c r="B1992" t="s">
        <v>6104</v>
      </c>
      <c r="C1992" s="1">
        <f t="shared" si="344"/>
        <v>45566</v>
      </c>
      <c r="D1992" t="s">
        <v>6105</v>
      </c>
      <c r="E1992">
        <v>162.80000000000001</v>
      </c>
      <c r="F1992">
        <v>6.8</v>
      </c>
      <c r="G1992" t="s">
        <v>142</v>
      </c>
      <c r="H1992" t="s">
        <v>729</v>
      </c>
      <c r="I1992" t="s">
        <v>32</v>
      </c>
      <c r="J1992">
        <v>240</v>
      </c>
      <c r="K1992" t="s">
        <v>49</v>
      </c>
      <c r="L1992" t="s">
        <v>70</v>
      </c>
      <c r="M1992" t="s">
        <v>35</v>
      </c>
      <c r="N1992" t="s">
        <v>61</v>
      </c>
      <c r="O1992" t="s">
        <v>7232</v>
      </c>
      <c r="P1992" t="s">
        <v>38</v>
      </c>
      <c r="Q1992" t="s">
        <v>38</v>
      </c>
      <c r="R1992">
        <v>1</v>
      </c>
      <c r="S1992" t="s">
        <v>38</v>
      </c>
      <c r="T1992">
        <v>8</v>
      </c>
      <c r="U1992">
        <v>1.6</v>
      </c>
      <c r="V1992">
        <v>18.600000000000001</v>
      </c>
      <c r="W1992" t="s">
        <v>39</v>
      </c>
      <c r="X1992" t="s">
        <v>63</v>
      </c>
      <c r="Y1992" t="s">
        <v>38</v>
      </c>
      <c r="Z1992" t="s">
        <v>73</v>
      </c>
      <c r="AA1992" t="s">
        <v>82</v>
      </c>
      <c r="AB1992" t="s">
        <v>83</v>
      </c>
      <c r="AC1992">
        <f t="shared" si="341"/>
        <v>0</v>
      </c>
      <c r="AD1992" s="12">
        <f t="shared" si="345"/>
        <v>1</v>
      </c>
      <c r="AE1992" s="12">
        <f t="shared" si="346"/>
        <v>0</v>
      </c>
      <c r="AF1992">
        <f t="shared" si="342"/>
        <v>0</v>
      </c>
      <c r="AG1992">
        <f t="shared" si="347"/>
        <v>1</v>
      </c>
      <c r="AH1992">
        <f t="shared" si="348"/>
        <v>0</v>
      </c>
      <c r="AI1992">
        <f t="shared" si="349"/>
        <v>0</v>
      </c>
      <c r="AJ1992">
        <f t="shared" si="350"/>
        <v>1</v>
      </c>
      <c r="AK1992">
        <f t="shared" si="343"/>
        <v>0</v>
      </c>
      <c r="AL1992">
        <f t="shared" si="351"/>
        <v>1</v>
      </c>
    </row>
    <row r="1993" spans="1:38">
      <c r="A1993" t="s">
        <v>6106</v>
      </c>
      <c r="B1993" t="s">
        <v>6107</v>
      </c>
      <c r="C1993" s="1">
        <f t="shared" si="344"/>
        <v>45352</v>
      </c>
      <c r="D1993" t="s">
        <v>6108</v>
      </c>
      <c r="E1993">
        <v>522.9</v>
      </c>
      <c r="F1993">
        <v>21.8</v>
      </c>
      <c r="G1993" t="s">
        <v>93</v>
      </c>
      <c r="H1993" t="s">
        <v>94</v>
      </c>
      <c r="I1993" t="s">
        <v>79</v>
      </c>
      <c r="J1993">
        <v>360</v>
      </c>
      <c r="K1993" t="s">
        <v>33</v>
      </c>
      <c r="L1993" t="s">
        <v>34</v>
      </c>
      <c r="M1993" t="s">
        <v>71</v>
      </c>
      <c r="N1993" t="s">
        <v>97</v>
      </c>
      <c r="O1993" t="s">
        <v>51</v>
      </c>
      <c r="P1993" t="s">
        <v>38</v>
      </c>
      <c r="Q1993" t="s">
        <v>39</v>
      </c>
      <c r="R1993">
        <v>2</v>
      </c>
      <c r="S1993" t="s">
        <v>38</v>
      </c>
      <c r="T1993">
        <v>8</v>
      </c>
      <c r="U1993">
        <v>3.6</v>
      </c>
      <c r="V1993">
        <v>7.7</v>
      </c>
      <c r="W1993" t="s">
        <v>39</v>
      </c>
      <c r="X1993" t="s">
        <v>63</v>
      </c>
      <c r="Y1993" t="s">
        <v>38</v>
      </c>
      <c r="Z1993" t="s">
        <v>64</v>
      </c>
      <c r="AA1993" t="s">
        <v>103</v>
      </c>
      <c r="AB1993" t="s">
        <v>83</v>
      </c>
      <c r="AC1993">
        <f t="shared" si="341"/>
        <v>0</v>
      </c>
      <c r="AD1993" s="12">
        <f t="shared" si="345"/>
        <v>1</v>
      </c>
      <c r="AE1993" s="12">
        <f t="shared" si="346"/>
        <v>0</v>
      </c>
      <c r="AF1993">
        <f t="shared" si="342"/>
        <v>1</v>
      </c>
      <c r="AG1993">
        <f t="shared" si="347"/>
        <v>0</v>
      </c>
      <c r="AH1993">
        <f t="shared" si="348"/>
        <v>0</v>
      </c>
      <c r="AI1993">
        <f t="shared" si="349"/>
        <v>0</v>
      </c>
      <c r="AJ1993">
        <f t="shared" si="350"/>
        <v>0</v>
      </c>
      <c r="AK1993">
        <f t="shared" si="343"/>
        <v>0</v>
      </c>
      <c r="AL1993">
        <f t="shared" si="351"/>
        <v>1</v>
      </c>
    </row>
    <row r="1994" spans="1:38">
      <c r="A1994" t="s">
        <v>6109</v>
      </c>
      <c r="B1994" t="s">
        <v>6110</v>
      </c>
      <c r="C1994" s="1">
        <f t="shared" si="344"/>
        <v>45444</v>
      </c>
      <c r="D1994" t="s">
        <v>6111</v>
      </c>
      <c r="E1994">
        <v>327.39999999999998</v>
      </c>
      <c r="F1994">
        <v>13.6</v>
      </c>
      <c r="G1994" t="s">
        <v>142</v>
      </c>
      <c r="H1994" t="s">
        <v>319</v>
      </c>
      <c r="I1994" t="s">
        <v>79</v>
      </c>
      <c r="J1994">
        <v>360</v>
      </c>
      <c r="K1994" t="s">
        <v>49</v>
      </c>
      <c r="L1994" t="s">
        <v>34</v>
      </c>
      <c r="M1994" t="s">
        <v>35</v>
      </c>
      <c r="N1994" t="s">
        <v>192</v>
      </c>
      <c r="O1994" t="s">
        <v>7232</v>
      </c>
      <c r="P1994" t="s">
        <v>38</v>
      </c>
      <c r="Q1994" t="s">
        <v>38</v>
      </c>
      <c r="R1994">
        <v>1</v>
      </c>
      <c r="S1994" t="s">
        <v>38</v>
      </c>
      <c r="T1994">
        <v>7</v>
      </c>
      <c r="U1994">
        <v>2.5</v>
      </c>
      <c r="V1994">
        <v>29.4</v>
      </c>
      <c r="W1994" t="s">
        <v>39</v>
      </c>
      <c r="X1994" t="s">
        <v>63</v>
      </c>
      <c r="Y1994" t="s">
        <v>38</v>
      </c>
      <c r="Z1994" t="s">
        <v>115</v>
      </c>
      <c r="AA1994" t="s">
        <v>82</v>
      </c>
      <c r="AB1994" t="s">
        <v>55</v>
      </c>
      <c r="AC1994">
        <f t="shared" si="341"/>
        <v>0</v>
      </c>
      <c r="AD1994" s="12">
        <f t="shared" si="345"/>
        <v>1</v>
      </c>
      <c r="AE1994" s="12">
        <f t="shared" si="346"/>
        <v>0</v>
      </c>
      <c r="AF1994">
        <f t="shared" si="342"/>
        <v>0</v>
      </c>
      <c r="AG1994">
        <f t="shared" si="347"/>
        <v>1</v>
      </c>
      <c r="AH1994">
        <f t="shared" si="348"/>
        <v>0</v>
      </c>
      <c r="AI1994">
        <f t="shared" si="349"/>
        <v>0</v>
      </c>
      <c r="AJ1994">
        <f t="shared" si="350"/>
        <v>0</v>
      </c>
      <c r="AK1994">
        <f t="shared" si="343"/>
        <v>0</v>
      </c>
      <c r="AL1994">
        <f t="shared" si="351"/>
        <v>1</v>
      </c>
    </row>
    <row r="1995" spans="1:38">
      <c r="A1995" t="s">
        <v>6112</v>
      </c>
      <c r="B1995" t="s">
        <v>6113</v>
      </c>
      <c r="C1995" s="1">
        <f t="shared" si="344"/>
        <v>45474</v>
      </c>
      <c r="D1995" t="s">
        <v>6114</v>
      </c>
      <c r="E1995">
        <v>177.6</v>
      </c>
      <c r="F1995">
        <v>7.4</v>
      </c>
      <c r="G1995" t="s">
        <v>30</v>
      </c>
      <c r="H1995" t="s">
        <v>172</v>
      </c>
      <c r="I1995" t="s">
        <v>32</v>
      </c>
      <c r="J1995">
        <v>240</v>
      </c>
      <c r="K1995" t="s">
        <v>49</v>
      </c>
      <c r="L1995" t="s">
        <v>96</v>
      </c>
      <c r="M1995" t="s">
        <v>35</v>
      </c>
      <c r="N1995" t="s">
        <v>97</v>
      </c>
      <c r="O1995" t="s">
        <v>51</v>
      </c>
      <c r="P1995" t="s">
        <v>38</v>
      </c>
      <c r="Q1995" t="s">
        <v>38</v>
      </c>
      <c r="R1995">
        <v>1</v>
      </c>
      <c r="S1995" t="s">
        <v>38</v>
      </c>
      <c r="T1995">
        <v>7</v>
      </c>
      <c r="U1995">
        <v>5.6</v>
      </c>
      <c r="V1995">
        <v>24.9</v>
      </c>
      <c r="W1995" t="s">
        <v>39</v>
      </c>
      <c r="X1995" t="s">
        <v>123</v>
      </c>
      <c r="Y1995" t="s">
        <v>39</v>
      </c>
      <c r="Z1995" t="s">
        <v>73</v>
      </c>
      <c r="AA1995" t="s">
        <v>54</v>
      </c>
      <c r="AB1995" t="s">
        <v>83</v>
      </c>
      <c r="AC1995">
        <f t="shared" si="341"/>
        <v>0</v>
      </c>
      <c r="AD1995" s="12">
        <f t="shared" si="345"/>
        <v>0</v>
      </c>
      <c r="AE1995" s="12">
        <f t="shared" si="346"/>
        <v>1</v>
      </c>
      <c r="AF1995">
        <f t="shared" si="342"/>
        <v>1</v>
      </c>
      <c r="AG1995">
        <f t="shared" si="347"/>
        <v>0</v>
      </c>
      <c r="AH1995">
        <f t="shared" si="348"/>
        <v>0</v>
      </c>
      <c r="AI1995">
        <f t="shared" si="349"/>
        <v>0</v>
      </c>
      <c r="AJ1995">
        <f t="shared" si="350"/>
        <v>1</v>
      </c>
      <c r="AK1995">
        <f t="shared" si="343"/>
        <v>1</v>
      </c>
      <c r="AL1995">
        <f t="shared" si="351"/>
        <v>0</v>
      </c>
    </row>
    <row r="1996" spans="1:38">
      <c r="A1996" t="s">
        <v>6115</v>
      </c>
      <c r="B1996" t="s">
        <v>6116</v>
      </c>
      <c r="C1996" s="1">
        <f t="shared" si="344"/>
        <v>45597</v>
      </c>
      <c r="D1996" t="s">
        <v>6117</v>
      </c>
      <c r="E1996">
        <v>469.5</v>
      </c>
      <c r="F1996">
        <v>19.600000000000001</v>
      </c>
      <c r="G1996" t="s">
        <v>77</v>
      </c>
      <c r="H1996" t="s">
        <v>267</v>
      </c>
      <c r="I1996" t="s">
        <v>79</v>
      </c>
      <c r="J1996">
        <v>360</v>
      </c>
      <c r="K1996" t="s">
        <v>33</v>
      </c>
      <c r="L1996" t="s">
        <v>70</v>
      </c>
      <c r="M1996" t="s">
        <v>35</v>
      </c>
      <c r="N1996" t="s">
        <v>202</v>
      </c>
      <c r="O1996" t="s">
        <v>51</v>
      </c>
      <c r="P1996" t="s">
        <v>39</v>
      </c>
      <c r="Q1996" t="s">
        <v>38</v>
      </c>
      <c r="R1996">
        <v>0</v>
      </c>
      <c r="S1996" t="s">
        <v>38</v>
      </c>
      <c r="T1996">
        <v>6</v>
      </c>
      <c r="U1996">
        <v>4.4000000000000004</v>
      </c>
      <c r="V1996">
        <v>4.4000000000000004</v>
      </c>
      <c r="W1996" t="s">
        <v>38</v>
      </c>
      <c r="X1996" t="s">
        <v>123</v>
      </c>
      <c r="Y1996" t="s">
        <v>38</v>
      </c>
      <c r="Z1996" t="s">
        <v>41</v>
      </c>
      <c r="AA1996" t="s">
        <v>82</v>
      </c>
      <c r="AB1996" t="s">
        <v>55</v>
      </c>
      <c r="AC1996">
        <f t="shared" si="341"/>
        <v>0</v>
      </c>
      <c r="AD1996" s="12">
        <f t="shared" si="345"/>
        <v>0</v>
      </c>
      <c r="AE1996" s="12">
        <f t="shared" si="346"/>
        <v>1</v>
      </c>
      <c r="AF1996">
        <f t="shared" si="342"/>
        <v>1</v>
      </c>
      <c r="AG1996">
        <f t="shared" si="347"/>
        <v>0</v>
      </c>
      <c r="AH1996">
        <f t="shared" si="348"/>
        <v>0</v>
      </c>
      <c r="AI1996">
        <f t="shared" si="349"/>
        <v>0</v>
      </c>
      <c r="AJ1996">
        <f t="shared" si="350"/>
        <v>0</v>
      </c>
      <c r="AK1996">
        <f t="shared" si="343"/>
        <v>0</v>
      </c>
      <c r="AL1996">
        <f t="shared" si="351"/>
        <v>1</v>
      </c>
    </row>
    <row r="1997" spans="1:38">
      <c r="A1997" t="s">
        <v>6118</v>
      </c>
      <c r="B1997" t="s">
        <v>6119</v>
      </c>
      <c r="C1997" s="1">
        <f t="shared" si="344"/>
        <v>45323</v>
      </c>
      <c r="D1997" t="s">
        <v>6120</v>
      </c>
      <c r="E1997">
        <v>113.5</v>
      </c>
      <c r="F1997">
        <v>4.7</v>
      </c>
      <c r="G1997" t="s">
        <v>30</v>
      </c>
      <c r="H1997" t="s">
        <v>31</v>
      </c>
      <c r="I1997" t="s">
        <v>48</v>
      </c>
      <c r="J1997">
        <v>120</v>
      </c>
      <c r="K1997" t="s">
        <v>49</v>
      </c>
      <c r="L1997" t="s">
        <v>34</v>
      </c>
      <c r="M1997" t="s">
        <v>35</v>
      </c>
      <c r="N1997" t="s">
        <v>134</v>
      </c>
      <c r="O1997" t="s">
        <v>7232</v>
      </c>
      <c r="P1997" t="s">
        <v>39</v>
      </c>
      <c r="Q1997" t="s">
        <v>38</v>
      </c>
      <c r="R1997">
        <v>0</v>
      </c>
      <c r="S1997" t="s">
        <v>38</v>
      </c>
      <c r="T1997">
        <v>10</v>
      </c>
      <c r="U1997">
        <v>3.3</v>
      </c>
      <c r="V1997">
        <v>32</v>
      </c>
      <c r="W1997" t="s">
        <v>39</v>
      </c>
      <c r="X1997" t="s">
        <v>52</v>
      </c>
      <c r="Y1997" t="s">
        <v>39</v>
      </c>
      <c r="Z1997" t="s">
        <v>108</v>
      </c>
      <c r="AA1997" t="s">
        <v>109</v>
      </c>
      <c r="AB1997" t="s">
        <v>55</v>
      </c>
      <c r="AC1997">
        <f t="shared" si="341"/>
        <v>1</v>
      </c>
      <c r="AD1997" s="12">
        <f t="shared" si="345"/>
        <v>0</v>
      </c>
      <c r="AE1997" s="12">
        <f t="shared" si="346"/>
        <v>0</v>
      </c>
      <c r="AF1997">
        <f t="shared" si="342"/>
        <v>0</v>
      </c>
      <c r="AG1997">
        <f t="shared" si="347"/>
        <v>1</v>
      </c>
      <c r="AH1997">
        <f t="shared" si="348"/>
        <v>1</v>
      </c>
      <c r="AI1997">
        <f t="shared" si="349"/>
        <v>0</v>
      </c>
      <c r="AJ1997">
        <f t="shared" si="350"/>
        <v>0</v>
      </c>
      <c r="AK1997">
        <f t="shared" si="343"/>
        <v>1</v>
      </c>
      <c r="AL1997">
        <f t="shared" si="351"/>
        <v>0</v>
      </c>
    </row>
    <row r="1998" spans="1:38">
      <c r="A1998" t="s">
        <v>6121</v>
      </c>
      <c r="B1998" t="s">
        <v>6122</v>
      </c>
      <c r="C1998" s="1">
        <f t="shared" si="344"/>
        <v>45292</v>
      </c>
      <c r="D1998" t="s">
        <v>6123</v>
      </c>
      <c r="E1998">
        <v>340.8</v>
      </c>
      <c r="F1998">
        <v>14.2</v>
      </c>
      <c r="G1998" t="s">
        <v>142</v>
      </c>
      <c r="H1998" t="s">
        <v>240</v>
      </c>
      <c r="I1998" t="s">
        <v>79</v>
      </c>
      <c r="J1998">
        <v>360</v>
      </c>
      <c r="K1998" t="s">
        <v>49</v>
      </c>
      <c r="L1998" t="s">
        <v>34</v>
      </c>
      <c r="M1998" t="s">
        <v>71</v>
      </c>
      <c r="N1998" t="s">
        <v>164</v>
      </c>
      <c r="O1998" t="s">
        <v>37</v>
      </c>
      <c r="P1998" t="s">
        <v>38</v>
      </c>
      <c r="Q1998" t="s">
        <v>39</v>
      </c>
      <c r="R1998">
        <v>4</v>
      </c>
      <c r="S1998" t="s">
        <v>38</v>
      </c>
      <c r="T1998">
        <v>9</v>
      </c>
      <c r="U1998">
        <v>3.9</v>
      </c>
      <c r="V1998">
        <v>24.8</v>
      </c>
      <c r="W1998" t="s">
        <v>38</v>
      </c>
      <c r="X1998" t="s">
        <v>63</v>
      </c>
      <c r="Y1998" t="s">
        <v>39</v>
      </c>
      <c r="Z1998" t="s">
        <v>64</v>
      </c>
      <c r="AA1998" t="s">
        <v>42</v>
      </c>
      <c r="AB1998" t="s">
        <v>55</v>
      </c>
      <c r="AC1998">
        <f t="shared" si="341"/>
        <v>0</v>
      </c>
      <c r="AD1998" s="12">
        <f t="shared" si="345"/>
        <v>1</v>
      </c>
      <c r="AE1998" s="12">
        <f t="shared" si="346"/>
        <v>0</v>
      </c>
      <c r="AF1998">
        <f t="shared" si="342"/>
        <v>0</v>
      </c>
      <c r="AG1998">
        <f t="shared" si="347"/>
        <v>0</v>
      </c>
      <c r="AH1998">
        <f t="shared" si="348"/>
        <v>0</v>
      </c>
      <c r="AI1998">
        <f t="shared" si="349"/>
        <v>0</v>
      </c>
      <c r="AJ1998">
        <f t="shared" si="350"/>
        <v>0</v>
      </c>
      <c r="AK1998">
        <f t="shared" si="343"/>
        <v>0</v>
      </c>
      <c r="AL1998">
        <f t="shared" si="351"/>
        <v>0</v>
      </c>
    </row>
    <row r="1999" spans="1:38">
      <c r="A1999" t="s">
        <v>6124</v>
      </c>
      <c r="B1999" t="s">
        <v>6125</v>
      </c>
      <c r="C1999" s="1">
        <f t="shared" si="344"/>
        <v>45536</v>
      </c>
      <c r="D1999" t="s">
        <v>6126</v>
      </c>
      <c r="E1999">
        <v>163.19999999999999</v>
      </c>
      <c r="F1999">
        <v>6.8</v>
      </c>
      <c r="G1999" t="s">
        <v>59</v>
      </c>
      <c r="H1999" t="s">
        <v>281</v>
      </c>
      <c r="I1999" t="s">
        <v>32</v>
      </c>
      <c r="J1999">
        <v>240</v>
      </c>
      <c r="K1999" t="s">
        <v>49</v>
      </c>
      <c r="L1999" t="s">
        <v>70</v>
      </c>
      <c r="M1999" t="s">
        <v>35</v>
      </c>
      <c r="N1999" t="s">
        <v>107</v>
      </c>
      <c r="O1999" t="s">
        <v>51</v>
      </c>
      <c r="P1999" t="s">
        <v>38</v>
      </c>
      <c r="Q1999" t="s">
        <v>38</v>
      </c>
      <c r="R1999">
        <v>1</v>
      </c>
      <c r="S1999" t="s">
        <v>38</v>
      </c>
      <c r="T1999">
        <v>9</v>
      </c>
      <c r="U1999">
        <v>1.8</v>
      </c>
      <c r="V1999">
        <v>24</v>
      </c>
      <c r="W1999" t="s">
        <v>39</v>
      </c>
      <c r="X1999" t="s">
        <v>52</v>
      </c>
      <c r="Y1999" t="s">
        <v>39</v>
      </c>
      <c r="Z1999" t="s">
        <v>115</v>
      </c>
      <c r="AA1999" t="s">
        <v>54</v>
      </c>
      <c r="AB1999" t="s">
        <v>55</v>
      </c>
      <c r="AC1999">
        <f t="shared" si="341"/>
        <v>1</v>
      </c>
      <c r="AD1999" s="12">
        <f t="shared" si="345"/>
        <v>0</v>
      </c>
      <c r="AE1999" s="12">
        <f t="shared" si="346"/>
        <v>0</v>
      </c>
      <c r="AF1999">
        <f t="shared" si="342"/>
        <v>1</v>
      </c>
      <c r="AG1999">
        <f t="shared" si="347"/>
        <v>0</v>
      </c>
      <c r="AH1999">
        <f t="shared" si="348"/>
        <v>0</v>
      </c>
      <c r="AI1999">
        <f t="shared" si="349"/>
        <v>0</v>
      </c>
      <c r="AJ1999">
        <f t="shared" si="350"/>
        <v>1</v>
      </c>
      <c r="AK1999">
        <f t="shared" si="343"/>
        <v>0</v>
      </c>
      <c r="AL1999">
        <f t="shared" si="351"/>
        <v>0</v>
      </c>
    </row>
    <row r="2000" spans="1:38">
      <c r="A2000" t="s">
        <v>6127</v>
      </c>
      <c r="B2000" t="s">
        <v>6128</v>
      </c>
      <c r="C2000" s="1">
        <f t="shared" si="344"/>
        <v>45323</v>
      </c>
      <c r="D2000" t="s">
        <v>6129</v>
      </c>
      <c r="E2000">
        <v>100.7</v>
      </c>
      <c r="F2000">
        <v>4.2</v>
      </c>
      <c r="G2000" t="s">
        <v>68</v>
      </c>
      <c r="H2000" t="s">
        <v>212</v>
      </c>
      <c r="I2000" t="s">
        <v>48</v>
      </c>
      <c r="J2000">
        <v>120</v>
      </c>
      <c r="K2000" t="s">
        <v>49</v>
      </c>
      <c r="L2000" t="s">
        <v>34</v>
      </c>
      <c r="M2000" t="s">
        <v>71</v>
      </c>
      <c r="N2000" t="s">
        <v>202</v>
      </c>
      <c r="O2000" t="s">
        <v>7232</v>
      </c>
      <c r="P2000" t="s">
        <v>38</v>
      </c>
      <c r="Q2000" t="s">
        <v>39</v>
      </c>
      <c r="R2000">
        <v>1</v>
      </c>
      <c r="S2000" t="s">
        <v>38</v>
      </c>
      <c r="T2000">
        <v>5</v>
      </c>
      <c r="U2000">
        <v>3.7</v>
      </c>
      <c r="V2000">
        <v>29.7</v>
      </c>
      <c r="W2000" t="s">
        <v>39</v>
      </c>
      <c r="X2000" t="s">
        <v>63</v>
      </c>
      <c r="Y2000" t="s">
        <v>38</v>
      </c>
      <c r="Z2000" t="s">
        <v>73</v>
      </c>
      <c r="AA2000" t="s">
        <v>42</v>
      </c>
      <c r="AB2000" t="s">
        <v>55</v>
      </c>
      <c r="AC2000">
        <f t="shared" si="341"/>
        <v>0</v>
      </c>
      <c r="AD2000" s="12">
        <f t="shared" si="345"/>
        <v>1</v>
      </c>
      <c r="AE2000" s="12">
        <f t="shared" si="346"/>
        <v>0</v>
      </c>
      <c r="AF2000">
        <f t="shared" si="342"/>
        <v>0</v>
      </c>
      <c r="AG2000">
        <f t="shared" si="347"/>
        <v>1</v>
      </c>
      <c r="AH2000">
        <f t="shared" si="348"/>
        <v>1</v>
      </c>
      <c r="AI2000">
        <f t="shared" si="349"/>
        <v>0</v>
      </c>
      <c r="AJ2000">
        <f t="shared" si="350"/>
        <v>0</v>
      </c>
      <c r="AK2000">
        <f t="shared" si="343"/>
        <v>0</v>
      </c>
      <c r="AL2000">
        <f t="shared" si="351"/>
        <v>1</v>
      </c>
    </row>
    <row r="2001" spans="1:38">
      <c r="A2001" t="s">
        <v>6130</v>
      </c>
      <c r="B2001" t="s">
        <v>6131</v>
      </c>
      <c r="C2001" s="1">
        <f t="shared" si="344"/>
        <v>45352</v>
      </c>
      <c r="D2001" t="s">
        <v>6132</v>
      </c>
      <c r="E2001">
        <v>33.1</v>
      </c>
      <c r="F2001">
        <v>1.4</v>
      </c>
      <c r="G2001" t="s">
        <v>68</v>
      </c>
      <c r="H2001" t="s">
        <v>69</v>
      </c>
      <c r="I2001" t="s">
        <v>95</v>
      </c>
      <c r="J2001">
        <v>48</v>
      </c>
      <c r="K2001" t="s">
        <v>49</v>
      </c>
      <c r="L2001" t="s">
        <v>70</v>
      </c>
      <c r="M2001" t="s">
        <v>71</v>
      </c>
      <c r="N2001" t="s">
        <v>277</v>
      </c>
      <c r="O2001" t="s">
        <v>37</v>
      </c>
      <c r="P2001" t="s">
        <v>38</v>
      </c>
      <c r="Q2001" t="s">
        <v>39</v>
      </c>
      <c r="R2001">
        <v>4</v>
      </c>
      <c r="S2001" t="s">
        <v>38</v>
      </c>
      <c r="T2001">
        <v>8</v>
      </c>
      <c r="U2001">
        <v>4.5</v>
      </c>
      <c r="V2001">
        <v>6.5</v>
      </c>
      <c r="W2001" t="s">
        <v>39</v>
      </c>
      <c r="X2001" t="s">
        <v>63</v>
      </c>
      <c r="Y2001" t="s">
        <v>38</v>
      </c>
      <c r="Z2001" t="s">
        <v>115</v>
      </c>
      <c r="AA2001" t="s">
        <v>42</v>
      </c>
      <c r="AB2001" t="s">
        <v>55</v>
      </c>
      <c r="AC2001">
        <f t="shared" si="341"/>
        <v>0</v>
      </c>
      <c r="AD2001" s="12">
        <f t="shared" si="345"/>
        <v>1</v>
      </c>
      <c r="AE2001" s="12">
        <f t="shared" si="346"/>
        <v>0</v>
      </c>
      <c r="AF2001">
        <f t="shared" si="342"/>
        <v>0</v>
      </c>
      <c r="AG2001">
        <f t="shared" si="347"/>
        <v>0</v>
      </c>
      <c r="AH2001">
        <f t="shared" si="348"/>
        <v>0</v>
      </c>
      <c r="AI2001">
        <f t="shared" si="349"/>
        <v>1</v>
      </c>
      <c r="AJ2001">
        <f t="shared" si="350"/>
        <v>0</v>
      </c>
      <c r="AK2001">
        <f t="shared" si="343"/>
        <v>0</v>
      </c>
      <c r="AL2001">
        <f t="shared" si="351"/>
        <v>1</v>
      </c>
    </row>
    <row r="2002" spans="1:38">
      <c r="A2002" t="s">
        <v>6133</v>
      </c>
      <c r="B2002" t="s">
        <v>6134</v>
      </c>
      <c r="C2002" s="1">
        <f t="shared" si="344"/>
        <v>45474</v>
      </c>
      <c r="D2002" t="s">
        <v>6135</v>
      </c>
      <c r="E2002">
        <v>214.7</v>
      </c>
      <c r="F2002">
        <v>8.9</v>
      </c>
      <c r="G2002" t="s">
        <v>87</v>
      </c>
      <c r="H2002" t="s">
        <v>183</v>
      </c>
      <c r="I2002" t="s">
        <v>32</v>
      </c>
      <c r="J2002">
        <v>240</v>
      </c>
      <c r="K2002" t="s">
        <v>49</v>
      </c>
      <c r="L2002" t="s">
        <v>96</v>
      </c>
      <c r="M2002" t="s">
        <v>35</v>
      </c>
      <c r="N2002" t="s">
        <v>114</v>
      </c>
      <c r="O2002" t="s">
        <v>7232</v>
      </c>
      <c r="P2002" t="s">
        <v>38</v>
      </c>
      <c r="Q2002" t="s">
        <v>38</v>
      </c>
      <c r="R2002">
        <v>1</v>
      </c>
      <c r="S2002" t="s">
        <v>38</v>
      </c>
      <c r="T2002">
        <v>7</v>
      </c>
      <c r="U2002">
        <v>1.1000000000000001</v>
      </c>
      <c r="V2002">
        <v>14</v>
      </c>
      <c r="W2002" t="s">
        <v>39</v>
      </c>
      <c r="X2002" t="s">
        <v>40</v>
      </c>
      <c r="Y2002" t="s">
        <v>38</v>
      </c>
      <c r="Z2002" t="s">
        <v>73</v>
      </c>
      <c r="AA2002" t="s">
        <v>103</v>
      </c>
      <c r="AB2002" t="s">
        <v>55</v>
      </c>
      <c r="AC2002">
        <f t="shared" si="341"/>
        <v>0</v>
      </c>
      <c r="AD2002" s="12">
        <f t="shared" si="345"/>
        <v>0</v>
      </c>
      <c r="AE2002" s="12">
        <f t="shared" si="346"/>
        <v>0</v>
      </c>
      <c r="AF2002">
        <f t="shared" si="342"/>
        <v>0</v>
      </c>
      <c r="AG2002">
        <f t="shared" si="347"/>
        <v>1</v>
      </c>
      <c r="AH2002">
        <f t="shared" si="348"/>
        <v>0</v>
      </c>
      <c r="AI2002">
        <f t="shared" si="349"/>
        <v>0</v>
      </c>
      <c r="AJ2002">
        <f t="shared" si="350"/>
        <v>1</v>
      </c>
      <c r="AK2002">
        <f t="shared" si="343"/>
        <v>0</v>
      </c>
      <c r="AL2002">
        <f t="shared" si="351"/>
        <v>1</v>
      </c>
    </row>
    <row r="2003" spans="1:38">
      <c r="A2003" t="s">
        <v>6136</v>
      </c>
      <c r="B2003" t="s">
        <v>6137</v>
      </c>
      <c r="C2003" s="1">
        <f t="shared" si="344"/>
        <v>45566</v>
      </c>
      <c r="D2003" t="s">
        <v>6138</v>
      </c>
      <c r="E2003">
        <v>242.6</v>
      </c>
      <c r="F2003">
        <v>10.1</v>
      </c>
      <c r="G2003" t="s">
        <v>77</v>
      </c>
      <c r="H2003" t="s">
        <v>267</v>
      </c>
      <c r="I2003" t="s">
        <v>79</v>
      </c>
      <c r="J2003">
        <v>360</v>
      </c>
      <c r="K2003" t="s">
        <v>49</v>
      </c>
      <c r="L2003" t="s">
        <v>34</v>
      </c>
      <c r="M2003" t="s">
        <v>35</v>
      </c>
      <c r="N2003" t="s">
        <v>168</v>
      </c>
      <c r="O2003" t="s">
        <v>7232</v>
      </c>
      <c r="P2003" t="s">
        <v>39</v>
      </c>
      <c r="Q2003" t="s">
        <v>38</v>
      </c>
      <c r="R2003">
        <v>0</v>
      </c>
      <c r="S2003" t="s">
        <v>38</v>
      </c>
      <c r="T2003">
        <v>9</v>
      </c>
      <c r="U2003">
        <v>2.6</v>
      </c>
      <c r="V2003">
        <v>17.600000000000001</v>
      </c>
      <c r="W2003" t="s">
        <v>39</v>
      </c>
      <c r="X2003" t="s">
        <v>63</v>
      </c>
      <c r="Y2003" t="s">
        <v>39</v>
      </c>
      <c r="Z2003" t="s">
        <v>108</v>
      </c>
      <c r="AA2003" t="s">
        <v>103</v>
      </c>
      <c r="AB2003" t="s">
        <v>55</v>
      </c>
      <c r="AC2003">
        <f t="shared" si="341"/>
        <v>0</v>
      </c>
      <c r="AD2003" s="12">
        <f t="shared" si="345"/>
        <v>1</v>
      </c>
      <c r="AE2003" s="12">
        <f t="shared" si="346"/>
        <v>0</v>
      </c>
      <c r="AF2003">
        <f t="shared" si="342"/>
        <v>0</v>
      </c>
      <c r="AG2003">
        <f t="shared" si="347"/>
        <v>1</v>
      </c>
      <c r="AH2003">
        <f t="shared" si="348"/>
        <v>0</v>
      </c>
      <c r="AI2003">
        <f t="shared" si="349"/>
        <v>0</v>
      </c>
      <c r="AJ2003">
        <f t="shared" si="350"/>
        <v>0</v>
      </c>
      <c r="AK2003">
        <f t="shared" si="343"/>
        <v>0</v>
      </c>
      <c r="AL2003">
        <f t="shared" si="351"/>
        <v>0</v>
      </c>
    </row>
    <row r="2004" spans="1:38">
      <c r="A2004" t="s">
        <v>6139</v>
      </c>
      <c r="B2004" t="s">
        <v>6140</v>
      </c>
      <c r="C2004" s="1">
        <f t="shared" si="344"/>
        <v>45413</v>
      </c>
      <c r="D2004" t="s">
        <v>6141</v>
      </c>
      <c r="E2004">
        <v>580.4</v>
      </c>
      <c r="F2004">
        <v>24.2</v>
      </c>
      <c r="G2004" t="s">
        <v>93</v>
      </c>
      <c r="H2004" t="s">
        <v>163</v>
      </c>
      <c r="I2004" t="s">
        <v>32</v>
      </c>
      <c r="J2004">
        <v>240</v>
      </c>
      <c r="K2004" t="s">
        <v>33</v>
      </c>
      <c r="L2004" t="s">
        <v>70</v>
      </c>
      <c r="M2004" t="s">
        <v>35</v>
      </c>
      <c r="N2004" t="s">
        <v>155</v>
      </c>
      <c r="O2004" t="s">
        <v>51</v>
      </c>
      <c r="P2004" t="s">
        <v>38</v>
      </c>
      <c r="Q2004" t="s">
        <v>38</v>
      </c>
      <c r="R2004">
        <v>1</v>
      </c>
      <c r="S2004" t="s">
        <v>38</v>
      </c>
      <c r="T2004">
        <v>6</v>
      </c>
      <c r="U2004">
        <v>1.9</v>
      </c>
      <c r="V2004">
        <v>16.600000000000001</v>
      </c>
      <c r="W2004" t="s">
        <v>39</v>
      </c>
      <c r="X2004" t="s">
        <v>63</v>
      </c>
      <c r="Y2004" t="s">
        <v>38</v>
      </c>
      <c r="Z2004" t="s">
        <v>108</v>
      </c>
      <c r="AA2004" t="s">
        <v>103</v>
      </c>
      <c r="AB2004" t="s">
        <v>83</v>
      </c>
      <c r="AC2004">
        <f t="shared" si="341"/>
        <v>0</v>
      </c>
      <c r="AD2004" s="12">
        <f t="shared" si="345"/>
        <v>1</v>
      </c>
      <c r="AE2004" s="12">
        <f t="shared" si="346"/>
        <v>0</v>
      </c>
      <c r="AF2004">
        <f t="shared" si="342"/>
        <v>1</v>
      </c>
      <c r="AG2004">
        <f t="shared" si="347"/>
        <v>0</v>
      </c>
      <c r="AH2004">
        <f t="shared" si="348"/>
        <v>0</v>
      </c>
      <c r="AI2004">
        <f t="shared" si="349"/>
        <v>0</v>
      </c>
      <c r="AJ2004">
        <f t="shared" si="350"/>
        <v>1</v>
      </c>
      <c r="AK2004">
        <f t="shared" si="343"/>
        <v>0</v>
      </c>
      <c r="AL2004">
        <f t="shared" si="351"/>
        <v>1</v>
      </c>
    </row>
    <row r="2005" spans="1:38">
      <c r="A2005" t="s">
        <v>6142</v>
      </c>
      <c r="B2005" t="s">
        <v>6143</v>
      </c>
      <c r="C2005" s="1">
        <f t="shared" si="344"/>
        <v>45292</v>
      </c>
      <c r="D2005" t="s">
        <v>6144</v>
      </c>
      <c r="E2005">
        <v>217.1</v>
      </c>
      <c r="F2005">
        <v>9</v>
      </c>
      <c r="G2005" t="s">
        <v>142</v>
      </c>
      <c r="H2005" t="s">
        <v>260</v>
      </c>
      <c r="I2005" t="s">
        <v>32</v>
      </c>
      <c r="J2005">
        <v>240</v>
      </c>
      <c r="K2005" t="s">
        <v>49</v>
      </c>
      <c r="L2005" t="s">
        <v>70</v>
      </c>
      <c r="M2005" t="s">
        <v>35</v>
      </c>
      <c r="N2005" t="s">
        <v>506</v>
      </c>
      <c r="O2005" t="s">
        <v>51</v>
      </c>
      <c r="P2005" t="s">
        <v>38</v>
      </c>
      <c r="Q2005" t="s">
        <v>38</v>
      </c>
      <c r="R2005">
        <v>1</v>
      </c>
      <c r="S2005" t="s">
        <v>38</v>
      </c>
      <c r="T2005">
        <v>8</v>
      </c>
      <c r="U2005">
        <v>0.6</v>
      </c>
      <c r="V2005">
        <v>12.6</v>
      </c>
      <c r="W2005" t="s">
        <v>39</v>
      </c>
      <c r="X2005" t="s">
        <v>63</v>
      </c>
      <c r="Y2005" t="s">
        <v>39</v>
      </c>
      <c r="Z2005" t="s">
        <v>179</v>
      </c>
      <c r="AA2005" t="s">
        <v>82</v>
      </c>
      <c r="AB2005" t="s">
        <v>55</v>
      </c>
      <c r="AC2005">
        <f t="shared" si="341"/>
        <v>0</v>
      </c>
      <c r="AD2005" s="12">
        <f t="shared" si="345"/>
        <v>1</v>
      </c>
      <c r="AE2005" s="12">
        <f t="shared" si="346"/>
        <v>0</v>
      </c>
      <c r="AF2005">
        <f t="shared" si="342"/>
        <v>1</v>
      </c>
      <c r="AG2005">
        <f t="shared" si="347"/>
        <v>0</v>
      </c>
      <c r="AH2005">
        <f t="shared" si="348"/>
        <v>0</v>
      </c>
      <c r="AI2005">
        <f t="shared" si="349"/>
        <v>0</v>
      </c>
      <c r="AJ2005">
        <f t="shared" si="350"/>
        <v>1</v>
      </c>
      <c r="AK2005">
        <f t="shared" si="343"/>
        <v>0</v>
      </c>
      <c r="AL2005">
        <f t="shared" si="351"/>
        <v>0</v>
      </c>
    </row>
    <row r="2006" spans="1:38">
      <c r="A2006" t="s">
        <v>6145</v>
      </c>
      <c r="B2006" t="s">
        <v>6146</v>
      </c>
      <c r="C2006" s="1">
        <f t="shared" si="344"/>
        <v>45323</v>
      </c>
      <c r="D2006" t="s">
        <v>6147</v>
      </c>
      <c r="E2006">
        <v>201.9</v>
      </c>
      <c r="F2006">
        <v>8.4</v>
      </c>
      <c r="G2006" t="s">
        <v>101</v>
      </c>
      <c r="H2006" t="s">
        <v>368</v>
      </c>
      <c r="I2006" t="s">
        <v>32</v>
      </c>
      <c r="J2006">
        <v>240</v>
      </c>
      <c r="K2006" t="s">
        <v>49</v>
      </c>
      <c r="L2006" t="s">
        <v>96</v>
      </c>
      <c r="M2006" t="s">
        <v>35</v>
      </c>
      <c r="N2006" t="s">
        <v>144</v>
      </c>
      <c r="O2006" t="s">
        <v>7232</v>
      </c>
      <c r="P2006" t="s">
        <v>39</v>
      </c>
      <c r="Q2006" t="s">
        <v>38</v>
      </c>
      <c r="R2006">
        <v>0</v>
      </c>
      <c r="S2006" t="s">
        <v>38</v>
      </c>
      <c r="T2006">
        <v>9</v>
      </c>
      <c r="U2006">
        <v>2.4</v>
      </c>
      <c r="V2006">
        <v>21.2</v>
      </c>
      <c r="W2006" t="s">
        <v>38</v>
      </c>
      <c r="X2006" t="s">
        <v>123</v>
      </c>
      <c r="Y2006" t="s">
        <v>38</v>
      </c>
      <c r="Z2006" t="s">
        <v>64</v>
      </c>
      <c r="AA2006" t="s">
        <v>82</v>
      </c>
      <c r="AB2006" t="s">
        <v>83</v>
      </c>
      <c r="AC2006">
        <f t="shared" si="341"/>
        <v>0</v>
      </c>
      <c r="AD2006" s="12">
        <f t="shared" si="345"/>
        <v>0</v>
      </c>
      <c r="AE2006" s="12">
        <f t="shared" si="346"/>
        <v>1</v>
      </c>
      <c r="AF2006">
        <f t="shared" si="342"/>
        <v>0</v>
      </c>
      <c r="AG2006">
        <f t="shared" si="347"/>
        <v>1</v>
      </c>
      <c r="AH2006">
        <f t="shared" si="348"/>
        <v>0</v>
      </c>
      <c r="AI2006">
        <f t="shared" si="349"/>
        <v>0</v>
      </c>
      <c r="AJ2006">
        <f t="shared" si="350"/>
        <v>1</v>
      </c>
      <c r="AK2006">
        <f t="shared" si="343"/>
        <v>0</v>
      </c>
      <c r="AL2006">
        <f t="shared" si="351"/>
        <v>1</v>
      </c>
    </row>
    <row r="2007" spans="1:38">
      <c r="A2007" t="s">
        <v>6148</v>
      </c>
      <c r="B2007" t="s">
        <v>6149</v>
      </c>
      <c r="C2007" s="1">
        <f t="shared" si="344"/>
        <v>45505</v>
      </c>
      <c r="D2007" t="s">
        <v>6150</v>
      </c>
      <c r="E2007">
        <v>80</v>
      </c>
      <c r="F2007">
        <v>3.3</v>
      </c>
      <c r="G2007" t="s">
        <v>68</v>
      </c>
      <c r="H2007" t="s">
        <v>456</v>
      </c>
      <c r="I2007" t="s">
        <v>48</v>
      </c>
      <c r="J2007">
        <v>120</v>
      </c>
      <c r="K2007" t="s">
        <v>49</v>
      </c>
      <c r="L2007" t="s">
        <v>70</v>
      </c>
      <c r="M2007" t="s">
        <v>35</v>
      </c>
      <c r="N2007" t="s">
        <v>138</v>
      </c>
      <c r="O2007" t="s">
        <v>37</v>
      </c>
      <c r="P2007" t="s">
        <v>38</v>
      </c>
      <c r="Q2007" t="s">
        <v>38</v>
      </c>
      <c r="R2007">
        <v>1</v>
      </c>
      <c r="S2007" t="s">
        <v>38</v>
      </c>
      <c r="T2007">
        <v>8</v>
      </c>
      <c r="U2007">
        <v>6.3</v>
      </c>
      <c r="V2007">
        <v>28.9</v>
      </c>
      <c r="W2007" t="s">
        <v>39</v>
      </c>
      <c r="X2007" t="s">
        <v>123</v>
      </c>
      <c r="Y2007" t="s">
        <v>39</v>
      </c>
      <c r="Z2007" t="s">
        <v>81</v>
      </c>
      <c r="AA2007" t="s">
        <v>42</v>
      </c>
      <c r="AB2007" t="s">
        <v>55</v>
      </c>
      <c r="AC2007">
        <f t="shared" si="341"/>
        <v>0</v>
      </c>
      <c r="AD2007" s="12">
        <f t="shared" si="345"/>
        <v>0</v>
      </c>
      <c r="AE2007" s="12">
        <f t="shared" si="346"/>
        <v>1</v>
      </c>
      <c r="AF2007">
        <f t="shared" si="342"/>
        <v>0</v>
      </c>
      <c r="AG2007">
        <f t="shared" si="347"/>
        <v>0</v>
      </c>
      <c r="AH2007">
        <f t="shared" si="348"/>
        <v>1</v>
      </c>
      <c r="AI2007">
        <f t="shared" si="349"/>
        <v>0</v>
      </c>
      <c r="AJ2007">
        <f t="shared" si="350"/>
        <v>0</v>
      </c>
      <c r="AK2007">
        <f t="shared" si="343"/>
        <v>0</v>
      </c>
      <c r="AL2007">
        <f t="shared" si="351"/>
        <v>0</v>
      </c>
    </row>
    <row r="2008" spans="1:38">
      <c r="A2008" t="s">
        <v>6151</v>
      </c>
      <c r="B2008" t="s">
        <v>6152</v>
      </c>
      <c r="C2008" s="1">
        <f t="shared" si="344"/>
        <v>45413</v>
      </c>
      <c r="D2008" t="s">
        <v>6153</v>
      </c>
      <c r="E2008">
        <v>186.5</v>
      </c>
      <c r="F2008">
        <v>7.8</v>
      </c>
      <c r="G2008" t="s">
        <v>101</v>
      </c>
      <c r="H2008" t="s">
        <v>442</v>
      </c>
      <c r="I2008" t="s">
        <v>32</v>
      </c>
      <c r="J2008">
        <v>240</v>
      </c>
      <c r="K2008" t="s">
        <v>49</v>
      </c>
      <c r="L2008" t="s">
        <v>113</v>
      </c>
      <c r="M2008" t="s">
        <v>71</v>
      </c>
      <c r="N2008" t="s">
        <v>188</v>
      </c>
      <c r="O2008" t="s">
        <v>7232</v>
      </c>
      <c r="P2008" t="s">
        <v>38</v>
      </c>
      <c r="Q2008" t="s">
        <v>39</v>
      </c>
      <c r="R2008">
        <v>1</v>
      </c>
      <c r="S2008" t="s">
        <v>39</v>
      </c>
      <c r="T2008">
        <v>7</v>
      </c>
      <c r="U2008">
        <v>2.8</v>
      </c>
      <c r="V2008">
        <v>11.7</v>
      </c>
      <c r="W2008" t="s">
        <v>39</v>
      </c>
      <c r="X2008" t="s">
        <v>123</v>
      </c>
      <c r="Y2008" t="s">
        <v>38</v>
      </c>
      <c r="Z2008" t="s">
        <v>53</v>
      </c>
      <c r="AA2008" t="s">
        <v>82</v>
      </c>
      <c r="AB2008" t="s">
        <v>55</v>
      </c>
      <c r="AC2008">
        <f t="shared" si="341"/>
        <v>0</v>
      </c>
      <c r="AD2008" s="12">
        <f t="shared" si="345"/>
        <v>0</v>
      </c>
      <c r="AE2008" s="12">
        <f t="shared" si="346"/>
        <v>1</v>
      </c>
      <c r="AF2008">
        <f t="shared" si="342"/>
        <v>0</v>
      </c>
      <c r="AG2008">
        <f t="shared" si="347"/>
        <v>1</v>
      </c>
      <c r="AH2008">
        <f t="shared" si="348"/>
        <v>0</v>
      </c>
      <c r="AI2008">
        <f t="shared" si="349"/>
        <v>0</v>
      </c>
      <c r="AJ2008">
        <f t="shared" si="350"/>
        <v>1</v>
      </c>
      <c r="AK2008">
        <f t="shared" si="343"/>
        <v>0</v>
      </c>
      <c r="AL2008">
        <f t="shared" si="351"/>
        <v>1</v>
      </c>
    </row>
    <row r="2009" spans="1:38">
      <c r="A2009" t="s">
        <v>6154</v>
      </c>
      <c r="B2009" t="s">
        <v>6155</v>
      </c>
      <c r="C2009" s="1">
        <f t="shared" si="344"/>
        <v>45474</v>
      </c>
      <c r="D2009" t="s">
        <v>6156</v>
      </c>
      <c r="E2009">
        <v>100.8</v>
      </c>
      <c r="F2009">
        <v>4.2</v>
      </c>
      <c r="G2009" t="s">
        <v>87</v>
      </c>
      <c r="H2009" t="s">
        <v>183</v>
      </c>
      <c r="I2009" t="s">
        <v>48</v>
      </c>
      <c r="J2009">
        <v>120</v>
      </c>
      <c r="K2009" t="s">
        <v>49</v>
      </c>
      <c r="L2009" t="s">
        <v>96</v>
      </c>
      <c r="M2009" t="s">
        <v>71</v>
      </c>
      <c r="N2009" t="s">
        <v>277</v>
      </c>
      <c r="O2009" t="s">
        <v>7232</v>
      </c>
      <c r="P2009" t="s">
        <v>38</v>
      </c>
      <c r="Q2009" t="s">
        <v>39</v>
      </c>
      <c r="R2009">
        <v>2</v>
      </c>
      <c r="S2009" t="s">
        <v>38</v>
      </c>
      <c r="T2009">
        <v>7</v>
      </c>
      <c r="U2009">
        <v>3.1</v>
      </c>
      <c r="V2009">
        <v>20.7</v>
      </c>
      <c r="W2009" t="s">
        <v>38</v>
      </c>
      <c r="X2009" t="s">
        <v>63</v>
      </c>
      <c r="Y2009" t="s">
        <v>39</v>
      </c>
      <c r="Z2009" t="s">
        <v>179</v>
      </c>
      <c r="AA2009" t="s">
        <v>54</v>
      </c>
      <c r="AB2009" t="s">
        <v>83</v>
      </c>
      <c r="AC2009">
        <f t="shared" si="341"/>
        <v>0</v>
      </c>
      <c r="AD2009" s="12">
        <f t="shared" si="345"/>
        <v>1</v>
      </c>
      <c r="AE2009" s="12">
        <f t="shared" si="346"/>
        <v>0</v>
      </c>
      <c r="AF2009">
        <f t="shared" si="342"/>
        <v>0</v>
      </c>
      <c r="AG2009">
        <f t="shared" si="347"/>
        <v>1</v>
      </c>
      <c r="AH2009">
        <f t="shared" si="348"/>
        <v>1</v>
      </c>
      <c r="AI2009">
        <f t="shared" si="349"/>
        <v>0</v>
      </c>
      <c r="AJ2009">
        <f t="shared" si="350"/>
        <v>0</v>
      </c>
      <c r="AK2009">
        <f t="shared" si="343"/>
        <v>0</v>
      </c>
      <c r="AL2009">
        <f t="shared" si="351"/>
        <v>0</v>
      </c>
    </row>
    <row r="2010" spans="1:38">
      <c r="A2010" t="s">
        <v>6157</v>
      </c>
      <c r="B2010" t="s">
        <v>6158</v>
      </c>
      <c r="C2010" s="1">
        <f t="shared" si="344"/>
        <v>45627</v>
      </c>
      <c r="D2010" t="s">
        <v>6159</v>
      </c>
      <c r="E2010">
        <v>1035.0999999999999</v>
      </c>
      <c r="F2010">
        <v>43.1</v>
      </c>
      <c r="G2010" t="s">
        <v>77</v>
      </c>
      <c r="H2010" t="s">
        <v>244</v>
      </c>
      <c r="I2010" t="s">
        <v>79</v>
      </c>
      <c r="J2010">
        <v>360</v>
      </c>
      <c r="K2010" t="s">
        <v>33</v>
      </c>
      <c r="L2010" t="s">
        <v>34</v>
      </c>
      <c r="M2010" t="s">
        <v>35</v>
      </c>
      <c r="N2010" t="s">
        <v>138</v>
      </c>
      <c r="O2010" t="s">
        <v>7232</v>
      </c>
      <c r="P2010" t="s">
        <v>38</v>
      </c>
      <c r="Q2010" t="s">
        <v>38</v>
      </c>
      <c r="R2010">
        <v>1</v>
      </c>
      <c r="S2010" t="s">
        <v>38</v>
      </c>
      <c r="T2010">
        <v>5</v>
      </c>
      <c r="U2010">
        <v>1.3</v>
      </c>
      <c r="V2010">
        <v>9.9</v>
      </c>
      <c r="W2010" t="s">
        <v>39</v>
      </c>
      <c r="X2010" t="s">
        <v>123</v>
      </c>
      <c r="Y2010" t="s">
        <v>38</v>
      </c>
      <c r="Z2010" t="s">
        <v>81</v>
      </c>
      <c r="AA2010" t="s">
        <v>82</v>
      </c>
      <c r="AB2010" t="s">
        <v>55</v>
      </c>
      <c r="AC2010">
        <f t="shared" si="341"/>
        <v>0</v>
      </c>
      <c r="AD2010" s="12">
        <f t="shared" si="345"/>
        <v>0</v>
      </c>
      <c r="AE2010" s="12">
        <f t="shared" si="346"/>
        <v>1</v>
      </c>
      <c r="AF2010">
        <f t="shared" si="342"/>
        <v>0</v>
      </c>
      <c r="AG2010">
        <f t="shared" si="347"/>
        <v>1</v>
      </c>
      <c r="AH2010">
        <f t="shared" si="348"/>
        <v>0</v>
      </c>
      <c r="AI2010">
        <f t="shared" si="349"/>
        <v>0</v>
      </c>
      <c r="AJ2010">
        <f t="shared" si="350"/>
        <v>0</v>
      </c>
      <c r="AK2010">
        <f t="shared" si="343"/>
        <v>0</v>
      </c>
      <c r="AL2010">
        <f t="shared" si="351"/>
        <v>1</v>
      </c>
    </row>
    <row r="2011" spans="1:38">
      <c r="A2011" t="s">
        <v>6160</v>
      </c>
      <c r="B2011" t="s">
        <v>6161</v>
      </c>
      <c r="C2011" s="1">
        <f t="shared" si="344"/>
        <v>45505</v>
      </c>
      <c r="D2011" t="s">
        <v>6162</v>
      </c>
      <c r="E2011">
        <v>282.2</v>
      </c>
      <c r="F2011">
        <v>11.8</v>
      </c>
      <c r="G2011" t="s">
        <v>93</v>
      </c>
      <c r="H2011" t="s">
        <v>163</v>
      </c>
      <c r="I2011" t="s">
        <v>79</v>
      </c>
      <c r="J2011">
        <v>360</v>
      </c>
      <c r="K2011" t="s">
        <v>49</v>
      </c>
      <c r="L2011" t="s">
        <v>113</v>
      </c>
      <c r="M2011" t="s">
        <v>71</v>
      </c>
      <c r="N2011" t="s">
        <v>61</v>
      </c>
      <c r="O2011" t="s">
        <v>7232</v>
      </c>
      <c r="P2011" t="s">
        <v>38</v>
      </c>
      <c r="Q2011" t="s">
        <v>39</v>
      </c>
      <c r="R2011">
        <v>4</v>
      </c>
      <c r="S2011" t="s">
        <v>38</v>
      </c>
      <c r="T2011">
        <v>7</v>
      </c>
      <c r="U2011">
        <v>1.9</v>
      </c>
      <c r="V2011">
        <v>25.2</v>
      </c>
      <c r="W2011" t="s">
        <v>38</v>
      </c>
      <c r="X2011" t="s">
        <v>63</v>
      </c>
      <c r="Y2011" t="s">
        <v>38</v>
      </c>
      <c r="Z2011" t="s">
        <v>41</v>
      </c>
      <c r="AA2011" t="s">
        <v>54</v>
      </c>
      <c r="AB2011" t="s">
        <v>83</v>
      </c>
      <c r="AC2011">
        <f t="shared" si="341"/>
        <v>0</v>
      </c>
      <c r="AD2011" s="12">
        <f t="shared" si="345"/>
        <v>1</v>
      </c>
      <c r="AE2011" s="12">
        <f t="shared" si="346"/>
        <v>0</v>
      </c>
      <c r="AF2011">
        <f t="shared" si="342"/>
        <v>0</v>
      </c>
      <c r="AG2011">
        <f t="shared" si="347"/>
        <v>1</v>
      </c>
      <c r="AH2011">
        <f t="shared" si="348"/>
        <v>0</v>
      </c>
      <c r="AI2011">
        <f t="shared" si="349"/>
        <v>0</v>
      </c>
      <c r="AJ2011">
        <f t="shared" si="350"/>
        <v>0</v>
      </c>
      <c r="AK2011">
        <f t="shared" si="343"/>
        <v>0</v>
      </c>
      <c r="AL2011">
        <f t="shared" si="351"/>
        <v>1</v>
      </c>
    </row>
    <row r="2012" spans="1:38">
      <c r="A2012" t="s">
        <v>6163</v>
      </c>
      <c r="B2012" t="s">
        <v>6164</v>
      </c>
      <c r="C2012" s="1">
        <f t="shared" si="344"/>
        <v>45505</v>
      </c>
      <c r="D2012" t="s">
        <v>6165</v>
      </c>
      <c r="E2012">
        <v>203.5</v>
      </c>
      <c r="F2012">
        <v>8.5</v>
      </c>
      <c r="G2012" t="s">
        <v>30</v>
      </c>
      <c r="H2012" t="s">
        <v>47</v>
      </c>
      <c r="I2012" t="s">
        <v>32</v>
      </c>
      <c r="J2012">
        <v>240</v>
      </c>
      <c r="K2012" t="s">
        <v>49</v>
      </c>
      <c r="L2012" t="s">
        <v>70</v>
      </c>
      <c r="M2012" t="s">
        <v>35</v>
      </c>
      <c r="N2012" t="s">
        <v>80</v>
      </c>
      <c r="O2012" t="s">
        <v>37</v>
      </c>
      <c r="P2012" t="s">
        <v>39</v>
      </c>
      <c r="Q2012" t="s">
        <v>38</v>
      </c>
      <c r="R2012">
        <v>0</v>
      </c>
      <c r="S2012" t="s">
        <v>38</v>
      </c>
      <c r="T2012">
        <v>9</v>
      </c>
      <c r="U2012">
        <v>4.5999999999999996</v>
      </c>
      <c r="V2012">
        <v>33.5</v>
      </c>
      <c r="W2012" t="s">
        <v>38</v>
      </c>
      <c r="X2012" t="s">
        <v>40</v>
      </c>
      <c r="Y2012" t="s">
        <v>39</v>
      </c>
      <c r="Z2012" t="s">
        <v>53</v>
      </c>
      <c r="AA2012" t="s">
        <v>82</v>
      </c>
      <c r="AB2012" t="s">
        <v>55</v>
      </c>
      <c r="AC2012">
        <f t="shared" si="341"/>
        <v>0</v>
      </c>
      <c r="AD2012" s="12">
        <f t="shared" si="345"/>
        <v>0</v>
      </c>
      <c r="AE2012" s="12">
        <f t="shared" si="346"/>
        <v>0</v>
      </c>
      <c r="AF2012">
        <f t="shared" si="342"/>
        <v>0</v>
      </c>
      <c r="AG2012">
        <f t="shared" si="347"/>
        <v>0</v>
      </c>
      <c r="AH2012">
        <f t="shared" si="348"/>
        <v>0</v>
      </c>
      <c r="AI2012">
        <f t="shared" si="349"/>
        <v>0</v>
      </c>
      <c r="AJ2012">
        <f t="shared" si="350"/>
        <v>1</v>
      </c>
      <c r="AK2012">
        <f t="shared" si="343"/>
        <v>1</v>
      </c>
      <c r="AL2012">
        <f t="shared" si="351"/>
        <v>0</v>
      </c>
    </row>
    <row r="2013" spans="1:38">
      <c r="A2013" t="s">
        <v>6166</v>
      </c>
      <c r="B2013" t="s">
        <v>6167</v>
      </c>
      <c r="C2013" s="1">
        <f t="shared" si="344"/>
        <v>45566</v>
      </c>
      <c r="D2013" t="s">
        <v>6168</v>
      </c>
      <c r="E2013">
        <v>223</v>
      </c>
      <c r="F2013">
        <v>9.3000000000000007</v>
      </c>
      <c r="G2013" t="s">
        <v>30</v>
      </c>
      <c r="H2013" t="s">
        <v>31</v>
      </c>
      <c r="I2013" t="s">
        <v>32</v>
      </c>
      <c r="J2013">
        <v>240</v>
      </c>
      <c r="K2013" t="s">
        <v>49</v>
      </c>
      <c r="L2013" t="s">
        <v>96</v>
      </c>
      <c r="M2013" t="s">
        <v>35</v>
      </c>
      <c r="N2013" t="s">
        <v>277</v>
      </c>
      <c r="O2013" t="s">
        <v>7232</v>
      </c>
      <c r="P2013" t="s">
        <v>38</v>
      </c>
      <c r="Q2013" t="s">
        <v>38</v>
      </c>
      <c r="R2013">
        <v>1</v>
      </c>
      <c r="S2013" t="s">
        <v>38</v>
      </c>
      <c r="T2013">
        <v>10</v>
      </c>
      <c r="U2013">
        <v>2.2999999999999998</v>
      </c>
      <c r="V2013">
        <v>31.9</v>
      </c>
      <c r="W2013" t="s">
        <v>39</v>
      </c>
      <c r="X2013" t="s">
        <v>52</v>
      </c>
      <c r="Y2013" t="s">
        <v>39</v>
      </c>
      <c r="Z2013" t="s">
        <v>41</v>
      </c>
      <c r="AA2013" t="s">
        <v>109</v>
      </c>
      <c r="AB2013" t="s">
        <v>83</v>
      </c>
      <c r="AC2013">
        <f t="shared" si="341"/>
        <v>1</v>
      </c>
      <c r="AD2013" s="12">
        <f t="shared" si="345"/>
        <v>0</v>
      </c>
      <c r="AE2013" s="12">
        <f t="shared" si="346"/>
        <v>0</v>
      </c>
      <c r="AF2013">
        <f t="shared" si="342"/>
        <v>0</v>
      </c>
      <c r="AG2013">
        <f t="shared" si="347"/>
        <v>1</v>
      </c>
      <c r="AH2013">
        <f t="shared" si="348"/>
        <v>0</v>
      </c>
      <c r="AI2013">
        <f t="shared" si="349"/>
        <v>0</v>
      </c>
      <c r="AJ2013">
        <f t="shared" si="350"/>
        <v>1</v>
      </c>
      <c r="AK2013">
        <f t="shared" si="343"/>
        <v>1</v>
      </c>
      <c r="AL2013">
        <f t="shared" si="351"/>
        <v>0</v>
      </c>
    </row>
    <row r="2014" spans="1:38">
      <c r="A2014" t="s">
        <v>6169</v>
      </c>
      <c r="B2014" t="s">
        <v>6170</v>
      </c>
      <c r="C2014" s="1">
        <f t="shared" si="344"/>
        <v>45597</v>
      </c>
      <c r="D2014" t="s">
        <v>6171</v>
      </c>
      <c r="E2014">
        <v>89.3</v>
      </c>
      <c r="F2014">
        <v>3.7</v>
      </c>
      <c r="G2014" t="s">
        <v>59</v>
      </c>
      <c r="H2014" t="s">
        <v>466</v>
      </c>
      <c r="I2014" t="s">
        <v>48</v>
      </c>
      <c r="J2014">
        <v>120</v>
      </c>
      <c r="K2014" t="s">
        <v>49</v>
      </c>
      <c r="L2014" t="s">
        <v>34</v>
      </c>
      <c r="M2014" t="s">
        <v>35</v>
      </c>
      <c r="N2014" t="s">
        <v>220</v>
      </c>
      <c r="O2014" t="s">
        <v>37</v>
      </c>
      <c r="P2014" t="s">
        <v>38</v>
      </c>
      <c r="Q2014" t="s">
        <v>38</v>
      </c>
      <c r="R2014">
        <v>1</v>
      </c>
      <c r="S2014" t="s">
        <v>39</v>
      </c>
      <c r="T2014">
        <v>9</v>
      </c>
      <c r="U2014">
        <v>7.8</v>
      </c>
      <c r="V2014">
        <v>22.5</v>
      </c>
      <c r="W2014" t="s">
        <v>39</v>
      </c>
      <c r="X2014" t="s">
        <v>123</v>
      </c>
      <c r="Y2014" t="s">
        <v>39</v>
      </c>
      <c r="Z2014" t="s">
        <v>81</v>
      </c>
      <c r="AA2014" t="s">
        <v>109</v>
      </c>
      <c r="AB2014" t="s">
        <v>83</v>
      </c>
      <c r="AC2014">
        <f t="shared" si="341"/>
        <v>0</v>
      </c>
      <c r="AD2014" s="12">
        <f t="shared" si="345"/>
        <v>0</v>
      </c>
      <c r="AE2014" s="12">
        <f t="shared" si="346"/>
        <v>1</v>
      </c>
      <c r="AF2014">
        <f t="shared" si="342"/>
        <v>0</v>
      </c>
      <c r="AG2014">
        <f t="shared" si="347"/>
        <v>0</v>
      </c>
      <c r="AH2014">
        <f t="shared" si="348"/>
        <v>1</v>
      </c>
      <c r="AI2014">
        <f t="shared" si="349"/>
        <v>0</v>
      </c>
      <c r="AJ2014">
        <f t="shared" si="350"/>
        <v>0</v>
      </c>
      <c r="AK2014">
        <f t="shared" si="343"/>
        <v>0</v>
      </c>
      <c r="AL2014">
        <f t="shared" si="351"/>
        <v>0</v>
      </c>
    </row>
    <row r="2015" spans="1:38">
      <c r="A2015" t="s">
        <v>6172</v>
      </c>
      <c r="B2015" t="s">
        <v>6173</v>
      </c>
      <c r="C2015" s="1">
        <f t="shared" si="344"/>
        <v>45627</v>
      </c>
      <c r="D2015" t="s">
        <v>6174</v>
      </c>
      <c r="E2015">
        <v>282.39999999999998</v>
      </c>
      <c r="F2015">
        <v>11.8</v>
      </c>
      <c r="G2015" t="s">
        <v>77</v>
      </c>
      <c r="H2015" t="s">
        <v>244</v>
      </c>
      <c r="I2015" t="s">
        <v>79</v>
      </c>
      <c r="J2015">
        <v>360</v>
      </c>
      <c r="K2015" t="s">
        <v>49</v>
      </c>
      <c r="L2015" t="s">
        <v>96</v>
      </c>
      <c r="M2015" t="s">
        <v>35</v>
      </c>
      <c r="N2015" t="s">
        <v>72</v>
      </c>
      <c r="O2015" t="s">
        <v>37</v>
      </c>
      <c r="P2015" t="s">
        <v>39</v>
      </c>
      <c r="Q2015" t="s">
        <v>38</v>
      </c>
      <c r="R2015">
        <v>0</v>
      </c>
      <c r="S2015" t="s">
        <v>39</v>
      </c>
      <c r="T2015">
        <v>10</v>
      </c>
      <c r="U2015">
        <v>4.9000000000000004</v>
      </c>
      <c r="V2015">
        <v>10.8</v>
      </c>
      <c r="W2015" t="s">
        <v>39</v>
      </c>
      <c r="X2015" t="s">
        <v>52</v>
      </c>
      <c r="Y2015" t="s">
        <v>39</v>
      </c>
      <c r="Z2015" t="s">
        <v>73</v>
      </c>
      <c r="AA2015" t="s">
        <v>54</v>
      </c>
      <c r="AB2015" t="s">
        <v>55</v>
      </c>
      <c r="AC2015">
        <f t="shared" si="341"/>
        <v>1</v>
      </c>
      <c r="AD2015" s="12">
        <f t="shared" si="345"/>
        <v>0</v>
      </c>
      <c r="AE2015" s="12">
        <f t="shared" si="346"/>
        <v>0</v>
      </c>
      <c r="AF2015">
        <f t="shared" si="342"/>
        <v>0</v>
      </c>
      <c r="AG2015">
        <f t="shared" si="347"/>
        <v>0</v>
      </c>
      <c r="AH2015">
        <f t="shared" si="348"/>
        <v>0</v>
      </c>
      <c r="AI2015">
        <f t="shared" si="349"/>
        <v>0</v>
      </c>
      <c r="AJ2015">
        <f t="shared" si="350"/>
        <v>0</v>
      </c>
      <c r="AK2015">
        <f t="shared" si="343"/>
        <v>0</v>
      </c>
      <c r="AL2015">
        <f t="shared" si="351"/>
        <v>0</v>
      </c>
    </row>
    <row r="2016" spans="1:38">
      <c r="A2016" t="s">
        <v>6175</v>
      </c>
      <c r="B2016" t="s">
        <v>6176</v>
      </c>
      <c r="C2016" s="1">
        <f t="shared" si="344"/>
        <v>45627</v>
      </c>
      <c r="D2016" t="s">
        <v>6177</v>
      </c>
      <c r="E2016">
        <v>302.60000000000002</v>
      </c>
      <c r="F2016">
        <v>12.6</v>
      </c>
      <c r="G2016" t="s">
        <v>68</v>
      </c>
      <c r="H2016" t="s">
        <v>212</v>
      </c>
      <c r="I2016" t="s">
        <v>32</v>
      </c>
      <c r="J2016">
        <v>240</v>
      </c>
      <c r="K2016" t="s">
        <v>33</v>
      </c>
      <c r="L2016" t="s">
        <v>96</v>
      </c>
      <c r="M2016" t="s">
        <v>35</v>
      </c>
      <c r="N2016" t="s">
        <v>202</v>
      </c>
      <c r="O2016" t="s">
        <v>7232</v>
      </c>
      <c r="P2016" t="s">
        <v>38</v>
      </c>
      <c r="Q2016" t="s">
        <v>38</v>
      </c>
      <c r="R2016">
        <v>1</v>
      </c>
      <c r="S2016" t="s">
        <v>38</v>
      </c>
      <c r="T2016">
        <v>4</v>
      </c>
      <c r="U2016">
        <v>0.7</v>
      </c>
      <c r="V2016">
        <v>11</v>
      </c>
      <c r="W2016" t="s">
        <v>39</v>
      </c>
      <c r="X2016" t="s">
        <v>123</v>
      </c>
      <c r="Y2016" t="s">
        <v>39</v>
      </c>
      <c r="Z2016" t="s">
        <v>64</v>
      </c>
      <c r="AA2016" t="s">
        <v>82</v>
      </c>
      <c r="AB2016" t="s">
        <v>55</v>
      </c>
      <c r="AC2016">
        <f t="shared" si="341"/>
        <v>0</v>
      </c>
      <c r="AD2016" s="12">
        <f t="shared" si="345"/>
        <v>0</v>
      </c>
      <c r="AE2016" s="12">
        <f t="shared" si="346"/>
        <v>1</v>
      </c>
      <c r="AF2016">
        <f t="shared" si="342"/>
        <v>0</v>
      </c>
      <c r="AG2016">
        <f t="shared" si="347"/>
        <v>1</v>
      </c>
      <c r="AH2016">
        <f t="shared" si="348"/>
        <v>0</v>
      </c>
      <c r="AI2016">
        <f t="shared" si="349"/>
        <v>0</v>
      </c>
      <c r="AJ2016">
        <f t="shared" si="350"/>
        <v>1</v>
      </c>
      <c r="AK2016">
        <f t="shared" si="343"/>
        <v>0</v>
      </c>
      <c r="AL2016">
        <f t="shared" si="351"/>
        <v>0</v>
      </c>
    </row>
    <row r="2017" spans="1:38">
      <c r="A2017" t="s">
        <v>6178</v>
      </c>
      <c r="B2017" t="s">
        <v>6179</v>
      </c>
      <c r="C2017" s="1">
        <f t="shared" si="344"/>
        <v>45292</v>
      </c>
      <c r="D2017" t="s">
        <v>6180</v>
      </c>
      <c r="E2017">
        <v>276.3</v>
      </c>
      <c r="F2017">
        <v>11.5</v>
      </c>
      <c r="G2017" t="s">
        <v>77</v>
      </c>
      <c r="H2017" t="s">
        <v>244</v>
      </c>
      <c r="I2017" t="s">
        <v>79</v>
      </c>
      <c r="J2017">
        <v>360</v>
      </c>
      <c r="K2017" t="s">
        <v>49</v>
      </c>
      <c r="L2017" t="s">
        <v>70</v>
      </c>
      <c r="M2017" t="s">
        <v>35</v>
      </c>
      <c r="N2017" t="s">
        <v>80</v>
      </c>
      <c r="O2017" t="s">
        <v>37</v>
      </c>
      <c r="P2017" t="s">
        <v>39</v>
      </c>
      <c r="Q2017" t="s">
        <v>38</v>
      </c>
      <c r="R2017">
        <v>0</v>
      </c>
      <c r="S2017" t="s">
        <v>38</v>
      </c>
      <c r="T2017">
        <v>10</v>
      </c>
      <c r="U2017">
        <v>1.4</v>
      </c>
      <c r="V2017">
        <v>11.6</v>
      </c>
      <c r="W2017" t="s">
        <v>39</v>
      </c>
      <c r="X2017" t="s">
        <v>40</v>
      </c>
      <c r="Y2017" t="s">
        <v>39</v>
      </c>
      <c r="Z2017" t="s">
        <v>179</v>
      </c>
      <c r="AA2017" t="s">
        <v>54</v>
      </c>
      <c r="AB2017" t="s">
        <v>83</v>
      </c>
      <c r="AC2017">
        <f t="shared" si="341"/>
        <v>0</v>
      </c>
      <c r="AD2017" s="12">
        <f t="shared" si="345"/>
        <v>0</v>
      </c>
      <c r="AE2017" s="12">
        <f t="shared" si="346"/>
        <v>0</v>
      </c>
      <c r="AF2017">
        <f t="shared" si="342"/>
        <v>0</v>
      </c>
      <c r="AG2017">
        <f t="shared" si="347"/>
        <v>0</v>
      </c>
      <c r="AH2017">
        <f t="shared" si="348"/>
        <v>0</v>
      </c>
      <c r="AI2017">
        <f t="shared" si="349"/>
        <v>0</v>
      </c>
      <c r="AJ2017">
        <f t="shared" si="350"/>
        <v>0</v>
      </c>
      <c r="AK2017">
        <f t="shared" si="343"/>
        <v>0</v>
      </c>
      <c r="AL2017">
        <f t="shared" si="351"/>
        <v>0</v>
      </c>
    </row>
    <row r="2018" spans="1:38">
      <c r="A2018" t="s">
        <v>6181</v>
      </c>
      <c r="B2018" t="s">
        <v>6182</v>
      </c>
      <c r="C2018" s="1">
        <f t="shared" si="344"/>
        <v>45505</v>
      </c>
      <c r="D2018" t="s">
        <v>6183</v>
      </c>
      <c r="E2018">
        <v>206.2</v>
      </c>
      <c r="F2018">
        <v>8.6</v>
      </c>
      <c r="G2018" t="s">
        <v>142</v>
      </c>
      <c r="H2018" t="s">
        <v>260</v>
      </c>
      <c r="I2018" t="s">
        <v>32</v>
      </c>
      <c r="J2018">
        <v>240</v>
      </c>
      <c r="K2018" t="s">
        <v>49</v>
      </c>
      <c r="L2018" t="s">
        <v>70</v>
      </c>
      <c r="M2018" t="s">
        <v>71</v>
      </c>
      <c r="N2018" t="s">
        <v>50</v>
      </c>
      <c r="O2018" t="s">
        <v>7232</v>
      </c>
      <c r="P2018" t="s">
        <v>38</v>
      </c>
      <c r="Q2018" t="s">
        <v>39</v>
      </c>
      <c r="R2018">
        <v>3</v>
      </c>
      <c r="S2018" t="s">
        <v>38</v>
      </c>
      <c r="T2018">
        <v>9</v>
      </c>
      <c r="U2018">
        <v>0.1</v>
      </c>
      <c r="V2018">
        <v>12.7</v>
      </c>
      <c r="W2018" t="s">
        <v>39</v>
      </c>
      <c r="X2018" t="s">
        <v>63</v>
      </c>
      <c r="Y2018" t="s">
        <v>38</v>
      </c>
      <c r="Z2018" t="s">
        <v>179</v>
      </c>
      <c r="AA2018" t="s">
        <v>54</v>
      </c>
      <c r="AB2018" t="s">
        <v>55</v>
      </c>
      <c r="AC2018">
        <f t="shared" si="341"/>
        <v>0</v>
      </c>
      <c r="AD2018" s="12">
        <f t="shared" si="345"/>
        <v>1</v>
      </c>
      <c r="AE2018" s="12">
        <f t="shared" si="346"/>
        <v>0</v>
      </c>
      <c r="AF2018">
        <f t="shared" si="342"/>
        <v>0</v>
      </c>
      <c r="AG2018">
        <f t="shared" si="347"/>
        <v>1</v>
      </c>
      <c r="AH2018">
        <f t="shared" si="348"/>
        <v>0</v>
      </c>
      <c r="AI2018">
        <f t="shared" si="349"/>
        <v>0</v>
      </c>
      <c r="AJ2018">
        <f t="shared" si="350"/>
        <v>1</v>
      </c>
      <c r="AK2018">
        <f t="shared" si="343"/>
        <v>0</v>
      </c>
      <c r="AL2018">
        <f t="shared" si="351"/>
        <v>1</v>
      </c>
    </row>
    <row r="2019" spans="1:38">
      <c r="A2019" t="s">
        <v>6184</v>
      </c>
      <c r="B2019" t="s">
        <v>6185</v>
      </c>
      <c r="C2019" s="1">
        <f t="shared" si="344"/>
        <v>45323</v>
      </c>
      <c r="D2019" t="s">
        <v>6186</v>
      </c>
      <c r="E2019">
        <v>278.39999999999998</v>
      </c>
      <c r="F2019">
        <v>11.6</v>
      </c>
      <c r="G2019" t="s">
        <v>77</v>
      </c>
      <c r="H2019" t="s">
        <v>267</v>
      </c>
      <c r="I2019" t="s">
        <v>79</v>
      </c>
      <c r="J2019">
        <v>360</v>
      </c>
      <c r="K2019" t="s">
        <v>49</v>
      </c>
      <c r="L2019" t="s">
        <v>96</v>
      </c>
      <c r="M2019" t="s">
        <v>35</v>
      </c>
      <c r="N2019" t="s">
        <v>299</v>
      </c>
      <c r="O2019" t="s">
        <v>7232</v>
      </c>
      <c r="P2019" t="s">
        <v>39</v>
      </c>
      <c r="Q2019" t="s">
        <v>38</v>
      </c>
      <c r="R2019">
        <v>0</v>
      </c>
      <c r="S2019" t="s">
        <v>38</v>
      </c>
      <c r="T2019">
        <v>9</v>
      </c>
      <c r="U2019">
        <v>4.5999999999999996</v>
      </c>
      <c r="V2019">
        <v>4.5</v>
      </c>
      <c r="W2019" t="s">
        <v>38</v>
      </c>
      <c r="X2019" t="s">
        <v>123</v>
      </c>
      <c r="Y2019" t="s">
        <v>39</v>
      </c>
      <c r="Z2019" t="s">
        <v>41</v>
      </c>
      <c r="AA2019" t="s">
        <v>54</v>
      </c>
      <c r="AB2019" t="s">
        <v>55</v>
      </c>
      <c r="AC2019">
        <f t="shared" si="341"/>
        <v>0</v>
      </c>
      <c r="AD2019" s="12">
        <f t="shared" si="345"/>
        <v>0</v>
      </c>
      <c r="AE2019" s="12">
        <f t="shared" si="346"/>
        <v>1</v>
      </c>
      <c r="AF2019">
        <f t="shared" si="342"/>
        <v>0</v>
      </c>
      <c r="AG2019">
        <f t="shared" si="347"/>
        <v>1</v>
      </c>
      <c r="AH2019">
        <f t="shared" si="348"/>
        <v>0</v>
      </c>
      <c r="AI2019">
        <f t="shared" si="349"/>
        <v>0</v>
      </c>
      <c r="AJ2019">
        <f t="shared" si="350"/>
        <v>0</v>
      </c>
      <c r="AK2019">
        <f t="shared" si="343"/>
        <v>0</v>
      </c>
      <c r="AL2019">
        <f t="shared" si="351"/>
        <v>0</v>
      </c>
    </row>
    <row r="2020" spans="1:38">
      <c r="A2020" t="s">
        <v>6187</v>
      </c>
      <c r="B2020" t="s">
        <v>6188</v>
      </c>
      <c r="C2020" s="1">
        <f t="shared" si="344"/>
        <v>45413</v>
      </c>
      <c r="D2020" t="s">
        <v>6189</v>
      </c>
      <c r="E2020">
        <v>34.299999999999997</v>
      </c>
      <c r="F2020">
        <v>1.4</v>
      </c>
      <c r="G2020" t="s">
        <v>77</v>
      </c>
      <c r="H2020" t="s">
        <v>244</v>
      </c>
      <c r="I2020" t="s">
        <v>95</v>
      </c>
      <c r="J2020">
        <v>48</v>
      </c>
      <c r="K2020" t="s">
        <v>49</v>
      </c>
      <c r="L2020" t="s">
        <v>70</v>
      </c>
      <c r="M2020" t="s">
        <v>35</v>
      </c>
      <c r="N2020" t="s">
        <v>119</v>
      </c>
      <c r="O2020" t="s">
        <v>7232</v>
      </c>
      <c r="P2020" t="s">
        <v>39</v>
      </c>
      <c r="Q2020" t="s">
        <v>38</v>
      </c>
      <c r="R2020">
        <v>0</v>
      </c>
      <c r="S2020" t="s">
        <v>38</v>
      </c>
      <c r="T2020">
        <v>9</v>
      </c>
      <c r="U2020">
        <v>2.5</v>
      </c>
      <c r="V2020">
        <v>10</v>
      </c>
      <c r="W2020" t="s">
        <v>39</v>
      </c>
      <c r="X2020" t="s">
        <v>123</v>
      </c>
      <c r="Y2020" t="s">
        <v>39</v>
      </c>
      <c r="Z2020" t="s">
        <v>179</v>
      </c>
      <c r="AA2020" t="s">
        <v>42</v>
      </c>
      <c r="AB2020" t="s">
        <v>55</v>
      </c>
      <c r="AC2020">
        <f t="shared" si="341"/>
        <v>0</v>
      </c>
      <c r="AD2020" s="12">
        <f t="shared" si="345"/>
        <v>0</v>
      </c>
      <c r="AE2020" s="12">
        <f t="shared" si="346"/>
        <v>1</v>
      </c>
      <c r="AF2020">
        <f t="shared" si="342"/>
        <v>0</v>
      </c>
      <c r="AG2020">
        <f t="shared" si="347"/>
        <v>1</v>
      </c>
      <c r="AH2020">
        <f t="shared" si="348"/>
        <v>0</v>
      </c>
      <c r="AI2020">
        <f t="shared" si="349"/>
        <v>1</v>
      </c>
      <c r="AJ2020">
        <f t="shared" si="350"/>
        <v>0</v>
      </c>
      <c r="AK2020">
        <f t="shared" si="343"/>
        <v>0</v>
      </c>
      <c r="AL2020">
        <f t="shared" si="351"/>
        <v>0</v>
      </c>
    </row>
    <row r="2021" spans="1:38">
      <c r="A2021" t="s">
        <v>6190</v>
      </c>
      <c r="B2021" t="s">
        <v>6191</v>
      </c>
      <c r="C2021" s="1">
        <f t="shared" si="344"/>
        <v>45292</v>
      </c>
      <c r="D2021" t="s">
        <v>6192</v>
      </c>
      <c r="E2021">
        <v>113</v>
      </c>
      <c r="F2021">
        <v>4.7</v>
      </c>
      <c r="G2021" t="s">
        <v>59</v>
      </c>
      <c r="H2021" t="s">
        <v>132</v>
      </c>
      <c r="I2021" t="s">
        <v>48</v>
      </c>
      <c r="J2021">
        <v>120</v>
      </c>
      <c r="K2021" t="s">
        <v>49</v>
      </c>
      <c r="L2021" t="s">
        <v>70</v>
      </c>
      <c r="M2021" t="s">
        <v>35</v>
      </c>
      <c r="N2021" t="s">
        <v>414</v>
      </c>
      <c r="O2021" t="s">
        <v>7232</v>
      </c>
      <c r="P2021" t="s">
        <v>38</v>
      </c>
      <c r="Q2021" t="s">
        <v>38</v>
      </c>
      <c r="R2021">
        <v>1</v>
      </c>
      <c r="S2021" t="s">
        <v>38</v>
      </c>
      <c r="T2021">
        <v>8</v>
      </c>
      <c r="U2021">
        <v>0.3</v>
      </c>
      <c r="V2021">
        <v>34.1</v>
      </c>
      <c r="W2021" t="s">
        <v>39</v>
      </c>
      <c r="X2021" t="s">
        <v>63</v>
      </c>
      <c r="Y2021" t="s">
        <v>38</v>
      </c>
      <c r="Z2021" t="s">
        <v>115</v>
      </c>
      <c r="AA2021" t="s">
        <v>82</v>
      </c>
      <c r="AB2021" t="s">
        <v>83</v>
      </c>
      <c r="AC2021">
        <f t="shared" si="341"/>
        <v>0</v>
      </c>
      <c r="AD2021" s="12">
        <f t="shared" si="345"/>
        <v>1</v>
      </c>
      <c r="AE2021" s="12">
        <f t="shared" si="346"/>
        <v>0</v>
      </c>
      <c r="AF2021">
        <f t="shared" si="342"/>
        <v>0</v>
      </c>
      <c r="AG2021">
        <f t="shared" si="347"/>
        <v>1</v>
      </c>
      <c r="AH2021">
        <f t="shared" si="348"/>
        <v>1</v>
      </c>
      <c r="AI2021">
        <f t="shared" si="349"/>
        <v>0</v>
      </c>
      <c r="AJ2021">
        <f t="shared" si="350"/>
        <v>0</v>
      </c>
      <c r="AK2021">
        <f t="shared" si="343"/>
        <v>0</v>
      </c>
      <c r="AL2021">
        <f t="shared" si="351"/>
        <v>1</v>
      </c>
    </row>
    <row r="2022" spans="1:38">
      <c r="A2022" t="s">
        <v>6193</v>
      </c>
      <c r="B2022" t="s">
        <v>6194</v>
      </c>
      <c r="C2022" s="1">
        <f t="shared" si="344"/>
        <v>45627</v>
      </c>
      <c r="D2022" t="s">
        <v>6195</v>
      </c>
      <c r="E2022">
        <v>279.2</v>
      </c>
      <c r="F2022">
        <v>11.6</v>
      </c>
      <c r="G2022" t="s">
        <v>30</v>
      </c>
      <c r="H2022" t="s">
        <v>31</v>
      </c>
      <c r="I2022" t="s">
        <v>32</v>
      </c>
      <c r="J2022">
        <v>240</v>
      </c>
      <c r="K2022" t="s">
        <v>33</v>
      </c>
      <c r="L2022" t="s">
        <v>34</v>
      </c>
      <c r="M2022" t="s">
        <v>35</v>
      </c>
      <c r="N2022" t="s">
        <v>202</v>
      </c>
      <c r="O2022" t="s">
        <v>37</v>
      </c>
      <c r="P2022" t="s">
        <v>38</v>
      </c>
      <c r="Q2022" t="s">
        <v>38</v>
      </c>
      <c r="R2022">
        <v>1</v>
      </c>
      <c r="S2022" t="s">
        <v>38</v>
      </c>
      <c r="T2022">
        <v>5</v>
      </c>
      <c r="U2022">
        <v>0.5</v>
      </c>
      <c r="V2022">
        <v>20.7</v>
      </c>
      <c r="W2022" t="s">
        <v>39</v>
      </c>
      <c r="X2022" t="s">
        <v>123</v>
      </c>
      <c r="Y2022" t="s">
        <v>39</v>
      </c>
      <c r="Z2022" t="s">
        <v>81</v>
      </c>
      <c r="AA2022" t="s">
        <v>42</v>
      </c>
      <c r="AB2022" t="s">
        <v>55</v>
      </c>
      <c r="AC2022">
        <f t="shared" si="341"/>
        <v>0</v>
      </c>
      <c r="AD2022" s="12">
        <f t="shared" si="345"/>
        <v>0</v>
      </c>
      <c r="AE2022" s="12">
        <f t="shared" si="346"/>
        <v>1</v>
      </c>
      <c r="AF2022">
        <f t="shared" si="342"/>
        <v>0</v>
      </c>
      <c r="AG2022">
        <f t="shared" si="347"/>
        <v>0</v>
      </c>
      <c r="AH2022">
        <f t="shared" si="348"/>
        <v>0</v>
      </c>
      <c r="AI2022">
        <f t="shared" si="349"/>
        <v>0</v>
      </c>
      <c r="AJ2022">
        <f t="shared" si="350"/>
        <v>1</v>
      </c>
      <c r="AK2022">
        <f t="shared" si="343"/>
        <v>1</v>
      </c>
      <c r="AL2022">
        <f t="shared" si="351"/>
        <v>0</v>
      </c>
    </row>
    <row r="2023" spans="1:38">
      <c r="A2023" t="s">
        <v>6196</v>
      </c>
      <c r="B2023" t="s">
        <v>6197</v>
      </c>
      <c r="C2023" s="1">
        <f t="shared" si="344"/>
        <v>45444</v>
      </c>
      <c r="D2023" t="s">
        <v>6198</v>
      </c>
      <c r="E2023">
        <v>203.8</v>
      </c>
      <c r="F2023">
        <v>8.5</v>
      </c>
      <c r="G2023" t="s">
        <v>142</v>
      </c>
      <c r="H2023" t="s">
        <v>319</v>
      </c>
      <c r="I2023" t="s">
        <v>32</v>
      </c>
      <c r="J2023">
        <v>240</v>
      </c>
      <c r="K2023" t="s">
        <v>49</v>
      </c>
      <c r="L2023" t="s">
        <v>34</v>
      </c>
      <c r="M2023" t="s">
        <v>71</v>
      </c>
      <c r="N2023" t="s">
        <v>164</v>
      </c>
      <c r="O2023" t="s">
        <v>7232</v>
      </c>
      <c r="P2023" t="s">
        <v>38</v>
      </c>
      <c r="Q2023" t="s">
        <v>39</v>
      </c>
      <c r="R2023">
        <v>1</v>
      </c>
      <c r="S2023" t="s">
        <v>38</v>
      </c>
      <c r="T2023">
        <v>9</v>
      </c>
      <c r="U2023">
        <v>1.4</v>
      </c>
      <c r="V2023">
        <v>21.5</v>
      </c>
      <c r="W2023" t="s">
        <v>38</v>
      </c>
      <c r="X2023" t="s">
        <v>52</v>
      </c>
      <c r="Y2023" t="s">
        <v>39</v>
      </c>
      <c r="Z2023" t="s">
        <v>179</v>
      </c>
      <c r="AA2023" t="s">
        <v>109</v>
      </c>
      <c r="AB2023" t="s">
        <v>83</v>
      </c>
      <c r="AC2023">
        <f t="shared" si="341"/>
        <v>1</v>
      </c>
      <c r="AD2023" s="12">
        <f t="shared" si="345"/>
        <v>0</v>
      </c>
      <c r="AE2023" s="12">
        <f t="shared" si="346"/>
        <v>0</v>
      </c>
      <c r="AF2023">
        <f t="shared" si="342"/>
        <v>0</v>
      </c>
      <c r="AG2023">
        <f t="shared" si="347"/>
        <v>1</v>
      </c>
      <c r="AH2023">
        <f t="shared" si="348"/>
        <v>0</v>
      </c>
      <c r="AI2023">
        <f t="shared" si="349"/>
        <v>0</v>
      </c>
      <c r="AJ2023">
        <f t="shared" si="350"/>
        <v>1</v>
      </c>
      <c r="AK2023">
        <f t="shared" si="343"/>
        <v>0</v>
      </c>
      <c r="AL2023">
        <f t="shared" si="351"/>
        <v>0</v>
      </c>
    </row>
    <row r="2024" spans="1:38">
      <c r="A2024" t="s">
        <v>6199</v>
      </c>
      <c r="B2024" t="s">
        <v>6200</v>
      </c>
      <c r="C2024" s="1">
        <f t="shared" si="344"/>
        <v>45474</v>
      </c>
      <c r="D2024" t="s">
        <v>6201</v>
      </c>
      <c r="E2024">
        <v>310.7</v>
      </c>
      <c r="F2024">
        <v>12.9</v>
      </c>
      <c r="G2024" t="s">
        <v>87</v>
      </c>
      <c r="H2024" t="s">
        <v>88</v>
      </c>
      <c r="I2024" t="s">
        <v>32</v>
      </c>
      <c r="J2024">
        <v>240</v>
      </c>
      <c r="K2024" t="s">
        <v>33</v>
      </c>
      <c r="L2024" t="s">
        <v>96</v>
      </c>
      <c r="M2024" t="s">
        <v>35</v>
      </c>
      <c r="N2024" t="s">
        <v>72</v>
      </c>
      <c r="O2024" t="s">
        <v>37</v>
      </c>
      <c r="P2024" t="s">
        <v>38</v>
      </c>
      <c r="Q2024" t="s">
        <v>38</v>
      </c>
      <c r="R2024">
        <v>1</v>
      </c>
      <c r="S2024" t="s">
        <v>39</v>
      </c>
      <c r="T2024">
        <v>4</v>
      </c>
      <c r="U2024">
        <v>4</v>
      </c>
      <c r="V2024">
        <v>6.4</v>
      </c>
      <c r="W2024" t="s">
        <v>38</v>
      </c>
      <c r="X2024" t="s">
        <v>52</v>
      </c>
      <c r="Y2024" t="s">
        <v>39</v>
      </c>
      <c r="Z2024" t="s">
        <v>64</v>
      </c>
      <c r="AA2024" t="s">
        <v>42</v>
      </c>
      <c r="AB2024" t="s">
        <v>43</v>
      </c>
      <c r="AC2024">
        <f t="shared" si="341"/>
        <v>1</v>
      </c>
      <c r="AD2024" s="12">
        <f t="shared" si="345"/>
        <v>0</v>
      </c>
      <c r="AE2024" s="12">
        <f t="shared" si="346"/>
        <v>0</v>
      </c>
      <c r="AF2024">
        <f t="shared" si="342"/>
        <v>0</v>
      </c>
      <c r="AG2024">
        <f t="shared" si="347"/>
        <v>0</v>
      </c>
      <c r="AH2024">
        <f t="shared" si="348"/>
        <v>0</v>
      </c>
      <c r="AI2024">
        <f t="shared" si="349"/>
        <v>0</v>
      </c>
      <c r="AJ2024">
        <f t="shared" si="350"/>
        <v>1</v>
      </c>
      <c r="AK2024">
        <f t="shared" si="343"/>
        <v>0</v>
      </c>
      <c r="AL2024">
        <f t="shared" si="351"/>
        <v>0</v>
      </c>
    </row>
    <row r="2025" spans="1:38">
      <c r="A2025" t="s">
        <v>6202</v>
      </c>
      <c r="B2025" t="s">
        <v>6203</v>
      </c>
      <c r="C2025" s="1">
        <f t="shared" si="344"/>
        <v>45444</v>
      </c>
      <c r="D2025" t="s">
        <v>6204</v>
      </c>
      <c r="E2025">
        <v>401.3</v>
      </c>
      <c r="F2025">
        <v>16.7</v>
      </c>
      <c r="G2025" t="s">
        <v>77</v>
      </c>
      <c r="H2025" t="s">
        <v>244</v>
      </c>
      <c r="I2025" t="s">
        <v>79</v>
      </c>
      <c r="J2025">
        <v>360</v>
      </c>
      <c r="K2025" t="s">
        <v>33</v>
      </c>
      <c r="L2025" t="s">
        <v>70</v>
      </c>
      <c r="M2025" t="s">
        <v>35</v>
      </c>
      <c r="N2025" t="s">
        <v>168</v>
      </c>
      <c r="O2025" t="s">
        <v>37</v>
      </c>
      <c r="P2025" t="s">
        <v>38</v>
      </c>
      <c r="Q2025" t="s">
        <v>38</v>
      </c>
      <c r="R2025">
        <v>1</v>
      </c>
      <c r="S2025" t="s">
        <v>39</v>
      </c>
      <c r="T2025">
        <v>3</v>
      </c>
      <c r="U2025">
        <v>0.5</v>
      </c>
      <c r="V2025">
        <v>7.9</v>
      </c>
      <c r="W2025" t="s">
        <v>38</v>
      </c>
      <c r="X2025" t="s">
        <v>40</v>
      </c>
      <c r="Y2025" t="s">
        <v>38</v>
      </c>
      <c r="Z2025" t="s">
        <v>73</v>
      </c>
      <c r="AA2025" t="s">
        <v>42</v>
      </c>
      <c r="AB2025" t="s">
        <v>83</v>
      </c>
      <c r="AC2025">
        <f t="shared" si="341"/>
        <v>0</v>
      </c>
      <c r="AD2025" s="12">
        <f t="shared" si="345"/>
        <v>0</v>
      </c>
      <c r="AE2025" s="12">
        <f t="shared" si="346"/>
        <v>0</v>
      </c>
      <c r="AF2025">
        <f t="shared" si="342"/>
        <v>0</v>
      </c>
      <c r="AG2025">
        <f t="shared" si="347"/>
        <v>0</v>
      </c>
      <c r="AH2025">
        <f t="shared" si="348"/>
        <v>0</v>
      </c>
      <c r="AI2025">
        <f t="shared" si="349"/>
        <v>0</v>
      </c>
      <c r="AJ2025">
        <f t="shared" si="350"/>
        <v>0</v>
      </c>
      <c r="AK2025">
        <f t="shared" si="343"/>
        <v>0</v>
      </c>
      <c r="AL2025">
        <f t="shared" si="351"/>
        <v>1</v>
      </c>
    </row>
    <row r="2026" spans="1:38">
      <c r="A2026" t="s">
        <v>6205</v>
      </c>
      <c r="B2026" t="s">
        <v>6206</v>
      </c>
      <c r="C2026" s="1">
        <f t="shared" si="344"/>
        <v>45413</v>
      </c>
      <c r="D2026" t="s">
        <v>6207</v>
      </c>
      <c r="E2026">
        <v>112.3</v>
      </c>
      <c r="F2026">
        <v>4.7</v>
      </c>
      <c r="G2026" t="s">
        <v>59</v>
      </c>
      <c r="H2026" t="s">
        <v>132</v>
      </c>
      <c r="I2026" t="s">
        <v>48</v>
      </c>
      <c r="J2026">
        <v>120</v>
      </c>
      <c r="K2026" t="s">
        <v>49</v>
      </c>
      <c r="L2026" t="s">
        <v>70</v>
      </c>
      <c r="M2026" t="s">
        <v>35</v>
      </c>
      <c r="N2026" t="s">
        <v>164</v>
      </c>
      <c r="O2026" t="s">
        <v>37</v>
      </c>
      <c r="P2026" t="s">
        <v>38</v>
      </c>
      <c r="Q2026" t="s">
        <v>38</v>
      </c>
      <c r="R2026">
        <v>1</v>
      </c>
      <c r="S2026" t="s">
        <v>38</v>
      </c>
      <c r="T2026">
        <v>9</v>
      </c>
      <c r="U2026">
        <v>3.6</v>
      </c>
      <c r="V2026">
        <v>15.9</v>
      </c>
      <c r="W2026" t="s">
        <v>38</v>
      </c>
      <c r="X2026" t="s">
        <v>40</v>
      </c>
      <c r="Y2026" t="s">
        <v>39</v>
      </c>
      <c r="Z2026" t="s">
        <v>115</v>
      </c>
      <c r="AA2026" t="s">
        <v>109</v>
      </c>
      <c r="AB2026" t="s">
        <v>83</v>
      </c>
      <c r="AC2026">
        <f t="shared" si="341"/>
        <v>0</v>
      </c>
      <c r="AD2026" s="12">
        <f t="shared" si="345"/>
        <v>0</v>
      </c>
      <c r="AE2026" s="12">
        <f t="shared" si="346"/>
        <v>0</v>
      </c>
      <c r="AF2026">
        <f t="shared" si="342"/>
        <v>0</v>
      </c>
      <c r="AG2026">
        <f t="shared" si="347"/>
        <v>0</v>
      </c>
      <c r="AH2026">
        <f t="shared" si="348"/>
        <v>1</v>
      </c>
      <c r="AI2026">
        <f t="shared" si="349"/>
        <v>0</v>
      </c>
      <c r="AJ2026">
        <f t="shared" si="350"/>
        <v>0</v>
      </c>
      <c r="AK2026">
        <f t="shared" si="343"/>
        <v>0</v>
      </c>
      <c r="AL2026">
        <f t="shared" si="351"/>
        <v>0</v>
      </c>
    </row>
    <row r="2027" spans="1:38">
      <c r="A2027" t="s">
        <v>6208</v>
      </c>
      <c r="B2027" t="s">
        <v>6209</v>
      </c>
      <c r="C2027" s="1">
        <f t="shared" si="344"/>
        <v>45566</v>
      </c>
      <c r="D2027" t="s">
        <v>6210</v>
      </c>
      <c r="E2027">
        <v>39.9</v>
      </c>
      <c r="F2027">
        <v>1.7</v>
      </c>
      <c r="G2027" t="s">
        <v>87</v>
      </c>
      <c r="H2027" t="s">
        <v>88</v>
      </c>
      <c r="I2027" t="s">
        <v>95</v>
      </c>
      <c r="J2027">
        <v>48</v>
      </c>
      <c r="K2027" t="s">
        <v>49</v>
      </c>
      <c r="L2027" t="s">
        <v>70</v>
      </c>
      <c r="M2027" t="s">
        <v>35</v>
      </c>
      <c r="N2027" t="s">
        <v>36</v>
      </c>
      <c r="O2027" t="s">
        <v>51</v>
      </c>
      <c r="P2027" t="s">
        <v>39</v>
      </c>
      <c r="Q2027" t="s">
        <v>38</v>
      </c>
      <c r="R2027">
        <v>0</v>
      </c>
      <c r="S2027" t="s">
        <v>38</v>
      </c>
      <c r="T2027">
        <v>9</v>
      </c>
      <c r="U2027">
        <v>5.6</v>
      </c>
      <c r="V2027">
        <v>26.1</v>
      </c>
      <c r="W2027" t="s">
        <v>39</v>
      </c>
      <c r="X2027" t="s">
        <v>52</v>
      </c>
      <c r="Y2027" t="s">
        <v>39</v>
      </c>
      <c r="Z2027" t="s">
        <v>64</v>
      </c>
      <c r="AA2027" t="s">
        <v>42</v>
      </c>
      <c r="AB2027" t="s">
        <v>83</v>
      </c>
      <c r="AC2027">
        <f t="shared" si="341"/>
        <v>1</v>
      </c>
      <c r="AD2027" s="12">
        <f t="shared" si="345"/>
        <v>0</v>
      </c>
      <c r="AE2027" s="12">
        <f t="shared" si="346"/>
        <v>0</v>
      </c>
      <c r="AF2027">
        <f t="shared" si="342"/>
        <v>1</v>
      </c>
      <c r="AG2027">
        <f t="shared" si="347"/>
        <v>0</v>
      </c>
      <c r="AH2027">
        <f t="shared" si="348"/>
        <v>0</v>
      </c>
      <c r="AI2027">
        <f t="shared" si="349"/>
        <v>1</v>
      </c>
      <c r="AJ2027">
        <f t="shared" si="350"/>
        <v>0</v>
      </c>
      <c r="AK2027">
        <f t="shared" si="343"/>
        <v>0</v>
      </c>
      <c r="AL2027">
        <f t="shared" si="351"/>
        <v>0</v>
      </c>
    </row>
    <row r="2028" spans="1:38">
      <c r="A2028" t="s">
        <v>6211</v>
      </c>
      <c r="B2028" t="s">
        <v>6212</v>
      </c>
      <c r="C2028" s="1">
        <f t="shared" si="344"/>
        <v>45474</v>
      </c>
      <c r="D2028" t="s">
        <v>6213</v>
      </c>
      <c r="E2028">
        <v>227.1</v>
      </c>
      <c r="F2028">
        <v>9.5</v>
      </c>
      <c r="G2028" t="s">
        <v>77</v>
      </c>
      <c r="H2028" t="s">
        <v>187</v>
      </c>
      <c r="I2028" t="s">
        <v>32</v>
      </c>
      <c r="J2028">
        <v>240</v>
      </c>
      <c r="K2028" t="s">
        <v>49</v>
      </c>
      <c r="L2028" t="s">
        <v>96</v>
      </c>
      <c r="M2028" t="s">
        <v>35</v>
      </c>
      <c r="N2028" t="s">
        <v>72</v>
      </c>
      <c r="O2028" t="s">
        <v>51</v>
      </c>
      <c r="P2028" t="s">
        <v>39</v>
      </c>
      <c r="Q2028" t="s">
        <v>38</v>
      </c>
      <c r="R2028">
        <v>0</v>
      </c>
      <c r="S2028" t="s">
        <v>38</v>
      </c>
      <c r="T2028">
        <v>9</v>
      </c>
      <c r="U2028">
        <v>2.2000000000000002</v>
      </c>
      <c r="V2028">
        <v>18.899999999999999</v>
      </c>
      <c r="W2028" t="s">
        <v>38</v>
      </c>
      <c r="X2028" t="s">
        <v>123</v>
      </c>
      <c r="Y2028" t="s">
        <v>38</v>
      </c>
      <c r="Z2028" t="s">
        <v>108</v>
      </c>
      <c r="AA2028" t="s">
        <v>109</v>
      </c>
      <c r="AB2028" t="s">
        <v>83</v>
      </c>
      <c r="AC2028">
        <f t="shared" si="341"/>
        <v>0</v>
      </c>
      <c r="AD2028" s="12">
        <f t="shared" si="345"/>
        <v>0</v>
      </c>
      <c r="AE2028" s="12">
        <f t="shared" si="346"/>
        <v>1</v>
      </c>
      <c r="AF2028">
        <f t="shared" si="342"/>
        <v>1</v>
      </c>
      <c r="AG2028">
        <f t="shared" si="347"/>
        <v>0</v>
      </c>
      <c r="AH2028">
        <f t="shared" si="348"/>
        <v>0</v>
      </c>
      <c r="AI2028">
        <f t="shared" si="349"/>
        <v>0</v>
      </c>
      <c r="AJ2028">
        <f t="shared" si="350"/>
        <v>1</v>
      </c>
      <c r="AK2028">
        <f t="shared" si="343"/>
        <v>0</v>
      </c>
      <c r="AL2028">
        <f t="shared" si="351"/>
        <v>1</v>
      </c>
    </row>
    <row r="2029" spans="1:38">
      <c r="A2029" t="s">
        <v>6214</v>
      </c>
      <c r="B2029" t="s">
        <v>6215</v>
      </c>
      <c r="C2029" s="1">
        <f t="shared" si="344"/>
        <v>45444</v>
      </c>
      <c r="D2029" t="s">
        <v>6216</v>
      </c>
      <c r="E2029">
        <v>246.8</v>
      </c>
      <c r="F2029">
        <v>10.3</v>
      </c>
      <c r="G2029" t="s">
        <v>30</v>
      </c>
      <c r="H2029" t="s">
        <v>159</v>
      </c>
      <c r="I2029" t="s">
        <v>79</v>
      </c>
      <c r="J2029">
        <v>360</v>
      </c>
      <c r="K2029" t="s">
        <v>49</v>
      </c>
      <c r="L2029" t="s">
        <v>96</v>
      </c>
      <c r="M2029" t="s">
        <v>35</v>
      </c>
      <c r="N2029" t="s">
        <v>36</v>
      </c>
      <c r="O2029" t="s">
        <v>51</v>
      </c>
      <c r="P2029" t="s">
        <v>39</v>
      </c>
      <c r="Q2029" t="s">
        <v>38</v>
      </c>
      <c r="R2029">
        <v>0</v>
      </c>
      <c r="S2029" t="s">
        <v>38</v>
      </c>
      <c r="T2029">
        <v>8</v>
      </c>
      <c r="U2029">
        <v>2</v>
      </c>
      <c r="V2029">
        <v>7.7</v>
      </c>
      <c r="W2029" t="s">
        <v>39</v>
      </c>
      <c r="X2029" t="s">
        <v>123</v>
      </c>
      <c r="Y2029" t="s">
        <v>39</v>
      </c>
      <c r="Z2029" t="s">
        <v>64</v>
      </c>
      <c r="AA2029" t="s">
        <v>103</v>
      </c>
      <c r="AB2029" t="s">
        <v>83</v>
      </c>
      <c r="AC2029">
        <f t="shared" si="341"/>
        <v>0</v>
      </c>
      <c r="AD2029" s="12">
        <f t="shared" si="345"/>
        <v>0</v>
      </c>
      <c r="AE2029" s="12">
        <f t="shared" si="346"/>
        <v>1</v>
      </c>
      <c r="AF2029">
        <f t="shared" si="342"/>
        <v>1</v>
      </c>
      <c r="AG2029">
        <f t="shared" si="347"/>
        <v>0</v>
      </c>
      <c r="AH2029">
        <f t="shared" si="348"/>
        <v>0</v>
      </c>
      <c r="AI2029">
        <f t="shared" si="349"/>
        <v>0</v>
      </c>
      <c r="AJ2029">
        <f t="shared" si="350"/>
        <v>0</v>
      </c>
      <c r="AK2029">
        <f t="shared" si="343"/>
        <v>1</v>
      </c>
      <c r="AL2029">
        <f t="shared" si="351"/>
        <v>0</v>
      </c>
    </row>
    <row r="2030" spans="1:38">
      <c r="A2030" t="s">
        <v>6217</v>
      </c>
      <c r="B2030" t="s">
        <v>6218</v>
      </c>
      <c r="C2030" s="1">
        <f t="shared" si="344"/>
        <v>45627</v>
      </c>
      <c r="D2030" t="s">
        <v>6219</v>
      </c>
      <c r="E2030">
        <v>330</v>
      </c>
      <c r="F2030">
        <v>13.8</v>
      </c>
      <c r="G2030" t="s">
        <v>30</v>
      </c>
      <c r="H2030" t="s">
        <v>172</v>
      </c>
      <c r="I2030" t="s">
        <v>32</v>
      </c>
      <c r="J2030">
        <v>240</v>
      </c>
      <c r="K2030" t="s">
        <v>33</v>
      </c>
      <c r="L2030" t="s">
        <v>96</v>
      </c>
      <c r="M2030" t="s">
        <v>35</v>
      </c>
      <c r="N2030" t="s">
        <v>134</v>
      </c>
      <c r="O2030" t="s">
        <v>51</v>
      </c>
      <c r="P2030" t="s">
        <v>39</v>
      </c>
      <c r="Q2030" t="s">
        <v>38</v>
      </c>
      <c r="R2030">
        <v>0</v>
      </c>
      <c r="S2030" t="s">
        <v>38</v>
      </c>
      <c r="T2030">
        <v>6</v>
      </c>
      <c r="U2030">
        <v>2.8</v>
      </c>
      <c r="V2030">
        <v>22.9</v>
      </c>
      <c r="W2030" t="s">
        <v>38</v>
      </c>
      <c r="X2030" t="s">
        <v>63</v>
      </c>
      <c r="Y2030" t="s">
        <v>39</v>
      </c>
      <c r="Z2030" t="s">
        <v>73</v>
      </c>
      <c r="AA2030" t="s">
        <v>82</v>
      </c>
      <c r="AB2030" t="s">
        <v>83</v>
      </c>
      <c r="AC2030">
        <f t="shared" si="341"/>
        <v>0</v>
      </c>
      <c r="AD2030" s="12">
        <f t="shared" si="345"/>
        <v>1</v>
      </c>
      <c r="AE2030" s="12">
        <f t="shared" si="346"/>
        <v>0</v>
      </c>
      <c r="AF2030">
        <f t="shared" si="342"/>
        <v>1</v>
      </c>
      <c r="AG2030">
        <f t="shared" si="347"/>
        <v>0</v>
      </c>
      <c r="AH2030">
        <f t="shared" si="348"/>
        <v>0</v>
      </c>
      <c r="AI2030">
        <f t="shared" si="349"/>
        <v>0</v>
      </c>
      <c r="AJ2030">
        <f t="shared" si="350"/>
        <v>1</v>
      </c>
      <c r="AK2030">
        <f t="shared" si="343"/>
        <v>1</v>
      </c>
      <c r="AL2030">
        <f t="shared" si="351"/>
        <v>0</v>
      </c>
    </row>
    <row r="2031" spans="1:38">
      <c r="A2031" t="s">
        <v>6220</v>
      </c>
      <c r="B2031" t="s">
        <v>6221</v>
      </c>
      <c r="C2031" s="1">
        <f t="shared" si="344"/>
        <v>45627</v>
      </c>
      <c r="D2031" t="s">
        <v>6222</v>
      </c>
      <c r="E2031">
        <v>236.6</v>
      </c>
      <c r="F2031">
        <v>9.9</v>
      </c>
      <c r="G2031" t="s">
        <v>77</v>
      </c>
      <c r="H2031" t="s">
        <v>78</v>
      </c>
      <c r="I2031" t="s">
        <v>79</v>
      </c>
      <c r="J2031">
        <v>360</v>
      </c>
      <c r="K2031" t="s">
        <v>49</v>
      </c>
      <c r="L2031" t="s">
        <v>70</v>
      </c>
      <c r="M2031" t="s">
        <v>35</v>
      </c>
      <c r="N2031" t="s">
        <v>97</v>
      </c>
      <c r="O2031" t="s">
        <v>51</v>
      </c>
      <c r="P2031" t="s">
        <v>39</v>
      </c>
      <c r="Q2031" t="s">
        <v>38</v>
      </c>
      <c r="R2031">
        <v>0</v>
      </c>
      <c r="S2031" t="s">
        <v>38</v>
      </c>
      <c r="T2031">
        <v>8</v>
      </c>
      <c r="U2031">
        <v>2.7</v>
      </c>
      <c r="V2031">
        <v>24.2</v>
      </c>
      <c r="W2031" t="s">
        <v>39</v>
      </c>
      <c r="X2031" t="s">
        <v>123</v>
      </c>
      <c r="Y2031" t="s">
        <v>38</v>
      </c>
      <c r="Z2031" t="s">
        <v>115</v>
      </c>
      <c r="AA2031" t="s">
        <v>42</v>
      </c>
      <c r="AB2031" t="s">
        <v>83</v>
      </c>
      <c r="AC2031">
        <f t="shared" si="341"/>
        <v>0</v>
      </c>
      <c r="AD2031" s="12">
        <f t="shared" si="345"/>
        <v>0</v>
      </c>
      <c r="AE2031" s="12">
        <f t="shared" si="346"/>
        <v>1</v>
      </c>
      <c r="AF2031">
        <f t="shared" si="342"/>
        <v>1</v>
      </c>
      <c r="AG2031">
        <f t="shared" si="347"/>
        <v>0</v>
      </c>
      <c r="AH2031">
        <f t="shared" si="348"/>
        <v>0</v>
      </c>
      <c r="AI2031">
        <f t="shared" si="349"/>
        <v>0</v>
      </c>
      <c r="AJ2031">
        <f t="shared" si="350"/>
        <v>0</v>
      </c>
      <c r="AK2031">
        <f t="shared" si="343"/>
        <v>0</v>
      </c>
      <c r="AL2031">
        <f t="shared" si="351"/>
        <v>1</v>
      </c>
    </row>
    <row r="2032" spans="1:38">
      <c r="A2032" t="s">
        <v>6223</v>
      </c>
      <c r="B2032" t="s">
        <v>6224</v>
      </c>
      <c r="C2032" s="1">
        <f t="shared" si="344"/>
        <v>45536</v>
      </c>
      <c r="D2032" t="s">
        <v>6225</v>
      </c>
      <c r="E2032">
        <v>374</v>
      </c>
      <c r="F2032">
        <v>15.6</v>
      </c>
      <c r="G2032" t="s">
        <v>77</v>
      </c>
      <c r="H2032" t="s">
        <v>267</v>
      </c>
      <c r="I2032" t="s">
        <v>79</v>
      </c>
      <c r="J2032">
        <v>360</v>
      </c>
      <c r="K2032" t="s">
        <v>33</v>
      </c>
      <c r="L2032" t="s">
        <v>34</v>
      </c>
      <c r="M2032" t="s">
        <v>35</v>
      </c>
      <c r="N2032" t="s">
        <v>164</v>
      </c>
      <c r="O2032" t="s">
        <v>7232</v>
      </c>
      <c r="P2032" t="s">
        <v>38</v>
      </c>
      <c r="Q2032" t="s">
        <v>38</v>
      </c>
      <c r="R2032">
        <v>1</v>
      </c>
      <c r="S2032" t="s">
        <v>38</v>
      </c>
      <c r="T2032">
        <v>5</v>
      </c>
      <c r="U2032">
        <v>4.8</v>
      </c>
      <c r="V2032">
        <v>2.5</v>
      </c>
      <c r="W2032" t="s">
        <v>38</v>
      </c>
      <c r="X2032" t="s">
        <v>123</v>
      </c>
      <c r="Y2032" t="s">
        <v>38</v>
      </c>
      <c r="Z2032" t="s">
        <v>179</v>
      </c>
      <c r="AA2032" t="s">
        <v>109</v>
      </c>
      <c r="AB2032" t="s">
        <v>83</v>
      </c>
      <c r="AC2032">
        <f t="shared" si="341"/>
        <v>0</v>
      </c>
      <c r="AD2032" s="12">
        <f t="shared" si="345"/>
        <v>0</v>
      </c>
      <c r="AE2032" s="12">
        <f t="shared" si="346"/>
        <v>1</v>
      </c>
      <c r="AF2032">
        <f t="shared" si="342"/>
        <v>0</v>
      </c>
      <c r="AG2032">
        <f t="shared" si="347"/>
        <v>1</v>
      </c>
      <c r="AH2032">
        <f t="shared" si="348"/>
        <v>0</v>
      </c>
      <c r="AI2032">
        <f t="shared" si="349"/>
        <v>0</v>
      </c>
      <c r="AJ2032">
        <f t="shared" si="350"/>
        <v>0</v>
      </c>
      <c r="AK2032">
        <f t="shared" si="343"/>
        <v>0</v>
      </c>
      <c r="AL2032">
        <f t="shared" si="351"/>
        <v>1</v>
      </c>
    </row>
    <row r="2033" spans="1:38">
      <c r="A2033" t="s">
        <v>6226</v>
      </c>
      <c r="B2033" t="s">
        <v>6227</v>
      </c>
      <c r="C2033" s="1">
        <f t="shared" si="344"/>
        <v>45627</v>
      </c>
      <c r="D2033" t="s">
        <v>6228</v>
      </c>
      <c r="E2033">
        <v>312.60000000000002</v>
      </c>
      <c r="F2033">
        <v>13</v>
      </c>
      <c r="G2033" t="s">
        <v>93</v>
      </c>
      <c r="H2033" t="s">
        <v>291</v>
      </c>
      <c r="I2033" t="s">
        <v>79</v>
      </c>
      <c r="J2033">
        <v>360</v>
      </c>
      <c r="K2033" t="s">
        <v>49</v>
      </c>
      <c r="L2033" t="s">
        <v>96</v>
      </c>
      <c r="M2033" t="s">
        <v>35</v>
      </c>
      <c r="N2033" t="s">
        <v>192</v>
      </c>
      <c r="O2033" t="s">
        <v>51</v>
      </c>
      <c r="P2033" t="s">
        <v>38</v>
      </c>
      <c r="Q2033" t="s">
        <v>38</v>
      </c>
      <c r="R2033">
        <v>1</v>
      </c>
      <c r="S2033" t="s">
        <v>38</v>
      </c>
      <c r="T2033">
        <v>9</v>
      </c>
      <c r="U2033">
        <v>2.6</v>
      </c>
      <c r="V2033">
        <v>10</v>
      </c>
      <c r="W2033" t="s">
        <v>39</v>
      </c>
      <c r="X2033" t="s">
        <v>123</v>
      </c>
      <c r="Y2033" t="s">
        <v>39</v>
      </c>
      <c r="Z2033" t="s">
        <v>115</v>
      </c>
      <c r="AA2033" t="s">
        <v>109</v>
      </c>
      <c r="AB2033" t="s">
        <v>83</v>
      </c>
      <c r="AC2033">
        <f t="shared" si="341"/>
        <v>0</v>
      </c>
      <c r="AD2033" s="12">
        <f t="shared" si="345"/>
        <v>0</v>
      </c>
      <c r="AE2033" s="12">
        <f t="shared" si="346"/>
        <v>1</v>
      </c>
      <c r="AF2033">
        <f t="shared" si="342"/>
        <v>1</v>
      </c>
      <c r="AG2033">
        <f t="shared" si="347"/>
        <v>0</v>
      </c>
      <c r="AH2033">
        <f t="shared" si="348"/>
        <v>0</v>
      </c>
      <c r="AI2033">
        <f t="shared" si="349"/>
        <v>0</v>
      </c>
      <c r="AJ2033">
        <f t="shared" si="350"/>
        <v>0</v>
      </c>
      <c r="AK2033">
        <f t="shared" si="343"/>
        <v>0</v>
      </c>
      <c r="AL2033">
        <f t="shared" si="351"/>
        <v>0</v>
      </c>
    </row>
    <row r="2034" spans="1:38">
      <c r="A2034" t="s">
        <v>6229</v>
      </c>
      <c r="B2034" t="s">
        <v>6230</v>
      </c>
      <c r="C2034" s="1">
        <f t="shared" si="344"/>
        <v>45474</v>
      </c>
      <c r="D2034" t="s">
        <v>6231</v>
      </c>
      <c r="E2034">
        <v>261.5</v>
      </c>
      <c r="F2034">
        <v>10.9</v>
      </c>
      <c r="G2034" t="s">
        <v>77</v>
      </c>
      <c r="H2034" t="s">
        <v>267</v>
      </c>
      <c r="I2034" t="s">
        <v>32</v>
      </c>
      <c r="J2034">
        <v>240</v>
      </c>
      <c r="K2034" t="s">
        <v>33</v>
      </c>
      <c r="L2034" t="s">
        <v>96</v>
      </c>
      <c r="M2034" t="s">
        <v>35</v>
      </c>
      <c r="N2034" t="s">
        <v>80</v>
      </c>
      <c r="O2034" t="s">
        <v>7232</v>
      </c>
      <c r="P2034" t="s">
        <v>38</v>
      </c>
      <c r="Q2034" t="s">
        <v>38</v>
      </c>
      <c r="R2034">
        <v>1</v>
      </c>
      <c r="S2034" t="s">
        <v>38</v>
      </c>
      <c r="T2034">
        <v>7</v>
      </c>
      <c r="U2034">
        <v>1.9</v>
      </c>
      <c r="V2034">
        <v>24.3</v>
      </c>
      <c r="W2034" t="s">
        <v>38</v>
      </c>
      <c r="X2034" t="s">
        <v>63</v>
      </c>
      <c r="Y2034" t="s">
        <v>38</v>
      </c>
      <c r="Z2034" t="s">
        <v>179</v>
      </c>
      <c r="AA2034" t="s">
        <v>109</v>
      </c>
      <c r="AB2034" t="s">
        <v>43</v>
      </c>
      <c r="AC2034">
        <f t="shared" si="341"/>
        <v>0</v>
      </c>
      <c r="AD2034" s="12">
        <f t="shared" si="345"/>
        <v>1</v>
      </c>
      <c r="AE2034" s="12">
        <f t="shared" si="346"/>
        <v>0</v>
      </c>
      <c r="AF2034">
        <f t="shared" si="342"/>
        <v>0</v>
      </c>
      <c r="AG2034">
        <f t="shared" si="347"/>
        <v>1</v>
      </c>
      <c r="AH2034">
        <f t="shared" si="348"/>
        <v>0</v>
      </c>
      <c r="AI2034">
        <f t="shared" si="349"/>
        <v>0</v>
      </c>
      <c r="AJ2034">
        <f t="shared" si="350"/>
        <v>1</v>
      </c>
      <c r="AK2034">
        <f t="shared" si="343"/>
        <v>0</v>
      </c>
      <c r="AL2034">
        <f t="shared" si="351"/>
        <v>1</v>
      </c>
    </row>
    <row r="2035" spans="1:38">
      <c r="A2035" t="s">
        <v>6232</v>
      </c>
      <c r="B2035" t="s">
        <v>6233</v>
      </c>
      <c r="C2035" s="1">
        <f t="shared" si="344"/>
        <v>45413</v>
      </c>
      <c r="D2035" t="s">
        <v>6234</v>
      </c>
      <c r="E2035">
        <v>166.8</v>
      </c>
      <c r="F2035">
        <v>7</v>
      </c>
      <c r="G2035" t="s">
        <v>87</v>
      </c>
      <c r="H2035" t="s">
        <v>309</v>
      </c>
      <c r="I2035" t="s">
        <v>32</v>
      </c>
      <c r="J2035">
        <v>240</v>
      </c>
      <c r="K2035" t="s">
        <v>49</v>
      </c>
      <c r="L2035" t="s">
        <v>96</v>
      </c>
      <c r="M2035" t="s">
        <v>71</v>
      </c>
      <c r="N2035" t="s">
        <v>89</v>
      </c>
      <c r="O2035" t="s">
        <v>51</v>
      </c>
      <c r="P2035" t="s">
        <v>38</v>
      </c>
      <c r="Q2035" t="s">
        <v>39</v>
      </c>
      <c r="R2035">
        <v>3</v>
      </c>
      <c r="S2035" t="s">
        <v>38</v>
      </c>
      <c r="T2035">
        <v>9</v>
      </c>
      <c r="U2035">
        <v>1.2</v>
      </c>
      <c r="V2035">
        <v>31.6</v>
      </c>
      <c r="W2035" t="s">
        <v>38</v>
      </c>
      <c r="X2035" t="s">
        <v>123</v>
      </c>
      <c r="Y2035" t="s">
        <v>38</v>
      </c>
      <c r="Z2035" t="s">
        <v>53</v>
      </c>
      <c r="AA2035" t="s">
        <v>82</v>
      </c>
      <c r="AB2035" t="s">
        <v>83</v>
      </c>
      <c r="AC2035">
        <f t="shared" si="341"/>
        <v>0</v>
      </c>
      <c r="AD2035" s="12">
        <f t="shared" si="345"/>
        <v>0</v>
      </c>
      <c r="AE2035" s="12">
        <f t="shared" si="346"/>
        <v>1</v>
      </c>
      <c r="AF2035">
        <f t="shared" si="342"/>
        <v>1</v>
      </c>
      <c r="AG2035">
        <f t="shared" si="347"/>
        <v>0</v>
      </c>
      <c r="AH2035">
        <f t="shared" si="348"/>
        <v>0</v>
      </c>
      <c r="AI2035">
        <f t="shared" si="349"/>
        <v>0</v>
      </c>
      <c r="AJ2035">
        <f t="shared" si="350"/>
        <v>1</v>
      </c>
      <c r="AK2035">
        <f t="shared" si="343"/>
        <v>0</v>
      </c>
      <c r="AL2035">
        <f t="shared" si="351"/>
        <v>1</v>
      </c>
    </row>
    <row r="2036" spans="1:38">
      <c r="A2036" t="s">
        <v>6235</v>
      </c>
      <c r="B2036" t="s">
        <v>6236</v>
      </c>
      <c r="C2036" s="1">
        <f t="shared" si="344"/>
        <v>45536</v>
      </c>
      <c r="D2036" t="s">
        <v>6237</v>
      </c>
      <c r="E2036">
        <v>172</v>
      </c>
      <c r="F2036">
        <v>7.2</v>
      </c>
      <c r="G2036" t="s">
        <v>68</v>
      </c>
      <c r="H2036" t="s">
        <v>219</v>
      </c>
      <c r="I2036" t="s">
        <v>32</v>
      </c>
      <c r="J2036">
        <v>240</v>
      </c>
      <c r="K2036" t="s">
        <v>49</v>
      </c>
      <c r="L2036" t="s">
        <v>96</v>
      </c>
      <c r="M2036" t="s">
        <v>35</v>
      </c>
      <c r="N2036" t="s">
        <v>72</v>
      </c>
      <c r="O2036" t="s">
        <v>37</v>
      </c>
      <c r="P2036" t="s">
        <v>38</v>
      </c>
      <c r="Q2036" t="s">
        <v>38</v>
      </c>
      <c r="R2036">
        <v>1</v>
      </c>
      <c r="S2036" t="s">
        <v>38</v>
      </c>
      <c r="T2036">
        <v>7</v>
      </c>
      <c r="U2036">
        <v>3.2</v>
      </c>
      <c r="V2036">
        <v>9.3000000000000007</v>
      </c>
      <c r="W2036" t="s">
        <v>38</v>
      </c>
      <c r="X2036" t="s">
        <v>63</v>
      </c>
      <c r="Y2036" t="s">
        <v>38</v>
      </c>
      <c r="Z2036" t="s">
        <v>108</v>
      </c>
      <c r="AA2036" t="s">
        <v>109</v>
      </c>
      <c r="AB2036" t="s">
        <v>83</v>
      </c>
      <c r="AC2036">
        <f t="shared" si="341"/>
        <v>0</v>
      </c>
      <c r="AD2036" s="12">
        <f t="shared" si="345"/>
        <v>1</v>
      </c>
      <c r="AE2036" s="12">
        <f t="shared" si="346"/>
        <v>0</v>
      </c>
      <c r="AF2036">
        <f t="shared" si="342"/>
        <v>0</v>
      </c>
      <c r="AG2036">
        <f t="shared" si="347"/>
        <v>0</v>
      </c>
      <c r="AH2036">
        <f t="shared" si="348"/>
        <v>0</v>
      </c>
      <c r="AI2036">
        <f t="shared" si="349"/>
        <v>0</v>
      </c>
      <c r="AJ2036">
        <f t="shared" si="350"/>
        <v>1</v>
      </c>
      <c r="AK2036">
        <f t="shared" si="343"/>
        <v>0</v>
      </c>
      <c r="AL2036">
        <f t="shared" si="351"/>
        <v>1</v>
      </c>
    </row>
    <row r="2037" spans="1:38">
      <c r="A2037" t="s">
        <v>6238</v>
      </c>
      <c r="B2037" t="s">
        <v>6239</v>
      </c>
      <c r="C2037" s="1">
        <f t="shared" si="344"/>
        <v>45566</v>
      </c>
      <c r="D2037" t="s">
        <v>6240</v>
      </c>
      <c r="E2037">
        <v>330</v>
      </c>
      <c r="F2037">
        <v>13.8</v>
      </c>
      <c r="G2037" t="s">
        <v>77</v>
      </c>
      <c r="H2037" t="s">
        <v>78</v>
      </c>
      <c r="I2037" t="s">
        <v>79</v>
      </c>
      <c r="J2037">
        <v>360</v>
      </c>
      <c r="K2037" t="s">
        <v>49</v>
      </c>
      <c r="L2037" t="s">
        <v>70</v>
      </c>
      <c r="M2037" t="s">
        <v>35</v>
      </c>
      <c r="N2037" t="s">
        <v>414</v>
      </c>
      <c r="O2037" t="s">
        <v>7232</v>
      </c>
      <c r="P2037" t="s">
        <v>39</v>
      </c>
      <c r="Q2037" t="s">
        <v>38</v>
      </c>
      <c r="R2037">
        <v>0</v>
      </c>
      <c r="S2037" t="s">
        <v>38</v>
      </c>
      <c r="T2037">
        <v>10</v>
      </c>
      <c r="U2037">
        <v>1.6</v>
      </c>
      <c r="V2037">
        <v>0</v>
      </c>
      <c r="W2037" t="s">
        <v>39</v>
      </c>
      <c r="X2037" t="s">
        <v>52</v>
      </c>
      <c r="Y2037" t="s">
        <v>39</v>
      </c>
      <c r="Z2037" t="s">
        <v>81</v>
      </c>
      <c r="AA2037" t="s">
        <v>109</v>
      </c>
      <c r="AB2037" t="s">
        <v>83</v>
      </c>
      <c r="AC2037">
        <f t="shared" si="341"/>
        <v>1</v>
      </c>
      <c r="AD2037" s="12">
        <f t="shared" si="345"/>
        <v>0</v>
      </c>
      <c r="AE2037" s="12">
        <f t="shared" si="346"/>
        <v>0</v>
      </c>
      <c r="AF2037">
        <f t="shared" si="342"/>
        <v>0</v>
      </c>
      <c r="AG2037">
        <f t="shared" si="347"/>
        <v>1</v>
      </c>
      <c r="AH2037">
        <f t="shared" si="348"/>
        <v>0</v>
      </c>
      <c r="AI2037">
        <f t="shared" si="349"/>
        <v>0</v>
      </c>
      <c r="AJ2037">
        <f t="shared" si="350"/>
        <v>0</v>
      </c>
      <c r="AK2037">
        <f t="shared" si="343"/>
        <v>0</v>
      </c>
      <c r="AL2037">
        <f t="shared" si="351"/>
        <v>0</v>
      </c>
    </row>
    <row r="2038" spans="1:38">
      <c r="A2038" t="s">
        <v>6241</v>
      </c>
      <c r="B2038" t="s">
        <v>6242</v>
      </c>
      <c r="C2038" s="1">
        <f t="shared" si="344"/>
        <v>45566</v>
      </c>
      <c r="D2038" t="s">
        <v>6243</v>
      </c>
      <c r="E2038">
        <v>72.8</v>
      </c>
      <c r="F2038">
        <v>3</v>
      </c>
      <c r="G2038" t="s">
        <v>59</v>
      </c>
      <c r="H2038" t="s">
        <v>227</v>
      </c>
      <c r="I2038" t="s">
        <v>48</v>
      </c>
      <c r="J2038">
        <v>120</v>
      </c>
      <c r="K2038" t="s">
        <v>49</v>
      </c>
      <c r="L2038" t="s">
        <v>96</v>
      </c>
      <c r="M2038" t="s">
        <v>71</v>
      </c>
      <c r="N2038" t="s">
        <v>506</v>
      </c>
      <c r="O2038" t="s">
        <v>51</v>
      </c>
      <c r="P2038" t="s">
        <v>38</v>
      </c>
      <c r="Q2038" t="s">
        <v>39</v>
      </c>
      <c r="R2038">
        <v>1</v>
      </c>
      <c r="S2038" t="s">
        <v>38</v>
      </c>
      <c r="T2038">
        <v>10</v>
      </c>
      <c r="U2038">
        <v>7.1</v>
      </c>
      <c r="V2038">
        <v>4.8</v>
      </c>
      <c r="W2038" t="s">
        <v>38</v>
      </c>
      <c r="X2038" t="s">
        <v>123</v>
      </c>
      <c r="Y2038" t="s">
        <v>38</v>
      </c>
      <c r="Z2038" t="s">
        <v>73</v>
      </c>
      <c r="AA2038" t="s">
        <v>54</v>
      </c>
      <c r="AB2038" t="s">
        <v>83</v>
      </c>
      <c r="AC2038">
        <f t="shared" si="341"/>
        <v>0</v>
      </c>
      <c r="AD2038" s="12">
        <f t="shared" si="345"/>
        <v>0</v>
      </c>
      <c r="AE2038" s="12">
        <f t="shared" si="346"/>
        <v>1</v>
      </c>
      <c r="AF2038">
        <f t="shared" si="342"/>
        <v>1</v>
      </c>
      <c r="AG2038">
        <f t="shared" si="347"/>
        <v>0</v>
      </c>
      <c r="AH2038">
        <f t="shared" si="348"/>
        <v>1</v>
      </c>
      <c r="AI2038">
        <f t="shared" si="349"/>
        <v>0</v>
      </c>
      <c r="AJ2038">
        <f t="shared" si="350"/>
        <v>0</v>
      </c>
      <c r="AK2038">
        <f t="shared" si="343"/>
        <v>0</v>
      </c>
      <c r="AL2038">
        <f t="shared" si="351"/>
        <v>1</v>
      </c>
    </row>
    <row r="2039" spans="1:38">
      <c r="A2039" t="s">
        <v>6244</v>
      </c>
      <c r="B2039" t="s">
        <v>6245</v>
      </c>
      <c r="C2039" s="1">
        <f t="shared" si="344"/>
        <v>45597</v>
      </c>
      <c r="D2039" t="s">
        <v>6246</v>
      </c>
      <c r="E2039">
        <v>277.3</v>
      </c>
      <c r="F2039">
        <v>11.6</v>
      </c>
      <c r="G2039" t="s">
        <v>77</v>
      </c>
      <c r="H2039" t="s">
        <v>244</v>
      </c>
      <c r="I2039" t="s">
        <v>79</v>
      </c>
      <c r="J2039">
        <v>360</v>
      </c>
      <c r="K2039" t="s">
        <v>49</v>
      </c>
      <c r="L2039" t="s">
        <v>34</v>
      </c>
      <c r="M2039" t="s">
        <v>35</v>
      </c>
      <c r="N2039" t="s">
        <v>168</v>
      </c>
      <c r="O2039" t="s">
        <v>51</v>
      </c>
      <c r="P2039" t="s">
        <v>39</v>
      </c>
      <c r="Q2039" t="s">
        <v>38</v>
      </c>
      <c r="R2039">
        <v>0</v>
      </c>
      <c r="S2039" t="s">
        <v>38</v>
      </c>
      <c r="T2039">
        <v>10</v>
      </c>
      <c r="U2039">
        <v>1.3</v>
      </c>
      <c r="V2039">
        <v>44.4</v>
      </c>
      <c r="W2039" t="s">
        <v>38</v>
      </c>
      <c r="X2039" t="s">
        <v>123</v>
      </c>
      <c r="Y2039" t="s">
        <v>39</v>
      </c>
      <c r="Z2039" t="s">
        <v>64</v>
      </c>
      <c r="AA2039" t="s">
        <v>109</v>
      </c>
      <c r="AB2039" t="s">
        <v>55</v>
      </c>
      <c r="AC2039">
        <f t="shared" si="341"/>
        <v>0</v>
      </c>
      <c r="AD2039" s="12">
        <f t="shared" si="345"/>
        <v>0</v>
      </c>
      <c r="AE2039" s="12">
        <f t="shared" si="346"/>
        <v>1</v>
      </c>
      <c r="AF2039">
        <f t="shared" si="342"/>
        <v>1</v>
      </c>
      <c r="AG2039">
        <f t="shared" si="347"/>
        <v>0</v>
      </c>
      <c r="AH2039">
        <f t="shared" si="348"/>
        <v>0</v>
      </c>
      <c r="AI2039">
        <f t="shared" si="349"/>
        <v>0</v>
      </c>
      <c r="AJ2039">
        <f t="shared" si="350"/>
        <v>0</v>
      </c>
      <c r="AK2039">
        <f t="shared" si="343"/>
        <v>0</v>
      </c>
      <c r="AL2039">
        <f t="shared" si="351"/>
        <v>0</v>
      </c>
    </row>
    <row r="2040" spans="1:38">
      <c r="A2040" t="s">
        <v>6247</v>
      </c>
      <c r="B2040" t="s">
        <v>6248</v>
      </c>
      <c r="C2040" s="1">
        <f t="shared" si="344"/>
        <v>45413</v>
      </c>
      <c r="D2040" t="s">
        <v>6249</v>
      </c>
      <c r="E2040">
        <v>203.1</v>
      </c>
      <c r="F2040">
        <v>8.5</v>
      </c>
      <c r="G2040" t="s">
        <v>101</v>
      </c>
      <c r="H2040" t="s">
        <v>442</v>
      </c>
      <c r="I2040" t="s">
        <v>32</v>
      </c>
      <c r="J2040">
        <v>240</v>
      </c>
      <c r="K2040" t="s">
        <v>49</v>
      </c>
      <c r="L2040" t="s">
        <v>96</v>
      </c>
      <c r="M2040" t="s">
        <v>35</v>
      </c>
      <c r="N2040" t="s">
        <v>277</v>
      </c>
      <c r="O2040" t="s">
        <v>37</v>
      </c>
      <c r="P2040" t="s">
        <v>38</v>
      </c>
      <c r="Q2040" t="s">
        <v>38</v>
      </c>
      <c r="R2040">
        <v>1</v>
      </c>
      <c r="S2040" t="s">
        <v>38</v>
      </c>
      <c r="T2040">
        <v>7</v>
      </c>
      <c r="U2040">
        <v>4.7</v>
      </c>
      <c r="V2040">
        <v>18.600000000000001</v>
      </c>
      <c r="W2040" t="s">
        <v>39</v>
      </c>
      <c r="X2040" t="s">
        <v>123</v>
      </c>
      <c r="Y2040" t="s">
        <v>39</v>
      </c>
      <c r="Z2040" t="s">
        <v>179</v>
      </c>
      <c r="AA2040" t="s">
        <v>54</v>
      </c>
      <c r="AB2040" t="s">
        <v>55</v>
      </c>
      <c r="AC2040">
        <f t="shared" si="341"/>
        <v>0</v>
      </c>
      <c r="AD2040" s="12">
        <f t="shared" si="345"/>
        <v>0</v>
      </c>
      <c r="AE2040" s="12">
        <f t="shared" si="346"/>
        <v>1</v>
      </c>
      <c r="AF2040">
        <f t="shared" si="342"/>
        <v>0</v>
      </c>
      <c r="AG2040">
        <f t="shared" si="347"/>
        <v>0</v>
      </c>
      <c r="AH2040">
        <f t="shared" si="348"/>
        <v>0</v>
      </c>
      <c r="AI2040">
        <f t="shared" si="349"/>
        <v>0</v>
      </c>
      <c r="AJ2040">
        <f t="shared" si="350"/>
        <v>1</v>
      </c>
      <c r="AK2040">
        <f t="shared" si="343"/>
        <v>0</v>
      </c>
      <c r="AL2040">
        <f t="shared" si="351"/>
        <v>0</v>
      </c>
    </row>
    <row r="2041" spans="1:38">
      <c r="A2041" t="s">
        <v>6250</v>
      </c>
      <c r="B2041" t="s">
        <v>6251</v>
      </c>
      <c r="C2041" s="1">
        <f t="shared" si="344"/>
        <v>45505</v>
      </c>
      <c r="D2041" t="s">
        <v>6252</v>
      </c>
      <c r="E2041">
        <v>255.3</v>
      </c>
      <c r="F2041">
        <v>10.6</v>
      </c>
      <c r="G2041" t="s">
        <v>77</v>
      </c>
      <c r="H2041" t="s">
        <v>187</v>
      </c>
      <c r="I2041" t="s">
        <v>79</v>
      </c>
      <c r="J2041">
        <v>360</v>
      </c>
      <c r="K2041" t="s">
        <v>49</v>
      </c>
      <c r="L2041" t="s">
        <v>96</v>
      </c>
      <c r="M2041" t="s">
        <v>35</v>
      </c>
      <c r="N2041" t="s">
        <v>97</v>
      </c>
      <c r="O2041" t="s">
        <v>37</v>
      </c>
      <c r="P2041" t="s">
        <v>39</v>
      </c>
      <c r="Q2041" t="s">
        <v>38</v>
      </c>
      <c r="R2041">
        <v>0</v>
      </c>
      <c r="S2041" t="s">
        <v>38</v>
      </c>
      <c r="T2041">
        <v>9</v>
      </c>
      <c r="U2041">
        <v>2.4</v>
      </c>
      <c r="V2041">
        <v>14.3</v>
      </c>
      <c r="W2041" t="s">
        <v>39</v>
      </c>
      <c r="X2041" t="s">
        <v>63</v>
      </c>
      <c r="Y2041" t="s">
        <v>39</v>
      </c>
      <c r="Z2041" t="s">
        <v>108</v>
      </c>
      <c r="AA2041" t="s">
        <v>109</v>
      </c>
      <c r="AB2041" t="s">
        <v>55</v>
      </c>
      <c r="AC2041">
        <f t="shared" si="341"/>
        <v>0</v>
      </c>
      <c r="AD2041" s="12">
        <f t="shared" si="345"/>
        <v>1</v>
      </c>
      <c r="AE2041" s="12">
        <f t="shared" si="346"/>
        <v>0</v>
      </c>
      <c r="AF2041">
        <f t="shared" si="342"/>
        <v>0</v>
      </c>
      <c r="AG2041">
        <f t="shared" si="347"/>
        <v>0</v>
      </c>
      <c r="AH2041">
        <f t="shared" si="348"/>
        <v>0</v>
      </c>
      <c r="AI2041">
        <f t="shared" si="349"/>
        <v>0</v>
      </c>
      <c r="AJ2041">
        <f t="shared" si="350"/>
        <v>0</v>
      </c>
      <c r="AK2041">
        <f t="shared" si="343"/>
        <v>0</v>
      </c>
      <c r="AL2041">
        <f t="shared" si="351"/>
        <v>0</v>
      </c>
    </row>
    <row r="2042" spans="1:38">
      <c r="A2042" t="s">
        <v>6253</v>
      </c>
      <c r="B2042" t="s">
        <v>6254</v>
      </c>
      <c r="C2042" s="1">
        <f t="shared" si="344"/>
        <v>45413</v>
      </c>
      <c r="D2042" t="s">
        <v>6255</v>
      </c>
      <c r="E2042">
        <v>190.6</v>
      </c>
      <c r="F2042">
        <v>7.9</v>
      </c>
      <c r="G2042" t="s">
        <v>101</v>
      </c>
      <c r="H2042" t="s">
        <v>102</v>
      </c>
      <c r="I2042" t="s">
        <v>32</v>
      </c>
      <c r="J2042">
        <v>240</v>
      </c>
      <c r="K2042" t="s">
        <v>49</v>
      </c>
      <c r="L2042" t="s">
        <v>113</v>
      </c>
      <c r="M2042" t="s">
        <v>35</v>
      </c>
      <c r="N2042" t="s">
        <v>168</v>
      </c>
      <c r="O2042" t="s">
        <v>7232</v>
      </c>
      <c r="P2042" t="s">
        <v>38</v>
      </c>
      <c r="Q2042" t="s">
        <v>38</v>
      </c>
      <c r="R2042">
        <v>1</v>
      </c>
      <c r="S2042" t="s">
        <v>38</v>
      </c>
      <c r="T2042">
        <v>8</v>
      </c>
      <c r="U2042">
        <v>0.1</v>
      </c>
      <c r="V2042">
        <v>49.5</v>
      </c>
      <c r="W2042" t="s">
        <v>39</v>
      </c>
      <c r="X2042" t="s">
        <v>123</v>
      </c>
      <c r="Y2042" t="s">
        <v>38</v>
      </c>
      <c r="Z2042" t="s">
        <v>81</v>
      </c>
      <c r="AA2042" t="s">
        <v>54</v>
      </c>
      <c r="AB2042" t="s">
        <v>55</v>
      </c>
      <c r="AC2042">
        <f t="shared" si="341"/>
        <v>0</v>
      </c>
      <c r="AD2042" s="12">
        <f t="shared" si="345"/>
        <v>0</v>
      </c>
      <c r="AE2042" s="12">
        <f t="shared" si="346"/>
        <v>1</v>
      </c>
      <c r="AF2042">
        <f t="shared" si="342"/>
        <v>0</v>
      </c>
      <c r="AG2042">
        <f t="shared" si="347"/>
        <v>1</v>
      </c>
      <c r="AH2042">
        <f t="shared" si="348"/>
        <v>0</v>
      </c>
      <c r="AI2042">
        <f t="shared" si="349"/>
        <v>0</v>
      </c>
      <c r="AJ2042">
        <f t="shared" si="350"/>
        <v>1</v>
      </c>
      <c r="AK2042">
        <f t="shared" si="343"/>
        <v>0</v>
      </c>
      <c r="AL2042">
        <f t="shared" si="351"/>
        <v>1</v>
      </c>
    </row>
    <row r="2043" spans="1:38">
      <c r="A2043" t="s">
        <v>6256</v>
      </c>
      <c r="B2043" t="s">
        <v>6257</v>
      </c>
      <c r="C2043" s="1">
        <f t="shared" si="344"/>
        <v>45292</v>
      </c>
      <c r="D2043" t="s">
        <v>6258</v>
      </c>
      <c r="E2043">
        <v>234.9</v>
      </c>
      <c r="F2043">
        <v>9.8000000000000007</v>
      </c>
      <c r="G2043" t="s">
        <v>93</v>
      </c>
      <c r="H2043" t="s">
        <v>94</v>
      </c>
      <c r="I2043" t="s">
        <v>79</v>
      </c>
      <c r="J2043">
        <v>360</v>
      </c>
      <c r="K2043" t="s">
        <v>49</v>
      </c>
      <c r="L2043" t="s">
        <v>34</v>
      </c>
      <c r="M2043" t="s">
        <v>35</v>
      </c>
      <c r="N2043" t="s">
        <v>164</v>
      </c>
      <c r="O2043" t="s">
        <v>51</v>
      </c>
      <c r="P2043" t="s">
        <v>38</v>
      </c>
      <c r="Q2043" t="s">
        <v>38</v>
      </c>
      <c r="R2043">
        <v>1</v>
      </c>
      <c r="S2043" t="s">
        <v>39</v>
      </c>
      <c r="T2043">
        <v>9</v>
      </c>
      <c r="U2043">
        <v>4.0999999999999996</v>
      </c>
      <c r="V2043">
        <v>27.6</v>
      </c>
      <c r="W2043" t="s">
        <v>38</v>
      </c>
      <c r="X2043" t="s">
        <v>63</v>
      </c>
      <c r="Y2043" t="s">
        <v>38</v>
      </c>
      <c r="Z2043" t="s">
        <v>108</v>
      </c>
      <c r="AA2043" t="s">
        <v>54</v>
      </c>
      <c r="AB2043" t="s">
        <v>83</v>
      </c>
      <c r="AC2043">
        <f t="shared" si="341"/>
        <v>0</v>
      </c>
      <c r="AD2043" s="12">
        <f t="shared" si="345"/>
        <v>1</v>
      </c>
      <c r="AE2043" s="12">
        <f t="shared" si="346"/>
        <v>0</v>
      </c>
      <c r="AF2043">
        <f t="shared" si="342"/>
        <v>1</v>
      </c>
      <c r="AG2043">
        <f t="shared" si="347"/>
        <v>0</v>
      </c>
      <c r="AH2043">
        <f t="shared" si="348"/>
        <v>0</v>
      </c>
      <c r="AI2043">
        <f t="shared" si="349"/>
        <v>0</v>
      </c>
      <c r="AJ2043">
        <f t="shared" si="350"/>
        <v>0</v>
      </c>
      <c r="AK2043">
        <f t="shared" si="343"/>
        <v>0</v>
      </c>
      <c r="AL2043">
        <f t="shared" si="351"/>
        <v>1</v>
      </c>
    </row>
    <row r="2044" spans="1:38">
      <c r="A2044" t="s">
        <v>6259</v>
      </c>
      <c r="B2044" t="s">
        <v>6260</v>
      </c>
      <c r="C2044" s="1">
        <f t="shared" si="344"/>
        <v>45323</v>
      </c>
      <c r="D2044" t="s">
        <v>6261</v>
      </c>
      <c r="E2044">
        <v>105.1</v>
      </c>
      <c r="F2044">
        <v>4.4000000000000004</v>
      </c>
      <c r="G2044" t="s">
        <v>68</v>
      </c>
      <c r="H2044" t="s">
        <v>212</v>
      </c>
      <c r="I2044" t="s">
        <v>48</v>
      </c>
      <c r="J2044">
        <v>120</v>
      </c>
      <c r="K2044" t="s">
        <v>49</v>
      </c>
      <c r="L2044" t="s">
        <v>96</v>
      </c>
      <c r="M2044" t="s">
        <v>35</v>
      </c>
      <c r="N2044" t="s">
        <v>188</v>
      </c>
      <c r="O2044" t="s">
        <v>37</v>
      </c>
      <c r="P2044" t="s">
        <v>38</v>
      </c>
      <c r="Q2044" t="s">
        <v>38</v>
      </c>
      <c r="R2044">
        <v>1</v>
      </c>
      <c r="S2044" t="s">
        <v>39</v>
      </c>
      <c r="T2044">
        <v>9</v>
      </c>
      <c r="U2044">
        <v>4.0999999999999996</v>
      </c>
      <c r="V2044">
        <v>22.7</v>
      </c>
      <c r="W2044" t="s">
        <v>39</v>
      </c>
      <c r="X2044" t="s">
        <v>123</v>
      </c>
      <c r="Y2044" t="s">
        <v>39</v>
      </c>
      <c r="Z2044" t="s">
        <v>81</v>
      </c>
      <c r="AA2044" t="s">
        <v>103</v>
      </c>
      <c r="AB2044" t="s">
        <v>55</v>
      </c>
      <c r="AC2044">
        <f t="shared" si="341"/>
        <v>0</v>
      </c>
      <c r="AD2044" s="12">
        <f t="shared" si="345"/>
        <v>0</v>
      </c>
      <c r="AE2044" s="12">
        <f t="shared" si="346"/>
        <v>1</v>
      </c>
      <c r="AF2044">
        <f t="shared" si="342"/>
        <v>0</v>
      </c>
      <c r="AG2044">
        <f t="shared" si="347"/>
        <v>0</v>
      </c>
      <c r="AH2044">
        <f t="shared" si="348"/>
        <v>1</v>
      </c>
      <c r="AI2044">
        <f t="shared" si="349"/>
        <v>0</v>
      </c>
      <c r="AJ2044">
        <f t="shared" si="350"/>
        <v>0</v>
      </c>
      <c r="AK2044">
        <f t="shared" si="343"/>
        <v>0</v>
      </c>
      <c r="AL2044">
        <f t="shared" si="351"/>
        <v>0</v>
      </c>
    </row>
    <row r="2045" spans="1:38">
      <c r="A2045" t="s">
        <v>6262</v>
      </c>
      <c r="B2045" t="s">
        <v>6263</v>
      </c>
      <c r="C2045" s="1">
        <f t="shared" si="344"/>
        <v>45352</v>
      </c>
      <c r="D2045" t="s">
        <v>6264</v>
      </c>
      <c r="E2045">
        <v>333.9</v>
      </c>
      <c r="F2045">
        <v>13.9</v>
      </c>
      <c r="G2045" t="s">
        <v>87</v>
      </c>
      <c r="H2045" t="s">
        <v>88</v>
      </c>
      <c r="I2045" t="s">
        <v>79</v>
      </c>
      <c r="J2045">
        <v>360</v>
      </c>
      <c r="K2045" t="s">
        <v>49</v>
      </c>
      <c r="L2045" t="s">
        <v>133</v>
      </c>
      <c r="M2045" t="s">
        <v>71</v>
      </c>
      <c r="N2045" t="s">
        <v>414</v>
      </c>
      <c r="O2045" t="s">
        <v>37</v>
      </c>
      <c r="P2045" t="s">
        <v>38</v>
      </c>
      <c r="Q2045" t="s">
        <v>39</v>
      </c>
      <c r="R2045">
        <v>2</v>
      </c>
      <c r="S2045" t="s">
        <v>38</v>
      </c>
      <c r="T2045">
        <v>9</v>
      </c>
      <c r="U2045">
        <v>1.9</v>
      </c>
      <c r="V2045">
        <v>5.4</v>
      </c>
      <c r="W2045" t="s">
        <v>39</v>
      </c>
      <c r="X2045" t="s">
        <v>123</v>
      </c>
      <c r="Y2045" t="s">
        <v>38</v>
      </c>
      <c r="Z2045" t="s">
        <v>41</v>
      </c>
      <c r="AA2045" t="s">
        <v>42</v>
      </c>
      <c r="AB2045" t="s">
        <v>83</v>
      </c>
      <c r="AC2045">
        <f t="shared" si="341"/>
        <v>0</v>
      </c>
      <c r="AD2045" s="12">
        <f t="shared" si="345"/>
        <v>0</v>
      </c>
      <c r="AE2045" s="12">
        <f t="shared" si="346"/>
        <v>1</v>
      </c>
      <c r="AF2045">
        <f t="shared" si="342"/>
        <v>0</v>
      </c>
      <c r="AG2045">
        <f t="shared" si="347"/>
        <v>0</v>
      </c>
      <c r="AH2045">
        <f t="shared" si="348"/>
        <v>0</v>
      </c>
      <c r="AI2045">
        <f t="shared" si="349"/>
        <v>0</v>
      </c>
      <c r="AJ2045">
        <f t="shared" si="350"/>
        <v>0</v>
      </c>
      <c r="AK2045">
        <f t="shared" si="343"/>
        <v>0</v>
      </c>
      <c r="AL2045">
        <f t="shared" si="351"/>
        <v>1</v>
      </c>
    </row>
    <row r="2046" spans="1:38">
      <c r="A2046" t="s">
        <v>6265</v>
      </c>
      <c r="B2046" t="s">
        <v>6266</v>
      </c>
      <c r="C2046" s="1">
        <f t="shared" si="344"/>
        <v>45474</v>
      </c>
      <c r="D2046" t="s">
        <v>6267</v>
      </c>
      <c r="E2046">
        <v>102.2</v>
      </c>
      <c r="F2046">
        <v>4.3</v>
      </c>
      <c r="G2046" t="s">
        <v>87</v>
      </c>
      <c r="H2046" t="s">
        <v>151</v>
      </c>
      <c r="I2046" t="s">
        <v>48</v>
      </c>
      <c r="J2046">
        <v>120</v>
      </c>
      <c r="K2046" t="s">
        <v>49</v>
      </c>
      <c r="L2046" t="s">
        <v>70</v>
      </c>
      <c r="M2046" t="s">
        <v>71</v>
      </c>
      <c r="N2046" t="s">
        <v>277</v>
      </c>
      <c r="O2046" t="s">
        <v>37</v>
      </c>
      <c r="P2046" t="s">
        <v>38</v>
      </c>
      <c r="Q2046" t="s">
        <v>39</v>
      </c>
      <c r="R2046">
        <v>4</v>
      </c>
      <c r="S2046" t="s">
        <v>38</v>
      </c>
      <c r="T2046">
        <v>10</v>
      </c>
      <c r="U2046">
        <v>4.4000000000000004</v>
      </c>
      <c r="V2046">
        <v>20.9</v>
      </c>
      <c r="W2046" t="s">
        <v>39</v>
      </c>
      <c r="X2046" t="s">
        <v>63</v>
      </c>
      <c r="Y2046" t="s">
        <v>39</v>
      </c>
      <c r="Z2046" t="s">
        <v>41</v>
      </c>
      <c r="AA2046" t="s">
        <v>109</v>
      </c>
      <c r="AB2046" t="s">
        <v>83</v>
      </c>
      <c r="AC2046">
        <f t="shared" si="341"/>
        <v>0</v>
      </c>
      <c r="AD2046" s="12">
        <f t="shared" si="345"/>
        <v>1</v>
      </c>
      <c r="AE2046" s="12">
        <f t="shared" si="346"/>
        <v>0</v>
      </c>
      <c r="AF2046">
        <f t="shared" si="342"/>
        <v>0</v>
      </c>
      <c r="AG2046">
        <f t="shared" si="347"/>
        <v>0</v>
      </c>
      <c r="AH2046">
        <f t="shared" si="348"/>
        <v>1</v>
      </c>
      <c r="AI2046">
        <f t="shared" si="349"/>
        <v>0</v>
      </c>
      <c r="AJ2046">
        <f t="shared" si="350"/>
        <v>0</v>
      </c>
      <c r="AK2046">
        <f t="shared" si="343"/>
        <v>0</v>
      </c>
      <c r="AL2046">
        <f t="shared" si="351"/>
        <v>0</v>
      </c>
    </row>
    <row r="2047" spans="1:38">
      <c r="A2047" t="s">
        <v>6268</v>
      </c>
      <c r="B2047" t="s">
        <v>6269</v>
      </c>
      <c r="C2047" s="1">
        <f t="shared" si="344"/>
        <v>45413</v>
      </c>
      <c r="D2047" t="s">
        <v>6270</v>
      </c>
      <c r="E2047">
        <v>256.7</v>
      </c>
      <c r="F2047">
        <v>10.7</v>
      </c>
      <c r="G2047" t="s">
        <v>68</v>
      </c>
      <c r="H2047" t="s">
        <v>456</v>
      </c>
      <c r="I2047" t="s">
        <v>48</v>
      </c>
      <c r="J2047">
        <v>120</v>
      </c>
      <c r="K2047" t="s">
        <v>33</v>
      </c>
      <c r="L2047" t="s">
        <v>70</v>
      </c>
      <c r="M2047" t="s">
        <v>35</v>
      </c>
      <c r="N2047" t="s">
        <v>188</v>
      </c>
      <c r="O2047" t="s">
        <v>51</v>
      </c>
      <c r="P2047" t="s">
        <v>38</v>
      </c>
      <c r="Q2047" t="s">
        <v>38</v>
      </c>
      <c r="R2047">
        <v>1</v>
      </c>
      <c r="S2047" t="s">
        <v>38</v>
      </c>
      <c r="T2047">
        <v>9</v>
      </c>
      <c r="U2047">
        <v>1</v>
      </c>
      <c r="V2047">
        <v>11.5</v>
      </c>
      <c r="W2047" t="s">
        <v>39</v>
      </c>
      <c r="X2047" t="s">
        <v>63</v>
      </c>
      <c r="Y2047" t="s">
        <v>39</v>
      </c>
      <c r="Z2047" t="s">
        <v>81</v>
      </c>
      <c r="AA2047" t="s">
        <v>54</v>
      </c>
      <c r="AB2047" t="s">
        <v>55</v>
      </c>
      <c r="AC2047">
        <f t="shared" si="341"/>
        <v>0</v>
      </c>
      <c r="AD2047" s="12">
        <f t="shared" si="345"/>
        <v>1</v>
      </c>
      <c r="AE2047" s="12">
        <f t="shared" si="346"/>
        <v>0</v>
      </c>
      <c r="AF2047">
        <f t="shared" si="342"/>
        <v>1</v>
      </c>
      <c r="AG2047">
        <f t="shared" si="347"/>
        <v>0</v>
      </c>
      <c r="AH2047">
        <f t="shared" si="348"/>
        <v>1</v>
      </c>
      <c r="AI2047">
        <f t="shared" si="349"/>
        <v>0</v>
      </c>
      <c r="AJ2047">
        <f t="shared" si="350"/>
        <v>0</v>
      </c>
      <c r="AK2047">
        <f t="shared" si="343"/>
        <v>0</v>
      </c>
      <c r="AL2047">
        <f t="shared" si="351"/>
        <v>0</v>
      </c>
    </row>
    <row r="2048" spans="1:38">
      <c r="A2048" t="s">
        <v>6271</v>
      </c>
      <c r="B2048" t="s">
        <v>6272</v>
      </c>
      <c r="C2048" s="1">
        <f t="shared" si="344"/>
        <v>45505</v>
      </c>
      <c r="D2048" t="s">
        <v>6273</v>
      </c>
      <c r="E2048">
        <v>172</v>
      </c>
      <c r="F2048">
        <v>7.2</v>
      </c>
      <c r="G2048" t="s">
        <v>101</v>
      </c>
      <c r="H2048" t="s">
        <v>102</v>
      </c>
      <c r="I2048" t="s">
        <v>32</v>
      </c>
      <c r="J2048">
        <v>240</v>
      </c>
      <c r="K2048" t="s">
        <v>49</v>
      </c>
      <c r="L2048" t="s">
        <v>96</v>
      </c>
      <c r="M2048" t="s">
        <v>35</v>
      </c>
      <c r="N2048" t="s">
        <v>188</v>
      </c>
      <c r="O2048" t="s">
        <v>7232</v>
      </c>
      <c r="P2048" t="s">
        <v>39</v>
      </c>
      <c r="Q2048" t="s">
        <v>38</v>
      </c>
      <c r="R2048">
        <v>0</v>
      </c>
      <c r="S2048" t="s">
        <v>38</v>
      </c>
      <c r="T2048">
        <v>10</v>
      </c>
      <c r="U2048">
        <v>1</v>
      </c>
      <c r="V2048">
        <v>23.1</v>
      </c>
      <c r="W2048" t="s">
        <v>38</v>
      </c>
      <c r="X2048" t="s">
        <v>63</v>
      </c>
      <c r="Y2048" t="s">
        <v>38</v>
      </c>
      <c r="Z2048" t="s">
        <v>179</v>
      </c>
      <c r="AA2048" t="s">
        <v>42</v>
      </c>
      <c r="AB2048" t="s">
        <v>43</v>
      </c>
      <c r="AC2048">
        <f t="shared" si="341"/>
        <v>0</v>
      </c>
      <c r="AD2048" s="12">
        <f t="shared" si="345"/>
        <v>1</v>
      </c>
      <c r="AE2048" s="12">
        <f t="shared" si="346"/>
        <v>0</v>
      </c>
      <c r="AF2048">
        <f t="shared" si="342"/>
        <v>0</v>
      </c>
      <c r="AG2048">
        <f t="shared" si="347"/>
        <v>1</v>
      </c>
      <c r="AH2048">
        <f t="shared" si="348"/>
        <v>0</v>
      </c>
      <c r="AI2048">
        <f t="shared" si="349"/>
        <v>0</v>
      </c>
      <c r="AJ2048">
        <f t="shared" si="350"/>
        <v>1</v>
      </c>
      <c r="AK2048">
        <f t="shared" si="343"/>
        <v>0</v>
      </c>
      <c r="AL2048">
        <f t="shared" si="351"/>
        <v>1</v>
      </c>
    </row>
    <row r="2049" spans="1:38">
      <c r="A2049" t="s">
        <v>6274</v>
      </c>
      <c r="B2049" t="s">
        <v>6275</v>
      </c>
      <c r="C2049" s="1">
        <f t="shared" si="344"/>
        <v>45352</v>
      </c>
      <c r="D2049" t="s">
        <v>6276</v>
      </c>
      <c r="E2049">
        <v>631.5</v>
      </c>
      <c r="F2049">
        <v>26.3</v>
      </c>
      <c r="G2049" t="s">
        <v>142</v>
      </c>
      <c r="H2049" t="s">
        <v>143</v>
      </c>
      <c r="I2049" t="s">
        <v>32</v>
      </c>
      <c r="J2049">
        <v>240</v>
      </c>
      <c r="K2049" t="s">
        <v>33</v>
      </c>
      <c r="L2049" t="s">
        <v>96</v>
      </c>
      <c r="M2049" t="s">
        <v>35</v>
      </c>
      <c r="N2049" t="s">
        <v>107</v>
      </c>
      <c r="O2049" t="s">
        <v>7232</v>
      </c>
      <c r="P2049" t="s">
        <v>38</v>
      </c>
      <c r="Q2049" t="s">
        <v>38</v>
      </c>
      <c r="R2049">
        <v>1</v>
      </c>
      <c r="S2049" t="s">
        <v>38</v>
      </c>
      <c r="T2049">
        <v>5</v>
      </c>
      <c r="U2049">
        <v>3.4</v>
      </c>
      <c r="V2049">
        <v>27.5</v>
      </c>
      <c r="W2049" t="s">
        <v>39</v>
      </c>
      <c r="X2049" t="s">
        <v>63</v>
      </c>
      <c r="Y2049" t="s">
        <v>39</v>
      </c>
      <c r="Z2049" t="s">
        <v>41</v>
      </c>
      <c r="AA2049" t="s">
        <v>42</v>
      </c>
      <c r="AB2049" t="s">
        <v>83</v>
      </c>
      <c r="AC2049">
        <f t="shared" si="341"/>
        <v>0</v>
      </c>
      <c r="AD2049" s="12">
        <f t="shared" si="345"/>
        <v>1</v>
      </c>
      <c r="AE2049" s="12">
        <f t="shared" si="346"/>
        <v>0</v>
      </c>
      <c r="AF2049">
        <f t="shared" si="342"/>
        <v>0</v>
      </c>
      <c r="AG2049">
        <f t="shared" si="347"/>
        <v>1</v>
      </c>
      <c r="AH2049">
        <f t="shared" si="348"/>
        <v>0</v>
      </c>
      <c r="AI2049">
        <f t="shared" si="349"/>
        <v>0</v>
      </c>
      <c r="AJ2049">
        <f t="shared" si="350"/>
        <v>1</v>
      </c>
      <c r="AK2049">
        <f t="shared" si="343"/>
        <v>0</v>
      </c>
      <c r="AL2049">
        <f t="shared" si="351"/>
        <v>0</v>
      </c>
    </row>
    <row r="2050" spans="1:38">
      <c r="A2050" t="s">
        <v>6277</v>
      </c>
      <c r="B2050" t="s">
        <v>6278</v>
      </c>
      <c r="C2050" s="1">
        <f t="shared" si="344"/>
        <v>45474</v>
      </c>
      <c r="D2050" t="s">
        <v>6279</v>
      </c>
      <c r="E2050">
        <v>260.8</v>
      </c>
      <c r="F2050">
        <v>10.9</v>
      </c>
      <c r="G2050" t="s">
        <v>77</v>
      </c>
      <c r="H2050" t="s">
        <v>187</v>
      </c>
      <c r="I2050" t="s">
        <v>79</v>
      </c>
      <c r="J2050">
        <v>360</v>
      </c>
      <c r="K2050" t="s">
        <v>49</v>
      </c>
      <c r="L2050" t="s">
        <v>70</v>
      </c>
      <c r="M2050" t="s">
        <v>35</v>
      </c>
      <c r="N2050" t="s">
        <v>144</v>
      </c>
      <c r="O2050" t="s">
        <v>51</v>
      </c>
      <c r="P2050" t="s">
        <v>38</v>
      </c>
      <c r="Q2050" t="s">
        <v>38</v>
      </c>
      <c r="R2050">
        <v>1</v>
      </c>
      <c r="S2050" t="s">
        <v>38</v>
      </c>
      <c r="T2050">
        <v>8</v>
      </c>
      <c r="U2050">
        <v>3</v>
      </c>
      <c r="V2050">
        <v>2.9</v>
      </c>
      <c r="W2050" t="s">
        <v>39</v>
      </c>
      <c r="X2050" t="s">
        <v>63</v>
      </c>
      <c r="Y2050" t="s">
        <v>39</v>
      </c>
      <c r="Z2050" t="s">
        <v>64</v>
      </c>
      <c r="AA2050" t="s">
        <v>42</v>
      </c>
      <c r="AB2050" t="s">
        <v>55</v>
      </c>
      <c r="AC2050">
        <f t="shared" ref="AC2050:AC2113" si="352">IF(X2050="Poor", 1, 0)</f>
        <v>0</v>
      </c>
      <c r="AD2050" s="12">
        <f t="shared" si="345"/>
        <v>1</v>
      </c>
      <c r="AE2050" s="12">
        <f t="shared" si="346"/>
        <v>0</v>
      </c>
      <c r="AF2050">
        <f t="shared" ref="AF2050:AF2113" si="353">IF(O2050="Junior", 1, 0)</f>
        <v>1</v>
      </c>
      <c r="AG2050">
        <f t="shared" si="347"/>
        <v>0</v>
      </c>
      <c r="AH2050">
        <f t="shared" si="348"/>
        <v>0</v>
      </c>
      <c r="AI2050">
        <f t="shared" si="349"/>
        <v>0</v>
      </c>
      <c r="AJ2050">
        <f t="shared" si="350"/>
        <v>0</v>
      </c>
      <c r="AK2050">
        <f t="shared" ref="AK2050:AK2113" si="354">IF(G2050="Access Requests", 1, 0)</f>
        <v>0</v>
      </c>
      <c r="AL2050">
        <f t="shared" si="351"/>
        <v>0</v>
      </c>
    </row>
    <row r="2051" spans="1:38">
      <c r="A2051" t="s">
        <v>6280</v>
      </c>
      <c r="B2051" t="s">
        <v>6281</v>
      </c>
      <c r="C2051" s="1">
        <f t="shared" ref="C2051:C2114" si="355">DATE(YEAR(B2051),MONTH(B2051),1)</f>
        <v>45323</v>
      </c>
      <c r="D2051" t="s">
        <v>6282</v>
      </c>
      <c r="E2051">
        <v>126.1</v>
      </c>
      <c r="F2051">
        <v>5.3</v>
      </c>
      <c r="G2051" t="s">
        <v>68</v>
      </c>
      <c r="H2051" t="s">
        <v>456</v>
      </c>
      <c r="I2051" t="s">
        <v>48</v>
      </c>
      <c r="J2051">
        <v>120</v>
      </c>
      <c r="K2051" t="s">
        <v>33</v>
      </c>
      <c r="L2051" t="s">
        <v>34</v>
      </c>
      <c r="M2051" t="s">
        <v>35</v>
      </c>
      <c r="N2051" t="s">
        <v>155</v>
      </c>
      <c r="O2051" t="s">
        <v>7232</v>
      </c>
      <c r="P2051" t="s">
        <v>38</v>
      </c>
      <c r="Q2051" t="s">
        <v>38</v>
      </c>
      <c r="R2051">
        <v>1</v>
      </c>
      <c r="S2051" t="s">
        <v>39</v>
      </c>
      <c r="T2051">
        <v>5</v>
      </c>
      <c r="U2051">
        <v>3.5</v>
      </c>
      <c r="V2051">
        <v>36.799999999999997</v>
      </c>
      <c r="W2051" t="s">
        <v>38</v>
      </c>
      <c r="X2051" t="s">
        <v>63</v>
      </c>
      <c r="Y2051" t="s">
        <v>38</v>
      </c>
      <c r="Z2051" t="s">
        <v>108</v>
      </c>
      <c r="AA2051" t="s">
        <v>42</v>
      </c>
      <c r="AB2051" t="s">
        <v>83</v>
      </c>
      <c r="AC2051">
        <f t="shared" si="352"/>
        <v>0</v>
      </c>
      <c r="AD2051" s="12">
        <f t="shared" ref="AD2051:AD2114" si="356">IF(X2051="Fair", 1, 0)</f>
        <v>1</v>
      </c>
      <c r="AE2051" s="12">
        <f t="shared" ref="AE2051:AE2114" si="357">IF(X2051="Good", 1, 0)</f>
        <v>0</v>
      </c>
      <c r="AF2051">
        <f t="shared" si="353"/>
        <v>0</v>
      </c>
      <c r="AG2051">
        <f t="shared" ref="AG2051:AG2114" si="358">IF(O2051="Mid", 1, 0)</f>
        <v>1</v>
      </c>
      <c r="AH2051">
        <f t="shared" ref="AH2051:AH2114" si="359">IF(I2051="High", 1, 0)</f>
        <v>1</v>
      </c>
      <c r="AI2051">
        <f t="shared" ref="AI2051:AI2114" si="360">IF(I2051="Critical", 1, 0)</f>
        <v>0</v>
      </c>
      <c r="AJ2051">
        <f t="shared" ref="AJ2051:AJ2114" si="361">IF(I2051="Medium", 1, 0)</f>
        <v>0</v>
      </c>
      <c r="AK2051">
        <f t="shared" si="354"/>
        <v>0</v>
      </c>
      <c r="AL2051">
        <f t="shared" ref="AL2051:AL2114" si="362">IF(Y2051="No", 1, 0)</f>
        <v>1</v>
      </c>
    </row>
    <row r="2052" spans="1:38">
      <c r="A2052" t="s">
        <v>6283</v>
      </c>
      <c r="B2052" t="s">
        <v>6284</v>
      </c>
      <c r="C2052" s="1">
        <f t="shared" si="355"/>
        <v>45444</v>
      </c>
      <c r="D2052" t="s">
        <v>6285</v>
      </c>
      <c r="E2052">
        <v>196.4</v>
      </c>
      <c r="F2052">
        <v>8.1999999999999993</v>
      </c>
      <c r="G2052" t="s">
        <v>59</v>
      </c>
      <c r="H2052" t="s">
        <v>127</v>
      </c>
      <c r="I2052" t="s">
        <v>32</v>
      </c>
      <c r="J2052">
        <v>240</v>
      </c>
      <c r="K2052" t="s">
        <v>49</v>
      </c>
      <c r="L2052" t="s">
        <v>113</v>
      </c>
      <c r="M2052" t="s">
        <v>35</v>
      </c>
      <c r="N2052" t="s">
        <v>97</v>
      </c>
      <c r="O2052" t="s">
        <v>51</v>
      </c>
      <c r="P2052" t="s">
        <v>38</v>
      </c>
      <c r="Q2052" t="s">
        <v>38</v>
      </c>
      <c r="R2052">
        <v>1</v>
      </c>
      <c r="S2052" t="s">
        <v>39</v>
      </c>
      <c r="T2052">
        <v>7</v>
      </c>
      <c r="U2052">
        <v>5.2</v>
      </c>
      <c r="V2052">
        <v>8.1999999999999993</v>
      </c>
      <c r="W2052" t="s">
        <v>38</v>
      </c>
      <c r="X2052" t="s">
        <v>52</v>
      </c>
      <c r="Y2052" t="s">
        <v>39</v>
      </c>
      <c r="Z2052" t="s">
        <v>108</v>
      </c>
      <c r="AA2052" t="s">
        <v>109</v>
      </c>
      <c r="AB2052" t="s">
        <v>55</v>
      </c>
      <c r="AC2052">
        <f t="shared" si="352"/>
        <v>1</v>
      </c>
      <c r="AD2052" s="12">
        <f t="shared" si="356"/>
        <v>0</v>
      </c>
      <c r="AE2052" s="12">
        <f t="shared" si="357"/>
        <v>0</v>
      </c>
      <c r="AF2052">
        <f t="shared" si="353"/>
        <v>1</v>
      </c>
      <c r="AG2052">
        <f t="shared" si="358"/>
        <v>0</v>
      </c>
      <c r="AH2052">
        <f t="shared" si="359"/>
        <v>0</v>
      </c>
      <c r="AI2052">
        <f t="shared" si="360"/>
        <v>0</v>
      </c>
      <c r="AJ2052">
        <f t="shared" si="361"/>
        <v>1</v>
      </c>
      <c r="AK2052">
        <f t="shared" si="354"/>
        <v>0</v>
      </c>
      <c r="AL2052">
        <f t="shared" si="362"/>
        <v>0</v>
      </c>
    </row>
    <row r="2053" spans="1:38">
      <c r="A2053" t="s">
        <v>6286</v>
      </c>
      <c r="B2053" t="s">
        <v>6287</v>
      </c>
      <c r="C2053" s="1">
        <f t="shared" si="355"/>
        <v>45352</v>
      </c>
      <c r="D2053" t="s">
        <v>6288</v>
      </c>
      <c r="E2053">
        <v>189.6</v>
      </c>
      <c r="F2053">
        <v>7.9</v>
      </c>
      <c r="G2053" t="s">
        <v>87</v>
      </c>
      <c r="H2053" t="s">
        <v>183</v>
      </c>
      <c r="I2053" t="s">
        <v>32</v>
      </c>
      <c r="J2053">
        <v>240</v>
      </c>
      <c r="K2053" t="s">
        <v>49</v>
      </c>
      <c r="L2053" t="s">
        <v>34</v>
      </c>
      <c r="M2053" t="s">
        <v>35</v>
      </c>
      <c r="N2053" t="s">
        <v>155</v>
      </c>
      <c r="O2053" t="s">
        <v>7232</v>
      </c>
      <c r="P2053" t="s">
        <v>39</v>
      </c>
      <c r="Q2053" t="s">
        <v>38</v>
      </c>
      <c r="R2053">
        <v>0</v>
      </c>
      <c r="S2053" t="s">
        <v>38</v>
      </c>
      <c r="T2053">
        <v>10</v>
      </c>
      <c r="U2053">
        <v>2.7</v>
      </c>
      <c r="V2053">
        <v>11.4</v>
      </c>
      <c r="W2053" t="s">
        <v>39</v>
      </c>
      <c r="X2053" t="s">
        <v>123</v>
      </c>
      <c r="Y2053" t="s">
        <v>39</v>
      </c>
      <c r="Z2053" t="s">
        <v>115</v>
      </c>
      <c r="AA2053" t="s">
        <v>109</v>
      </c>
      <c r="AB2053" t="s">
        <v>43</v>
      </c>
      <c r="AC2053">
        <f t="shared" si="352"/>
        <v>0</v>
      </c>
      <c r="AD2053" s="12">
        <f t="shared" si="356"/>
        <v>0</v>
      </c>
      <c r="AE2053" s="12">
        <f t="shared" si="357"/>
        <v>1</v>
      </c>
      <c r="AF2053">
        <f t="shared" si="353"/>
        <v>0</v>
      </c>
      <c r="AG2053">
        <f t="shared" si="358"/>
        <v>1</v>
      </c>
      <c r="AH2053">
        <f t="shared" si="359"/>
        <v>0</v>
      </c>
      <c r="AI2053">
        <f t="shared" si="360"/>
        <v>0</v>
      </c>
      <c r="AJ2053">
        <f t="shared" si="361"/>
        <v>1</v>
      </c>
      <c r="AK2053">
        <f t="shared" si="354"/>
        <v>0</v>
      </c>
      <c r="AL2053">
        <f t="shared" si="362"/>
        <v>0</v>
      </c>
    </row>
    <row r="2054" spans="1:38">
      <c r="A2054" t="s">
        <v>6289</v>
      </c>
      <c r="B2054" t="s">
        <v>6290</v>
      </c>
      <c r="C2054" s="1">
        <f t="shared" si="355"/>
        <v>45566</v>
      </c>
      <c r="D2054" t="s">
        <v>6291</v>
      </c>
      <c r="E2054">
        <v>465.5</v>
      </c>
      <c r="F2054">
        <v>19.399999999999999</v>
      </c>
      <c r="G2054" t="s">
        <v>77</v>
      </c>
      <c r="H2054" t="s">
        <v>244</v>
      </c>
      <c r="I2054" t="s">
        <v>79</v>
      </c>
      <c r="J2054">
        <v>360</v>
      </c>
      <c r="K2054" t="s">
        <v>33</v>
      </c>
      <c r="L2054" t="s">
        <v>70</v>
      </c>
      <c r="M2054" t="s">
        <v>35</v>
      </c>
      <c r="N2054" t="s">
        <v>134</v>
      </c>
      <c r="O2054" t="s">
        <v>7232</v>
      </c>
      <c r="P2054" t="s">
        <v>39</v>
      </c>
      <c r="Q2054" t="s">
        <v>38</v>
      </c>
      <c r="R2054">
        <v>0</v>
      </c>
      <c r="S2054" t="s">
        <v>38</v>
      </c>
      <c r="T2054">
        <v>8</v>
      </c>
      <c r="U2054">
        <v>3.7</v>
      </c>
      <c r="V2054">
        <v>22.3</v>
      </c>
      <c r="W2054" t="s">
        <v>38</v>
      </c>
      <c r="X2054" t="s">
        <v>63</v>
      </c>
      <c r="Y2054" t="s">
        <v>38</v>
      </c>
      <c r="Z2054" t="s">
        <v>115</v>
      </c>
      <c r="AA2054" t="s">
        <v>103</v>
      </c>
      <c r="AB2054" t="s">
        <v>43</v>
      </c>
      <c r="AC2054">
        <f t="shared" si="352"/>
        <v>0</v>
      </c>
      <c r="AD2054" s="12">
        <f t="shared" si="356"/>
        <v>1</v>
      </c>
      <c r="AE2054" s="12">
        <f t="shared" si="357"/>
        <v>0</v>
      </c>
      <c r="AF2054">
        <f t="shared" si="353"/>
        <v>0</v>
      </c>
      <c r="AG2054">
        <f t="shared" si="358"/>
        <v>1</v>
      </c>
      <c r="AH2054">
        <f t="shared" si="359"/>
        <v>0</v>
      </c>
      <c r="AI2054">
        <f t="shared" si="360"/>
        <v>0</v>
      </c>
      <c r="AJ2054">
        <f t="shared" si="361"/>
        <v>0</v>
      </c>
      <c r="AK2054">
        <f t="shared" si="354"/>
        <v>0</v>
      </c>
      <c r="AL2054">
        <f t="shared" si="362"/>
        <v>1</v>
      </c>
    </row>
    <row r="2055" spans="1:38">
      <c r="A2055" t="s">
        <v>6292</v>
      </c>
      <c r="B2055" t="s">
        <v>6293</v>
      </c>
      <c r="C2055" s="1">
        <f t="shared" si="355"/>
        <v>45323</v>
      </c>
      <c r="D2055" t="s">
        <v>6294</v>
      </c>
      <c r="E2055">
        <v>134.4</v>
      </c>
      <c r="F2055">
        <v>5.6</v>
      </c>
      <c r="G2055" t="s">
        <v>101</v>
      </c>
      <c r="H2055" t="s">
        <v>295</v>
      </c>
      <c r="I2055" t="s">
        <v>48</v>
      </c>
      <c r="J2055">
        <v>120</v>
      </c>
      <c r="K2055" t="s">
        <v>33</v>
      </c>
      <c r="L2055" t="s">
        <v>70</v>
      </c>
      <c r="M2055" t="s">
        <v>35</v>
      </c>
      <c r="N2055" t="s">
        <v>97</v>
      </c>
      <c r="O2055" t="s">
        <v>37</v>
      </c>
      <c r="P2055" t="s">
        <v>38</v>
      </c>
      <c r="Q2055" t="s">
        <v>38</v>
      </c>
      <c r="R2055">
        <v>1</v>
      </c>
      <c r="S2055" t="s">
        <v>38</v>
      </c>
      <c r="T2055">
        <v>5</v>
      </c>
      <c r="U2055">
        <v>4.3</v>
      </c>
      <c r="V2055">
        <v>19.3</v>
      </c>
      <c r="W2055" t="s">
        <v>38</v>
      </c>
      <c r="X2055" t="s">
        <v>123</v>
      </c>
      <c r="Y2055" t="s">
        <v>39</v>
      </c>
      <c r="Z2055" t="s">
        <v>73</v>
      </c>
      <c r="AA2055" t="s">
        <v>103</v>
      </c>
      <c r="AB2055" t="s">
        <v>55</v>
      </c>
      <c r="AC2055">
        <f t="shared" si="352"/>
        <v>0</v>
      </c>
      <c r="AD2055" s="12">
        <f t="shared" si="356"/>
        <v>0</v>
      </c>
      <c r="AE2055" s="12">
        <f t="shared" si="357"/>
        <v>1</v>
      </c>
      <c r="AF2055">
        <f t="shared" si="353"/>
        <v>0</v>
      </c>
      <c r="AG2055">
        <f t="shared" si="358"/>
        <v>0</v>
      </c>
      <c r="AH2055">
        <f t="shared" si="359"/>
        <v>1</v>
      </c>
      <c r="AI2055">
        <f t="shared" si="360"/>
        <v>0</v>
      </c>
      <c r="AJ2055">
        <f t="shared" si="361"/>
        <v>0</v>
      </c>
      <c r="AK2055">
        <f t="shared" si="354"/>
        <v>0</v>
      </c>
      <c r="AL2055">
        <f t="shared" si="362"/>
        <v>0</v>
      </c>
    </row>
    <row r="2056" spans="1:38">
      <c r="A2056" t="s">
        <v>6295</v>
      </c>
      <c r="B2056" t="s">
        <v>6296</v>
      </c>
      <c r="C2056" s="1">
        <f t="shared" si="355"/>
        <v>45292</v>
      </c>
      <c r="D2056" t="s">
        <v>6297</v>
      </c>
      <c r="E2056">
        <v>286.2</v>
      </c>
      <c r="F2056">
        <v>11.9</v>
      </c>
      <c r="G2056" t="s">
        <v>77</v>
      </c>
      <c r="H2056" t="s">
        <v>244</v>
      </c>
      <c r="I2056" t="s">
        <v>79</v>
      </c>
      <c r="J2056">
        <v>360</v>
      </c>
      <c r="K2056" t="s">
        <v>49</v>
      </c>
      <c r="L2056" t="s">
        <v>96</v>
      </c>
      <c r="M2056" t="s">
        <v>35</v>
      </c>
      <c r="N2056" t="s">
        <v>155</v>
      </c>
      <c r="O2056" t="s">
        <v>51</v>
      </c>
      <c r="P2056" t="s">
        <v>39</v>
      </c>
      <c r="Q2056" t="s">
        <v>38</v>
      </c>
      <c r="R2056">
        <v>0</v>
      </c>
      <c r="S2056" t="s">
        <v>38</v>
      </c>
      <c r="T2056">
        <v>10</v>
      </c>
      <c r="U2056">
        <v>3.4</v>
      </c>
      <c r="V2056">
        <v>0</v>
      </c>
      <c r="W2056" t="s">
        <v>39</v>
      </c>
      <c r="X2056" t="s">
        <v>63</v>
      </c>
      <c r="Y2056" t="s">
        <v>38</v>
      </c>
      <c r="Z2056" t="s">
        <v>64</v>
      </c>
      <c r="AA2056" t="s">
        <v>109</v>
      </c>
      <c r="AB2056" t="s">
        <v>55</v>
      </c>
      <c r="AC2056">
        <f t="shared" si="352"/>
        <v>0</v>
      </c>
      <c r="AD2056" s="12">
        <f t="shared" si="356"/>
        <v>1</v>
      </c>
      <c r="AE2056" s="12">
        <f t="shared" si="357"/>
        <v>0</v>
      </c>
      <c r="AF2056">
        <f t="shared" si="353"/>
        <v>1</v>
      </c>
      <c r="AG2056">
        <f t="shared" si="358"/>
        <v>0</v>
      </c>
      <c r="AH2056">
        <f t="shared" si="359"/>
        <v>0</v>
      </c>
      <c r="AI2056">
        <f t="shared" si="360"/>
        <v>0</v>
      </c>
      <c r="AJ2056">
        <f t="shared" si="361"/>
        <v>0</v>
      </c>
      <c r="AK2056">
        <f t="shared" si="354"/>
        <v>0</v>
      </c>
      <c r="AL2056">
        <f t="shared" si="362"/>
        <v>1</v>
      </c>
    </row>
    <row r="2057" spans="1:38">
      <c r="A2057" t="s">
        <v>6298</v>
      </c>
      <c r="B2057" t="s">
        <v>6299</v>
      </c>
      <c r="C2057" s="1">
        <f t="shared" si="355"/>
        <v>45413</v>
      </c>
      <c r="D2057" t="s">
        <v>6300</v>
      </c>
      <c r="E2057">
        <v>531</v>
      </c>
      <c r="F2057">
        <v>22.1</v>
      </c>
      <c r="G2057" t="s">
        <v>77</v>
      </c>
      <c r="H2057" t="s">
        <v>187</v>
      </c>
      <c r="I2057" t="s">
        <v>32</v>
      </c>
      <c r="J2057">
        <v>240</v>
      </c>
      <c r="K2057" t="s">
        <v>33</v>
      </c>
      <c r="L2057" t="s">
        <v>70</v>
      </c>
      <c r="M2057" t="s">
        <v>35</v>
      </c>
      <c r="N2057" t="s">
        <v>192</v>
      </c>
      <c r="O2057" t="s">
        <v>51</v>
      </c>
      <c r="P2057" t="s">
        <v>38</v>
      </c>
      <c r="Q2057" t="s">
        <v>38</v>
      </c>
      <c r="R2057">
        <v>1</v>
      </c>
      <c r="S2057" t="s">
        <v>38</v>
      </c>
      <c r="T2057">
        <v>7</v>
      </c>
      <c r="U2057">
        <v>0.1</v>
      </c>
      <c r="V2057">
        <v>0</v>
      </c>
      <c r="W2057" t="s">
        <v>38</v>
      </c>
      <c r="X2057" t="s">
        <v>40</v>
      </c>
      <c r="Y2057" t="s">
        <v>39</v>
      </c>
      <c r="Z2057" t="s">
        <v>108</v>
      </c>
      <c r="AA2057" t="s">
        <v>54</v>
      </c>
      <c r="AB2057" t="s">
        <v>83</v>
      </c>
      <c r="AC2057">
        <f t="shared" si="352"/>
        <v>0</v>
      </c>
      <c r="AD2057" s="12">
        <f t="shared" si="356"/>
        <v>0</v>
      </c>
      <c r="AE2057" s="12">
        <f t="shared" si="357"/>
        <v>0</v>
      </c>
      <c r="AF2057">
        <f t="shared" si="353"/>
        <v>1</v>
      </c>
      <c r="AG2057">
        <f t="shared" si="358"/>
        <v>0</v>
      </c>
      <c r="AH2057">
        <f t="shared" si="359"/>
        <v>0</v>
      </c>
      <c r="AI2057">
        <f t="shared" si="360"/>
        <v>0</v>
      </c>
      <c r="AJ2057">
        <f t="shared" si="361"/>
        <v>1</v>
      </c>
      <c r="AK2057">
        <f t="shared" si="354"/>
        <v>0</v>
      </c>
      <c r="AL2057">
        <f t="shared" si="362"/>
        <v>0</v>
      </c>
    </row>
    <row r="2058" spans="1:38">
      <c r="A2058" t="s">
        <v>6301</v>
      </c>
      <c r="B2058" t="s">
        <v>6302</v>
      </c>
      <c r="C2058" s="1">
        <f t="shared" si="355"/>
        <v>45444</v>
      </c>
      <c r="D2058" t="s">
        <v>6303</v>
      </c>
      <c r="E2058">
        <v>205.6</v>
      </c>
      <c r="F2058">
        <v>8.6</v>
      </c>
      <c r="G2058" t="s">
        <v>87</v>
      </c>
      <c r="H2058" t="s">
        <v>309</v>
      </c>
      <c r="I2058" t="s">
        <v>32</v>
      </c>
      <c r="J2058">
        <v>240</v>
      </c>
      <c r="K2058" t="s">
        <v>49</v>
      </c>
      <c r="L2058" t="s">
        <v>70</v>
      </c>
      <c r="M2058" t="s">
        <v>35</v>
      </c>
      <c r="N2058" t="s">
        <v>299</v>
      </c>
      <c r="O2058" t="s">
        <v>37</v>
      </c>
      <c r="P2058" t="s">
        <v>38</v>
      </c>
      <c r="Q2058" t="s">
        <v>38</v>
      </c>
      <c r="R2058">
        <v>1</v>
      </c>
      <c r="S2058" t="s">
        <v>38</v>
      </c>
      <c r="T2058">
        <v>9</v>
      </c>
      <c r="U2058">
        <v>2.2000000000000002</v>
      </c>
      <c r="V2058">
        <v>11.3</v>
      </c>
      <c r="W2058" t="s">
        <v>39</v>
      </c>
      <c r="X2058" t="s">
        <v>63</v>
      </c>
      <c r="Y2058" t="s">
        <v>39</v>
      </c>
      <c r="Z2058" t="s">
        <v>41</v>
      </c>
      <c r="AA2058" t="s">
        <v>109</v>
      </c>
      <c r="AB2058" t="s">
        <v>55</v>
      </c>
      <c r="AC2058">
        <f t="shared" si="352"/>
        <v>0</v>
      </c>
      <c r="AD2058" s="12">
        <f t="shared" si="356"/>
        <v>1</v>
      </c>
      <c r="AE2058" s="12">
        <f t="shared" si="357"/>
        <v>0</v>
      </c>
      <c r="AF2058">
        <f t="shared" si="353"/>
        <v>0</v>
      </c>
      <c r="AG2058">
        <f t="shared" si="358"/>
        <v>0</v>
      </c>
      <c r="AH2058">
        <f t="shared" si="359"/>
        <v>0</v>
      </c>
      <c r="AI2058">
        <f t="shared" si="360"/>
        <v>0</v>
      </c>
      <c r="AJ2058">
        <f t="shared" si="361"/>
        <v>1</v>
      </c>
      <c r="AK2058">
        <f t="shared" si="354"/>
        <v>0</v>
      </c>
      <c r="AL2058">
        <f t="shared" si="362"/>
        <v>0</v>
      </c>
    </row>
    <row r="2059" spans="1:38">
      <c r="A2059" t="s">
        <v>6304</v>
      </c>
      <c r="B2059" t="s">
        <v>6305</v>
      </c>
      <c r="C2059" s="1">
        <f t="shared" si="355"/>
        <v>45536</v>
      </c>
      <c r="D2059" t="s">
        <v>6306</v>
      </c>
      <c r="E2059">
        <v>108.1</v>
      </c>
      <c r="F2059">
        <v>4.5</v>
      </c>
      <c r="G2059" t="s">
        <v>68</v>
      </c>
      <c r="H2059" t="s">
        <v>69</v>
      </c>
      <c r="I2059" t="s">
        <v>48</v>
      </c>
      <c r="J2059">
        <v>120</v>
      </c>
      <c r="K2059" t="s">
        <v>49</v>
      </c>
      <c r="L2059" t="s">
        <v>34</v>
      </c>
      <c r="M2059" t="s">
        <v>35</v>
      </c>
      <c r="N2059" t="s">
        <v>220</v>
      </c>
      <c r="O2059" t="s">
        <v>51</v>
      </c>
      <c r="P2059" t="s">
        <v>38</v>
      </c>
      <c r="Q2059" t="s">
        <v>38</v>
      </c>
      <c r="R2059">
        <v>1</v>
      </c>
      <c r="S2059" t="s">
        <v>39</v>
      </c>
      <c r="T2059">
        <v>8</v>
      </c>
      <c r="U2059">
        <v>0.1</v>
      </c>
      <c r="V2059">
        <v>25.7</v>
      </c>
      <c r="W2059" t="s">
        <v>39</v>
      </c>
      <c r="X2059" t="s">
        <v>123</v>
      </c>
      <c r="Y2059" t="s">
        <v>38</v>
      </c>
      <c r="Z2059" t="s">
        <v>115</v>
      </c>
      <c r="AA2059" t="s">
        <v>109</v>
      </c>
      <c r="AB2059" t="s">
        <v>55</v>
      </c>
      <c r="AC2059">
        <f t="shared" si="352"/>
        <v>0</v>
      </c>
      <c r="AD2059" s="12">
        <f t="shared" si="356"/>
        <v>0</v>
      </c>
      <c r="AE2059" s="12">
        <f t="shared" si="357"/>
        <v>1</v>
      </c>
      <c r="AF2059">
        <f t="shared" si="353"/>
        <v>1</v>
      </c>
      <c r="AG2059">
        <f t="shared" si="358"/>
        <v>0</v>
      </c>
      <c r="AH2059">
        <f t="shared" si="359"/>
        <v>1</v>
      </c>
      <c r="AI2059">
        <f t="shared" si="360"/>
        <v>0</v>
      </c>
      <c r="AJ2059">
        <f t="shared" si="361"/>
        <v>0</v>
      </c>
      <c r="AK2059">
        <f t="shared" si="354"/>
        <v>0</v>
      </c>
      <c r="AL2059">
        <f t="shared" si="362"/>
        <v>1</v>
      </c>
    </row>
    <row r="2060" spans="1:38">
      <c r="A2060" t="s">
        <v>6307</v>
      </c>
      <c r="B2060" t="s">
        <v>6308</v>
      </c>
      <c r="C2060" s="1">
        <f t="shared" si="355"/>
        <v>45444</v>
      </c>
      <c r="D2060" t="s">
        <v>6309</v>
      </c>
      <c r="E2060">
        <v>109.2</v>
      </c>
      <c r="F2060">
        <v>4.5999999999999996</v>
      </c>
      <c r="G2060" t="s">
        <v>87</v>
      </c>
      <c r="H2060" t="s">
        <v>309</v>
      </c>
      <c r="I2060" t="s">
        <v>48</v>
      </c>
      <c r="J2060">
        <v>120</v>
      </c>
      <c r="K2060" t="s">
        <v>49</v>
      </c>
      <c r="L2060" t="s">
        <v>96</v>
      </c>
      <c r="M2060" t="s">
        <v>35</v>
      </c>
      <c r="N2060" t="s">
        <v>299</v>
      </c>
      <c r="O2060" t="s">
        <v>7232</v>
      </c>
      <c r="P2060" t="s">
        <v>38</v>
      </c>
      <c r="Q2060" t="s">
        <v>38</v>
      </c>
      <c r="R2060">
        <v>1</v>
      </c>
      <c r="S2060" t="s">
        <v>38</v>
      </c>
      <c r="T2060">
        <v>8</v>
      </c>
      <c r="U2060">
        <v>3.5</v>
      </c>
      <c r="V2060">
        <v>0</v>
      </c>
      <c r="W2060" t="s">
        <v>38</v>
      </c>
      <c r="X2060" t="s">
        <v>63</v>
      </c>
      <c r="Y2060" t="s">
        <v>38</v>
      </c>
      <c r="Z2060" t="s">
        <v>41</v>
      </c>
      <c r="AA2060" t="s">
        <v>109</v>
      </c>
      <c r="AB2060" t="s">
        <v>55</v>
      </c>
      <c r="AC2060">
        <f t="shared" si="352"/>
        <v>0</v>
      </c>
      <c r="AD2060" s="12">
        <f t="shared" si="356"/>
        <v>1</v>
      </c>
      <c r="AE2060" s="12">
        <f t="shared" si="357"/>
        <v>0</v>
      </c>
      <c r="AF2060">
        <f t="shared" si="353"/>
        <v>0</v>
      </c>
      <c r="AG2060">
        <f t="shared" si="358"/>
        <v>1</v>
      </c>
      <c r="AH2060">
        <f t="shared" si="359"/>
        <v>1</v>
      </c>
      <c r="AI2060">
        <f t="shared" si="360"/>
        <v>0</v>
      </c>
      <c r="AJ2060">
        <f t="shared" si="361"/>
        <v>0</v>
      </c>
      <c r="AK2060">
        <f t="shared" si="354"/>
        <v>0</v>
      </c>
      <c r="AL2060">
        <f t="shared" si="362"/>
        <v>1</v>
      </c>
    </row>
    <row r="2061" spans="1:38">
      <c r="A2061" t="s">
        <v>6310</v>
      </c>
      <c r="B2061" t="s">
        <v>6311</v>
      </c>
      <c r="C2061" s="1">
        <f t="shared" si="355"/>
        <v>45627</v>
      </c>
      <c r="D2061" t="s">
        <v>6312</v>
      </c>
      <c r="E2061">
        <v>73.099999999999994</v>
      </c>
      <c r="F2061">
        <v>3</v>
      </c>
      <c r="G2061" t="s">
        <v>30</v>
      </c>
      <c r="H2061" t="s">
        <v>159</v>
      </c>
      <c r="I2061" t="s">
        <v>48</v>
      </c>
      <c r="J2061">
        <v>120</v>
      </c>
      <c r="K2061" t="s">
        <v>49</v>
      </c>
      <c r="L2061" t="s">
        <v>70</v>
      </c>
      <c r="M2061" t="s">
        <v>35</v>
      </c>
      <c r="N2061" t="s">
        <v>107</v>
      </c>
      <c r="O2061" t="s">
        <v>37</v>
      </c>
      <c r="P2061" t="s">
        <v>39</v>
      </c>
      <c r="Q2061" t="s">
        <v>38</v>
      </c>
      <c r="R2061">
        <v>0</v>
      </c>
      <c r="S2061" t="s">
        <v>39</v>
      </c>
      <c r="T2061">
        <v>10</v>
      </c>
      <c r="U2061">
        <v>2.2999999999999998</v>
      </c>
      <c r="V2061">
        <v>25.6</v>
      </c>
      <c r="W2061" t="s">
        <v>38</v>
      </c>
      <c r="X2061" t="s">
        <v>123</v>
      </c>
      <c r="Y2061" t="s">
        <v>39</v>
      </c>
      <c r="Z2061" t="s">
        <v>179</v>
      </c>
      <c r="AA2061" t="s">
        <v>82</v>
      </c>
      <c r="AB2061" t="s">
        <v>55</v>
      </c>
      <c r="AC2061">
        <f t="shared" si="352"/>
        <v>0</v>
      </c>
      <c r="AD2061" s="12">
        <f t="shared" si="356"/>
        <v>0</v>
      </c>
      <c r="AE2061" s="12">
        <f t="shared" si="357"/>
        <v>1</v>
      </c>
      <c r="AF2061">
        <f t="shared" si="353"/>
        <v>0</v>
      </c>
      <c r="AG2061">
        <f t="shared" si="358"/>
        <v>0</v>
      </c>
      <c r="AH2061">
        <f t="shared" si="359"/>
        <v>1</v>
      </c>
      <c r="AI2061">
        <f t="shared" si="360"/>
        <v>0</v>
      </c>
      <c r="AJ2061">
        <f t="shared" si="361"/>
        <v>0</v>
      </c>
      <c r="AK2061">
        <f t="shared" si="354"/>
        <v>1</v>
      </c>
      <c r="AL2061">
        <f t="shared" si="362"/>
        <v>0</v>
      </c>
    </row>
    <row r="2062" spans="1:38">
      <c r="A2062" t="s">
        <v>6313</v>
      </c>
      <c r="B2062" t="s">
        <v>6314</v>
      </c>
      <c r="C2062" s="1">
        <f t="shared" si="355"/>
        <v>45352</v>
      </c>
      <c r="D2062" t="s">
        <v>6315</v>
      </c>
      <c r="E2062">
        <v>174.6</v>
      </c>
      <c r="F2062">
        <v>7.3</v>
      </c>
      <c r="G2062" t="s">
        <v>68</v>
      </c>
      <c r="H2062" t="s">
        <v>219</v>
      </c>
      <c r="I2062" t="s">
        <v>48</v>
      </c>
      <c r="J2062">
        <v>120</v>
      </c>
      <c r="K2062" t="s">
        <v>33</v>
      </c>
      <c r="L2062" t="s">
        <v>70</v>
      </c>
      <c r="M2062" t="s">
        <v>35</v>
      </c>
      <c r="N2062" t="s">
        <v>36</v>
      </c>
      <c r="O2062" t="s">
        <v>37</v>
      </c>
      <c r="P2062" t="s">
        <v>39</v>
      </c>
      <c r="Q2062" t="s">
        <v>38</v>
      </c>
      <c r="R2062">
        <v>0</v>
      </c>
      <c r="S2062" t="s">
        <v>38</v>
      </c>
      <c r="T2062">
        <v>5</v>
      </c>
      <c r="U2062">
        <v>5.4</v>
      </c>
      <c r="V2062">
        <v>29.3</v>
      </c>
      <c r="W2062" t="s">
        <v>39</v>
      </c>
      <c r="X2062" t="s">
        <v>123</v>
      </c>
      <c r="Y2062" t="s">
        <v>39</v>
      </c>
      <c r="Z2062" t="s">
        <v>81</v>
      </c>
      <c r="AA2062" t="s">
        <v>103</v>
      </c>
      <c r="AB2062" t="s">
        <v>55</v>
      </c>
      <c r="AC2062">
        <f t="shared" si="352"/>
        <v>0</v>
      </c>
      <c r="AD2062" s="12">
        <f t="shared" si="356"/>
        <v>0</v>
      </c>
      <c r="AE2062" s="12">
        <f t="shared" si="357"/>
        <v>1</v>
      </c>
      <c r="AF2062">
        <f t="shared" si="353"/>
        <v>0</v>
      </c>
      <c r="AG2062">
        <f t="shared" si="358"/>
        <v>0</v>
      </c>
      <c r="AH2062">
        <f t="shared" si="359"/>
        <v>1</v>
      </c>
      <c r="AI2062">
        <f t="shared" si="360"/>
        <v>0</v>
      </c>
      <c r="AJ2062">
        <f t="shared" si="361"/>
        <v>0</v>
      </c>
      <c r="AK2062">
        <f t="shared" si="354"/>
        <v>0</v>
      </c>
      <c r="AL2062">
        <f t="shared" si="362"/>
        <v>0</v>
      </c>
    </row>
    <row r="2063" spans="1:38">
      <c r="A2063" t="s">
        <v>6316</v>
      </c>
      <c r="B2063" t="s">
        <v>6317</v>
      </c>
      <c r="C2063" s="1">
        <f t="shared" si="355"/>
        <v>45323</v>
      </c>
      <c r="D2063" t="s">
        <v>6318</v>
      </c>
      <c r="E2063">
        <v>150.19999999999999</v>
      </c>
      <c r="F2063">
        <v>6.3</v>
      </c>
      <c r="G2063" t="s">
        <v>142</v>
      </c>
      <c r="H2063" t="s">
        <v>143</v>
      </c>
      <c r="I2063" t="s">
        <v>32</v>
      </c>
      <c r="J2063">
        <v>240</v>
      </c>
      <c r="K2063" t="s">
        <v>49</v>
      </c>
      <c r="L2063" t="s">
        <v>96</v>
      </c>
      <c r="M2063" t="s">
        <v>35</v>
      </c>
      <c r="N2063" t="s">
        <v>128</v>
      </c>
      <c r="O2063" t="s">
        <v>51</v>
      </c>
      <c r="P2063" t="s">
        <v>39</v>
      </c>
      <c r="Q2063" t="s">
        <v>38</v>
      </c>
      <c r="R2063">
        <v>0</v>
      </c>
      <c r="S2063" t="s">
        <v>38</v>
      </c>
      <c r="T2063">
        <v>10</v>
      </c>
      <c r="U2063">
        <v>4.2</v>
      </c>
      <c r="V2063">
        <v>31.9</v>
      </c>
      <c r="W2063" t="s">
        <v>39</v>
      </c>
      <c r="X2063" t="s">
        <v>63</v>
      </c>
      <c r="Y2063" t="s">
        <v>38</v>
      </c>
      <c r="Z2063" t="s">
        <v>41</v>
      </c>
      <c r="AA2063" t="s">
        <v>109</v>
      </c>
      <c r="AB2063" t="s">
        <v>83</v>
      </c>
      <c r="AC2063">
        <f t="shared" si="352"/>
        <v>0</v>
      </c>
      <c r="AD2063" s="12">
        <f t="shared" si="356"/>
        <v>1</v>
      </c>
      <c r="AE2063" s="12">
        <f t="shared" si="357"/>
        <v>0</v>
      </c>
      <c r="AF2063">
        <f t="shared" si="353"/>
        <v>1</v>
      </c>
      <c r="AG2063">
        <f t="shared" si="358"/>
        <v>0</v>
      </c>
      <c r="AH2063">
        <f t="shared" si="359"/>
        <v>0</v>
      </c>
      <c r="AI2063">
        <f t="shared" si="360"/>
        <v>0</v>
      </c>
      <c r="AJ2063">
        <f t="shared" si="361"/>
        <v>1</v>
      </c>
      <c r="AK2063">
        <f t="shared" si="354"/>
        <v>0</v>
      </c>
      <c r="AL2063">
        <f t="shared" si="362"/>
        <v>1</v>
      </c>
    </row>
    <row r="2064" spans="1:38">
      <c r="A2064" t="s">
        <v>6319</v>
      </c>
      <c r="B2064" t="s">
        <v>6320</v>
      </c>
      <c r="C2064" s="1">
        <f t="shared" si="355"/>
        <v>45505</v>
      </c>
      <c r="D2064" t="s">
        <v>6321</v>
      </c>
      <c r="E2064">
        <v>220.4</v>
      </c>
      <c r="F2064">
        <v>9.1999999999999993</v>
      </c>
      <c r="G2064" t="s">
        <v>87</v>
      </c>
      <c r="H2064" t="s">
        <v>88</v>
      </c>
      <c r="I2064" t="s">
        <v>79</v>
      </c>
      <c r="J2064">
        <v>360</v>
      </c>
      <c r="K2064" t="s">
        <v>49</v>
      </c>
      <c r="L2064" t="s">
        <v>96</v>
      </c>
      <c r="M2064" t="s">
        <v>71</v>
      </c>
      <c r="N2064" t="s">
        <v>107</v>
      </c>
      <c r="O2064" t="s">
        <v>37</v>
      </c>
      <c r="P2064" t="s">
        <v>38</v>
      </c>
      <c r="Q2064" t="s">
        <v>39</v>
      </c>
      <c r="R2064">
        <v>3</v>
      </c>
      <c r="S2064" t="s">
        <v>38</v>
      </c>
      <c r="T2064">
        <v>7</v>
      </c>
      <c r="U2064">
        <v>5.0999999999999996</v>
      </c>
      <c r="V2064">
        <v>18.5</v>
      </c>
      <c r="W2064" t="s">
        <v>39</v>
      </c>
      <c r="X2064" t="s">
        <v>123</v>
      </c>
      <c r="Y2064" t="s">
        <v>39</v>
      </c>
      <c r="Z2064" t="s">
        <v>179</v>
      </c>
      <c r="AA2064" t="s">
        <v>103</v>
      </c>
      <c r="AB2064" t="s">
        <v>83</v>
      </c>
      <c r="AC2064">
        <f t="shared" si="352"/>
        <v>0</v>
      </c>
      <c r="AD2064" s="12">
        <f t="shared" si="356"/>
        <v>0</v>
      </c>
      <c r="AE2064" s="12">
        <f t="shared" si="357"/>
        <v>1</v>
      </c>
      <c r="AF2064">
        <f t="shared" si="353"/>
        <v>0</v>
      </c>
      <c r="AG2064">
        <f t="shared" si="358"/>
        <v>0</v>
      </c>
      <c r="AH2064">
        <f t="shared" si="359"/>
        <v>0</v>
      </c>
      <c r="AI2064">
        <f t="shared" si="360"/>
        <v>0</v>
      </c>
      <c r="AJ2064">
        <f t="shared" si="361"/>
        <v>0</v>
      </c>
      <c r="AK2064">
        <f t="shared" si="354"/>
        <v>0</v>
      </c>
      <c r="AL2064">
        <f t="shared" si="362"/>
        <v>0</v>
      </c>
    </row>
    <row r="2065" spans="1:38">
      <c r="A2065" t="s">
        <v>6322</v>
      </c>
      <c r="B2065" t="s">
        <v>6323</v>
      </c>
      <c r="C2065" s="1">
        <f t="shared" si="355"/>
        <v>45474</v>
      </c>
      <c r="D2065" t="s">
        <v>6324</v>
      </c>
      <c r="E2065">
        <v>479.3</v>
      </c>
      <c r="F2065">
        <v>20</v>
      </c>
      <c r="G2065" t="s">
        <v>93</v>
      </c>
      <c r="H2065" t="s">
        <v>163</v>
      </c>
      <c r="I2065" t="s">
        <v>32</v>
      </c>
      <c r="J2065">
        <v>240</v>
      </c>
      <c r="K2065" t="s">
        <v>33</v>
      </c>
      <c r="L2065" t="s">
        <v>70</v>
      </c>
      <c r="M2065" t="s">
        <v>35</v>
      </c>
      <c r="N2065" t="s">
        <v>414</v>
      </c>
      <c r="O2065" t="s">
        <v>51</v>
      </c>
      <c r="P2065" t="s">
        <v>39</v>
      </c>
      <c r="Q2065" t="s">
        <v>38</v>
      </c>
      <c r="R2065">
        <v>0</v>
      </c>
      <c r="S2065" t="s">
        <v>38</v>
      </c>
      <c r="T2065">
        <v>7</v>
      </c>
      <c r="U2065">
        <v>4.7</v>
      </c>
      <c r="V2065">
        <v>29.6</v>
      </c>
      <c r="W2065" t="s">
        <v>39</v>
      </c>
      <c r="X2065" t="s">
        <v>123</v>
      </c>
      <c r="Y2065" t="s">
        <v>38</v>
      </c>
      <c r="Z2065" t="s">
        <v>41</v>
      </c>
      <c r="AA2065" t="s">
        <v>103</v>
      </c>
      <c r="AB2065" t="s">
        <v>83</v>
      </c>
      <c r="AC2065">
        <f t="shared" si="352"/>
        <v>0</v>
      </c>
      <c r="AD2065" s="12">
        <f t="shared" si="356"/>
        <v>0</v>
      </c>
      <c r="AE2065" s="12">
        <f t="shared" si="357"/>
        <v>1</v>
      </c>
      <c r="AF2065">
        <f t="shared" si="353"/>
        <v>1</v>
      </c>
      <c r="AG2065">
        <f t="shared" si="358"/>
        <v>0</v>
      </c>
      <c r="AH2065">
        <f t="shared" si="359"/>
        <v>0</v>
      </c>
      <c r="AI2065">
        <f t="shared" si="360"/>
        <v>0</v>
      </c>
      <c r="AJ2065">
        <f t="shared" si="361"/>
        <v>1</v>
      </c>
      <c r="AK2065">
        <f t="shared" si="354"/>
        <v>0</v>
      </c>
      <c r="AL2065">
        <f t="shared" si="362"/>
        <v>1</v>
      </c>
    </row>
    <row r="2066" spans="1:38">
      <c r="A2066" t="s">
        <v>6325</v>
      </c>
      <c r="B2066" t="s">
        <v>6326</v>
      </c>
      <c r="C2066" s="1">
        <f t="shared" si="355"/>
        <v>45597</v>
      </c>
      <c r="D2066" t="s">
        <v>6327</v>
      </c>
      <c r="E2066">
        <v>145.1</v>
      </c>
      <c r="F2066">
        <v>6</v>
      </c>
      <c r="G2066" t="s">
        <v>30</v>
      </c>
      <c r="H2066" t="s">
        <v>47</v>
      </c>
      <c r="I2066" t="s">
        <v>32</v>
      </c>
      <c r="J2066">
        <v>240</v>
      </c>
      <c r="K2066" t="s">
        <v>49</v>
      </c>
      <c r="L2066" t="s">
        <v>34</v>
      </c>
      <c r="M2066" t="s">
        <v>35</v>
      </c>
      <c r="N2066" t="s">
        <v>277</v>
      </c>
      <c r="O2066" t="s">
        <v>51</v>
      </c>
      <c r="P2066" t="s">
        <v>39</v>
      </c>
      <c r="Q2066" t="s">
        <v>38</v>
      </c>
      <c r="R2066">
        <v>0</v>
      </c>
      <c r="S2066" t="s">
        <v>38</v>
      </c>
      <c r="T2066">
        <v>7</v>
      </c>
      <c r="U2066">
        <v>0.1</v>
      </c>
      <c r="V2066">
        <v>0</v>
      </c>
      <c r="W2066" t="s">
        <v>39</v>
      </c>
      <c r="X2066" t="s">
        <v>123</v>
      </c>
      <c r="Y2066" t="s">
        <v>38</v>
      </c>
      <c r="Z2066" t="s">
        <v>53</v>
      </c>
      <c r="AA2066" t="s">
        <v>103</v>
      </c>
      <c r="AB2066" t="s">
        <v>83</v>
      </c>
      <c r="AC2066">
        <f t="shared" si="352"/>
        <v>0</v>
      </c>
      <c r="AD2066" s="12">
        <f t="shared" si="356"/>
        <v>0</v>
      </c>
      <c r="AE2066" s="12">
        <f t="shared" si="357"/>
        <v>1</v>
      </c>
      <c r="AF2066">
        <f t="shared" si="353"/>
        <v>1</v>
      </c>
      <c r="AG2066">
        <f t="shared" si="358"/>
        <v>0</v>
      </c>
      <c r="AH2066">
        <f t="shared" si="359"/>
        <v>0</v>
      </c>
      <c r="AI2066">
        <f t="shared" si="360"/>
        <v>0</v>
      </c>
      <c r="AJ2066">
        <f t="shared" si="361"/>
        <v>1</v>
      </c>
      <c r="AK2066">
        <f t="shared" si="354"/>
        <v>1</v>
      </c>
      <c r="AL2066">
        <f t="shared" si="362"/>
        <v>1</v>
      </c>
    </row>
    <row r="2067" spans="1:38">
      <c r="A2067" t="s">
        <v>6328</v>
      </c>
      <c r="B2067" t="s">
        <v>6329</v>
      </c>
      <c r="C2067" s="1">
        <f t="shared" si="355"/>
        <v>45323</v>
      </c>
      <c r="D2067" t="s">
        <v>6330</v>
      </c>
      <c r="E2067">
        <v>109.1</v>
      </c>
      <c r="F2067">
        <v>4.5</v>
      </c>
      <c r="G2067" t="s">
        <v>87</v>
      </c>
      <c r="H2067" t="s">
        <v>151</v>
      </c>
      <c r="I2067" t="s">
        <v>48</v>
      </c>
      <c r="J2067">
        <v>120</v>
      </c>
      <c r="K2067" t="s">
        <v>49</v>
      </c>
      <c r="L2067" t="s">
        <v>70</v>
      </c>
      <c r="M2067" t="s">
        <v>35</v>
      </c>
      <c r="N2067" t="s">
        <v>138</v>
      </c>
      <c r="O2067" t="s">
        <v>51</v>
      </c>
      <c r="P2067" t="s">
        <v>38</v>
      </c>
      <c r="Q2067" t="s">
        <v>38</v>
      </c>
      <c r="R2067">
        <v>1</v>
      </c>
      <c r="S2067" t="s">
        <v>38</v>
      </c>
      <c r="T2067">
        <v>9</v>
      </c>
      <c r="U2067">
        <v>0.5</v>
      </c>
      <c r="V2067">
        <v>7.1</v>
      </c>
      <c r="W2067" t="s">
        <v>38</v>
      </c>
      <c r="X2067" t="s">
        <v>63</v>
      </c>
      <c r="Y2067" t="s">
        <v>38</v>
      </c>
      <c r="Z2067" t="s">
        <v>73</v>
      </c>
      <c r="AA2067" t="s">
        <v>103</v>
      </c>
      <c r="AB2067" t="s">
        <v>55</v>
      </c>
      <c r="AC2067">
        <f t="shared" si="352"/>
        <v>0</v>
      </c>
      <c r="AD2067" s="12">
        <f t="shared" si="356"/>
        <v>1</v>
      </c>
      <c r="AE2067" s="12">
        <f t="shared" si="357"/>
        <v>0</v>
      </c>
      <c r="AF2067">
        <f t="shared" si="353"/>
        <v>1</v>
      </c>
      <c r="AG2067">
        <f t="shared" si="358"/>
        <v>0</v>
      </c>
      <c r="AH2067">
        <f t="shared" si="359"/>
        <v>1</v>
      </c>
      <c r="AI2067">
        <f t="shared" si="360"/>
        <v>0</v>
      </c>
      <c r="AJ2067">
        <f t="shared" si="361"/>
        <v>0</v>
      </c>
      <c r="AK2067">
        <f t="shared" si="354"/>
        <v>0</v>
      </c>
      <c r="AL2067">
        <f t="shared" si="362"/>
        <v>1</v>
      </c>
    </row>
    <row r="2068" spans="1:38">
      <c r="A2068" t="s">
        <v>6331</v>
      </c>
      <c r="B2068" t="s">
        <v>6332</v>
      </c>
      <c r="C2068" s="1">
        <f t="shared" si="355"/>
        <v>45444</v>
      </c>
      <c r="D2068" t="s">
        <v>6333</v>
      </c>
      <c r="E2068">
        <v>323.3</v>
      </c>
      <c r="F2068">
        <v>13.5</v>
      </c>
      <c r="G2068" t="s">
        <v>77</v>
      </c>
      <c r="H2068" t="s">
        <v>187</v>
      </c>
      <c r="I2068" t="s">
        <v>79</v>
      </c>
      <c r="J2068">
        <v>360</v>
      </c>
      <c r="K2068" t="s">
        <v>49</v>
      </c>
      <c r="L2068" t="s">
        <v>133</v>
      </c>
      <c r="M2068" t="s">
        <v>35</v>
      </c>
      <c r="N2068" t="s">
        <v>155</v>
      </c>
      <c r="O2068" t="s">
        <v>7232</v>
      </c>
      <c r="P2068" t="s">
        <v>39</v>
      </c>
      <c r="Q2068" t="s">
        <v>38</v>
      </c>
      <c r="R2068">
        <v>0</v>
      </c>
      <c r="S2068" t="s">
        <v>39</v>
      </c>
      <c r="T2068">
        <v>8</v>
      </c>
      <c r="U2068">
        <v>1.9</v>
      </c>
      <c r="V2068">
        <v>32.799999999999997</v>
      </c>
      <c r="W2068" t="s">
        <v>39</v>
      </c>
      <c r="X2068" t="s">
        <v>52</v>
      </c>
      <c r="Y2068" t="s">
        <v>38</v>
      </c>
      <c r="Z2068" t="s">
        <v>64</v>
      </c>
      <c r="AA2068" t="s">
        <v>82</v>
      </c>
      <c r="AB2068" t="s">
        <v>83</v>
      </c>
      <c r="AC2068">
        <f t="shared" si="352"/>
        <v>1</v>
      </c>
      <c r="AD2068" s="12">
        <f t="shared" si="356"/>
        <v>0</v>
      </c>
      <c r="AE2068" s="12">
        <f t="shared" si="357"/>
        <v>0</v>
      </c>
      <c r="AF2068">
        <f t="shared" si="353"/>
        <v>0</v>
      </c>
      <c r="AG2068">
        <f t="shared" si="358"/>
        <v>1</v>
      </c>
      <c r="AH2068">
        <f t="shared" si="359"/>
        <v>0</v>
      </c>
      <c r="AI2068">
        <f t="shared" si="360"/>
        <v>0</v>
      </c>
      <c r="AJ2068">
        <f t="shared" si="361"/>
        <v>0</v>
      </c>
      <c r="AK2068">
        <f t="shared" si="354"/>
        <v>0</v>
      </c>
      <c r="AL2068">
        <f t="shared" si="362"/>
        <v>1</v>
      </c>
    </row>
    <row r="2069" spans="1:38">
      <c r="A2069" t="s">
        <v>6334</v>
      </c>
      <c r="B2069" t="s">
        <v>6335</v>
      </c>
      <c r="C2069" s="1">
        <f t="shared" si="355"/>
        <v>45292</v>
      </c>
      <c r="D2069" t="s">
        <v>6336</v>
      </c>
      <c r="E2069">
        <v>197.1</v>
      </c>
      <c r="F2069">
        <v>8.1999999999999993</v>
      </c>
      <c r="G2069" t="s">
        <v>142</v>
      </c>
      <c r="H2069" t="s">
        <v>240</v>
      </c>
      <c r="I2069" t="s">
        <v>32</v>
      </c>
      <c r="J2069">
        <v>240</v>
      </c>
      <c r="K2069" t="s">
        <v>49</v>
      </c>
      <c r="L2069" t="s">
        <v>34</v>
      </c>
      <c r="M2069" t="s">
        <v>71</v>
      </c>
      <c r="N2069" t="s">
        <v>299</v>
      </c>
      <c r="O2069" t="s">
        <v>37</v>
      </c>
      <c r="P2069" t="s">
        <v>38</v>
      </c>
      <c r="Q2069" t="s">
        <v>39</v>
      </c>
      <c r="R2069">
        <v>3</v>
      </c>
      <c r="S2069" t="s">
        <v>38</v>
      </c>
      <c r="T2069">
        <v>10</v>
      </c>
      <c r="U2069">
        <v>4.0999999999999996</v>
      </c>
      <c r="V2069">
        <v>24.8</v>
      </c>
      <c r="W2069" t="s">
        <v>39</v>
      </c>
      <c r="X2069" t="s">
        <v>63</v>
      </c>
      <c r="Y2069" t="s">
        <v>39</v>
      </c>
      <c r="Z2069" t="s">
        <v>81</v>
      </c>
      <c r="AA2069" t="s">
        <v>42</v>
      </c>
      <c r="AB2069" t="s">
        <v>83</v>
      </c>
      <c r="AC2069">
        <f t="shared" si="352"/>
        <v>0</v>
      </c>
      <c r="AD2069" s="12">
        <f t="shared" si="356"/>
        <v>1</v>
      </c>
      <c r="AE2069" s="12">
        <f t="shared" si="357"/>
        <v>0</v>
      </c>
      <c r="AF2069">
        <f t="shared" si="353"/>
        <v>0</v>
      </c>
      <c r="AG2069">
        <f t="shared" si="358"/>
        <v>0</v>
      </c>
      <c r="AH2069">
        <f t="shared" si="359"/>
        <v>0</v>
      </c>
      <c r="AI2069">
        <f t="shared" si="360"/>
        <v>0</v>
      </c>
      <c r="AJ2069">
        <f t="shared" si="361"/>
        <v>1</v>
      </c>
      <c r="AK2069">
        <f t="shared" si="354"/>
        <v>0</v>
      </c>
      <c r="AL2069">
        <f t="shared" si="362"/>
        <v>0</v>
      </c>
    </row>
    <row r="2070" spans="1:38">
      <c r="A2070" t="s">
        <v>6337</v>
      </c>
      <c r="B2070" t="s">
        <v>6338</v>
      </c>
      <c r="C2070" s="1">
        <f t="shared" si="355"/>
        <v>45444</v>
      </c>
      <c r="D2070" t="s">
        <v>6339</v>
      </c>
      <c r="E2070">
        <v>151.9</v>
      </c>
      <c r="F2070">
        <v>6.3</v>
      </c>
      <c r="G2070" t="s">
        <v>68</v>
      </c>
      <c r="H2070" t="s">
        <v>212</v>
      </c>
      <c r="I2070" t="s">
        <v>48</v>
      </c>
      <c r="J2070">
        <v>120</v>
      </c>
      <c r="K2070" t="s">
        <v>33</v>
      </c>
      <c r="L2070" t="s">
        <v>96</v>
      </c>
      <c r="M2070" t="s">
        <v>71</v>
      </c>
      <c r="N2070" t="s">
        <v>299</v>
      </c>
      <c r="O2070" t="s">
        <v>51</v>
      </c>
      <c r="P2070" t="s">
        <v>38</v>
      </c>
      <c r="Q2070" t="s">
        <v>39</v>
      </c>
      <c r="R2070">
        <v>2</v>
      </c>
      <c r="S2070" t="s">
        <v>38</v>
      </c>
      <c r="T2070">
        <v>5</v>
      </c>
      <c r="U2070">
        <v>1.2</v>
      </c>
      <c r="V2070">
        <v>50.8</v>
      </c>
      <c r="W2070" t="s">
        <v>39</v>
      </c>
      <c r="X2070" t="s">
        <v>63</v>
      </c>
      <c r="Y2070" t="s">
        <v>39</v>
      </c>
      <c r="Z2070" t="s">
        <v>53</v>
      </c>
      <c r="AA2070" t="s">
        <v>82</v>
      </c>
      <c r="AB2070" t="s">
        <v>83</v>
      </c>
      <c r="AC2070">
        <f t="shared" si="352"/>
        <v>0</v>
      </c>
      <c r="AD2070" s="12">
        <f t="shared" si="356"/>
        <v>1</v>
      </c>
      <c r="AE2070" s="12">
        <f t="shared" si="357"/>
        <v>0</v>
      </c>
      <c r="AF2070">
        <f t="shared" si="353"/>
        <v>1</v>
      </c>
      <c r="AG2070">
        <f t="shared" si="358"/>
        <v>0</v>
      </c>
      <c r="AH2070">
        <f t="shared" si="359"/>
        <v>1</v>
      </c>
      <c r="AI2070">
        <f t="shared" si="360"/>
        <v>0</v>
      </c>
      <c r="AJ2070">
        <f t="shared" si="361"/>
        <v>0</v>
      </c>
      <c r="AK2070">
        <f t="shared" si="354"/>
        <v>0</v>
      </c>
      <c r="AL2070">
        <f t="shared" si="362"/>
        <v>0</v>
      </c>
    </row>
    <row r="2071" spans="1:38">
      <c r="A2071" t="s">
        <v>6340</v>
      </c>
      <c r="B2071" t="s">
        <v>6341</v>
      </c>
      <c r="C2071" s="1">
        <f t="shared" si="355"/>
        <v>45292</v>
      </c>
      <c r="D2071" t="s">
        <v>6342</v>
      </c>
      <c r="E2071">
        <v>301</v>
      </c>
      <c r="F2071">
        <v>12.5</v>
      </c>
      <c r="G2071" t="s">
        <v>77</v>
      </c>
      <c r="H2071" t="s">
        <v>187</v>
      </c>
      <c r="I2071" t="s">
        <v>79</v>
      </c>
      <c r="J2071">
        <v>360</v>
      </c>
      <c r="K2071" t="s">
        <v>49</v>
      </c>
      <c r="L2071" t="s">
        <v>34</v>
      </c>
      <c r="M2071" t="s">
        <v>35</v>
      </c>
      <c r="N2071" t="s">
        <v>202</v>
      </c>
      <c r="O2071" t="s">
        <v>51</v>
      </c>
      <c r="P2071" t="s">
        <v>39</v>
      </c>
      <c r="Q2071" t="s">
        <v>38</v>
      </c>
      <c r="R2071">
        <v>0</v>
      </c>
      <c r="S2071" t="s">
        <v>38</v>
      </c>
      <c r="T2071">
        <v>6</v>
      </c>
      <c r="U2071">
        <v>2.8</v>
      </c>
      <c r="V2071">
        <v>29.2</v>
      </c>
      <c r="W2071" t="s">
        <v>39</v>
      </c>
      <c r="X2071" t="s">
        <v>52</v>
      </c>
      <c r="Y2071" t="s">
        <v>39</v>
      </c>
      <c r="Z2071" t="s">
        <v>41</v>
      </c>
      <c r="AA2071" t="s">
        <v>82</v>
      </c>
      <c r="AB2071" t="s">
        <v>83</v>
      </c>
      <c r="AC2071">
        <f t="shared" si="352"/>
        <v>1</v>
      </c>
      <c r="AD2071" s="12">
        <f t="shared" si="356"/>
        <v>0</v>
      </c>
      <c r="AE2071" s="12">
        <f t="shared" si="357"/>
        <v>0</v>
      </c>
      <c r="AF2071">
        <f t="shared" si="353"/>
        <v>1</v>
      </c>
      <c r="AG2071">
        <f t="shared" si="358"/>
        <v>0</v>
      </c>
      <c r="AH2071">
        <f t="shared" si="359"/>
        <v>0</v>
      </c>
      <c r="AI2071">
        <f t="shared" si="360"/>
        <v>0</v>
      </c>
      <c r="AJ2071">
        <f t="shared" si="361"/>
        <v>0</v>
      </c>
      <c r="AK2071">
        <f t="shared" si="354"/>
        <v>0</v>
      </c>
      <c r="AL2071">
        <f t="shared" si="362"/>
        <v>0</v>
      </c>
    </row>
    <row r="2072" spans="1:38">
      <c r="A2072" t="s">
        <v>6343</v>
      </c>
      <c r="B2072" t="s">
        <v>6344</v>
      </c>
      <c r="C2072" s="1">
        <f t="shared" si="355"/>
        <v>45627</v>
      </c>
      <c r="D2072" t="s">
        <v>6345</v>
      </c>
      <c r="E2072">
        <v>112</v>
      </c>
      <c r="F2072">
        <v>4.7</v>
      </c>
      <c r="G2072" t="s">
        <v>87</v>
      </c>
      <c r="H2072" t="s">
        <v>88</v>
      </c>
      <c r="I2072" t="s">
        <v>48</v>
      </c>
      <c r="J2072">
        <v>120</v>
      </c>
      <c r="K2072" t="s">
        <v>49</v>
      </c>
      <c r="L2072" t="s">
        <v>34</v>
      </c>
      <c r="M2072" t="s">
        <v>35</v>
      </c>
      <c r="N2072" t="s">
        <v>36</v>
      </c>
      <c r="O2072" t="s">
        <v>7232</v>
      </c>
      <c r="P2072" t="s">
        <v>38</v>
      </c>
      <c r="Q2072" t="s">
        <v>38</v>
      </c>
      <c r="R2072">
        <v>1</v>
      </c>
      <c r="S2072" t="s">
        <v>39</v>
      </c>
      <c r="T2072">
        <v>9</v>
      </c>
      <c r="U2072">
        <v>1.4</v>
      </c>
      <c r="V2072">
        <v>32.299999999999997</v>
      </c>
      <c r="W2072" t="s">
        <v>39</v>
      </c>
      <c r="X2072" t="s">
        <v>123</v>
      </c>
      <c r="Y2072" t="s">
        <v>38</v>
      </c>
      <c r="Z2072" t="s">
        <v>64</v>
      </c>
      <c r="AA2072" t="s">
        <v>54</v>
      </c>
      <c r="AB2072" t="s">
        <v>83</v>
      </c>
      <c r="AC2072">
        <f t="shared" si="352"/>
        <v>0</v>
      </c>
      <c r="AD2072" s="12">
        <f t="shared" si="356"/>
        <v>0</v>
      </c>
      <c r="AE2072" s="12">
        <f t="shared" si="357"/>
        <v>1</v>
      </c>
      <c r="AF2072">
        <f t="shared" si="353"/>
        <v>0</v>
      </c>
      <c r="AG2072">
        <f t="shared" si="358"/>
        <v>1</v>
      </c>
      <c r="AH2072">
        <f t="shared" si="359"/>
        <v>1</v>
      </c>
      <c r="AI2072">
        <f t="shared" si="360"/>
        <v>0</v>
      </c>
      <c r="AJ2072">
        <f t="shared" si="361"/>
        <v>0</v>
      </c>
      <c r="AK2072">
        <f t="shared" si="354"/>
        <v>0</v>
      </c>
      <c r="AL2072">
        <f t="shared" si="362"/>
        <v>1</v>
      </c>
    </row>
    <row r="2073" spans="1:38">
      <c r="A2073" t="s">
        <v>6346</v>
      </c>
      <c r="B2073" t="s">
        <v>6347</v>
      </c>
      <c r="C2073" s="1">
        <f t="shared" si="355"/>
        <v>45352</v>
      </c>
      <c r="D2073" t="s">
        <v>6348</v>
      </c>
      <c r="E2073">
        <v>257.39999999999998</v>
      </c>
      <c r="F2073">
        <v>10.7</v>
      </c>
      <c r="G2073" t="s">
        <v>101</v>
      </c>
      <c r="H2073" t="s">
        <v>295</v>
      </c>
      <c r="I2073" t="s">
        <v>48</v>
      </c>
      <c r="J2073">
        <v>120</v>
      </c>
      <c r="K2073" t="s">
        <v>33</v>
      </c>
      <c r="L2073" t="s">
        <v>96</v>
      </c>
      <c r="M2073" t="s">
        <v>35</v>
      </c>
      <c r="N2073" t="s">
        <v>107</v>
      </c>
      <c r="O2073" t="s">
        <v>51</v>
      </c>
      <c r="P2073" t="s">
        <v>39</v>
      </c>
      <c r="Q2073" t="s">
        <v>38</v>
      </c>
      <c r="R2073">
        <v>0</v>
      </c>
      <c r="S2073" t="s">
        <v>38</v>
      </c>
      <c r="T2073">
        <v>6</v>
      </c>
      <c r="U2073">
        <v>1.2</v>
      </c>
      <c r="V2073">
        <v>23.8</v>
      </c>
      <c r="W2073" t="s">
        <v>39</v>
      </c>
      <c r="X2073" t="s">
        <v>52</v>
      </c>
      <c r="Y2073" t="s">
        <v>38</v>
      </c>
      <c r="Z2073" t="s">
        <v>179</v>
      </c>
      <c r="AA2073" t="s">
        <v>54</v>
      </c>
      <c r="AB2073" t="s">
        <v>55</v>
      </c>
      <c r="AC2073">
        <f t="shared" si="352"/>
        <v>1</v>
      </c>
      <c r="AD2073" s="12">
        <f t="shared" si="356"/>
        <v>0</v>
      </c>
      <c r="AE2073" s="12">
        <f t="shared" si="357"/>
        <v>0</v>
      </c>
      <c r="AF2073">
        <f t="shared" si="353"/>
        <v>1</v>
      </c>
      <c r="AG2073">
        <f t="shared" si="358"/>
        <v>0</v>
      </c>
      <c r="AH2073">
        <f t="shared" si="359"/>
        <v>1</v>
      </c>
      <c r="AI2073">
        <f t="shared" si="360"/>
        <v>0</v>
      </c>
      <c r="AJ2073">
        <f t="shared" si="361"/>
        <v>0</v>
      </c>
      <c r="AK2073">
        <f t="shared" si="354"/>
        <v>0</v>
      </c>
      <c r="AL2073">
        <f t="shared" si="362"/>
        <v>1</v>
      </c>
    </row>
    <row r="2074" spans="1:38">
      <c r="A2074" t="s">
        <v>6349</v>
      </c>
      <c r="B2074" t="s">
        <v>6350</v>
      </c>
      <c r="C2074" s="1">
        <f t="shared" si="355"/>
        <v>45474</v>
      </c>
      <c r="D2074" t="s">
        <v>6351</v>
      </c>
      <c r="E2074">
        <v>964.2</v>
      </c>
      <c r="F2074">
        <v>40.200000000000003</v>
      </c>
      <c r="G2074" t="s">
        <v>93</v>
      </c>
      <c r="H2074" t="s">
        <v>94</v>
      </c>
      <c r="I2074" t="s">
        <v>79</v>
      </c>
      <c r="J2074">
        <v>360</v>
      </c>
      <c r="K2074" t="s">
        <v>33</v>
      </c>
      <c r="L2074" t="s">
        <v>96</v>
      </c>
      <c r="M2074" t="s">
        <v>35</v>
      </c>
      <c r="N2074" t="s">
        <v>220</v>
      </c>
      <c r="O2074" t="s">
        <v>51</v>
      </c>
      <c r="P2074" t="s">
        <v>38</v>
      </c>
      <c r="Q2074" t="s">
        <v>38</v>
      </c>
      <c r="R2074">
        <v>1</v>
      </c>
      <c r="S2074" t="s">
        <v>38</v>
      </c>
      <c r="T2074">
        <v>3</v>
      </c>
      <c r="U2074">
        <v>0.2</v>
      </c>
      <c r="V2074">
        <v>11.6</v>
      </c>
      <c r="W2074" t="s">
        <v>38</v>
      </c>
      <c r="X2074" t="s">
        <v>63</v>
      </c>
      <c r="Y2074" t="s">
        <v>39</v>
      </c>
      <c r="Z2074" t="s">
        <v>41</v>
      </c>
      <c r="AA2074" t="s">
        <v>103</v>
      </c>
      <c r="AB2074" t="s">
        <v>83</v>
      </c>
      <c r="AC2074">
        <f t="shared" si="352"/>
        <v>0</v>
      </c>
      <c r="AD2074" s="12">
        <f t="shared" si="356"/>
        <v>1</v>
      </c>
      <c r="AE2074" s="12">
        <f t="shared" si="357"/>
        <v>0</v>
      </c>
      <c r="AF2074">
        <f t="shared" si="353"/>
        <v>1</v>
      </c>
      <c r="AG2074">
        <f t="shared" si="358"/>
        <v>0</v>
      </c>
      <c r="AH2074">
        <f t="shared" si="359"/>
        <v>0</v>
      </c>
      <c r="AI2074">
        <f t="shared" si="360"/>
        <v>0</v>
      </c>
      <c r="AJ2074">
        <f t="shared" si="361"/>
        <v>0</v>
      </c>
      <c r="AK2074">
        <f t="shared" si="354"/>
        <v>0</v>
      </c>
      <c r="AL2074">
        <f t="shared" si="362"/>
        <v>0</v>
      </c>
    </row>
    <row r="2075" spans="1:38">
      <c r="A2075" t="s">
        <v>6352</v>
      </c>
      <c r="B2075" t="s">
        <v>6353</v>
      </c>
      <c r="C2075" s="1">
        <f t="shared" si="355"/>
        <v>45474</v>
      </c>
      <c r="D2075" t="s">
        <v>6354</v>
      </c>
      <c r="E2075">
        <v>175.6</v>
      </c>
      <c r="F2075">
        <v>7.3</v>
      </c>
      <c r="G2075" t="s">
        <v>77</v>
      </c>
      <c r="H2075" t="s">
        <v>244</v>
      </c>
      <c r="I2075" t="s">
        <v>32</v>
      </c>
      <c r="J2075">
        <v>240</v>
      </c>
      <c r="K2075" t="s">
        <v>49</v>
      </c>
      <c r="L2075" t="s">
        <v>113</v>
      </c>
      <c r="M2075" t="s">
        <v>71</v>
      </c>
      <c r="N2075" t="s">
        <v>36</v>
      </c>
      <c r="O2075" t="s">
        <v>7232</v>
      </c>
      <c r="P2075" t="s">
        <v>38</v>
      </c>
      <c r="Q2075" t="s">
        <v>39</v>
      </c>
      <c r="R2075">
        <v>3</v>
      </c>
      <c r="S2075" t="s">
        <v>38</v>
      </c>
      <c r="T2075">
        <v>8</v>
      </c>
      <c r="U2075">
        <v>1.8</v>
      </c>
      <c r="V2075">
        <v>30.2</v>
      </c>
      <c r="W2075" t="s">
        <v>39</v>
      </c>
      <c r="X2075" t="s">
        <v>123</v>
      </c>
      <c r="Y2075" t="s">
        <v>39</v>
      </c>
      <c r="Z2075" t="s">
        <v>179</v>
      </c>
      <c r="AA2075" t="s">
        <v>109</v>
      </c>
      <c r="AB2075" t="s">
        <v>83</v>
      </c>
      <c r="AC2075">
        <f t="shared" si="352"/>
        <v>0</v>
      </c>
      <c r="AD2075" s="12">
        <f t="shared" si="356"/>
        <v>0</v>
      </c>
      <c r="AE2075" s="12">
        <f t="shared" si="357"/>
        <v>1</v>
      </c>
      <c r="AF2075">
        <f t="shared" si="353"/>
        <v>0</v>
      </c>
      <c r="AG2075">
        <f t="shared" si="358"/>
        <v>1</v>
      </c>
      <c r="AH2075">
        <f t="shared" si="359"/>
        <v>0</v>
      </c>
      <c r="AI2075">
        <f t="shared" si="360"/>
        <v>0</v>
      </c>
      <c r="AJ2075">
        <f t="shared" si="361"/>
        <v>1</v>
      </c>
      <c r="AK2075">
        <f t="shared" si="354"/>
        <v>0</v>
      </c>
      <c r="AL2075">
        <f t="shared" si="362"/>
        <v>0</v>
      </c>
    </row>
    <row r="2076" spans="1:38">
      <c r="A2076" t="s">
        <v>6355</v>
      </c>
      <c r="B2076" t="s">
        <v>6356</v>
      </c>
      <c r="C2076" s="1">
        <f t="shared" si="355"/>
        <v>45566</v>
      </c>
      <c r="D2076" t="s">
        <v>6357</v>
      </c>
      <c r="E2076">
        <v>351.7</v>
      </c>
      <c r="F2076">
        <v>14.7</v>
      </c>
      <c r="G2076" t="s">
        <v>101</v>
      </c>
      <c r="H2076" t="s">
        <v>295</v>
      </c>
      <c r="I2076" t="s">
        <v>32</v>
      </c>
      <c r="J2076">
        <v>240</v>
      </c>
      <c r="K2076" t="s">
        <v>33</v>
      </c>
      <c r="L2076" t="s">
        <v>96</v>
      </c>
      <c r="M2076" t="s">
        <v>35</v>
      </c>
      <c r="N2076" t="s">
        <v>134</v>
      </c>
      <c r="O2076" t="s">
        <v>51</v>
      </c>
      <c r="P2076" t="s">
        <v>38</v>
      </c>
      <c r="Q2076" t="s">
        <v>38</v>
      </c>
      <c r="R2076">
        <v>1</v>
      </c>
      <c r="S2076" t="s">
        <v>38</v>
      </c>
      <c r="T2076">
        <v>6</v>
      </c>
      <c r="U2076">
        <v>3.9</v>
      </c>
      <c r="V2076">
        <v>12.8</v>
      </c>
      <c r="W2076" t="s">
        <v>39</v>
      </c>
      <c r="X2076" t="s">
        <v>52</v>
      </c>
      <c r="Y2076" t="s">
        <v>39</v>
      </c>
      <c r="Z2076" t="s">
        <v>41</v>
      </c>
      <c r="AA2076" t="s">
        <v>109</v>
      </c>
      <c r="AB2076" t="s">
        <v>83</v>
      </c>
      <c r="AC2076">
        <f t="shared" si="352"/>
        <v>1</v>
      </c>
      <c r="AD2076" s="12">
        <f t="shared" si="356"/>
        <v>0</v>
      </c>
      <c r="AE2076" s="12">
        <f t="shared" si="357"/>
        <v>0</v>
      </c>
      <c r="AF2076">
        <f t="shared" si="353"/>
        <v>1</v>
      </c>
      <c r="AG2076">
        <f t="shared" si="358"/>
        <v>0</v>
      </c>
      <c r="AH2076">
        <f t="shared" si="359"/>
        <v>0</v>
      </c>
      <c r="AI2076">
        <f t="shared" si="360"/>
        <v>0</v>
      </c>
      <c r="AJ2076">
        <f t="shared" si="361"/>
        <v>1</v>
      </c>
      <c r="AK2076">
        <f t="shared" si="354"/>
        <v>0</v>
      </c>
      <c r="AL2076">
        <f t="shared" si="362"/>
        <v>0</v>
      </c>
    </row>
    <row r="2077" spans="1:38">
      <c r="A2077" t="s">
        <v>6358</v>
      </c>
      <c r="B2077" t="s">
        <v>6359</v>
      </c>
      <c r="C2077" s="1">
        <f t="shared" si="355"/>
        <v>45323</v>
      </c>
      <c r="D2077" t="s">
        <v>6360</v>
      </c>
      <c r="E2077">
        <v>109.1</v>
      </c>
      <c r="F2077">
        <v>4.5</v>
      </c>
      <c r="G2077" t="s">
        <v>101</v>
      </c>
      <c r="H2077" t="s">
        <v>295</v>
      </c>
      <c r="I2077" t="s">
        <v>48</v>
      </c>
      <c r="J2077">
        <v>120</v>
      </c>
      <c r="K2077" t="s">
        <v>49</v>
      </c>
      <c r="L2077" t="s">
        <v>70</v>
      </c>
      <c r="M2077" t="s">
        <v>71</v>
      </c>
      <c r="N2077" t="s">
        <v>164</v>
      </c>
      <c r="O2077" t="s">
        <v>37</v>
      </c>
      <c r="P2077" t="s">
        <v>38</v>
      </c>
      <c r="Q2077" t="s">
        <v>39</v>
      </c>
      <c r="R2077">
        <v>1</v>
      </c>
      <c r="S2077" t="s">
        <v>38</v>
      </c>
      <c r="T2077">
        <v>6</v>
      </c>
      <c r="U2077">
        <v>1.8</v>
      </c>
      <c r="V2077">
        <v>2.2000000000000002</v>
      </c>
      <c r="W2077" t="s">
        <v>39</v>
      </c>
      <c r="X2077" t="s">
        <v>63</v>
      </c>
      <c r="Y2077" t="s">
        <v>39</v>
      </c>
      <c r="Z2077" t="s">
        <v>73</v>
      </c>
      <c r="AA2077" t="s">
        <v>109</v>
      </c>
      <c r="AB2077" t="s">
        <v>55</v>
      </c>
      <c r="AC2077">
        <f t="shared" si="352"/>
        <v>0</v>
      </c>
      <c r="AD2077" s="12">
        <f t="shared" si="356"/>
        <v>1</v>
      </c>
      <c r="AE2077" s="12">
        <f t="shared" si="357"/>
        <v>0</v>
      </c>
      <c r="AF2077">
        <f t="shared" si="353"/>
        <v>0</v>
      </c>
      <c r="AG2077">
        <f t="shared" si="358"/>
        <v>0</v>
      </c>
      <c r="AH2077">
        <f t="shared" si="359"/>
        <v>1</v>
      </c>
      <c r="AI2077">
        <f t="shared" si="360"/>
        <v>0</v>
      </c>
      <c r="AJ2077">
        <f t="shared" si="361"/>
        <v>0</v>
      </c>
      <c r="AK2077">
        <f t="shared" si="354"/>
        <v>0</v>
      </c>
      <c r="AL2077">
        <f t="shared" si="362"/>
        <v>0</v>
      </c>
    </row>
    <row r="2078" spans="1:38">
      <c r="A2078" t="s">
        <v>6361</v>
      </c>
      <c r="B2078" t="s">
        <v>6362</v>
      </c>
      <c r="C2078" s="1">
        <f t="shared" si="355"/>
        <v>45383</v>
      </c>
      <c r="D2078" t="s">
        <v>6363</v>
      </c>
      <c r="E2078">
        <v>181.2</v>
      </c>
      <c r="F2078">
        <v>7.6</v>
      </c>
      <c r="G2078" t="s">
        <v>59</v>
      </c>
      <c r="H2078" t="s">
        <v>60</v>
      </c>
      <c r="I2078" t="s">
        <v>32</v>
      </c>
      <c r="J2078">
        <v>240</v>
      </c>
      <c r="K2078" t="s">
        <v>49</v>
      </c>
      <c r="L2078" t="s">
        <v>96</v>
      </c>
      <c r="M2078" t="s">
        <v>71</v>
      </c>
      <c r="N2078" t="s">
        <v>506</v>
      </c>
      <c r="O2078" t="s">
        <v>51</v>
      </c>
      <c r="P2078" t="s">
        <v>38</v>
      </c>
      <c r="Q2078" t="s">
        <v>39</v>
      </c>
      <c r="R2078">
        <v>1</v>
      </c>
      <c r="S2078" t="s">
        <v>39</v>
      </c>
      <c r="T2078">
        <v>10</v>
      </c>
      <c r="U2078">
        <v>2.2999999999999998</v>
      </c>
      <c r="V2078">
        <v>13.8</v>
      </c>
      <c r="W2078" t="s">
        <v>39</v>
      </c>
      <c r="X2078" t="s">
        <v>52</v>
      </c>
      <c r="Y2078" t="s">
        <v>39</v>
      </c>
      <c r="Z2078" t="s">
        <v>108</v>
      </c>
      <c r="AA2078" t="s">
        <v>54</v>
      </c>
      <c r="AB2078" t="s">
        <v>55</v>
      </c>
      <c r="AC2078">
        <f t="shared" si="352"/>
        <v>1</v>
      </c>
      <c r="AD2078" s="12">
        <f t="shared" si="356"/>
        <v>0</v>
      </c>
      <c r="AE2078" s="12">
        <f t="shared" si="357"/>
        <v>0</v>
      </c>
      <c r="AF2078">
        <f t="shared" si="353"/>
        <v>1</v>
      </c>
      <c r="AG2078">
        <f t="shared" si="358"/>
        <v>0</v>
      </c>
      <c r="AH2078">
        <f t="shared" si="359"/>
        <v>0</v>
      </c>
      <c r="AI2078">
        <f t="shared" si="360"/>
        <v>0</v>
      </c>
      <c r="AJ2078">
        <f t="shared" si="361"/>
        <v>1</v>
      </c>
      <c r="AK2078">
        <f t="shared" si="354"/>
        <v>0</v>
      </c>
      <c r="AL2078">
        <f t="shared" si="362"/>
        <v>0</v>
      </c>
    </row>
    <row r="2079" spans="1:38">
      <c r="A2079" t="s">
        <v>6364</v>
      </c>
      <c r="B2079" t="s">
        <v>6365</v>
      </c>
      <c r="C2079" s="1">
        <f t="shared" si="355"/>
        <v>45474</v>
      </c>
      <c r="D2079" t="s">
        <v>6366</v>
      </c>
      <c r="E2079">
        <v>261.2</v>
      </c>
      <c r="F2079">
        <v>10.9</v>
      </c>
      <c r="G2079" t="s">
        <v>68</v>
      </c>
      <c r="H2079" t="s">
        <v>456</v>
      </c>
      <c r="I2079" t="s">
        <v>32</v>
      </c>
      <c r="J2079">
        <v>240</v>
      </c>
      <c r="K2079" t="s">
        <v>33</v>
      </c>
      <c r="L2079" t="s">
        <v>133</v>
      </c>
      <c r="M2079" t="s">
        <v>35</v>
      </c>
      <c r="N2079" t="s">
        <v>506</v>
      </c>
      <c r="O2079" t="s">
        <v>37</v>
      </c>
      <c r="P2079" t="s">
        <v>38</v>
      </c>
      <c r="Q2079" t="s">
        <v>38</v>
      </c>
      <c r="R2079">
        <v>1</v>
      </c>
      <c r="S2079" t="s">
        <v>38</v>
      </c>
      <c r="T2079">
        <v>4</v>
      </c>
      <c r="U2079">
        <v>1.1000000000000001</v>
      </c>
      <c r="V2079">
        <v>0</v>
      </c>
      <c r="W2079" t="s">
        <v>38</v>
      </c>
      <c r="X2079" t="s">
        <v>63</v>
      </c>
      <c r="Y2079" t="s">
        <v>38</v>
      </c>
      <c r="Z2079" t="s">
        <v>64</v>
      </c>
      <c r="AA2079" t="s">
        <v>103</v>
      </c>
      <c r="AB2079" t="s">
        <v>55</v>
      </c>
      <c r="AC2079">
        <f t="shared" si="352"/>
        <v>0</v>
      </c>
      <c r="AD2079" s="12">
        <f t="shared" si="356"/>
        <v>1</v>
      </c>
      <c r="AE2079" s="12">
        <f t="shared" si="357"/>
        <v>0</v>
      </c>
      <c r="AF2079">
        <f t="shared" si="353"/>
        <v>0</v>
      </c>
      <c r="AG2079">
        <f t="shared" si="358"/>
        <v>0</v>
      </c>
      <c r="AH2079">
        <f t="shared" si="359"/>
        <v>0</v>
      </c>
      <c r="AI2079">
        <f t="shared" si="360"/>
        <v>0</v>
      </c>
      <c r="AJ2079">
        <f t="shared" si="361"/>
        <v>1</v>
      </c>
      <c r="AK2079">
        <f t="shared" si="354"/>
        <v>0</v>
      </c>
      <c r="AL2079">
        <f t="shared" si="362"/>
        <v>1</v>
      </c>
    </row>
    <row r="2080" spans="1:38">
      <c r="A2080" t="s">
        <v>6367</v>
      </c>
      <c r="B2080" t="s">
        <v>6368</v>
      </c>
      <c r="C2080" s="1">
        <f t="shared" si="355"/>
        <v>45474</v>
      </c>
      <c r="D2080" t="s">
        <v>6369</v>
      </c>
      <c r="E2080">
        <v>432.5</v>
      </c>
      <c r="F2080">
        <v>18</v>
      </c>
      <c r="G2080" t="s">
        <v>93</v>
      </c>
      <c r="H2080" t="s">
        <v>449</v>
      </c>
      <c r="I2080" t="s">
        <v>32</v>
      </c>
      <c r="J2080">
        <v>240</v>
      </c>
      <c r="K2080" t="s">
        <v>33</v>
      </c>
      <c r="L2080" t="s">
        <v>34</v>
      </c>
      <c r="M2080" t="s">
        <v>35</v>
      </c>
      <c r="N2080" t="s">
        <v>506</v>
      </c>
      <c r="O2080" t="s">
        <v>51</v>
      </c>
      <c r="P2080" t="s">
        <v>38</v>
      </c>
      <c r="Q2080" t="s">
        <v>38</v>
      </c>
      <c r="R2080">
        <v>1</v>
      </c>
      <c r="S2080" t="s">
        <v>38</v>
      </c>
      <c r="T2080">
        <v>3</v>
      </c>
      <c r="U2080">
        <v>0.1</v>
      </c>
      <c r="V2080">
        <v>6.1</v>
      </c>
      <c r="W2080" t="s">
        <v>39</v>
      </c>
      <c r="X2080" t="s">
        <v>123</v>
      </c>
      <c r="Y2080" t="s">
        <v>38</v>
      </c>
      <c r="Z2080" t="s">
        <v>108</v>
      </c>
      <c r="AA2080" t="s">
        <v>42</v>
      </c>
      <c r="AB2080" t="s">
        <v>83</v>
      </c>
      <c r="AC2080">
        <f t="shared" si="352"/>
        <v>0</v>
      </c>
      <c r="AD2080" s="12">
        <f t="shared" si="356"/>
        <v>0</v>
      </c>
      <c r="AE2080" s="12">
        <f t="shared" si="357"/>
        <v>1</v>
      </c>
      <c r="AF2080">
        <f t="shared" si="353"/>
        <v>1</v>
      </c>
      <c r="AG2080">
        <f t="shared" si="358"/>
        <v>0</v>
      </c>
      <c r="AH2080">
        <f t="shared" si="359"/>
        <v>0</v>
      </c>
      <c r="AI2080">
        <f t="shared" si="360"/>
        <v>0</v>
      </c>
      <c r="AJ2080">
        <f t="shared" si="361"/>
        <v>1</v>
      </c>
      <c r="AK2080">
        <f t="shared" si="354"/>
        <v>0</v>
      </c>
      <c r="AL2080">
        <f t="shared" si="362"/>
        <v>1</v>
      </c>
    </row>
    <row r="2081" spans="1:38">
      <c r="A2081" t="s">
        <v>6370</v>
      </c>
      <c r="B2081" t="s">
        <v>6371</v>
      </c>
      <c r="C2081" s="1">
        <f t="shared" si="355"/>
        <v>45505</v>
      </c>
      <c r="D2081" t="s">
        <v>6372</v>
      </c>
      <c r="E2081">
        <v>227.2</v>
      </c>
      <c r="F2081">
        <v>9.5</v>
      </c>
      <c r="G2081" t="s">
        <v>77</v>
      </c>
      <c r="H2081" t="s">
        <v>267</v>
      </c>
      <c r="I2081" t="s">
        <v>32</v>
      </c>
      <c r="J2081">
        <v>240</v>
      </c>
      <c r="K2081" t="s">
        <v>49</v>
      </c>
      <c r="L2081" t="s">
        <v>96</v>
      </c>
      <c r="M2081" t="s">
        <v>35</v>
      </c>
      <c r="N2081" t="s">
        <v>138</v>
      </c>
      <c r="O2081" t="s">
        <v>7232</v>
      </c>
      <c r="P2081" t="s">
        <v>38</v>
      </c>
      <c r="Q2081" t="s">
        <v>38</v>
      </c>
      <c r="R2081">
        <v>1</v>
      </c>
      <c r="S2081" t="s">
        <v>38</v>
      </c>
      <c r="T2081">
        <v>9</v>
      </c>
      <c r="U2081">
        <v>2.2999999999999998</v>
      </c>
      <c r="V2081">
        <v>17.100000000000001</v>
      </c>
      <c r="W2081" t="s">
        <v>39</v>
      </c>
      <c r="X2081" t="s">
        <v>123</v>
      </c>
      <c r="Y2081" t="s">
        <v>39</v>
      </c>
      <c r="Z2081" t="s">
        <v>41</v>
      </c>
      <c r="AA2081" t="s">
        <v>42</v>
      </c>
      <c r="AB2081" t="s">
        <v>43</v>
      </c>
      <c r="AC2081">
        <f t="shared" si="352"/>
        <v>0</v>
      </c>
      <c r="AD2081" s="12">
        <f t="shared" si="356"/>
        <v>0</v>
      </c>
      <c r="AE2081" s="12">
        <f t="shared" si="357"/>
        <v>1</v>
      </c>
      <c r="AF2081">
        <f t="shared" si="353"/>
        <v>0</v>
      </c>
      <c r="AG2081">
        <f t="shared" si="358"/>
        <v>1</v>
      </c>
      <c r="AH2081">
        <f t="shared" si="359"/>
        <v>0</v>
      </c>
      <c r="AI2081">
        <f t="shared" si="360"/>
        <v>0</v>
      </c>
      <c r="AJ2081">
        <f t="shared" si="361"/>
        <v>1</v>
      </c>
      <c r="AK2081">
        <f t="shared" si="354"/>
        <v>0</v>
      </c>
      <c r="AL2081">
        <f t="shared" si="362"/>
        <v>0</v>
      </c>
    </row>
    <row r="2082" spans="1:38">
      <c r="A2082" t="s">
        <v>6373</v>
      </c>
      <c r="B2082" t="s">
        <v>6374</v>
      </c>
      <c r="C2082" s="1">
        <f t="shared" si="355"/>
        <v>45566</v>
      </c>
      <c r="D2082" t="s">
        <v>6375</v>
      </c>
      <c r="E2082">
        <v>201.2</v>
      </c>
      <c r="F2082">
        <v>8.4</v>
      </c>
      <c r="G2082" t="s">
        <v>93</v>
      </c>
      <c r="H2082" t="s">
        <v>94</v>
      </c>
      <c r="I2082" t="s">
        <v>32</v>
      </c>
      <c r="J2082">
        <v>240</v>
      </c>
      <c r="K2082" t="s">
        <v>49</v>
      </c>
      <c r="L2082" t="s">
        <v>34</v>
      </c>
      <c r="M2082" t="s">
        <v>35</v>
      </c>
      <c r="N2082" t="s">
        <v>97</v>
      </c>
      <c r="O2082" t="s">
        <v>37</v>
      </c>
      <c r="P2082" t="s">
        <v>38</v>
      </c>
      <c r="Q2082" t="s">
        <v>38</v>
      </c>
      <c r="R2082">
        <v>1</v>
      </c>
      <c r="S2082" t="s">
        <v>39</v>
      </c>
      <c r="T2082">
        <v>10</v>
      </c>
      <c r="U2082">
        <v>2.9</v>
      </c>
      <c r="V2082">
        <v>22.3</v>
      </c>
      <c r="W2082" t="s">
        <v>39</v>
      </c>
      <c r="X2082" t="s">
        <v>63</v>
      </c>
      <c r="Y2082" t="s">
        <v>38</v>
      </c>
      <c r="Z2082" t="s">
        <v>64</v>
      </c>
      <c r="AA2082" t="s">
        <v>109</v>
      </c>
      <c r="AB2082" t="s">
        <v>55</v>
      </c>
      <c r="AC2082">
        <f t="shared" si="352"/>
        <v>0</v>
      </c>
      <c r="AD2082" s="12">
        <f t="shared" si="356"/>
        <v>1</v>
      </c>
      <c r="AE2082" s="12">
        <f t="shared" si="357"/>
        <v>0</v>
      </c>
      <c r="AF2082">
        <f t="shared" si="353"/>
        <v>0</v>
      </c>
      <c r="AG2082">
        <f t="shared" si="358"/>
        <v>0</v>
      </c>
      <c r="AH2082">
        <f t="shared" si="359"/>
        <v>0</v>
      </c>
      <c r="AI2082">
        <f t="shared" si="360"/>
        <v>0</v>
      </c>
      <c r="AJ2082">
        <f t="shared" si="361"/>
        <v>1</v>
      </c>
      <c r="AK2082">
        <f t="shared" si="354"/>
        <v>0</v>
      </c>
      <c r="AL2082">
        <f t="shared" si="362"/>
        <v>1</v>
      </c>
    </row>
    <row r="2083" spans="1:38">
      <c r="A2083" t="s">
        <v>6376</v>
      </c>
      <c r="B2083" t="s">
        <v>6377</v>
      </c>
      <c r="C2083" s="1">
        <f t="shared" si="355"/>
        <v>45413</v>
      </c>
      <c r="D2083" t="s">
        <v>6378</v>
      </c>
      <c r="E2083">
        <v>74.3</v>
      </c>
      <c r="F2083">
        <v>3.1</v>
      </c>
      <c r="G2083" t="s">
        <v>59</v>
      </c>
      <c r="H2083" t="s">
        <v>60</v>
      </c>
      <c r="I2083" t="s">
        <v>48</v>
      </c>
      <c r="J2083">
        <v>120</v>
      </c>
      <c r="K2083" t="s">
        <v>49</v>
      </c>
      <c r="L2083" t="s">
        <v>70</v>
      </c>
      <c r="M2083" t="s">
        <v>35</v>
      </c>
      <c r="N2083" t="s">
        <v>80</v>
      </c>
      <c r="O2083" t="s">
        <v>37</v>
      </c>
      <c r="P2083" t="s">
        <v>38</v>
      </c>
      <c r="Q2083" t="s">
        <v>38</v>
      </c>
      <c r="R2083">
        <v>1</v>
      </c>
      <c r="S2083" t="s">
        <v>39</v>
      </c>
      <c r="T2083">
        <v>8</v>
      </c>
      <c r="U2083">
        <v>6.1</v>
      </c>
      <c r="V2083">
        <v>13.5</v>
      </c>
      <c r="W2083" t="s">
        <v>39</v>
      </c>
      <c r="X2083" t="s">
        <v>63</v>
      </c>
      <c r="Y2083" t="s">
        <v>38</v>
      </c>
      <c r="Z2083" t="s">
        <v>115</v>
      </c>
      <c r="AA2083" t="s">
        <v>109</v>
      </c>
      <c r="AB2083" t="s">
        <v>83</v>
      </c>
      <c r="AC2083">
        <f t="shared" si="352"/>
        <v>0</v>
      </c>
      <c r="AD2083" s="12">
        <f t="shared" si="356"/>
        <v>1</v>
      </c>
      <c r="AE2083" s="12">
        <f t="shared" si="357"/>
        <v>0</v>
      </c>
      <c r="AF2083">
        <f t="shared" si="353"/>
        <v>0</v>
      </c>
      <c r="AG2083">
        <f t="shared" si="358"/>
        <v>0</v>
      </c>
      <c r="AH2083">
        <f t="shared" si="359"/>
        <v>1</v>
      </c>
      <c r="AI2083">
        <f t="shared" si="360"/>
        <v>0</v>
      </c>
      <c r="AJ2083">
        <f t="shared" si="361"/>
        <v>0</v>
      </c>
      <c r="AK2083">
        <f t="shared" si="354"/>
        <v>0</v>
      </c>
      <c r="AL2083">
        <f t="shared" si="362"/>
        <v>1</v>
      </c>
    </row>
    <row r="2084" spans="1:38">
      <c r="A2084" t="s">
        <v>6379</v>
      </c>
      <c r="B2084" t="s">
        <v>6380</v>
      </c>
      <c r="C2084" s="1">
        <f t="shared" si="355"/>
        <v>45413</v>
      </c>
      <c r="D2084" t="s">
        <v>6381</v>
      </c>
      <c r="E2084">
        <v>334.7</v>
      </c>
      <c r="F2084">
        <v>13.9</v>
      </c>
      <c r="G2084" t="s">
        <v>142</v>
      </c>
      <c r="H2084" t="s">
        <v>143</v>
      </c>
      <c r="I2084" t="s">
        <v>32</v>
      </c>
      <c r="J2084">
        <v>240</v>
      </c>
      <c r="K2084" t="s">
        <v>33</v>
      </c>
      <c r="L2084" t="s">
        <v>70</v>
      </c>
      <c r="M2084" t="s">
        <v>71</v>
      </c>
      <c r="N2084" t="s">
        <v>299</v>
      </c>
      <c r="O2084" t="s">
        <v>7232</v>
      </c>
      <c r="P2084" t="s">
        <v>38</v>
      </c>
      <c r="Q2084" t="s">
        <v>39</v>
      </c>
      <c r="R2084">
        <v>2</v>
      </c>
      <c r="S2084" t="s">
        <v>39</v>
      </c>
      <c r="T2084">
        <v>6</v>
      </c>
      <c r="U2084">
        <v>2.2999999999999998</v>
      </c>
      <c r="V2084">
        <v>24.1</v>
      </c>
      <c r="W2084" t="s">
        <v>38</v>
      </c>
      <c r="X2084" t="s">
        <v>123</v>
      </c>
      <c r="Y2084" t="s">
        <v>39</v>
      </c>
      <c r="Z2084" t="s">
        <v>64</v>
      </c>
      <c r="AA2084" t="s">
        <v>54</v>
      </c>
      <c r="AB2084" t="s">
        <v>83</v>
      </c>
      <c r="AC2084">
        <f t="shared" si="352"/>
        <v>0</v>
      </c>
      <c r="AD2084" s="12">
        <f t="shared" si="356"/>
        <v>0</v>
      </c>
      <c r="AE2084" s="12">
        <f t="shared" si="357"/>
        <v>1</v>
      </c>
      <c r="AF2084">
        <f t="shared" si="353"/>
        <v>0</v>
      </c>
      <c r="AG2084">
        <f t="shared" si="358"/>
        <v>1</v>
      </c>
      <c r="AH2084">
        <f t="shared" si="359"/>
        <v>0</v>
      </c>
      <c r="AI2084">
        <f t="shared" si="360"/>
        <v>0</v>
      </c>
      <c r="AJ2084">
        <f t="shared" si="361"/>
        <v>1</v>
      </c>
      <c r="AK2084">
        <f t="shared" si="354"/>
        <v>0</v>
      </c>
      <c r="AL2084">
        <f t="shared" si="362"/>
        <v>0</v>
      </c>
    </row>
    <row r="2085" spans="1:38">
      <c r="A2085" t="s">
        <v>6382</v>
      </c>
      <c r="B2085" t="s">
        <v>6383</v>
      </c>
      <c r="C2085" s="1">
        <f t="shared" si="355"/>
        <v>45566</v>
      </c>
      <c r="D2085" t="s">
        <v>6384</v>
      </c>
      <c r="E2085">
        <v>158.19999999999999</v>
      </c>
      <c r="F2085">
        <v>6.6</v>
      </c>
      <c r="G2085" t="s">
        <v>30</v>
      </c>
      <c r="H2085" t="s">
        <v>172</v>
      </c>
      <c r="I2085" t="s">
        <v>32</v>
      </c>
      <c r="J2085">
        <v>240</v>
      </c>
      <c r="K2085" t="s">
        <v>49</v>
      </c>
      <c r="L2085" t="s">
        <v>96</v>
      </c>
      <c r="M2085" t="s">
        <v>35</v>
      </c>
      <c r="N2085" t="s">
        <v>188</v>
      </c>
      <c r="O2085" t="s">
        <v>51</v>
      </c>
      <c r="P2085" t="s">
        <v>39</v>
      </c>
      <c r="Q2085" t="s">
        <v>38</v>
      </c>
      <c r="R2085">
        <v>0</v>
      </c>
      <c r="S2085" t="s">
        <v>38</v>
      </c>
      <c r="T2085">
        <v>7</v>
      </c>
      <c r="U2085">
        <v>1.9</v>
      </c>
      <c r="V2085">
        <v>35.200000000000003</v>
      </c>
      <c r="W2085" t="s">
        <v>38</v>
      </c>
      <c r="X2085" t="s">
        <v>63</v>
      </c>
      <c r="Y2085" t="s">
        <v>39</v>
      </c>
      <c r="Z2085" t="s">
        <v>115</v>
      </c>
      <c r="AA2085" t="s">
        <v>103</v>
      </c>
      <c r="AB2085" t="s">
        <v>83</v>
      </c>
      <c r="AC2085">
        <f t="shared" si="352"/>
        <v>0</v>
      </c>
      <c r="AD2085" s="12">
        <f t="shared" si="356"/>
        <v>1</v>
      </c>
      <c r="AE2085" s="12">
        <f t="shared" si="357"/>
        <v>0</v>
      </c>
      <c r="AF2085">
        <f t="shared" si="353"/>
        <v>1</v>
      </c>
      <c r="AG2085">
        <f t="shared" si="358"/>
        <v>0</v>
      </c>
      <c r="AH2085">
        <f t="shared" si="359"/>
        <v>0</v>
      </c>
      <c r="AI2085">
        <f t="shared" si="360"/>
        <v>0</v>
      </c>
      <c r="AJ2085">
        <f t="shared" si="361"/>
        <v>1</v>
      </c>
      <c r="AK2085">
        <f t="shared" si="354"/>
        <v>1</v>
      </c>
      <c r="AL2085">
        <f t="shared" si="362"/>
        <v>0</v>
      </c>
    </row>
    <row r="2086" spans="1:38">
      <c r="A2086" t="s">
        <v>6385</v>
      </c>
      <c r="B2086" t="s">
        <v>6386</v>
      </c>
      <c r="C2086" s="1">
        <f t="shared" si="355"/>
        <v>45597</v>
      </c>
      <c r="D2086" t="s">
        <v>6387</v>
      </c>
      <c r="E2086">
        <v>224.5</v>
      </c>
      <c r="F2086">
        <v>9.4</v>
      </c>
      <c r="G2086" t="s">
        <v>68</v>
      </c>
      <c r="H2086" t="s">
        <v>456</v>
      </c>
      <c r="I2086" t="s">
        <v>32</v>
      </c>
      <c r="J2086">
        <v>240</v>
      </c>
      <c r="K2086" t="s">
        <v>49</v>
      </c>
      <c r="L2086" t="s">
        <v>96</v>
      </c>
      <c r="M2086" t="s">
        <v>35</v>
      </c>
      <c r="N2086" t="s">
        <v>128</v>
      </c>
      <c r="O2086" t="s">
        <v>7232</v>
      </c>
      <c r="P2086" t="s">
        <v>39</v>
      </c>
      <c r="Q2086" t="s">
        <v>38</v>
      </c>
      <c r="R2086">
        <v>0</v>
      </c>
      <c r="S2086" t="s">
        <v>39</v>
      </c>
      <c r="T2086">
        <v>10</v>
      </c>
      <c r="U2086">
        <v>0.9</v>
      </c>
      <c r="V2086">
        <v>24</v>
      </c>
      <c r="W2086" t="s">
        <v>39</v>
      </c>
      <c r="X2086" t="s">
        <v>63</v>
      </c>
      <c r="Y2086" t="s">
        <v>38</v>
      </c>
      <c r="Z2086" t="s">
        <v>81</v>
      </c>
      <c r="AA2086" t="s">
        <v>42</v>
      </c>
      <c r="AB2086" t="s">
        <v>55</v>
      </c>
      <c r="AC2086">
        <f t="shared" si="352"/>
        <v>0</v>
      </c>
      <c r="AD2086" s="12">
        <f t="shared" si="356"/>
        <v>1</v>
      </c>
      <c r="AE2086" s="12">
        <f t="shared" si="357"/>
        <v>0</v>
      </c>
      <c r="AF2086">
        <f t="shared" si="353"/>
        <v>0</v>
      </c>
      <c r="AG2086">
        <f t="shared" si="358"/>
        <v>1</v>
      </c>
      <c r="AH2086">
        <f t="shared" si="359"/>
        <v>0</v>
      </c>
      <c r="AI2086">
        <f t="shared" si="360"/>
        <v>0</v>
      </c>
      <c r="AJ2086">
        <f t="shared" si="361"/>
        <v>1</v>
      </c>
      <c r="AK2086">
        <f t="shared" si="354"/>
        <v>0</v>
      </c>
      <c r="AL2086">
        <f t="shared" si="362"/>
        <v>1</v>
      </c>
    </row>
    <row r="2087" spans="1:38">
      <c r="A2087" t="s">
        <v>6388</v>
      </c>
      <c r="B2087" t="s">
        <v>6389</v>
      </c>
      <c r="C2087" s="1">
        <f t="shared" si="355"/>
        <v>45566</v>
      </c>
      <c r="D2087" t="s">
        <v>6390</v>
      </c>
      <c r="E2087">
        <v>248.2</v>
      </c>
      <c r="F2087">
        <v>10.3</v>
      </c>
      <c r="G2087" t="s">
        <v>142</v>
      </c>
      <c r="H2087" t="s">
        <v>729</v>
      </c>
      <c r="I2087" t="s">
        <v>32</v>
      </c>
      <c r="J2087">
        <v>240</v>
      </c>
      <c r="K2087" t="s">
        <v>33</v>
      </c>
      <c r="L2087" t="s">
        <v>70</v>
      </c>
      <c r="M2087" t="s">
        <v>71</v>
      </c>
      <c r="N2087" t="s">
        <v>97</v>
      </c>
      <c r="O2087" t="s">
        <v>7232</v>
      </c>
      <c r="P2087" t="s">
        <v>38</v>
      </c>
      <c r="Q2087" t="s">
        <v>39</v>
      </c>
      <c r="R2087">
        <v>4</v>
      </c>
      <c r="S2087" t="s">
        <v>38</v>
      </c>
      <c r="T2087">
        <v>7</v>
      </c>
      <c r="U2087">
        <v>2.4</v>
      </c>
      <c r="V2087">
        <v>7.2</v>
      </c>
      <c r="W2087" t="s">
        <v>39</v>
      </c>
      <c r="X2087" t="s">
        <v>123</v>
      </c>
      <c r="Y2087" t="s">
        <v>39</v>
      </c>
      <c r="Z2087" t="s">
        <v>115</v>
      </c>
      <c r="AA2087" t="s">
        <v>109</v>
      </c>
      <c r="AB2087" t="s">
        <v>55</v>
      </c>
      <c r="AC2087">
        <f t="shared" si="352"/>
        <v>0</v>
      </c>
      <c r="AD2087" s="12">
        <f t="shared" si="356"/>
        <v>0</v>
      </c>
      <c r="AE2087" s="12">
        <f t="shared" si="357"/>
        <v>1</v>
      </c>
      <c r="AF2087">
        <f t="shared" si="353"/>
        <v>0</v>
      </c>
      <c r="AG2087">
        <f t="shared" si="358"/>
        <v>1</v>
      </c>
      <c r="AH2087">
        <f t="shared" si="359"/>
        <v>0</v>
      </c>
      <c r="AI2087">
        <f t="shared" si="360"/>
        <v>0</v>
      </c>
      <c r="AJ2087">
        <f t="shared" si="361"/>
        <v>1</v>
      </c>
      <c r="AK2087">
        <f t="shared" si="354"/>
        <v>0</v>
      </c>
      <c r="AL2087">
        <f t="shared" si="362"/>
        <v>0</v>
      </c>
    </row>
    <row r="2088" spans="1:38">
      <c r="A2088" t="s">
        <v>6391</v>
      </c>
      <c r="B2088" t="s">
        <v>6392</v>
      </c>
      <c r="C2088" s="1">
        <f t="shared" si="355"/>
        <v>45292</v>
      </c>
      <c r="D2088" t="s">
        <v>6393</v>
      </c>
      <c r="E2088">
        <v>235.6</v>
      </c>
      <c r="F2088">
        <v>9.8000000000000007</v>
      </c>
      <c r="G2088" t="s">
        <v>77</v>
      </c>
      <c r="H2088" t="s">
        <v>244</v>
      </c>
      <c r="I2088" t="s">
        <v>79</v>
      </c>
      <c r="J2088">
        <v>360</v>
      </c>
      <c r="K2088" t="s">
        <v>49</v>
      </c>
      <c r="L2088" t="s">
        <v>96</v>
      </c>
      <c r="M2088" t="s">
        <v>35</v>
      </c>
      <c r="N2088" t="s">
        <v>97</v>
      </c>
      <c r="O2088" t="s">
        <v>7232</v>
      </c>
      <c r="P2088" t="s">
        <v>39</v>
      </c>
      <c r="Q2088" t="s">
        <v>38</v>
      </c>
      <c r="R2088">
        <v>0</v>
      </c>
      <c r="S2088" t="s">
        <v>38</v>
      </c>
      <c r="T2088">
        <v>10</v>
      </c>
      <c r="U2088">
        <v>3.7</v>
      </c>
      <c r="V2088">
        <v>4.7</v>
      </c>
      <c r="W2088" t="s">
        <v>39</v>
      </c>
      <c r="X2088" t="s">
        <v>52</v>
      </c>
      <c r="Y2088" t="s">
        <v>38</v>
      </c>
      <c r="Z2088" t="s">
        <v>179</v>
      </c>
      <c r="AA2088" t="s">
        <v>103</v>
      </c>
      <c r="AB2088" t="s">
        <v>55</v>
      </c>
      <c r="AC2088">
        <f t="shared" si="352"/>
        <v>1</v>
      </c>
      <c r="AD2088" s="12">
        <f t="shared" si="356"/>
        <v>0</v>
      </c>
      <c r="AE2088" s="12">
        <f t="shared" si="357"/>
        <v>0</v>
      </c>
      <c r="AF2088">
        <f t="shared" si="353"/>
        <v>0</v>
      </c>
      <c r="AG2088">
        <f t="shared" si="358"/>
        <v>1</v>
      </c>
      <c r="AH2088">
        <f t="shared" si="359"/>
        <v>0</v>
      </c>
      <c r="AI2088">
        <f t="shared" si="360"/>
        <v>0</v>
      </c>
      <c r="AJ2088">
        <f t="shared" si="361"/>
        <v>0</v>
      </c>
      <c r="AK2088">
        <f t="shared" si="354"/>
        <v>0</v>
      </c>
      <c r="AL2088">
        <f t="shared" si="362"/>
        <v>1</v>
      </c>
    </row>
    <row r="2089" spans="1:38">
      <c r="A2089" t="s">
        <v>6394</v>
      </c>
      <c r="B2089" t="s">
        <v>6395</v>
      </c>
      <c r="C2089" s="1">
        <f t="shared" si="355"/>
        <v>45566</v>
      </c>
      <c r="D2089" t="s">
        <v>6396</v>
      </c>
      <c r="E2089">
        <v>280.3</v>
      </c>
      <c r="F2089">
        <v>11.7</v>
      </c>
      <c r="G2089" t="s">
        <v>77</v>
      </c>
      <c r="H2089" t="s">
        <v>78</v>
      </c>
      <c r="I2089" t="s">
        <v>79</v>
      </c>
      <c r="J2089">
        <v>360</v>
      </c>
      <c r="K2089" t="s">
        <v>49</v>
      </c>
      <c r="L2089" t="s">
        <v>96</v>
      </c>
      <c r="M2089" t="s">
        <v>35</v>
      </c>
      <c r="N2089" t="s">
        <v>138</v>
      </c>
      <c r="O2089" t="s">
        <v>7232</v>
      </c>
      <c r="P2089" t="s">
        <v>39</v>
      </c>
      <c r="Q2089" t="s">
        <v>38</v>
      </c>
      <c r="R2089">
        <v>0</v>
      </c>
      <c r="S2089" t="s">
        <v>38</v>
      </c>
      <c r="T2089">
        <v>10</v>
      </c>
      <c r="U2089">
        <v>1.6</v>
      </c>
      <c r="V2089">
        <v>48.3</v>
      </c>
      <c r="W2089" t="s">
        <v>39</v>
      </c>
      <c r="X2089" t="s">
        <v>52</v>
      </c>
      <c r="Y2089" t="s">
        <v>39</v>
      </c>
      <c r="Z2089" t="s">
        <v>64</v>
      </c>
      <c r="AA2089" t="s">
        <v>82</v>
      </c>
      <c r="AB2089" t="s">
        <v>55</v>
      </c>
      <c r="AC2089">
        <f t="shared" si="352"/>
        <v>1</v>
      </c>
      <c r="AD2089" s="12">
        <f t="shared" si="356"/>
        <v>0</v>
      </c>
      <c r="AE2089" s="12">
        <f t="shared" si="357"/>
        <v>0</v>
      </c>
      <c r="AF2089">
        <f t="shared" si="353"/>
        <v>0</v>
      </c>
      <c r="AG2089">
        <f t="shared" si="358"/>
        <v>1</v>
      </c>
      <c r="AH2089">
        <f t="shared" si="359"/>
        <v>0</v>
      </c>
      <c r="AI2089">
        <f t="shared" si="360"/>
        <v>0</v>
      </c>
      <c r="AJ2089">
        <f t="shared" si="361"/>
        <v>0</v>
      </c>
      <c r="AK2089">
        <f t="shared" si="354"/>
        <v>0</v>
      </c>
      <c r="AL2089">
        <f t="shared" si="362"/>
        <v>0</v>
      </c>
    </row>
    <row r="2090" spans="1:38">
      <c r="A2090" t="s">
        <v>6397</v>
      </c>
      <c r="B2090" t="s">
        <v>6398</v>
      </c>
      <c r="C2090" s="1">
        <f t="shared" si="355"/>
        <v>45383</v>
      </c>
      <c r="D2090" t="s">
        <v>6399</v>
      </c>
      <c r="E2090">
        <v>287.5</v>
      </c>
      <c r="F2090">
        <v>12</v>
      </c>
      <c r="G2090" t="s">
        <v>142</v>
      </c>
      <c r="H2090" t="s">
        <v>319</v>
      </c>
      <c r="I2090" t="s">
        <v>32</v>
      </c>
      <c r="J2090">
        <v>240</v>
      </c>
      <c r="K2090" t="s">
        <v>33</v>
      </c>
      <c r="L2090" t="s">
        <v>96</v>
      </c>
      <c r="M2090" t="s">
        <v>35</v>
      </c>
      <c r="N2090" t="s">
        <v>50</v>
      </c>
      <c r="O2090" t="s">
        <v>51</v>
      </c>
      <c r="P2090" t="s">
        <v>38</v>
      </c>
      <c r="Q2090" t="s">
        <v>38</v>
      </c>
      <c r="R2090">
        <v>1</v>
      </c>
      <c r="S2090" t="s">
        <v>39</v>
      </c>
      <c r="T2090">
        <v>8</v>
      </c>
      <c r="U2090">
        <v>2</v>
      </c>
      <c r="V2090">
        <v>0</v>
      </c>
      <c r="W2090" t="s">
        <v>38</v>
      </c>
      <c r="X2090" t="s">
        <v>63</v>
      </c>
      <c r="Y2090" t="s">
        <v>39</v>
      </c>
      <c r="Z2090" t="s">
        <v>108</v>
      </c>
      <c r="AA2090" t="s">
        <v>42</v>
      </c>
      <c r="AB2090" t="s">
        <v>43</v>
      </c>
      <c r="AC2090">
        <f t="shared" si="352"/>
        <v>0</v>
      </c>
      <c r="AD2090" s="12">
        <f t="shared" si="356"/>
        <v>1</v>
      </c>
      <c r="AE2090" s="12">
        <f t="shared" si="357"/>
        <v>0</v>
      </c>
      <c r="AF2090">
        <f t="shared" si="353"/>
        <v>1</v>
      </c>
      <c r="AG2090">
        <f t="shared" si="358"/>
        <v>0</v>
      </c>
      <c r="AH2090">
        <f t="shared" si="359"/>
        <v>0</v>
      </c>
      <c r="AI2090">
        <f t="shared" si="360"/>
        <v>0</v>
      </c>
      <c r="AJ2090">
        <f t="shared" si="361"/>
        <v>1</v>
      </c>
      <c r="AK2090">
        <f t="shared" si="354"/>
        <v>0</v>
      </c>
      <c r="AL2090">
        <f t="shared" si="362"/>
        <v>0</v>
      </c>
    </row>
    <row r="2091" spans="1:38">
      <c r="A2091" t="s">
        <v>6400</v>
      </c>
      <c r="B2091" t="s">
        <v>6401</v>
      </c>
      <c r="C2091" s="1">
        <f t="shared" si="355"/>
        <v>45474</v>
      </c>
      <c r="D2091" t="s">
        <v>6402</v>
      </c>
      <c r="E2091">
        <v>225.7</v>
      </c>
      <c r="F2091">
        <v>9.4</v>
      </c>
      <c r="G2091" t="s">
        <v>30</v>
      </c>
      <c r="H2091" t="s">
        <v>159</v>
      </c>
      <c r="I2091" t="s">
        <v>32</v>
      </c>
      <c r="J2091">
        <v>240</v>
      </c>
      <c r="K2091" t="s">
        <v>49</v>
      </c>
      <c r="L2091" t="s">
        <v>113</v>
      </c>
      <c r="M2091" t="s">
        <v>35</v>
      </c>
      <c r="N2091" t="s">
        <v>119</v>
      </c>
      <c r="O2091" t="s">
        <v>51</v>
      </c>
      <c r="P2091" t="s">
        <v>39</v>
      </c>
      <c r="Q2091" t="s">
        <v>38</v>
      </c>
      <c r="R2091">
        <v>0</v>
      </c>
      <c r="S2091" t="s">
        <v>38</v>
      </c>
      <c r="T2091">
        <v>10</v>
      </c>
      <c r="U2091">
        <v>3</v>
      </c>
      <c r="V2091">
        <v>10.199999999999999</v>
      </c>
      <c r="W2091" t="s">
        <v>38</v>
      </c>
      <c r="X2091" t="s">
        <v>52</v>
      </c>
      <c r="Y2091" t="s">
        <v>38</v>
      </c>
      <c r="Z2091" t="s">
        <v>115</v>
      </c>
      <c r="AA2091" t="s">
        <v>109</v>
      </c>
      <c r="AB2091" t="s">
        <v>83</v>
      </c>
      <c r="AC2091">
        <f t="shared" si="352"/>
        <v>1</v>
      </c>
      <c r="AD2091" s="12">
        <f t="shared" si="356"/>
        <v>0</v>
      </c>
      <c r="AE2091" s="12">
        <f t="shared" si="357"/>
        <v>0</v>
      </c>
      <c r="AF2091">
        <f t="shared" si="353"/>
        <v>1</v>
      </c>
      <c r="AG2091">
        <f t="shared" si="358"/>
        <v>0</v>
      </c>
      <c r="AH2091">
        <f t="shared" si="359"/>
        <v>0</v>
      </c>
      <c r="AI2091">
        <f t="shared" si="360"/>
        <v>0</v>
      </c>
      <c r="AJ2091">
        <f t="shared" si="361"/>
        <v>1</v>
      </c>
      <c r="AK2091">
        <f t="shared" si="354"/>
        <v>1</v>
      </c>
      <c r="AL2091">
        <f t="shared" si="362"/>
        <v>1</v>
      </c>
    </row>
    <row r="2092" spans="1:38">
      <c r="A2092" t="s">
        <v>6403</v>
      </c>
      <c r="B2092" t="s">
        <v>6404</v>
      </c>
      <c r="C2092" s="1">
        <f t="shared" si="355"/>
        <v>45383</v>
      </c>
      <c r="D2092" t="s">
        <v>6405</v>
      </c>
      <c r="E2092">
        <v>87.6</v>
      </c>
      <c r="F2092">
        <v>3.7</v>
      </c>
      <c r="G2092" t="s">
        <v>30</v>
      </c>
      <c r="H2092" t="s">
        <v>47</v>
      </c>
      <c r="I2092" t="s">
        <v>48</v>
      </c>
      <c r="J2092">
        <v>120</v>
      </c>
      <c r="K2092" t="s">
        <v>49</v>
      </c>
      <c r="L2092" t="s">
        <v>34</v>
      </c>
      <c r="M2092" t="s">
        <v>35</v>
      </c>
      <c r="N2092" t="s">
        <v>80</v>
      </c>
      <c r="O2092" t="s">
        <v>7232</v>
      </c>
      <c r="P2092" t="s">
        <v>38</v>
      </c>
      <c r="Q2092" t="s">
        <v>38</v>
      </c>
      <c r="R2092">
        <v>1</v>
      </c>
      <c r="S2092" t="s">
        <v>38</v>
      </c>
      <c r="T2092">
        <v>9</v>
      </c>
      <c r="U2092">
        <v>1.5</v>
      </c>
      <c r="V2092">
        <v>20.9</v>
      </c>
      <c r="W2092" t="s">
        <v>39</v>
      </c>
      <c r="X2092" t="s">
        <v>123</v>
      </c>
      <c r="Y2092" t="s">
        <v>39</v>
      </c>
      <c r="Z2092" t="s">
        <v>108</v>
      </c>
      <c r="AA2092" t="s">
        <v>109</v>
      </c>
      <c r="AB2092" t="s">
        <v>55</v>
      </c>
      <c r="AC2092">
        <f t="shared" si="352"/>
        <v>0</v>
      </c>
      <c r="AD2092" s="12">
        <f t="shared" si="356"/>
        <v>0</v>
      </c>
      <c r="AE2092" s="12">
        <f t="shared" si="357"/>
        <v>1</v>
      </c>
      <c r="AF2092">
        <f t="shared" si="353"/>
        <v>0</v>
      </c>
      <c r="AG2092">
        <f t="shared" si="358"/>
        <v>1</v>
      </c>
      <c r="AH2092">
        <f t="shared" si="359"/>
        <v>1</v>
      </c>
      <c r="AI2092">
        <f t="shared" si="360"/>
        <v>0</v>
      </c>
      <c r="AJ2092">
        <f t="shared" si="361"/>
        <v>0</v>
      </c>
      <c r="AK2092">
        <f t="shared" si="354"/>
        <v>1</v>
      </c>
      <c r="AL2092">
        <f t="shared" si="362"/>
        <v>0</v>
      </c>
    </row>
    <row r="2093" spans="1:38">
      <c r="A2093" t="s">
        <v>6406</v>
      </c>
      <c r="B2093" t="s">
        <v>6407</v>
      </c>
      <c r="C2093" s="1">
        <f t="shared" si="355"/>
        <v>45413</v>
      </c>
      <c r="D2093" t="s">
        <v>6408</v>
      </c>
      <c r="E2093">
        <v>221.5</v>
      </c>
      <c r="F2093">
        <v>9.1999999999999993</v>
      </c>
      <c r="G2093" t="s">
        <v>30</v>
      </c>
      <c r="H2093" t="s">
        <v>31</v>
      </c>
      <c r="I2093" t="s">
        <v>32</v>
      </c>
      <c r="J2093">
        <v>240</v>
      </c>
      <c r="K2093" t="s">
        <v>49</v>
      </c>
      <c r="L2093" t="s">
        <v>34</v>
      </c>
      <c r="M2093" t="s">
        <v>35</v>
      </c>
      <c r="N2093" t="s">
        <v>138</v>
      </c>
      <c r="O2093" t="s">
        <v>51</v>
      </c>
      <c r="P2093" t="s">
        <v>39</v>
      </c>
      <c r="Q2093" t="s">
        <v>38</v>
      </c>
      <c r="R2093">
        <v>0</v>
      </c>
      <c r="S2093" t="s">
        <v>38</v>
      </c>
      <c r="T2093">
        <v>10</v>
      </c>
      <c r="U2093">
        <v>1.8</v>
      </c>
      <c r="V2093">
        <v>0</v>
      </c>
      <c r="W2093" t="s">
        <v>39</v>
      </c>
      <c r="X2093" t="s">
        <v>52</v>
      </c>
      <c r="Y2093" t="s">
        <v>39</v>
      </c>
      <c r="Z2093" t="s">
        <v>115</v>
      </c>
      <c r="AA2093" t="s">
        <v>103</v>
      </c>
      <c r="AB2093" t="s">
        <v>55</v>
      </c>
      <c r="AC2093">
        <f t="shared" si="352"/>
        <v>1</v>
      </c>
      <c r="AD2093" s="12">
        <f t="shared" si="356"/>
        <v>0</v>
      </c>
      <c r="AE2093" s="12">
        <f t="shared" si="357"/>
        <v>0</v>
      </c>
      <c r="AF2093">
        <f t="shared" si="353"/>
        <v>1</v>
      </c>
      <c r="AG2093">
        <f t="shared" si="358"/>
        <v>0</v>
      </c>
      <c r="AH2093">
        <f t="shared" si="359"/>
        <v>0</v>
      </c>
      <c r="AI2093">
        <f t="shared" si="360"/>
        <v>0</v>
      </c>
      <c r="AJ2093">
        <f t="shared" si="361"/>
        <v>1</v>
      </c>
      <c r="AK2093">
        <f t="shared" si="354"/>
        <v>1</v>
      </c>
      <c r="AL2093">
        <f t="shared" si="362"/>
        <v>0</v>
      </c>
    </row>
    <row r="2094" spans="1:38">
      <c r="A2094" t="s">
        <v>6409</v>
      </c>
      <c r="B2094" t="s">
        <v>6410</v>
      </c>
      <c r="C2094" s="1">
        <f t="shared" si="355"/>
        <v>45536</v>
      </c>
      <c r="D2094" t="s">
        <v>6411</v>
      </c>
      <c r="E2094">
        <v>318.3</v>
      </c>
      <c r="F2094">
        <v>13.3</v>
      </c>
      <c r="G2094" t="s">
        <v>30</v>
      </c>
      <c r="H2094" t="s">
        <v>31</v>
      </c>
      <c r="I2094" t="s">
        <v>79</v>
      </c>
      <c r="J2094">
        <v>360</v>
      </c>
      <c r="K2094" t="s">
        <v>49</v>
      </c>
      <c r="L2094" t="s">
        <v>96</v>
      </c>
      <c r="M2094" t="s">
        <v>35</v>
      </c>
      <c r="N2094" t="s">
        <v>192</v>
      </c>
      <c r="O2094" t="s">
        <v>51</v>
      </c>
      <c r="P2094" t="s">
        <v>38</v>
      </c>
      <c r="Q2094" t="s">
        <v>38</v>
      </c>
      <c r="R2094">
        <v>1</v>
      </c>
      <c r="S2094" t="s">
        <v>38</v>
      </c>
      <c r="T2094">
        <v>10</v>
      </c>
      <c r="U2094">
        <v>2.2999999999999998</v>
      </c>
      <c r="V2094">
        <v>0</v>
      </c>
      <c r="W2094" t="s">
        <v>38</v>
      </c>
      <c r="X2094" t="s">
        <v>123</v>
      </c>
      <c r="Y2094" t="s">
        <v>39</v>
      </c>
      <c r="Z2094" t="s">
        <v>73</v>
      </c>
      <c r="AA2094" t="s">
        <v>109</v>
      </c>
      <c r="AB2094" t="s">
        <v>83</v>
      </c>
      <c r="AC2094">
        <f t="shared" si="352"/>
        <v>0</v>
      </c>
      <c r="AD2094" s="12">
        <f t="shared" si="356"/>
        <v>0</v>
      </c>
      <c r="AE2094" s="12">
        <f t="shared" si="357"/>
        <v>1</v>
      </c>
      <c r="AF2094">
        <f t="shared" si="353"/>
        <v>1</v>
      </c>
      <c r="AG2094">
        <f t="shared" si="358"/>
        <v>0</v>
      </c>
      <c r="AH2094">
        <f t="shared" si="359"/>
        <v>0</v>
      </c>
      <c r="AI2094">
        <f t="shared" si="360"/>
        <v>0</v>
      </c>
      <c r="AJ2094">
        <f t="shared" si="361"/>
        <v>0</v>
      </c>
      <c r="AK2094">
        <f t="shared" si="354"/>
        <v>1</v>
      </c>
      <c r="AL2094">
        <f t="shared" si="362"/>
        <v>0</v>
      </c>
    </row>
    <row r="2095" spans="1:38">
      <c r="A2095" t="s">
        <v>6412</v>
      </c>
      <c r="B2095" t="s">
        <v>6413</v>
      </c>
      <c r="C2095" s="1">
        <f t="shared" si="355"/>
        <v>45597</v>
      </c>
      <c r="D2095" t="s">
        <v>6414</v>
      </c>
      <c r="E2095">
        <v>168.1</v>
      </c>
      <c r="F2095">
        <v>7</v>
      </c>
      <c r="G2095" t="s">
        <v>101</v>
      </c>
      <c r="H2095" t="s">
        <v>102</v>
      </c>
      <c r="I2095" t="s">
        <v>32</v>
      </c>
      <c r="J2095">
        <v>240</v>
      </c>
      <c r="K2095" t="s">
        <v>49</v>
      </c>
      <c r="L2095" t="s">
        <v>34</v>
      </c>
      <c r="M2095" t="s">
        <v>35</v>
      </c>
      <c r="N2095" t="s">
        <v>155</v>
      </c>
      <c r="O2095" t="s">
        <v>7232</v>
      </c>
      <c r="P2095" t="s">
        <v>38</v>
      </c>
      <c r="Q2095" t="s">
        <v>38</v>
      </c>
      <c r="R2095">
        <v>1</v>
      </c>
      <c r="S2095" t="s">
        <v>38</v>
      </c>
      <c r="T2095">
        <v>9</v>
      </c>
      <c r="U2095">
        <v>3.5</v>
      </c>
      <c r="V2095">
        <v>7.3</v>
      </c>
      <c r="W2095" t="s">
        <v>39</v>
      </c>
      <c r="X2095" t="s">
        <v>63</v>
      </c>
      <c r="Y2095" t="s">
        <v>39</v>
      </c>
      <c r="Z2095" t="s">
        <v>53</v>
      </c>
      <c r="AA2095" t="s">
        <v>103</v>
      </c>
      <c r="AB2095" t="s">
        <v>83</v>
      </c>
      <c r="AC2095">
        <f t="shared" si="352"/>
        <v>0</v>
      </c>
      <c r="AD2095" s="12">
        <f t="shared" si="356"/>
        <v>1</v>
      </c>
      <c r="AE2095" s="12">
        <f t="shared" si="357"/>
        <v>0</v>
      </c>
      <c r="AF2095">
        <f t="shared" si="353"/>
        <v>0</v>
      </c>
      <c r="AG2095">
        <f t="shared" si="358"/>
        <v>1</v>
      </c>
      <c r="AH2095">
        <f t="shared" si="359"/>
        <v>0</v>
      </c>
      <c r="AI2095">
        <f t="shared" si="360"/>
        <v>0</v>
      </c>
      <c r="AJ2095">
        <f t="shared" si="361"/>
        <v>1</v>
      </c>
      <c r="AK2095">
        <f t="shared" si="354"/>
        <v>0</v>
      </c>
      <c r="AL2095">
        <f t="shared" si="362"/>
        <v>0</v>
      </c>
    </row>
    <row r="2096" spans="1:38">
      <c r="A2096" t="s">
        <v>6415</v>
      </c>
      <c r="B2096" t="s">
        <v>6416</v>
      </c>
      <c r="C2096" s="1">
        <f t="shared" si="355"/>
        <v>45505</v>
      </c>
      <c r="D2096" t="s">
        <v>6417</v>
      </c>
      <c r="E2096">
        <v>173.6</v>
      </c>
      <c r="F2096">
        <v>7.2</v>
      </c>
      <c r="G2096" t="s">
        <v>101</v>
      </c>
      <c r="H2096" t="s">
        <v>368</v>
      </c>
      <c r="I2096" t="s">
        <v>32</v>
      </c>
      <c r="J2096">
        <v>240</v>
      </c>
      <c r="K2096" t="s">
        <v>49</v>
      </c>
      <c r="L2096" t="s">
        <v>133</v>
      </c>
      <c r="M2096" t="s">
        <v>35</v>
      </c>
      <c r="N2096" t="s">
        <v>277</v>
      </c>
      <c r="O2096" t="s">
        <v>7232</v>
      </c>
      <c r="P2096" t="s">
        <v>38</v>
      </c>
      <c r="Q2096" t="s">
        <v>38</v>
      </c>
      <c r="R2096">
        <v>1</v>
      </c>
      <c r="S2096" t="s">
        <v>38</v>
      </c>
      <c r="T2096">
        <v>8</v>
      </c>
      <c r="U2096">
        <v>3</v>
      </c>
      <c r="V2096">
        <v>0</v>
      </c>
      <c r="W2096" t="s">
        <v>39</v>
      </c>
      <c r="X2096" t="s">
        <v>123</v>
      </c>
      <c r="Y2096" t="s">
        <v>39</v>
      </c>
      <c r="Z2096" t="s">
        <v>179</v>
      </c>
      <c r="AA2096" t="s">
        <v>103</v>
      </c>
      <c r="AB2096" t="s">
        <v>83</v>
      </c>
      <c r="AC2096">
        <f t="shared" si="352"/>
        <v>0</v>
      </c>
      <c r="AD2096" s="12">
        <f t="shared" si="356"/>
        <v>0</v>
      </c>
      <c r="AE2096" s="12">
        <f t="shared" si="357"/>
        <v>1</v>
      </c>
      <c r="AF2096">
        <f t="shared" si="353"/>
        <v>0</v>
      </c>
      <c r="AG2096">
        <f t="shared" si="358"/>
        <v>1</v>
      </c>
      <c r="AH2096">
        <f t="shared" si="359"/>
        <v>0</v>
      </c>
      <c r="AI2096">
        <f t="shared" si="360"/>
        <v>0</v>
      </c>
      <c r="AJ2096">
        <f t="shared" si="361"/>
        <v>1</v>
      </c>
      <c r="AK2096">
        <f t="shared" si="354"/>
        <v>0</v>
      </c>
      <c r="AL2096">
        <f t="shared" si="362"/>
        <v>0</v>
      </c>
    </row>
    <row r="2097" spans="1:38">
      <c r="A2097" t="s">
        <v>6418</v>
      </c>
      <c r="B2097" t="s">
        <v>6419</v>
      </c>
      <c r="C2097" s="1">
        <f t="shared" si="355"/>
        <v>45383</v>
      </c>
      <c r="D2097" t="s">
        <v>6420</v>
      </c>
      <c r="E2097">
        <v>76.099999999999994</v>
      </c>
      <c r="F2097">
        <v>3.2</v>
      </c>
      <c r="G2097" t="s">
        <v>87</v>
      </c>
      <c r="H2097" t="s">
        <v>88</v>
      </c>
      <c r="I2097" t="s">
        <v>48</v>
      </c>
      <c r="J2097">
        <v>120</v>
      </c>
      <c r="K2097" t="s">
        <v>49</v>
      </c>
      <c r="L2097" t="s">
        <v>96</v>
      </c>
      <c r="M2097" t="s">
        <v>71</v>
      </c>
      <c r="N2097" t="s">
        <v>188</v>
      </c>
      <c r="O2097" t="s">
        <v>37</v>
      </c>
      <c r="P2097" t="s">
        <v>38</v>
      </c>
      <c r="Q2097" t="s">
        <v>39</v>
      </c>
      <c r="R2097">
        <v>1</v>
      </c>
      <c r="S2097" t="s">
        <v>38</v>
      </c>
      <c r="T2097">
        <v>10</v>
      </c>
      <c r="U2097">
        <v>2</v>
      </c>
      <c r="V2097">
        <v>5.0999999999999996</v>
      </c>
      <c r="W2097" t="s">
        <v>38</v>
      </c>
      <c r="X2097" t="s">
        <v>52</v>
      </c>
      <c r="Y2097" t="s">
        <v>38</v>
      </c>
      <c r="Z2097" t="s">
        <v>64</v>
      </c>
      <c r="AA2097" t="s">
        <v>54</v>
      </c>
      <c r="AB2097" t="s">
        <v>55</v>
      </c>
      <c r="AC2097">
        <f t="shared" si="352"/>
        <v>1</v>
      </c>
      <c r="AD2097" s="12">
        <f t="shared" si="356"/>
        <v>0</v>
      </c>
      <c r="AE2097" s="12">
        <f t="shared" si="357"/>
        <v>0</v>
      </c>
      <c r="AF2097">
        <f t="shared" si="353"/>
        <v>0</v>
      </c>
      <c r="AG2097">
        <f t="shared" si="358"/>
        <v>0</v>
      </c>
      <c r="AH2097">
        <f t="shared" si="359"/>
        <v>1</v>
      </c>
      <c r="AI2097">
        <f t="shared" si="360"/>
        <v>0</v>
      </c>
      <c r="AJ2097">
        <f t="shared" si="361"/>
        <v>0</v>
      </c>
      <c r="AK2097">
        <f t="shared" si="354"/>
        <v>0</v>
      </c>
      <c r="AL2097">
        <f t="shared" si="362"/>
        <v>1</v>
      </c>
    </row>
    <row r="2098" spans="1:38">
      <c r="A2098" t="s">
        <v>6421</v>
      </c>
      <c r="B2098" t="s">
        <v>6422</v>
      </c>
      <c r="C2098" s="1">
        <f t="shared" si="355"/>
        <v>45505</v>
      </c>
      <c r="D2098" t="s">
        <v>6423</v>
      </c>
      <c r="E2098">
        <v>296.7</v>
      </c>
      <c r="F2098">
        <v>12.4</v>
      </c>
      <c r="G2098" t="s">
        <v>77</v>
      </c>
      <c r="H2098" t="s">
        <v>187</v>
      </c>
      <c r="I2098" t="s">
        <v>32</v>
      </c>
      <c r="J2098">
        <v>240</v>
      </c>
      <c r="K2098" t="s">
        <v>33</v>
      </c>
      <c r="L2098" t="s">
        <v>70</v>
      </c>
      <c r="M2098" t="s">
        <v>35</v>
      </c>
      <c r="N2098" t="s">
        <v>414</v>
      </c>
      <c r="O2098" t="s">
        <v>37</v>
      </c>
      <c r="P2098" t="s">
        <v>39</v>
      </c>
      <c r="Q2098" t="s">
        <v>38</v>
      </c>
      <c r="R2098">
        <v>0</v>
      </c>
      <c r="S2098" t="s">
        <v>38</v>
      </c>
      <c r="T2098">
        <v>6</v>
      </c>
      <c r="U2098">
        <v>4.2</v>
      </c>
      <c r="V2098">
        <v>20.100000000000001</v>
      </c>
      <c r="W2098" t="s">
        <v>38</v>
      </c>
      <c r="X2098" t="s">
        <v>52</v>
      </c>
      <c r="Y2098" t="s">
        <v>39</v>
      </c>
      <c r="Z2098" t="s">
        <v>64</v>
      </c>
      <c r="AA2098" t="s">
        <v>109</v>
      </c>
      <c r="AB2098" t="s">
        <v>55</v>
      </c>
      <c r="AC2098">
        <f t="shared" si="352"/>
        <v>1</v>
      </c>
      <c r="AD2098" s="12">
        <f t="shared" si="356"/>
        <v>0</v>
      </c>
      <c r="AE2098" s="12">
        <f t="shared" si="357"/>
        <v>0</v>
      </c>
      <c r="AF2098">
        <f t="shared" si="353"/>
        <v>0</v>
      </c>
      <c r="AG2098">
        <f t="shared" si="358"/>
        <v>0</v>
      </c>
      <c r="AH2098">
        <f t="shared" si="359"/>
        <v>0</v>
      </c>
      <c r="AI2098">
        <f t="shared" si="360"/>
        <v>0</v>
      </c>
      <c r="AJ2098">
        <f t="shared" si="361"/>
        <v>1</v>
      </c>
      <c r="AK2098">
        <f t="shared" si="354"/>
        <v>0</v>
      </c>
      <c r="AL2098">
        <f t="shared" si="362"/>
        <v>0</v>
      </c>
    </row>
    <row r="2099" spans="1:38">
      <c r="A2099" t="s">
        <v>6424</v>
      </c>
      <c r="B2099" t="s">
        <v>6425</v>
      </c>
      <c r="C2099" s="1">
        <f t="shared" si="355"/>
        <v>45474</v>
      </c>
      <c r="D2099" t="s">
        <v>6426</v>
      </c>
      <c r="E2099">
        <v>129.5</v>
      </c>
      <c r="F2099">
        <v>5.4</v>
      </c>
      <c r="G2099" t="s">
        <v>59</v>
      </c>
      <c r="H2099" t="s">
        <v>132</v>
      </c>
      <c r="I2099" t="s">
        <v>48</v>
      </c>
      <c r="J2099">
        <v>120</v>
      </c>
      <c r="K2099" t="s">
        <v>33</v>
      </c>
      <c r="L2099" t="s">
        <v>96</v>
      </c>
      <c r="M2099" t="s">
        <v>35</v>
      </c>
      <c r="N2099" t="s">
        <v>134</v>
      </c>
      <c r="O2099" t="s">
        <v>7232</v>
      </c>
      <c r="P2099" t="s">
        <v>38</v>
      </c>
      <c r="Q2099" t="s">
        <v>38</v>
      </c>
      <c r="R2099">
        <v>1</v>
      </c>
      <c r="S2099" t="s">
        <v>39</v>
      </c>
      <c r="T2099">
        <v>4</v>
      </c>
      <c r="U2099">
        <v>5.7</v>
      </c>
      <c r="V2099">
        <v>0</v>
      </c>
      <c r="W2099" t="s">
        <v>39</v>
      </c>
      <c r="X2099" t="s">
        <v>63</v>
      </c>
      <c r="Y2099" t="s">
        <v>39</v>
      </c>
      <c r="Z2099" t="s">
        <v>115</v>
      </c>
      <c r="AA2099" t="s">
        <v>42</v>
      </c>
      <c r="AB2099" t="s">
        <v>55</v>
      </c>
      <c r="AC2099">
        <f t="shared" si="352"/>
        <v>0</v>
      </c>
      <c r="AD2099" s="12">
        <f t="shared" si="356"/>
        <v>1</v>
      </c>
      <c r="AE2099" s="12">
        <f t="shared" si="357"/>
        <v>0</v>
      </c>
      <c r="AF2099">
        <f t="shared" si="353"/>
        <v>0</v>
      </c>
      <c r="AG2099">
        <f t="shared" si="358"/>
        <v>1</v>
      </c>
      <c r="AH2099">
        <f t="shared" si="359"/>
        <v>1</v>
      </c>
      <c r="AI2099">
        <f t="shared" si="360"/>
        <v>0</v>
      </c>
      <c r="AJ2099">
        <f t="shared" si="361"/>
        <v>0</v>
      </c>
      <c r="AK2099">
        <f t="shared" si="354"/>
        <v>0</v>
      </c>
      <c r="AL2099">
        <f t="shared" si="362"/>
        <v>0</v>
      </c>
    </row>
    <row r="2100" spans="1:38">
      <c r="A2100" t="s">
        <v>6427</v>
      </c>
      <c r="B2100" t="s">
        <v>6428</v>
      </c>
      <c r="C2100" s="1">
        <f t="shared" si="355"/>
        <v>45597</v>
      </c>
      <c r="D2100" t="s">
        <v>6429</v>
      </c>
      <c r="E2100">
        <v>90.6</v>
      </c>
      <c r="F2100">
        <v>3.8</v>
      </c>
      <c r="G2100" t="s">
        <v>68</v>
      </c>
      <c r="H2100" t="s">
        <v>212</v>
      </c>
      <c r="I2100" t="s">
        <v>48</v>
      </c>
      <c r="J2100">
        <v>120</v>
      </c>
      <c r="K2100" t="s">
        <v>49</v>
      </c>
      <c r="L2100" t="s">
        <v>113</v>
      </c>
      <c r="M2100" t="s">
        <v>35</v>
      </c>
      <c r="N2100" t="s">
        <v>138</v>
      </c>
      <c r="O2100" t="s">
        <v>7232</v>
      </c>
      <c r="P2100" t="s">
        <v>39</v>
      </c>
      <c r="Q2100" t="s">
        <v>38</v>
      </c>
      <c r="R2100">
        <v>0</v>
      </c>
      <c r="S2100" t="s">
        <v>38</v>
      </c>
      <c r="T2100">
        <v>10</v>
      </c>
      <c r="U2100">
        <v>4.0999999999999996</v>
      </c>
      <c r="V2100">
        <v>0</v>
      </c>
      <c r="W2100" t="s">
        <v>39</v>
      </c>
      <c r="X2100" t="s">
        <v>63</v>
      </c>
      <c r="Y2100" t="s">
        <v>39</v>
      </c>
      <c r="Z2100" t="s">
        <v>41</v>
      </c>
      <c r="AA2100" t="s">
        <v>103</v>
      </c>
      <c r="AB2100" t="s">
        <v>43</v>
      </c>
      <c r="AC2100">
        <f t="shared" si="352"/>
        <v>0</v>
      </c>
      <c r="AD2100" s="12">
        <f t="shared" si="356"/>
        <v>1</v>
      </c>
      <c r="AE2100" s="12">
        <f t="shared" si="357"/>
        <v>0</v>
      </c>
      <c r="AF2100">
        <f t="shared" si="353"/>
        <v>0</v>
      </c>
      <c r="AG2100">
        <f t="shared" si="358"/>
        <v>1</v>
      </c>
      <c r="AH2100">
        <f t="shared" si="359"/>
        <v>1</v>
      </c>
      <c r="AI2100">
        <f t="shared" si="360"/>
        <v>0</v>
      </c>
      <c r="AJ2100">
        <f t="shared" si="361"/>
        <v>0</v>
      </c>
      <c r="AK2100">
        <f t="shared" si="354"/>
        <v>0</v>
      </c>
      <c r="AL2100">
        <f t="shared" si="362"/>
        <v>0</v>
      </c>
    </row>
    <row r="2101" spans="1:38">
      <c r="A2101" t="s">
        <v>6430</v>
      </c>
      <c r="B2101" t="s">
        <v>6431</v>
      </c>
      <c r="C2101" s="1">
        <f t="shared" si="355"/>
        <v>45627</v>
      </c>
      <c r="D2101" t="s">
        <v>6432</v>
      </c>
      <c r="E2101">
        <v>266.60000000000002</v>
      </c>
      <c r="F2101">
        <v>11.1</v>
      </c>
      <c r="G2101" t="s">
        <v>30</v>
      </c>
      <c r="H2101" t="s">
        <v>31</v>
      </c>
      <c r="I2101" t="s">
        <v>32</v>
      </c>
      <c r="J2101">
        <v>240</v>
      </c>
      <c r="K2101" t="s">
        <v>33</v>
      </c>
      <c r="L2101" t="s">
        <v>96</v>
      </c>
      <c r="M2101" t="s">
        <v>35</v>
      </c>
      <c r="N2101" t="s">
        <v>107</v>
      </c>
      <c r="O2101" t="s">
        <v>7232</v>
      </c>
      <c r="P2101" t="s">
        <v>39</v>
      </c>
      <c r="Q2101" t="s">
        <v>38</v>
      </c>
      <c r="R2101">
        <v>0</v>
      </c>
      <c r="S2101" t="s">
        <v>38</v>
      </c>
      <c r="T2101">
        <v>7</v>
      </c>
      <c r="U2101">
        <v>1.6</v>
      </c>
      <c r="V2101">
        <v>13.6</v>
      </c>
      <c r="W2101" t="s">
        <v>39</v>
      </c>
      <c r="X2101" t="s">
        <v>40</v>
      </c>
      <c r="Y2101" t="s">
        <v>38</v>
      </c>
      <c r="Z2101" t="s">
        <v>81</v>
      </c>
      <c r="AA2101" t="s">
        <v>109</v>
      </c>
      <c r="AB2101" t="s">
        <v>55</v>
      </c>
      <c r="AC2101">
        <f t="shared" si="352"/>
        <v>0</v>
      </c>
      <c r="AD2101" s="12">
        <f t="shared" si="356"/>
        <v>0</v>
      </c>
      <c r="AE2101" s="12">
        <f t="shared" si="357"/>
        <v>0</v>
      </c>
      <c r="AF2101">
        <f t="shared" si="353"/>
        <v>0</v>
      </c>
      <c r="AG2101">
        <f t="shared" si="358"/>
        <v>1</v>
      </c>
      <c r="AH2101">
        <f t="shared" si="359"/>
        <v>0</v>
      </c>
      <c r="AI2101">
        <f t="shared" si="360"/>
        <v>0</v>
      </c>
      <c r="AJ2101">
        <f t="shared" si="361"/>
        <v>1</v>
      </c>
      <c r="AK2101">
        <f t="shared" si="354"/>
        <v>1</v>
      </c>
      <c r="AL2101">
        <f t="shared" si="362"/>
        <v>1</v>
      </c>
    </row>
    <row r="2102" spans="1:38">
      <c r="A2102" t="s">
        <v>6433</v>
      </c>
      <c r="B2102" t="s">
        <v>6434</v>
      </c>
      <c r="C2102" s="1">
        <f t="shared" si="355"/>
        <v>45323</v>
      </c>
      <c r="D2102" t="s">
        <v>6435</v>
      </c>
      <c r="E2102">
        <v>92.4</v>
      </c>
      <c r="F2102">
        <v>3.9</v>
      </c>
      <c r="G2102" t="s">
        <v>87</v>
      </c>
      <c r="H2102" t="s">
        <v>309</v>
      </c>
      <c r="I2102" t="s">
        <v>48</v>
      </c>
      <c r="J2102">
        <v>120</v>
      </c>
      <c r="K2102" t="s">
        <v>49</v>
      </c>
      <c r="L2102" t="s">
        <v>133</v>
      </c>
      <c r="M2102" t="s">
        <v>35</v>
      </c>
      <c r="N2102" t="s">
        <v>128</v>
      </c>
      <c r="O2102" t="s">
        <v>51</v>
      </c>
      <c r="P2102" t="s">
        <v>39</v>
      </c>
      <c r="Q2102" t="s">
        <v>38</v>
      </c>
      <c r="R2102">
        <v>0</v>
      </c>
      <c r="S2102" t="s">
        <v>38</v>
      </c>
      <c r="T2102">
        <v>10</v>
      </c>
      <c r="U2102">
        <v>1.4</v>
      </c>
      <c r="V2102">
        <v>15.2</v>
      </c>
      <c r="W2102" t="s">
        <v>39</v>
      </c>
      <c r="X2102" t="s">
        <v>63</v>
      </c>
      <c r="Y2102" t="s">
        <v>39</v>
      </c>
      <c r="Z2102" t="s">
        <v>179</v>
      </c>
      <c r="AA2102" t="s">
        <v>82</v>
      </c>
      <c r="AB2102" t="s">
        <v>83</v>
      </c>
      <c r="AC2102">
        <f t="shared" si="352"/>
        <v>0</v>
      </c>
      <c r="AD2102" s="12">
        <f t="shared" si="356"/>
        <v>1</v>
      </c>
      <c r="AE2102" s="12">
        <f t="shared" si="357"/>
        <v>0</v>
      </c>
      <c r="AF2102">
        <f t="shared" si="353"/>
        <v>1</v>
      </c>
      <c r="AG2102">
        <f t="shared" si="358"/>
        <v>0</v>
      </c>
      <c r="AH2102">
        <f t="shared" si="359"/>
        <v>1</v>
      </c>
      <c r="AI2102">
        <f t="shared" si="360"/>
        <v>0</v>
      </c>
      <c r="AJ2102">
        <f t="shared" si="361"/>
        <v>0</v>
      </c>
      <c r="AK2102">
        <f t="shared" si="354"/>
        <v>0</v>
      </c>
      <c r="AL2102">
        <f t="shared" si="362"/>
        <v>0</v>
      </c>
    </row>
    <row r="2103" spans="1:38">
      <c r="A2103" t="s">
        <v>6436</v>
      </c>
      <c r="B2103" t="s">
        <v>6437</v>
      </c>
      <c r="C2103" s="1">
        <f t="shared" si="355"/>
        <v>45383</v>
      </c>
      <c r="D2103" t="s">
        <v>6438</v>
      </c>
      <c r="E2103">
        <v>112.2</v>
      </c>
      <c r="F2103">
        <v>4.7</v>
      </c>
      <c r="G2103" t="s">
        <v>68</v>
      </c>
      <c r="H2103" t="s">
        <v>456</v>
      </c>
      <c r="I2103" t="s">
        <v>48</v>
      </c>
      <c r="J2103">
        <v>120</v>
      </c>
      <c r="K2103" t="s">
        <v>49</v>
      </c>
      <c r="L2103" t="s">
        <v>70</v>
      </c>
      <c r="M2103" t="s">
        <v>35</v>
      </c>
      <c r="N2103" t="s">
        <v>36</v>
      </c>
      <c r="O2103" t="s">
        <v>7232</v>
      </c>
      <c r="P2103" t="s">
        <v>38</v>
      </c>
      <c r="Q2103" t="s">
        <v>38</v>
      </c>
      <c r="R2103">
        <v>1</v>
      </c>
      <c r="S2103" t="s">
        <v>38</v>
      </c>
      <c r="T2103">
        <v>8</v>
      </c>
      <c r="U2103">
        <v>2.6</v>
      </c>
      <c r="V2103">
        <v>16.3</v>
      </c>
      <c r="W2103" t="s">
        <v>39</v>
      </c>
      <c r="X2103" t="s">
        <v>63</v>
      </c>
      <c r="Y2103" t="s">
        <v>39</v>
      </c>
      <c r="Z2103" t="s">
        <v>64</v>
      </c>
      <c r="AA2103" t="s">
        <v>109</v>
      </c>
      <c r="AB2103" t="s">
        <v>55</v>
      </c>
      <c r="AC2103">
        <f t="shared" si="352"/>
        <v>0</v>
      </c>
      <c r="AD2103" s="12">
        <f t="shared" si="356"/>
        <v>1</v>
      </c>
      <c r="AE2103" s="12">
        <f t="shared" si="357"/>
        <v>0</v>
      </c>
      <c r="AF2103">
        <f t="shared" si="353"/>
        <v>0</v>
      </c>
      <c r="AG2103">
        <f t="shared" si="358"/>
        <v>1</v>
      </c>
      <c r="AH2103">
        <f t="shared" si="359"/>
        <v>1</v>
      </c>
      <c r="AI2103">
        <f t="shared" si="360"/>
        <v>0</v>
      </c>
      <c r="AJ2103">
        <f t="shared" si="361"/>
        <v>0</v>
      </c>
      <c r="AK2103">
        <f t="shared" si="354"/>
        <v>0</v>
      </c>
      <c r="AL2103">
        <f t="shared" si="362"/>
        <v>0</v>
      </c>
    </row>
    <row r="2104" spans="1:38">
      <c r="A2104" t="s">
        <v>6439</v>
      </c>
      <c r="B2104" t="s">
        <v>6440</v>
      </c>
      <c r="C2104" s="1">
        <f t="shared" si="355"/>
        <v>45383</v>
      </c>
      <c r="D2104" t="s">
        <v>6441</v>
      </c>
      <c r="E2104">
        <v>210.1</v>
      </c>
      <c r="F2104">
        <v>8.8000000000000007</v>
      </c>
      <c r="G2104" t="s">
        <v>59</v>
      </c>
      <c r="H2104" t="s">
        <v>132</v>
      </c>
      <c r="I2104" t="s">
        <v>32</v>
      </c>
      <c r="J2104">
        <v>240</v>
      </c>
      <c r="K2104" t="s">
        <v>49</v>
      </c>
      <c r="L2104" t="s">
        <v>34</v>
      </c>
      <c r="M2104" t="s">
        <v>71</v>
      </c>
      <c r="N2104" t="s">
        <v>128</v>
      </c>
      <c r="O2104" t="s">
        <v>51</v>
      </c>
      <c r="P2104" t="s">
        <v>38</v>
      </c>
      <c r="Q2104" t="s">
        <v>39</v>
      </c>
      <c r="R2104">
        <v>2</v>
      </c>
      <c r="S2104" t="s">
        <v>38</v>
      </c>
      <c r="T2104">
        <v>8</v>
      </c>
      <c r="U2104">
        <v>3.2</v>
      </c>
      <c r="V2104">
        <v>31.8</v>
      </c>
      <c r="W2104" t="s">
        <v>39</v>
      </c>
      <c r="X2104" t="s">
        <v>52</v>
      </c>
      <c r="Y2104" t="s">
        <v>39</v>
      </c>
      <c r="Z2104" t="s">
        <v>73</v>
      </c>
      <c r="AA2104" t="s">
        <v>103</v>
      </c>
      <c r="AB2104" t="s">
        <v>83</v>
      </c>
      <c r="AC2104">
        <f t="shared" si="352"/>
        <v>1</v>
      </c>
      <c r="AD2104" s="12">
        <f t="shared" si="356"/>
        <v>0</v>
      </c>
      <c r="AE2104" s="12">
        <f t="shared" si="357"/>
        <v>0</v>
      </c>
      <c r="AF2104">
        <f t="shared" si="353"/>
        <v>1</v>
      </c>
      <c r="AG2104">
        <f t="shared" si="358"/>
        <v>0</v>
      </c>
      <c r="AH2104">
        <f t="shared" si="359"/>
        <v>0</v>
      </c>
      <c r="AI2104">
        <f t="shared" si="360"/>
        <v>0</v>
      </c>
      <c r="AJ2104">
        <f t="shared" si="361"/>
        <v>1</v>
      </c>
      <c r="AK2104">
        <f t="shared" si="354"/>
        <v>0</v>
      </c>
      <c r="AL2104">
        <f t="shared" si="362"/>
        <v>0</v>
      </c>
    </row>
    <row r="2105" spans="1:38">
      <c r="A2105" t="s">
        <v>6442</v>
      </c>
      <c r="B2105" t="s">
        <v>6443</v>
      </c>
      <c r="C2105" s="1">
        <f t="shared" si="355"/>
        <v>45597</v>
      </c>
      <c r="D2105" t="s">
        <v>6444</v>
      </c>
      <c r="E2105">
        <v>205.2</v>
      </c>
      <c r="F2105">
        <v>8.5</v>
      </c>
      <c r="G2105" t="s">
        <v>30</v>
      </c>
      <c r="H2105" t="s">
        <v>31</v>
      </c>
      <c r="I2105" t="s">
        <v>32</v>
      </c>
      <c r="J2105">
        <v>240</v>
      </c>
      <c r="K2105" t="s">
        <v>49</v>
      </c>
      <c r="L2105" t="s">
        <v>34</v>
      </c>
      <c r="M2105" t="s">
        <v>35</v>
      </c>
      <c r="N2105" t="s">
        <v>188</v>
      </c>
      <c r="O2105" t="s">
        <v>37</v>
      </c>
      <c r="P2105" t="s">
        <v>39</v>
      </c>
      <c r="Q2105" t="s">
        <v>38</v>
      </c>
      <c r="R2105">
        <v>0</v>
      </c>
      <c r="S2105" t="s">
        <v>38</v>
      </c>
      <c r="T2105">
        <v>9</v>
      </c>
      <c r="U2105">
        <v>3</v>
      </c>
      <c r="V2105">
        <v>12.6</v>
      </c>
      <c r="W2105" t="s">
        <v>39</v>
      </c>
      <c r="X2105" t="s">
        <v>63</v>
      </c>
      <c r="Y2105" t="s">
        <v>39</v>
      </c>
      <c r="Z2105" t="s">
        <v>81</v>
      </c>
      <c r="AA2105" t="s">
        <v>54</v>
      </c>
      <c r="AB2105" t="s">
        <v>43</v>
      </c>
      <c r="AC2105">
        <f t="shared" si="352"/>
        <v>0</v>
      </c>
      <c r="AD2105" s="12">
        <f t="shared" si="356"/>
        <v>1</v>
      </c>
      <c r="AE2105" s="12">
        <f t="shared" si="357"/>
        <v>0</v>
      </c>
      <c r="AF2105">
        <f t="shared" si="353"/>
        <v>0</v>
      </c>
      <c r="AG2105">
        <f t="shared" si="358"/>
        <v>0</v>
      </c>
      <c r="AH2105">
        <f t="shared" si="359"/>
        <v>0</v>
      </c>
      <c r="AI2105">
        <f t="shared" si="360"/>
        <v>0</v>
      </c>
      <c r="AJ2105">
        <f t="shared" si="361"/>
        <v>1</v>
      </c>
      <c r="AK2105">
        <f t="shared" si="354"/>
        <v>1</v>
      </c>
      <c r="AL2105">
        <f t="shared" si="362"/>
        <v>0</v>
      </c>
    </row>
    <row r="2106" spans="1:38">
      <c r="A2106" t="s">
        <v>6445</v>
      </c>
      <c r="B2106" t="s">
        <v>6446</v>
      </c>
      <c r="C2106" s="1">
        <f t="shared" si="355"/>
        <v>45413</v>
      </c>
      <c r="D2106" t="s">
        <v>6447</v>
      </c>
      <c r="E2106">
        <v>369.3</v>
      </c>
      <c r="F2106">
        <v>15.4</v>
      </c>
      <c r="G2106" t="s">
        <v>93</v>
      </c>
      <c r="H2106" t="s">
        <v>449</v>
      </c>
      <c r="I2106" t="s">
        <v>79</v>
      </c>
      <c r="J2106">
        <v>360</v>
      </c>
      <c r="K2106" t="s">
        <v>33</v>
      </c>
      <c r="L2106" t="s">
        <v>70</v>
      </c>
      <c r="M2106" t="s">
        <v>35</v>
      </c>
      <c r="N2106" t="s">
        <v>277</v>
      </c>
      <c r="O2106" t="s">
        <v>37</v>
      </c>
      <c r="P2106" t="s">
        <v>38</v>
      </c>
      <c r="Q2106" t="s">
        <v>38</v>
      </c>
      <c r="R2106">
        <v>1</v>
      </c>
      <c r="S2106" t="s">
        <v>38</v>
      </c>
      <c r="T2106">
        <v>8</v>
      </c>
      <c r="U2106">
        <v>2.4</v>
      </c>
      <c r="V2106">
        <v>35</v>
      </c>
      <c r="W2106" t="s">
        <v>39</v>
      </c>
      <c r="X2106" t="s">
        <v>52</v>
      </c>
      <c r="Y2106" t="s">
        <v>38</v>
      </c>
      <c r="Z2106" t="s">
        <v>73</v>
      </c>
      <c r="AA2106" t="s">
        <v>42</v>
      </c>
      <c r="AB2106" t="s">
        <v>55</v>
      </c>
      <c r="AC2106">
        <f t="shared" si="352"/>
        <v>1</v>
      </c>
      <c r="AD2106" s="12">
        <f t="shared" si="356"/>
        <v>0</v>
      </c>
      <c r="AE2106" s="12">
        <f t="shared" si="357"/>
        <v>0</v>
      </c>
      <c r="AF2106">
        <f t="shared" si="353"/>
        <v>0</v>
      </c>
      <c r="AG2106">
        <f t="shared" si="358"/>
        <v>0</v>
      </c>
      <c r="AH2106">
        <f t="shared" si="359"/>
        <v>0</v>
      </c>
      <c r="AI2106">
        <f t="shared" si="360"/>
        <v>0</v>
      </c>
      <c r="AJ2106">
        <f t="shared" si="361"/>
        <v>0</v>
      </c>
      <c r="AK2106">
        <f t="shared" si="354"/>
        <v>0</v>
      </c>
      <c r="AL2106">
        <f t="shared" si="362"/>
        <v>1</v>
      </c>
    </row>
    <row r="2107" spans="1:38">
      <c r="A2107" t="s">
        <v>6448</v>
      </c>
      <c r="B2107" t="s">
        <v>6449</v>
      </c>
      <c r="C2107" s="1">
        <f t="shared" si="355"/>
        <v>45536</v>
      </c>
      <c r="D2107" t="s">
        <v>6450</v>
      </c>
      <c r="E2107">
        <v>291.8</v>
      </c>
      <c r="F2107">
        <v>12.2</v>
      </c>
      <c r="G2107" t="s">
        <v>77</v>
      </c>
      <c r="H2107" t="s">
        <v>187</v>
      </c>
      <c r="I2107" t="s">
        <v>79</v>
      </c>
      <c r="J2107">
        <v>360</v>
      </c>
      <c r="K2107" t="s">
        <v>49</v>
      </c>
      <c r="L2107" t="s">
        <v>70</v>
      </c>
      <c r="M2107" t="s">
        <v>35</v>
      </c>
      <c r="N2107" t="s">
        <v>202</v>
      </c>
      <c r="O2107" t="s">
        <v>7232</v>
      </c>
      <c r="P2107" t="s">
        <v>39</v>
      </c>
      <c r="Q2107" t="s">
        <v>38</v>
      </c>
      <c r="R2107">
        <v>0</v>
      </c>
      <c r="S2107" t="s">
        <v>38</v>
      </c>
      <c r="T2107">
        <v>10</v>
      </c>
      <c r="U2107">
        <v>0.4</v>
      </c>
      <c r="V2107">
        <v>6.3</v>
      </c>
      <c r="W2107" t="s">
        <v>39</v>
      </c>
      <c r="X2107" t="s">
        <v>63</v>
      </c>
      <c r="Y2107" t="s">
        <v>38</v>
      </c>
      <c r="Z2107" t="s">
        <v>81</v>
      </c>
      <c r="AA2107" t="s">
        <v>54</v>
      </c>
      <c r="AB2107" t="s">
        <v>83</v>
      </c>
      <c r="AC2107">
        <f t="shared" si="352"/>
        <v>0</v>
      </c>
      <c r="AD2107" s="12">
        <f t="shared" si="356"/>
        <v>1</v>
      </c>
      <c r="AE2107" s="12">
        <f t="shared" si="357"/>
        <v>0</v>
      </c>
      <c r="AF2107">
        <f t="shared" si="353"/>
        <v>0</v>
      </c>
      <c r="AG2107">
        <f t="shared" si="358"/>
        <v>1</v>
      </c>
      <c r="AH2107">
        <f t="shared" si="359"/>
        <v>0</v>
      </c>
      <c r="AI2107">
        <f t="shared" si="360"/>
        <v>0</v>
      </c>
      <c r="AJ2107">
        <f t="shared" si="361"/>
        <v>0</v>
      </c>
      <c r="AK2107">
        <f t="shared" si="354"/>
        <v>0</v>
      </c>
      <c r="AL2107">
        <f t="shared" si="362"/>
        <v>1</v>
      </c>
    </row>
    <row r="2108" spans="1:38">
      <c r="A2108" t="s">
        <v>6451</v>
      </c>
      <c r="B2108" t="s">
        <v>6452</v>
      </c>
      <c r="C2108" s="1">
        <f t="shared" si="355"/>
        <v>45627</v>
      </c>
      <c r="D2108" t="s">
        <v>6453</v>
      </c>
      <c r="E2108">
        <v>673</v>
      </c>
      <c r="F2108">
        <v>28</v>
      </c>
      <c r="G2108" t="s">
        <v>142</v>
      </c>
      <c r="H2108" t="s">
        <v>260</v>
      </c>
      <c r="I2108" t="s">
        <v>32</v>
      </c>
      <c r="J2108">
        <v>240</v>
      </c>
      <c r="K2108" t="s">
        <v>33</v>
      </c>
      <c r="L2108" t="s">
        <v>70</v>
      </c>
      <c r="M2108" t="s">
        <v>71</v>
      </c>
      <c r="N2108" t="s">
        <v>144</v>
      </c>
      <c r="O2108" t="s">
        <v>7232</v>
      </c>
      <c r="P2108" t="s">
        <v>38</v>
      </c>
      <c r="Q2108" t="s">
        <v>39</v>
      </c>
      <c r="R2108">
        <v>1</v>
      </c>
      <c r="S2108" t="s">
        <v>38</v>
      </c>
      <c r="T2108">
        <v>8</v>
      </c>
      <c r="U2108">
        <v>4.0999999999999996</v>
      </c>
      <c r="V2108">
        <v>41.3</v>
      </c>
      <c r="W2108" t="s">
        <v>38</v>
      </c>
      <c r="X2108" t="s">
        <v>40</v>
      </c>
      <c r="Y2108" t="s">
        <v>39</v>
      </c>
      <c r="Z2108" t="s">
        <v>108</v>
      </c>
      <c r="AA2108" t="s">
        <v>103</v>
      </c>
      <c r="AB2108" t="s">
        <v>83</v>
      </c>
      <c r="AC2108">
        <f t="shared" si="352"/>
        <v>0</v>
      </c>
      <c r="AD2108" s="12">
        <f t="shared" si="356"/>
        <v>0</v>
      </c>
      <c r="AE2108" s="12">
        <f t="shared" si="357"/>
        <v>0</v>
      </c>
      <c r="AF2108">
        <f t="shared" si="353"/>
        <v>0</v>
      </c>
      <c r="AG2108">
        <f t="shared" si="358"/>
        <v>1</v>
      </c>
      <c r="AH2108">
        <f t="shared" si="359"/>
        <v>0</v>
      </c>
      <c r="AI2108">
        <f t="shared" si="360"/>
        <v>0</v>
      </c>
      <c r="AJ2108">
        <f t="shared" si="361"/>
        <v>1</v>
      </c>
      <c r="AK2108">
        <f t="shared" si="354"/>
        <v>0</v>
      </c>
      <c r="AL2108">
        <f t="shared" si="362"/>
        <v>0</v>
      </c>
    </row>
    <row r="2109" spans="1:38">
      <c r="A2109" t="s">
        <v>6454</v>
      </c>
      <c r="B2109" t="s">
        <v>6455</v>
      </c>
      <c r="C2109" s="1">
        <f t="shared" si="355"/>
        <v>45444</v>
      </c>
      <c r="D2109" t="s">
        <v>6456</v>
      </c>
      <c r="E2109">
        <v>207.7</v>
      </c>
      <c r="F2109">
        <v>8.6999999999999993</v>
      </c>
      <c r="G2109" t="s">
        <v>142</v>
      </c>
      <c r="H2109" t="s">
        <v>240</v>
      </c>
      <c r="I2109" t="s">
        <v>32</v>
      </c>
      <c r="J2109">
        <v>240</v>
      </c>
      <c r="K2109" t="s">
        <v>49</v>
      </c>
      <c r="L2109" t="s">
        <v>70</v>
      </c>
      <c r="M2109" t="s">
        <v>35</v>
      </c>
      <c r="N2109" t="s">
        <v>61</v>
      </c>
      <c r="O2109" t="s">
        <v>7232</v>
      </c>
      <c r="P2109" t="s">
        <v>38</v>
      </c>
      <c r="Q2109" t="s">
        <v>38</v>
      </c>
      <c r="R2109">
        <v>1</v>
      </c>
      <c r="S2109" t="s">
        <v>38</v>
      </c>
      <c r="T2109">
        <v>9</v>
      </c>
      <c r="U2109">
        <v>2.9</v>
      </c>
      <c r="V2109">
        <v>24.7</v>
      </c>
      <c r="W2109" t="s">
        <v>38</v>
      </c>
      <c r="X2109" t="s">
        <v>63</v>
      </c>
      <c r="Y2109" t="s">
        <v>39</v>
      </c>
      <c r="Z2109" t="s">
        <v>73</v>
      </c>
      <c r="AA2109" t="s">
        <v>82</v>
      </c>
      <c r="AB2109" t="s">
        <v>43</v>
      </c>
      <c r="AC2109">
        <f t="shared" si="352"/>
        <v>0</v>
      </c>
      <c r="AD2109" s="12">
        <f t="shared" si="356"/>
        <v>1</v>
      </c>
      <c r="AE2109" s="12">
        <f t="shared" si="357"/>
        <v>0</v>
      </c>
      <c r="AF2109">
        <f t="shared" si="353"/>
        <v>0</v>
      </c>
      <c r="AG2109">
        <f t="shared" si="358"/>
        <v>1</v>
      </c>
      <c r="AH2109">
        <f t="shared" si="359"/>
        <v>0</v>
      </c>
      <c r="AI2109">
        <f t="shared" si="360"/>
        <v>0</v>
      </c>
      <c r="AJ2109">
        <f t="shared" si="361"/>
        <v>1</v>
      </c>
      <c r="AK2109">
        <f t="shared" si="354"/>
        <v>0</v>
      </c>
      <c r="AL2109">
        <f t="shared" si="362"/>
        <v>0</v>
      </c>
    </row>
    <row r="2110" spans="1:38">
      <c r="A2110" t="s">
        <v>6457</v>
      </c>
      <c r="B2110" t="s">
        <v>6458</v>
      </c>
      <c r="C2110" s="1">
        <f t="shared" si="355"/>
        <v>45627</v>
      </c>
      <c r="D2110" t="s">
        <v>6459</v>
      </c>
      <c r="E2110">
        <v>76.599999999999994</v>
      </c>
      <c r="F2110">
        <v>3.2</v>
      </c>
      <c r="G2110" t="s">
        <v>87</v>
      </c>
      <c r="H2110" t="s">
        <v>151</v>
      </c>
      <c r="I2110" t="s">
        <v>48</v>
      </c>
      <c r="J2110">
        <v>120</v>
      </c>
      <c r="K2110" t="s">
        <v>49</v>
      </c>
      <c r="L2110" t="s">
        <v>34</v>
      </c>
      <c r="M2110" t="s">
        <v>35</v>
      </c>
      <c r="N2110" t="s">
        <v>138</v>
      </c>
      <c r="O2110" t="s">
        <v>7232</v>
      </c>
      <c r="P2110" t="s">
        <v>38</v>
      </c>
      <c r="Q2110" t="s">
        <v>38</v>
      </c>
      <c r="R2110">
        <v>1</v>
      </c>
      <c r="S2110" t="s">
        <v>38</v>
      </c>
      <c r="T2110">
        <v>9</v>
      </c>
      <c r="U2110">
        <v>1.5</v>
      </c>
      <c r="V2110">
        <v>37.1</v>
      </c>
      <c r="W2110" t="s">
        <v>39</v>
      </c>
      <c r="X2110" t="s">
        <v>63</v>
      </c>
      <c r="Y2110" t="s">
        <v>38</v>
      </c>
      <c r="Z2110" t="s">
        <v>179</v>
      </c>
      <c r="AA2110" t="s">
        <v>42</v>
      </c>
      <c r="AB2110" t="s">
        <v>83</v>
      </c>
      <c r="AC2110">
        <f t="shared" si="352"/>
        <v>0</v>
      </c>
      <c r="AD2110" s="12">
        <f t="shared" si="356"/>
        <v>1</v>
      </c>
      <c r="AE2110" s="12">
        <f t="shared" si="357"/>
        <v>0</v>
      </c>
      <c r="AF2110">
        <f t="shared" si="353"/>
        <v>0</v>
      </c>
      <c r="AG2110">
        <f t="shared" si="358"/>
        <v>1</v>
      </c>
      <c r="AH2110">
        <f t="shared" si="359"/>
        <v>1</v>
      </c>
      <c r="AI2110">
        <f t="shared" si="360"/>
        <v>0</v>
      </c>
      <c r="AJ2110">
        <f t="shared" si="361"/>
        <v>0</v>
      </c>
      <c r="AK2110">
        <f t="shared" si="354"/>
        <v>0</v>
      </c>
      <c r="AL2110">
        <f t="shared" si="362"/>
        <v>1</v>
      </c>
    </row>
    <row r="2111" spans="1:38">
      <c r="A2111" t="s">
        <v>6460</v>
      </c>
      <c r="B2111" t="s">
        <v>6461</v>
      </c>
      <c r="C2111" s="1">
        <f t="shared" si="355"/>
        <v>45474</v>
      </c>
      <c r="D2111" t="s">
        <v>6462</v>
      </c>
      <c r="E2111">
        <v>196.7</v>
      </c>
      <c r="F2111">
        <v>8.1999999999999993</v>
      </c>
      <c r="G2111" t="s">
        <v>59</v>
      </c>
      <c r="H2111" t="s">
        <v>466</v>
      </c>
      <c r="I2111" t="s">
        <v>32</v>
      </c>
      <c r="J2111">
        <v>240</v>
      </c>
      <c r="K2111" t="s">
        <v>49</v>
      </c>
      <c r="L2111" t="s">
        <v>96</v>
      </c>
      <c r="M2111" t="s">
        <v>35</v>
      </c>
      <c r="N2111" t="s">
        <v>114</v>
      </c>
      <c r="O2111" t="s">
        <v>7232</v>
      </c>
      <c r="P2111" t="s">
        <v>38</v>
      </c>
      <c r="Q2111" t="s">
        <v>38</v>
      </c>
      <c r="R2111">
        <v>1</v>
      </c>
      <c r="S2111" t="s">
        <v>38</v>
      </c>
      <c r="T2111">
        <v>8</v>
      </c>
      <c r="U2111">
        <v>2.8</v>
      </c>
      <c r="V2111">
        <v>16.5</v>
      </c>
      <c r="W2111" t="s">
        <v>39</v>
      </c>
      <c r="X2111" t="s">
        <v>123</v>
      </c>
      <c r="Y2111" t="s">
        <v>38</v>
      </c>
      <c r="Z2111" t="s">
        <v>41</v>
      </c>
      <c r="AA2111" t="s">
        <v>109</v>
      </c>
      <c r="AB2111" t="s">
        <v>43</v>
      </c>
      <c r="AC2111">
        <f t="shared" si="352"/>
        <v>0</v>
      </c>
      <c r="AD2111" s="12">
        <f t="shared" si="356"/>
        <v>0</v>
      </c>
      <c r="AE2111" s="12">
        <f t="shared" si="357"/>
        <v>1</v>
      </c>
      <c r="AF2111">
        <f t="shared" si="353"/>
        <v>0</v>
      </c>
      <c r="AG2111">
        <f t="shared" si="358"/>
        <v>1</v>
      </c>
      <c r="AH2111">
        <f t="shared" si="359"/>
        <v>0</v>
      </c>
      <c r="AI2111">
        <f t="shared" si="360"/>
        <v>0</v>
      </c>
      <c r="AJ2111">
        <f t="shared" si="361"/>
        <v>1</v>
      </c>
      <c r="AK2111">
        <f t="shared" si="354"/>
        <v>0</v>
      </c>
      <c r="AL2111">
        <f t="shared" si="362"/>
        <v>1</v>
      </c>
    </row>
    <row r="2112" spans="1:38">
      <c r="A2112" t="s">
        <v>6463</v>
      </c>
      <c r="B2112" t="s">
        <v>6464</v>
      </c>
      <c r="C2112" s="1">
        <f t="shared" si="355"/>
        <v>45352</v>
      </c>
      <c r="D2112" t="s">
        <v>6465</v>
      </c>
      <c r="E2112">
        <v>270.3</v>
      </c>
      <c r="F2112">
        <v>11.3</v>
      </c>
      <c r="G2112" t="s">
        <v>77</v>
      </c>
      <c r="H2112" t="s">
        <v>244</v>
      </c>
      <c r="I2112" t="s">
        <v>79</v>
      </c>
      <c r="J2112">
        <v>360</v>
      </c>
      <c r="K2112" t="s">
        <v>49</v>
      </c>
      <c r="L2112" t="s">
        <v>113</v>
      </c>
      <c r="M2112" t="s">
        <v>35</v>
      </c>
      <c r="N2112" t="s">
        <v>299</v>
      </c>
      <c r="O2112" t="s">
        <v>7232</v>
      </c>
      <c r="P2112" t="s">
        <v>39</v>
      </c>
      <c r="Q2112" t="s">
        <v>38</v>
      </c>
      <c r="R2112">
        <v>0</v>
      </c>
      <c r="S2112" t="s">
        <v>38</v>
      </c>
      <c r="T2112">
        <v>10</v>
      </c>
      <c r="U2112">
        <v>2.7</v>
      </c>
      <c r="V2112">
        <v>28</v>
      </c>
      <c r="W2112" t="s">
        <v>38</v>
      </c>
      <c r="X2112" t="s">
        <v>123</v>
      </c>
      <c r="Y2112" t="s">
        <v>38</v>
      </c>
      <c r="Z2112" t="s">
        <v>41</v>
      </c>
      <c r="AA2112" t="s">
        <v>42</v>
      </c>
      <c r="AB2112" t="s">
        <v>83</v>
      </c>
      <c r="AC2112">
        <f t="shared" si="352"/>
        <v>0</v>
      </c>
      <c r="AD2112" s="12">
        <f t="shared" si="356"/>
        <v>0</v>
      </c>
      <c r="AE2112" s="12">
        <f t="shared" si="357"/>
        <v>1</v>
      </c>
      <c r="AF2112">
        <f t="shared" si="353"/>
        <v>0</v>
      </c>
      <c r="AG2112">
        <f t="shared" si="358"/>
        <v>1</v>
      </c>
      <c r="AH2112">
        <f t="shared" si="359"/>
        <v>0</v>
      </c>
      <c r="AI2112">
        <f t="shared" si="360"/>
        <v>0</v>
      </c>
      <c r="AJ2112">
        <f t="shared" si="361"/>
        <v>0</v>
      </c>
      <c r="AK2112">
        <f t="shared" si="354"/>
        <v>0</v>
      </c>
      <c r="AL2112">
        <f t="shared" si="362"/>
        <v>1</v>
      </c>
    </row>
    <row r="2113" spans="1:38">
      <c r="A2113" t="s">
        <v>6466</v>
      </c>
      <c r="B2113" t="s">
        <v>6467</v>
      </c>
      <c r="C2113" s="1">
        <f t="shared" si="355"/>
        <v>45444</v>
      </c>
      <c r="D2113" t="s">
        <v>6468</v>
      </c>
      <c r="E2113">
        <v>206.8</v>
      </c>
      <c r="F2113">
        <v>8.6</v>
      </c>
      <c r="G2113" t="s">
        <v>77</v>
      </c>
      <c r="H2113" t="s">
        <v>267</v>
      </c>
      <c r="I2113" t="s">
        <v>32</v>
      </c>
      <c r="J2113">
        <v>240</v>
      </c>
      <c r="K2113" t="s">
        <v>49</v>
      </c>
      <c r="L2113" t="s">
        <v>113</v>
      </c>
      <c r="M2113" t="s">
        <v>35</v>
      </c>
      <c r="N2113" t="s">
        <v>97</v>
      </c>
      <c r="O2113" t="s">
        <v>7232</v>
      </c>
      <c r="P2113" t="s">
        <v>38</v>
      </c>
      <c r="Q2113" t="s">
        <v>38</v>
      </c>
      <c r="R2113">
        <v>1</v>
      </c>
      <c r="S2113" t="s">
        <v>38</v>
      </c>
      <c r="T2113">
        <v>10</v>
      </c>
      <c r="U2113">
        <v>0.6</v>
      </c>
      <c r="V2113">
        <v>0</v>
      </c>
      <c r="W2113" t="s">
        <v>38</v>
      </c>
      <c r="X2113" t="s">
        <v>63</v>
      </c>
      <c r="Y2113" t="s">
        <v>38</v>
      </c>
      <c r="Z2113" t="s">
        <v>53</v>
      </c>
      <c r="AA2113" t="s">
        <v>54</v>
      </c>
      <c r="AB2113" t="s">
        <v>55</v>
      </c>
      <c r="AC2113">
        <f t="shared" si="352"/>
        <v>0</v>
      </c>
      <c r="AD2113" s="12">
        <f t="shared" si="356"/>
        <v>1</v>
      </c>
      <c r="AE2113" s="12">
        <f t="shared" si="357"/>
        <v>0</v>
      </c>
      <c r="AF2113">
        <f t="shared" si="353"/>
        <v>0</v>
      </c>
      <c r="AG2113">
        <f t="shared" si="358"/>
        <v>1</v>
      </c>
      <c r="AH2113">
        <f t="shared" si="359"/>
        <v>0</v>
      </c>
      <c r="AI2113">
        <f t="shared" si="360"/>
        <v>0</v>
      </c>
      <c r="AJ2113">
        <f t="shared" si="361"/>
        <v>1</v>
      </c>
      <c r="AK2113">
        <f t="shared" si="354"/>
        <v>0</v>
      </c>
      <c r="AL2113">
        <f t="shared" si="362"/>
        <v>1</v>
      </c>
    </row>
    <row r="2114" spans="1:38">
      <c r="A2114" t="s">
        <v>6469</v>
      </c>
      <c r="B2114" t="s">
        <v>6470</v>
      </c>
      <c r="C2114" s="1">
        <f t="shared" si="355"/>
        <v>45352</v>
      </c>
      <c r="D2114" t="s">
        <v>6471</v>
      </c>
      <c r="E2114">
        <v>218.4</v>
      </c>
      <c r="F2114">
        <v>9.1</v>
      </c>
      <c r="G2114" t="s">
        <v>59</v>
      </c>
      <c r="H2114" t="s">
        <v>227</v>
      </c>
      <c r="I2114" t="s">
        <v>32</v>
      </c>
      <c r="J2114">
        <v>240</v>
      </c>
      <c r="K2114" t="s">
        <v>49</v>
      </c>
      <c r="L2114" t="s">
        <v>34</v>
      </c>
      <c r="M2114" t="s">
        <v>35</v>
      </c>
      <c r="N2114" t="s">
        <v>138</v>
      </c>
      <c r="O2114" t="s">
        <v>51</v>
      </c>
      <c r="P2114" t="s">
        <v>38</v>
      </c>
      <c r="Q2114" t="s">
        <v>38</v>
      </c>
      <c r="R2114">
        <v>1</v>
      </c>
      <c r="S2114" t="s">
        <v>38</v>
      </c>
      <c r="T2114">
        <v>7</v>
      </c>
      <c r="U2114">
        <v>5.3</v>
      </c>
      <c r="V2114">
        <v>15.1</v>
      </c>
      <c r="W2114" t="s">
        <v>38</v>
      </c>
      <c r="X2114" t="s">
        <v>123</v>
      </c>
      <c r="Y2114" t="s">
        <v>39</v>
      </c>
      <c r="Z2114" t="s">
        <v>41</v>
      </c>
      <c r="AA2114" t="s">
        <v>54</v>
      </c>
      <c r="AB2114" t="s">
        <v>55</v>
      </c>
      <c r="AC2114">
        <f t="shared" ref="AC2114:AC2177" si="363">IF(X2114="Poor", 1, 0)</f>
        <v>0</v>
      </c>
      <c r="AD2114" s="12">
        <f t="shared" si="356"/>
        <v>0</v>
      </c>
      <c r="AE2114" s="12">
        <f t="shared" si="357"/>
        <v>1</v>
      </c>
      <c r="AF2114">
        <f t="shared" ref="AF2114:AF2177" si="364">IF(O2114="Junior", 1, 0)</f>
        <v>1</v>
      </c>
      <c r="AG2114">
        <f t="shared" si="358"/>
        <v>0</v>
      </c>
      <c r="AH2114">
        <f t="shared" si="359"/>
        <v>0</v>
      </c>
      <c r="AI2114">
        <f t="shared" si="360"/>
        <v>0</v>
      </c>
      <c r="AJ2114">
        <f t="shared" si="361"/>
        <v>1</v>
      </c>
      <c r="AK2114">
        <f t="shared" ref="AK2114:AK2177" si="365">IF(G2114="Access Requests", 1, 0)</f>
        <v>0</v>
      </c>
      <c r="AL2114">
        <f t="shared" si="362"/>
        <v>0</v>
      </c>
    </row>
    <row r="2115" spans="1:38">
      <c r="A2115" t="s">
        <v>6472</v>
      </c>
      <c r="B2115" t="s">
        <v>6473</v>
      </c>
      <c r="C2115" s="1">
        <f t="shared" ref="C2115:C2178" si="366">DATE(YEAR(B2115),MONTH(B2115),1)</f>
        <v>45352</v>
      </c>
      <c r="D2115" t="s">
        <v>6474</v>
      </c>
      <c r="E2115">
        <v>220.4</v>
      </c>
      <c r="F2115">
        <v>9.1999999999999993</v>
      </c>
      <c r="G2115" t="s">
        <v>93</v>
      </c>
      <c r="H2115" t="s">
        <v>163</v>
      </c>
      <c r="I2115" t="s">
        <v>32</v>
      </c>
      <c r="J2115">
        <v>240</v>
      </c>
      <c r="K2115" t="s">
        <v>49</v>
      </c>
      <c r="L2115" t="s">
        <v>96</v>
      </c>
      <c r="M2115" t="s">
        <v>35</v>
      </c>
      <c r="N2115" t="s">
        <v>299</v>
      </c>
      <c r="O2115" t="s">
        <v>7232</v>
      </c>
      <c r="P2115" t="s">
        <v>39</v>
      </c>
      <c r="Q2115" t="s">
        <v>38</v>
      </c>
      <c r="R2115">
        <v>0</v>
      </c>
      <c r="S2115" t="s">
        <v>38</v>
      </c>
      <c r="T2115">
        <v>9</v>
      </c>
      <c r="U2115">
        <v>4.2</v>
      </c>
      <c r="V2115">
        <v>14.4</v>
      </c>
      <c r="W2115" t="s">
        <v>39</v>
      </c>
      <c r="X2115" t="s">
        <v>40</v>
      </c>
      <c r="Y2115" t="s">
        <v>39</v>
      </c>
      <c r="Z2115" t="s">
        <v>115</v>
      </c>
      <c r="AA2115" t="s">
        <v>82</v>
      </c>
      <c r="AB2115" t="s">
        <v>83</v>
      </c>
      <c r="AC2115">
        <f t="shared" si="363"/>
        <v>0</v>
      </c>
      <c r="AD2115" s="12">
        <f t="shared" ref="AD2115:AD2178" si="367">IF(X2115="Fair", 1, 0)</f>
        <v>0</v>
      </c>
      <c r="AE2115" s="12">
        <f t="shared" ref="AE2115:AE2178" si="368">IF(X2115="Good", 1, 0)</f>
        <v>0</v>
      </c>
      <c r="AF2115">
        <f t="shared" si="364"/>
        <v>0</v>
      </c>
      <c r="AG2115">
        <f t="shared" ref="AG2115:AG2178" si="369">IF(O2115="Mid", 1, 0)</f>
        <v>1</v>
      </c>
      <c r="AH2115">
        <f t="shared" ref="AH2115:AH2178" si="370">IF(I2115="High", 1, 0)</f>
        <v>0</v>
      </c>
      <c r="AI2115">
        <f t="shared" ref="AI2115:AI2178" si="371">IF(I2115="Critical", 1, 0)</f>
        <v>0</v>
      </c>
      <c r="AJ2115">
        <f t="shared" ref="AJ2115:AJ2178" si="372">IF(I2115="Medium", 1, 0)</f>
        <v>1</v>
      </c>
      <c r="AK2115">
        <f t="shared" si="365"/>
        <v>0</v>
      </c>
      <c r="AL2115">
        <f t="shared" ref="AL2115:AL2178" si="373">IF(Y2115="No", 1, 0)</f>
        <v>0</v>
      </c>
    </row>
    <row r="2116" spans="1:38">
      <c r="A2116" t="s">
        <v>6475</v>
      </c>
      <c r="B2116" t="s">
        <v>6476</v>
      </c>
      <c r="C2116" s="1">
        <f t="shared" si="366"/>
        <v>45566</v>
      </c>
      <c r="D2116" t="s">
        <v>6477</v>
      </c>
      <c r="E2116">
        <v>495</v>
      </c>
      <c r="F2116">
        <v>20.6</v>
      </c>
      <c r="G2116" t="s">
        <v>87</v>
      </c>
      <c r="H2116" t="s">
        <v>183</v>
      </c>
      <c r="I2116" t="s">
        <v>32</v>
      </c>
      <c r="J2116">
        <v>240</v>
      </c>
      <c r="K2116" t="s">
        <v>33</v>
      </c>
      <c r="L2116" t="s">
        <v>70</v>
      </c>
      <c r="M2116" t="s">
        <v>71</v>
      </c>
      <c r="N2116" t="s">
        <v>138</v>
      </c>
      <c r="O2116" t="s">
        <v>7232</v>
      </c>
      <c r="P2116" t="s">
        <v>38</v>
      </c>
      <c r="Q2116" t="s">
        <v>39</v>
      </c>
      <c r="R2116">
        <v>4</v>
      </c>
      <c r="S2116" t="s">
        <v>38</v>
      </c>
      <c r="T2116">
        <v>3</v>
      </c>
      <c r="U2116">
        <v>0.1</v>
      </c>
      <c r="V2116">
        <v>3.3</v>
      </c>
      <c r="W2116" t="s">
        <v>39</v>
      </c>
      <c r="X2116" t="s">
        <v>63</v>
      </c>
      <c r="Y2116" t="s">
        <v>39</v>
      </c>
      <c r="Z2116" t="s">
        <v>41</v>
      </c>
      <c r="AA2116" t="s">
        <v>109</v>
      </c>
      <c r="AB2116" t="s">
        <v>55</v>
      </c>
      <c r="AC2116">
        <f t="shared" si="363"/>
        <v>0</v>
      </c>
      <c r="AD2116" s="12">
        <f t="shared" si="367"/>
        <v>1</v>
      </c>
      <c r="AE2116" s="12">
        <f t="shared" si="368"/>
        <v>0</v>
      </c>
      <c r="AF2116">
        <f t="shared" si="364"/>
        <v>0</v>
      </c>
      <c r="AG2116">
        <f t="shared" si="369"/>
        <v>1</v>
      </c>
      <c r="AH2116">
        <f t="shared" si="370"/>
        <v>0</v>
      </c>
      <c r="AI2116">
        <f t="shared" si="371"/>
        <v>0</v>
      </c>
      <c r="AJ2116">
        <f t="shared" si="372"/>
        <v>1</v>
      </c>
      <c r="AK2116">
        <f t="shared" si="365"/>
        <v>0</v>
      </c>
      <c r="AL2116">
        <f t="shared" si="373"/>
        <v>0</v>
      </c>
    </row>
    <row r="2117" spans="1:38">
      <c r="A2117" t="s">
        <v>6478</v>
      </c>
      <c r="B2117" t="s">
        <v>6479</v>
      </c>
      <c r="C2117" s="1">
        <f t="shared" si="366"/>
        <v>45536</v>
      </c>
      <c r="D2117" t="s">
        <v>6480</v>
      </c>
      <c r="E2117">
        <v>48.6</v>
      </c>
      <c r="F2117">
        <v>2</v>
      </c>
      <c r="G2117" t="s">
        <v>87</v>
      </c>
      <c r="H2117" t="s">
        <v>88</v>
      </c>
      <c r="I2117" t="s">
        <v>95</v>
      </c>
      <c r="J2117">
        <v>48</v>
      </c>
      <c r="K2117" t="s">
        <v>33</v>
      </c>
      <c r="L2117" t="s">
        <v>34</v>
      </c>
      <c r="M2117" t="s">
        <v>71</v>
      </c>
      <c r="N2117" t="s">
        <v>192</v>
      </c>
      <c r="O2117" t="s">
        <v>7232</v>
      </c>
      <c r="P2117" t="s">
        <v>38</v>
      </c>
      <c r="Q2117" t="s">
        <v>39</v>
      </c>
      <c r="R2117">
        <v>3</v>
      </c>
      <c r="S2117" t="s">
        <v>38</v>
      </c>
      <c r="T2117">
        <v>3</v>
      </c>
      <c r="U2117">
        <v>2.5</v>
      </c>
      <c r="V2117">
        <v>17</v>
      </c>
      <c r="W2117" t="s">
        <v>39</v>
      </c>
      <c r="X2117" t="s">
        <v>123</v>
      </c>
      <c r="Y2117" t="s">
        <v>38</v>
      </c>
      <c r="Z2117" t="s">
        <v>73</v>
      </c>
      <c r="AA2117" t="s">
        <v>54</v>
      </c>
      <c r="AB2117" t="s">
        <v>55</v>
      </c>
      <c r="AC2117">
        <f t="shared" si="363"/>
        <v>0</v>
      </c>
      <c r="AD2117" s="12">
        <f t="shared" si="367"/>
        <v>0</v>
      </c>
      <c r="AE2117" s="12">
        <f t="shared" si="368"/>
        <v>1</v>
      </c>
      <c r="AF2117">
        <f t="shared" si="364"/>
        <v>0</v>
      </c>
      <c r="AG2117">
        <f t="shared" si="369"/>
        <v>1</v>
      </c>
      <c r="AH2117">
        <f t="shared" si="370"/>
        <v>0</v>
      </c>
      <c r="AI2117">
        <f t="shared" si="371"/>
        <v>1</v>
      </c>
      <c r="AJ2117">
        <f t="shared" si="372"/>
        <v>0</v>
      </c>
      <c r="AK2117">
        <f t="shared" si="365"/>
        <v>0</v>
      </c>
      <c r="AL2117">
        <f t="shared" si="373"/>
        <v>1</v>
      </c>
    </row>
    <row r="2118" spans="1:38">
      <c r="A2118" t="s">
        <v>6481</v>
      </c>
      <c r="B2118" t="s">
        <v>6482</v>
      </c>
      <c r="C2118" s="1">
        <f t="shared" si="366"/>
        <v>45444</v>
      </c>
      <c r="D2118" t="s">
        <v>6483</v>
      </c>
      <c r="E2118">
        <v>329.2</v>
      </c>
      <c r="F2118">
        <v>13.7</v>
      </c>
      <c r="G2118" t="s">
        <v>77</v>
      </c>
      <c r="H2118" t="s">
        <v>78</v>
      </c>
      <c r="I2118" t="s">
        <v>79</v>
      </c>
      <c r="J2118">
        <v>360</v>
      </c>
      <c r="K2118" t="s">
        <v>49</v>
      </c>
      <c r="L2118" t="s">
        <v>96</v>
      </c>
      <c r="M2118" t="s">
        <v>35</v>
      </c>
      <c r="N2118" t="s">
        <v>50</v>
      </c>
      <c r="O2118" t="s">
        <v>7232</v>
      </c>
      <c r="P2118" t="s">
        <v>39</v>
      </c>
      <c r="Q2118" t="s">
        <v>38</v>
      </c>
      <c r="R2118">
        <v>0</v>
      </c>
      <c r="S2118" t="s">
        <v>38</v>
      </c>
      <c r="T2118">
        <v>9</v>
      </c>
      <c r="U2118">
        <v>0.8</v>
      </c>
      <c r="V2118">
        <v>42.4</v>
      </c>
      <c r="W2118" t="s">
        <v>39</v>
      </c>
      <c r="X2118" t="s">
        <v>63</v>
      </c>
      <c r="Y2118" t="s">
        <v>38</v>
      </c>
      <c r="Z2118" t="s">
        <v>73</v>
      </c>
      <c r="AA2118" t="s">
        <v>82</v>
      </c>
      <c r="AB2118" t="s">
        <v>55</v>
      </c>
      <c r="AC2118">
        <f t="shared" si="363"/>
        <v>0</v>
      </c>
      <c r="AD2118" s="12">
        <f t="shared" si="367"/>
        <v>1</v>
      </c>
      <c r="AE2118" s="12">
        <f t="shared" si="368"/>
        <v>0</v>
      </c>
      <c r="AF2118">
        <f t="shared" si="364"/>
        <v>0</v>
      </c>
      <c r="AG2118">
        <f t="shared" si="369"/>
        <v>1</v>
      </c>
      <c r="AH2118">
        <f t="shared" si="370"/>
        <v>0</v>
      </c>
      <c r="AI2118">
        <f t="shared" si="371"/>
        <v>0</v>
      </c>
      <c r="AJ2118">
        <f t="shared" si="372"/>
        <v>0</v>
      </c>
      <c r="AK2118">
        <f t="shared" si="365"/>
        <v>0</v>
      </c>
      <c r="AL2118">
        <f t="shared" si="373"/>
        <v>1</v>
      </c>
    </row>
    <row r="2119" spans="1:38">
      <c r="A2119" t="s">
        <v>6484</v>
      </c>
      <c r="B2119" t="s">
        <v>6485</v>
      </c>
      <c r="C2119" s="1">
        <f t="shared" si="366"/>
        <v>45627</v>
      </c>
      <c r="D2119" t="s">
        <v>6486</v>
      </c>
      <c r="E2119">
        <v>306</v>
      </c>
      <c r="F2119">
        <v>12.8</v>
      </c>
      <c r="G2119" t="s">
        <v>77</v>
      </c>
      <c r="H2119" t="s">
        <v>267</v>
      </c>
      <c r="I2119" t="s">
        <v>79</v>
      </c>
      <c r="J2119">
        <v>360</v>
      </c>
      <c r="K2119" t="s">
        <v>49</v>
      </c>
      <c r="L2119" t="s">
        <v>34</v>
      </c>
      <c r="M2119" t="s">
        <v>35</v>
      </c>
      <c r="N2119" t="s">
        <v>277</v>
      </c>
      <c r="O2119" t="s">
        <v>7232</v>
      </c>
      <c r="P2119" t="s">
        <v>38</v>
      </c>
      <c r="Q2119" t="s">
        <v>38</v>
      </c>
      <c r="R2119">
        <v>1</v>
      </c>
      <c r="S2119" t="s">
        <v>38</v>
      </c>
      <c r="T2119">
        <v>8</v>
      </c>
      <c r="U2119">
        <v>0.7</v>
      </c>
      <c r="V2119">
        <v>18.899999999999999</v>
      </c>
      <c r="W2119" t="s">
        <v>39</v>
      </c>
      <c r="X2119" t="s">
        <v>40</v>
      </c>
      <c r="Y2119" t="s">
        <v>38</v>
      </c>
      <c r="Z2119" t="s">
        <v>73</v>
      </c>
      <c r="AA2119" t="s">
        <v>109</v>
      </c>
      <c r="AB2119" t="s">
        <v>55</v>
      </c>
      <c r="AC2119">
        <f t="shared" si="363"/>
        <v>0</v>
      </c>
      <c r="AD2119" s="12">
        <f t="shared" si="367"/>
        <v>0</v>
      </c>
      <c r="AE2119" s="12">
        <f t="shared" si="368"/>
        <v>0</v>
      </c>
      <c r="AF2119">
        <f t="shared" si="364"/>
        <v>0</v>
      </c>
      <c r="AG2119">
        <f t="shared" si="369"/>
        <v>1</v>
      </c>
      <c r="AH2119">
        <f t="shared" si="370"/>
        <v>0</v>
      </c>
      <c r="AI2119">
        <f t="shared" si="371"/>
        <v>0</v>
      </c>
      <c r="AJ2119">
        <f t="shared" si="372"/>
        <v>0</v>
      </c>
      <c r="AK2119">
        <f t="shared" si="365"/>
        <v>0</v>
      </c>
      <c r="AL2119">
        <f t="shared" si="373"/>
        <v>1</v>
      </c>
    </row>
    <row r="2120" spans="1:38">
      <c r="A2120" t="s">
        <v>6487</v>
      </c>
      <c r="B2120" t="s">
        <v>6488</v>
      </c>
      <c r="C2120" s="1">
        <f t="shared" si="366"/>
        <v>45444</v>
      </c>
      <c r="D2120" t="s">
        <v>6489</v>
      </c>
      <c r="E2120">
        <v>145.5</v>
      </c>
      <c r="F2120">
        <v>6.1</v>
      </c>
      <c r="G2120" t="s">
        <v>77</v>
      </c>
      <c r="H2120" t="s">
        <v>244</v>
      </c>
      <c r="I2120" t="s">
        <v>32</v>
      </c>
      <c r="J2120">
        <v>240</v>
      </c>
      <c r="K2120" t="s">
        <v>49</v>
      </c>
      <c r="L2120" t="s">
        <v>34</v>
      </c>
      <c r="M2120" t="s">
        <v>35</v>
      </c>
      <c r="N2120" t="s">
        <v>164</v>
      </c>
      <c r="O2120" t="s">
        <v>7232</v>
      </c>
      <c r="P2120" t="s">
        <v>38</v>
      </c>
      <c r="Q2120" t="s">
        <v>38</v>
      </c>
      <c r="R2120">
        <v>1</v>
      </c>
      <c r="S2120" t="s">
        <v>39</v>
      </c>
      <c r="T2120">
        <v>8</v>
      </c>
      <c r="U2120">
        <v>1.2</v>
      </c>
      <c r="V2120">
        <v>8.5</v>
      </c>
      <c r="W2120" t="s">
        <v>39</v>
      </c>
      <c r="X2120" t="s">
        <v>40</v>
      </c>
      <c r="Y2120" t="s">
        <v>38</v>
      </c>
      <c r="Z2120" t="s">
        <v>41</v>
      </c>
      <c r="AA2120" t="s">
        <v>54</v>
      </c>
      <c r="AB2120" t="s">
        <v>43</v>
      </c>
      <c r="AC2120">
        <f t="shared" si="363"/>
        <v>0</v>
      </c>
      <c r="AD2120" s="12">
        <f t="shared" si="367"/>
        <v>0</v>
      </c>
      <c r="AE2120" s="12">
        <f t="shared" si="368"/>
        <v>0</v>
      </c>
      <c r="AF2120">
        <f t="shared" si="364"/>
        <v>0</v>
      </c>
      <c r="AG2120">
        <f t="shared" si="369"/>
        <v>1</v>
      </c>
      <c r="AH2120">
        <f t="shared" si="370"/>
        <v>0</v>
      </c>
      <c r="AI2120">
        <f t="shared" si="371"/>
        <v>0</v>
      </c>
      <c r="AJ2120">
        <f t="shared" si="372"/>
        <v>1</v>
      </c>
      <c r="AK2120">
        <f t="shared" si="365"/>
        <v>0</v>
      </c>
      <c r="AL2120">
        <f t="shared" si="373"/>
        <v>1</v>
      </c>
    </row>
    <row r="2121" spans="1:38">
      <c r="A2121" t="s">
        <v>6490</v>
      </c>
      <c r="B2121" t="s">
        <v>6491</v>
      </c>
      <c r="C2121" s="1">
        <f t="shared" si="366"/>
        <v>45352</v>
      </c>
      <c r="D2121" t="s">
        <v>6492</v>
      </c>
      <c r="E2121">
        <v>176</v>
      </c>
      <c r="F2121">
        <v>7.3</v>
      </c>
      <c r="G2121" t="s">
        <v>30</v>
      </c>
      <c r="H2121" t="s">
        <v>47</v>
      </c>
      <c r="I2121" t="s">
        <v>32</v>
      </c>
      <c r="J2121">
        <v>240</v>
      </c>
      <c r="K2121" t="s">
        <v>49</v>
      </c>
      <c r="L2121" t="s">
        <v>113</v>
      </c>
      <c r="M2121" t="s">
        <v>35</v>
      </c>
      <c r="N2121" t="s">
        <v>97</v>
      </c>
      <c r="O2121" t="s">
        <v>51</v>
      </c>
      <c r="P2121" t="s">
        <v>38</v>
      </c>
      <c r="Q2121" t="s">
        <v>38</v>
      </c>
      <c r="R2121">
        <v>1</v>
      </c>
      <c r="S2121" t="s">
        <v>38</v>
      </c>
      <c r="T2121">
        <v>10</v>
      </c>
      <c r="U2121">
        <v>4.9000000000000004</v>
      </c>
      <c r="V2121">
        <v>4.2</v>
      </c>
      <c r="W2121" t="s">
        <v>38</v>
      </c>
      <c r="X2121" t="s">
        <v>40</v>
      </c>
      <c r="Y2121" t="s">
        <v>38</v>
      </c>
      <c r="Z2121" t="s">
        <v>41</v>
      </c>
      <c r="AA2121" t="s">
        <v>109</v>
      </c>
      <c r="AB2121" t="s">
        <v>43</v>
      </c>
      <c r="AC2121">
        <f t="shared" si="363"/>
        <v>0</v>
      </c>
      <c r="AD2121" s="12">
        <f t="shared" si="367"/>
        <v>0</v>
      </c>
      <c r="AE2121" s="12">
        <f t="shared" si="368"/>
        <v>0</v>
      </c>
      <c r="AF2121">
        <f t="shared" si="364"/>
        <v>1</v>
      </c>
      <c r="AG2121">
        <f t="shared" si="369"/>
        <v>0</v>
      </c>
      <c r="AH2121">
        <f t="shared" si="370"/>
        <v>0</v>
      </c>
      <c r="AI2121">
        <f t="shared" si="371"/>
        <v>0</v>
      </c>
      <c r="AJ2121">
        <f t="shared" si="372"/>
        <v>1</v>
      </c>
      <c r="AK2121">
        <f t="shared" si="365"/>
        <v>1</v>
      </c>
      <c r="AL2121">
        <f t="shared" si="373"/>
        <v>1</v>
      </c>
    </row>
    <row r="2122" spans="1:38">
      <c r="A2122" t="s">
        <v>6493</v>
      </c>
      <c r="B2122" t="s">
        <v>6494</v>
      </c>
      <c r="C2122" s="1">
        <f t="shared" si="366"/>
        <v>45505</v>
      </c>
      <c r="D2122" t="s">
        <v>6495</v>
      </c>
      <c r="E2122">
        <v>242.4</v>
      </c>
      <c r="F2122">
        <v>10.1</v>
      </c>
      <c r="G2122" t="s">
        <v>77</v>
      </c>
      <c r="H2122" t="s">
        <v>187</v>
      </c>
      <c r="I2122" t="s">
        <v>79</v>
      </c>
      <c r="J2122">
        <v>360</v>
      </c>
      <c r="K2122" t="s">
        <v>49</v>
      </c>
      <c r="L2122" t="s">
        <v>96</v>
      </c>
      <c r="M2122" t="s">
        <v>35</v>
      </c>
      <c r="N2122" t="s">
        <v>202</v>
      </c>
      <c r="O2122" t="s">
        <v>7232</v>
      </c>
      <c r="P2122" t="s">
        <v>38</v>
      </c>
      <c r="Q2122" t="s">
        <v>38</v>
      </c>
      <c r="R2122">
        <v>1</v>
      </c>
      <c r="S2122" t="s">
        <v>38</v>
      </c>
      <c r="T2122">
        <v>8</v>
      </c>
      <c r="U2122">
        <v>6.8</v>
      </c>
      <c r="V2122">
        <v>8.6999999999999993</v>
      </c>
      <c r="W2122" t="s">
        <v>39</v>
      </c>
      <c r="X2122" t="s">
        <v>63</v>
      </c>
      <c r="Y2122" t="s">
        <v>38</v>
      </c>
      <c r="Z2122" t="s">
        <v>41</v>
      </c>
      <c r="AA2122" t="s">
        <v>54</v>
      </c>
      <c r="AB2122" t="s">
        <v>55</v>
      </c>
      <c r="AC2122">
        <f t="shared" si="363"/>
        <v>0</v>
      </c>
      <c r="AD2122" s="12">
        <f t="shared" si="367"/>
        <v>1</v>
      </c>
      <c r="AE2122" s="12">
        <f t="shared" si="368"/>
        <v>0</v>
      </c>
      <c r="AF2122">
        <f t="shared" si="364"/>
        <v>0</v>
      </c>
      <c r="AG2122">
        <f t="shared" si="369"/>
        <v>1</v>
      </c>
      <c r="AH2122">
        <f t="shared" si="370"/>
        <v>0</v>
      </c>
      <c r="AI2122">
        <f t="shared" si="371"/>
        <v>0</v>
      </c>
      <c r="AJ2122">
        <f t="shared" si="372"/>
        <v>0</v>
      </c>
      <c r="AK2122">
        <f t="shared" si="365"/>
        <v>0</v>
      </c>
      <c r="AL2122">
        <f t="shared" si="373"/>
        <v>1</v>
      </c>
    </row>
    <row r="2123" spans="1:38">
      <c r="A2123" t="s">
        <v>6496</v>
      </c>
      <c r="B2123" t="s">
        <v>6497</v>
      </c>
      <c r="C2123" s="1">
        <f t="shared" si="366"/>
        <v>45566</v>
      </c>
      <c r="D2123" t="s">
        <v>6498</v>
      </c>
      <c r="E2123">
        <v>290.10000000000002</v>
      </c>
      <c r="F2123">
        <v>12.1</v>
      </c>
      <c r="G2123" t="s">
        <v>59</v>
      </c>
      <c r="H2123" t="s">
        <v>281</v>
      </c>
      <c r="I2123" t="s">
        <v>79</v>
      </c>
      <c r="J2123">
        <v>360</v>
      </c>
      <c r="K2123" t="s">
        <v>49</v>
      </c>
      <c r="L2123" t="s">
        <v>96</v>
      </c>
      <c r="M2123" t="s">
        <v>35</v>
      </c>
      <c r="N2123" t="s">
        <v>202</v>
      </c>
      <c r="O2123" t="s">
        <v>37</v>
      </c>
      <c r="P2123" t="s">
        <v>38</v>
      </c>
      <c r="Q2123" t="s">
        <v>38</v>
      </c>
      <c r="R2123">
        <v>1</v>
      </c>
      <c r="S2123" t="s">
        <v>38</v>
      </c>
      <c r="T2123">
        <v>9</v>
      </c>
      <c r="U2123">
        <v>2.6</v>
      </c>
      <c r="V2123">
        <v>31.3</v>
      </c>
      <c r="W2123" t="s">
        <v>38</v>
      </c>
      <c r="X2123" t="s">
        <v>123</v>
      </c>
      <c r="Y2123" t="s">
        <v>39</v>
      </c>
      <c r="Z2123" t="s">
        <v>53</v>
      </c>
      <c r="AA2123" t="s">
        <v>54</v>
      </c>
      <c r="AB2123" t="s">
        <v>55</v>
      </c>
      <c r="AC2123">
        <f t="shared" si="363"/>
        <v>0</v>
      </c>
      <c r="AD2123" s="12">
        <f t="shared" si="367"/>
        <v>0</v>
      </c>
      <c r="AE2123" s="12">
        <f t="shared" si="368"/>
        <v>1</v>
      </c>
      <c r="AF2123">
        <f t="shared" si="364"/>
        <v>0</v>
      </c>
      <c r="AG2123">
        <f t="shared" si="369"/>
        <v>0</v>
      </c>
      <c r="AH2123">
        <f t="shared" si="370"/>
        <v>0</v>
      </c>
      <c r="AI2123">
        <f t="shared" si="371"/>
        <v>0</v>
      </c>
      <c r="AJ2123">
        <f t="shared" si="372"/>
        <v>0</v>
      </c>
      <c r="AK2123">
        <f t="shared" si="365"/>
        <v>0</v>
      </c>
      <c r="AL2123">
        <f t="shared" si="373"/>
        <v>0</v>
      </c>
    </row>
    <row r="2124" spans="1:38">
      <c r="A2124" t="s">
        <v>6499</v>
      </c>
      <c r="B2124" t="s">
        <v>6500</v>
      </c>
      <c r="C2124" s="1">
        <f t="shared" si="366"/>
        <v>45444</v>
      </c>
      <c r="D2124" t="s">
        <v>6501</v>
      </c>
      <c r="E2124">
        <v>96.7</v>
      </c>
      <c r="F2124">
        <v>4</v>
      </c>
      <c r="G2124" t="s">
        <v>59</v>
      </c>
      <c r="H2124" t="s">
        <v>132</v>
      </c>
      <c r="I2124" t="s">
        <v>48</v>
      </c>
      <c r="J2124">
        <v>120</v>
      </c>
      <c r="K2124" t="s">
        <v>49</v>
      </c>
      <c r="L2124" t="s">
        <v>70</v>
      </c>
      <c r="M2124" t="s">
        <v>35</v>
      </c>
      <c r="N2124" t="s">
        <v>202</v>
      </c>
      <c r="O2124" t="s">
        <v>7232</v>
      </c>
      <c r="P2124" t="s">
        <v>38</v>
      </c>
      <c r="Q2124" t="s">
        <v>38</v>
      </c>
      <c r="R2124">
        <v>1</v>
      </c>
      <c r="S2124" t="s">
        <v>38</v>
      </c>
      <c r="T2124">
        <v>9</v>
      </c>
      <c r="U2124">
        <v>5.2</v>
      </c>
      <c r="V2124">
        <v>0</v>
      </c>
      <c r="W2124" t="s">
        <v>38</v>
      </c>
      <c r="X2124" t="s">
        <v>63</v>
      </c>
      <c r="Y2124" t="s">
        <v>39</v>
      </c>
      <c r="Z2124" t="s">
        <v>41</v>
      </c>
      <c r="AA2124" t="s">
        <v>54</v>
      </c>
      <c r="AB2124" t="s">
        <v>55</v>
      </c>
      <c r="AC2124">
        <f t="shared" si="363"/>
        <v>0</v>
      </c>
      <c r="AD2124" s="12">
        <f t="shared" si="367"/>
        <v>1</v>
      </c>
      <c r="AE2124" s="12">
        <f t="shared" si="368"/>
        <v>0</v>
      </c>
      <c r="AF2124">
        <f t="shared" si="364"/>
        <v>0</v>
      </c>
      <c r="AG2124">
        <f t="shared" si="369"/>
        <v>1</v>
      </c>
      <c r="AH2124">
        <f t="shared" si="370"/>
        <v>1</v>
      </c>
      <c r="AI2124">
        <f t="shared" si="371"/>
        <v>0</v>
      </c>
      <c r="AJ2124">
        <f t="shared" si="372"/>
        <v>0</v>
      </c>
      <c r="AK2124">
        <f t="shared" si="365"/>
        <v>0</v>
      </c>
      <c r="AL2124">
        <f t="shared" si="373"/>
        <v>0</v>
      </c>
    </row>
    <row r="2125" spans="1:38">
      <c r="A2125" t="s">
        <v>6502</v>
      </c>
      <c r="B2125" t="s">
        <v>6503</v>
      </c>
      <c r="C2125" s="1">
        <f t="shared" si="366"/>
        <v>45536</v>
      </c>
      <c r="D2125" t="s">
        <v>6504</v>
      </c>
      <c r="E2125">
        <v>436.3</v>
      </c>
      <c r="F2125">
        <v>18.2</v>
      </c>
      <c r="G2125" t="s">
        <v>77</v>
      </c>
      <c r="H2125" t="s">
        <v>78</v>
      </c>
      <c r="I2125" t="s">
        <v>79</v>
      </c>
      <c r="J2125">
        <v>360</v>
      </c>
      <c r="K2125" t="s">
        <v>33</v>
      </c>
      <c r="L2125" t="s">
        <v>70</v>
      </c>
      <c r="M2125" t="s">
        <v>35</v>
      </c>
      <c r="N2125" t="s">
        <v>138</v>
      </c>
      <c r="O2125" t="s">
        <v>7232</v>
      </c>
      <c r="P2125" t="s">
        <v>39</v>
      </c>
      <c r="Q2125" t="s">
        <v>38</v>
      </c>
      <c r="R2125">
        <v>0</v>
      </c>
      <c r="S2125" t="s">
        <v>39</v>
      </c>
      <c r="T2125">
        <v>8</v>
      </c>
      <c r="U2125">
        <v>0.6</v>
      </c>
      <c r="V2125">
        <v>28.2</v>
      </c>
      <c r="W2125" t="s">
        <v>39</v>
      </c>
      <c r="X2125" t="s">
        <v>63</v>
      </c>
      <c r="Y2125" t="s">
        <v>39</v>
      </c>
      <c r="Z2125" t="s">
        <v>53</v>
      </c>
      <c r="AA2125" t="s">
        <v>109</v>
      </c>
      <c r="AB2125" t="s">
        <v>83</v>
      </c>
      <c r="AC2125">
        <f t="shared" si="363"/>
        <v>0</v>
      </c>
      <c r="AD2125" s="12">
        <f t="shared" si="367"/>
        <v>1</v>
      </c>
      <c r="AE2125" s="12">
        <f t="shared" si="368"/>
        <v>0</v>
      </c>
      <c r="AF2125">
        <f t="shared" si="364"/>
        <v>0</v>
      </c>
      <c r="AG2125">
        <f t="shared" si="369"/>
        <v>1</v>
      </c>
      <c r="AH2125">
        <f t="shared" si="370"/>
        <v>0</v>
      </c>
      <c r="AI2125">
        <f t="shared" si="371"/>
        <v>0</v>
      </c>
      <c r="AJ2125">
        <f t="shared" si="372"/>
        <v>0</v>
      </c>
      <c r="AK2125">
        <f t="shared" si="365"/>
        <v>0</v>
      </c>
      <c r="AL2125">
        <f t="shared" si="373"/>
        <v>0</v>
      </c>
    </row>
    <row r="2126" spans="1:38">
      <c r="A2126" t="s">
        <v>6505</v>
      </c>
      <c r="B2126" t="s">
        <v>6506</v>
      </c>
      <c r="C2126" s="1">
        <f t="shared" si="366"/>
        <v>45597</v>
      </c>
      <c r="D2126" t="s">
        <v>6507</v>
      </c>
      <c r="E2126">
        <v>107.6</v>
      </c>
      <c r="F2126">
        <v>4.5</v>
      </c>
      <c r="G2126" t="s">
        <v>77</v>
      </c>
      <c r="H2126" t="s">
        <v>187</v>
      </c>
      <c r="I2126" t="s">
        <v>48</v>
      </c>
      <c r="J2126">
        <v>120</v>
      </c>
      <c r="K2126" t="s">
        <v>49</v>
      </c>
      <c r="L2126" t="s">
        <v>70</v>
      </c>
      <c r="M2126" t="s">
        <v>35</v>
      </c>
      <c r="N2126" t="s">
        <v>97</v>
      </c>
      <c r="O2126" t="s">
        <v>7232</v>
      </c>
      <c r="P2126" t="s">
        <v>39</v>
      </c>
      <c r="Q2126" t="s">
        <v>38</v>
      </c>
      <c r="R2126">
        <v>0</v>
      </c>
      <c r="S2126" t="s">
        <v>38</v>
      </c>
      <c r="T2126">
        <v>8</v>
      </c>
      <c r="U2126">
        <v>3.9</v>
      </c>
      <c r="V2126">
        <v>28.1</v>
      </c>
      <c r="W2126" t="s">
        <v>39</v>
      </c>
      <c r="X2126" t="s">
        <v>63</v>
      </c>
      <c r="Y2126" t="s">
        <v>38</v>
      </c>
      <c r="Z2126" t="s">
        <v>115</v>
      </c>
      <c r="AA2126" t="s">
        <v>109</v>
      </c>
      <c r="AB2126" t="s">
        <v>55</v>
      </c>
      <c r="AC2126">
        <f t="shared" si="363"/>
        <v>0</v>
      </c>
      <c r="AD2126" s="12">
        <f t="shared" si="367"/>
        <v>1</v>
      </c>
      <c r="AE2126" s="12">
        <f t="shared" si="368"/>
        <v>0</v>
      </c>
      <c r="AF2126">
        <f t="shared" si="364"/>
        <v>0</v>
      </c>
      <c r="AG2126">
        <f t="shared" si="369"/>
        <v>1</v>
      </c>
      <c r="AH2126">
        <f t="shared" si="370"/>
        <v>1</v>
      </c>
      <c r="AI2126">
        <f t="shared" si="371"/>
        <v>0</v>
      </c>
      <c r="AJ2126">
        <f t="shared" si="372"/>
        <v>0</v>
      </c>
      <c r="AK2126">
        <f t="shared" si="365"/>
        <v>0</v>
      </c>
      <c r="AL2126">
        <f t="shared" si="373"/>
        <v>1</v>
      </c>
    </row>
    <row r="2127" spans="1:38">
      <c r="A2127" t="s">
        <v>6508</v>
      </c>
      <c r="B2127" t="s">
        <v>6509</v>
      </c>
      <c r="C2127" s="1">
        <f t="shared" si="366"/>
        <v>45566</v>
      </c>
      <c r="D2127" t="s">
        <v>6510</v>
      </c>
      <c r="E2127">
        <v>199.1</v>
      </c>
      <c r="F2127">
        <v>8.3000000000000007</v>
      </c>
      <c r="G2127" t="s">
        <v>68</v>
      </c>
      <c r="H2127" t="s">
        <v>219</v>
      </c>
      <c r="I2127" t="s">
        <v>48</v>
      </c>
      <c r="J2127">
        <v>120</v>
      </c>
      <c r="K2127" t="s">
        <v>33</v>
      </c>
      <c r="L2127" t="s">
        <v>34</v>
      </c>
      <c r="M2127" t="s">
        <v>35</v>
      </c>
      <c r="N2127" t="s">
        <v>168</v>
      </c>
      <c r="O2127" t="s">
        <v>37</v>
      </c>
      <c r="P2127" t="s">
        <v>38</v>
      </c>
      <c r="Q2127" t="s">
        <v>38</v>
      </c>
      <c r="R2127">
        <v>1</v>
      </c>
      <c r="S2127" t="s">
        <v>38</v>
      </c>
      <c r="T2127">
        <v>4</v>
      </c>
      <c r="U2127">
        <v>1.9</v>
      </c>
      <c r="V2127">
        <v>19</v>
      </c>
      <c r="W2127" t="s">
        <v>39</v>
      </c>
      <c r="X2127" t="s">
        <v>52</v>
      </c>
      <c r="Y2127" t="s">
        <v>38</v>
      </c>
      <c r="Z2127" t="s">
        <v>115</v>
      </c>
      <c r="AA2127" t="s">
        <v>82</v>
      </c>
      <c r="AB2127" t="s">
        <v>83</v>
      </c>
      <c r="AC2127">
        <f t="shared" si="363"/>
        <v>1</v>
      </c>
      <c r="AD2127" s="12">
        <f t="shared" si="367"/>
        <v>0</v>
      </c>
      <c r="AE2127" s="12">
        <f t="shared" si="368"/>
        <v>0</v>
      </c>
      <c r="AF2127">
        <f t="shared" si="364"/>
        <v>0</v>
      </c>
      <c r="AG2127">
        <f t="shared" si="369"/>
        <v>0</v>
      </c>
      <c r="AH2127">
        <f t="shared" si="370"/>
        <v>1</v>
      </c>
      <c r="AI2127">
        <f t="shared" si="371"/>
        <v>0</v>
      </c>
      <c r="AJ2127">
        <f t="shared" si="372"/>
        <v>0</v>
      </c>
      <c r="AK2127">
        <f t="shared" si="365"/>
        <v>0</v>
      </c>
      <c r="AL2127">
        <f t="shared" si="373"/>
        <v>1</v>
      </c>
    </row>
    <row r="2128" spans="1:38">
      <c r="A2128" t="s">
        <v>6511</v>
      </c>
      <c r="B2128" t="s">
        <v>6512</v>
      </c>
      <c r="C2128" s="1">
        <f t="shared" si="366"/>
        <v>45323</v>
      </c>
      <c r="D2128" t="s">
        <v>6513</v>
      </c>
      <c r="E2128">
        <v>97.1</v>
      </c>
      <c r="F2128">
        <v>4</v>
      </c>
      <c r="G2128" t="s">
        <v>68</v>
      </c>
      <c r="H2128" t="s">
        <v>69</v>
      </c>
      <c r="I2128" t="s">
        <v>48</v>
      </c>
      <c r="J2128">
        <v>120</v>
      </c>
      <c r="K2128" t="s">
        <v>49</v>
      </c>
      <c r="L2128" t="s">
        <v>70</v>
      </c>
      <c r="M2128" t="s">
        <v>71</v>
      </c>
      <c r="N2128" t="s">
        <v>72</v>
      </c>
      <c r="O2128" t="s">
        <v>51</v>
      </c>
      <c r="P2128" t="s">
        <v>38</v>
      </c>
      <c r="Q2128" t="s">
        <v>39</v>
      </c>
      <c r="R2128">
        <v>1</v>
      </c>
      <c r="S2128" t="s">
        <v>38</v>
      </c>
      <c r="T2128">
        <v>7</v>
      </c>
      <c r="U2128">
        <v>0.9</v>
      </c>
      <c r="V2128">
        <v>0</v>
      </c>
      <c r="W2128" t="s">
        <v>38</v>
      </c>
      <c r="X2128" t="s">
        <v>52</v>
      </c>
      <c r="Y2128" t="s">
        <v>39</v>
      </c>
      <c r="Z2128" t="s">
        <v>179</v>
      </c>
      <c r="AA2128" t="s">
        <v>54</v>
      </c>
      <c r="AB2128" t="s">
        <v>83</v>
      </c>
      <c r="AC2128">
        <f t="shared" si="363"/>
        <v>1</v>
      </c>
      <c r="AD2128" s="12">
        <f t="shared" si="367"/>
        <v>0</v>
      </c>
      <c r="AE2128" s="12">
        <f t="shared" si="368"/>
        <v>0</v>
      </c>
      <c r="AF2128">
        <f t="shared" si="364"/>
        <v>1</v>
      </c>
      <c r="AG2128">
        <f t="shared" si="369"/>
        <v>0</v>
      </c>
      <c r="AH2128">
        <f t="shared" si="370"/>
        <v>1</v>
      </c>
      <c r="AI2128">
        <f t="shared" si="371"/>
        <v>0</v>
      </c>
      <c r="AJ2128">
        <f t="shared" si="372"/>
        <v>0</v>
      </c>
      <c r="AK2128">
        <f t="shared" si="365"/>
        <v>0</v>
      </c>
      <c r="AL2128">
        <f t="shared" si="373"/>
        <v>0</v>
      </c>
    </row>
    <row r="2129" spans="1:38">
      <c r="A2129" t="s">
        <v>6514</v>
      </c>
      <c r="B2129" t="s">
        <v>6515</v>
      </c>
      <c r="C2129" s="1">
        <f t="shared" si="366"/>
        <v>45352</v>
      </c>
      <c r="D2129" t="s">
        <v>6516</v>
      </c>
      <c r="E2129">
        <v>101</v>
      </c>
      <c r="F2129">
        <v>4.2</v>
      </c>
      <c r="G2129" t="s">
        <v>142</v>
      </c>
      <c r="H2129" t="s">
        <v>240</v>
      </c>
      <c r="I2129" t="s">
        <v>48</v>
      </c>
      <c r="J2129">
        <v>120</v>
      </c>
      <c r="K2129" t="s">
        <v>49</v>
      </c>
      <c r="L2129" t="s">
        <v>96</v>
      </c>
      <c r="M2129" t="s">
        <v>71</v>
      </c>
      <c r="N2129" t="s">
        <v>202</v>
      </c>
      <c r="O2129" t="s">
        <v>51</v>
      </c>
      <c r="P2129" t="s">
        <v>38</v>
      </c>
      <c r="Q2129" t="s">
        <v>39</v>
      </c>
      <c r="R2129">
        <v>1</v>
      </c>
      <c r="S2129" t="s">
        <v>38</v>
      </c>
      <c r="T2129">
        <v>6</v>
      </c>
      <c r="U2129">
        <v>0.1</v>
      </c>
      <c r="V2129">
        <v>26.9</v>
      </c>
      <c r="W2129" t="s">
        <v>38</v>
      </c>
      <c r="X2129" t="s">
        <v>40</v>
      </c>
      <c r="Y2129" t="s">
        <v>39</v>
      </c>
      <c r="Z2129" t="s">
        <v>108</v>
      </c>
      <c r="AA2129" t="s">
        <v>109</v>
      </c>
      <c r="AB2129" t="s">
        <v>83</v>
      </c>
      <c r="AC2129">
        <f t="shared" si="363"/>
        <v>0</v>
      </c>
      <c r="AD2129" s="12">
        <f t="shared" si="367"/>
        <v>0</v>
      </c>
      <c r="AE2129" s="12">
        <f t="shared" si="368"/>
        <v>0</v>
      </c>
      <c r="AF2129">
        <f t="shared" si="364"/>
        <v>1</v>
      </c>
      <c r="AG2129">
        <f t="shared" si="369"/>
        <v>0</v>
      </c>
      <c r="AH2129">
        <f t="shared" si="370"/>
        <v>1</v>
      </c>
      <c r="AI2129">
        <f t="shared" si="371"/>
        <v>0</v>
      </c>
      <c r="AJ2129">
        <f t="shared" si="372"/>
        <v>0</v>
      </c>
      <c r="AK2129">
        <f t="shared" si="365"/>
        <v>0</v>
      </c>
      <c r="AL2129">
        <f t="shared" si="373"/>
        <v>0</v>
      </c>
    </row>
    <row r="2130" spans="1:38">
      <c r="A2130" t="s">
        <v>6517</v>
      </c>
      <c r="B2130" t="s">
        <v>6518</v>
      </c>
      <c r="C2130" s="1">
        <f t="shared" si="366"/>
        <v>45383</v>
      </c>
      <c r="D2130" t="s">
        <v>6519</v>
      </c>
      <c r="E2130">
        <v>334.9</v>
      </c>
      <c r="F2130">
        <v>14</v>
      </c>
      <c r="G2130" t="s">
        <v>77</v>
      </c>
      <c r="H2130" t="s">
        <v>187</v>
      </c>
      <c r="I2130" t="s">
        <v>79</v>
      </c>
      <c r="J2130">
        <v>360</v>
      </c>
      <c r="K2130" t="s">
        <v>49</v>
      </c>
      <c r="L2130" t="s">
        <v>34</v>
      </c>
      <c r="M2130" t="s">
        <v>35</v>
      </c>
      <c r="N2130" t="s">
        <v>202</v>
      </c>
      <c r="O2130" t="s">
        <v>7232</v>
      </c>
      <c r="P2130" t="s">
        <v>39</v>
      </c>
      <c r="Q2130" t="s">
        <v>38</v>
      </c>
      <c r="R2130">
        <v>0</v>
      </c>
      <c r="S2130" t="s">
        <v>38</v>
      </c>
      <c r="T2130">
        <v>9</v>
      </c>
      <c r="U2130">
        <v>2.1</v>
      </c>
      <c r="V2130">
        <v>4.9000000000000004</v>
      </c>
      <c r="W2130" t="s">
        <v>39</v>
      </c>
      <c r="X2130" t="s">
        <v>63</v>
      </c>
      <c r="Y2130" t="s">
        <v>39</v>
      </c>
      <c r="Z2130" t="s">
        <v>115</v>
      </c>
      <c r="AA2130" t="s">
        <v>54</v>
      </c>
      <c r="AB2130" t="s">
        <v>83</v>
      </c>
      <c r="AC2130">
        <f t="shared" si="363"/>
        <v>0</v>
      </c>
      <c r="AD2130" s="12">
        <f t="shared" si="367"/>
        <v>1</v>
      </c>
      <c r="AE2130" s="12">
        <f t="shared" si="368"/>
        <v>0</v>
      </c>
      <c r="AF2130">
        <f t="shared" si="364"/>
        <v>0</v>
      </c>
      <c r="AG2130">
        <f t="shared" si="369"/>
        <v>1</v>
      </c>
      <c r="AH2130">
        <f t="shared" si="370"/>
        <v>0</v>
      </c>
      <c r="AI2130">
        <f t="shared" si="371"/>
        <v>0</v>
      </c>
      <c r="AJ2130">
        <f t="shared" si="372"/>
        <v>0</v>
      </c>
      <c r="AK2130">
        <f t="shared" si="365"/>
        <v>0</v>
      </c>
      <c r="AL2130">
        <f t="shared" si="373"/>
        <v>0</v>
      </c>
    </row>
    <row r="2131" spans="1:38">
      <c r="A2131" t="s">
        <v>6520</v>
      </c>
      <c r="B2131" t="s">
        <v>6521</v>
      </c>
      <c r="C2131" s="1">
        <f t="shared" si="366"/>
        <v>45352</v>
      </c>
      <c r="D2131" t="s">
        <v>6522</v>
      </c>
      <c r="E2131">
        <v>330.5</v>
      </c>
      <c r="F2131">
        <v>13.8</v>
      </c>
      <c r="G2131" t="s">
        <v>87</v>
      </c>
      <c r="H2131" t="s">
        <v>309</v>
      </c>
      <c r="I2131" t="s">
        <v>32</v>
      </c>
      <c r="J2131">
        <v>240</v>
      </c>
      <c r="K2131" t="s">
        <v>33</v>
      </c>
      <c r="L2131" t="s">
        <v>70</v>
      </c>
      <c r="M2131" t="s">
        <v>35</v>
      </c>
      <c r="N2131" t="s">
        <v>299</v>
      </c>
      <c r="O2131" t="s">
        <v>37</v>
      </c>
      <c r="P2131" t="s">
        <v>38</v>
      </c>
      <c r="Q2131" t="s">
        <v>38</v>
      </c>
      <c r="R2131">
        <v>1</v>
      </c>
      <c r="S2131" t="s">
        <v>38</v>
      </c>
      <c r="T2131">
        <v>8</v>
      </c>
      <c r="U2131">
        <v>4.0999999999999996</v>
      </c>
      <c r="V2131">
        <v>7.5</v>
      </c>
      <c r="W2131" t="s">
        <v>38</v>
      </c>
      <c r="X2131" t="s">
        <v>52</v>
      </c>
      <c r="Y2131" t="s">
        <v>39</v>
      </c>
      <c r="Z2131" t="s">
        <v>179</v>
      </c>
      <c r="AA2131" t="s">
        <v>82</v>
      </c>
      <c r="AB2131" t="s">
        <v>43</v>
      </c>
      <c r="AC2131">
        <f t="shared" si="363"/>
        <v>1</v>
      </c>
      <c r="AD2131" s="12">
        <f t="shared" si="367"/>
        <v>0</v>
      </c>
      <c r="AE2131" s="12">
        <f t="shared" si="368"/>
        <v>0</v>
      </c>
      <c r="AF2131">
        <f t="shared" si="364"/>
        <v>0</v>
      </c>
      <c r="AG2131">
        <f t="shared" si="369"/>
        <v>0</v>
      </c>
      <c r="AH2131">
        <f t="shared" si="370"/>
        <v>0</v>
      </c>
      <c r="AI2131">
        <f t="shared" si="371"/>
        <v>0</v>
      </c>
      <c r="AJ2131">
        <f t="shared" si="372"/>
        <v>1</v>
      </c>
      <c r="AK2131">
        <f t="shared" si="365"/>
        <v>0</v>
      </c>
      <c r="AL2131">
        <f t="shared" si="373"/>
        <v>0</v>
      </c>
    </row>
    <row r="2132" spans="1:38">
      <c r="A2132" t="s">
        <v>6523</v>
      </c>
      <c r="B2132" t="s">
        <v>6524</v>
      </c>
      <c r="C2132" s="1">
        <f t="shared" si="366"/>
        <v>45413</v>
      </c>
      <c r="D2132" t="s">
        <v>6525</v>
      </c>
      <c r="E2132">
        <v>159.4</v>
      </c>
      <c r="F2132">
        <v>6.6</v>
      </c>
      <c r="G2132" t="s">
        <v>93</v>
      </c>
      <c r="H2132" t="s">
        <v>291</v>
      </c>
      <c r="I2132" t="s">
        <v>32</v>
      </c>
      <c r="J2132">
        <v>240</v>
      </c>
      <c r="K2132" t="s">
        <v>49</v>
      </c>
      <c r="L2132" t="s">
        <v>70</v>
      </c>
      <c r="M2132" t="s">
        <v>35</v>
      </c>
      <c r="N2132" t="s">
        <v>164</v>
      </c>
      <c r="O2132" t="s">
        <v>7232</v>
      </c>
      <c r="P2132" t="s">
        <v>39</v>
      </c>
      <c r="Q2132" t="s">
        <v>38</v>
      </c>
      <c r="R2132">
        <v>0</v>
      </c>
      <c r="S2132" t="s">
        <v>38</v>
      </c>
      <c r="T2132">
        <v>10</v>
      </c>
      <c r="U2132">
        <v>1.6</v>
      </c>
      <c r="V2132">
        <v>0.2</v>
      </c>
      <c r="W2132" t="s">
        <v>38</v>
      </c>
      <c r="X2132" t="s">
        <v>123</v>
      </c>
      <c r="Y2132" t="s">
        <v>38</v>
      </c>
      <c r="Z2132" t="s">
        <v>115</v>
      </c>
      <c r="AA2132" t="s">
        <v>54</v>
      </c>
      <c r="AB2132" t="s">
        <v>83</v>
      </c>
      <c r="AC2132">
        <f t="shared" si="363"/>
        <v>0</v>
      </c>
      <c r="AD2132" s="12">
        <f t="shared" si="367"/>
        <v>0</v>
      </c>
      <c r="AE2132" s="12">
        <f t="shared" si="368"/>
        <v>1</v>
      </c>
      <c r="AF2132">
        <f t="shared" si="364"/>
        <v>0</v>
      </c>
      <c r="AG2132">
        <f t="shared" si="369"/>
        <v>1</v>
      </c>
      <c r="AH2132">
        <f t="shared" si="370"/>
        <v>0</v>
      </c>
      <c r="AI2132">
        <f t="shared" si="371"/>
        <v>0</v>
      </c>
      <c r="AJ2132">
        <f t="shared" si="372"/>
        <v>1</v>
      </c>
      <c r="AK2132">
        <f t="shared" si="365"/>
        <v>0</v>
      </c>
      <c r="AL2132">
        <f t="shared" si="373"/>
        <v>1</v>
      </c>
    </row>
    <row r="2133" spans="1:38">
      <c r="A2133" t="s">
        <v>6526</v>
      </c>
      <c r="B2133" t="s">
        <v>6527</v>
      </c>
      <c r="C2133" s="1">
        <f t="shared" si="366"/>
        <v>45444</v>
      </c>
      <c r="D2133" t="s">
        <v>6528</v>
      </c>
      <c r="E2133">
        <v>264.5</v>
      </c>
      <c r="F2133">
        <v>11</v>
      </c>
      <c r="G2133" t="s">
        <v>93</v>
      </c>
      <c r="H2133" t="s">
        <v>163</v>
      </c>
      <c r="I2133" t="s">
        <v>79</v>
      </c>
      <c r="J2133">
        <v>360</v>
      </c>
      <c r="K2133" t="s">
        <v>49</v>
      </c>
      <c r="L2133" t="s">
        <v>34</v>
      </c>
      <c r="M2133" t="s">
        <v>35</v>
      </c>
      <c r="N2133" t="s">
        <v>299</v>
      </c>
      <c r="O2133" t="s">
        <v>7232</v>
      </c>
      <c r="P2133" t="s">
        <v>39</v>
      </c>
      <c r="Q2133" t="s">
        <v>38</v>
      </c>
      <c r="R2133">
        <v>0</v>
      </c>
      <c r="S2133" t="s">
        <v>39</v>
      </c>
      <c r="T2133">
        <v>7</v>
      </c>
      <c r="U2133">
        <v>0.1</v>
      </c>
      <c r="V2133">
        <v>26.4</v>
      </c>
      <c r="W2133" t="s">
        <v>39</v>
      </c>
      <c r="X2133" t="s">
        <v>63</v>
      </c>
      <c r="Y2133" t="s">
        <v>39</v>
      </c>
      <c r="Z2133" t="s">
        <v>108</v>
      </c>
      <c r="AA2133" t="s">
        <v>109</v>
      </c>
      <c r="AB2133" t="s">
        <v>83</v>
      </c>
      <c r="AC2133">
        <f t="shared" si="363"/>
        <v>0</v>
      </c>
      <c r="AD2133" s="12">
        <f t="shared" si="367"/>
        <v>1</v>
      </c>
      <c r="AE2133" s="12">
        <f t="shared" si="368"/>
        <v>0</v>
      </c>
      <c r="AF2133">
        <f t="shared" si="364"/>
        <v>0</v>
      </c>
      <c r="AG2133">
        <f t="shared" si="369"/>
        <v>1</v>
      </c>
      <c r="AH2133">
        <f t="shared" si="370"/>
        <v>0</v>
      </c>
      <c r="AI2133">
        <f t="shared" si="371"/>
        <v>0</v>
      </c>
      <c r="AJ2133">
        <f t="shared" si="372"/>
        <v>0</v>
      </c>
      <c r="AK2133">
        <f t="shared" si="365"/>
        <v>0</v>
      </c>
      <c r="AL2133">
        <f t="shared" si="373"/>
        <v>0</v>
      </c>
    </row>
    <row r="2134" spans="1:38">
      <c r="A2134" t="s">
        <v>6529</v>
      </c>
      <c r="B2134" t="s">
        <v>6530</v>
      </c>
      <c r="C2134" s="1">
        <f t="shared" si="366"/>
        <v>45597</v>
      </c>
      <c r="D2134" t="s">
        <v>6531</v>
      </c>
      <c r="E2134">
        <v>209.3</v>
      </c>
      <c r="F2134">
        <v>8.6999999999999993</v>
      </c>
      <c r="G2134" t="s">
        <v>30</v>
      </c>
      <c r="H2134" t="s">
        <v>47</v>
      </c>
      <c r="I2134" t="s">
        <v>32</v>
      </c>
      <c r="J2134">
        <v>240</v>
      </c>
      <c r="K2134" t="s">
        <v>49</v>
      </c>
      <c r="L2134" t="s">
        <v>34</v>
      </c>
      <c r="M2134" t="s">
        <v>35</v>
      </c>
      <c r="N2134" t="s">
        <v>134</v>
      </c>
      <c r="O2134" t="s">
        <v>7232</v>
      </c>
      <c r="P2134" t="s">
        <v>39</v>
      </c>
      <c r="Q2134" t="s">
        <v>38</v>
      </c>
      <c r="R2134">
        <v>0</v>
      </c>
      <c r="S2134" t="s">
        <v>38</v>
      </c>
      <c r="T2134">
        <v>7</v>
      </c>
      <c r="U2134">
        <v>2.9</v>
      </c>
      <c r="V2134">
        <v>16.399999999999999</v>
      </c>
      <c r="W2134" t="s">
        <v>39</v>
      </c>
      <c r="X2134" t="s">
        <v>63</v>
      </c>
      <c r="Y2134" t="s">
        <v>39</v>
      </c>
      <c r="Z2134" t="s">
        <v>115</v>
      </c>
      <c r="AA2134" t="s">
        <v>82</v>
      </c>
      <c r="AB2134" t="s">
        <v>55</v>
      </c>
      <c r="AC2134">
        <f t="shared" si="363"/>
        <v>0</v>
      </c>
      <c r="AD2134" s="12">
        <f t="shared" si="367"/>
        <v>1</v>
      </c>
      <c r="AE2134" s="12">
        <f t="shared" si="368"/>
        <v>0</v>
      </c>
      <c r="AF2134">
        <f t="shared" si="364"/>
        <v>0</v>
      </c>
      <c r="AG2134">
        <f t="shared" si="369"/>
        <v>1</v>
      </c>
      <c r="AH2134">
        <f t="shared" si="370"/>
        <v>0</v>
      </c>
      <c r="AI2134">
        <f t="shared" si="371"/>
        <v>0</v>
      </c>
      <c r="AJ2134">
        <f t="shared" si="372"/>
        <v>1</v>
      </c>
      <c r="AK2134">
        <f t="shared" si="365"/>
        <v>1</v>
      </c>
      <c r="AL2134">
        <f t="shared" si="373"/>
        <v>0</v>
      </c>
    </row>
    <row r="2135" spans="1:38">
      <c r="A2135" t="s">
        <v>6532</v>
      </c>
      <c r="B2135" t="s">
        <v>6533</v>
      </c>
      <c r="C2135" s="1">
        <f t="shared" si="366"/>
        <v>45474</v>
      </c>
      <c r="D2135" t="s">
        <v>6534</v>
      </c>
      <c r="E2135">
        <v>155.4</v>
      </c>
      <c r="F2135">
        <v>6.5</v>
      </c>
      <c r="G2135" t="s">
        <v>101</v>
      </c>
      <c r="H2135" t="s">
        <v>368</v>
      </c>
      <c r="I2135" t="s">
        <v>48</v>
      </c>
      <c r="J2135">
        <v>120</v>
      </c>
      <c r="K2135" t="s">
        <v>33</v>
      </c>
      <c r="L2135" t="s">
        <v>70</v>
      </c>
      <c r="M2135" t="s">
        <v>35</v>
      </c>
      <c r="N2135" t="s">
        <v>128</v>
      </c>
      <c r="O2135" t="s">
        <v>7232</v>
      </c>
      <c r="P2135" t="s">
        <v>38</v>
      </c>
      <c r="Q2135" t="s">
        <v>38</v>
      </c>
      <c r="R2135">
        <v>1</v>
      </c>
      <c r="S2135" t="s">
        <v>38</v>
      </c>
      <c r="T2135">
        <v>8</v>
      </c>
      <c r="U2135">
        <v>4</v>
      </c>
      <c r="V2135">
        <v>24.5</v>
      </c>
      <c r="W2135" t="s">
        <v>39</v>
      </c>
      <c r="X2135" t="s">
        <v>52</v>
      </c>
      <c r="Y2135" t="s">
        <v>39</v>
      </c>
      <c r="Z2135" t="s">
        <v>108</v>
      </c>
      <c r="AA2135" t="s">
        <v>54</v>
      </c>
      <c r="AB2135" t="s">
        <v>83</v>
      </c>
      <c r="AC2135">
        <f t="shared" si="363"/>
        <v>1</v>
      </c>
      <c r="AD2135" s="12">
        <f t="shared" si="367"/>
        <v>0</v>
      </c>
      <c r="AE2135" s="12">
        <f t="shared" si="368"/>
        <v>0</v>
      </c>
      <c r="AF2135">
        <f t="shared" si="364"/>
        <v>0</v>
      </c>
      <c r="AG2135">
        <f t="shared" si="369"/>
        <v>1</v>
      </c>
      <c r="AH2135">
        <f t="shared" si="370"/>
        <v>1</v>
      </c>
      <c r="AI2135">
        <f t="shared" si="371"/>
        <v>0</v>
      </c>
      <c r="AJ2135">
        <f t="shared" si="372"/>
        <v>0</v>
      </c>
      <c r="AK2135">
        <f t="shared" si="365"/>
        <v>0</v>
      </c>
      <c r="AL2135">
        <f t="shared" si="373"/>
        <v>0</v>
      </c>
    </row>
    <row r="2136" spans="1:38">
      <c r="A2136" t="s">
        <v>6535</v>
      </c>
      <c r="B2136" t="s">
        <v>6536</v>
      </c>
      <c r="C2136" s="1">
        <f t="shared" si="366"/>
        <v>45536</v>
      </c>
      <c r="D2136" t="s">
        <v>6537</v>
      </c>
      <c r="E2136">
        <v>41.4</v>
      </c>
      <c r="F2136">
        <v>1.7</v>
      </c>
      <c r="G2136" t="s">
        <v>101</v>
      </c>
      <c r="H2136" t="s">
        <v>102</v>
      </c>
      <c r="I2136" t="s">
        <v>95</v>
      </c>
      <c r="J2136">
        <v>48</v>
      </c>
      <c r="K2136" t="s">
        <v>49</v>
      </c>
      <c r="L2136" t="s">
        <v>70</v>
      </c>
      <c r="M2136" t="s">
        <v>35</v>
      </c>
      <c r="N2136" t="s">
        <v>299</v>
      </c>
      <c r="O2136" t="s">
        <v>51</v>
      </c>
      <c r="P2136" t="s">
        <v>38</v>
      </c>
      <c r="Q2136" t="s">
        <v>38</v>
      </c>
      <c r="R2136">
        <v>1</v>
      </c>
      <c r="S2136" t="s">
        <v>38</v>
      </c>
      <c r="T2136">
        <v>6</v>
      </c>
      <c r="U2136">
        <v>1</v>
      </c>
      <c r="V2136">
        <v>12</v>
      </c>
      <c r="W2136" t="s">
        <v>39</v>
      </c>
      <c r="X2136" t="s">
        <v>123</v>
      </c>
      <c r="Y2136" t="s">
        <v>38</v>
      </c>
      <c r="Z2136" t="s">
        <v>53</v>
      </c>
      <c r="AA2136" t="s">
        <v>109</v>
      </c>
      <c r="AB2136" t="s">
        <v>43</v>
      </c>
      <c r="AC2136">
        <f t="shared" si="363"/>
        <v>0</v>
      </c>
      <c r="AD2136" s="12">
        <f t="shared" si="367"/>
        <v>0</v>
      </c>
      <c r="AE2136" s="12">
        <f t="shared" si="368"/>
        <v>1</v>
      </c>
      <c r="AF2136">
        <f t="shared" si="364"/>
        <v>1</v>
      </c>
      <c r="AG2136">
        <f t="shared" si="369"/>
        <v>0</v>
      </c>
      <c r="AH2136">
        <f t="shared" si="370"/>
        <v>0</v>
      </c>
      <c r="AI2136">
        <f t="shared" si="371"/>
        <v>1</v>
      </c>
      <c r="AJ2136">
        <f t="shared" si="372"/>
        <v>0</v>
      </c>
      <c r="AK2136">
        <f t="shared" si="365"/>
        <v>0</v>
      </c>
      <c r="AL2136">
        <f t="shared" si="373"/>
        <v>1</v>
      </c>
    </row>
    <row r="2137" spans="1:38">
      <c r="A2137" t="s">
        <v>6538</v>
      </c>
      <c r="B2137" t="s">
        <v>6539</v>
      </c>
      <c r="C2137" s="1">
        <f t="shared" si="366"/>
        <v>45474</v>
      </c>
      <c r="D2137" t="s">
        <v>6540</v>
      </c>
      <c r="E2137">
        <v>245.9</v>
      </c>
      <c r="F2137">
        <v>10.199999999999999</v>
      </c>
      <c r="G2137" t="s">
        <v>142</v>
      </c>
      <c r="H2137" t="s">
        <v>260</v>
      </c>
      <c r="I2137" t="s">
        <v>32</v>
      </c>
      <c r="J2137">
        <v>240</v>
      </c>
      <c r="K2137" t="s">
        <v>33</v>
      </c>
      <c r="L2137" t="s">
        <v>34</v>
      </c>
      <c r="M2137" t="s">
        <v>35</v>
      </c>
      <c r="N2137" t="s">
        <v>202</v>
      </c>
      <c r="O2137" t="s">
        <v>37</v>
      </c>
      <c r="P2137" t="s">
        <v>38</v>
      </c>
      <c r="Q2137" t="s">
        <v>38</v>
      </c>
      <c r="R2137">
        <v>1</v>
      </c>
      <c r="S2137" t="s">
        <v>38</v>
      </c>
      <c r="T2137">
        <v>6</v>
      </c>
      <c r="U2137">
        <v>2.1</v>
      </c>
      <c r="V2137">
        <v>26.2</v>
      </c>
      <c r="W2137" t="s">
        <v>38</v>
      </c>
      <c r="X2137" t="s">
        <v>123</v>
      </c>
      <c r="Y2137" t="s">
        <v>38</v>
      </c>
      <c r="Z2137" t="s">
        <v>64</v>
      </c>
      <c r="AA2137" t="s">
        <v>82</v>
      </c>
      <c r="AB2137" t="s">
        <v>83</v>
      </c>
      <c r="AC2137">
        <f t="shared" si="363"/>
        <v>0</v>
      </c>
      <c r="AD2137" s="12">
        <f t="shared" si="367"/>
        <v>0</v>
      </c>
      <c r="AE2137" s="12">
        <f t="shared" si="368"/>
        <v>1</v>
      </c>
      <c r="AF2137">
        <f t="shared" si="364"/>
        <v>0</v>
      </c>
      <c r="AG2137">
        <f t="shared" si="369"/>
        <v>0</v>
      </c>
      <c r="AH2137">
        <f t="shared" si="370"/>
        <v>0</v>
      </c>
      <c r="AI2137">
        <f t="shared" si="371"/>
        <v>0</v>
      </c>
      <c r="AJ2137">
        <f t="shared" si="372"/>
        <v>1</v>
      </c>
      <c r="AK2137">
        <f t="shared" si="365"/>
        <v>0</v>
      </c>
      <c r="AL2137">
        <f t="shared" si="373"/>
        <v>1</v>
      </c>
    </row>
    <row r="2138" spans="1:38">
      <c r="A2138" t="s">
        <v>6541</v>
      </c>
      <c r="B2138" t="s">
        <v>6542</v>
      </c>
      <c r="C2138" s="1">
        <f t="shared" si="366"/>
        <v>45505</v>
      </c>
      <c r="D2138" t="s">
        <v>6543</v>
      </c>
      <c r="E2138">
        <v>335.3</v>
      </c>
      <c r="F2138">
        <v>14</v>
      </c>
      <c r="G2138" t="s">
        <v>93</v>
      </c>
      <c r="H2138" t="s">
        <v>449</v>
      </c>
      <c r="I2138" t="s">
        <v>79</v>
      </c>
      <c r="J2138">
        <v>360</v>
      </c>
      <c r="K2138" t="s">
        <v>49</v>
      </c>
      <c r="L2138" t="s">
        <v>70</v>
      </c>
      <c r="M2138" t="s">
        <v>35</v>
      </c>
      <c r="N2138" t="s">
        <v>97</v>
      </c>
      <c r="O2138" t="s">
        <v>7232</v>
      </c>
      <c r="P2138" t="s">
        <v>38</v>
      </c>
      <c r="Q2138" t="s">
        <v>38</v>
      </c>
      <c r="R2138">
        <v>1</v>
      </c>
      <c r="S2138" t="s">
        <v>39</v>
      </c>
      <c r="T2138">
        <v>7</v>
      </c>
      <c r="U2138">
        <v>2.6</v>
      </c>
      <c r="V2138">
        <v>15.1</v>
      </c>
      <c r="W2138" t="s">
        <v>38</v>
      </c>
      <c r="X2138" t="s">
        <v>123</v>
      </c>
      <c r="Y2138" t="s">
        <v>39</v>
      </c>
      <c r="Z2138" t="s">
        <v>81</v>
      </c>
      <c r="AA2138" t="s">
        <v>42</v>
      </c>
      <c r="AB2138" t="s">
        <v>83</v>
      </c>
      <c r="AC2138">
        <f t="shared" si="363"/>
        <v>0</v>
      </c>
      <c r="AD2138" s="12">
        <f t="shared" si="367"/>
        <v>0</v>
      </c>
      <c r="AE2138" s="12">
        <f t="shared" si="368"/>
        <v>1</v>
      </c>
      <c r="AF2138">
        <f t="shared" si="364"/>
        <v>0</v>
      </c>
      <c r="AG2138">
        <f t="shared" si="369"/>
        <v>1</v>
      </c>
      <c r="AH2138">
        <f t="shared" si="370"/>
        <v>0</v>
      </c>
      <c r="AI2138">
        <f t="shared" si="371"/>
        <v>0</v>
      </c>
      <c r="AJ2138">
        <f t="shared" si="372"/>
        <v>0</v>
      </c>
      <c r="AK2138">
        <f t="shared" si="365"/>
        <v>0</v>
      </c>
      <c r="AL2138">
        <f t="shared" si="373"/>
        <v>0</v>
      </c>
    </row>
    <row r="2139" spans="1:38">
      <c r="A2139" t="s">
        <v>6544</v>
      </c>
      <c r="B2139" t="s">
        <v>6545</v>
      </c>
      <c r="C2139" s="1">
        <f t="shared" si="366"/>
        <v>45323</v>
      </c>
      <c r="D2139" t="s">
        <v>6546</v>
      </c>
      <c r="E2139">
        <v>89.6</v>
      </c>
      <c r="F2139">
        <v>3.7</v>
      </c>
      <c r="G2139" t="s">
        <v>87</v>
      </c>
      <c r="H2139" t="s">
        <v>309</v>
      </c>
      <c r="I2139" t="s">
        <v>48</v>
      </c>
      <c r="J2139">
        <v>120</v>
      </c>
      <c r="K2139" t="s">
        <v>49</v>
      </c>
      <c r="L2139" t="s">
        <v>96</v>
      </c>
      <c r="M2139" t="s">
        <v>35</v>
      </c>
      <c r="N2139" t="s">
        <v>72</v>
      </c>
      <c r="O2139" t="s">
        <v>37</v>
      </c>
      <c r="P2139" t="s">
        <v>38</v>
      </c>
      <c r="Q2139" t="s">
        <v>38</v>
      </c>
      <c r="R2139">
        <v>1</v>
      </c>
      <c r="S2139" t="s">
        <v>39</v>
      </c>
      <c r="T2139">
        <v>9</v>
      </c>
      <c r="U2139">
        <v>4.2</v>
      </c>
      <c r="V2139">
        <v>11.1</v>
      </c>
      <c r="W2139" t="s">
        <v>39</v>
      </c>
      <c r="X2139" t="s">
        <v>123</v>
      </c>
      <c r="Y2139" t="s">
        <v>38</v>
      </c>
      <c r="Z2139" t="s">
        <v>53</v>
      </c>
      <c r="AA2139" t="s">
        <v>82</v>
      </c>
      <c r="AB2139" t="s">
        <v>55</v>
      </c>
      <c r="AC2139">
        <f t="shared" si="363"/>
        <v>0</v>
      </c>
      <c r="AD2139" s="12">
        <f t="shared" si="367"/>
        <v>0</v>
      </c>
      <c r="AE2139" s="12">
        <f t="shared" si="368"/>
        <v>1</v>
      </c>
      <c r="AF2139">
        <f t="shared" si="364"/>
        <v>0</v>
      </c>
      <c r="AG2139">
        <f t="shared" si="369"/>
        <v>0</v>
      </c>
      <c r="AH2139">
        <f t="shared" si="370"/>
        <v>1</v>
      </c>
      <c r="AI2139">
        <f t="shared" si="371"/>
        <v>0</v>
      </c>
      <c r="AJ2139">
        <f t="shared" si="372"/>
        <v>0</v>
      </c>
      <c r="AK2139">
        <f t="shared" si="365"/>
        <v>0</v>
      </c>
      <c r="AL2139">
        <f t="shared" si="373"/>
        <v>1</v>
      </c>
    </row>
    <row r="2140" spans="1:38">
      <c r="A2140" t="s">
        <v>6547</v>
      </c>
      <c r="B2140" t="s">
        <v>6548</v>
      </c>
      <c r="C2140" s="1">
        <f t="shared" si="366"/>
        <v>45383</v>
      </c>
      <c r="D2140" t="s">
        <v>6549</v>
      </c>
      <c r="E2140">
        <v>220.8</v>
      </c>
      <c r="F2140">
        <v>9.1999999999999993</v>
      </c>
      <c r="G2140" t="s">
        <v>101</v>
      </c>
      <c r="H2140" t="s">
        <v>368</v>
      </c>
      <c r="I2140" t="s">
        <v>32</v>
      </c>
      <c r="J2140">
        <v>240</v>
      </c>
      <c r="K2140" t="s">
        <v>49</v>
      </c>
      <c r="L2140" t="s">
        <v>70</v>
      </c>
      <c r="M2140" t="s">
        <v>71</v>
      </c>
      <c r="N2140" t="s">
        <v>220</v>
      </c>
      <c r="O2140" t="s">
        <v>7232</v>
      </c>
      <c r="P2140" t="s">
        <v>38</v>
      </c>
      <c r="Q2140" t="s">
        <v>39</v>
      </c>
      <c r="R2140">
        <v>1</v>
      </c>
      <c r="S2140" t="s">
        <v>38</v>
      </c>
      <c r="T2140">
        <v>8</v>
      </c>
      <c r="U2140">
        <v>4.5999999999999996</v>
      </c>
      <c r="V2140">
        <v>11.8</v>
      </c>
      <c r="W2140" t="s">
        <v>38</v>
      </c>
      <c r="X2140" t="s">
        <v>123</v>
      </c>
      <c r="Y2140" t="s">
        <v>38</v>
      </c>
      <c r="Z2140" t="s">
        <v>81</v>
      </c>
      <c r="AA2140" t="s">
        <v>54</v>
      </c>
      <c r="AB2140" t="s">
        <v>55</v>
      </c>
      <c r="AC2140">
        <f t="shared" si="363"/>
        <v>0</v>
      </c>
      <c r="AD2140" s="12">
        <f t="shared" si="367"/>
        <v>0</v>
      </c>
      <c r="AE2140" s="12">
        <f t="shared" si="368"/>
        <v>1</v>
      </c>
      <c r="AF2140">
        <f t="shared" si="364"/>
        <v>0</v>
      </c>
      <c r="AG2140">
        <f t="shared" si="369"/>
        <v>1</v>
      </c>
      <c r="AH2140">
        <f t="shared" si="370"/>
        <v>0</v>
      </c>
      <c r="AI2140">
        <f t="shared" si="371"/>
        <v>0</v>
      </c>
      <c r="AJ2140">
        <f t="shared" si="372"/>
        <v>1</v>
      </c>
      <c r="AK2140">
        <f t="shared" si="365"/>
        <v>0</v>
      </c>
      <c r="AL2140">
        <f t="shared" si="373"/>
        <v>1</v>
      </c>
    </row>
    <row r="2141" spans="1:38">
      <c r="A2141" t="s">
        <v>6550</v>
      </c>
      <c r="B2141" t="s">
        <v>6551</v>
      </c>
      <c r="C2141" s="1">
        <f t="shared" si="366"/>
        <v>45474</v>
      </c>
      <c r="D2141" t="s">
        <v>6552</v>
      </c>
      <c r="E2141">
        <v>335.7</v>
      </c>
      <c r="F2141">
        <v>14</v>
      </c>
      <c r="G2141" t="s">
        <v>87</v>
      </c>
      <c r="H2141" t="s">
        <v>151</v>
      </c>
      <c r="I2141" t="s">
        <v>79</v>
      </c>
      <c r="J2141">
        <v>360</v>
      </c>
      <c r="K2141" t="s">
        <v>49</v>
      </c>
      <c r="L2141" t="s">
        <v>34</v>
      </c>
      <c r="M2141" t="s">
        <v>71</v>
      </c>
      <c r="N2141" t="s">
        <v>164</v>
      </c>
      <c r="O2141" t="s">
        <v>7232</v>
      </c>
      <c r="P2141" t="s">
        <v>38</v>
      </c>
      <c r="Q2141" t="s">
        <v>39</v>
      </c>
      <c r="R2141">
        <v>3</v>
      </c>
      <c r="S2141" t="s">
        <v>39</v>
      </c>
      <c r="T2141">
        <v>6</v>
      </c>
      <c r="U2141">
        <v>2.6</v>
      </c>
      <c r="V2141">
        <v>30.8</v>
      </c>
      <c r="W2141" t="s">
        <v>39</v>
      </c>
      <c r="X2141" t="s">
        <v>123</v>
      </c>
      <c r="Y2141" t="s">
        <v>39</v>
      </c>
      <c r="Z2141" t="s">
        <v>53</v>
      </c>
      <c r="AA2141" t="s">
        <v>109</v>
      </c>
      <c r="AB2141" t="s">
        <v>55</v>
      </c>
      <c r="AC2141">
        <f t="shared" si="363"/>
        <v>0</v>
      </c>
      <c r="AD2141" s="12">
        <f t="shared" si="367"/>
        <v>0</v>
      </c>
      <c r="AE2141" s="12">
        <f t="shared" si="368"/>
        <v>1</v>
      </c>
      <c r="AF2141">
        <f t="shared" si="364"/>
        <v>0</v>
      </c>
      <c r="AG2141">
        <f t="shared" si="369"/>
        <v>1</v>
      </c>
      <c r="AH2141">
        <f t="shared" si="370"/>
        <v>0</v>
      </c>
      <c r="AI2141">
        <f t="shared" si="371"/>
        <v>0</v>
      </c>
      <c r="AJ2141">
        <f t="shared" si="372"/>
        <v>0</v>
      </c>
      <c r="AK2141">
        <f t="shared" si="365"/>
        <v>0</v>
      </c>
      <c r="AL2141">
        <f t="shared" si="373"/>
        <v>0</v>
      </c>
    </row>
    <row r="2142" spans="1:38">
      <c r="A2142" t="s">
        <v>6553</v>
      </c>
      <c r="B2142" t="s">
        <v>6554</v>
      </c>
      <c r="C2142" s="1">
        <f t="shared" si="366"/>
        <v>45383</v>
      </c>
      <c r="D2142" t="s">
        <v>6555</v>
      </c>
      <c r="E2142">
        <v>264.89999999999998</v>
      </c>
      <c r="F2142">
        <v>11</v>
      </c>
      <c r="G2142" t="s">
        <v>77</v>
      </c>
      <c r="H2142" t="s">
        <v>78</v>
      </c>
      <c r="I2142" t="s">
        <v>79</v>
      </c>
      <c r="J2142">
        <v>360</v>
      </c>
      <c r="K2142" t="s">
        <v>49</v>
      </c>
      <c r="L2142" t="s">
        <v>96</v>
      </c>
      <c r="M2142" t="s">
        <v>35</v>
      </c>
      <c r="N2142" t="s">
        <v>50</v>
      </c>
      <c r="O2142" t="s">
        <v>7232</v>
      </c>
      <c r="P2142" t="s">
        <v>39</v>
      </c>
      <c r="Q2142" t="s">
        <v>38</v>
      </c>
      <c r="R2142">
        <v>0</v>
      </c>
      <c r="S2142" t="s">
        <v>38</v>
      </c>
      <c r="T2142">
        <v>10</v>
      </c>
      <c r="U2142">
        <v>3.6</v>
      </c>
      <c r="V2142">
        <v>17</v>
      </c>
      <c r="W2142" t="s">
        <v>38</v>
      </c>
      <c r="X2142" t="s">
        <v>63</v>
      </c>
      <c r="Y2142" t="s">
        <v>39</v>
      </c>
      <c r="Z2142" t="s">
        <v>179</v>
      </c>
      <c r="AA2142" t="s">
        <v>109</v>
      </c>
      <c r="AB2142" t="s">
        <v>83</v>
      </c>
      <c r="AC2142">
        <f t="shared" si="363"/>
        <v>0</v>
      </c>
      <c r="AD2142" s="12">
        <f t="shared" si="367"/>
        <v>1</v>
      </c>
      <c r="AE2142" s="12">
        <f t="shared" si="368"/>
        <v>0</v>
      </c>
      <c r="AF2142">
        <f t="shared" si="364"/>
        <v>0</v>
      </c>
      <c r="AG2142">
        <f t="shared" si="369"/>
        <v>1</v>
      </c>
      <c r="AH2142">
        <f t="shared" si="370"/>
        <v>0</v>
      </c>
      <c r="AI2142">
        <f t="shared" si="371"/>
        <v>0</v>
      </c>
      <c r="AJ2142">
        <f t="shared" si="372"/>
        <v>0</v>
      </c>
      <c r="AK2142">
        <f t="shared" si="365"/>
        <v>0</v>
      </c>
      <c r="AL2142">
        <f t="shared" si="373"/>
        <v>0</v>
      </c>
    </row>
    <row r="2143" spans="1:38">
      <c r="A2143" t="s">
        <v>6556</v>
      </c>
      <c r="B2143" t="s">
        <v>6557</v>
      </c>
      <c r="C2143" s="1">
        <f t="shared" si="366"/>
        <v>45352</v>
      </c>
      <c r="D2143" t="s">
        <v>6558</v>
      </c>
      <c r="E2143">
        <v>186.1</v>
      </c>
      <c r="F2143">
        <v>7.8</v>
      </c>
      <c r="G2143" t="s">
        <v>93</v>
      </c>
      <c r="H2143" t="s">
        <v>163</v>
      </c>
      <c r="I2143" t="s">
        <v>32</v>
      </c>
      <c r="J2143">
        <v>240</v>
      </c>
      <c r="K2143" t="s">
        <v>49</v>
      </c>
      <c r="L2143" t="s">
        <v>96</v>
      </c>
      <c r="M2143" t="s">
        <v>35</v>
      </c>
      <c r="N2143" t="s">
        <v>155</v>
      </c>
      <c r="O2143" t="s">
        <v>7232</v>
      </c>
      <c r="P2143" t="s">
        <v>38</v>
      </c>
      <c r="Q2143" t="s">
        <v>38</v>
      </c>
      <c r="R2143">
        <v>1</v>
      </c>
      <c r="S2143" t="s">
        <v>38</v>
      </c>
      <c r="T2143">
        <v>9</v>
      </c>
      <c r="U2143">
        <v>6.3</v>
      </c>
      <c r="V2143">
        <v>10.8</v>
      </c>
      <c r="W2143" t="s">
        <v>39</v>
      </c>
      <c r="X2143" t="s">
        <v>63</v>
      </c>
      <c r="Y2143" t="s">
        <v>38</v>
      </c>
      <c r="Z2143" t="s">
        <v>179</v>
      </c>
      <c r="AA2143" t="s">
        <v>103</v>
      </c>
      <c r="AB2143" t="s">
        <v>83</v>
      </c>
      <c r="AC2143">
        <f t="shared" si="363"/>
        <v>0</v>
      </c>
      <c r="AD2143" s="12">
        <f t="shared" si="367"/>
        <v>1</v>
      </c>
      <c r="AE2143" s="12">
        <f t="shared" si="368"/>
        <v>0</v>
      </c>
      <c r="AF2143">
        <f t="shared" si="364"/>
        <v>0</v>
      </c>
      <c r="AG2143">
        <f t="shared" si="369"/>
        <v>1</v>
      </c>
      <c r="AH2143">
        <f t="shared" si="370"/>
        <v>0</v>
      </c>
      <c r="AI2143">
        <f t="shared" si="371"/>
        <v>0</v>
      </c>
      <c r="AJ2143">
        <f t="shared" si="372"/>
        <v>1</v>
      </c>
      <c r="AK2143">
        <f t="shared" si="365"/>
        <v>0</v>
      </c>
      <c r="AL2143">
        <f t="shared" si="373"/>
        <v>1</v>
      </c>
    </row>
    <row r="2144" spans="1:38">
      <c r="A2144" t="s">
        <v>6559</v>
      </c>
      <c r="B2144" t="s">
        <v>6560</v>
      </c>
      <c r="C2144" s="1">
        <f t="shared" si="366"/>
        <v>45292</v>
      </c>
      <c r="D2144" t="s">
        <v>6561</v>
      </c>
      <c r="E2144">
        <v>310.89999999999998</v>
      </c>
      <c r="F2144">
        <v>13</v>
      </c>
      <c r="G2144" t="s">
        <v>77</v>
      </c>
      <c r="H2144" t="s">
        <v>187</v>
      </c>
      <c r="I2144" t="s">
        <v>79</v>
      </c>
      <c r="J2144">
        <v>360</v>
      </c>
      <c r="K2144" t="s">
        <v>49</v>
      </c>
      <c r="L2144" t="s">
        <v>96</v>
      </c>
      <c r="M2144" t="s">
        <v>35</v>
      </c>
      <c r="N2144" t="s">
        <v>144</v>
      </c>
      <c r="O2144" t="s">
        <v>7232</v>
      </c>
      <c r="P2144" t="s">
        <v>39</v>
      </c>
      <c r="Q2144" t="s">
        <v>38</v>
      </c>
      <c r="R2144">
        <v>0</v>
      </c>
      <c r="S2144" t="s">
        <v>38</v>
      </c>
      <c r="T2144">
        <v>10</v>
      </c>
      <c r="U2144">
        <v>2.4</v>
      </c>
      <c r="V2144">
        <v>7.9</v>
      </c>
      <c r="W2144" t="s">
        <v>39</v>
      </c>
      <c r="X2144" t="s">
        <v>123</v>
      </c>
      <c r="Y2144" t="s">
        <v>39</v>
      </c>
      <c r="Z2144" t="s">
        <v>179</v>
      </c>
      <c r="AA2144" t="s">
        <v>103</v>
      </c>
      <c r="AB2144" t="s">
        <v>55</v>
      </c>
      <c r="AC2144">
        <f t="shared" si="363"/>
        <v>0</v>
      </c>
      <c r="AD2144" s="12">
        <f t="shared" si="367"/>
        <v>0</v>
      </c>
      <c r="AE2144" s="12">
        <f t="shared" si="368"/>
        <v>1</v>
      </c>
      <c r="AF2144">
        <f t="shared" si="364"/>
        <v>0</v>
      </c>
      <c r="AG2144">
        <f t="shared" si="369"/>
        <v>1</v>
      </c>
      <c r="AH2144">
        <f t="shared" si="370"/>
        <v>0</v>
      </c>
      <c r="AI2144">
        <f t="shared" si="371"/>
        <v>0</v>
      </c>
      <c r="AJ2144">
        <f t="shared" si="372"/>
        <v>0</v>
      </c>
      <c r="AK2144">
        <f t="shared" si="365"/>
        <v>0</v>
      </c>
      <c r="AL2144">
        <f t="shared" si="373"/>
        <v>0</v>
      </c>
    </row>
    <row r="2145" spans="1:38">
      <c r="A2145" t="s">
        <v>6562</v>
      </c>
      <c r="B2145" t="s">
        <v>6563</v>
      </c>
      <c r="C2145" s="1">
        <f t="shared" si="366"/>
        <v>45566</v>
      </c>
      <c r="D2145" t="s">
        <v>6564</v>
      </c>
      <c r="E2145">
        <v>110.4</v>
      </c>
      <c r="F2145">
        <v>4.5999999999999996</v>
      </c>
      <c r="G2145" t="s">
        <v>59</v>
      </c>
      <c r="H2145" t="s">
        <v>132</v>
      </c>
      <c r="I2145" t="s">
        <v>48</v>
      </c>
      <c r="J2145">
        <v>120</v>
      </c>
      <c r="K2145" t="s">
        <v>49</v>
      </c>
      <c r="L2145" t="s">
        <v>96</v>
      </c>
      <c r="M2145" t="s">
        <v>35</v>
      </c>
      <c r="N2145" t="s">
        <v>119</v>
      </c>
      <c r="O2145" t="s">
        <v>7232</v>
      </c>
      <c r="P2145" t="s">
        <v>38</v>
      </c>
      <c r="Q2145" t="s">
        <v>38</v>
      </c>
      <c r="R2145">
        <v>1</v>
      </c>
      <c r="S2145" t="s">
        <v>38</v>
      </c>
      <c r="T2145">
        <v>10</v>
      </c>
      <c r="U2145">
        <v>0.6</v>
      </c>
      <c r="V2145">
        <v>43</v>
      </c>
      <c r="W2145" t="s">
        <v>38</v>
      </c>
      <c r="X2145" t="s">
        <v>123</v>
      </c>
      <c r="Y2145" t="s">
        <v>39</v>
      </c>
      <c r="Z2145" t="s">
        <v>108</v>
      </c>
      <c r="AA2145" t="s">
        <v>42</v>
      </c>
      <c r="AB2145" t="s">
        <v>83</v>
      </c>
      <c r="AC2145">
        <f t="shared" si="363"/>
        <v>0</v>
      </c>
      <c r="AD2145" s="12">
        <f t="shared" si="367"/>
        <v>0</v>
      </c>
      <c r="AE2145" s="12">
        <f t="shared" si="368"/>
        <v>1</v>
      </c>
      <c r="AF2145">
        <f t="shared" si="364"/>
        <v>0</v>
      </c>
      <c r="AG2145">
        <f t="shared" si="369"/>
        <v>1</v>
      </c>
      <c r="AH2145">
        <f t="shared" si="370"/>
        <v>1</v>
      </c>
      <c r="AI2145">
        <f t="shared" si="371"/>
        <v>0</v>
      </c>
      <c r="AJ2145">
        <f t="shared" si="372"/>
        <v>0</v>
      </c>
      <c r="AK2145">
        <f t="shared" si="365"/>
        <v>0</v>
      </c>
      <c r="AL2145">
        <f t="shared" si="373"/>
        <v>0</v>
      </c>
    </row>
    <row r="2146" spans="1:38">
      <c r="A2146" t="s">
        <v>6565</v>
      </c>
      <c r="B2146" t="s">
        <v>6566</v>
      </c>
      <c r="C2146" s="1">
        <f t="shared" si="366"/>
        <v>45597</v>
      </c>
      <c r="D2146" t="s">
        <v>6567</v>
      </c>
      <c r="E2146">
        <v>666.4</v>
      </c>
      <c r="F2146">
        <v>27.8</v>
      </c>
      <c r="G2146" t="s">
        <v>77</v>
      </c>
      <c r="H2146" t="s">
        <v>187</v>
      </c>
      <c r="I2146" t="s">
        <v>32</v>
      </c>
      <c r="J2146">
        <v>240</v>
      </c>
      <c r="K2146" t="s">
        <v>33</v>
      </c>
      <c r="L2146" t="s">
        <v>70</v>
      </c>
      <c r="M2146" t="s">
        <v>35</v>
      </c>
      <c r="N2146" t="s">
        <v>414</v>
      </c>
      <c r="O2146" t="s">
        <v>7232</v>
      </c>
      <c r="P2146" t="s">
        <v>39</v>
      </c>
      <c r="Q2146" t="s">
        <v>38</v>
      </c>
      <c r="R2146">
        <v>0</v>
      </c>
      <c r="S2146" t="s">
        <v>38</v>
      </c>
      <c r="T2146">
        <v>8</v>
      </c>
      <c r="U2146">
        <v>0.1</v>
      </c>
      <c r="V2146">
        <v>37.4</v>
      </c>
      <c r="W2146" t="s">
        <v>39</v>
      </c>
      <c r="X2146" t="s">
        <v>40</v>
      </c>
      <c r="Y2146" t="s">
        <v>38</v>
      </c>
      <c r="Z2146" t="s">
        <v>53</v>
      </c>
      <c r="AA2146" t="s">
        <v>109</v>
      </c>
      <c r="AB2146" t="s">
        <v>55</v>
      </c>
      <c r="AC2146">
        <f t="shared" si="363"/>
        <v>0</v>
      </c>
      <c r="AD2146" s="12">
        <f t="shared" si="367"/>
        <v>0</v>
      </c>
      <c r="AE2146" s="12">
        <f t="shared" si="368"/>
        <v>0</v>
      </c>
      <c r="AF2146">
        <f t="shared" si="364"/>
        <v>0</v>
      </c>
      <c r="AG2146">
        <f t="shared" si="369"/>
        <v>1</v>
      </c>
      <c r="AH2146">
        <f t="shared" si="370"/>
        <v>0</v>
      </c>
      <c r="AI2146">
        <f t="shared" si="371"/>
        <v>0</v>
      </c>
      <c r="AJ2146">
        <f t="shared" si="372"/>
        <v>1</v>
      </c>
      <c r="AK2146">
        <f t="shared" si="365"/>
        <v>0</v>
      </c>
      <c r="AL2146">
        <f t="shared" si="373"/>
        <v>1</v>
      </c>
    </row>
    <row r="2147" spans="1:38">
      <c r="A2147" t="s">
        <v>6568</v>
      </c>
      <c r="B2147" t="s">
        <v>6569</v>
      </c>
      <c r="C2147" s="1">
        <f t="shared" si="366"/>
        <v>45566</v>
      </c>
      <c r="D2147" t="s">
        <v>6570</v>
      </c>
      <c r="E2147">
        <v>334.4</v>
      </c>
      <c r="F2147">
        <v>13.9</v>
      </c>
      <c r="G2147" t="s">
        <v>30</v>
      </c>
      <c r="H2147" t="s">
        <v>31</v>
      </c>
      <c r="I2147" t="s">
        <v>32</v>
      </c>
      <c r="J2147">
        <v>240</v>
      </c>
      <c r="K2147" t="s">
        <v>33</v>
      </c>
      <c r="L2147" t="s">
        <v>96</v>
      </c>
      <c r="M2147" t="s">
        <v>35</v>
      </c>
      <c r="N2147" t="s">
        <v>299</v>
      </c>
      <c r="O2147" t="s">
        <v>7232</v>
      </c>
      <c r="P2147" t="s">
        <v>39</v>
      </c>
      <c r="Q2147" t="s">
        <v>38</v>
      </c>
      <c r="R2147">
        <v>0</v>
      </c>
      <c r="S2147" t="s">
        <v>38</v>
      </c>
      <c r="T2147">
        <v>6</v>
      </c>
      <c r="U2147">
        <v>4.5</v>
      </c>
      <c r="V2147">
        <v>33.799999999999997</v>
      </c>
      <c r="W2147" t="s">
        <v>38</v>
      </c>
      <c r="X2147" t="s">
        <v>63</v>
      </c>
      <c r="Y2147" t="s">
        <v>38</v>
      </c>
      <c r="Z2147" t="s">
        <v>108</v>
      </c>
      <c r="AA2147" t="s">
        <v>54</v>
      </c>
      <c r="AB2147" t="s">
        <v>55</v>
      </c>
      <c r="AC2147">
        <f t="shared" si="363"/>
        <v>0</v>
      </c>
      <c r="AD2147" s="12">
        <f t="shared" si="367"/>
        <v>1</v>
      </c>
      <c r="AE2147" s="12">
        <f t="shared" si="368"/>
        <v>0</v>
      </c>
      <c r="AF2147">
        <f t="shared" si="364"/>
        <v>0</v>
      </c>
      <c r="AG2147">
        <f t="shared" si="369"/>
        <v>1</v>
      </c>
      <c r="AH2147">
        <f t="shared" si="370"/>
        <v>0</v>
      </c>
      <c r="AI2147">
        <f t="shared" si="371"/>
        <v>0</v>
      </c>
      <c r="AJ2147">
        <f t="shared" si="372"/>
        <v>1</v>
      </c>
      <c r="AK2147">
        <f t="shared" si="365"/>
        <v>1</v>
      </c>
      <c r="AL2147">
        <f t="shared" si="373"/>
        <v>1</v>
      </c>
    </row>
    <row r="2148" spans="1:38">
      <c r="A2148" t="s">
        <v>6571</v>
      </c>
      <c r="B2148" t="s">
        <v>6572</v>
      </c>
      <c r="C2148" s="1">
        <f t="shared" si="366"/>
        <v>45597</v>
      </c>
      <c r="D2148" t="s">
        <v>6573</v>
      </c>
      <c r="E2148">
        <v>221.5</v>
      </c>
      <c r="F2148">
        <v>9.1999999999999993</v>
      </c>
      <c r="G2148" t="s">
        <v>87</v>
      </c>
      <c r="H2148" t="s">
        <v>309</v>
      </c>
      <c r="I2148" t="s">
        <v>32</v>
      </c>
      <c r="J2148">
        <v>240</v>
      </c>
      <c r="K2148" t="s">
        <v>49</v>
      </c>
      <c r="L2148" t="s">
        <v>70</v>
      </c>
      <c r="M2148" t="s">
        <v>35</v>
      </c>
      <c r="N2148" t="s">
        <v>89</v>
      </c>
      <c r="O2148" t="s">
        <v>51</v>
      </c>
      <c r="P2148" t="s">
        <v>39</v>
      </c>
      <c r="Q2148" t="s">
        <v>38</v>
      </c>
      <c r="R2148">
        <v>0</v>
      </c>
      <c r="S2148" t="s">
        <v>38</v>
      </c>
      <c r="T2148">
        <v>10</v>
      </c>
      <c r="U2148">
        <v>2.8</v>
      </c>
      <c r="V2148">
        <v>26.4</v>
      </c>
      <c r="W2148" t="s">
        <v>38</v>
      </c>
      <c r="X2148" t="s">
        <v>52</v>
      </c>
      <c r="Y2148" t="s">
        <v>38</v>
      </c>
      <c r="Z2148" t="s">
        <v>179</v>
      </c>
      <c r="AA2148" t="s">
        <v>82</v>
      </c>
      <c r="AB2148" t="s">
        <v>55</v>
      </c>
      <c r="AC2148">
        <f t="shared" si="363"/>
        <v>1</v>
      </c>
      <c r="AD2148" s="12">
        <f t="shared" si="367"/>
        <v>0</v>
      </c>
      <c r="AE2148" s="12">
        <f t="shared" si="368"/>
        <v>0</v>
      </c>
      <c r="AF2148">
        <f t="shared" si="364"/>
        <v>1</v>
      </c>
      <c r="AG2148">
        <f t="shared" si="369"/>
        <v>0</v>
      </c>
      <c r="AH2148">
        <f t="shared" si="370"/>
        <v>0</v>
      </c>
      <c r="AI2148">
        <f t="shared" si="371"/>
        <v>0</v>
      </c>
      <c r="AJ2148">
        <f t="shared" si="372"/>
        <v>1</v>
      </c>
      <c r="AK2148">
        <f t="shared" si="365"/>
        <v>0</v>
      </c>
      <c r="AL2148">
        <f t="shared" si="373"/>
        <v>1</v>
      </c>
    </row>
    <row r="2149" spans="1:38">
      <c r="A2149" t="s">
        <v>6574</v>
      </c>
      <c r="B2149" t="s">
        <v>6575</v>
      </c>
      <c r="C2149" s="1">
        <f t="shared" si="366"/>
        <v>45383</v>
      </c>
      <c r="D2149" t="s">
        <v>6576</v>
      </c>
      <c r="E2149">
        <v>191.1</v>
      </c>
      <c r="F2149">
        <v>8</v>
      </c>
      <c r="G2149" t="s">
        <v>68</v>
      </c>
      <c r="H2149" t="s">
        <v>456</v>
      </c>
      <c r="I2149" t="s">
        <v>32</v>
      </c>
      <c r="J2149">
        <v>240</v>
      </c>
      <c r="K2149" t="s">
        <v>49</v>
      </c>
      <c r="L2149" t="s">
        <v>96</v>
      </c>
      <c r="M2149" t="s">
        <v>35</v>
      </c>
      <c r="N2149" t="s">
        <v>97</v>
      </c>
      <c r="O2149" t="s">
        <v>7232</v>
      </c>
      <c r="P2149" t="s">
        <v>38</v>
      </c>
      <c r="Q2149" t="s">
        <v>38</v>
      </c>
      <c r="R2149">
        <v>1</v>
      </c>
      <c r="S2149" t="s">
        <v>38</v>
      </c>
      <c r="T2149">
        <v>7</v>
      </c>
      <c r="U2149">
        <v>0.6</v>
      </c>
      <c r="V2149">
        <v>18.399999999999999</v>
      </c>
      <c r="W2149" t="s">
        <v>39</v>
      </c>
      <c r="X2149" t="s">
        <v>63</v>
      </c>
      <c r="Y2149" t="s">
        <v>38</v>
      </c>
      <c r="Z2149" t="s">
        <v>179</v>
      </c>
      <c r="AA2149" t="s">
        <v>42</v>
      </c>
      <c r="AB2149" t="s">
        <v>83</v>
      </c>
      <c r="AC2149">
        <f t="shared" si="363"/>
        <v>0</v>
      </c>
      <c r="AD2149" s="12">
        <f t="shared" si="367"/>
        <v>1</v>
      </c>
      <c r="AE2149" s="12">
        <f t="shared" si="368"/>
        <v>0</v>
      </c>
      <c r="AF2149">
        <f t="shared" si="364"/>
        <v>0</v>
      </c>
      <c r="AG2149">
        <f t="shared" si="369"/>
        <v>1</v>
      </c>
      <c r="AH2149">
        <f t="shared" si="370"/>
        <v>0</v>
      </c>
      <c r="AI2149">
        <f t="shared" si="371"/>
        <v>0</v>
      </c>
      <c r="AJ2149">
        <f t="shared" si="372"/>
        <v>1</v>
      </c>
      <c r="AK2149">
        <f t="shared" si="365"/>
        <v>0</v>
      </c>
      <c r="AL2149">
        <f t="shared" si="373"/>
        <v>1</v>
      </c>
    </row>
    <row r="2150" spans="1:38">
      <c r="A2150" t="s">
        <v>6577</v>
      </c>
      <c r="B2150" t="s">
        <v>6578</v>
      </c>
      <c r="C2150" s="1">
        <f t="shared" si="366"/>
        <v>45383</v>
      </c>
      <c r="D2150" t="s">
        <v>6579</v>
      </c>
      <c r="E2150">
        <v>227.6</v>
      </c>
      <c r="F2150">
        <v>9.5</v>
      </c>
      <c r="G2150" t="s">
        <v>77</v>
      </c>
      <c r="H2150" t="s">
        <v>187</v>
      </c>
      <c r="I2150" t="s">
        <v>32</v>
      </c>
      <c r="J2150">
        <v>240</v>
      </c>
      <c r="K2150" t="s">
        <v>49</v>
      </c>
      <c r="L2150" t="s">
        <v>70</v>
      </c>
      <c r="M2150" t="s">
        <v>35</v>
      </c>
      <c r="N2150" t="s">
        <v>72</v>
      </c>
      <c r="O2150" t="s">
        <v>37</v>
      </c>
      <c r="P2150" t="s">
        <v>39</v>
      </c>
      <c r="Q2150" t="s">
        <v>38</v>
      </c>
      <c r="R2150">
        <v>0</v>
      </c>
      <c r="S2150" t="s">
        <v>39</v>
      </c>
      <c r="T2150">
        <v>10</v>
      </c>
      <c r="U2150">
        <v>0.1</v>
      </c>
      <c r="V2150">
        <v>16.600000000000001</v>
      </c>
      <c r="W2150" t="s">
        <v>38</v>
      </c>
      <c r="X2150" t="s">
        <v>40</v>
      </c>
      <c r="Y2150" t="s">
        <v>39</v>
      </c>
      <c r="Z2150" t="s">
        <v>41</v>
      </c>
      <c r="AA2150" t="s">
        <v>42</v>
      </c>
      <c r="AB2150" t="s">
        <v>55</v>
      </c>
      <c r="AC2150">
        <f t="shared" si="363"/>
        <v>0</v>
      </c>
      <c r="AD2150" s="12">
        <f t="shared" si="367"/>
        <v>0</v>
      </c>
      <c r="AE2150" s="12">
        <f t="shared" si="368"/>
        <v>0</v>
      </c>
      <c r="AF2150">
        <f t="shared" si="364"/>
        <v>0</v>
      </c>
      <c r="AG2150">
        <f t="shared" si="369"/>
        <v>0</v>
      </c>
      <c r="AH2150">
        <f t="shared" si="370"/>
        <v>0</v>
      </c>
      <c r="AI2150">
        <f t="shared" si="371"/>
        <v>0</v>
      </c>
      <c r="AJ2150">
        <f t="shared" si="372"/>
        <v>1</v>
      </c>
      <c r="AK2150">
        <f t="shared" si="365"/>
        <v>0</v>
      </c>
      <c r="AL2150">
        <f t="shared" si="373"/>
        <v>0</v>
      </c>
    </row>
    <row r="2151" spans="1:38">
      <c r="A2151" t="s">
        <v>6580</v>
      </c>
      <c r="B2151" t="s">
        <v>6581</v>
      </c>
      <c r="C2151" s="1">
        <f t="shared" si="366"/>
        <v>45292</v>
      </c>
      <c r="D2151" t="s">
        <v>6582</v>
      </c>
      <c r="E2151">
        <v>209.2</v>
      </c>
      <c r="F2151">
        <v>8.6999999999999993</v>
      </c>
      <c r="G2151" t="s">
        <v>87</v>
      </c>
      <c r="H2151" t="s">
        <v>183</v>
      </c>
      <c r="I2151" t="s">
        <v>32</v>
      </c>
      <c r="J2151">
        <v>240</v>
      </c>
      <c r="K2151" t="s">
        <v>49</v>
      </c>
      <c r="L2151" t="s">
        <v>70</v>
      </c>
      <c r="M2151" t="s">
        <v>35</v>
      </c>
      <c r="N2151" t="s">
        <v>164</v>
      </c>
      <c r="O2151" t="s">
        <v>51</v>
      </c>
      <c r="P2151" t="s">
        <v>38</v>
      </c>
      <c r="Q2151" t="s">
        <v>38</v>
      </c>
      <c r="R2151">
        <v>1</v>
      </c>
      <c r="S2151" t="s">
        <v>38</v>
      </c>
      <c r="T2151">
        <v>6</v>
      </c>
      <c r="U2151">
        <v>3.2</v>
      </c>
      <c r="V2151">
        <v>18.899999999999999</v>
      </c>
      <c r="W2151" t="s">
        <v>38</v>
      </c>
      <c r="X2151" t="s">
        <v>63</v>
      </c>
      <c r="Y2151" t="s">
        <v>38</v>
      </c>
      <c r="Z2151" t="s">
        <v>64</v>
      </c>
      <c r="AA2151" t="s">
        <v>103</v>
      </c>
      <c r="AB2151" t="s">
        <v>83</v>
      </c>
      <c r="AC2151">
        <f t="shared" si="363"/>
        <v>0</v>
      </c>
      <c r="AD2151" s="12">
        <f t="shared" si="367"/>
        <v>1</v>
      </c>
      <c r="AE2151" s="12">
        <f t="shared" si="368"/>
        <v>0</v>
      </c>
      <c r="AF2151">
        <f t="shared" si="364"/>
        <v>1</v>
      </c>
      <c r="AG2151">
        <f t="shared" si="369"/>
        <v>0</v>
      </c>
      <c r="AH2151">
        <f t="shared" si="370"/>
        <v>0</v>
      </c>
      <c r="AI2151">
        <f t="shared" si="371"/>
        <v>0</v>
      </c>
      <c r="AJ2151">
        <f t="shared" si="372"/>
        <v>1</v>
      </c>
      <c r="AK2151">
        <f t="shared" si="365"/>
        <v>0</v>
      </c>
      <c r="AL2151">
        <f t="shared" si="373"/>
        <v>1</v>
      </c>
    </row>
    <row r="2152" spans="1:38">
      <c r="A2152" t="s">
        <v>6583</v>
      </c>
      <c r="B2152" t="s">
        <v>6584</v>
      </c>
      <c r="C2152" s="1">
        <f t="shared" si="366"/>
        <v>45323</v>
      </c>
      <c r="D2152" t="s">
        <v>6585</v>
      </c>
      <c r="E2152">
        <v>50.7</v>
      </c>
      <c r="F2152">
        <v>2.1</v>
      </c>
      <c r="G2152" t="s">
        <v>59</v>
      </c>
      <c r="H2152" t="s">
        <v>281</v>
      </c>
      <c r="I2152" t="s">
        <v>95</v>
      </c>
      <c r="J2152">
        <v>48</v>
      </c>
      <c r="K2152" t="s">
        <v>33</v>
      </c>
      <c r="L2152" t="s">
        <v>34</v>
      </c>
      <c r="M2152" t="s">
        <v>35</v>
      </c>
      <c r="N2152" t="s">
        <v>202</v>
      </c>
      <c r="O2152" t="s">
        <v>37</v>
      </c>
      <c r="P2152" t="s">
        <v>38</v>
      </c>
      <c r="Q2152" t="s">
        <v>38</v>
      </c>
      <c r="R2152">
        <v>1</v>
      </c>
      <c r="S2152" t="s">
        <v>38</v>
      </c>
      <c r="T2152">
        <v>1</v>
      </c>
      <c r="U2152">
        <v>4</v>
      </c>
      <c r="V2152">
        <v>18.7</v>
      </c>
      <c r="W2152" t="s">
        <v>39</v>
      </c>
      <c r="X2152" t="s">
        <v>63</v>
      </c>
      <c r="Y2152" t="s">
        <v>39</v>
      </c>
      <c r="Z2152" t="s">
        <v>81</v>
      </c>
      <c r="AA2152" t="s">
        <v>103</v>
      </c>
      <c r="AB2152" t="s">
        <v>43</v>
      </c>
      <c r="AC2152">
        <f t="shared" si="363"/>
        <v>0</v>
      </c>
      <c r="AD2152" s="12">
        <f t="shared" si="367"/>
        <v>1</v>
      </c>
      <c r="AE2152" s="12">
        <f t="shared" si="368"/>
        <v>0</v>
      </c>
      <c r="AF2152">
        <f t="shared" si="364"/>
        <v>0</v>
      </c>
      <c r="AG2152">
        <f t="shared" si="369"/>
        <v>0</v>
      </c>
      <c r="AH2152">
        <f t="shared" si="370"/>
        <v>0</v>
      </c>
      <c r="AI2152">
        <f t="shared" si="371"/>
        <v>1</v>
      </c>
      <c r="AJ2152">
        <f t="shared" si="372"/>
        <v>0</v>
      </c>
      <c r="AK2152">
        <f t="shared" si="365"/>
        <v>0</v>
      </c>
      <c r="AL2152">
        <f t="shared" si="373"/>
        <v>0</v>
      </c>
    </row>
    <row r="2153" spans="1:38">
      <c r="A2153" t="s">
        <v>6586</v>
      </c>
      <c r="B2153" t="s">
        <v>6587</v>
      </c>
      <c r="C2153" s="1">
        <f t="shared" si="366"/>
        <v>45536</v>
      </c>
      <c r="D2153" t="s">
        <v>6588</v>
      </c>
      <c r="E2153">
        <v>308.10000000000002</v>
      </c>
      <c r="F2153">
        <v>12.8</v>
      </c>
      <c r="G2153" t="s">
        <v>30</v>
      </c>
      <c r="H2153" t="s">
        <v>172</v>
      </c>
      <c r="I2153" t="s">
        <v>79</v>
      </c>
      <c r="J2153">
        <v>360</v>
      </c>
      <c r="K2153" t="s">
        <v>49</v>
      </c>
      <c r="L2153" t="s">
        <v>34</v>
      </c>
      <c r="M2153" t="s">
        <v>35</v>
      </c>
      <c r="N2153" t="s">
        <v>107</v>
      </c>
      <c r="O2153" t="s">
        <v>51</v>
      </c>
      <c r="P2153" t="s">
        <v>38</v>
      </c>
      <c r="Q2153" t="s">
        <v>38</v>
      </c>
      <c r="R2153">
        <v>1</v>
      </c>
      <c r="S2153" t="s">
        <v>38</v>
      </c>
      <c r="T2153">
        <v>10</v>
      </c>
      <c r="U2153">
        <v>1.7</v>
      </c>
      <c r="V2153">
        <v>26.4</v>
      </c>
      <c r="W2153" t="s">
        <v>38</v>
      </c>
      <c r="X2153" t="s">
        <v>123</v>
      </c>
      <c r="Y2153" t="s">
        <v>39</v>
      </c>
      <c r="Z2153" t="s">
        <v>64</v>
      </c>
      <c r="AA2153" t="s">
        <v>54</v>
      </c>
      <c r="AB2153" t="s">
        <v>55</v>
      </c>
      <c r="AC2153">
        <f t="shared" si="363"/>
        <v>0</v>
      </c>
      <c r="AD2153" s="12">
        <f t="shared" si="367"/>
        <v>0</v>
      </c>
      <c r="AE2153" s="12">
        <f t="shared" si="368"/>
        <v>1</v>
      </c>
      <c r="AF2153">
        <f t="shared" si="364"/>
        <v>1</v>
      </c>
      <c r="AG2153">
        <f t="shared" si="369"/>
        <v>0</v>
      </c>
      <c r="AH2153">
        <f t="shared" si="370"/>
        <v>0</v>
      </c>
      <c r="AI2153">
        <f t="shared" si="371"/>
        <v>0</v>
      </c>
      <c r="AJ2153">
        <f t="shared" si="372"/>
        <v>0</v>
      </c>
      <c r="AK2153">
        <f t="shared" si="365"/>
        <v>1</v>
      </c>
      <c r="AL2153">
        <f t="shared" si="373"/>
        <v>0</v>
      </c>
    </row>
    <row r="2154" spans="1:38">
      <c r="A2154" t="s">
        <v>6589</v>
      </c>
      <c r="B2154" t="s">
        <v>6590</v>
      </c>
      <c r="C2154" s="1">
        <f t="shared" si="366"/>
        <v>45352</v>
      </c>
      <c r="D2154" t="s">
        <v>6591</v>
      </c>
      <c r="E2154">
        <v>260.10000000000002</v>
      </c>
      <c r="F2154">
        <v>10.8</v>
      </c>
      <c r="G2154" t="s">
        <v>77</v>
      </c>
      <c r="H2154" t="s">
        <v>267</v>
      </c>
      <c r="I2154" t="s">
        <v>79</v>
      </c>
      <c r="J2154">
        <v>360</v>
      </c>
      <c r="K2154" t="s">
        <v>49</v>
      </c>
      <c r="L2154" t="s">
        <v>70</v>
      </c>
      <c r="M2154" t="s">
        <v>35</v>
      </c>
      <c r="N2154" t="s">
        <v>168</v>
      </c>
      <c r="O2154" t="s">
        <v>7232</v>
      </c>
      <c r="P2154" t="s">
        <v>39</v>
      </c>
      <c r="Q2154" t="s">
        <v>38</v>
      </c>
      <c r="R2154">
        <v>0</v>
      </c>
      <c r="S2154" t="s">
        <v>39</v>
      </c>
      <c r="T2154">
        <v>8</v>
      </c>
      <c r="U2154">
        <v>3</v>
      </c>
      <c r="V2154">
        <v>35.6</v>
      </c>
      <c r="W2154" t="s">
        <v>38</v>
      </c>
      <c r="X2154" t="s">
        <v>123</v>
      </c>
      <c r="Y2154" t="s">
        <v>39</v>
      </c>
      <c r="Z2154" t="s">
        <v>73</v>
      </c>
      <c r="AA2154" t="s">
        <v>103</v>
      </c>
      <c r="AB2154" t="s">
        <v>83</v>
      </c>
      <c r="AC2154">
        <f t="shared" si="363"/>
        <v>0</v>
      </c>
      <c r="AD2154" s="12">
        <f t="shared" si="367"/>
        <v>0</v>
      </c>
      <c r="AE2154" s="12">
        <f t="shared" si="368"/>
        <v>1</v>
      </c>
      <c r="AF2154">
        <f t="shared" si="364"/>
        <v>0</v>
      </c>
      <c r="AG2154">
        <f t="shared" si="369"/>
        <v>1</v>
      </c>
      <c r="AH2154">
        <f t="shared" si="370"/>
        <v>0</v>
      </c>
      <c r="AI2154">
        <f t="shared" si="371"/>
        <v>0</v>
      </c>
      <c r="AJ2154">
        <f t="shared" si="372"/>
        <v>0</v>
      </c>
      <c r="AK2154">
        <f t="shared" si="365"/>
        <v>0</v>
      </c>
      <c r="AL2154">
        <f t="shared" si="373"/>
        <v>0</v>
      </c>
    </row>
    <row r="2155" spans="1:38">
      <c r="A2155" t="s">
        <v>6592</v>
      </c>
      <c r="B2155" t="s">
        <v>6593</v>
      </c>
      <c r="C2155" s="1">
        <f t="shared" si="366"/>
        <v>45323</v>
      </c>
      <c r="D2155" t="s">
        <v>6594</v>
      </c>
      <c r="E2155">
        <v>167.9</v>
      </c>
      <c r="F2155">
        <v>7</v>
      </c>
      <c r="G2155" t="s">
        <v>142</v>
      </c>
      <c r="H2155" t="s">
        <v>143</v>
      </c>
      <c r="I2155" t="s">
        <v>32</v>
      </c>
      <c r="J2155">
        <v>240</v>
      </c>
      <c r="K2155" t="s">
        <v>49</v>
      </c>
      <c r="L2155" t="s">
        <v>96</v>
      </c>
      <c r="M2155" t="s">
        <v>35</v>
      </c>
      <c r="N2155" t="s">
        <v>50</v>
      </c>
      <c r="O2155" t="s">
        <v>7232</v>
      </c>
      <c r="P2155" t="s">
        <v>38</v>
      </c>
      <c r="Q2155" t="s">
        <v>38</v>
      </c>
      <c r="R2155">
        <v>1</v>
      </c>
      <c r="S2155" t="s">
        <v>38</v>
      </c>
      <c r="T2155">
        <v>7</v>
      </c>
      <c r="U2155">
        <v>3.7</v>
      </c>
      <c r="V2155">
        <v>13.1</v>
      </c>
      <c r="W2155" t="s">
        <v>38</v>
      </c>
      <c r="X2155" t="s">
        <v>52</v>
      </c>
      <c r="Y2155" t="s">
        <v>39</v>
      </c>
      <c r="Z2155" t="s">
        <v>179</v>
      </c>
      <c r="AA2155" t="s">
        <v>54</v>
      </c>
      <c r="AB2155" t="s">
        <v>83</v>
      </c>
      <c r="AC2155">
        <f t="shared" si="363"/>
        <v>1</v>
      </c>
      <c r="AD2155" s="12">
        <f t="shared" si="367"/>
        <v>0</v>
      </c>
      <c r="AE2155" s="12">
        <f t="shared" si="368"/>
        <v>0</v>
      </c>
      <c r="AF2155">
        <f t="shared" si="364"/>
        <v>0</v>
      </c>
      <c r="AG2155">
        <f t="shared" si="369"/>
        <v>1</v>
      </c>
      <c r="AH2155">
        <f t="shared" si="370"/>
        <v>0</v>
      </c>
      <c r="AI2155">
        <f t="shared" si="371"/>
        <v>0</v>
      </c>
      <c r="AJ2155">
        <f t="shared" si="372"/>
        <v>1</v>
      </c>
      <c r="AK2155">
        <f t="shared" si="365"/>
        <v>0</v>
      </c>
      <c r="AL2155">
        <f t="shared" si="373"/>
        <v>0</v>
      </c>
    </row>
    <row r="2156" spans="1:38">
      <c r="A2156" t="s">
        <v>6595</v>
      </c>
      <c r="B2156" t="s">
        <v>6596</v>
      </c>
      <c r="C2156" s="1">
        <f t="shared" si="366"/>
        <v>45292</v>
      </c>
      <c r="D2156" t="s">
        <v>6597</v>
      </c>
      <c r="E2156">
        <v>299</v>
      </c>
      <c r="F2156">
        <v>12.5</v>
      </c>
      <c r="G2156" t="s">
        <v>68</v>
      </c>
      <c r="H2156" t="s">
        <v>456</v>
      </c>
      <c r="I2156" t="s">
        <v>32</v>
      </c>
      <c r="J2156">
        <v>240</v>
      </c>
      <c r="K2156" t="s">
        <v>33</v>
      </c>
      <c r="L2156" t="s">
        <v>96</v>
      </c>
      <c r="M2156" t="s">
        <v>35</v>
      </c>
      <c r="N2156" t="s">
        <v>168</v>
      </c>
      <c r="O2156" t="s">
        <v>51</v>
      </c>
      <c r="P2156" t="s">
        <v>38</v>
      </c>
      <c r="Q2156" t="s">
        <v>38</v>
      </c>
      <c r="R2156">
        <v>1</v>
      </c>
      <c r="S2156" t="s">
        <v>38</v>
      </c>
      <c r="T2156">
        <v>3</v>
      </c>
      <c r="U2156">
        <v>4.2</v>
      </c>
      <c r="V2156">
        <v>6.1</v>
      </c>
      <c r="W2156" t="s">
        <v>39</v>
      </c>
      <c r="X2156" t="s">
        <v>63</v>
      </c>
      <c r="Y2156" t="s">
        <v>39</v>
      </c>
      <c r="Z2156" t="s">
        <v>73</v>
      </c>
      <c r="AA2156" t="s">
        <v>54</v>
      </c>
      <c r="AB2156" t="s">
        <v>83</v>
      </c>
      <c r="AC2156">
        <f t="shared" si="363"/>
        <v>0</v>
      </c>
      <c r="AD2156" s="12">
        <f t="shared" si="367"/>
        <v>1</v>
      </c>
      <c r="AE2156" s="12">
        <f t="shared" si="368"/>
        <v>0</v>
      </c>
      <c r="AF2156">
        <f t="shared" si="364"/>
        <v>1</v>
      </c>
      <c r="AG2156">
        <f t="shared" si="369"/>
        <v>0</v>
      </c>
      <c r="AH2156">
        <f t="shared" si="370"/>
        <v>0</v>
      </c>
      <c r="AI2156">
        <f t="shared" si="371"/>
        <v>0</v>
      </c>
      <c r="AJ2156">
        <f t="shared" si="372"/>
        <v>1</v>
      </c>
      <c r="AK2156">
        <f t="shared" si="365"/>
        <v>0</v>
      </c>
      <c r="AL2156">
        <f t="shared" si="373"/>
        <v>0</v>
      </c>
    </row>
    <row r="2157" spans="1:38">
      <c r="A2157" t="s">
        <v>6598</v>
      </c>
      <c r="B2157" t="s">
        <v>6599</v>
      </c>
      <c r="C2157" s="1">
        <f t="shared" si="366"/>
        <v>45352</v>
      </c>
      <c r="D2157" t="s">
        <v>6600</v>
      </c>
      <c r="E2157">
        <v>101</v>
      </c>
      <c r="F2157">
        <v>4.2</v>
      </c>
      <c r="G2157" t="s">
        <v>101</v>
      </c>
      <c r="H2157" t="s">
        <v>368</v>
      </c>
      <c r="I2157" t="s">
        <v>48</v>
      </c>
      <c r="J2157">
        <v>120</v>
      </c>
      <c r="K2157" t="s">
        <v>49</v>
      </c>
      <c r="L2157" t="s">
        <v>70</v>
      </c>
      <c r="M2157" t="s">
        <v>35</v>
      </c>
      <c r="N2157" t="s">
        <v>97</v>
      </c>
      <c r="O2157" t="s">
        <v>7232</v>
      </c>
      <c r="P2157" t="s">
        <v>39</v>
      </c>
      <c r="Q2157" t="s">
        <v>38</v>
      </c>
      <c r="R2157">
        <v>0</v>
      </c>
      <c r="S2157" t="s">
        <v>38</v>
      </c>
      <c r="T2157">
        <v>10</v>
      </c>
      <c r="U2157">
        <v>5.2</v>
      </c>
      <c r="V2157">
        <v>10</v>
      </c>
      <c r="W2157" t="s">
        <v>39</v>
      </c>
      <c r="X2157" t="s">
        <v>63</v>
      </c>
      <c r="Y2157" t="s">
        <v>39</v>
      </c>
      <c r="Z2157" t="s">
        <v>64</v>
      </c>
      <c r="AA2157" t="s">
        <v>103</v>
      </c>
      <c r="AB2157" t="s">
        <v>83</v>
      </c>
      <c r="AC2157">
        <f t="shared" si="363"/>
        <v>0</v>
      </c>
      <c r="AD2157" s="12">
        <f t="shared" si="367"/>
        <v>1</v>
      </c>
      <c r="AE2157" s="12">
        <f t="shared" si="368"/>
        <v>0</v>
      </c>
      <c r="AF2157">
        <f t="shared" si="364"/>
        <v>0</v>
      </c>
      <c r="AG2157">
        <f t="shared" si="369"/>
        <v>1</v>
      </c>
      <c r="AH2157">
        <f t="shared" si="370"/>
        <v>1</v>
      </c>
      <c r="AI2157">
        <f t="shared" si="371"/>
        <v>0</v>
      </c>
      <c r="AJ2157">
        <f t="shared" si="372"/>
        <v>0</v>
      </c>
      <c r="AK2157">
        <f t="shared" si="365"/>
        <v>0</v>
      </c>
      <c r="AL2157">
        <f t="shared" si="373"/>
        <v>0</v>
      </c>
    </row>
    <row r="2158" spans="1:38">
      <c r="A2158" t="s">
        <v>6601</v>
      </c>
      <c r="B2158" t="s">
        <v>6602</v>
      </c>
      <c r="C2158" s="1">
        <f t="shared" si="366"/>
        <v>45413</v>
      </c>
      <c r="D2158" t="s">
        <v>6603</v>
      </c>
      <c r="E2158">
        <v>356.3</v>
      </c>
      <c r="F2158">
        <v>14.8</v>
      </c>
      <c r="G2158" t="s">
        <v>93</v>
      </c>
      <c r="H2158" t="s">
        <v>291</v>
      </c>
      <c r="I2158" t="s">
        <v>32</v>
      </c>
      <c r="J2158">
        <v>240</v>
      </c>
      <c r="K2158" t="s">
        <v>33</v>
      </c>
      <c r="L2158" t="s">
        <v>70</v>
      </c>
      <c r="M2158" t="s">
        <v>35</v>
      </c>
      <c r="N2158" t="s">
        <v>164</v>
      </c>
      <c r="O2158" t="s">
        <v>7232</v>
      </c>
      <c r="P2158" t="s">
        <v>38</v>
      </c>
      <c r="Q2158" t="s">
        <v>38</v>
      </c>
      <c r="R2158">
        <v>1</v>
      </c>
      <c r="S2158" t="s">
        <v>38</v>
      </c>
      <c r="T2158">
        <v>7</v>
      </c>
      <c r="U2158">
        <v>4.3</v>
      </c>
      <c r="V2158">
        <v>1.5</v>
      </c>
      <c r="W2158" t="s">
        <v>39</v>
      </c>
      <c r="X2158" t="s">
        <v>52</v>
      </c>
      <c r="Y2158" t="s">
        <v>39</v>
      </c>
      <c r="Z2158" t="s">
        <v>53</v>
      </c>
      <c r="AA2158" t="s">
        <v>103</v>
      </c>
      <c r="AB2158" t="s">
        <v>43</v>
      </c>
      <c r="AC2158">
        <f t="shared" si="363"/>
        <v>1</v>
      </c>
      <c r="AD2158" s="12">
        <f t="shared" si="367"/>
        <v>0</v>
      </c>
      <c r="AE2158" s="12">
        <f t="shared" si="368"/>
        <v>0</v>
      </c>
      <c r="AF2158">
        <f t="shared" si="364"/>
        <v>0</v>
      </c>
      <c r="AG2158">
        <f t="shared" si="369"/>
        <v>1</v>
      </c>
      <c r="AH2158">
        <f t="shared" si="370"/>
        <v>0</v>
      </c>
      <c r="AI2158">
        <f t="shared" si="371"/>
        <v>0</v>
      </c>
      <c r="AJ2158">
        <f t="shared" si="372"/>
        <v>1</v>
      </c>
      <c r="AK2158">
        <f t="shared" si="365"/>
        <v>0</v>
      </c>
      <c r="AL2158">
        <f t="shared" si="373"/>
        <v>0</v>
      </c>
    </row>
    <row r="2159" spans="1:38">
      <c r="A2159" t="s">
        <v>6604</v>
      </c>
      <c r="B2159" t="s">
        <v>6605</v>
      </c>
      <c r="C2159" s="1">
        <f t="shared" si="366"/>
        <v>45323</v>
      </c>
      <c r="D2159" t="s">
        <v>6606</v>
      </c>
      <c r="E2159">
        <v>136.6</v>
      </c>
      <c r="F2159">
        <v>5.7</v>
      </c>
      <c r="G2159" t="s">
        <v>59</v>
      </c>
      <c r="H2159" t="s">
        <v>227</v>
      </c>
      <c r="I2159" t="s">
        <v>48</v>
      </c>
      <c r="J2159">
        <v>120</v>
      </c>
      <c r="K2159" t="s">
        <v>33</v>
      </c>
      <c r="L2159" t="s">
        <v>70</v>
      </c>
      <c r="M2159" t="s">
        <v>35</v>
      </c>
      <c r="N2159" t="s">
        <v>144</v>
      </c>
      <c r="O2159" t="s">
        <v>7232</v>
      </c>
      <c r="P2159" t="s">
        <v>38</v>
      </c>
      <c r="Q2159" t="s">
        <v>38</v>
      </c>
      <c r="R2159">
        <v>1</v>
      </c>
      <c r="S2159" t="s">
        <v>38</v>
      </c>
      <c r="T2159">
        <v>5</v>
      </c>
      <c r="U2159">
        <v>1.2</v>
      </c>
      <c r="V2159">
        <v>15.7</v>
      </c>
      <c r="W2159" t="s">
        <v>38</v>
      </c>
      <c r="X2159" t="s">
        <v>52</v>
      </c>
      <c r="Y2159" t="s">
        <v>39</v>
      </c>
      <c r="Z2159" t="s">
        <v>73</v>
      </c>
      <c r="AA2159" t="s">
        <v>42</v>
      </c>
      <c r="AB2159" t="s">
        <v>83</v>
      </c>
      <c r="AC2159">
        <f t="shared" si="363"/>
        <v>1</v>
      </c>
      <c r="AD2159" s="12">
        <f t="shared" si="367"/>
        <v>0</v>
      </c>
      <c r="AE2159" s="12">
        <f t="shared" si="368"/>
        <v>0</v>
      </c>
      <c r="AF2159">
        <f t="shared" si="364"/>
        <v>0</v>
      </c>
      <c r="AG2159">
        <f t="shared" si="369"/>
        <v>1</v>
      </c>
      <c r="AH2159">
        <f t="shared" si="370"/>
        <v>1</v>
      </c>
      <c r="AI2159">
        <f t="shared" si="371"/>
        <v>0</v>
      </c>
      <c r="AJ2159">
        <f t="shared" si="372"/>
        <v>0</v>
      </c>
      <c r="AK2159">
        <f t="shared" si="365"/>
        <v>0</v>
      </c>
      <c r="AL2159">
        <f t="shared" si="373"/>
        <v>0</v>
      </c>
    </row>
    <row r="2160" spans="1:38">
      <c r="A2160" t="s">
        <v>6607</v>
      </c>
      <c r="B2160" t="s">
        <v>6608</v>
      </c>
      <c r="C2160" s="1">
        <f t="shared" si="366"/>
        <v>45566</v>
      </c>
      <c r="D2160" t="s">
        <v>6609</v>
      </c>
      <c r="E2160">
        <v>94.6</v>
      </c>
      <c r="F2160">
        <v>3.9</v>
      </c>
      <c r="G2160" t="s">
        <v>87</v>
      </c>
      <c r="H2160" t="s">
        <v>309</v>
      </c>
      <c r="I2160" t="s">
        <v>48</v>
      </c>
      <c r="J2160">
        <v>120</v>
      </c>
      <c r="K2160" t="s">
        <v>49</v>
      </c>
      <c r="L2160" t="s">
        <v>96</v>
      </c>
      <c r="M2160" t="s">
        <v>35</v>
      </c>
      <c r="N2160" t="s">
        <v>36</v>
      </c>
      <c r="O2160" t="s">
        <v>51</v>
      </c>
      <c r="P2160" t="s">
        <v>39</v>
      </c>
      <c r="Q2160" t="s">
        <v>38</v>
      </c>
      <c r="R2160">
        <v>0</v>
      </c>
      <c r="S2160" t="s">
        <v>38</v>
      </c>
      <c r="T2160">
        <v>9</v>
      </c>
      <c r="U2160">
        <v>4.7</v>
      </c>
      <c r="V2160">
        <v>5.6</v>
      </c>
      <c r="W2160" t="s">
        <v>39</v>
      </c>
      <c r="X2160" t="s">
        <v>123</v>
      </c>
      <c r="Y2160" t="s">
        <v>39</v>
      </c>
      <c r="Z2160" t="s">
        <v>64</v>
      </c>
      <c r="AA2160" t="s">
        <v>42</v>
      </c>
      <c r="AB2160" t="s">
        <v>83</v>
      </c>
      <c r="AC2160">
        <f t="shared" si="363"/>
        <v>0</v>
      </c>
      <c r="AD2160" s="12">
        <f t="shared" si="367"/>
        <v>0</v>
      </c>
      <c r="AE2160" s="12">
        <f t="shared" si="368"/>
        <v>1</v>
      </c>
      <c r="AF2160">
        <f t="shared" si="364"/>
        <v>1</v>
      </c>
      <c r="AG2160">
        <f t="shared" si="369"/>
        <v>0</v>
      </c>
      <c r="AH2160">
        <f t="shared" si="370"/>
        <v>1</v>
      </c>
      <c r="AI2160">
        <f t="shared" si="371"/>
        <v>0</v>
      </c>
      <c r="AJ2160">
        <f t="shared" si="372"/>
        <v>0</v>
      </c>
      <c r="AK2160">
        <f t="shared" si="365"/>
        <v>0</v>
      </c>
      <c r="AL2160">
        <f t="shared" si="373"/>
        <v>0</v>
      </c>
    </row>
    <row r="2161" spans="1:38">
      <c r="A2161" t="s">
        <v>6610</v>
      </c>
      <c r="B2161" t="s">
        <v>6611</v>
      </c>
      <c r="C2161" s="1">
        <f t="shared" si="366"/>
        <v>45444</v>
      </c>
      <c r="D2161" t="s">
        <v>6612</v>
      </c>
      <c r="E2161">
        <v>720.5</v>
      </c>
      <c r="F2161">
        <v>30</v>
      </c>
      <c r="G2161" t="s">
        <v>93</v>
      </c>
      <c r="H2161" t="s">
        <v>163</v>
      </c>
      <c r="I2161" t="s">
        <v>79</v>
      </c>
      <c r="J2161">
        <v>360</v>
      </c>
      <c r="K2161" t="s">
        <v>33</v>
      </c>
      <c r="L2161" t="s">
        <v>113</v>
      </c>
      <c r="M2161" t="s">
        <v>71</v>
      </c>
      <c r="N2161" t="s">
        <v>144</v>
      </c>
      <c r="O2161" t="s">
        <v>7232</v>
      </c>
      <c r="P2161" t="s">
        <v>38</v>
      </c>
      <c r="Q2161" t="s">
        <v>39</v>
      </c>
      <c r="R2161">
        <v>3</v>
      </c>
      <c r="S2161" t="s">
        <v>38</v>
      </c>
      <c r="T2161">
        <v>7</v>
      </c>
      <c r="U2161">
        <v>0.2</v>
      </c>
      <c r="V2161">
        <v>19.100000000000001</v>
      </c>
      <c r="W2161" t="s">
        <v>38</v>
      </c>
      <c r="X2161" t="s">
        <v>52</v>
      </c>
      <c r="Y2161" t="s">
        <v>38</v>
      </c>
      <c r="Z2161" t="s">
        <v>53</v>
      </c>
      <c r="AA2161" t="s">
        <v>54</v>
      </c>
      <c r="AB2161" t="s">
        <v>55</v>
      </c>
      <c r="AC2161">
        <f t="shared" si="363"/>
        <v>1</v>
      </c>
      <c r="AD2161" s="12">
        <f t="shared" si="367"/>
        <v>0</v>
      </c>
      <c r="AE2161" s="12">
        <f t="shared" si="368"/>
        <v>0</v>
      </c>
      <c r="AF2161">
        <f t="shared" si="364"/>
        <v>0</v>
      </c>
      <c r="AG2161">
        <f t="shared" si="369"/>
        <v>1</v>
      </c>
      <c r="AH2161">
        <f t="shared" si="370"/>
        <v>0</v>
      </c>
      <c r="AI2161">
        <f t="shared" si="371"/>
        <v>0</v>
      </c>
      <c r="AJ2161">
        <f t="shared" si="372"/>
        <v>0</v>
      </c>
      <c r="AK2161">
        <f t="shared" si="365"/>
        <v>0</v>
      </c>
      <c r="AL2161">
        <f t="shared" si="373"/>
        <v>1</v>
      </c>
    </row>
    <row r="2162" spans="1:38">
      <c r="A2162" t="s">
        <v>6613</v>
      </c>
      <c r="B2162" t="s">
        <v>6614</v>
      </c>
      <c r="C2162" s="1">
        <f t="shared" si="366"/>
        <v>45352</v>
      </c>
      <c r="D2162" t="s">
        <v>6615</v>
      </c>
      <c r="E2162">
        <v>505.9</v>
      </c>
      <c r="F2162">
        <v>21.1</v>
      </c>
      <c r="G2162" t="s">
        <v>101</v>
      </c>
      <c r="H2162" t="s">
        <v>368</v>
      </c>
      <c r="I2162" t="s">
        <v>79</v>
      </c>
      <c r="J2162">
        <v>360</v>
      </c>
      <c r="K2162" t="s">
        <v>33</v>
      </c>
      <c r="L2162" t="s">
        <v>34</v>
      </c>
      <c r="M2162" t="s">
        <v>35</v>
      </c>
      <c r="N2162" t="s">
        <v>202</v>
      </c>
      <c r="O2162" t="s">
        <v>7232</v>
      </c>
      <c r="P2162" t="s">
        <v>38</v>
      </c>
      <c r="Q2162" t="s">
        <v>38</v>
      </c>
      <c r="R2162">
        <v>1</v>
      </c>
      <c r="S2162" t="s">
        <v>38</v>
      </c>
      <c r="T2162">
        <v>5</v>
      </c>
      <c r="U2162">
        <v>4.4000000000000004</v>
      </c>
      <c r="V2162">
        <v>20.7</v>
      </c>
      <c r="W2162" t="s">
        <v>39</v>
      </c>
      <c r="X2162" t="s">
        <v>52</v>
      </c>
      <c r="Y2162" t="s">
        <v>38</v>
      </c>
      <c r="Z2162" t="s">
        <v>53</v>
      </c>
      <c r="AA2162" t="s">
        <v>103</v>
      </c>
      <c r="AB2162" t="s">
        <v>83</v>
      </c>
      <c r="AC2162">
        <f t="shared" si="363"/>
        <v>1</v>
      </c>
      <c r="AD2162" s="12">
        <f t="shared" si="367"/>
        <v>0</v>
      </c>
      <c r="AE2162" s="12">
        <f t="shared" si="368"/>
        <v>0</v>
      </c>
      <c r="AF2162">
        <f t="shared" si="364"/>
        <v>0</v>
      </c>
      <c r="AG2162">
        <f t="shared" si="369"/>
        <v>1</v>
      </c>
      <c r="AH2162">
        <f t="shared" si="370"/>
        <v>0</v>
      </c>
      <c r="AI2162">
        <f t="shared" si="371"/>
        <v>0</v>
      </c>
      <c r="AJ2162">
        <f t="shared" si="372"/>
        <v>0</v>
      </c>
      <c r="AK2162">
        <f t="shared" si="365"/>
        <v>0</v>
      </c>
      <c r="AL2162">
        <f t="shared" si="373"/>
        <v>1</v>
      </c>
    </row>
    <row r="2163" spans="1:38">
      <c r="A2163" t="s">
        <v>6616</v>
      </c>
      <c r="B2163" t="s">
        <v>6617</v>
      </c>
      <c r="C2163" s="1">
        <f t="shared" si="366"/>
        <v>45536</v>
      </c>
      <c r="D2163" t="s">
        <v>6618</v>
      </c>
      <c r="E2163">
        <v>284.3</v>
      </c>
      <c r="F2163">
        <v>11.8</v>
      </c>
      <c r="G2163" t="s">
        <v>77</v>
      </c>
      <c r="H2163" t="s">
        <v>187</v>
      </c>
      <c r="I2163" t="s">
        <v>79</v>
      </c>
      <c r="J2163">
        <v>360</v>
      </c>
      <c r="K2163" t="s">
        <v>49</v>
      </c>
      <c r="L2163" t="s">
        <v>96</v>
      </c>
      <c r="M2163" t="s">
        <v>35</v>
      </c>
      <c r="N2163" t="s">
        <v>164</v>
      </c>
      <c r="O2163" t="s">
        <v>7232</v>
      </c>
      <c r="P2163" t="s">
        <v>39</v>
      </c>
      <c r="Q2163" t="s">
        <v>38</v>
      </c>
      <c r="R2163">
        <v>0</v>
      </c>
      <c r="S2163" t="s">
        <v>38</v>
      </c>
      <c r="T2163">
        <v>9</v>
      </c>
      <c r="U2163">
        <v>3.2</v>
      </c>
      <c r="V2163">
        <v>19.100000000000001</v>
      </c>
      <c r="W2163" t="s">
        <v>39</v>
      </c>
      <c r="X2163" t="s">
        <v>63</v>
      </c>
      <c r="Y2163" t="s">
        <v>39</v>
      </c>
      <c r="Z2163" t="s">
        <v>64</v>
      </c>
      <c r="AA2163" t="s">
        <v>109</v>
      </c>
      <c r="AB2163" t="s">
        <v>83</v>
      </c>
      <c r="AC2163">
        <f t="shared" si="363"/>
        <v>0</v>
      </c>
      <c r="AD2163" s="12">
        <f t="shared" si="367"/>
        <v>1</v>
      </c>
      <c r="AE2163" s="12">
        <f t="shared" si="368"/>
        <v>0</v>
      </c>
      <c r="AF2163">
        <f t="shared" si="364"/>
        <v>0</v>
      </c>
      <c r="AG2163">
        <f t="shared" si="369"/>
        <v>1</v>
      </c>
      <c r="AH2163">
        <f t="shared" si="370"/>
        <v>0</v>
      </c>
      <c r="AI2163">
        <f t="shared" si="371"/>
        <v>0</v>
      </c>
      <c r="AJ2163">
        <f t="shared" si="372"/>
        <v>0</v>
      </c>
      <c r="AK2163">
        <f t="shared" si="365"/>
        <v>0</v>
      </c>
      <c r="AL2163">
        <f t="shared" si="373"/>
        <v>0</v>
      </c>
    </row>
    <row r="2164" spans="1:38">
      <c r="A2164" t="s">
        <v>6619</v>
      </c>
      <c r="B2164" t="s">
        <v>6620</v>
      </c>
      <c r="C2164" s="1">
        <f t="shared" si="366"/>
        <v>45292</v>
      </c>
      <c r="D2164" t="s">
        <v>6621</v>
      </c>
      <c r="E2164">
        <v>280</v>
      </c>
      <c r="F2164">
        <v>11.7</v>
      </c>
      <c r="G2164" t="s">
        <v>30</v>
      </c>
      <c r="H2164" t="s">
        <v>47</v>
      </c>
      <c r="I2164" t="s">
        <v>32</v>
      </c>
      <c r="J2164">
        <v>240</v>
      </c>
      <c r="K2164" t="s">
        <v>33</v>
      </c>
      <c r="L2164" t="s">
        <v>34</v>
      </c>
      <c r="M2164" t="s">
        <v>35</v>
      </c>
      <c r="N2164" t="s">
        <v>61</v>
      </c>
      <c r="O2164" t="s">
        <v>7232</v>
      </c>
      <c r="P2164" t="s">
        <v>38</v>
      </c>
      <c r="Q2164" t="s">
        <v>38</v>
      </c>
      <c r="R2164">
        <v>1</v>
      </c>
      <c r="S2164" t="s">
        <v>38</v>
      </c>
      <c r="T2164">
        <v>9</v>
      </c>
      <c r="U2164">
        <v>2.4</v>
      </c>
      <c r="V2164">
        <v>21.1</v>
      </c>
      <c r="W2164" t="s">
        <v>38</v>
      </c>
      <c r="X2164" t="s">
        <v>52</v>
      </c>
      <c r="Y2164" t="s">
        <v>38</v>
      </c>
      <c r="Z2164" t="s">
        <v>81</v>
      </c>
      <c r="AA2164" t="s">
        <v>54</v>
      </c>
      <c r="AB2164" t="s">
        <v>83</v>
      </c>
      <c r="AC2164">
        <f t="shared" si="363"/>
        <v>1</v>
      </c>
      <c r="AD2164" s="12">
        <f t="shared" si="367"/>
        <v>0</v>
      </c>
      <c r="AE2164" s="12">
        <f t="shared" si="368"/>
        <v>0</v>
      </c>
      <c r="AF2164">
        <f t="shared" si="364"/>
        <v>0</v>
      </c>
      <c r="AG2164">
        <f t="shared" si="369"/>
        <v>1</v>
      </c>
      <c r="AH2164">
        <f t="shared" si="370"/>
        <v>0</v>
      </c>
      <c r="AI2164">
        <f t="shared" si="371"/>
        <v>0</v>
      </c>
      <c r="AJ2164">
        <f t="shared" si="372"/>
        <v>1</v>
      </c>
      <c r="AK2164">
        <f t="shared" si="365"/>
        <v>1</v>
      </c>
      <c r="AL2164">
        <f t="shared" si="373"/>
        <v>1</v>
      </c>
    </row>
    <row r="2165" spans="1:38">
      <c r="A2165" t="s">
        <v>6622</v>
      </c>
      <c r="B2165" t="s">
        <v>6623</v>
      </c>
      <c r="C2165" s="1">
        <f t="shared" si="366"/>
        <v>45444</v>
      </c>
      <c r="D2165" t="s">
        <v>6624</v>
      </c>
      <c r="E2165">
        <v>98.1</v>
      </c>
      <c r="F2165">
        <v>4.0999999999999996</v>
      </c>
      <c r="G2165" t="s">
        <v>30</v>
      </c>
      <c r="H2165" t="s">
        <v>31</v>
      </c>
      <c r="I2165" t="s">
        <v>48</v>
      </c>
      <c r="J2165">
        <v>120</v>
      </c>
      <c r="K2165" t="s">
        <v>49</v>
      </c>
      <c r="L2165" t="s">
        <v>96</v>
      </c>
      <c r="M2165" t="s">
        <v>35</v>
      </c>
      <c r="N2165" t="s">
        <v>134</v>
      </c>
      <c r="O2165" t="s">
        <v>7232</v>
      </c>
      <c r="P2165" t="s">
        <v>39</v>
      </c>
      <c r="Q2165" t="s">
        <v>38</v>
      </c>
      <c r="R2165">
        <v>0</v>
      </c>
      <c r="S2165" t="s">
        <v>38</v>
      </c>
      <c r="T2165">
        <v>10</v>
      </c>
      <c r="U2165">
        <v>3.1</v>
      </c>
      <c r="V2165">
        <v>39.4</v>
      </c>
      <c r="W2165" t="s">
        <v>39</v>
      </c>
      <c r="X2165" t="s">
        <v>123</v>
      </c>
      <c r="Y2165" t="s">
        <v>38</v>
      </c>
      <c r="Z2165" t="s">
        <v>81</v>
      </c>
      <c r="AA2165" t="s">
        <v>42</v>
      </c>
      <c r="AB2165" t="s">
        <v>55</v>
      </c>
      <c r="AC2165">
        <f t="shared" si="363"/>
        <v>0</v>
      </c>
      <c r="AD2165" s="12">
        <f t="shared" si="367"/>
        <v>0</v>
      </c>
      <c r="AE2165" s="12">
        <f t="shared" si="368"/>
        <v>1</v>
      </c>
      <c r="AF2165">
        <f t="shared" si="364"/>
        <v>0</v>
      </c>
      <c r="AG2165">
        <f t="shared" si="369"/>
        <v>1</v>
      </c>
      <c r="AH2165">
        <f t="shared" si="370"/>
        <v>1</v>
      </c>
      <c r="AI2165">
        <f t="shared" si="371"/>
        <v>0</v>
      </c>
      <c r="AJ2165">
        <f t="shared" si="372"/>
        <v>0</v>
      </c>
      <c r="AK2165">
        <f t="shared" si="365"/>
        <v>1</v>
      </c>
      <c r="AL2165">
        <f t="shared" si="373"/>
        <v>1</v>
      </c>
    </row>
    <row r="2166" spans="1:38">
      <c r="A2166" t="s">
        <v>6625</v>
      </c>
      <c r="B2166" t="s">
        <v>6626</v>
      </c>
      <c r="C2166" s="1">
        <f t="shared" si="366"/>
        <v>45352</v>
      </c>
      <c r="D2166" t="s">
        <v>6627</v>
      </c>
      <c r="E2166">
        <v>221.1</v>
      </c>
      <c r="F2166">
        <v>9.1999999999999993</v>
      </c>
      <c r="G2166" t="s">
        <v>101</v>
      </c>
      <c r="H2166" t="s">
        <v>368</v>
      </c>
      <c r="I2166" t="s">
        <v>32</v>
      </c>
      <c r="J2166">
        <v>240</v>
      </c>
      <c r="K2166" t="s">
        <v>49</v>
      </c>
      <c r="L2166" t="s">
        <v>96</v>
      </c>
      <c r="M2166" t="s">
        <v>35</v>
      </c>
      <c r="N2166" t="s">
        <v>89</v>
      </c>
      <c r="O2166" t="s">
        <v>7232</v>
      </c>
      <c r="P2166" t="s">
        <v>38</v>
      </c>
      <c r="Q2166" t="s">
        <v>38</v>
      </c>
      <c r="R2166">
        <v>1</v>
      </c>
      <c r="S2166" t="s">
        <v>38</v>
      </c>
      <c r="T2166">
        <v>8</v>
      </c>
      <c r="U2166">
        <v>5</v>
      </c>
      <c r="V2166">
        <v>0.1</v>
      </c>
      <c r="W2166" t="s">
        <v>38</v>
      </c>
      <c r="X2166" t="s">
        <v>52</v>
      </c>
      <c r="Y2166" t="s">
        <v>39</v>
      </c>
      <c r="Z2166" t="s">
        <v>73</v>
      </c>
      <c r="AA2166" t="s">
        <v>54</v>
      </c>
      <c r="AB2166" t="s">
        <v>83</v>
      </c>
      <c r="AC2166">
        <f t="shared" si="363"/>
        <v>1</v>
      </c>
      <c r="AD2166" s="12">
        <f t="shared" si="367"/>
        <v>0</v>
      </c>
      <c r="AE2166" s="12">
        <f t="shared" si="368"/>
        <v>0</v>
      </c>
      <c r="AF2166">
        <f t="shared" si="364"/>
        <v>0</v>
      </c>
      <c r="AG2166">
        <f t="shared" si="369"/>
        <v>1</v>
      </c>
      <c r="AH2166">
        <f t="shared" si="370"/>
        <v>0</v>
      </c>
      <c r="AI2166">
        <f t="shared" si="371"/>
        <v>0</v>
      </c>
      <c r="AJ2166">
        <f t="shared" si="372"/>
        <v>1</v>
      </c>
      <c r="AK2166">
        <f t="shared" si="365"/>
        <v>0</v>
      </c>
      <c r="AL2166">
        <f t="shared" si="373"/>
        <v>0</v>
      </c>
    </row>
    <row r="2167" spans="1:38">
      <c r="A2167" t="s">
        <v>6628</v>
      </c>
      <c r="B2167" t="s">
        <v>6629</v>
      </c>
      <c r="C2167" s="1">
        <f t="shared" si="366"/>
        <v>45444</v>
      </c>
      <c r="D2167" t="s">
        <v>6630</v>
      </c>
      <c r="E2167">
        <v>291.8</v>
      </c>
      <c r="F2167">
        <v>12.2</v>
      </c>
      <c r="G2167" t="s">
        <v>77</v>
      </c>
      <c r="H2167" t="s">
        <v>78</v>
      </c>
      <c r="I2167" t="s">
        <v>79</v>
      </c>
      <c r="J2167">
        <v>360</v>
      </c>
      <c r="K2167" t="s">
        <v>49</v>
      </c>
      <c r="L2167" t="s">
        <v>34</v>
      </c>
      <c r="M2167" t="s">
        <v>35</v>
      </c>
      <c r="N2167" t="s">
        <v>220</v>
      </c>
      <c r="O2167" t="s">
        <v>37</v>
      </c>
      <c r="P2167" t="s">
        <v>39</v>
      </c>
      <c r="Q2167" t="s">
        <v>38</v>
      </c>
      <c r="R2167">
        <v>0</v>
      </c>
      <c r="S2167" t="s">
        <v>38</v>
      </c>
      <c r="T2167">
        <v>6</v>
      </c>
      <c r="U2167">
        <v>1.7</v>
      </c>
      <c r="V2167">
        <v>9.1</v>
      </c>
      <c r="W2167" t="s">
        <v>39</v>
      </c>
      <c r="X2167" t="s">
        <v>123</v>
      </c>
      <c r="Y2167" t="s">
        <v>39</v>
      </c>
      <c r="Z2167" t="s">
        <v>53</v>
      </c>
      <c r="AA2167" t="s">
        <v>54</v>
      </c>
      <c r="AB2167" t="s">
        <v>83</v>
      </c>
      <c r="AC2167">
        <f t="shared" si="363"/>
        <v>0</v>
      </c>
      <c r="AD2167" s="12">
        <f t="shared" si="367"/>
        <v>0</v>
      </c>
      <c r="AE2167" s="12">
        <f t="shared" si="368"/>
        <v>1</v>
      </c>
      <c r="AF2167">
        <f t="shared" si="364"/>
        <v>0</v>
      </c>
      <c r="AG2167">
        <f t="shared" si="369"/>
        <v>0</v>
      </c>
      <c r="AH2167">
        <f t="shared" si="370"/>
        <v>0</v>
      </c>
      <c r="AI2167">
        <f t="shared" si="371"/>
        <v>0</v>
      </c>
      <c r="AJ2167">
        <f t="shared" si="372"/>
        <v>0</v>
      </c>
      <c r="AK2167">
        <f t="shared" si="365"/>
        <v>0</v>
      </c>
      <c r="AL2167">
        <f t="shared" si="373"/>
        <v>0</v>
      </c>
    </row>
    <row r="2168" spans="1:38">
      <c r="A2168" t="s">
        <v>6631</v>
      </c>
      <c r="B2168" t="s">
        <v>6632</v>
      </c>
      <c r="C2168" s="1">
        <f t="shared" si="366"/>
        <v>45474</v>
      </c>
      <c r="D2168" t="s">
        <v>6633</v>
      </c>
      <c r="E2168">
        <v>196.3</v>
      </c>
      <c r="F2168">
        <v>8.1999999999999993</v>
      </c>
      <c r="G2168" t="s">
        <v>101</v>
      </c>
      <c r="H2168" t="s">
        <v>442</v>
      </c>
      <c r="I2168" t="s">
        <v>48</v>
      </c>
      <c r="J2168">
        <v>120</v>
      </c>
      <c r="K2168" t="s">
        <v>33</v>
      </c>
      <c r="L2168" t="s">
        <v>133</v>
      </c>
      <c r="M2168" t="s">
        <v>71</v>
      </c>
      <c r="N2168" t="s">
        <v>50</v>
      </c>
      <c r="O2168" t="s">
        <v>37</v>
      </c>
      <c r="P2168" t="s">
        <v>38</v>
      </c>
      <c r="Q2168" t="s">
        <v>39</v>
      </c>
      <c r="R2168">
        <v>1</v>
      </c>
      <c r="S2168" t="s">
        <v>38</v>
      </c>
      <c r="T2168">
        <v>7</v>
      </c>
      <c r="U2168">
        <v>1.1000000000000001</v>
      </c>
      <c r="V2168">
        <v>19.100000000000001</v>
      </c>
      <c r="W2168" t="s">
        <v>38</v>
      </c>
      <c r="X2168" t="s">
        <v>63</v>
      </c>
      <c r="Y2168" t="s">
        <v>38</v>
      </c>
      <c r="Z2168" t="s">
        <v>115</v>
      </c>
      <c r="AA2168" t="s">
        <v>109</v>
      </c>
      <c r="AB2168" t="s">
        <v>55</v>
      </c>
      <c r="AC2168">
        <f t="shared" si="363"/>
        <v>0</v>
      </c>
      <c r="AD2168" s="12">
        <f t="shared" si="367"/>
        <v>1</v>
      </c>
      <c r="AE2168" s="12">
        <f t="shared" si="368"/>
        <v>0</v>
      </c>
      <c r="AF2168">
        <f t="shared" si="364"/>
        <v>0</v>
      </c>
      <c r="AG2168">
        <f t="shared" si="369"/>
        <v>0</v>
      </c>
      <c r="AH2168">
        <f t="shared" si="370"/>
        <v>1</v>
      </c>
      <c r="AI2168">
        <f t="shared" si="371"/>
        <v>0</v>
      </c>
      <c r="AJ2168">
        <f t="shared" si="372"/>
        <v>0</v>
      </c>
      <c r="AK2168">
        <f t="shared" si="365"/>
        <v>0</v>
      </c>
      <c r="AL2168">
        <f t="shared" si="373"/>
        <v>1</v>
      </c>
    </row>
    <row r="2169" spans="1:38">
      <c r="A2169" t="s">
        <v>6634</v>
      </c>
      <c r="B2169" t="s">
        <v>6635</v>
      </c>
      <c r="C2169" s="1">
        <f t="shared" si="366"/>
        <v>45505</v>
      </c>
      <c r="D2169" t="s">
        <v>6636</v>
      </c>
      <c r="E2169">
        <v>594</v>
      </c>
      <c r="F2169">
        <v>24.8</v>
      </c>
      <c r="G2169" t="s">
        <v>77</v>
      </c>
      <c r="H2169" t="s">
        <v>244</v>
      </c>
      <c r="I2169" t="s">
        <v>32</v>
      </c>
      <c r="J2169">
        <v>240</v>
      </c>
      <c r="K2169" t="s">
        <v>33</v>
      </c>
      <c r="L2169" t="s">
        <v>34</v>
      </c>
      <c r="M2169" t="s">
        <v>35</v>
      </c>
      <c r="N2169" t="s">
        <v>506</v>
      </c>
      <c r="O2169" t="s">
        <v>37</v>
      </c>
      <c r="P2169" t="s">
        <v>38</v>
      </c>
      <c r="Q2169" t="s">
        <v>38</v>
      </c>
      <c r="R2169">
        <v>1</v>
      </c>
      <c r="S2169" t="s">
        <v>38</v>
      </c>
      <c r="T2169">
        <v>6</v>
      </c>
      <c r="U2169">
        <v>1.1000000000000001</v>
      </c>
      <c r="V2169">
        <v>33.700000000000003</v>
      </c>
      <c r="W2169" t="s">
        <v>39</v>
      </c>
      <c r="X2169" t="s">
        <v>63</v>
      </c>
      <c r="Y2169" t="s">
        <v>38</v>
      </c>
      <c r="Z2169" t="s">
        <v>53</v>
      </c>
      <c r="AA2169" t="s">
        <v>54</v>
      </c>
      <c r="AB2169" t="s">
        <v>55</v>
      </c>
      <c r="AC2169">
        <f t="shared" si="363"/>
        <v>0</v>
      </c>
      <c r="AD2169" s="12">
        <f t="shared" si="367"/>
        <v>1</v>
      </c>
      <c r="AE2169" s="12">
        <f t="shared" si="368"/>
        <v>0</v>
      </c>
      <c r="AF2169">
        <f t="shared" si="364"/>
        <v>0</v>
      </c>
      <c r="AG2169">
        <f t="shared" si="369"/>
        <v>0</v>
      </c>
      <c r="AH2169">
        <f t="shared" si="370"/>
        <v>0</v>
      </c>
      <c r="AI2169">
        <f t="shared" si="371"/>
        <v>0</v>
      </c>
      <c r="AJ2169">
        <f t="shared" si="372"/>
        <v>1</v>
      </c>
      <c r="AK2169">
        <f t="shared" si="365"/>
        <v>0</v>
      </c>
      <c r="AL2169">
        <f t="shared" si="373"/>
        <v>1</v>
      </c>
    </row>
    <row r="2170" spans="1:38">
      <c r="A2170" t="s">
        <v>6637</v>
      </c>
      <c r="B2170" t="s">
        <v>6638</v>
      </c>
      <c r="C2170" s="1">
        <f t="shared" si="366"/>
        <v>45292</v>
      </c>
      <c r="D2170" t="s">
        <v>6639</v>
      </c>
      <c r="E2170">
        <v>314.39999999999998</v>
      </c>
      <c r="F2170">
        <v>13.1</v>
      </c>
      <c r="G2170" t="s">
        <v>142</v>
      </c>
      <c r="H2170" t="s">
        <v>260</v>
      </c>
      <c r="I2170" t="s">
        <v>32</v>
      </c>
      <c r="J2170">
        <v>240</v>
      </c>
      <c r="K2170" t="s">
        <v>33</v>
      </c>
      <c r="L2170" t="s">
        <v>96</v>
      </c>
      <c r="M2170" t="s">
        <v>71</v>
      </c>
      <c r="N2170" t="s">
        <v>155</v>
      </c>
      <c r="O2170" t="s">
        <v>37</v>
      </c>
      <c r="P2170" t="s">
        <v>38</v>
      </c>
      <c r="Q2170" t="s">
        <v>39</v>
      </c>
      <c r="R2170">
        <v>2</v>
      </c>
      <c r="S2170" t="s">
        <v>38</v>
      </c>
      <c r="T2170">
        <v>7</v>
      </c>
      <c r="U2170">
        <v>3.3</v>
      </c>
      <c r="V2170">
        <v>29.7</v>
      </c>
      <c r="W2170" t="s">
        <v>39</v>
      </c>
      <c r="X2170" t="s">
        <v>123</v>
      </c>
      <c r="Y2170" t="s">
        <v>39</v>
      </c>
      <c r="Z2170" t="s">
        <v>41</v>
      </c>
      <c r="AA2170" t="s">
        <v>103</v>
      </c>
      <c r="AB2170" t="s">
        <v>83</v>
      </c>
      <c r="AC2170">
        <f t="shared" si="363"/>
        <v>0</v>
      </c>
      <c r="AD2170" s="12">
        <f t="shared" si="367"/>
        <v>0</v>
      </c>
      <c r="AE2170" s="12">
        <f t="shared" si="368"/>
        <v>1</v>
      </c>
      <c r="AF2170">
        <f t="shared" si="364"/>
        <v>0</v>
      </c>
      <c r="AG2170">
        <f t="shared" si="369"/>
        <v>0</v>
      </c>
      <c r="AH2170">
        <f t="shared" si="370"/>
        <v>0</v>
      </c>
      <c r="AI2170">
        <f t="shared" si="371"/>
        <v>0</v>
      </c>
      <c r="AJ2170">
        <f t="shared" si="372"/>
        <v>1</v>
      </c>
      <c r="AK2170">
        <f t="shared" si="365"/>
        <v>0</v>
      </c>
      <c r="AL2170">
        <f t="shared" si="373"/>
        <v>0</v>
      </c>
    </row>
    <row r="2171" spans="1:38">
      <c r="A2171" t="s">
        <v>6640</v>
      </c>
      <c r="B2171" t="s">
        <v>6641</v>
      </c>
      <c r="C2171" s="1">
        <f t="shared" si="366"/>
        <v>45474</v>
      </c>
      <c r="D2171" t="s">
        <v>6642</v>
      </c>
      <c r="E2171">
        <v>86</v>
      </c>
      <c r="F2171">
        <v>3.6</v>
      </c>
      <c r="G2171" t="s">
        <v>93</v>
      </c>
      <c r="H2171" t="s">
        <v>449</v>
      </c>
      <c r="I2171" t="s">
        <v>48</v>
      </c>
      <c r="J2171">
        <v>120</v>
      </c>
      <c r="K2171" t="s">
        <v>49</v>
      </c>
      <c r="L2171" t="s">
        <v>70</v>
      </c>
      <c r="M2171" t="s">
        <v>35</v>
      </c>
      <c r="N2171" t="s">
        <v>138</v>
      </c>
      <c r="O2171" t="s">
        <v>51</v>
      </c>
      <c r="P2171" t="s">
        <v>38</v>
      </c>
      <c r="Q2171" t="s">
        <v>38</v>
      </c>
      <c r="R2171">
        <v>1</v>
      </c>
      <c r="S2171" t="s">
        <v>38</v>
      </c>
      <c r="T2171">
        <v>9</v>
      </c>
      <c r="U2171">
        <v>4</v>
      </c>
      <c r="V2171">
        <v>31.1</v>
      </c>
      <c r="W2171" t="s">
        <v>39</v>
      </c>
      <c r="X2171" t="s">
        <v>63</v>
      </c>
      <c r="Y2171" t="s">
        <v>39</v>
      </c>
      <c r="Z2171" t="s">
        <v>81</v>
      </c>
      <c r="AA2171" t="s">
        <v>82</v>
      </c>
      <c r="AB2171" t="s">
        <v>83</v>
      </c>
      <c r="AC2171">
        <f t="shared" si="363"/>
        <v>0</v>
      </c>
      <c r="AD2171" s="12">
        <f t="shared" si="367"/>
        <v>1</v>
      </c>
      <c r="AE2171" s="12">
        <f t="shared" si="368"/>
        <v>0</v>
      </c>
      <c r="AF2171">
        <f t="shared" si="364"/>
        <v>1</v>
      </c>
      <c r="AG2171">
        <f t="shared" si="369"/>
        <v>0</v>
      </c>
      <c r="AH2171">
        <f t="shared" si="370"/>
        <v>1</v>
      </c>
      <c r="AI2171">
        <f t="shared" si="371"/>
        <v>0</v>
      </c>
      <c r="AJ2171">
        <f t="shared" si="372"/>
        <v>0</v>
      </c>
      <c r="AK2171">
        <f t="shared" si="365"/>
        <v>0</v>
      </c>
      <c r="AL2171">
        <f t="shared" si="373"/>
        <v>0</v>
      </c>
    </row>
    <row r="2172" spans="1:38">
      <c r="A2172" t="s">
        <v>6643</v>
      </c>
      <c r="B2172" t="s">
        <v>6644</v>
      </c>
      <c r="C2172" s="1">
        <f t="shared" si="366"/>
        <v>45597</v>
      </c>
      <c r="D2172" t="s">
        <v>6645</v>
      </c>
      <c r="E2172">
        <v>308.7</v>
      </c>
      <c r="F2172">
        <v>12.9</v>
      </c>
      <c r="G2172" t="s">
        <v>101</v>
      </c>
      <c r="H2172" t="s">
        <v>442</v>
      </c>
      <c r="I2172" t="s">
        <v>79</v>
      </c>
      <c r="J2172">
        <v>360</v>
      </c>
      <c r="K2172" t="s">
        <v>49</v>
      </c>
      <c r="L2172" t="s">
        <v>113</v>
      </c>
      <c r="M2172" t="s">
        <v>35</v>
      </c>
      <c r="N2172" t="s">
        <v>97</v>
      </c>
      <c r="O2172" t="s">
        <v>51</v>
      </c>
      <c r="P2172" t="s">
        <v>38</v>
      </c>
      <c r="Q2172" t="s">
        <v>38</v>
      </c>
      <c r="R2172">
        <v>1</v>
      </c>
      <c r="S2172" t="s">
        <v>38</v>
      </c>
      <c r="T2172">
        <v>8</v>
      </c>
      <c r="U2172">
        <v>2.1</v>
      </c>
      <c r="V2172">
        <v>14.3</v>
      </c>
      <c r="W2172" t="s">
        <v>39</v>
      </c>
      <c r="X2172" t="s">
        <v>63</v>
      </c>
      <c r="Y2172" t="s">
        <v>39</v>
      </c>
      <c r="Z2172" t="s">
        <v>53</v>
      </c>
      <c r="AA2172" t="s">
        <v>103</v>
      </c>
      <c r="AB2172" t="s">
        <v>83</v>
      </c>
      <c r="AC2172">
        <f t="shared" si="363"/>
        <v>0</v>
      </c>
      <c r="AD2172" s="12">
        <f t="shared" si="367"/>
        <v>1</v>
      </c>
      <c r="AE2172" s="12">
        <f t="shared" si="368"/>
        <v>0</v>
      </c>
      <c r="AF2172">
        <f t="shared" si="364"/>
        <v>1</v>
      </c>
      <c r="AG2172">
        <f t="shared" si="369"/>
        <v>0</v>
      </c>
      <c r="AH2172">
        <f t="shared" si="370"/>
        <v>0</v>
      </c>
      <c r="AI2172">
        <f t="shared" si="371"/>
        <v>0</v>
      </c>
      <c r="AJ2172">
        <f t="shared" si="372"/>
        <v>0</v>
      </c>
      <c r="AK2172">
        <f t="shared" si="365"/>
        <v>0</v>
      </c>
      <c r="AL2172">
        <f t="shared" si="373"/>
        <v>0</v>
      </c>
    </row>
    <row r="2173" spans="1:38">
      <c r="A2173" t="s">
        <v>6646</v>
      </c>
      <c r="B2173" t="s">
        <v>6647</v>
      </c>
      <c r="C2173" s="1">
        <f t="shared" si="366"/>
        <v>45413</v>
      </c>
      <c r="D2173" t="s">
        <v>6648</v>
      </c>
      <c r="E2173">
        <v>320.5</v>
      </c>
      <c r="F2173">
        <v>13.4</v>
      </c>
      <c r="G2173" t="s">
        <v>77</v>
      </c>
      <c r="H2173" t="s">
        <v>187</v>
      </c>
      <c r="I2173" t="s">
        <v>79</v>
      </c>
      <c r="J2173">
        <v>360</v>
      </c>
      <c r="K2173" t="s">
        <v>49</v>
      </c>
      <c r="L2173" t="s">
        <v>70</v>
      </c>
      <c r="M2173" t="s">
        <v>35</v>
      </c>
      <c r="N2173" t="s">
        <v>168</v>
      </c>
      <c r="O2173" t="s">
        <v>51</v>
      </c>
      <c r="P2173" t="s">
        <v>39</v>
      </c>
      <c r="Q2173" t="s">
        <v>38</v>
      </c>
      <c r="R2173">
        <v>0</v>
      </c>
      <c r="S2173" t="s">
        <v>38</v>
      </c>
      <c r="T2173">
        <v>10</v>
      </c>
      <c r="U2173">
        <v>4</v>
      </c>
      <c r="V2173">
        <v>13.3</v>
      </c>
      <c r="W2173" t="s">
        <v>39</v>
      </c>
      <c r="X2173" t="s">
        <v>63</v>
      </c>
      <c r="Y2173" t="s">
        <v>39</v>
      </c>
      <c r="Z2173" t="s">
        <v>179</v>
      </c>
      <c r="AA2173" t="s">
        <v>109</v>
      </c>
      <c r="AB2173" t="s">
        <v>83</v>
      </c>
      <c r="AC2173">
        <f t="shared" si="363"/>
        <v>0</v>
      </c>
      <c r="AD2173" s="12">
        <f t="shared" si="367"/>
        <v>1</v>
      </c>
      <c r="AE2173" s="12">
        <f t="shared" si="368"/>
        <v>0</v>
      </c>
      <c r="AF2173">
        <f t="shared" si="364"/>
        <v>1</v>
      </c>
      <c r="AG2173">
        <f t="shared" si="369"/>
        <v>0</v>
      </c>
      <c r="AH2173">
        <f t="shared" si="370"/>
        <v>0</v>
      </c>
      <c r="AI2173">
        <f t="shared" si="371"/>
        <v>0</v>
      </c>
      <c r="AJ2173">
        <f t="shared" si="372"/>
        <v>0</v>
      </c>
      <c r="AK2173">
        <f t="shared" si="365"/>
        <v>0</v>
      </c>
      <c r="AL2173">
        <f t="shared" si="373"/>
        <v>0</v>
      </c>
    </row>
    <row r="2174" spans="1:38">
      <c r="A2174" t="s">
        <v>6649</v>
      </c>
      <c r="B2174" t="s">
        <v>6650</v>
      </c>
      <c r="C2174" s="1">
        <f t="shared" si="366"/>
        <v>45292</v>
      </c>
      <c r="D2174" t="s">
        <v>6651</v>
      </c>
      <c r="E2174">
        <v>349.9</v>
      </c>
      <c r="F2174">
        <v>14.6</v>
      </c>
      <c r="G2174" t="s">
        <v>101</v>
      </c>
      <c r="H2174" t="s">
        <v>295</v>
      </c>
      <c r="I2174" t="s">
        <v>48</v>
      </c>
      <c r="J2174">
        <v>120</v>
      </c>
      <c r="K2174" t="s">
        <v>33</v>
      </c>
      <c r="L2174" t="s">
        <v>133</v>
      </c>
      <c r="M2174" t="s">
        <v>35</v>
      </c>
      <c r="N2174" t="s">
        <v>299</v>
      </c>
      <c r="O2174" t="s">
        <v>7232</v>
      </c>
      <c r="P2174" t="s">
        <v>38</v>
      </c>
      <c r="Q2174" t="s">
        <v>38</v>
      </c>
      <c r="R2174">
        <v>1</v>
      </c>
      <c r="S2174" t="s">
        <v>38</v>
      </c>
      <c r="T2174">
        <v>4</v>
      </c>
      <c r="U2174">
        <v>1.3</v>
      </c>
      <c r="V2174">
        <v>19.7</v>
      </c>
      <c r="W2174" t="s">
        <v>38</v>
      </c>
      <c r="X2174" t="s">
        <v>63</v>
      </c>
      <c r="Y2174" t="s">
        <v>39</v>
      </c>
      <c r="Z2174" t="s">
        <v>73</v>
      </c>
      <c r="AA2174" t="s">
        <v>42</v>
      </c>
      <c r="AB2174" t="s">
        <v>55</v>
      </c>
      <c r="AC2174">
        <f t="shared" si="363"/>
        <v>0</v>
      </c>
      <c r="AD2174" s="12">
        <f t="shared" si="367"/>
        <v>1</v>
      </c>
      <c r="AE2174" s="12">
        <f t="shared" si="368"/>
        <v>0</v>
      </c>
      <c r="AF2174">
        <f t="shared" si="364"/>
        <v>0</v>
      </c>
      <c r="AG2174">
        <f t="shared" si="369"/>
        <v>1</v>
      </c>
      <c r="AH2174">
        <f t="shared" si="370"/>
        <v>1</v>
      </c>
      <c r="AI2174">
        <f t="shared" si="371"/>
        <v>0</v>
      </c>
      <c r="AJ2174">
        <f t="shared" si="372"/>
        <v>0</v>
      </c>
      <c r="AK2174">
        <f t="shared" si="365"/>
        <v>0</v>
      </c>
      <c r="AL2174">
        <f t="shared" si="373"/>
        <v>0</v>
      </c>
    </row>
    <row r="2175" spans="1:38">
      <c r="A2175" t="s">
        <v>6652</v>
      </c>
      <c r="B2175" t="s">
        <v>6653</v>
      </c>
      <c r="C2175" s="1">
        <f t="shared" si="366"/>
        <v>45444</v>
      </c>
      <c r="D2175" t="s">
        <v>6654</v>
      </c>
      <c r="E2175">
        <v>702.5</v>
      </c>
      <c r="F2175">
        <v>29.3</v>
      </c>
      <c r="G2175" t="s">
        <v>142</v>
      </c>
      <c r="H2175" t="s">
        <v>240</v>
      </c>
      <c r="I2175" t="s">
        <v>32</v>
      </c>
      <c r="J2175">
        <v>240</v>
      </c>
      <c r="K2175" t="s">
        <v>33</v>
      </c>
      <c r="L2175" t="s">
        <v>70</v>
      </c>
      <c r="M2175" t="s">
        <v>35</v>
      </c>
      <c r="N2175" t="s">
        <v>168</v>
      </c>
      <c r="O2175" t="s">
        <v>7232</v>
      </c>
      <c r="P2175" t="s">
        <v>38</v>
      </c>
      <c r="Q2175" t="s">
        <v>38</v>
      </c>
      <c r="R2175">
        <v>1</v>
      </c>
      <c r="S2175" t="s">
        <v>39</v>
      </c>
      <c r="T2175">
        <v>4</v>
      </c>
      <c r="U2175">
        <v>4.0999999999999996</v>
      </c>
      <c r="V2175">
        <v>18.8</v>
      </c>
      <c r="W2175" t="s">
        <v>38</v>
      </c>
      <c r="X2175" t="s">
        <v>63</v>
      </c>
      <c r="Y2175" t="s">
        <v>38</v>
      </c>
      <c r="Z2175" t="s">
        <v>81</v>
      </c>
      <c r="AA2175" t="s">
        <v>82</v>
      </c>
      <c r="AB2175" t="s">
        <v>43</v>
      </c>
      <c r="AC2175">
        <f t="shared" si="363"/>
        <v>0</v>
      </c>
      <c r="AD2175" s="12">
        <f t="shared" si="367"/>
        <v>1</v>
      </c>
      <c r="AE2175" s="12">
        <f t="shared" si="368"/>
        <v>0</v>
      </c>
      <c r="AF2175">
        <f t="shared" si="364"/>
        <v>0</v>
      </c>
      <c r="AG2175">
        <f t="shared" si="369"/>
        <v>1</v>
      </c>
      <c r="AH2175">
        <f t="shared" si="370"/>
        <v>0</v>
      </c>
      <c r="AI2175">
        <f t="shared" si="371"/>
        <v>0</v>
      </c>
      <c r="AJ2175">
        <f t="shared" si="372"/>
        <v>1</v>
      </c>
      <c r="AK2175">
        <f t="shared" si="365"/>
        <v>0</v>
      </c>
      <c r="AL2175">
        <f t="shared" si="373"/>
        <v>1</v>
      </c>
    </row>
    <row r="2176" spans="1:38">
      <c r="A2176" t="s">
        <v>6655</v>
      </c>
      <c r="B2176" t="s">
        <v>6656</v>
      </c>
      <c r="C2176" s="1">
        <f t="shared" si="366"/>
        <v>45383</v>
      </c>
      <c r="D2176" t="s">
        <v>6657</v>
      </c>
      <c r="E2176">
        <v>107.1</v>
      </c>
      <c r="F2176">
        <v>4.5</v>
      </c>
      <c r="G2176" t="s">
        <v>87</v>
      </c>
      <c r="H2176" t="s">
        <v>183</v>
      </c>
      <c r="I2176" t="s">
        <v>48</v>
      </c>
      <c r="J2176">
        <v>120</v>
      </c>
      <c r="K2176" t="s">
        <v>49</v>
      </c>
      <c r="L2176" t="s">
        <v>96</v>
      </c>
      <c r="M2176" t="s">
        <v>71</v>
      </c>
      <c r="N2176" t="s">
        <v>155</v>
      </c>
      <c r="O2176" t="s">
        <v>7232</v>
      </c>
      <c r="P2176" t="s">
        <v>38</v>
      </c>
      <c r="Q2176" t="s">
        <v>39</v>
      </c>
      <c r="R2176">
        <v>2</v>
      </c>
      <c r="S2176" t="s">
        <v>38</v>
      </c>
      <c r="T2176">
        <v>10</v>
      </c>
      <c r="U2176">
        <v>4</v>
      </c>
      <c r="V2176">
        <v>11.2</v>
      </c>
      <c r="W2176" t="s">
        <v>39</v>
      </c>
      <c r="X2176" t="s">
        <v>40</v>
      </c>
      <c r="Y2176" t="s">
        <v>39</v>
      </c>
      <c r="Z2176" t="s">
        <v>41</v>
      </c>
      <c r="AA2176" t="s">
        <v>103</v>
      </c>
      <c r="AB2176" t="s">
        <v>83</v>
      </c>
      <c r="AC2176">
        <f t="shared" si="363"/>
        <v>0</v>
      </c>
      <c r="AD2176" s="12">
        <f t="shared" si="367"/>
        <v>0</v>
      </c>
      <c r="AE2176" s="12">
        <f t="shared" si="368"/>
        <v>0</v>
      </c>
      <c r="AF2176">
        <f t="shared" si="364"/>
        <v>0</v>
      </c>
      <c r="AG2176">
        <f t="shared" si="369"/>
        <v>1</v>
      </c>
      <c r="AH2176">
        <f t="shared" si="370"/>
        <v>1</v>
      </c>
      <c r="AI2176">
        <f t="shared" si="371"/>
        <v>0</v>
      </c>
      <c r="AJ2176">
        <f t="shared" si="372"/>
        <v>0</v>
      </c>
      <c r="AK2176">
        <f t="shared" si="365"/>
        <v>0</v>
      </c>
      <c r="AL2176">
        <f t="shared" si="373"/>
        <v>0</v>
      </c>
    </row>
    <row r="2177" spans="1:38">
      <c r="A2177" t="s">
        <v>6658</v>
      </c>
      <c r="B2177" t="s">
        <v>6659</v>
      </c>
      <c r="C2177" s="1">
        <f t="shared" si="366"/>
        <v>45413</v>
      </c>
      <c r="D2177" t="s">
        <v>6660</v>
      </c>
      <c r="E2177">
        <v>357.8</v>
      </c>
      <c r="F2177">
        <v>14.9</v>
      </c>
      <c r="G2177" t="s">
        <v>101</v>
      </c>
      <c r="H2177" t="s">
        <v>102</v>
      </c>
      <c r="I2177" t="s">
        <v>32</v>
      </c>
      <c r="J2177">
        <v>240</v>
      </c>
      <c r="K2177" t="s">
        <v>33</v>
      </c>
      <c r="L2177" t="s">
        <v>70</v>
      </c>
      <c r="M2177" t="s">
        <v>35</v>
      </c>
      <c r="N2177" t="s">
        <v>114</v>
      </c>
      <c r="O2177" t="s">
        <v>37</v>
      </c>
      <c r="P2177" t="s">
        <v>38</v>
      </c>
      <c r="Q2177" t="s">
        <v>38</v>
      </c>
      <c r="R2177">
        <v>1</v>
      </c>
      <c r="S2177" t="s">
        <v>38</v>
      </c>
      <c r="T2177">
        <v>4</v>
      </c>
      <c r="U2177">
        <v>3.8</v>
      </c>
      <c r="V2177">
        <v>6.4</v>
      </c>
      <c r="W2177" t="s">
        <v>39</v>
      </c>
      <c r="X2177" t="s">
        <v>123</v>
      </c>
      <c r="Y2177" t="s">
        <v>39</v>
      </c>
      <c r="Z2177" t="s">
        <v>53</v>
      </c>
      <c r="AA2177" t="s">
        <v>82</v>
      </c>
      <c r="AB2177" t="s">
        <v>83</v>
      </c>
      <c r="AC2177">
        <f t="shared" si="363"/>
        <v>0</v>
      </c>
      <c r="AD2177" s="12">
        <f t="shared" si="367"/>
        <v>0</v>
      </c>
      <c r="AE2177" s="12">
        <f t="shared" si="368"/>
        <v>1</v>
      </c>
      <c r="AF2177">
        <f t="shared" si="364"/>
        <v>0</v>
      </c>
      <c r="AG2177">
        <f t="shared" si="369"/>
        <v>0</v>
      </c>
      <c r="AH2177">
        <f t="shared" si="370"/>
        <v>0</v>
      </c>
      <c r="AI2177">
        <f t="shared" si="371"/>
        <v>0</v>
      </c>
      <c r="AJ2177">
        <f t="shared" si="372"/>
        <v>1</v>
      </c>
      <c r="AK2177">
        <f t="shared" si="365"/>
        <v>0</v>
      </c>
      <c r="AL2177">
        <f t="shared" si="373"/>
        <v>0</v>
      </c>
    </row>
    <row r="2178" spans="1:38">
      <c r="A2178" t="s">
        <v>6661</v>
      </c>
      <c r="B2178" t="s">
        <v>6662</v>
      </c>
      <c r="C2178" s="1">
        <f t="shared" si="366"/>
        <v>45566</v>
      </c>
      <c r="D2178" t="s">
        <v>6663</v>
      </c>
      <c r="E2178">
        <v>294.8</v>
      </c>
      <c r="F2178">
        <v>12.3</v>
      </c>
      <c r="G2178" t="s">
        <v>93</v>
      </c>
      <c r="H2178" t="s">
        <v>163</v>
      </c>
      <c r="I2178" t="s">
        <v>32</v>
      </c>
      <c r="J2178">
        <v>240</v>
      </c>
      <c r="K2178" t="s">
        <v>33</v>
      </c>
      <c r="L2178" t="s">
        <v>96</v>
      </c>
      <c r="M2178" t="s">
        <v>35</v>
      </c>
      <c r="N2178" t="s">
        <v>164</v>
      </c>
      <c r="O2178" t="s">
        <v>37</v>
      </c>
      <c r="P2178" t="s">
        <v>39</v>
      </c>
      <c r="Q2178" t="s">
        <v>38</v>
      </c>
      <c r="R2178">
        <v>0</v>
      </c>
      <c r="S2178" t="s">
        <v>38</v>
      </c>
      <c r="T2178">
        <v>3</v>
      </c>
      <c r="U2178">
        <v>4.7</v>
      </c>
      <c r="V2178">
        <v>2.1</v>
      </c>
      <c r="W2178" t="s">
        <v>39</v>
      </c>
      <c r="X2178" t="s">
        <v>52</v>
      </c>
      <c r="Y2178" t="s">
        <v>38</v>
      </c>
      <c r="Z2178" t="s">
        <v>64</v>
      </c>
      <c r="AA2178" t="s">
        <v>54</v>
      </c>
      <c r="AB2178" t="s">
        <v>83</v>
      </c>
      <c r="AC2178">
        <f t="shared" ref="AC2178:AC2241" si="374">IF(X2178="Poor", 1, 0)</f>
        <v>1</v>
      </c>
      <c r="AD2178" s="12">
        <f t="shared" si="367"/>
        <v>0</v>
      </c>
      <c r="AE2178" s="12">
        <f t="shared" si="368"/>
        <v>0</v>
      </c>
      <c r="AF2178">
        <f t="shared" ref="AF2178:AF2241" si="375">IF(O2178="Junior", 1, 0)</f>
        <v>0</v>
      </c>
      <c r="AG2178">
        <f t="shared" si="369"/>
        <v>0</v>
      </c>
      <c r="AH2178">
        <f t="shared" si="370"/>
        <v>0</v>
      </c>
      <c r="AI2178">
        <f t="shared" si="371"/>
        <v>0</v>
      </c>
      <c r="AJ2178">
        <f t="shared" si="372"/>
        <v>1</v>
      </c>
      <c r="AK2178">
        <f t="shared" ref="AK2178:AK2241" si="376">IF(G2178="Access Requests", 1, 0)</f>
        <v>0</v>
      </c>
      <c r="AL2178">
        <f t="shared" si="373"/>
        <v>1</v>
      </c>
    </row>
    <row r="2179" spans="1:38">
      <c r="A2179" t="s">
        <v>6664</v>
      </c>
      <c r="B2179" t="s">
        <v>6665</v>
      </c>
      <c r="C2179" s="1">
        <f t="shared" ref="C2179:C2242" si="377">DATE(YEAR(B2179),MONTH(B2179),1)</f>
        <v>45627</v>
      </c>
      <c r="D2179" t="s">
        <v>6666</v>
      </c>
      <c r="E2179">
        <v>197.6</v>
      </c>
      <c r="F2179">
        <v>8.1999999999999993</v>
      </c>
      <c r="G2179" t="s">
        <v>68</v>
      </c>
      <c r="H2179" t="s">
        <v>69</v>
      </c>
      <c r="I2179" t="s">
        <v>48</v>
      </c>
      <c r="J2179">
        <v>120</v>
      </c>
      <c r="K2179" t="s">
        <v>33</v>
      </c>
      <c r="L2179" t="s">
        <v>34</v>
      </c>
      <c r="M2179" t="s">
        <v>35</v>
      </c>
      <c r="N2179" t="s">
        <v>164</v>
      </c>
      <c r="O2179" t="s">
        <v>7232</v>
      </c>
      <c r="P2179" t="s">
        <v>38</v>
      </c>
      <c r="Q2179" t="s">
        <v>38</v>
      </c>
      <c r="R2179">
        <v>1</v>
      </c>
      <c r="S2179" t="s">
        <v>39</v>
      </c>
      <c r="T2179">
        <v>4</v>
      </c>
      <c r="U2179">
        <v>0.7</v>
      </c>
      <c r="V2179">
        <v>2.5</v>
      </c>
      <c r="W2179" t="s">
        <v>39</v>
      </c>
      <c r="X2179" t="s">
        <v>63</v>
      </c>
      <c r="Y2179" t="s">
        <v>39</v>
      </c>
      <c r="Z2179" t="s">
        <v>108</v>
      </c>
      <c r="AA2179" t="s">
        <v>82</v>
      </c>
      <c r="AB2179" t="s">
        <v>55</v>
      </c>
      <c r="AC2179">
        <f t="shared" si="374"/>
        <v>0</v>
      </c>
      <c r="AD2179" s="12">
        <f t="shared" ref="AD2179:AD2242" si="378">IF(X2179="Fair", 1, 0)</f>
        <v>1</v>
      </c>
      <c r="AE2179" s="12">
        <f t="shared" ref="AE2179:AE2242" si="379">IF(X2179="Good", 1, 0)</f>
        <v>0</v>
      </c>
      <c r="AF2179">
        <f t="shared" si="375"/>
        <v>0</v>
      </c>
      <c r="AG2179">
        <f t="shared" ref="AG2179:AG2242" si="380">IF(O2179="Mid", 1, 0)</f>
        <v>1</v>
      </c>
      <c r="AH2179">
        <f t="shared" ref="AH2179:AH2242" si="381">IF(I2179="High", 1, 0)</f>
        <v>1</v>
      </c>
      <c r="AI2179">
        <f t="shared" ref="AI2179:AI2242" si="382">IF(I2179="Critical", 1, 0)</f>
        <v>0</v>
      </c>
      <c r="AJ2179">
        <f t="shared" ref="AJ2179:AJ2242" si="383">IF(I2179="Medium", 1, 0)</f>
        <v>0</v>
      </c>
      <c r="AK2179">
        <f t="shared" si="376"/>
        <v>0</v>
      </c>
      <c r="AL2179">
        <f t="shared" ref="AL2179:AL2242" si="384">IF(Y2179="No", 1, 0)</f>
        <v>0</v>
      </c>
    </row>
    <row r="2180" spans="1:38">
      <c r="A2180" t="s">
        <v>6667</v>
      </c>
      <c r="B2180" t="s">
        <v>6668</v>
      </c>
      <c r="C2180" s="1">
        <f t="shared" si="377"/>
        <v>45352</v>
      </c>
      <c r="D2180" t="s">
        <v>6669</v>
      </c>
      <c r="E2180">
        <v>293.3</v>
      </c>
      <c r="F2180">
        <v>12.2</v>
      </c>
      <c r="G2180" t="s">
        <v>30</v>
      </c>
      <c r="H2180" t="s">
        <v>47</v>
      </c>
      <c r="I2180" t="s">
        <v>79</v>
      </c>
      <c r="J2180">
        <v>360</v>
      </c>
      <c r="K2180" t="s">
        <v>49</v>
      </c>
      <c r="L2180" t="s">
        <v>34</v>
      </c>
      <c r="M2180" t="s">
        <v>35</v>
      </c>
      <c r="N2180" t="s">
        <v>89</v>
      </c>
      <c r="O2180" t="s">
        <v>7232</v>
      </c>
      <c r="P2180" t="s">
        <v>39</v>
      </c>
      <c r="Q2180" t="s">
        <v>38</v>
      </c>
      <c r="R2180">
        <v>0</v>
      </c>
      <c r="S2180" t="s">
        <v>39</v>
      </c>
      <c r="T2180">
        <v>8</v>
      </c>
      <c r="U2180">
        <v>3.7</v>
      </c>
      <c r="V2180">
        <v>19.100000000000001</v>
      </c>
      <c r="W2180" t="s">
        <v>39</v>
      </c>
      <c r="X2180" t="s">
        <v>123</v>
      </c>
      <c r="Y2180" t="s">
        <v>39</v>
      </c>
      <c r="Z2180" t="s">
        <v>179</v>
      </c>
      <c r="AA2180" t="s">
        <v>109</v>
      </c>
      <c r="AB2180" t="s">
        <v>55</v>
      </c>
      <c r="AC2180">
        <f t="shared" si="374"/>
        <v>0</v>
      </c>
      <c r="AD2180" s="12">
        <f t="shared" si="378"/>
        <v>0</v>
      </c>
      <c r="AE2180" s="12">
        <f t="shared" si="379"/>
        <v>1</v>
      </c>
      <c r="AF2180">
        <f t="shared" si="375"/>
        <v>0</v>
      </c>
      <c r="AG2180">
        <f t="shared" si="380"/>
        <v>1</v>
      </c>
      <c r="AH2180">
        <f t="shared" si="381"/>
        <v>0</v>
      </c>
      <c r="AI2180">
        <f t="shared" si="382"/>
        <v>0</v>
      </c>
      <c r="AJ2180">
        <f t="shared" si="383"/>
        <v>0</v>
      </c>
      <c r="AK2180">
        <f t="shared" si="376"/>
        <v>1</v>
      </c>
      <c r="AL2180">
        <f t="shared" si="384"/>
        <v>0</v>
      </c>
    </row>
    <row r="2181" spans="1:38">
      <c r="A2181" t="s">
        <v>6670</v>
      </c>
      <c r="B2181" t="s">
        <v>6671</v>
      </c>
      <c r="C2181" s="1">
        <f t="shared" si="377"/>
        <v>45627</v>
      </c>
      <c r="D2181" t="s">
        <v>6672</v>
      </c>
      <c r="E2181">
        <v>96.2</v>
      </c>
      <c r="F2181">
        <v>4</v>
      </c>
      <c r="G2181" t="s">
        <v>101</v>
      </c>
      <c r="H2181" t="s">
        <v>442</v>
      </c>
      <c r="I2181" t="s">
        <v>48</v>
      </c>
      <c r="J2181">
        <v>120</v>
      </c>
      <c r="K2181" t="s">
        <v>49</v>
      </c>
      <c r="L2181" t="s">
        <v>113</v>
      </c>
      <c r="M2181" t="s">
        <v>35</v>
      </c>
      <c r="N2181" t="s">
        <v>414</v>
      </c>
      <c r="O2181" t="s">
        <v>7232</v>
      </c>
      <c r="P2181" t="s">
        <v>38</v>
      </c>
      <c r="Q2181" t="s">
        <v>38</v>
      </c>
      <c r="R2181">
        <v>1</v>
      </c>
      <c r="S2181" t="s">
        <v>38</v>
      </c>
      <c r="T2181">
        <v>7</v>
      </c>
      <c r="U2181">
        <v>0.1</v>
      </c>
      <c r="V2181">
        <v>19.899999999999999</v>
      </c>
      <c r="W2181" t="s">
        <v>39</v>
      </c>
      <c r="X2181" t="s">
        <v>40</v>
      </c>
      <c r="Y2181" t="s">
        <v>38</v>
      </c>
      <c r="Z2181" t="s">
        <v>81</v>
      </c>
      <c r="AA2181" t="s">
        <v>103</v>
      </c>
      <c r="AB2181" t="s">
        <v>43</v>
      </c>
      <c r="AC2181">
        <f t="shared" si="374"/>
        <v>0</v>
      </c>
      <c r="AD2181" s="12">
        <f t="shared" si="378"/>
        <v>0</v>
      </c>
      <c r="AE2181" s="12">
        <f t="shared" si="379"/>
        <v>0</v>
      </c>
      <c r="AF2181">
        <f t="shared" si="375"/>
        <v>0</v>
      </c>
      <c r="AG2181">
        <f t="shared" si="380"/>
        <v>1</v>
      </c>
      <c r="AH2181">
        <f t="shared" si="381"/>
        <v>1</v>
      </c>
      <c r="AI2181">
        <f t="shared" si="382"/>
        <v>0</v>
      </c>
      <c r="AJ2181">
        <f t="shared" si="383"/>
        <v>0</v>
      </c>
      <c r="AK2181">
        <f t="shared" si="376"/>
        <v>0</v>
      </c>
      <c r="AL2181">
        <f t="shared" si="384"/>
        <v>1</v>
      </c>
    </row>
    <row r="2182" spans="1:38">
      <c r="A2182" t="s">
        <v>6673</v>
      </c>
      <c r="B2182" t="s">
        <v>6674</v>
      </c>
      <c r="C2182" s="1">
        <f t="shared" si="377"/>
        <v>45323</v>
      </c>
      <c r="D2182" t="s">
        <v>6675</v>
      </c>
      <c r="E2182">
        <v>247</v>
      </c>
      <c r="F2182">
        <v>10.3</v>
      </c>
      <c r="G2182" t="s">
        <v>93</v>
      </c>
      <c r="H2182" t="s">
        <v>291</v>
      </c>
      <c r="I2182" t="s">
        <v>79</v>
      </c>
      <c r="J2182">
        <v>360</v>
      </c>
      <c r="K2182" t="s">
        <v>49</v>
      </c>
      <c r="L2182" t="s">
        <v>113</v>
      </c>
      <c r="M2182" t="s">
        <v>35</v>
      </c>
      <c r="N2182" t="s">
        <v>61</v>
      </c>
      <c r="O2182" t="s">
        <v>51</v>
      </c>
      <c r="P2182" t="s">
        <v>39</v>
      </c>
      <c r="Q2182" t="s">
        <v>38</v>
      </c>
      <c r="R2182">
        <v>0</v>
      </c>
      <c r="S2182" t="s">
        <v>38</v>
      </c>
      <c r="T2182">
        <v>10</v>
      </c>
      <c r="U2182">
        <v>3.9</v>
      </c>
      <c r="V2182">
        <v>20.399999999999999</v>
      </c>
      <c r="W2182" t="s">
        <v>39</v>
      </c>
      <c r="X2182" t="s">
        <v>63</v>
      </c>
      <c r="Y2182" t="s">
        <v>39</v>
      </c>
      <c r="Z2182" t="s">
        <v>64</v>
      </c>
      <c r="AA2182" t="s">
        <v>103</v>
      </c>
      <c r="AB2182" t="s">
        <v>55</v>
      </c>
      <c r="AC2182">
        <f t="shared" si="374"/>
        <v>0</v>
      </c>
      <c r="AD2182" s="12">
        <f t="shared" si="378"/>
        <v>1</v>
      </c>
      <c r="AE2182" s="12">
        <f t="shared" si="379"/>
        <v>0</v>
      </c>
      <c r="AF2182">
        <f t="shared" si="375"/>
        <v>1</v>
      </c>
      <c r="AG2182">
        <f t="shared" si="380"/>
        <v>0</v>
      </c>
      <c r="AH2182">
        <f t="shared" si="381"/>
        <v>0</v>
      </c>
      <c r="AI2182">
        <f t="shared" si="382"/>
        <v>0</v>
      </c>
      <c r="AJ2182">
        <f t="shared" si="383"/>
        <v>0</v>
      </c>
      <c r="AK2182">
        <f t="shared" si="376"/>
        <v>0</v>
      </c>
      <c r="AL2182">
        <f t="shared" si="384"/>
        <v>0</v>
      </c>
    </row>
    <row r="2183" spans="1:38">
      <c r="A2183" t="s">
        <v>6676</v>
      </c>
      <c r="B2183" t="s">
        <v>6677</v>
      </c>
      <c r="C2183" s="1">
        <f t="shared" si="377"/>
        <v>45627</v>
      </c>
      <c r="D2183" t="s">
        <v>6678</v>
      </c>
      <c r="E2183">
        <v>141.9</v>
      </c>
      <c r="F2183">
        <v>5.9</v>
      </c>
      <c r="G2183" t="s">
        <v>87</v>
      </c>
      <c r="H2183" t="s">
        <v>183</v>
      </c>
      <c r="I2183" t="s">
        <v>48</v>
      </c>
      <c r="J2183">
        <v>120</v>
      </c>
      <c r="K2183" t="s">
        <v>33</v>
      </c>
      <c r="L2183" t="s">
        <v>70</v>
      </c>
      <c r="M2183" t="s">
        <v>35</v>
      </c>
      <c r="N2183" t="s">
        <v>114</v>
      </c>
      <c r="O2183" t="s">
        <v>37</v>
      </c>
      <c r="P2183" t="s">
        <v>38</v>
      </c>
      <c r="Q2183" t="s">
        <v>38</v>
      </c>
      <c r="R2183">
        <v>1</v>
      </c>
      <c r="S2183" t="s">
        <v>38</v>
      </c>
      <c r="T2183">
        <v>4</v>
      </c>
      <c r="U2183">
        <v>0.8</v>
      </c>
      <c r="V2183">
        <v>15.1</v>
      </c>
      <c r="W2183" t="s">
        <v>39</v>
      </c>
      <c r="X2183" t="s">
        <v>52</v>
      </c>
      <c r="Y2183" t="s">
        <v>38</v>
      </c>
      <c r="Z2183" t="s">
        <v>64</v>
      </c>
      <c r="AA2183" t="s">
        <v>54</v>
      </c>
      <c r="AB2183" t="s">
        <v>43</v>
      </c>
      <c r="AC2183">
        <f t="shared" si="374"/>
        <v>1</v>
      </c>
      <c r="AD2183" s="12">
        <f t="shared" si="378"/>
        <v>0</v>
      </c>
      <c r="AE2183" s="12">
        <f t="shared" si="379"/>
        <v>0</v>
      </c>
      <c r="AF2183">
        <f t="shared" si="375"/>
        <v>0</v>
      </c>
      <c r="AG2183">
        <f t="shared" si="380"/>
        <v>0</v>
      </c>
      <c r="AH2183">
        <f t="shared" si="381"/>
        <v>1</v>
      </c>
      <c r="AI2183">
        <f t="shared" si="382"/>
        <v>0</v>
      </c>
      <c r="AJ2183">
        <f t="shared" si="383"/>
        <v>0</v>
      </c>
      <c r="AK2183">
        <f t="shared" si="376"/>
        <v>0</v>
      </c>
      <c r="AL2183">
        <f t="shared" si="384"/>
        <v>1</v>
      </c>
    </row>
    <row r="2184" spans="1:38">
      <c r="A2184" t="s">
        <v>6679</v>
      </c>
      <c r="B2184" t="s">
        <v>6680</v>
      </c>
      <c r="C2184" s="1">
        <f t="shared" si="377"/>
        <v>45566</v>
      </c>
      <c r="D2184" t="s">
        <v>6681</v>
      </c>
      <c r="E2184">
        <v>225.4</v>
      </c>
      <c r="F2184">
        <v>9.4</v>
      </c>
      <c r="G2184" t="s">
        <v>30</v>
      </c>
      <c r="H2184" t="s">
        <v>47</v>
      </c>
      <c r="I2184" t="s">
        <v>32</v>
      </c>
      <c r="J2184">
        <v>240</v>
      </c>
      <c r="K2184" t="s">
        <v>49</v>
      </c>
      <c r="L2184" t="s">
        <v>96</v>
      </c>
      <c r="M2184" t="s">
        <v>35</v>
      </c>
      <c r="N2184" t="s">
        <v>220</v>
      </c>
      <c r="O2184" t="s">
        <v>7232</v>
      </c>
      <c r="P2184" t="s">
        <v>39</v>
      </c>
      <c r="Q2184" t="s">
        <v>38</v>
      </c>
      <c r="R2184">
        <v>0</v>
      </c>
      <c r="S2184" t="s">
        <v>38</v>
      </c>
      <c r="T2184">
        <v>10</v>
      </c>
      <c r="U2184">
        <v>4</v>
      </c>
      <c r="V2184">
        <v>6.3</v>
      </c>
      <c r="W2184" t="s">
        <v>39</v>
      </c>
      <c r="X2184" t="s">
        <v>52</v>
      </c>
      <c r="Y2184" t="s">
        <v>39</v>
      </c>
      <c r="Z2184" t="s">
        <v>64</v>
      </c>
      <c r="AA2184" t="s">
        <v>103</v>
      </c>
      <c r="AB2184" t="s">
        <v>55</v>
      </c>
      <c r="AC2184">
        <f t="shared" si="374"/>
        <v>1</v>
      </c>
      <c r="AD2184" s="12">
        <f t="shared" si="378"/>
        <v>0</v>
      </c>
      <c r="AE2184" s="12">
        <f t="shared" si="379"/>
        <v>0</v>
      </c>
      <c r="AF2184">
        <f t="shared" si="375"/>
        <v>0</v>
      </c>
      <c r="AG2184">
        <f t="shared" si="380"/>
        <v>1</v>
      </c>
      <c r="AH2184">
        <f t="shared" si="381"/>
        <v>0</v>
      </c>
      <c r="AI2184">
        <f t="shared" si="382"/>
        <v>0</v>
      </c>
      <c r="AJ2184">
        <f t="shared" si="383"/>
        <v>1</v>
      </c>
      <c r="AK2184">
        <f t="shared" si="376"/>
        <v>1</v>
      </c>
      <c r="AL2184">
        <f t="shared" si="384"/>
        <v>0</v>
      </c>
    </row>
    <row r="2185" spans="1:38">
      <c r="A2185" t="s">
        <v>6682</v>
      </c>
      <c r="B2185" t="s">
        <v>6683</v>
      </c>
      <c r="C2185" s="1">
        <f t="shared" si="377"/>
        <v>45627</v>
      </c>
      <c r="D2185" t="s">
        <v>6684</v>
      </c>
      <c r="E2185">
        <v>345</v>
      </c>
      <c r="F2185">
        <v>14.4</v>
      </c>
      <c r="G2185" t="s">
        <v>101</v>
      </c>
      <c r="H2185" t="s">
        <v>295</v>
      </c>
      <c r="I2185" t="s">
        <v>32</v>
      </c>
      <c r="J2185">
        <v>240</v>
      </c>
      <c r="K2185" t="s">
        <v>33</v>
      </c>
      <c r="L2185" t="s">
        <v>133</v>
      </c>
      <c r="M2185" t="s">
        <v>71</v>
      </c>
      <c r="N2185" t="s">
        <v>61</v>
      </c>
      <c r="O2185" t="s">
        <v>37</v>
      </c>
      <c r="P2185" t="s">
        <v>38</v>
      </c>
      <c r="Q2185" t="s">
        <v>39</v>
      </c>
      <c r="R2185">
        <v>4</v>
      </c>
      <c r="S2185" t="s">
        <v>38</v>
      </c>
      <c r="T2185">
        <v>4</v>
      </c>
      <c r="U2185">
        <v>2.4</v>
      </c>
      <c r="V2185">
        <v>14.7</v>
      </c>
      <c r="W2185" t="s">
        <v>38</v>
      </c>
      <c r="X2185" t="s">
        <v>123</v>
      </c>
      <c r="Y2185" t="s">
        <v>39</v>
      </c>
      <c r="Z2185" t="s">
        <v>108</v>
      </c>
      <c r="AA2185" t="s">
        <v>42</v>
      </c>
      <c r="AB2185" t="s">
        <v>55</v>
      </c>
      <c r="AC2185">
        <f t="shared" si="374"/>
        <v>0</v>
      </c>
      <c r="AD2185" s="12">
        <f t="shared" si="378"/>
        <v>0</v>
      </c>
      <c r="AE2185" s="12">
        <f t="shared" si="379"/>
        <v>1</v>
      </c>
      <c r="AF2185">
        <f t="shared" si="375"/>
        <v>0</v>
      </c>
      <c r="AG2185">
        <f t="shared" si="380"/>
        <v>0</v>
      </c>
      <c r="AH2185">
        <f t="shared" si="381"/>
        <v>0</v>
      </c>
      <c r="AI2185">
        <f t="shared" si="382"/>
        <v>0</v>
      </c>
      <c r="AJ2185">
        <f t="shared" si="383"/>
        <v>1</v>
      </c>
      <c r="AK2185">
        <f t="shared" si="376"/>
        <v>0</v>
      </c>
      <c r="AL2185">
        <f t="shared" si="384"/>
        <v>0</v>
      </c>
    </row>
    <row r="2186" spans="1:38">
      <c r="A2186" t="s">
        <v>6685</v>
      </c>
      <c r="B2186" t="s">
        <v>6686</v>
      </c>
      <c r="C2186" s="1">
        <f t="shared" si="377"/>
        <v>45444</v>
      </c>
      <c r="D2186" t="s">
        <v>6687</v>
      </c>
      <c r="E2186">
        <v>266.7</v>
      </c>
      <c r="F2186">
        <v>11.1</v>
      </c>
      <c r="G2186" t="s">
        <v>77</v>
      </c>
      <c r="H2186" t="s">
        <v>78</v>
      </c>
      <c r="I2186" t="s">
        <v>79</v>
      </c>
      <c r="J2186">
        <v>360</v>
      </c>
      <c r="K2186" t="s">
        <v>49</v>
      </c>
      <c r="L2186" t="s">
        <v>96</v>
      </c>
      <c r="M2186" t="s">
        <v>35</v>
      </c>
      <c r="N2186" t="s">
        <v>50</v>
      </c>
      <c r="O2186" t="s">
        <v>37</v>
      </c>
      <c r="P2186" t="s">
        <v>38</v>
      </c>
      <c r="Q2186" t="s">
        <v>38</v>
      </c>
      <c r="R2186">
        <v>1</v>
      </c>
      <c r="S2186" t="s">
        <v>39</v>
      </c>
      <c r="T2186">
        <v>8</v>
      </c>
      <c r="U2186">
        <v>1.2</v>
      </c>
      <c r="V2186">
        <v>25.3</v>
      </c>
      <c r="W2186" t="s">
        <v>39</v>
      </c>
      <c r="X2186" t="s">
        <v>123</v>
      </c>
      <c r="Y2186" t="s">
        <v>38</v>
      </c>
      <c r="Z2186" t="s">
        <v>115</v>
      </c>
      <c r="AA2186" t="s">
        <v>54</v>
      </c>
      <c r="AB2186" t="s">
        <v>55</v>
      </c>
      <c r="AC2186">
        <f t="shared" si="374"/>
        <v>0</v>
      </c>
      <c r="AD2186" s="12">
        <f t="shared" si="378"/>
        <v>0</v>
      </c>
      <c r="AE2186" s="12">
        <f t="shared" si="379"/>
        <v>1</v>
      </c>
      <c r="AF2186">
        <f t="shared" si="375"/>
        <v>0</v>
      </c>
      <c r="AG2186">
        <f t="shared" si="380"/>
        <v>0</v>
      </c>
      <c r="AH2186">
        <f t="shared" si="381"/>
        <v>0</v>
      </c>
      <c r="AI2186">
        <f t="shared" si="382"/>
        <v>0</v>
      </c>
      <c r="AJ2186">
        <f t="shared" si="383"/>
        <v>0</v>
      </c>
      <c r="AK2186">
        <f t="shared" si="376"/>
        <v>0</v>
      </c>
      <c r="AL2186">
        <f t="shared" si="384"/>
        <v>1</v>
      </c>
    </row>
    <row r="2187" spans="1:38">
      <c r="A2187" t="s">
        <v>6688</v>
      </c>
      <c r="B2187" t="s">
        <v>6689</v>
      </c>
      <c r="C2187" s="1">
        <f t="shared" si="377"/>
        <v>45536</v>
      </c>
      <c r="D2187" t="s">
        <v>6690</v>
      </c>
      <c r="E2187">
        <v>170.3</v>
      </c>
      <c r="F2187">
        <v>7.1</v>
      </c>
      <c r="G2187" t="s">
        <v>30</v>
      </c>
      <c r="H2187" t="s">
        <v>47</v>
      </c>
      <c r="I2187" t="s">
        <v>32</v>
      </c>
      <c r="J2187">
        <v>240</v>
      </c>
      <c r="K2187" t="s">
        <v>49</v>
      </c>
      <c r="L2187" t="s">
        <v>96</v>
      </c>
      <c r="M2187" t="s">
        <v>35</v>
      </c>
      <c r="N2187" t="s">
        <v>155</v>
      </c>
      <c r="O2187" t="s">
        <v>37</v>
      </c>
      <c r="P2187" t="s">
        <v>38</v>
      </c>
      <c r="Q2187" t="s">
        <v>38</v>
      </c>
      <c r="R2187">
        <v>1</v>
      </c>
      <c r="S2187" t="s">
        <v>38</v>
      </c>
      <c r="T2187">
        <v>9</v>
      </c>
      <c r="U2187">
        <v>3.4</v>
      </c>
      <c r="V2187">
        <v>7.6</v>
      </c>
      <c r="W2187" t="s">
        <v>38</v>
      </c>
      <c r="X2187" t="s">
        <v>123</v>
      </c>
      <c r="Y2187" t="s">
        <v>39</v>
      </c>
      <c r="Z2187" t="s">
        <v>73</v>
      </c>
      <c r="AA2187" t="s">
        <v>109</v>
      </c>
      <c r="AB2187" t="s">
        <v>43</v>
      </c>
      <c r="AC2187">
        <f t="shared" si="374"/>
        <v>0</v>
      </c>
      <c r="AD2187" s="12">
        <f t="shared" si="378"/>
        <v>0</v>
      </c>
      <c r="AE2187" s="12">
        <f t="shared" si="379"/>
        <v>1</v>
      </c>
      <c r="AF2187">
        <f t="shared" si="375"/>
        <v>0</v>
      </c>
      <c r="AG2187">
        <f t="shared" si="380"/>
        <v>0</v>
      </c>
      <c r="AH2187">
        <f t="shared" si="381"/>
        <v>0</v>
      </c>
      <c r="AI2187">
        <f t="shared" si="382"/>
        <v>0</v>
      </c>
      <c r="AJ2187">
        <f t="shared" si="383"/>
        <v>1</v>
      </c>
      <c r="AK2187">
        <f t="shared" si="376"/>
        <v>1</v>
      </c>
      <c r="AL2187">
        <f t="shared" si="384"/>
        <v>0</v>
      </c>
    </row>
    <row r="2188" spans="1:38">
      <c r="A2188" t="s">
        <v>6691</v>
      </c>
      <c r="B2188" t="s">
        <v>6692</v>
      </c>
      <c r="C2188" s="1">
        <f t="shared" si="377"/>
        <v>45383</v>
      </c>
      <c r="D2188" t="s">
        <v>6693</v>
      </c>
      <c r="E2188">
        <v>934.5</v>
      </c>
      <c r="F2188">
        <v>38.9</v>
      </c>
      <c r="G2188" t="s">
        <v>142</v>
      </c>
      <c r="H2188" t="s">
        <v>729</v>
      </c>
      <c r="I2188" t="s">
        <v>79</v>
      </c>
      <c r="J2188">
        <v>360</v>
      </c>
      <c r="K2188" t="s">
        <v>33</v>
      </c>
      <c r="L2188" t="s">
        <v>34</v>
      </c>
      <c r="M2188" t="s">
        <v>71</v>
      </c>
      <c r="N2188" t="s">
        <v>114</v>
      </c>
      <c r="O2188" t="s">
        <v>7232</v>
      </c>
      <c r="P2188" t="s">
        <v>38</v>
      </c>
      <c r="Q2188" t="s">
        <v>39</v>
      </c>
      <c r="R2188">
        <v>4</v>
      </c>
      <c r="S2188" t="s">
        <v>38</v>
      </c>
      <c r="T2188">
        <v>5</v>
      </c>
      <c r="U2188">
        <v>3.7</v>
      </c>
      <c r="V2188">
        <v>11.9</v>
      </c>
      <c r="W2188" t="s">
        <v>39</v>
      </c>
      <c r="X2188" t="s">
        <v>123</v>
      </c>
      <c r="Y2188" t="s">
        <v>39</v>
      </c>
      <c r="Z2188" t="s">
        <v>81</v>
      </c>
      <c r="AA2188" t="s">
        <v>82</v>
      </c>
      <c r="AB2188" t="s">
        <v>55</v>
      </c>
      <c r="AC2188">
        <f t="shared" si="374"/>
        <v>0</v>
      </c>
      <c r="AD2188" s="12">
        <f t="shared" si="378"/>
        <v>0</v>
      </c>
      <c r="AE2188" s="12">
        <f t="shared" si="379"/>
        <v>1</v>
      </c>
      <c r="AF2188">
        <f t="shared" si="375"/>
        <v>0</v>
      </c>
      <c r="AG2188">
        <f t="shared" si="380"/>
        <v>1</v>
      </c>
      <c r="AH2188">
        <f t="shared" si="381"/>
        <v>0</v>
      </c>
      <c r="AI2188">
        <f t="shared" si="382"/>
        <v>0</v>
      </c>
      <c r="AJ2188">
        <f t="shared" si="383"/>
        <v>0</v>
      </c>
      <c r="AK2188">
        <f t="shared" si="376"/>
        <v>0</v>
      </c>
      <c r="AL2188">
        <f t="shared" si="384"/>
        <v>0</v>
      </c>
    </row>
    <row r="2189" spans="1:38">
      <c r="A2189" t="s">
        <v>6694</v>
      </c>
      <c r="B2189" t="s">
        <v>6695</v>
      </c>
      <c r="C2189" s="1">
        <f t="shared" si="377"/>
        <v>45444</v>
      </c>
      <c r="D2189" t="s">
        <v>6696</v>
      </c>
      <c r="E2189">
        <v>73.099999999999994</v>
      </c>
      <c r="F2189">
        <v>3</v>
      </c>
      <c r="G2189" t="s">
        <v>68</v>
      </c>
      <c r="H2189" t="s">
        <v>69</v>
      </c>
      <c r="I2189" t="s">
        <v>48</v>
      </c>
      <c r="J2189">
        <v>120</v>
      </c>
      <c r="K2189" t="s">
        <v>49</v>
      </c>
      <c r="L2189" t="s">
        <v>96</v>
      </c>
      <c r="M2189" t="s">
        <v>71</v>
      </c>
      <c r="N2189" t="s">
        <v>138</v>
      </c>
      <c r="O2189" t="s">
        <v>37</v>
      </c>
      <c r="P2189" t="s">
        <v>38</v>
      </c>
      <c r="Q2189" t="s">
        <v>39</v>
      </c>
      <c r="R2189">
        <v>2</v>
      </c>
      <c r="S2189" t="s">
        <v>38</v>
      </c>
      <c r="T2189">
        <v>7</v>
      </c>
      <c r="U2189">
        <v>2.9</v>
      </c>
      <c r="V2189">
        <v>5.0999999999999996</v>
      </c>
      <c r="W2189" t="s">
        <v>39</v>
      </c>
      <c r="X2189" t="s">
        <v>52</v>
      </c>
      <c r="Y2189" t="s">
        <v>39</v>
      </c>
      <c r="Z2189" t="s">
        <v>108</v>
      </c>
      <c r="AA2189" t="s">
        <v>82</v>
      </c>
      <c r="AB2189" t="s">
        <v>83</v>
      </c>
      <c r="AC2189">
        <f t="shared" si="374"/>
        <v>1</v>
      </c>
      <c r="AD2189" s="12">
        <f t="shared" si="378"/>
        <v>0</v>
      </c>
      <c r="AE2189" s="12">
        <f t="shared" si="379"/>
        <v>0</v>
      </c>
      <c r="AF2189">
        <f t="shared" si="375"/>
        <v>0</v>
      </c>
      <c r="AG2189">
        <f t="shared" si="380"/>
        <v>0</v>
      </c>
      <c r="AH2189">
        <f t="shared" si="381"/>
        <v>1</v>
      </c>
      <c r="AI2189">
        <f t="shared" si="382"/>
        <v>0</v>
      </c>
      <c r="AJ2189">
        <f t="shared" si="383"/>
        <v>0</v>
      </c>
      <c r="AK2189">
        <f t="shared" si="376"/>
        <v>0</v>
      </c>
      <c r="AL2189">
        <f t="shared" si="384"/>
        <v>0</v>
      </c>
    </row>
    <row r="2190" spans="1:38">
      <c r="A2190" t="s">
        <v>6697</v>
      </c>
      <c r="B2190" t="s">
        <v>6698</v>
      </c>
      <c r="C2190" s="1">
        <f t="shared" si="377"/>
        <v>45474</v>
      </c>
      <c r="D2190" t="s">
        <v>6699</v>
      </c>
      <c r="E2190">
        <v>392.7</v>
      </c>
      <c r="F2190">
        <v>16.399999999999999</v>
      </c>
      <c r="G2190" t="s">
        <v>77</v>
      </c>
      <c r="H2190" t="s">
        <v>244</v>
      </c>
      <c r="I2190" t="s">
        <v>79</v>
      </c>
      <c r="J2190">
        <v>360</v>
      </c>
      <c r="K2190" t="s">
        <v>33</v>
      </c>
      <c r="L2190" t="s">
        <v>70</v>
      </c>
      <c r="M2190" t="s">
        <v>35</v>
      </c>
      <c r="N2190" t="s">
        <v>89</v>
      </c>
      <c r="O2190" t="s">
        <v>7232</v>
      </c>
      <c r="P2190" t="s">
        <v>39</v>
      </c>
      <c r="Q2190" t="s">
        <v>38</v>
      </c>
      <c r="R2190">
        <v>0</v>
      </c>
      <c r="S2190" t="s">
        <v>38</v>
      </c>
      <c r="T2190">
        <v>7</v>
      </c>
      <c r="U2190">
        <v>0.1</v>
      </c>
      <c r="V2190">
        <v>35.299999999999997</v>
      </c>
      <c r="W2190" t="s">
        <v>39</v>
      </c>
      <c r="X2190" t="s">
        <v>123</v>
      </c>
      <c r="Y2190" t="s">
        <v>39</v>
      </c>
      <c r="Z2190" t="s">
        <v>53</v>
      </c>
      <c r="AA2190" t="s">
        <v>54</v>
      </c>
      <c r="AB2190" t="s">
        <v>43</v>
      </c>
      <c r="AC2190">
        <f t="shared" si="374"/>
        <v>0</v>
      </c>
      <c r="AD2190" s="12">
        <f t="shared" si="378"/>
        <v>0</v>
      </c>
      <c r="AE2190" s="12">
        <f t="shared" si="379"/>
        <v>1</v>
      </c>
      <c r="AF2190">
        <f t="shared" si="375"/>
        <v>0</v>
      </c>
      <c r="AG2190">
        <f t="shared" si="380"/>
        <v>1</v>
      </c>
      <c r="AH2190">
        <f t="shared" si="381"/>
        <v>0</v>
      </c>
      <c r="AI2190">
        <f t="shared" si="382"/>
        <v>0</v>
      </c>
      <c r="AJ2190">
        <f t="shared" si="383"/>
        <v>0</v>
      </c>
      <c r="AK2190">
        <f t="shared" si="376"/>
        <v>0</v>
      </c>
      <c r="AL2190">
        <f t="shared" si="384"/>
        <v>0</v>
      </c>
    </row>
    <row r="2191" spans="1:38">
      <c r="A2191" t="s">
        <v>6700</v>
      </c>
      <c r="B2191" t="s">
        <v>6701</v>
      </c>
      <c r="C2191" s="1">
        <f t="shared" si="377"/>
        <v>45474</v>
      </c>
      <c r="D2191" t="s">
        <v>6702</v>
      </c>
      <c r="E2191">
        <v>209.8</v>
      </c>
      <c r="F2191">
        <v>8.6999999999999993</v>
      </c>
      <c r="G2191" t="s">
        <v>142</v>
      </c>
      <c r="H2191" t="s">
        <v>729</v>
      </c>
      <c r="I2191" t="s">
        <v>32</v>
      </c>
      <c r="J2191">
        <v>240</v>
      </c>
      <c r="K2191" t="s">
        <v>49</v>
      </c>
      <c r="L2191" t="s">
        <v>34</v>
      </c>
      <c r="M2191" t="s">
        <v>35</v>
      </c>
      <c r="N2191" t="s">
        <v>119</v>
      </c>
      <c r="O2191" t="s">
        <v>51</v>
      </c>
      <c r="P2191" t="s">
        <v>39</v>
      </c>
      <c r="Q2191" t="s">
        <v>38</v>
      </c>
      <c r="R2191">
        <v>0</v>
      </c>
      <c r="S2191" t="s">
        <v>38</v>
      </c>
      <c r="T2191">
        <v>10</v>
      </c>
      <c r="U2191">
        <v>3.3</v>
      </c>
      <c r="V2191">
        <v>17.399999999999999</v>
      </c>
      <c r="W2191" t="s">
        <v>39</v>
      </c>
      <c r="X2191" t="s">
        <v>52</v>
      </c>
      <c r="Y2191" t="s">
        <v>39</v>
      </c>
      <c r="Z2191" t="s">
        <v>179</v>
      </c>
      <c r="AA2191" t="s">
        <v>109</v>
      </c>
      <c r="AB2191" t="s">
        <v>83</v>
      </c>
      <c r="AC2191">
        <f t="shared" si="374"/>
        <v>1</v>
      </c>
      <c r="AD2191" s="12">
        <f t="shared" si="378"/>
        <v>0</v>
      </c>
      <c r="AE2191" s="12">
        <f t="shared" si="379"/>
        <v>0</v>
      </c>
      <c r="AF2191">
        <f t="shared" si="375"/>
        <v>1</v>
      </c>
      <c r="AG2191">
        <f t="shared" si="380"/>
        <v>0</v>
      </c>
      <c r="AH2191">
        <f t="shared" si="381"/>
        <v>0</v>
      </c>
      <c r="AI2191">
        <f t="shared" si="382"/>
        <v>0</v>
      </c>
      <c r="AJ2191">
        <f t="shared" si="383"/>
        <v>1</v>
      </c>
      <c r="AK2191">
        <f t="shared" si="376"/>
        <v>0</v>
      </c>
      <c r="AL2191">
        <f t="shared" si="384"/>
        <v>0</v>
      </c>
    </row>
    <row r="2192" spans="1:38">
      <c r="A2192" t="s">
        <v>6703</v>
      </c>
      <c r="B2192" t="s">
        <v>6704</v>
      </c>
      <c r="C2192" s="1">
        <f t="shared" si="377"/>
        <v>45474</v>
      </c>
      <c r="D2192" t="s">
        <v>6705</v>
      </c>
      <c r="E2192">
        <v>250.5</v>
      </c>
      <c r="F2192">
        <v>10.4</v>
      </c>
      <c r="G2192" t="s">
        <v>30</v>
      </c>
      <c r="H2192" t="s">
        <v>159</v>
      </c>
      <c r="I2192" t="s">
        <v>79</v>
      </c>
      <c r="J2192">
        <v>360</v>
      </c>
      <c r="K2192" t="s">
        <v>49</v>
      </c>
      <c r="L2192" t="s">
        <v>70</v>
      </c>
      <c r="M2192" t="s">
        <v>35</v>
      </c>
      <c r="N2192" t="s">
        <v>202</v>
      </c>
      <c r="O2192" t="s">
        <v>51</v>
      </c>
      <c r="P2192" t="s">
        <v>39</v>
      </c>
      <c r="Q2192" t="s">
        <v>38</v>
      </c>
      <c r="R2192">
        <v>0</v>
      </c>
      <c r="S2192" t="s">
        <v>38</v>
      </c>
      <c r="T2192">
        <v>9</v>
      </c>
      <c r="U2192">
        <v>2.9</v>
      </c>
      <c r="V2192">
        <v>23</v>
      </c>
      <c r="W2192" t="s">
        <v>39</v>
      </c>
      <c r="X2192" t="s">
        <v>123</v>
      </c>
      <c r="Y2192" t="s">
        <v>39</v>
      </c>
      <c r="Z2192" t="s">
        <v>108</v>
      </c>
      <c r="AA2192" t="s">
        <v>42</v>
      </c>
      <c r="AB2192" t="s">
        <v>55</v>
      </c>
      <c r="AC2192">
        <f t="shared" si="374"/>
        <v>0</v>
      </c>
      <c r="AD2192" s="12">
        <f t="shared" si="378"/>
        <v>0</v>
      </c>
      <c r="AE2192" s="12">
        <f t="shared" si="379"/>
        <v>1</v>
      </c>
      <c r="AF2192">
        <f t="shared" si="375"/>
        <v>1</v>
      </c>
      <c r="AG2192">
        <f t="shared" si="380"/>
        <v>0</v>
      </c>
      <c r="AH2192">
        <f t="shared" si="381"/>
        <v>0</v>
      </c>
      <c r="AI2192">
        <f t="shared" si="382"/>
        <v>0</v>
      </c>
      <c r="AJ2192">
        <f t="shared" si="383"/>
        <v>0</v>
      </c>
      <c r="AK2192">
        <f t="shared" si="376"/>
        <v>1</v>
      </c>
      <c r="AL2192">
        <f t="shared" si="384"/>
        <v>0</v>
      </c>
    </row>
    <row r="2193" spans="1:38">
      <c r="A2193" t="s">
        <v>6706</v>
      </c>
      <c r="B2193" t="s">
        <v>6707</v>
      </c>
      <c r="C2193" s="1">
        <f t="shared" si="377"/>
        <v>45597</v>
      </c>
      <c r="D2193" t="s">
        <v>6708</v>
      </c>
      <c r="E2193">
        <v>319.3</v>
      </c>
      <c r="F2193">
        <v>13.3</v>
      </c>
      <c r="G2193" t="s">
        <v>77</v>
      </c>
      <c r="H2193" t="s">
        <v>187</v>
      </c>
      <c r="I2193" t="s">
        <v>48</v>
      </c>
      <c r="J2193">
        <v>120</v>
      </c>
      <c r="K2193" t="s">
        <v>33</v>
      </c>
      <c r="L2193" t="s">
        <v>96</v>
      </c>
      <c r="M2193" t="s">
        <v>35</v>
      </c>
      <c r="N2193" t="s">
        <v>97</v>
      </c>
      <c r="O2193" t="s">
        <v>51</v>
      </c>
      <c r="P2193" t="s">
        <v>39</v>
      </c>
      <c r="Q2193" t="s">
        <v>38</v>
      </c>
      <c r="R2193">
        <v>0</v>
      </c>
      <c r="S2193" t="s">
        <v>38</v>
      </c>
      <c r="T2193">
        <v>7</v>
      </c>
      <c r="U2193">
        <v>2.5</v>
      </c>
      <c r="V2193">
        <v>12.4</v>
      </c>
      <c r="W2193" t="s">
        <v>39</v>
      </c>
      <c r="X2193" t="s">
        <v>63</v>
      </c>
      <c r="Y2193" t="s">
        <v>39</v>
      </c>
      <c r="Z2193" t="s">
        <v>64</v>
      </c>
      <c r="AA2193" t="s">
        <v>42</v>
      </c>
      <c r="AB2193" t="s">
        <v>43</v>
      </c>
      <c r="AC2193">
        <f t="shared" si="374"/>
        <v>0</v>
      </c>
      <c r="AD2193" s="12">
        <f t="shared" si="378"/>
        <v>1</v>
      </c>
      <c r="AE2193" s="12">
        <f t="shared" si="379"/>
        <v>0</v>
      </c>
      <c r="AF2193">
        <f t="shared" si="375"/>
        <v>1</v>
      </c>
      <c r="AG2193">
        <f t="shared" si="380"/>
        <v>0</v>
      </c>
      <c r="AH2193">
        <f t="shared" si="381"/>
        <v>1</v>
      </c>
      <c r="AI2193">
        <f t="shared" si="382"/>
        <v>0</v>
      </c>
      <c r="AJ2193">
        <f t="shared" si="383"/>
        <v>0</v>
      </c>
      <c r="AK2193">
        <f t="shared" si="376"/>
        <v>0</v>
      </c>
      <c r="AL2193">
        <f t="shared" si="384"/>
        <v>0</v>
      </c>
    </row>
    <row r="2194" spans="1:38">
      <c r="A2194" t="s">
        <v>6709</v>
      </c>
      <c r="B2194" t="s">
        <v>6710</v>
      </c>
      <c r="C2194" s="1">
        <f t="shared" si="377"/>
        <v>45627</v>
      </c>
      <c r="D2194" t="s">
        <v>6711</v>
      </c>
      <c r="E2194">
        <v>331.5</v>
      </c>
      <c r="F2194">
        <v>13.8</v>
      </c>
      <c r="G2194" t="s">
        <v>59</v>
      </c>
      <c r="H2194" t="s">
        <v>60</v>
      </c>
      <c r="I2194" t="s">
        <v>48</v>
      </c>
      <c r="J2194">
        <v>120</v>
      </c>
      <c r="K2194" t="s">
        <v>33</v>
      </c>
      <c r="L2194" t="s">
        <v>96</v>
      </c>
      <c r="M2194" t="s">
        <v>35</v>
      </c>
      <c r="N2194" t="s">
        <v>299</v>
      </c>
      <c r="O2194" t="s">
        <v>51</v>
      </c>
      <c r="P2194" t="s">
        <v>38</v>
      </c>
      <c r="Q2194" t="s">
        <v>38</v>
      </c>
      <c r="R2194">
        <v>1</v>
      </c>
      <c r="S2194" t="s">
        <v>38</v>
      </c>
      <c r="T2194">
        <v>4</v>
      </c>
      <c r="U2194">
        <v>1.1000000000000001</v>
      </c>
      <c r="V2194">
        <v>31.1</v>
      </c>
      <c r="W2194" t="s">
        <v>38</v>
      </c>
      <c r="X2194" t="s">
        <v>123</v>
      </c>
      <c r="Y2194" t="s">
        <v>39</v>
      </c>
      <c r="Z2194" t="s">
        <v>53</v>
      </c>
      <c r="AA2194" t="s">
        <v>109</v>
      </c>
      <c r="AB2194" t="s">
        <v>43</v>
      </c>
      <c r="AC2194">
        <f t="shared" si="374"/>
        <v>0</v>
      </c>
      <c r="AD2194" s="12">
        <f t="shared" si="378"/>
        <v>0</v>
      </c>
      <c r="AE2194" s="12">
        <f t="shared" si="379"/>
        <v>1</v>
      </c>
      <c r="AF2194">
        <f t="shared" si="375"/>
        <v>1</v>
      </c>
      <c r="AG2194">
        <f t="shared" si="380"/>
        <v>0</v>
      </c>
      <c r="AH2194">
        <f t="shared" si="381"/>
        <v>1</v>
      </c>
      <c r="AI2194">
        <f t="shared" si="382"/>
        <v>0</v>
      </c>
      <c r="AJ2194">
        <f t="shared" si="383"/>
        <v>0</v>
      </c>
      <c r="AK2194">
        <f t="shared" si="376"/>
        <v>0</v>
      </c>
      <c r="AL2194">
        <f t="shared" si="384"/>
        <v>0</v>
      </c>
    </row>
    <row r="2195" spans="1:38">
      <c r="A2195" t="s">
        <v>6712</v>
      </c>
      <c r="B2195" t="s">
        <v>6713</v>
      </c>
      <c r="C2195" s="1">
        <f t="shared" si="377"/>
        <v>45383</v>
      </c>
      <c r="D2195" t="s">
        <v>6714</v>
      </c>
      <c r="E2195">
        <v>165.6</v>
      </c>
      <c r="F2195">
        <v>6.9</v>
      </c>
      <c r="G2195" t="s">
        <v>101</v>
      </c>
      <c r="H2195" t="s">
        <v>368</v>
      </c>
      <c r="I2195" t="s">
        <v>32</v>
      </c>
      <c r="J2195">
        <v>240</v>
      </c>
      <c r="K2195" t="s">
        <v>49</v>
      </c>
      <c r="L2195" t="s">
        <v>133</v>
      </c>
      <c r="M2195" t="s">
        <v>35</v>
      </c>
      <c r="N2195" t="s">
        <v>277</v>
      </c>
      <c r="O2195" t="s">
        <v>7232</v>
      </c>
      <c r="P2195" t="s">
        <v>38</v>
      </c>
      <c r="Q2195" t="s">
        <v>38</v>
      </c>
      <c r="R2195">
        <v>1</v>
      </c>
      <c r="S2195" t="s">
        <v>38</v>
      </c>
      <c r="T2195">
        <v>10</v>
      </c>
      <c r="U2195">
        <v>6</v>
      </c>
      <c r="V2195">
        <v>17.8</v>
      </c>
      <c r="W2195" t="s">
        <v>39</v>
      </c>
      <c r="X2195" t="s">
        <v>40</v>
      </c>
      <c r="Y2195" t="s">
        <v>39</v>
      </c>
      <c r="Z2195" t="s">
        <v>179</v>
      </c>
      <c r="AA2195" t="s">
        <v>109</v>
      </c>
      <c r="AB2195" t="s">
        <v>83</v>
      </c>
      <c r="AC2195">
        <f t="shared" si="374"/>
        <v>0</v>
      </c>
      <c r="AD2195" s="12">
        <f t="shared" si="378"/>
        <v>0</v>
      </c>
      <c r="AE2195" s="12">
        <f t="shared" si="379"/>
        <v>0</v>
      </c>
      <c r="AF2195">
        <f t="shared" si="375"/>
        <v>0</v>
      </c>
      <c r="AG2195">
        <f t="shared" si="380"/>
        <v>1</v>
      </c>
      <c r="AH2195">
        <f t="shared" si="381"/>
        <v>0</v>
      </c>
      <c r="AI2195">
        <f t="shared" si="382"/>
        <v>0</v>
      </c>
      <c r="AJ2195">
        <f t="shared" si="383"/>
        <v>1</v>
      </c>
      <c r="AK2195">
        <f t="shared" si="376"/>
        <v>0</v>
      </c>
      <c r="AL2195">
        <f t="shared" si="384"/>
        <v>0</v>
      </c>
    </row>
    <row r="2196" spans="1:38">
      <c r="A2196" t="s">
        <v>6715</v>
      </c>
      <c r="B2196" t="s">
        <v>6716</v>
      </c>
      <c r="C2196" s="1">
        <f t="shared" si="377"/>
        <v>45292</v>
      </c>
      <c r="D2196" t="s">
        <v>6717</v>
      </c>
      <c r="E2196">
        <v>278.89999999999998</v>
      </c>
      <c r="F2196">
        <v>11.6</v>
      </c>
      <c r="G2196" t="s">
        <v>77</v>
      </c>
      <c r="H2196" t="s">
        <v>187</v>
      </c>
      <c r="I2196" t="s">
        <v>79</v>
      </c>
      <c r="J2196">
        <v>360</v>
      </c>
      <c r="K2196" t="s">
        <v>49</v>
      </c>
      <c r="L2196" t="s">
        <v>96</v>
      </c>
      <c r="M2196" t="s">
        <v>35</v>
      </c>
      <c r="N2196" t="s">
        <v>506</v>
      </c>
      <c r="O2196" t="s">
        <v>7232</v>
      </c>
      <c r="P2196" t="s">
        <v>39</v>
      </c>
      <c r="Q2196" t="s">
        <v>38</v>
      </c>
      <c r="R2196">
        <v>0</v>
      </c>
      <c r="S2196" t="s">
        <v>38</v>
      </c>
      <c r="T2196">
        <v>9</v>
      </c>
      <c r="U2196">
        <v>4</v>
      </c>
      <c r="V2196">
        <v>27.9</v>
      </c>
      <c r="W2196" t="s">
        <v>38</v>
      </c>
      <c r="X2196" t="s">
        <v>40</v>
      </c>
      <c r="Y2196" t="s">
        <v>39</v>
      </c>
      <c r="Z2196" t="s">
        <v>41</v>
      </c>
      <c r="AA2196" t="s">
        <v>109</v>
      </c>
      <c r="AB2196" t="s">
        <v>43</v>
      </c>
      <c r="AC2196">
        <f t="shared" si="374"/>
        <v>0</v>
      </c>
      <c r="AD2196" s="12">
        <f t="shared" si="378"/>
        <v>0</v>
      </c>
      <c r="AE2196" s="12">
        <f t="shared" si="379"/>
        <v>0</v>
      </c>
      <c r="AF2196">
        <f t="shared" si="375"/>
        <v>0</v>
      </c>
      <c r="AG2196">
        <f t="shared" si="380"/>
        <v>1</v>
      </c>
      <c r="AH2196">
        <f t="shared" si="381"/>
        <v>0</v>
      </c>
      <c r="AI2196">
        <f t="shared" si="382"/>
        <v>0</v>
      </c>
      <c r="AJ2196">
        <f t="shared" si="383"/>
        <v>0</v>
      </c>
      <c r="AK2196">
        <f t="shared" si="376"/>
        <v>0</v>
      </c>
      <c r="AL2196">
        <f t="shared" si="384"/>
        <v>0</v>
      </c>
    </row>
    <row r="2197" spans="1:38">
      <c r="A2197" t="s">
        <v>6718</v>
      </c>
      <c r="B2197" t="s">
        <v>6719</v>
      </c>
      <c r="C2197" s="1">
        <f t="shared" si="377"/>
        <v>45323</v>
      </c>
      <c r="D2197" t="s">
        <v>6720</v>
      </c>
      <c r="E2197">
        <v>533.20000000000005</v>
      </c>
      <c r="F2197">
        <v>22.2</v>
      </c>
      <c r="G2197" t="s">
        <v>77</v>
      </c>
      <c r="H2197" t="s">
        <v>78</v>
      </c>
      <c r="I2197" t="s">
        <v>79</v>
      </c>
      <c r="J2197">
        <v>360</v>
      </c>
      <c r="K2197" t="s">
        <v>33</v>
      </c>
      <c r="L2197" t="s">
        <v>34</v>
      </c>
      <c r="M2197" t="s">
        <v>35</v>
      </c>
      <c r="N2197" t="s">
        <v>188</v>
      </c>
      <c r="O2197" t="s">
        <v>51</v>
      </c>
      <c r="P2197" t="s">
        <v>39</v>
      </c>
      <c r="Q2197" t="s">
        <v>38</v>
      </c>
      <c r="R2197">
        <v>0</v>
      </c>
      <c r="S2197" t="s">
        <v>38</v>
      </c>
      <c r="T2197">
        <v>10</v>
      </c>
      <c r="U2197">
        <v>7.1</v>
      </c>
      <c r="V2197">
        <v>19.5</v>
      </c>
      <c r="W2197" t="s">
        <v>39</v>
      </c>
      <c r="X2197" t="s">
        <v>63</v>
      </c>
      <c r="Y2197" t="s">
        <v>39</v>
      </c>
      <c r="Z2197" t="s">
        <v>64</v>
      </c>
      <c r="AA2197" t="s">
        <v>82</v>
      </c>
      <c r="AB2197" t="s">
        <v>55</v>
      </c>
      <c r="AC2197">
        <f t="shared" si="374"/>
        <v>0</v>
      </c>
      <c r="AD2197" s="12">
        <f t="shared" si="378"/>
        <v>1</v>
      </c>
      <c r="AE2197" s="12">
        <f t="shared" si="379"/>
        <v>0</v>
      </c>
      <c r="AF2197">
        <f t="shared" si="375"/>
        <v>1</v>
      </c>
      <c r="AG2197">
        <f t="shared" si="380"/>
        <v>0</v>
      </c>
      <c r="AH2197">
        <f t="shared" si="381"/>
        <v>0</v>
      </c>
      <c r="AI2197">
        <f t="shared" si="382"/>
        <v>0</v>
      </c>
      <c r="AJ2197">
        <f t="shared" si="383"/>
        <v>0</v>
      </c>
      <c r="AK2197">
        <f t="shared" si="376"/>
        <v>0</v>
      </c>
      <c r="AL2197">
        <f t="shared" si="384"/>
        <v>0</v>
      </c>
    </row>
    <row r="2198" spans="1:38">
      <c r="A2198" t="s">
        <v>6721</v>
      </c>
      <c r="B2198" t="s">
        <v>6722</v>
      </c>
      <c r="C2198" s="1">
        <f t="shared" si="377"/>
        <v>45352</v>
      </c>
      <c r="D2198" t="s">
        <v>6723</v>
      </c>
      <c r="E2198">
        <v>211</v>
      </c>
      <c r="F2198">
        <v>8.8000000000000007</v>
      </c>
      <c r="G2198" t="s">
        <v>93</v>
      </c>
      <c r="H2198" t="s">
        <v>291</v>
      </c>
      <c r="I2198" t="s">
        <v>32</v>
      </c>
      <c r="J2198">
        <v>240</v>
      </c>
      <c r="K2198" t="s">
        <v>49</v>
      </c>
      <c r="L2198" t="s">
        <v>34</v>
      </c>
      <c r="M2198" t="s">
        <v>35</v>
      </c>
      <c r="N2198" t="s">
        <v>50</v>
      </c>
      <c r="O2198" t="s">
        <v>51</v>
      </c>
      <c r="P2198" t="s">
        <v>39</v>
      </c>
      <c r="Q2198" t="s">
        <v>38</v>
      </c>
      <c r="R2198">
        <v>0</v>
      </c>
      <c r="S2198" t="s">
        <v>38</v>
      </c>
      <c r="T2198">
        <v>9</v>
      </c>
      <c r="U2198">
        <v>4.3</v>
      </c>
      <c r="V2198">
        <v>53.6</v>
      </c>
      <c r="W2198" t="s">
        <v>39</v>
      </c>
      <c r="X2198" t="s">
        <v>123</v>
      </c>
      <c r="Y2198" t="s">
        <v>39</v>
      </c>
      <c r="Z2198" t="s">
        <v>64</v>
      </c>
      <c r="AA2198" t="s">
        <v>82</v>
      </c>
      <c r="AB2198" t="s">
        <v>43</v>
      </c>
      <c r="AC2198">
        <f t="shared" si="374"/>
        <v>0</v>
      </c>
      <c r="AD2198" s="12">
        <f t="shared" si="378"/>
        <v>0</v>
      </c>
      <c r="AE2198" s="12">
        <f t="shared" si="379"/>
        <v>1</v>
      </c>
      <c r="AF2198">
        <f t="shared" si="375"/>
        <v>1</v>
      </c>
      <c r="AG2198">
        <f t="shared" si="380"/>
        <v>0</v>
      </c>
      <c r="AH2198">
        <f t="shared" si="381"/>
        <v>0</v>
      </c>
      <c r="AI2198">
        <f t="shared" si="382"/>
        <v>0</v>
      </c>
      <c r="AJ2198">
        <f t="shared" si="383"/>
        <v>1</v>
      </c>
      <c r="AK2198">
        <f t="shared" si="376"/>
        <v>0</v>
      </c>
      <c r="AL2198">
        <f t="shared" si="384"/>
        <v>0</v>
      </c>
    </row>
    <row r="2199" spans="1:38">
      <c r="A2199" t="s">
        <v>6724</v>
      </c>
      <c r="B2199" t="s">
        <v>6725</v>
      </c>
      <c r="C2199" s="1">
        <f t="shared" si="377"/>
        <v>45352</v>
      </c>
      <c r="D2199" t="s">
        <v>6726</v>
      </c>
      <c r="E2199">
        <v>471.8</v>
      </c>
      <c r="F2199">
        <v>19.7</v>
      </c>
      <c r="G2199" t="s">
        <v>77</v>
      </c>
      <c r="H2199" t="s">
        <v>244</v>
      </c>
      <c r="I2199" t="s">
        <v>79</v>
      </c>
      <c r="J2199">
        <v>360</v>
      </c>
      <c r="K2199" t="s">
        <v>33</v>
      </c>
      <c r="L2199" t="s">
        <v>70</v>
      </c>
      <c r="M2199" t="s">
        <v>35</v>
      </c>
      <c r="N2199" t="s">
        <v>168</v>
      </c>
      <c r="O2199" t="s">
        <v>51</v>
      </c>
      <c r="P2199" t="s">
        <v>38</v>
      </c>
      <c r="Q2199" t="s">
        <v>38</v>
      </c>
      <c r="R2199">
        <v>1</v>
      </c>
      <c r="S2199" t="s">
        <v>38</v>
      </c>
      <c r="T2199">
        <v>6</v>
      </c>
      <c r="U2199">
        <v>0.1</v>
      </c>
      <c r="V2199">
        <v>21.4</v>
      </c>
      <c r="W2199" t="s">
        <v>38</v>
      </c>
      <c r="X2199" t="s">
        <v>63</v>
      </c>
      <c r="Y2199" t="s">
        <v>38</v>
      </c>
      <c r="Z2199" t="s">
        <v>108</v>
      </c>
      <c r="AA2199" t="s">
        <v>54</v>
      </c>
      <c r="AB2199" t="s">
        <v>83</v>
      </c>
      <c r="AC2199">
        <f t="shared" si="374"/>
        <v>0</v>
      </c>
      <c r="AD2199" s="12">
        <f t="shared" si="378"/>
        <v>1</v>
      </c>
      <c r="AE2199" s="12">
        <f t="shared" si="379"/>
        <v>0</v>
      </c>
      <c r="AF2199">
        <f t="shared" si="375"/>
        <v>1</v>
      </c>
      <c r="AG2199">
        <f t="shared" si="380"/>
        <v>0</v>
      </c>
      <c r="AH2199">
        <f t="shared" si="381"/>
        <v>0</v>
      </c>
      <c r="AI2199">
        <f t="shared" si="382"/>
        <v>0</v>
      </c>
      <c r="AJ2199">
        <f t="shared" si="383"/>
        <v>0</v>
      </c>
      <c r="AK2199">
        <f t="shared" si="376"/>
        <v>0</v>
      </c>
      <c r="AL2199">
        <f t="shared" si="384"/>
        <v>1</v>
      </c>
    </row>
    <row r="2200" spans="1:38">
      <c r="A2200" t="s">
        <v>6727</v>
      </c>
      <c r="B2200" t="s">
        <v>6728</v>
      </c>
      <c r="C2200" s="1">
        <f t="shared" si="377"/>
        <v>45383</v>
      </c>
      <c r="D2200" t="s">
        <v>6729</v>
      </c>
      <c r="E2200">
        <v>272.60000000000002</v>
      </c>
      <c r="F2200">
        <v>11.4</v>
      </c>
      <c r="G2200" t="s">
        <v>93</v>
      </c>
      <c r="H2200" t="s">
        <v>94</v>
      </c>
      <c r="I2200" t="s">
        <v>79</v>
      </c>
      <c r="J2200">
        <v>360</v>
      </c>
      <c r="K2200" t="s">
        <v>49</v>
      </c>
      <c r="L2200" t="s">
        <v>70</v>
      </c>
      <c r="M2200" t="s">
        <v>71</v>
      </c>
      <c r="N2200" t="s">
        <v>36</v>
      </c>
      <c r="O2200" t="s">
        <v>37</v>
      </c>
      <c r="P2200" t="s">
        <v>38</v>
      </c>
      <c r="Q2200" t="s">
        <v>39</v>
      </c>
      <c r="R2200">
        <v>1</v>
      </c>
      <c r="S2200" t="s">
        <v>38</v>
      </c>
      <c r="T2200">
        <v>8</v>
      </c>
      <c r="U2200">
        <v>3.9</v>
      </c>
      <c r="V2200">
        <v>26.3</v>
      </c>
      <c r="W2200" t="s">
        <v>38</v>
      </c>
      <c r="X2200" t="s">
        <v>63</v>
      </c>
      <c r="Y2200" t="s">
        <v>38</v>
      </c>
      <c r="Z2200" t="s">
        <v>108</v>
      </c>
      <c r="AA2200" t="s">
        <v>82</v>
      </c>
      <c r="AB2200" t="s">
        <v>83</v>
      </c>
      <c r="AC2200">
        <f t="shared" si="374"/>
        <v>0</v>
      </c>
      <c r="AD2200" s="12">
        <f t="shared" si="378"/>
        <v>1</v>
      </c>
      <c r="AE2200" s="12">
        <f t="shared" si="379"/>
        <v>0</v>
      </c>
      <c r="AF2200">
        <f t="shared" si="375"/>
        <v>0</v>
      </c>
      <c r="AG2200">
        <f t="shared" si="380"/>
        <v>0</v>
      </c>
      <c r="AH2200">
        <f t="shared" si="381"/>
        <v>0</v>
      </c>
      <c r="AI2200">
        <f t="shared" si="382"/>
        <v>0</v>
      </c>
      <c r="AJ2200">
        <f t="shared" si="383"/>
        <v>0</v>
      </c>
      <c r="AK2200">
        <f t="shared" si="376"/>
        <v>0</v>
      </c>
      <c r="AL2200">
        <f t="shared" si="384"/>
        <v>1</v>
      </c>
    </row>
    <row r="2201" spans="1:38">
      <c r="A2201" t="s">
        <v>6730</v>
      </c>
      <c r="B2201" t="s">
        <v>6731</v>
      </c>
      <c r="C2201" s="1">
        <f t="shared" si="377"/>
        <v>45597</v>
      </c>
      <c r="D2201" t="s">
        <v>6732</v>
      </c>
      <c r="E2201">
        <v>106.7</v>
      </c>
      <c r="F2201">
        <v>4.4000000000000004</v>
      </c>
      <c r="G2201" t="s">
        <v>68</v>
      </c>
      <c r="H2201" t="s">
        <v>69</v>
      </c>
      <c r="I2201" t="s">
        <v>48</v>
      </c>
      <c r="J2201">
        <v>120</v>
      </c>
      <c r="K2201" t="s">
        <v>49</v>
      </c>
      <c r="L2201" t="s">
        <v>96</v>
      </c>
      <c r="M2201" t="s">
        <v>71</v>
      </c>
      <c r="N2201" t="s">
        <v>134</v>
      </c>
      <c r="O2201" t="s">
        <v>37</v>
      </c>
      <c r="P2201" t="s">
        <v>38</v>
      </c>
      <c r="Q2201" t="s">
        <v>39</v>
      </c>
      <c r="R2201">
        <v>3</v>
      </c>
      <c r="S2201" t="s">
        <v>38</v>
      </c>
      <c r="T2201">
        <v>9</v>
      </c>
      <c r="U2201">
        <v>2.7</v>
      </c>
      <c r="V2201">
        <v>7.1</v>
      </c>
      <c r="W2201" t="s">
        <v>39</v>
      </c>
      <c r="X2201" t="s">
        <v>52</v>
      </c>
      <c r="Y2201" t="s">
        <v>38</v>
      </c>
      <c r="Z2201" t="s">
        <v>64</v>
      </c>
      <c r="AA2201" t="s">
        <v>42</v>
      </c>
      <c r="AB2201" t="s">
        <v>43</v>
      </c>
      <c r="AC2201">
        <f t="shared" si="374"/>
        <v>1</v>
      </c>
      <c r="AD2201" s="12">
        <f t="shared" si="378"/>
        <v>0</v>
      </c>
      <c r="AE2201" s="12">
        <f t="shared" si="379"/>
        <v>0</v>
      </c>
      <c r="AF2201">
        <f t="shared" si="375"/>
        <v>0</v>
      </c>
      <c r="AG2201">
        <f t="shared" si="380"/>
        <v>0</v>
      </c>
      <c r="AH2201">
        <f t="shared" si="381"/>
        <v>1</v>
      </c>
      <c r="AI2201">
        <f t="shared" si="382"/>
        <v>0</v>
      </c>
      <c r="AJ2201">
        <f t="shared" si="383"/>
        <v>0</v>
      </c>
      <c r="AK2201">
        <f t="shared" si="376"/>
        <v>0</v>
      </c>
      <c r="AL2201">
        <f t="shared" si="384"/>
        <v>1</v>
      </c>
    </row>
    <row r="2202" spans="1:38">
      <c r="A2202" t="s">
        <v>6733</v>
      </c>
      <c r="B2202" t="s">
        <v>6734</v>
      </c>
      <c r="C2202" s="1">
        <f t="shared" si="377"/>
        <v>45444</v>
      </c>
      <c r="D2202" t="s">
        <v>6735</v>
      </c>
      <c r="E2202">
        <v>266.5</v>
      </c>
      <c r="F2202">
        <v>11.1</v>
      </c>
      <c r="G2202" t="s">
        <v>93</v>
      </c>
      <c r="H2202" t="s">
        <v>291</v>
      </c>
      <c r="I2202" t="s">
        <v>79</v>
      </c>
      <c r="J2202">
        <v>360</v>
      </c>
      <c r="K2202" t="s">
        <v>49</v>
      </c>
      <c r="L2202" t="s">
        <v>70</v>
      </c>
      <c r="M2202" t="s">
        <v>35</v>
      </c>
      <c r="N2202" t="s">
        <v>119</v>
      </c>
      <c r="O2202" t="s">
        <v>37</v>
      </c>
      <c r="P2202" t="s">
        <v>38</v>
      </c>
      <c r="Q2202" t="s">
        <v>38</v>
      </c>
      <c r="R2202">
        <v>1</v>
      </c>
      <c r="S2202" t="s">
        <v>38</v>
      </c>
      <c r="T2202">
        <v>7</v>
      </c>
      <c r="U2202">
        <v>3.1</v>
      </c>
      <c r="V2202">
        <v>28.8</v>
      </c>
      <c r="W2202" t="s">
        <v>39</v>
      </c>
      <c r="X2202" t="s">
        <v>52</v>
      </c>
      <c r="Y2202" t="s">
        <v>39</v>
      </c>
      <c r="Z2202" t="s">
        <v>108</v>
      </c>
      <c r="AA2202" t="s">
        <v>42</v>
      </c>
      <c r="AB2202" t="s">
        <v>55</v>
      </c>
      <c r="AC2202">
        <f t="shared" si="374"/>
        <v>1</v>
      </c>
      <c r="AD2202" s="12">
        <f t="shared" si="378"/>
        <v>0</v>
      </c>
      <c r="AE2202" s="12">
        <f t="shared" si="379"/>
        <v>0</v>
      </c>
      <c r="AF2202">
        <f t="shared" si="375"/>
        <v>0</v>
      </c>
      <c r="AG2202">
        <f t="shared" si="380"/>
        <v>0</v>
      </c>
      <c r="AH2202">
        <f t="shared" si="381"/>
        <v>0</v>
      </c>
      <c r="AI2202">
        <f t="shared" si="382"/>
        <v>0</v>
      </c>
      <c r="AJ2202">
        <f t="shared" si="383"/>
        <v>0</v>
      </c>
      <c r="AK2202">
        <f t="shared" si="376"/>
        <v>0</v>
      </c>
      <c r="AL2202">
        <f t="shared" si="384"/>
        <v>0</v>
      </c>
    </row>
    <row r="2203" spans="1:38">
      <c r="A2203" t="s">
        <v>6736</v>
      </c>
      <c r="B2203" t="s">
        <v>6737</v>
      </c>
      <c r="C2203" s="1">
        <f t="shared" si="377"/>
        <v>45566</v>
      </c>
      <c r="D2203" t="s">
        <v>6738</v>
      </c>
      <c r="E2203">
        <v>106.9</v>
      </c>
      <c r="F2203">
        <v>4.5</v>
      </c>
      <c r="G2203" t="s">
        <v>87</v>
      </c>
      <c r="H2203" t="s">
        <v>183</v>
      </c>
      <c r="I2203" t="s">
        <v>48</v>
      </c>
      <c r="J2203">
        <v>120</v>
      </c>
      <c r="K2203" t="s">
        <v>49</v>
      </c>
      <c r="L2203" t="s">
        <v>70</v>
      </c>
      <c r="M2203" t="s">
        <v>35</v>
      </c>
      <c r="N2203" t="s">
        <v>414</v>
      </c>
      <c r="O2203" t="s">
        <v>51</v>
      </c>
      <c r="P2203" t="s">
        <v>38</v>
      </c>
      <c r="Q2203" t="s">
        <v>38</v>
      </c>
      <c r="R2203">
        <v>1</v>
      </c>
      <c r="S2203" t="s">
        <v>39</v>
      </c>
      <c r="T2203">
        <v>7</v>
      </c>
      <c r="U2203">
        <v>0.8</v>
      </c>
      <c r="V2203">
        <v>25.4</v>
      </c>
      <c r="W2203" t="s">
        <v>38</v>
      </c>
      <c r="X2203" t="s">
        <v>52</v>
      </c>
      <c r="Y2203" t="s">
        <v>38</v>
      </c>
      <c r="Z2203" t="s">
        <v>41</v>
      </c>
      <c r="AA2203" t="s">
        <v>54</v>
      </c>
      <c r="AB2203" t="s">
        <v>83</v>
      </c>
      <c r="AC2203">
        <f t="shared" si="374"/>
        <v>1</v>
      </c>
      <c r="AD2203" s="12">
        <f t="shared" si="378"/>
        <v>0</v>
      </c>
      <c r="AE2203" s="12">
        <f t="shared" si="379"/>
        <v>0</v>
      </c>
      <c r="AF2203">
        <f t="shared" si="375"/>
        <v>1</v>
      </c>
      <c r="AG2203">
        <f t="shared" si="380"/>
        <v>0</v>
      </c>
      <c r="AH2203">
        <f t="shared" si="381"/>
        <v>1</v>
      </c>
      <c r="AI2203">
        <f t="shared" si="382"/>
        <v>0</v>
      </c>
      <c r="AJ2203">
        <f t="shared" si="383"/>
        <v>0</v>
      </c>
      <c r="AK2203">
        <f t="shared" si="376"/>
        <v>0</v>
      </c>
      <c r="AL2203">
        <f t="shared" si="384"/>
        <v>1</v>
      </c>
    </row>
    <row r="2204" spans="1:38">
      <c r="A2204" t="s">
        <v>6739</v>
      </c>
      <c r="B2204" t="s">
        <v>6740</v>
      </c>
      <c r="C2204" s="1">
        <f t="shared" si="377"/>
        <v>45474</v>
      </c>
      <c r="D2204" t="s">
        <v>6741</v>
      </c>
      <c r="E2204">
        <v>224.7</v>
      </c>
      <c r="F2204">
        <v>9.4</v>
      </c>
      <c r="G2204" t="s">
        <v>87</v>
      </c>
      <c r="H2204" t="s">
        <v>88</v>
      </c>
      <c r="I2204" t="s">
        <v>32</v>
      </c>
      <c r="J2204">
        <v>240</v>
      </c>
      <c r="K2204" t="s">
        <v>49</v>
      </c>
      <c r="L2204" t="s">
        <v>70</v>
      </c>
      <c r="M2204" t="s">
        <v>35</v>
      </c>
      <c r="N2204" t="s">
        <v>80</v>
      </c>
      <c r="O2204" t="s">
        <v>7232</v>
      </c>
      <c r="P2204" t="s">
        <v>38</v>
      </c>
      <c r="Q2204" t="s">
        <v>38</v>
      </c>
      <c r="R2204">
        <v>1</v>
      </c>
      <c r="S2204" t="s">
        <v>38</v>
      </c>
      <c r="T2204">
        <v>7</v>
      </c>
      <c r="U2204">
        <v>0.1</v>
      </c>
      <c r="V2204">
        <v>3.9</v>
      </c>
      <c r="W2204" t="s">
        <v>39</v>
      </c>
      <c r="X2204" t="s">
        <v>63</v>
      </c>
      <c r="Y2204" t="s">
        <v>38</v>
      </c>
      <c r="Z2204" t="s">
        <v>41</v>
      </c>
      <c r="AA2204" t="s">
        <v>109</v>
      </c>
      <c r="AB2204" t="s">
        <v>55</v>
      </c>
      <c r="AC2204">
        <f t="shared" si="374"/>
        <v>0</v>
      </c>
      <c r="AD2204" s="12">
        <f t="shared" si="378"/>
        <v>1</v>
      </c>
      <c r="AE2204" s="12">
        <f t="shared" si="379"/>
        <v>0</v>
      </c>
      <c r="AF2204">
        <f t="shared" si="375"/>
        <v>0</v>
      </c>
      <c r="AG2204">
        <f t="shared" si="380"/>
        <v>1</v>
      </c>
      <c r="AH2204">
        <f t="shared" si="381"/>
        <v>0</v>
      </c>
      <c r="AI2204">
        <f t="shared" si="382"/>
        <v>0</v>
      </c>
      <c r="AJ2204">
        <f t="shared" si="383"/>
        <v>1</v>
      </c>
      <c r="AK2204">
        <f t="shared" si="376"/>
        <v>0</v>
      </c>
      <c r="AL2204">
        <f t="shared" si="384"/>
        <v>1</v>
      </c>
    </row>
    <row r="2205" spans="1:38">
      <c r="A2205" t="s">
        <v>6742</v>
      </c>
      <c r="B2205" t="s">
        <v>6743</v>
      </c>
      <c r="C2205" s="1">
        <f t="shared" si="377"/>
        <v>45474</v>
      </c>
      <c r="D2205" t="s">
        <v>6744</v>
      </c>
      <c r="E2205">
        <v>161.19999999999999</v>
      </c>
      <c r="F2205">
        <v>6.7</v>
      </c>
      <c r="G2205" t="s">
        <v>59</v>
      </c>
      <c r="H2205" t="s">
        <v>60</v>
      </c>
      <c r="I2205" t="s">
        <v>48</v>
      </c>
      <c r="J2205">
        <v>120</v>
      </c>
      <c r="K2205" t="s">
        <v>33</v>
      </c>
      <c r="L2205" t="s">
        <v>96</v>
      </c>
      <c r="M2205" t="s">
        <v>71</v>
      </c>
      <c r="N2205" t="s">
        <v>107</v>
      </c>
      <c r="O2205" t="s">
        <v>51</v>
      </c>
      <c r="P2205" t="s">
        <v>38</v>
      </c>
      <c r="Q2205" t="s">
        <v>39</v>
      </c>
      <c r="R2205">
        <v>2</v>
      </c>
      <c r="S2205" t="s">
        <v>38</v>
      </c>
      <c r="T2205">
        <v>7</v>
      </c>
      <c r="U2205">
        <v>0.1</v>
      </c>
      <c r="V2205">
        <v>19</v>
      </c>
      <c r="W2205" t="s">
        <v>39</v>
      </c>
      <c r="X2205" t="s">
        <v>123</v>
      </c>
      <c r="Y2205" t="s">
        <v>39</v>
      </c>
      <c r="Z2205" t="s">
        <v>108</v>
      </c>
      <c r="AA2205" t="s">
        <v>103</v>
      </c>
      <c r="AB2205" t="s">
        <v>43</v>
      </c>
      <c r="AC2205">
        <f t="shared" si="374"/>
        <v>0</v>
      </c>
      <c r="AD2205" s="12">
        <f t="shared" si="378"/>
        <v>0</v>
      </c>
      <c r="AE2205" s="12">
        <f t="shared" si="379"/>
        <v>1</v>
      </c>
      <c r="AF2205">
        <f t="shared" si="375"/>
        <v>1</v>
      </c>
      <c r="AG2205">
        <f t="shared" si="380"/>
        <v>0</v>
      </c>
      <c r="AH2205">
        <f t="shared" si="381"/>
        <v>1</v>
      </c>
      <c r="AI2205">
        <f t="shared" si="382"/>
        <v>0</v>
      </c>
      <c r="AJ2205">
        <f t="shared" si="383"/>
        <v>0</v>
      </c>
      <c r="AK2205">
        <f t="shared" si="376"/>
        <v>0</v>
      </c>
      <c r="AL2205">
        <f t="shared" si="384"/>
        <v>0</v>
      </c>
    </row>
    <row r="2206" spans="1:38">
      <c r="A2206" t="s">
        <v>6745</v>
      </c>
      <c r="B2206" t="s">
        <v>6746</v>
      </c>
      <c r="C2206" s="1">
        <f t="shared" si="377"/>
        <v>45292</v>
      </c>
      <c r="D2206" t="s">
        <v>6747</v>
      </c>
      <c r="E2206">
        <v>91.2</v>
      </c>
      <c r="F2206">
        <v>3.8</v>
      </c>
      <c r="G2206" t="s">
        <v>87</v>
      </c>
      <c r="H2206" t="s">
        <v>151</v>
      </c>
      <c r="I2206" t="s">
        <v>48</v>
      </c>
      <c r="J2206">
        <v>120</v>
      </c>
      <c r="K2206" t="s">
        <v>49</v>
      </c>
      <c r="L2206" t="s">
        <v>133</v>
      </c>
      <c r="M2206" t="s">
        <v>35</v>
      </c>
      <c r="N2206" t="s">
        <v>192</v>
      </c>
      <c r="O2206" t="s">
        <v>51</v>
      </c>
      <c r="P2206" t="s">
        <v>38</v>
      </c>
      <c r="Q2206" t="s">
        <v>38</v>
      </c>
      <c r="R2206">
        <v>1</v>
      </c>
      <c r="S2206" t="s">
        <v>39</v>
      </c>
      <c r="T2206">
        <v>7</v>
      </c>
      <c r="U2206">
        <v>2.4</v>
      </c>
      <c r="V2206">
        <v>25.2</v>
      </c>
      <c r="W2206" t="s">
        <v>38</v>
      </c>
      <c r="X2206" t="s">
        <v>52</v>
      </c>
      <c r="Y2206" t="s">
        <v>39</v>
      </c>
      <c r="Z2206" t="s">
        <v>108</v>
      </c>
      <c r="AA2206" t="s">
        <v>109</v>
      </c>
      <c r="AB2206" t="s">
        <v>55</v>
      </c>
      <c r="AC2206">
        <f t="shared" si="374"/>
        <v>1</v>
      </c>
      <c r="AD2206" s="12">
        <f t="shared" si="378"/>
        <v>0</v>
      </c>
      <c r="AE2206" s="12">
        <f t="shared" si="379"/>
        <v>0</v>
      </c>
      <c r="AF2206">
        <f t="shared" si="375"/>
        <v>1</v>
      </c>
      <c r="AG2206">
        <f t="shared" si="380"/>
        <v>0</v>
      </c>
      <c r="AH2206">
        <f t="shared" si="381"/>
        <v>1</v>
      </c>
      <c r="AI2206">
        <f t="shared" si="382"/>
        <v>0</v>
      </c>
      <c r="AJ2206">
        <f t="shared" si="383"/>
        <v>0</v>
      </c>
      <c r="AK2206">
        <f t="shared" si="376"/>
        <v>0</v>
      </c>
      <c r="AL2206">
        <f t="shared" si="384"/>
        <v>0</v>
      </c>
    </row>
    <row r="2207" spans="1:38">
      <c r="A2207" t="s">
        <v>6748</v>
      </c>
      <c r="B2207" t="s">
        <v>6749</v>
      </c>
      <c r="C2207" s="1">
        <f t="shared" si="377"/>
        <v>45597</v>
      </c>
      <c r="D2207" t="s">
        <v>6750</v>
      </c>
      <c r="E2207">
        <v>213.2</v>
      </c>
      <c r="F2207">
        <v>8.9</v>
      </c>
      <c r="G2207" t="s">
        <v>87</v>
      </c>
      <c r="H2207" t="s">
        <v>183</v>
      </c>
      <c r="I2207" t="s">
        <v>32</v>
      </c>
      <c r="J2207">
        <v>240</v>
      </c>
      <c r="K2207" t="s">
        <v>49</v>
      </c>
      <c r="L2207" t="s">
        <v>70</v>
      </c>
      <c r="M2207" t="s">
        <v>71</v>
      </c>
      <c r="N2207" t="s">
        <v>168</v>
      </c>
      <c r="O2207" t="s">
        <v>7232</v>
      </c>
      <c r="P2207" t="s">
        <v>38</v>
      </c>
      <c r="Q2207" t="s">
        <v>39</v>
      </c>
      <c r="R2207">
        <v>3</v>
      </c>
      <c r="S2207" t="s">
        <v>38</v>
      </c>
      <c r="T2207">
        <v>10</v>
      </c>
      <c r="U2207">
        <v>0.1</v>
      </c>
      <c r="V2207">
        <v>10.7</v>
      </c>
      <c r="W2207" t="s">
        <v>39</v>
      </c>
      <c r="X2207" t="s">
        <v>52</v>
      </c>
      <c r="Y2207" t="s">
        <v>39</v>
      </c>
      <c r="Z2207" t="s">
        <v>73</v>
      </c>
      <c r="AA2207" t="s">
        <v>82</v>
      </c>
      <c r="AB2207" t="s">
        <v>55</v>
      </c>
      <c r="AC2207">
        <f t="shared" si="374"/>
        <v>1</v>
      </c>
      <c r="AD2207" s="12">
        <f t="shared" si="378"/>
        <v>0</v>
      </c>
      <c r="AE2207" s="12">
        <f t="shared" si="379"/>
        <v>0</v>
      </c>
      <c r="AF2207">
        <f t="shared" si="375"/>
        <v>0</v>
      </c>
      <c r="AG2207">
        <f t="shared" si="380"/>
        <v>1</v>
      </c>
      <c r="AH2207">
        <f t="shared" si="381"/>
        <v>0</v>
      </c>
      <c r="AI2207">
        <f t="shared" si="382"/>
        <v>0</v>
      </c>
      <c r="AJ2207">
        <f t="shared" si="383"/>
        <v>1</v>
      </c>
      <c r="AK2207">
        <f t="shared" si="376"/>
        <v>0</v>
      </c>
      <c r="AL2207">
        <f t="shared" si="384"/>
        <v>0</v>
      </c>
    </row>
    <row r="2208" spans="1:38">
      <c r="A2208" t="s">
        <v>6751</v>
      </c>
      <c r="B2208" t="s">
        <v>6752</v>
      </c>
      <c r="C2208" s="1">
        <f t="shared" si="377"/>
        <v>45413</v>
      </c>
      <c r="D2208" t="s">
        <v>6753</v>
      </c>
      <c r="E2208">
        <v>317.39999999999998</v>
      </c>
      <c r="F2208">
        <v>13.2</v>
      </c>
      <c r="G2208" t="s">
        <v>142</v>
      </c>
      <c r="H2208" t="s">
        <v>319</v>
      </c>
      <c r="I2208" t="s">
        <v>79</v>
      </c>
      <c r="J2208">
        <v>360</v>
      </c>
      <c r="K2208" t="s">
        <v>49</v>
      </c>
      <c r="L2208" t="s">
        <v>34</v>
      </c>
      <c r="M2208" t="s">
        <v>35</v>
      </c>
      <c r="N2208" t="s">
        <v>114</v>
      </c>
      <c r="O2208" t="s">
        <v>7232</v>
      </c>
      <c r="P2208" t="s">
        <v>38</v>
      </c>
      <c r="Q2208" t="s">
        <v>38</v>
      </c>
      <c r="R2208">
        <v>1</v>
      </c>
      <c r="S2208" t="s">
        <v>38</v>
      </c>
      <c r="T2208">
        <v>9</v>
      </c>
      <c r="U2208">
        <v>1.9</v>
      </c>
      <c r="V2208">
        <v>9.3000000000000007</v>
      </c>
      <c r="W2208" t="s">
        <v>39</v>
      </c>
      <c r="X2208" t="s">
        <v>40</v>
      </c>
      <c r="Y2208" t="s">
        <v>39</v>
      </c>
      <c r="Z2208" t="s">
        <v>64</v>
      </c>
      <c r="AA2208" t="s">
        <v>82</v>
      </c>
      <c r="AB2208" t="s">
        <v>55</v>
      </c>
      <c r="AC2208">
        <f t="shared" si="374"/>
        <v>0</v>
      </c>
      <c r="AD2208" s="12">
        <f t="shared" si="378"/>
        <v>0</v>
      </c>
      <c r="AE2208" s="12">
        <f t="shared" si="379"/>
        <v>0</v>
      </c>
      <c r="AF2208">
        <f t="shared" si="375"/>
        <v>0</v>
      </c>
      <c r="AG2208">
        <f t="shared" si="380"/>
        <v>1</v>
      </c>
      <c r="AH2208">
        <f t="shared" si="381"/>
        <v>0</v>
      </c>
      <c r="AI2208">
        <f t="shared" si="382"/>
        <v>0</v>
      </c>
      <c r="AJ2208">
        <f t="shared" si="383"/>
        <v>0</v>
      </c>
      <c r="AK2208">
        <f t="shared" si="376"/>
        <v>0</v>
      </c>
      <c r="AL2208">
        <f t="shared" si="384"/>
        <v>0</v>
      </c>
    </row>
    <row r="2209" spans="1:38">
      <c r="A2209" t="s">
        <v>6754</v>
      </c>
      <c r="B2209" t="s">
        <v>6755</v>
      </c>
      <c r="C2209" s="1">
        <f t="shared" si="377"/>
        <v>45292</v>
      </c>
      <c r="D2209" t="s">
        <v>6756</v>
      </c>
      <c r="E2209">
        <v>111.7</v>
      </c>
      <c r="F2209">
        <v>4.7</v>
      </c>
      <c r="G2209" t="s">
        <v>87</v>
      </c>
      <c r="H2209" t="s">
        <v>88</v>
      </c>
      <c r="I2209" t="s">
        <v>48</v>
      </c>
      <c r="J2209">
        <v>120</v>
      </c>
      <c r="K2209" t="s">
        <v>49</v>
      </c>
      <c r="L2209" t="s">
        <v>113</v>
      </c>
      <c r="M2209" t="s">
        <v>35</v>
      </c>
      <c r="N2209" t="s">
        <v>188</v>
      </c>
      <c r="O2209" t="s">
        <v>51</v>
      </c>
      <c r="P2209" t="s">
        <v>38</v>
      </c>
      <c r="Q2209" t="s">
        <v>38</v>
      </c>
      <c r="R2209">
        <v>1</v>
      </c>
      <c r="S2209" t="s">
        <v>38</v>
      </c>
      <c r="T2209">
        <v>7</v>
      </c>
      <c r="U2209">
        <v>0.1</v>
      </c>
      <c r="V2209">
        <v>45.7</v>
      </c>
      <c r="W2209" t="s">
        <v>38</v>
      </c>
      <c r="X2209" t="s">
        <v>40</v>
      </c>
      <c r="Y2209" t="s">
        <v>39</v>
      </c>
      <c r="Z2209" t="s">
        <v>179</v>
      </c>
      <c r="AA2209" t="s">
        <v>103</v>
      </c>
      <c r="AB2209" t="s">
        <v>83</v>
      </c>
      <c r="AC2209">
        <f t="shared" si="374"/>
        <v>0</v>
      </c>
      <c r="AD2209" s="12">
        <f t="shared" si="378"/>
        <v>0</v>
      </c>
      <c r="AE2209" s="12">
        <f t="shared" si="379"/>
        <v>0</v>
      </c>
      <c r="AF2209">
        <f t="shared" si="375"/>
        <v>1</v>
      </c>
      <c r="AG2209">
        <f t="shared" si="380"/>
        <v>0</v>
      </c>
      <c r="AH2209">
        <f t="shared" si="381"/>
        <v>1</v>
      </c>
      <c r="AI2209">
        <f t="shared" si="382"/>
        <v>0</v>
      </c>
      <c r="AJ2209">
        <f t="shared" si="383"/>
        <v>0</v>
      </c>
      <c r="AK2209">
        <f t="shared" si="376"/>
        <v>0</v>
      </c>
      <c r="AL2209">
        <f t="shared" si="384"/>
        <v>0</v>
      </c>
    </row>
    <row r="2210" spans="1:38">
      <c r="A2210" t="s">
        <v>6757</v>
      </c>
      <c r="B2210" t="s">
        <v>6758</v>
      </c>
      <c r="C2210" s="1">
        <f t="shared" si="377"/>
        <v>45413</v>
      </c>
      <c r="D2210" t="s">
        <v>6759</v>
      </c>
      <c r="E2210">
        <v>370</v>
      </c>
      <c r="F2210">
        <v>15.4</v>
      </c>
      <c r="G2210" t="s">
        <v>68</v>
      </c>
      <c r="H2210" t="s">
        <v>69</v>
      </c>
      <c r="I2210" t="s">
        <v>79</v>
      </c>
      <c r="J2210">
        <v>360</v>
      </c>
      <c r="K2210" t="s">
        <v>33</v>
      </c>
      <c r="L2210" t="s">
        <v>34</v>
      </c>
      <c r="M2210" t="s">
        <v>35</v>
      </c>
      <c r="N2210" t="s">
        <v>202</v>
      </c>
      <c r="O2210" t="s">
        <v>7232</v>
      </c>
      <c r="P2210" t="s">
        <v>38</v>
      </c>
      <c r="Q2210" t="s">
        <v>38</v>
      </c>
      <c r="R2210">
        <v>1</v>
      </c>
      <c r="S2210" t="s">
        <v>39</v>
      </c>
      <c r="T2210">
        <v>8</v>
      </c>
      <c r="U2210">
        <v>1.8</v>
      </c>
      <c r="V2210">
        <v>20.9</v>
      </c>
      <c r="W2210" t="s">
        <v>39</v>
      </c>
      <c r="X2210" t="s">
        <v>52</v>
      </c>
      <c r="Y2210" t="s">
        <v>38</v>
      </c>
      <c r="Z2210" t="s">
        <v>108</v>
      </c>
      <c r="AA2210" t="s">
        <v>103</v>
      </c>
      <c r="AB2210" t="s">
        <v>83</v>
      </c>
      <c r="AC2210">
        <f t="shared" si="374"/>
        <v>1</v>
      </c>
      <c r="AD2210" s="12">
        <f t="shared" si="378"/>
        <v>0</v>
      </c>
      <c r="AE2210" s="12">
        <f t="shared" si="379"/>
        <v>0</v>
      </c>
      <c r="AF2210">
        <f t="shared" si="375"/>
        <v>0</v>
      </c>
      <c r="AG2210">
        <f t="shared" si="380"/>
        <v>1</v>
      </c>
      <c r="AH2210">
        <f t="shared" si="381"/>
        <v>0</v>
      </c>
      <c r="AI2210">
        <f t="shared" si="382"/>
        <v>0</v>
      </c>
      <c r="AJ2210">
        <f t="shared" si="383"/>
        <v>0</v>
      </c>
      <c r="AK2210">
        <f t="shared" si="376"/>
        <v>0</v>
      </c>
      <c r="AL2210">
        <f t="shared" si="384"/>
        <v>1</v>
      </c>
    </row>
    <row r="2211" spans="1:38">
      <c r="A2211" t="s">
        <v>6760</v>
      </c>
      <c r="B2211" t="s">
        <v>6761</v>
      </c>
      <c r="C2211" s="1">
        <f t="shared" si="377"/>
        <v>45383</v>
      </c>
      <c r="D2211" t="s">
        <v>6762</v>
      </c>
      <c r="E2211">
        <v>258.10000000000002</v>
      </c>
      <c r="F2211">
        <v>10.8</v>
      </c>
      <c r="G2211" t="s">
        <v>77</v>
      </c>
      <c r="H2211" t="s">
        <v>78</v>
      </c>
      <c r="I2211" t="s">
        <v>79</v>
      </c>
      <c r="J2211">
        <v>360</v>
      </c>
      <c r="K2211" t="s">
        <v>49</v>
      </c>
      <c r="L2211" t="s">
        <v>70</v>
      </c>
      <c r="M2211" t="s">
        <v>35</v>
      </c>
      <c r="N2211" t="s">
        <v>107</v>
      </c>
      <c r="O2211" t="s">
        <v>7232</v>
      </c>
      <c r="P2211" t="s">
        <v>38</v>
      </c>
      <c r="Q2211" t="s">
        <v>38</v>
      </c>
      <c r="R2211">
        <v>1</v>
      </c>
      <c r="S2211" t="s">
        <v>38</v>
      </c>
      <c r="T2211">
        <v>8</v>
      </c>
      <c r="U2211">
        <v>3.3</v>
      </c>
      <c r="V2211">
        <v>20.7</v>
      </c>
      <c r="W2211" t="s">
        <v>39</v>
      </c>
      <c r="X2211" t="s">
        <v>52</v>
      </c>
      <c r="Y2211" t="s">
        <v>39</v>
      </c>
      <c r="Z2211" t="s">
        <v>53</v>
      </c>
      <c r="AA2211" t="s">
        <v>103</v>
      </c>
      <c r="AB2211" t="s">
        <v>83</v>
      </c>
      <c r="AC2211">
        <f t="shared" si="374"/>
        <v>1</v>
      </c>
      <c r="AD2211" s="12">
        <f t="shared" si="378"/>
        <v>0</v>
      </c>
      <c r="AE2211" s="12">
        <f t="shared" si="379"/>
        <v>0</v>
      </c>
      <c r="AF2211">
        <f t="shared" si="375"/>
        <v>0</v>
      </c>
      <c r="AG2211">
        <f t="shared" si="380"/>
        <v>1</v>
      </c>
      <c r="AH2211">
        <f t="shared" si="381"/>
        <v>0</v>
      </c>
      <c r="AI2211">
        <f t="shared" si="382"/>
        <v>0</v>
      </c>
      <c r="AJ2211">
        <f t="shared" si="383"/>
        <v>0</v>
      </c>
      <c r="AK2211">
        <f t="shared" si="376"/>
        <v>0</v>
      </c>
      <c r="AL2211">
        <f t="shared" si="384"/>
        <v>0</v>
      </c>
    </row>
    <row r="2212" spans="1:38">
      <c r="A2212" t="s">
        <v>6763</v>
      </c>
      <c r="B2212" t="s">
        <v>6764</v>
      </c>
      <c r="C2212" s="1">
        <f t="shared" si="377"/>
        <v>45536</v>
      </c>
      <c r="D2212" t="s">
        <v>6765</v>
      </c>
      <c r="E2212">
        <v>325.8</v>
      </c>
      <c r="F2212">
        <v>13.6</v>
      </c>
      <c r="G2212" t="s">
        <v>77</v>
      </c>
      <c r="H2212" t="s">
        <v>78</v>
      </c>
      <c r="I2212" t="s">
        <v>48</v>
      </c>
      <c r="J2212">
        <v>120</v>
      </c>
      <c r="K2212" t="s">
        <v>33</v>
      </c>
      <c r="L2212" t="s">
        <v>113</v>
      </c>
      <c r="M2212" t="s">
        <v>35</v>
      </c>
      <c r="N2212" t="s">
        <v>119</v>
      </c>
      <c r="O2212" t="s">
        <v>7232</v>
      </c>
      <c r="P2212" t="s">
        <v>39</v>
      </c>
      <c r="Q2212" t="s">
        <v>38</v>
      </c>
      <c r="R2212">
        <v>0</v>
      </c>
      <c r="S2212" t="s">
        <v>38</v>
      </c>
      <c r="T2212">
        <v>7</v>
      </c>
      <c r="U2212">
        <v>4.8</v>
      </c>
      <c r="V2212">
        <v>29.1</v>
      </c>
      <c r="W2212" t="s">
        <v>39</v>
      </c>
      <c r="X2212" t="s">
        <v>63</v>
      </c>
      <c r="Y2212" t="s">
        <v>39</v>
      </c>
      <c r="Z2212" t="s">
        <v>115</v>
      </c>
      <c r="AA2212" t="s">
        <v>82</v>
      </c>
      <c r="AB2212" t="s">
        <v>55</v>
      </c>
      <c r="AC2212">
        <f t="shared" si="374"/>
        <v>0</v>
      </c>
      <c r="AD2212" s="12">
        <f t="shared" si="378"/>
        <v>1</v>
      </c>
      <c r="AE2212" s="12">
        <f t="shared" si="379"/>
        <v>0</v>
      </c>
      <c r="AF2212">
        <f t="shared" si="375"/>
        <v>0</v>
      </c>
      <c r="AG2212">
        <f t="shared" si="380"/>
        <v>1</v>
      </c>
      <c r="AH2212">
        <f t="shared" si="381"/>
        <v>1</v>
      </c>
      <c r="AI2212">
        <f t="shared" si="382"/>
        <v>0</v>
      </c>
      <c r="AJ2212">
        <f t="shared" si="383"/>
        <v>0</v>
      </c>
      <c r="AK2212">
        <f t="shared" si="376"/>
        <v>0</v>
      </c>
      <c r="AL2212">
        <f t="shared" si="384"/>
        <v>0</v>
      </c>
    </row>
    <row r="2213" spans="1:38">
      <c r="A2213" t="s">
        <v>6766</v>
      </c>
      <c r="B2213" t="s">
        <v>6767</v>
      </c>
      <c r="C2213" s="1">
        <f t="shared" si="377"/>
        <v>45597</v>
      </c>
      <c r="D2213" t="s">
        <v>6768</v>
      </c>
      <c r="E2213">
        <v>600.20000000000005</v>
      </c>
      <c r="F2213">
        <v>25</v>
      </c>
      <c r="G2213" t="s">
        <v>87</v>
      </c>
      <c r="H2213" t="s">
        <v>309</v>
      </c>
      <c r="I2213" t="s">
        <v>32</v>
      </c>
      <c r="J2213">
        <v>240</v>
      </c>
      <c r="K2213" t="s">
        <v>33</v>
      </c>
      <c r="L2213" t="s">
        <v>113</v>
      </c>
      <c r="M2213" t="s">
        <v>71</v>
      </c>
      <c r="N2213" t="s">
        <v>168</v>
      </c>
      <c r="O2213" t="s">
        <v>37</v>
      </c>
      <c r="P2213" t="s">
        <v>38</v>
      </c>
      <c r="Q2213" t="s">
        <v>39</v>
      </c>
      <c r="R2213">
        <v>3</v>
      </c>
      <c r="S2213" t="s">
        <v>38</v>
      </c>
      <c r="T2213">
        <v>7</v>
      </c>
      <c r="U2213">
        <v>2.9</v>
      </c>
      <c r="V2213">
        <v>24.1</v>
      </c>
      <c r="W2213" t="s">
        <v>39</v>
      </c>
      <c r="X2213" t="s">
        <v>123</v>
      </c>
      <c r="Y2213" t="s">
        <v>39</v>
      </c>
      <c r="Z2213" t="s">
        <v>81</v>
      </c>
      <c r="AA2213" t="s">
        <v>54</v>
      </c>
      <c r="AB2213" t="s">
        <v>55</v>
      </c>
      <c r="AC2213">
        <f t="shared" si="374"/>
        <v>0</v>
      </c>
      <c r="AD2213" s="12">
        <f t="shared" si="378"/>
        <v>0</v>
      </c>
      <c r="AE2213" s="12">
        <f t="shared" si="379"/>
        <v>1</v>
      </c>
      <c r="AF2213">
        <f t="shared" si="375"/>
        <v>0</v>
      </c>
      <c r="AG2213">
        <f t="shared" si="380"/>
        <v>0</v>
      </c>
      <c r="AH2213">
        <f t="shared" si="381"/>
        <v>0</v>
      </c>
      <c r="AI2213">
        <f t="shared" si="382"/>
        <v>0</v>
      </c>
      <c r="AJ2213">
        <f t="shared" si="383"/>
        <v>1</v>
      </c>
      <c r="AK2213">
        <f t="shared" si="376"/>
        <v>0</v>
      </c>
      <c r="AL2213">
        <f t="shared" si="384"/>
        <v>0</v>
      </c>
    </row>
    <row r="2214" spans="1:38">
      <c r="A2214" t="s">
        <v>6769</v>
      </c>
      <c r="B2214" t="s">
        <v>6770</v>
      </c>
      <c r="C2214" s="1">
        <f t="shared" si="377"/>
        <v>45566</v>
      </c>
      <c r="D2214" t="s">
        <v>6771</v>
      </c>
      <c r="E2214">
        <v>95.6</v>
      </c>
      <c r="F2214">
        <v>4</v>
      </c>
      <c r="G2214" t="s">
        <v>59</v>
      </c>
      <c r="H2214" t="s">
        <v>466</v>
      </c>
      <c r="I2214" t="s">
        <v>48</v>
      </c>
      <c r="J2214">
        <v>120</v>
      </c>
      <c r="K2214" t="s">
        <v>49</v>
      </c>
      <c r="L2214" t="s">
        <v>113</v>
      </c>
      <c r="M2214" t="s">
        <v>35</v>
      </c>
      <c r="N2214" t="s">
        <v>414</v>
      </c>
      <c r="O2214" t="s">
        <v>7232</v>
      </c>
      <c r="P2214" t="s">
        <v>38</v>
      </c>
      <c r="Q2214" t="s">
        <v>38</v>
      </c>
      <c r="R2214">
        <v>1</v>
      </c>
      <c r="S2214" t="s">
        <v>38</v>
      </c>
      <c r="T2214">
        <v>7</v>
      </c>
      <c r="U2214">
        <v>1.1000000000000001</v>
      </c>
      <c r="V2214">
        <v>18.3</v>
      </c>
      <c r="W2214" t="s">
        <v>39</v>
      </c>
      <c r="X2214" t="s">
        <v>40</v>
      </c>
      <c r="Y2214" t="s">
        <v>39</v>
      </c>
      <c r="Z2214" t="s">
        <v>41</v>
      </c>
      <c r="AA2214" t="s">
        <v>109</v>
      </c>
      <c r="AB2214" t="s">
        <v>43</v>
      </c>
      <c r="AC2214">
        <f t="shared" si="374"/>
        <v>0</v>
      </c>
      <c r="AD2214" s="12">
        <f t="shared" si="378"/>
        <v>0</v>
      </c>
      <c r="AE2214" s="12">
        <f t="shared" si="379"/>
        <v>0</v>
      </c>
      <c r="AF2214">
        <f t="shared" si="375"/>
        <v>0</v>
      </c>
      <c r="AG2214">
        <f t="shared" si="380"/>
        <v>1</v>
      </c>
      <c r="AH2214">
        <f t="shared" si="381"/>
        <v>1</v>
      </c>
      <c r="AI2214">
        <f t="shared" si="382"/>
        <v>0</v>
      </c>
      <c r="AJ2214">
        <f t="shared" si="383"/>
        <v>0</v>
      </c>
      <c r="AK2214">
        <f t="shared" si="376"/>
        <v>0</v>
      </c>
      <c r="AL2214">
        <f t="shared" si="384"/>
        <v>0</v>
      </c>
    </row>
    <row r="2215" spans="1:38">
      <c r="A2215" t="s">
        <v>6772</v>
      </c>
      <c r="B2215" t="s">
        <v>6773</v>
      </c>
      <c r="C2215" s="1">
        <f t="shared" si="377"/>
        <v>45474</v>
      </c>
      <c r="D2215" t="s">
        <v>6774</v>
      </c>
      <c r="E2215">
        <v>192.6</v>
      </c>
      <c r="F2215">
        <v>8</v>
      </c>
      <c r="G2215" t="s">
        <v>142</v>
      </c>
      <c r="H2215" t="s">
        <v>729</v>
      </c>
      <c r="I2215" t="s">
        <v>32</v>
      </c>
      <c r="J2215">
        <v>240</v>
      </c>
      <c r="K2215" t="s">
        <v>49</v>
      </c>
      <c r="L2215" t="s">
        <v>96</v>
      </c>
      <c r="M2215" t="s">
        <v>71</v>
      </c>
      <c r="N2215" t="s">
        <v>107</v>
      </c>
      <c r="O2215" t="s">
        <v>7232</v>
      </c>
      <c r="P2215" t="s">
        <v>38</v>
      </c>
      <c r="Q2215" t="s">
        <v>39</v>
      </c>
      <c r="R2215">
        <v>2</v>
      </c>
      <c r="S2215" t="s">
        <v>38</v>
      </c>
      <c r="T2215">
        <v>8</v>
      </c>
      <c r="U2215">
        <v>3.6</v>
      </c>
      <c r="V2215">
        <v>14.1</v>
      </c>
      <c r="W2215" t="s">
        <v>38</v>
      </c>
      <c r="X2215" t="s">
        <v>40</v>
      </c>
      <c r="Y2215" t="s">
        <v>39</v>
      </c>
      <c r="Z2215" t="s">
        <v>53</v>
      </c>
      <c r="AA2215" t="s">
        <v>109</v>
      </c>
      <c r="AB2215" t="s">
        <v>55</v>
      </c>
      <c r="AC2215">
        <f t="shared" si="374"/>
        <v>0</v>
      </c>
      <c r="AD2215" s="12">
        <f t="shared" si="378"/>
        <v>0</v>
      </c>
      <c r="AE2215" s="12">
        <f t="shared" si="379"/>
        <v>0</v>
      </c>
      <c r="AF2215">
        <f t="shared" si="375"/>
        <v>0</v>
      </c>
      <c r="AG2215">
        <f t="shared" si="380"/>
        <v>1</v>
      </c>
      <c r="AH2215">
        <f t="shared" si="381"/>
        <v>0</v>
      </c>
      <c r="AI2215">
        <f t="shared" si="382"/>
        <v>0</v>
      </c>
      <c r="AJ2215">
        <f t="shared" si="383"/>
        <v>1</v>
      </c>
      <c r="AK2215">
        <f t="shared" si="376"/>
        <v>0</v>
      </c>
      <c r="AL2215">
        <f t="shared" si="384"/>
        <v>0</v>
      </c>
    </row>
    <row r="2216" spans="1:38">
      <c r="A2216" t="s">
        <v>6775</v>
      </c>
      <c r="B2216" t="s">
        <v>6776</v>
      </c>
      <c r="C2216" s="1">
        <f t="shared" si="377"/>
        <v>45627</v>
      </c>
      <c r="D2216" t="s">
        <v>6777</v>
      </c>
      <c r="E2216">
        <v>306.8</v>
      </c>
      <c r="F2216">
        <v>12.8</v>
      </c>
      <c r="G2216" t="s">
        <v>77</v>
      </c>
      <c r="H2216" t="s">
        <v>78</v>
      </c>
      <c r="I2216" t="s">
        <v>79</v>
      </c>
      <c r="J2216">
        <v>360</v>
      </c>
      <c r="K2216" t="s">
        <v>49</v>
      </c>
      <c r="L2216" t="s">
        <v>96</v>
      </c>
      <c r="M2216" t="s">
        <v>35</v>
      </c>
      <c r="N2216" t="s">
        <v>188</v>
      </c>
      <c r="O2216" t="s">
        <v>37</v>
      </c>
      <c r="P2216" t="s">
        <v>39</v>
      </c>
      <c r="Q2216" t="s">
        <v>38</v>
      </c>
      <c r="R2216">
        <v>0</v>
      </c>
      <c r="S2216" t="s">
        <v>38</v>
      </c>
      <c r="T2216">
        <v>10</v>
      </c>
      <c r="U2216">
        <v>2.6</v>
      </c>
      <c r="V2216">
        <v>15.5</v>
      </c>
      <c r="W2216" t="s">
        <v>39</v>
      </c>
      <c r="X2216" t="s">
        <v>52</v>
      </c>
      <c r="Y2216" t="s">
        <v>38</v>
      </c>
      <c r="Z2216" t="s">
        <v>179</v>
      </c>
      <c r="AA2216" t="s">
        <v>103</v>
      </c>
      <c r="AB2216" t="s">
        <v>55</v>
      </c>
      <c r="AC2216">
        <f t="shared" si="374"/>
        <v>1</v>
      </c>
      <c r="AD2216" s="12">
        <f t="shared" si="378"/>
        <v>0</v>
      </c>
      <c r="AE2216" s="12">
        <f t="shared" si="379"/>
        <v>0</v>
      </c>
      <c r="AF2216">
        <f t="shared" si="375"/>
        <v>0</v>
      </c>
      <c r="AG2216">
        <f t="shared" si="380"/>
        <v>0</v>
      </c>
      <c r="AH2216">
        <f t="shared" si="381"/>
        <v>0</v>
      </c>
      <c r="AI2216">
        <f t="shared" si="382"/>
        <v>0</v>
      </c>
      <c r="AJ2216">
        <f t="shared" si="383"/>
        <v>0</v>
      </c>
      <c r="AK2216">
        <f t="shared" si="376"/>
        <v>0</v>
      </c>
      <c r="AL2216">
        <f t="shared" si="384"/>
        <v>1</v>
      </c>
    </row>
    <row r="2217" spans="1:38">
      <c r="A2217" t="s">
        <v>6778</v>
      </c>
      <c r="B2217" t="s">
        <v>6779</v>
      </c>
      <c r="C2217" s="1">
        <f t="shared" si="377"/>
        <v>45352</v>
      </c>
      <c r="D2217" t="s">
        <v>6780</v>
      </c>
      <c r="E2217">
        <v>309.7</v>
      </c>
      <c r="F2217">
        <v>12.9</v>
      </c>
      <c r="G2217" t="s">
        <v>77</v>
      </c>
      <c r="H2217" t="s">
        <v>187</v>
      </c>
      <c r="I2217" t="s">
        <v>79</v>
      </c>
      <c r="J2217">
        <v>360</v>
      </c>
      <c r="K2217" t="s">
        <v>49</v>
      </c>
      <c r="L2217" t="s">
        <v>70</v>
      </c>
      <c r="M2217" t="s">
        <v>35</v>
      </c>
      <c r="N2217" t="s">
        <v>220</v>
      </c>
      <c r="O2217" t="s">
        <v>37</v>
      </c>
      <c r="P2217" t="s">
        <v>38</v>
      </c>
      <c r="Q2217" t="s">
        <v>38</v>
      </c>
      <c r="R2217">
        <v>1</v>
      </c>
      <c r="S2217" t="s">
        <v>38</v>
      </c>
      <c r="T2217">
        <v>9</v>
      </c>
      <c r="U2217">
        <v>2.2000000000000002</v>
      </c>
      <c r="V2217">
        <v>11.1</v>
      </c>
      <c r="W2217" t="s">
        <v>39</v>
      </c>
      <c r="X2217" t="s">
        <v>123</v>
      </c>
      <c r="Y2217" t="s">
        <v>39</v>
      </c>
      <c r="Z2217" t="s">
        <v>108</v>
      </c>
      <c r="AA2217" t="s">
        <v>109</v>
      </c>
      <c r="AB2217" t="s">
        <v>83</v>
      </c>
      <c r="AC2217">
        <f t="shared" si="374"/>
        <v>0</v>
      </c>
      <c r="AD2217" s="12">
        <f t="shared" si="378"/>
        <v>0</v>
      </c>
      <c r="AE2217" s="12">
        <f t="shared" si="379"/>
        <v>1</v>
      </c>
      <c r="AF2217">
        <f t="shared" si="375"/>
        <v>0</v>
      </c>
      <c r="AG2217">
        <f t="shared" si="380"/>
        <v>0</v>
      </c>
      <c r="AH2217">
        <f t="shared" si="381"/>
        <v>0</v>
      </c>
      <c r="AI2217">
        <f t="shared" si="382"/>
        <v>0</v>
      </c>
      <c r="AJ2217">
        <f t="shared" si="383"/>
        <v>0</v>
      </c>
      <c r="AK2217">
        <f t="shared" si="376"/>
        <v>0</v>
      </c>
      <c r="AL2217">
        <f t="shared" si="384"/>
        <v>0</v>
      </c>
    </row>
    <row r="2218" spans="1:38">
      <c r="A2218" t="s">
        <v>6781</v>
      </c>
      <c r="B2218" t="s">
        <v>6782</v>
      </c>
      <c r="C2218" s="1">
        <f t="shared" si="377"/>
        <v>45323</v>
      </c>
      <c r="D2218" t="s">
        <v>6783</v>
      </c>
      <c r="E2218">
        <v>534.79999999999995</v>
      </c>
      <c r="F2218">
        <v>22.3</v>
      </c>
      <c r="G2218" t="s">
        <v>77</v>
      </c>
      <c r="H2218" t="s">
        <v>187</v>
      </c>
      <c r="I2218" t="s">
        <v>79</v>
      </c>
      <c r="J2218">
        <v>360</v>
      </c>
      <c r="K2218" t="s">
        <v>33</v>
      </c>
      <c r="L2218" t="s">
        <v>70</v>
      </c>
      <c r="M2218" t="s">
        <v>35</v>
      </c>
      <c r="N2218" t="s">
        <v>277</v>
      </c>
      <c r="O2218" t="s">
        <v>7232</v>
      </c>
      <c r="P2218" t="s">
        <v>39</v>
      </c>
      <c r="Q2218" t="s">
        <v>38</v>
      </c>
      <c r="R2218">
        <v>0</v>
      </c>
      <c r="S2218" t="s">
        <v>38</v>
      </c>
      <c r="T2218">
        <v>7</v>
      </c>
      <c r="U2218">
        <v>2.7</v>
      </c>
      <c r="V2218">
        <v>7.1</v>
      </c>
      <c r="W2218" t="s">
        <v>39</v>
      </c>
      <c r="X2218" t="s">
        <v>40</v>
      </c>
      <c r="Y2218" t="s">
        <v>39</v>
      </c>
      <c r="Z2218" t="s">
        <v>179</v>
      </c>
      <c r="AA2218" t="s">
        <v>103</v>
      </c>
      <c r="AB2218" t="s">
        <v>55</v>
      </c>
      <c r="AC2218">
        <f t="shared" si="374"/>
        <v>0</v>
      </c>
      <c r="AD2218" s="12">
        <f t="shared" si="378"/>
        <v>0</v>
      </c>
      <c r="AE2218" s="12">
        <f t="shared" si="379"/>
        <v>0</v>
      </c>
      <c r="AF2218">
        <f t="shared" si="375"/>
        <v>0</v>
      </c>
      <c r="AG2218">
        <f t="shared" si="380"/>
        <v>1</v>
      </c>
      <c r="AH2218">
        <f t="shared" si="381"/>
        <v>0</v>
      </c>
      <c r="AI2218">
        <f t="shared" si="382"/>
        <v>0</v>
      </c>
      <c r="AJ2218">
        <f t="shared" si="383"/>
        <v>0</v>
      </c>
      <c r="AK2218">
        <f t="shared" si="376"/>
        <v>0</v>
      </c>
      <c r="AL2218">
        <f t="shared" si="384"/>
        <v>0</v>
      </c>
    </row>
    <row r="2219" spans="1:38">
      <c r="A2219" t="s">
        <v>6784</v>
      </c>
      <c r="B2219" t="s">
        <v>6785</v>
      </c>
      <c r="C2219" s="1">
        <f t="shared" si="377"/>
        <v>45536</v>
      </c>
      <c r="D2219" t="s">
        <v>6786</v>
      </c>
      <c r="E2219">
        <v>74.8</v>
      </c>
      <c r="F2219">
        <v>3.1</v>
      </c>
      <c r="G2219" t="s">
        <v>87</v>
      </c>
      <c r="H2219" t="s">
        <v>151</v>
      </c>
      <c r="I2219" t="s">
        <v>48</v>
      </c>
      <c r="J2219">
        <v>120</v>
      </c>
      <c r="K2219" t="s">
        <v>49</v>
      </c>
      <c r="L2219" t="s">
        <v>113</v>
      </c>
      <c r="M2219" t="s">
        <v>35</v>
      </c>
      <c r="N2219" t="s">
        <v>188</v>
      </c>
      <c r="O2219" t="s">
        <v>7232</v>
      </c>
      <c r="P2219" t="s">
        <v>38</v>
      </c>
      <c r="Q2219" t="s">
        <v>38</v>
      </c>
      <c r="R2219">
        <v>1</v>
      </c>
      <c r="S2219" t="s">
        <v>39</v>
      </c>
      <c r="T2219">
        <v>10</v>
      </c>
      <c r="U2219">
        <v>1.5</v>
      </c>
      <c r="V2219">
        <v>5.9</v>
      </c>
      <c r="W2219" t="s">
        <v>39</v>
      </c>
      <c r="X2219" t="s">
        <v>63</v>
      </c>
      <c r="Y2219" t="s">
        <v>38</v>
      </c>
      <c r="Z2219" t="s">
        <v>41</v>
      </c>
      <c r="AA2219" t="s">
        <v>82</v>
      </c>
      <c r="AB2219" t="s">
        <v>83</v>
      </c>
      <c r="AC2219">
        <f t="shared" si="374"/>
        <v>0</v>
      </c>
      <c r="AD2219" s="12">
        <f t="shared" si="378"/>
        <v>1</v>
      </c>
      <c r="AE2219" s="12">
        <f t="shared" si="379"/>
        <v>0</v>
      </c>
      <c r="AF2219">
        <f t="shared" si="375"/>
        <v>0</v>
      </c>
      <c r="AG2219">
        <f t="shared" si="380"/>
        <v>1</v>
      </c>
      <c r="AH2219">
        <f t="shared" si="381"/>
        <v>1</v>
      </c>
      <c r="AI2219">
        <f t="shared" si="382"/>
        <v>0</v>
      </c>
      <c r="AJ2219">
        <f t="shared" si="383"/>
        <v>0</v>
      </c>
      <c r="AK2219">
        <f t="shared" si="376"/>
        <v>0</v>
      </c>
      <c r="AL2219">
        <f t="shared" si="384"/>
        <v>1</v>
      </c>
    </row>
    <row r="2220" spans="1:38">
      <c r="A2220" t="s">
        <v>6787</v>
      </c>
      <c r="B2220" t="s">
        <v>6788</v>
      </c>
      <c r="C2220" s="1">
        <f t="shared" si="377"/>
        <v>45474</v>
      </c>
      <c r="D2220" t="s">
        <v>6789</v>
      </c>
      <c r="E2220">
        <v>254.8</v>
      </c>
      <c r="F2220">
        <v>10.6</v>
      </c>
      <c r="G2220" t="s">
        <v>59</v>
      </c>
      <c r="H2220" t="s">
        <v>60</v>
      </c>
      <c r="I2220" t="s">
        <v>48</v>
      </c>
      <c r="J2220">
        <v>120</v>
      </c>
      <c r="K2220" t="s">
        <v>33</v>
      </c>
      <c r="L2220" t="s">
        <v>96</v>
      </c>
      <c r="M2220" t="s">
        <v>35</v>
      </c>
      <c r="N2220" t="s">
        <v>97</v>
      </c>
      <c r="O2220" t="s">
        <v>37</v>
      </c>
      <c r="P2220" t="s">
        <v>39</v>
      </c>
      <c r="Q2220" t="s">
        <v>38</v>
      </c>
      <c r="R2220">
        <v>0</v>
      </c>
      <c r="S2220" t="s">
        <v>38</v>
      </c>
      <c r="T2220">
        <v>7</v>
      </c>
      <c r="U2220">
        <v>2.7</v>
      </c>
      <c r="V2220">
        <v>11.6</v>
      </c>
      <c r="W2220" t="s">
        <v>39</v>
      </c>
      <c r="X2220" t="s">
        <v>123</v>
      </c>
      <c r="Y2220" t="s">
        <v>39</v>
      </c>
      <c r="Z2220" t="s">
        <v>64</v>
      </c>
      <c r="AA2220" t="s">
        <v>42</v>
      </c>
      <c r="AB2220" t="s">
        <v>83</v>
      </c>
      <c r="AC2220">
        <f t="shared" si="374"/>
        <v>0</v>
      </c>
      <c r="AD2220" s="12">
        <f t="shared" si="378"/>
        <v>0</v>
      </c>
      <c r="AE2220" s="12">
        <f t="shared" si="379"/>
        <v>1</v>
      </c>
      <c r="AF2220">
        <f t="shared" si="375"/>
        <v>0</v>
      </c>
      <c r="AG2220">
        <f t="shared" si="380"/>
        <v>0</v>
      </c>
      <c r="AH2220">
        <f t="shared" si="381"/>
        <v>1</v>
      </c>
      <c r="AI2220">
        <f t="shared" si="382"/>
        <v>0</v>
      </c>
      <c r="AJ2220">
        <f t="shared" si="383"/>
        <v>0</v>
      </c>
      <c r="AK2220">
        <f t="shared" si="376"/>
        <v>0</v>
      </c>
      <c r="AL2220">
        <f t="shared" si="384"/>
        <v>0</v>
      </c>
    </row>
    <row r="2221" spans="1:38">
      <c r="A2221" t="s">
        <v>6790</v>
      </c>
      <c r="B2221" t="s">
        <v>6791</v>
      </c>
      <c r="C2221" s="1">
        <f t="shared" si="377"/>
        <v>45566</v>
      </c>
      <c r="D2221" t="s">
        <v>6792</v>
      </c>
      <c r="E2221">
        <v>325.8</v>
      </c>
      <c r="F2221">
        <v>13.6</v>
      </c>
      <c r="G2221" t="s">
        <v>77</v>
      </c>
      <c r="H2221" t="s">
        <v>244</v>
      </c>
      <c r="I2221" t="s">
        <v>79</v>
      </c>
      <c r="J2221">
        <v>360</v>
      </c>
      <c r="K2221" t="s">
        <v>49</v>
      </c>
      <c r="L2221" t="s">
        <v>96</v>
      </c>
      <c r="M2221" t="s">
        <v>35</v>
      </c>
      <c r="N2221" t="s">
        <v>506</v>
      </c>
      <c r="O2221" t="s">
        <v>7232</v>
      </c>
      <c r="P2221" t="s">
        <v>38</v>
      </c>
      <c r="Q2221" t="s">
        <v>38</v>
      </c>
      <c r="R2221">
        <v>1</v>
      </c>
      <c r="S2221" t="s">
        <v>38</v>
      </c>
      <c r="T2221">
        <v>8</v>
      </c>
      <c r="U2221">
        <v>3</v>
      </c>
      <c r="V2221">
        <v>11.2</v>
      </c>
      <c r="W2221" t="s">
        <v>39</v>
      </c>
      <c r="X2221" t="s">
        <v>63</v>
      </c>
      <c r="Y2221" t="s">
        <v>39</v>
      </c>
      <c r="Z2221" t="s">
        <v>81</v>
      </c>
      <c r="AA2221" t="s">
        <v>42</v>
      </c>
      <c r="AB2221" t="s">
        <v>55</v>
      </c>
      <c r="AC2221">
        <f t="shared" si="374"/>
        <v>0</v>
      </c>
      <c r="AD2221" s="12">
        <f t="shared" si="378"/>
        <v>1</v>
      </c>
      <c r="AE2221" s="12">
        <f t="shared" si="379"/>
        <v>0</v>
      </c>
      <c r="AF2221">
        <f t="shared" si="375"/>
        <v>0</v>
      </c>
      <c r="AG2221">
        <f t="shared" si="380"/>
        <v>1</v>
      </c>
      <c r="AH2221">
        <f t="shared" si="381"/>
        <v>0</v>
      </c>
      <c r="AI2221">
        <f t="shared" si="382"/>
        <v>0</v>
      </c>
      <c r="AJ2221">
        <f t="shared" si="383"/>
        <v>0</v>
      </c>
      <c r="AK2221">
        <f t="shared" si="376"/>
        <v>0</v>
      </c>
      <c r="AL2221">
        <f t="shared" si="384"/>
        <v>0</v>
      </c>
    </row>
    <row r="2222" spans="1:38">
      <c r="A2222" t="s">
        <v>6793</v>
      </c>
      <c r="B2222" t="s">
        <v>6794</v>
      </c>
      <c r="C2222" s="1">
        <f t="shared" si="377"/>
        <v>45505</v>
      </c>
      <c r="D2222" t="s">
        <v>6795</v>
      </c>
      <c r="E2222">
        <v>171.9</v>
      </c>
      <c r="F2222">
        <v>7.2</v>
      </c>
      <c r="G2222" t="s">
        <v>142</v>
      </c>
      <c r="H2222" t="s">
        <v>143</v>
      </c>
      <c r="I2222" t="s">
        <v>32</v>
      </c>
      <c r="J2222">
        <v>240</v>
      </c>
      <c r="K2222" t="s">
        <v>49</v>
      </c>
      <c r="L2222" t="s">
        <v>70</v>
      </c>
      <c r="M2222" t="s">
        <v>71</v>
      </c>
      <c r="N2222" t="s">
        <v>299</v>
      </c>
      <c r="O2222" t="s">
        <v>7232</v>
      </c>
      <c r="P2222" t="s">
        <v>38</v>
      </c>
      <c r="Q2222" t="s">
        <v>39</v>
      </c>
      <c r="R2222">
        <v>3</v>
      </c>
      <c r="S2222" t="s">
        <v>38</v>
      </c>
      <c r="T2222">
        <v>5</v>
      </c>
      <c r="U2222">
        <v>2.9</v>
      </c>
      <c r="V2222">
        <v>0.8</v>
      </c>
      <c r="W2222" t="s">
        <v>38</v>
      </c>
      <c r="X2222" t="s">
        <v>63</v>
      </c>
      <c r="Y2222" t="s">
        <v>39</v>
      </c>
      <c r="Z2222" t="s">
        <v>108</v>
      </c>
      <c r="AA2222" t="s">
        <v>109</v>
      </c>
      <c r="AB2222" t="s">
        <v>83</v>
      </c>
      <c r="AC2222">
        <f t="shared" si="374"/>
        <v>0</v>
      </c>
      <c r="AD2222" s="12">
        <f t="shared" si="378"/>
        <v>1</v>
      </c>
      <c r="AE2222" s="12">
        <f t="shared" si="379"/>
        <v>0</v>
      </c>
      <c r="AF2222">
        <f t="shared" si="375"/>
        <v>0</v>
      </c>
      <c r="AG2222">
        <f t="shared" si="380"/>
        <v>1</v>
      </c>
      <c r="AH2222">
        <f t="shared" si="381"/>
        <v>0</v>
      </c>
      <c r="AI2222">
        <f t="shared" si="382"/>
        <v>0</v>
      </c>
      <c r="AJ2222">
        <f t="shared" si="383"/>
        <v>1</v>
      </c>
      <c r="AK2222">
        <f t="shared" si="376"/>
        <v>0</v>
      </c>
      <c r="AL2222">
        <f t="shared" si="384"/>
        <v>0</v>
      </c>
    </row>
    <row r="2223" spans="1:38">
      <c r="A2223" t="s">
        <v>6796</v>
      </c>
      <c r="B2223" t="s">
        <v>6797</v>
      </c>
      <c r="C2223" s="1">
        <f t="shared" si="377"/>
        <v>45536</v>
      </c>
      <c r="D2223" t="s">
        <v>6798</v>
      </c>
      <c r="E2223">
        <v>210.3</v>
      </c>
      <c r="F2223">
        <v>8.8000000000000007</v>
      </c>
      <c r="G2223" t="s">
        <v>142</v>
      </c>
      <c r="H2223" t="s">
        <v>260</v>
      </c>
      <c r="I2223" t="s">
        <v>32</v>
      </c>
      <c r="J2223">
        <v>240</v>
      </c>
      <c r="K2223" t="s">
        <v>49</v>
      </c>
      <c r="L2223" t="s">
        <v>96</v>
      </c>
      <c r="M2223" t="s">
        <v>71</v>
      </c>
      <c r="N2223" t="s">
        <v>220</v>
      </c>
      <c r="O2223" t="s">
        <v>51</v>
      </c>
      <c r="P2223" t="s">
        <v>38</v>
      </c>
      <c r="Q2223" t="s">
        <v>39</v>
      </c>
      <c r="R2223">
        <v>2</v>
      </c>
      <c r="S2223" t="s">
        <v>38</v>
      </c>
      <c r="T2223">
        <v>7</v>
      </c>
      <c r="U2223">
        <v>4.9000000000000004</v>
      </c>
      <c r="V2223">
        <v>16.399999999999999</v>
      </c>
      <c r="W2223" t="s">
        <v>39</v>
      </c>
      <c r="X2223" t="s">
        <v>63</v>
      </c>
      <c r="Y2223" t="s">
        <v>38</v>
      </c>
      <c r="Z2223" t="s">
        <v>115</v>
      </c>
      <c r="AA2223" t="s">
        <v>54</v>
      </c>
      <c r="AB2223" t="s">
        <v>43</v>
      </c>
      <c r="AC2223">
        <f t="shared" si="374"/>
        <v>0</v>
      </c>
      <c r="AD2223" s="12">
        <f t="shared" si="378"/>
        <v>1</v>
      </c>
      <c r="AE2223" s="12">
        <f t="shared" si="379"/>
        <v>0</v>
      </c>
      <c r="AF2223">
        <f t="shared" si="375"/>
        <v>1</v>
      </c>
      <c r="AG2223">
        <f t="shared" si="380"/>
        <v>0</v>
      </c>
      <c r="AH2223">
        <f t="shared" si="381"/>
        <v>0</v>
      </c>
      <c r="AI2223">
        <f t="shared" si="382"/>
        <v>0</v>
      </c>
      <c r="AJ2223">
        <f t="shared" si="383"/>
        <v>1</v>
      </c>
      <c r="AK2223">
        <f t="shared" si="376"/>
        <v>0</v>
      </c>
      <c r="AL2223">
        <f t="shared" si="384"/>
        <v>1</v>
      </c>
    </row>
    <row r="2224" spans="1:38">
      <c r="A2224" t="s">
        <v>6799</v>
      </c>
      <c r="B2224" t="s">
        <v>6800</v>
      </c>
      <c r="C2224" s="1">
        <f t="shared" si="377"/>
        <v>45383</v>
      </c>
      <c r="D2224" t="s">
        <v>6801</v>
      </c>
      <c r="E2224">
        <v>277.3</v>
      </c>
      <c r="F2224">
        <v>11.6</v>
      </c>
      <c r="G2224" t="s">
        <v>59</v>
      </c>
      <c r="H2224" t="s">
        <v>227</v>
      </c>
      <c r="I2224" t="s">
        <v>79</v>
      </c>
      <c r="J2224">
        <v>360</v>
      </c>
      <c r="K2224" t="s">
        <v>49</v>
      </c>
      <c r="L2224" t="s">
        <v>133</v>
      </c>
      <c r="M2224" t="s">
        <v>71</v>
      </c>
      <c r="N2224" t="s">
        <v>36</v>
      </c>
      <c r="O2224" t="s">
        <v>37</v>
      </c>
      <c r="P2224" t="s">
        <v>38</v>
      </c>
      <c r="Q2224" t="s">
        <v>39</v>
      </c>
      <c r="R2224">
        <v>4</v>
      </c>
      <c r="S2224" t="s">
        <v>38</v>
      </c>
      <c r="T2224">
        <v>8</v>
      </c>
      <c r="U2224">
        <v>0.1</v>
      </c>
      <c r="V2224">
        <v>0</v>
      </c>
      <c r="W2224" t="s">
        <v>39</v>
      </c>
      <c r="X2224" t="s">
        <v>123</v>
      </c>
      <c r="Y2224" t="s">
        <v>38</v>
      </c>
      <c r="Z2224" t="s">
        <v>115</v>
      </c>
      <c r="AA2224" t="s">
        <v>109</v>
      </c>
      <c r="AB2224" t="s">
        <v>55</v>
      </c>
      <c r="AC2224">
        <f t="shared" si="374"/>
        <v>0</v>
      </c>
      <c r="AD2224" s="12">
        <f t="shared" si="378"/>
        <v>0</v>
      </c>
      <c r="AE2224" s="12">
        <f t="shared" si="379"/>
        <v>1</v>
      </c>
      <c r="AF2224">
        <f t="shared" si="375"/>
        <v>0</v>
      </c>
      <c r="AG2224">
        <f t="shared" si="380"/>
        <v>0</v>
      </c>
      <c r="AH2224">
        <f t="shared" si="381"/>
        <v>0</v>
      </c>
      <c r="AI2224">
        <f t="shared" si="382"/>
        <v>0</v>
      </c>
      <c r="AJ2224">
        <f t="shared" si="383"/>
        <v>0</v>
      </c>
      <c r="AK2224">
        <f t="shared" si="376"/>
        <v>0</v>
      </c>
      <c r="AL2224">
        <f t="shared" si="384"/>
        <v>1</v>
      </c>
    </row>
    <row r="2225" spans="1:38">
      <c r="A2225" t="s">
        <v>6802</v>
      </c>
      <c r="B2225" t="s">
        <v>6803</v>
      </c>
      <c r="C2225" s="1">
        <f t="shared" si="377"/>
        <v>45566</v>
      </c>
      <c r="D2225" t="s">
        <v>6804</v>
      </c>
      <c r="E2225">
        <v>57.2</v>
      </c>
      <c r="F2225">
        <v>2.4</v>
      </c>
      <c r="G2225" t="s">
        <v>30</v>
      </c>
      <c r="H2225" t="s">
        <v>172</v>
      </c>
      <c r="I2225" t="s">
        <v>95</v>
      </c>
      <c r="J2225">
        <v>48</v>
      </c>
      <c r="K2225" t="s">
        <v>33</v>
      </c>
      <c r="L2225" t="s">
        <v>113</v>
      </c>
      <c r="M2225" t="s">
        <v>35</v>
      </c>
      <c r="N2225" t="s">
        <v>128</v>
      </c>
      <c r="O2225" t="s">
        <v>7232</v>
      </c>
      <c r="P2225" t="s">
        <v>38</v>
      </c>
      <c r="Q2225" t="s">
        <v>38</v>
      </c>
      <c r="R2225">
        <v>1</v>
      </c>
      <c r="S2225" t="s">
        <v>38</v>
      </c>
      <c r="T2225">
        <v>3</v>
      </c>
      <c r="U2225">
        <v>2.9</v>
      </c>
      <c r="V2225">
        <v>27.9</v>
      </c>
      <c r="W2225" t="s">
        <v>39</v>
      </c>
      <c r="X2225" t="s">
        <v>123</v>
      </c>
      <c r="Y2225" t="s">
        <v>39</v>
      </c>
      <c r="Z2225" t="s">
        <v>73</v>
      </c>
      <c r="AA2225" t="s">
        <v>109</v>
      </c>
      <c r="AB2225" t="s">
        <v>83</v>
      </c>
      <c r="AC2225">
        <f t="shared" si="374"/>
        <v>0</v>
      </c>
      <c r="AD2225" s="12">
        <f t="shared" si="378"/>
        <v>0</v>
      </c>
      <c r="AE2225" s="12">
        <f t="shared" si="379"/>
        <v>1</v>
      </c>
      <c r="AF2225">
        <f t="shared" si="375"/>
        <v>0</v>
      </c>
      <c r="AG2225">
        <f t="shared" si="380"/>
        <v>1</v>
      </c>
      <c r="AH2225">
        <f t="shared" si="381"/>
        <v>0</v>
      </c>
      <c r="AI2225">
        <f t="shared" si="382"/>
        <v>1</v>
      </c>
      <c r="AJ2225">
        <f t="shared" si="383"/>
        <v>0</v>
      </c>
      <c r="AK2225">
        <f t="shared" si="376"/>
        <v>1</v>
      </c>
      <c r="AL2225">
        <f t="shared" si="384"/>
        <v>0</v>
      </c>
    </row>
    <row r="2226" spans="1:38">
      <c r="A2226" t="s">
        <v>6805</v>
      </c>
      <c r="B2226" t="s">
        <v>6806</v>
      </c>
      <c r="C2226" s="1">
        <f t="shared" si="377"/>
        <v>45323</v>
      </c>
      <c r="D2226" t="s">
        <v>6807</v>
      </c>
      <c r="E2226">
        <v>291.7</v>
      </c>
      <c r="F2226">
        <v>12.2</v>
      </c>
      <c r="G2226" t="s">
        <v>93</v>
      </c>
      <c r="H2226" t="s">
        <v>449</v>
      </c>
      <c r="I2226" t="s">
        <v>79</v>
      </c>
      <c r="J2226">
        <v>360</v>
      </c>
      <c r="K2226" t="s">
        <v>49</v>
      </c>
      <c r="L2226" t="s">
        <v>34</v>
      </c>
      <c r="M2226" t="s">
        <v>35</v>
      </c>
      <c r="N2226" t="s">
        <v>89</v>
      </c>
      <c r="O2226" t="s">
        <v>7232</v>
      </c>
      <c r="P2226" t="s">
        <v>38</v>
      </c>
      <c r="Q2226" t="s">
        <v>38</v>
      </c>
      <c r="R2226">
        <v>1</v>
      </c>
      <c r="S2226" t="s">
        <v>38</v>
      </c>
      <c r="T2226">
        <v>9</v>
      </c>
      <c r="U2226">
        <v>3.7</v>
      </c>
      <c r="V2226">
        <v>16.2</v>
      </c>
      <c r="W2226" t="s">
        <v>38</v>
      </c>
      <c r="X2226" t="s">
        <v>63</v>
      </c>
      <c r="Y2226" t="s">
        <v>38</v>
      </c>
      <c r="Z2226" t="s">
        <v>81</v>
      </c>
      <c r="AA2226" t="s">
        <v>82</v>
      </c>
      <c r="AB2226" t="s">
        <v>55</v>
      </c>
      <c r="AC2226">
        <f t="shared" si="374"/>
        <v>0</v>
      </c>
      <c r="AD2226" s="12">
        <f t="shared" si="378"/>
        <v>1</v>
      </c>
      <c r="AE2226" s="12">
        <f t="shared" si="379"/>
        <v>0</v>
      </c>
      <c r="AF2226">
        <f t="shared" si="375"/>
        <v>0</v>
      </c>
      <c r="AG2226">
        <f t="shared" si="380"/>
        <v>1</v>
      </c>
      <c r="AH2226">
        <f t="shared" si="381"/>
        <v>0</v>
      </c>
      <c r="AI2226">
        <f t="shared" si="382"/>
        <v>0</v>
      </c>
      <c r="AJ2226">
        <f t="shared" si="383"/>
        <v>0</v>
      </c>
      <c r="AK2226">
        <f t="shared" si="376"/>
        <v>0</v>
      </c>
      <c r="AL2226">
        <f t="shared" si="384"/>
        <v>1</v>
      </c>
    </row>
    <row r="2227" spans="1:38">
      <c r="A2227" t="s">
        <v>6808</v>
      </c>
      <c r="B2227" t="s">
        <v>6809</v>
      </c>
      <c r="C2227" s="1">
        <f t="shared" si="377"/>
        <v>45566</v>
      </c>
      <c r="D2227" t="s">
        <v>6810</v>
      </c>
      <c r="E2227">
        <v>248.7</v>
      </c>
      <c r="F2227">
        <v>10.4</v>
      </c>
      <c r="G2227" t="s">
        <v>30</v>
      </c>
      <c r="H2227" t="s">
        <v>172</v>
      </c>
      <c r="I2227" t="s">
        <v>79</v>
      </c>
      <c r="J2227">
        <v>360</v>
      </c>
      <c r="K2227" t="s">
        <v>49</v>
      </c>
      <c r="L2227" t="s">
        <v>96</v>
      </c>
      <c r="M2227" t="s">
        <v>35</v>
      </c>
      <c r="N2227" t="s">
        <v>114</v>
      </c>
      <c r="O2227" t="s">
        <v>7232</v>
      </c>
      <c r="P2227" t="s">
        <v>38</v>
      </c>
      <c r="Q2227" t="s">
        <v>38</v>
      </c>
      <c r="R2227">
        <v>1</v>
      </c>
      <c r="S2227" t="s">
        <v>38</v>
      </c>
      <c r="T2227">
        <v>10</v>
      </c>
      <c r="U2227">
        <v>2.2000000000000002</v>
      </c>
      <c r="V2227">
        <v>28.7</v>
      </c>
      <c r="W2227" t="s">
        <v>39</v>
      </c>
      <c r="X2227" t="s">
        <v>63</v>
      </c>
      <c r="Y2227" t="s">
        <v>38</v>
      </c>
      <c r="Z2227" t="s">
        <v>179</v>
      </c>
      <c r="AA2227" t="s">
        <v>103</v>
      </c>
      <c r="AB2227" t="s">
        <v>83</v>
      </c>
      <c r="AC2227">
        <f t="shared" si="374"/>
        <v>0</v>
      </c>
      <c r="AD2227" s="12">
        <f t="shared" si="378"/>
        <v>1</v>
      </c>
      <c r="AE2227" s="12">
        <f t="shared" si="379"/>
        <v>0</v>
      </c>
      <c r="AF2227">
        <f t="shared" si="375"/>
        <v>0</v>
      </c>
      <c r="AG2227">
        <f t="shared" si="380"/>
        <v>1</v>
      </c>
      <c r="AH2227">
        <f t="shared" si="381"/>
        <v>0</v>
      </c>
      <c r="AI2227">
        <f t="shared" si="382"/>
        <v>0</v>
      </c>
      <c r="AJ2227">
        <f t="shared" si="383"/>
        <v>0</v>
      </c>
      <c r="AK2227">
        <f t="shared" si="376"/>
        <v>1</v>
      </c>
      <c r="AL2227">
        <f t="shared" si="384"/>
        <v>1</v>
      </c>
    </row>
    <row r="2228" spans="1:38">
      <c r="A2228" t="s">
        <v>6811</v>
      </c>
      <c r="B2228" t="s">
        <v>6812</v>
      </c>
      <c r="C2228" s="1">
        <f t="shared" si="377"/>
        <v>45597</v>
      </c>
      <c r="D2228" t="s">
        <v>6813</v>
      </c>
      <c r="E2228">
        <v>399.6</v>
      </c>
      <c r="F2228">
        <v>16.7</v>
      </c>
      <c r="G2228" t="s">
        <v>77</v>
      </c>
      <c r="H2228" t="s">
        <v>78</v>
      </c>
      <c r="I2228" t="s">
        <v>79</v>
      </c>
      <c r="J2228">
        <v>360</v>
      </c>
      <c r="K2228" t="s">
        <v>33</v>
      </c>
      <c r="L2228" t="s">
        <v>96</v>
      </c>
      <c r="M2228" t="s">
        <v>35</v>
      </c>
      <c r="N2228" t="s">
        <v>72</v>
      </c>
      <c r="O2228" t="s">
        <v>51</v>
      </c>
      <c r="P2228" t="s">
        <v>39</v>
      </c>
      <c r="Q2228" t="s">
        <v>38</v>
      </c>
      <c r="R2228">
        <v>0</v>
      </c>
      <c r="S2228" t="s">
        <v>38</v>
      </c>
      <c r="T2228">
        <v>8</v>
      </c>
      <c r="U2228">
        <v>0.1</v>
      </c>
      <c r="V2228">
        <v>22.6</v>
      </c>
      <c r="W2228" t="s">
        <v>39</v>
      </c>
      <c r="X2228" t="s">
        <v>40</v>
      </c>
      <c r="Y2228" t="s">
        <v>39</v>
      </c>
      <c r="Z2228" t="s">
        <v>115</v>
      </c>
      <c r="AA2228" t="s">
        <v>103</v>
      </c>
      <c r="AB2228" t="s">
        <v>55</v>
      </c>
      <c r="AC2228">
        <f t="shared" si="374"/>
        <v>0</v>
      </c>
      <c r="AD2228" s="12">
        <f t="shared" si="378"/>
        <v>0</v>
      </c>
      <c r="AE2228" s="12">
        <f t="shared" si="379"/>
        <v>0</v>
      </c>
      <c r="AF2228">
        <f t="shared" si="375"/>
        <v>1</v>
      </c>
      <c r="AG2228">
        <f t="shared" si="380"/>
        <v>0</v>
      </c>
      <c r="AH2228">
        <f t="shared" si="381"/>
        <v>0</v>
      </c>
      <c r="AI2228">
        <f t="shared" si="382"/>
        <v>0</v>
      </c>
      <c r="AJ2228">
        <f t="shared" si="383"/>
        <v>0</v>
      </c>
      <c r="AK2228">
        <f t="shared" si="376"/>
        <v>0</v>
      </c>
      <c r="AL2228">
        <f t="shared" si="384"/>
        <v>0</v>
      </c>
    </row>
    <row r="2229" spans="1:38">
      <c r="A2229" t="s">
        <v>6814</v>
      </c>
      <c r="B2229" t="s">
        <v>6815</v>
      </c>
      <c r="C2229" s="1">
        <f t="shared" si="377"/>
        <v>45474</v>
      </c>
      <c r="D2229" t="s">
        <v>6816</v>
      </c>
      <c r="E2229">
        <v>121</v>
      </c>
      <c r="F2229">
        <v>5</v>
      </c>
      <c r="G2229" t="s">
        <v>101</v>
      </c>
      <c r="H2229" t="s">
        <v>442</v>
      </c>
      <c r="I2229" t="s">
        <v>48</v>
      </c>
      <c r="J2229">
        <v>120</v>
      </c>
      <c r="K2229" t="s">
        <v>33</v>
      </c>
      <c r="L2229" t="s">
        <v>70</v>
      </c>
      <c r="M2229" t="s">
        <v>35</v>
      </c>
      <c r="N2229" t="s">
        <v>97</v>
      </c>
      <c r="O2229" t="s">
        <v>37</v>
      </c>
      <c r="P2229" t="s">
        <v>38</v>
      </c>
      <c r="Q2229" t="s">
        <v>38</v>
      </c>
      <c r="R2229">
        <v>1</v>
      </c>
      <c r="S2229" t="s">
        <v>39</v>
      </c>
      <c r="T2229">
        <v>7</v>
      </c>
      <c r="U2229">
        <v>2.2000000000000002</v>
      </c>
      <c r="V2229">
        <v>26.5</v>
      </c>
      <c r="W2229" t="s">
        <v>39</v>
      </c>
      <c r="X2229" t="s">
        <v>123</v>
      </c>
      <c r="Y2229" t="s">
        <v>39</v>
      </c>
      <c r="Z2229" t="s">
        <v>73</v>
      </c>
      <c r="AA2229" t="s">
        <v>109</v>
      </c>
      <c r="AB2229" t="s">
        <v>83</v>
      </c>
      <c r="AC2229">
        <f t="shared" si="374"/>
        <v>0</v>
      </c>
      <c r="AD2229" s="12">
        <f t="shared" si="378"/>
        <v>0</v>
      </c>
      <c r="AE2229" s="12">
        <f t="shared" si="379"/>
        <v>1</v>
      </c>
      <c r="AF2229">
        <f t="shared" si="375"/>
        <v>0</v>
      </c>
      <c r="AG2229">
        <f t="shared" si="380"/>
        <v>0</v>
      </c>
      <c r="AH2229">
        <f t="shared" si="381"/>
        <v>1</v>
      </c>
      <c r="AI2229">
        <f t="shared" si="382"/>
        <v>0</v>
      </c>
      <c r="AJ2229">
        <f t="shared" si="383"/>
        <v>0</v>
      </c>
      <c r="AK2229">
        <f t="shared" si="376"/>
        <v>0</v>
      </c>
      <c r="AL2229">
        <f t="shared" si="384"/>
        <v>0</v>
      </c>
    </row>
    <row r="2230" spans="1:38">
      <c r="A2230" t="s">
        <v>6817</v>
      </c>
      <c r="B2230" t="s">
        <v>6818</v>
      </c>
      <c r="C2230" s="1">
        <f t="shared" si="377"/>
        <v>45383</v>
      </c>
      <c r="D2230" t="s">
        <v>6819</v>
      </c>
      <c r="E2230">
        <v>196.6</v>
      </c>
      <c r="F2230">
        <v>8.1999999999999993</v>
      </c>
      <c r="G2230" t="s">
        <v>93</v>
      </c>
      <c r="H2230" t="s">
        <v>291</v>
      </c>
      <c r="I2230" t="s">
        <v>32</v>
      </c>
      <c r="J2230">
        <v>240</v>
      </c>
      <c r="K2230" t="s">
        <v>49</v>
      </c>
      <c r="L2230" t="s">
        <v>34</v>
      </c>
      <c r="M2230" t="s">
        <v>35</v>
      </c>
      <c r="N2230" t="s">
        <v>192</v>
      </c>
      <c r="O2230" t="s">
        <v>7232</v>
      </c>
      <c r="P2230" t="s">
        <v>38</v>
      </c>
      <c r="Q2230" t="s">
        <v>38</v>
      </c>
      <c r="R2230">
        <v>1</v>
      </c>
      <c r="S2230" t="s">
        <v>39</v>
      </c>
      <c r="T2230">
        <v>7</v>
      </c>
      <c r="U2230">
        <v>3.4</v>
      </c>
      <c r="V2230">
        <v>16.600000000000001</v>
      </c>
      <c r="W2230" t="s">
        <v>39</v>
      </c>
      <c r="X2230" t="s">
        <v>123</v>
      </c>
      <c r="Y2230" t="s">
        <v>38</v>
      </c>
      <c r="Z2230" t="s">
        <v>41</v>
      </c>
      <c r="AA2230" t="s">
        <v>42</v>
      </c>
      <c r="AB2230" t="s">
        <v>55</v>
      </c>
      <c r="AC2230">
        <f t="shared" si="374"/>
        <v>0</v>
      </c>
      <c r="AD2230" s="12">
        <f t="shared" si="378"/>
        <v>0</v>
      </c>
      <c r="AE2230" s="12">
        <f t="shared" si="379"/>
        <v>1</v>
      </c>
      <c r="AF2230">
        <f t="shared" si="375"/>
        <v>0</v>
      </c>
      <c r="AG2230">
        <f t="shared" si="380"/>
        <v>1</v>
      </c>
      <c r="AH2230">
        <f t="shared" si="381"/>
        <v>0</v>
      </c>
      <c r="AI2230">
        <f t="shared" si="382"/>
        <v>0</v>
      </c>
      <c r="AJ2230">
        <f t="shared" si="383"/>
        <v>1</v>
      </c>
      <c r="AK2230">
        <f t="shared" si="376"/>
        <v>0</v>
      </c>
      <c r="AL2230">
        <f t="shared" si="384"/>
        <v>1</v>
      </c>
    </row>
    <row r="2231" spans="1:38">
      <c r="A2231" t="s">
        <v>6820</v>
      </c>
      <c r="B2231" t="s">
        <v>6821</v>
      </c>
      <c r="C2231" s="1">
        <f t="shared" si="377"/>
        <v>45383</v>
      </c>
      <c r="D2231" t="s">
        <v>6822</v>
      </c>
      <c r="E2231">
        <v>204.4</v>
      </c>
      <c r="F2231">
        <v>8.5</v>
      </c>
      <c r="G2231" t="s">
        <v>30</v>
      </c>
      <c r="H2231" t="s">
        <v>172</v>
      </c>
      <c r="I2231" t="s">
        <v>32</v>
      </c>
      <c r="J2231">
        <v>240</v>
      </c>
      <c r="K2231" t="s">
        <v>49</v>
      </c>
      <c r="L2231" t="s">
        <v>96</v>
      </c>
      <c r="M2231" t="s">
        <v>35</v>
      </c>
      <c r="N2231" t="s">
        <v>97</v>
      </c>
      <c r="O2231" t="s">
        <v>37</v>
      </c>
      <c r="P2231" t="s">
        <v>39</v>
      </c>
      <c r="Q2231" t="s">
        <v>38</v>
      </c>
      <c r="R2231">
        <v>0</v>
      </c>
      <c r="S2231" t="s">
        <v>38</v>
      </c>
      <c r="T2231">
        <v>10</v>
      </c>
      <c r="U2231">
        <v>4.4000000000000004</v>
      </c>
      <c r="V2231">
        <v>27.7</v>
      </c>
      <c r="W2231" t="s">
        <v>39</v>
      </c>
      <c r="X2231" t="s">
        <v>52</v>
      </c>
      <c r="Y2231" t="s">
        <v>38</v>
      </c>
      <c r="Z2231" t="s">
        <v>53</v>
      </c>
      <c r="AA2231" t="s">
        <v>103</v>
      </c>
      <c r="AB2231" t="s">
        <v>43</v>
      </c>
      <c r="AC2231">
        <f t="shared" si="374"/>
        <v>1</v>
      </c>
      <c r="AD2231" s="12">
        <f t="shared" si="378"/>
        <v>0</v>
      </c>
      <c r="AE2231" s="12">
        <f t="shared" si="379"/>
        <v>0</v>
      </c>
      <c r="AF2231">
        <f t="shared" si="375"/>
        <v>0</v>
      </c>
      <c r="AG2231">
        <f t="shared" si="380"/>
        <v>0</v>
      </c>
      <c r="AH2231">
        <f t="shared" si="381"/>
        <v>0</v>
      </c>
      <c r="AI2231">
        <f t="shared" si="382"/>
        <v>0</v>
      </c>
      <c r="AJ2231">
        <f t="shared" si="383"/>
        <v>1</v>
      </c>
      <c r="AK2231">
        <f t="shared" si="376"/>
        <v>1</v>
      </c>
      <c r="AL2231">
        <f t="shared" si="384"/>
        <v>1</v>
      </c>
    </row>
    <row r="2232" spans="1:38">
      <c r="A2232" t="s">
        <v>6823</v>
      </c>
      <c r="B2232" t="s">
        <v>6824</v>
      </c>
      <c r="C2232" s="1">
        <f t="shared" si="377"/>
        <v>45597</v>
      </c>
      <c r="D2232" t="s">
        <v>6825</v>
      </c>
      <c r="E2232">
        <v>241.6</v>
      </c>
      <c r="F2232">
        <v>10.1</v>
      </c>
      <c r="G2232" t="s">
        <v>77</v>
      </c>
      <c r="H2232" t="s">
        <v>267</v>
      </c>
      <c r="I2232" t="s">
        <v>79</v>
      </c>
      <c r="J2232">
        <v>360</v>
      </c>
      <c r="K2232" t="s">
        <v>49</v>
      </c>
      <c r="L2232" t="s">
        <v>70</v>
      </c>
      <c r="M2232" t="s">
        <v>35</v>
      </c>
      <c r="N2232" t="s">
        <v>114</v>
      </c>
      <c r="O2232" t="s">
        <v>37</v>
      </c>
      <c r="P2232" t="s">
        <v>39</v>
      </c>
      <c r="Q2232" t="s">
        <v>38</v>
      </c>
      <c r="R2232">
        <v>0</v>
      </c>
      <c r="S2232" t="s">
        <v>38</v>
      </c>
      <c r="T2232">
        <v>8</v>
      </c>
      <c r="U2232">
        <v>0.1</v>
      </c>
      <c r="V2232">
        <v>12.5</v>
      </c>
      <c r="W2232" t="s">
        <v>38</v>
      </c>
      <c r="X2232" t="s">
        <v>63</v>
      </c>
      <c r="Y2232" t="s">
        <v>38</v>
      </c>
      <c r="Z2232" t="s">
        <v>53</v>
      </c>
      <c r="AA2232" t="s">
        <v>42</v>
      </c>
      <c r="AB2232" t="s">
        <v>83</v>
      </c>
      <c r="AC2232">
        <f t="shared" si="374"/>
        <v>0</v>
      </c>
      <c r="AD2232" s="12">
        <f t="shared" si="378"/>
        <v>1</v>
      </c>
      <c r="AE2232" s="12">
        <f t="shared" si="379"/>
        <v>0</v>
      </c>
      <c r="AF2232">
        <f t="shared" si="375"/>
        <v>0</v>
      </c>
      <c r="AG2232">
        <f t="shared" si="380"/>
        <v>0</v>
      </c>
      <c r="AH2232">
        <f t="shared" si="381"/>
        <v>0</v>
      </c>
      <c r="AI2232">
        <f t="shared" si="382"/>
        <v>0</v>
      </c>
      <c r="AJ2232">
        <f t="shared" si="383"/>
        <v>0</v>
      </c>
      <c r="AK2232">
        <f t="shared" si="376"/>
        <v>0</v>
      </c>
      <c r="AL2232">
        <f t="shared" si="384"/>
        <v>1</v>
      </c>
    </row>
    <row r="2233" spans="1:38">
      <c r="A2233" t="s">
        <v>6826</v>
      </c>
      <c r="B2233" t="s">
        <v>6827</v>
      </c>
      <c r="C2233" s="1">
        <f t="shared" si="377"/>
        <v>45474</v>
      </c>
      <c r="D2233" t="s">
        <v>6828</v>
      </c>
      <c r="E2233">
        <v>37.799999999999997</v>
      </c>
      <c r="F2233">
        <v>1.6</v>
      </c>
      <c r="G2233" t="s">
        <v>101</v>
      </c>
      <c r="H2233" t="s">
        <v>442</v>
      </c>
      <c r="I2233" t="s">
        <v>95</v>
      </c>
      <c r="J2233">
        <v>48</v>
      </c>
      <c r="K2233" t="s">
        <v>49</v>
      </c>
      <c r="L2233" t="s">
        <v>96</v>
      </c>
      <c r="M2233" t="s">
        <v>35</v>
      </c>
      <c r="N2233" t="s">
        <v>220</v>
      </c>
      <c r="O2233" t="s">
        <v>7232</v>
      </c>
      <c r="P2233" t="s">
        <v>39</v>
      </c>
      <c r="Q2233" t="s">
        <v>38</v>
      </c>
      <c r="R2233">
        <v>0</v>
      </c>
      <c r="S2233" t="s">
        <v>38</v>
      </c>
      <c r="T2233">
        <v>9</v>
      </c>
      <c r="U2233">
        <v>2.2999999999999998</v>
      </c>
      <c r="V2233">
        <v>5.5</v>
      </c>
      <c r="W2233" t="s">
        <v>39</v>
      </c>
      <c r="X2233" t="s">
        <v>52</v>
      </c>
      <c r="Y2233" t="s">
        <v>38</v>
      </c>
      <c r="Z2233" t="s">
        <v>179</v>
      </c>
      <c r="AA2233" t="s">
        <v>42</v>
      </c>
      <c r="AB2233" t="s">
        <v>83</v>
      </c>
      <c r="AC2233">
        <f t="shared" si="374"/>
        <v>1</v>
      </c>
      <c r="AD2233" s="12">
        <f t="shared" si="378"/>
        <v>0</v>
      </c>
      <c r="AE2233" s="12">
        <f t="shared" si="379"/>
        <v>0</v>
      </c>
      <c r="AF2233">
        <f t="shared" si="375"/>
        <v>0</v>
      </c>
      <c r="AG2233">
        <f t="shared" si="380"/>
        <v>1</v>
      </c>
      <c r="AH2233">
        <f t="shared" si="381"/>
        <v>0</v>
      </c>
      <c r="AI2233">
        <f t="shared" si="382"/>
        <v>1</v>
      </c>
      <c r="AJ2233">
        <f t="shared" si="383"/>
        <v>0</v>
      </c>
      <c r="AK2233">
        <f t="shared" si="376"/>
        <v>0</v>
      </c>
      <c r="AL2233">
        <f t="shared" si="384"/>
        <v>1</v>
      </c>
    </row>
    <row r="2234" spans="1:38">
      <c r="A2234" t="s">
        <v>6829</v>
      </c>
      <c r="B2234" t="s">
        <v>6830</v>
      </c>
      <c r="C2234" s="1">
        <f t="shared" si="377"/>
        <v>45505</v>
      </c>
      <c r="D2234" t="s">
        <v>6831</v>
      </c>
      <c r="E2234">
        <v>268.7</v>
      </c>
      <c r="F2234">
        <v>11.2</v>
      </c>
      <c r="G2234" t="s">
        <v>77</v>
      </c>
      <c r="H2234" t="s">
        <v>187</v>
      </c>
      <c r="I2234" t="s">
        <v>79</v>
      </c>
      <c r="J2234">
        <v>360</v>
      </c>
      <c r="K2234" t="s">
        <v>49</v>
      </c>
      <c r="L2234" t="s">
        <v>70</v>
      </c>
      <c r="M2234" t="s">
        <v>35</v>
      </c>
      <c r="N2234" t="s">
        <v>414</v>
      </c>
      <c r="O2234" t="s">
        <v>7232</v>
      </c>
      <c r="P2234" t="s">
        <v>38</v>
      </c>
      <c r="Q2234" t="s">
        <v>38</v>
      </c>
      <c r="R2234">
        <v>1</v>
      </c>
      <c r="S2234" t="s">
        <v>38</v>
      </c>
      <c r="T2234">
        <v>9</v>
      </c>
      <c r="U2234">
        <v>2.5</v>
      </c>
      <c r="V2234">
        <v>13.7</v>
      </c>
      <c r="W2234" t="s">
        <v>39</v>
      </c>
      <c r="X2234" t="s">
        <v>40</v>
      </c>
      <c r="Y2234" t="s">
        <v>39</v>
      </c>
      <c r="Z2234" t="s">
        <v>81</v>
      </c>
      <c r="AA2234" t="s">
        <v>54</v>
      </c>
      <c r="AB2234" t="s">
        <v>83</v>
      </c>
      <c r="AC2234">
        <f t="shared" si="374"/>
        <v>0</v>
      </c>
      <c r="AD2234" s="12">
        <f t="shared" si="378"/>
        <v>0</v>
      </c>
      <c r="AE2234" s="12">
        <f t="shared" si="379"/>
        <v>0</v>
      </c>
      <c r="AF2234">
        <f t="shared" si="375"/>
        <v>0</v>
      </c>
      <c r="AG2234">
        <f t="shared" si="380"/>
        <v>1</v>
      </c>
      <c r="AH2234">
        <f t="shared" si="381"/>
        <v>0</v>
      </c>
      <c r="AI2234">
        <f t="shared" si="382"/>
        <v>0</v>
      </c>
      <c r="AJ2234">
        <f t="shared" si="383"/>
        <v>0</v>
      </c>
      <c r="AK2234">
        <f t="shared" si="376"/>
        <v>0</v>
      </c>
      <c r="AL2234">
        <f t="shared" si="384"/>
        <v>0</v>
      </c>
    </row>
    <row r="2235" spans="1:38">
      <c r="A2235" t="s">
        <v>6832</v>
      </c>
      <c r="B2235" t="s">
        <v>6833</v>
      </c>
      <c r="C2235" s="1">
        <f t="shared" si="377"/>
        <v>45292</v>
      </c>
      <c r="D2235" t="s">
        <v>6834</v>
      </c>
      <c r="E2235">
        <v>299.3</v>
      </c>
      <c r="F2235">
        <v>12.5</v>
      </c>
      <c r="G2235" t="s">
        <v>30</v>
      </c>
      <c r="H2235" t="s">
        <v>31</v>
      </c>
      <c r="I2235" t="s">
        <v>79</v>
      </c>
      <c r="J2235">
        <v>360</v>
      </c>
      <c r="K2235" t="s">
        <v>49</v>
      </c>
      <c r="L2235" t="s">
        <v>70</v>
      </c>
      <c r="M2235" t="s">
        <v>35</v>
      </c>
      <c r="N2235" t="s">
        <v>192</v>
      </c>
      <c r="O2235" t="s">
        <v>7232</v>
      </c>
      <c r="P2235" t="s">
        <v>38</v>
      </c>
      <c r="Q2235" t="s">
        <v>38</v>
      </c>
      <c r="R2235">
        <v>1</v>
      </c>
      <c r="S2235" t="s">
        <v>38</v>
      </c>
      <c r="T2235">
        <v>8</v>
      </c>
      <c r="U2235">
        <v>4.2</v>
      </c>
      <c r="V2235">
        <v>6</v>
      </c>
      <c r="W2235" t="s">
        <v>39</v>
      </c>
      <c r="X2235" t="s">
        <v>123</v>
      </c>
      <c r="Y2235" t="s">
        <v>39</v>
      </c>
      <c r="Z2235" t="s">
        <v>81</v>
      </c>
      <c r="AA2235" t="s">
        <v>42</v>
      </c>
      <c r="AB2235" t="s">
        <v>83</v>
      </c>
      <c r="AC2235">
        <f t="shared" si="374"/>
        <v>0</v>
      </c>
      <c r="AD2235" s="12">
        <f t="shared" si="378"/>
        <v>0</v>
      </c>
      <c r="AE2235" s="12">
        <f t="shared" si="379"/>
        <v>1</v>
      </c>
      <c r="AF2235">
        <f t="shared" si="375"/>
        <v>0</v>
      </c>
      <c r="AG2235">
        <f t="shared" si="380"/>
        <v>1</v>
      </c>
      <c r="AH2235">
        <f t="shared" si="381"/>
        <v>0</v>
      </c>
      <c r="AI2235">
        <f t="shared" si="382"/>
        <v>0</v>
      </c>
      <c r="AJ2235">
        <f t="shared" si="383"/>
        <v>0</v>
      </c>
      <c r="AK2235">
        <f t="shared" si="376"/>
        <v>1</v>
      </c>
      <c r="AL2235">
        <f t="shared" si="384"/>
        <v>0</v>
      </c>
    </row>
    <row r="2236" spans="1:38">
      <c r="A2236" t="s">
        <v>6835</v>
      </c>
      <c r="B2236" t="s">
        <v>6836</v>
      </c>
      <c r="C2236" s="1">
        <f t="shared" si="377"/>
        <v>45566</v>
      </c>
      <c r="D2236" t="s">
        <v>6837</v>
      </c>
      <c r="E2236">
        <v>82.4</v>
      </c>
      <c r="F2236">
        <v>3.4</v>
      </c>
      <c r="G2236" t="s">
        <v>87</v>
      </c>
      <c r="H2236" t="s">
        <v>309</v>
      </c>
      <c r="I2236" t="s">
        <v>48</v>
      </c>
      <c r="J2236">
        <v>120</v>
      </c>
      <c r="K2236" t="s">
        <v>49</v>
      </c>
      <c r="L2236" t="s">
        <v>96</v>
      </c>
      <c r="M2236" t="s">
        <v>71</v>
      </c>
      <c r="N2236" t="s">
        <v>114</v>
      </c>
      <c r="O2236" t="s">
        <v>7232</v>
      </c>
      <c r="P2236" t="s">
        <v>38</v>
      </c>
      <c r="Q2236" t="s">
        <v>39</v>
      </c>
      <c r="R2236">
        <v>2</v>
      </c>
      <c r="S2236" t="s">
        <v>38</v>
      </c>
      <c r="T2236">
        <v>8</v>
      </c>
      <c r="U2236">
        <v>5.2</v>
      </c>
      <c r="V2236">
        <v>18.399999999999999</v>
      </c>
      <c r="W2236" t="s">
        <v>39</v>
      </c>
      <c r="X2236" t="s">
        <v>123</v>
      </c>
      <c r="Y2236" t="s">
        <v>39</v>
      </c>
      <c r="Z2236" t="s">
        <v>53</v>
      </c>
      <c r="AA2236" t="s">
        <v>42</v>
      </c>
      <c r="AB2236" t="s">
        <v>43</v>
      </c>
      <c r="AC2236">
        <f t="shared" si="374"/>
        <v>0</v>
      </c>
      <c r="AD2236" s="12">
        <f t="shared" si="378"/>
        <v>0</v>
      </c>
      <c r="AE2236" s="12">
        <f t="shared" si="379"/>
        <v>1</v>
      </c>
      <c r="AF2236">
        <f t="shared" si="375"/>
        <v>0</v>
      </c>
      <c r="AG2236">
        <f t="shared" si="380"/>
        <v>1</v>
      </c>
      <c r="AH2236">
        <f t="shared" si="381"/>
        <v>1</v>
      </c>
      <c r="AI2236">
        <f t="shared" si="382"/>
        <v>0</v>
      </c>
      <c r="AJ2236">
        <f t="shared" si="383"/>
        <v>0</v>
      </c>
      <c r="AK2236">
        <f t="shared" si="376"/>
        <v>0</v>
      </c>
      <c r="AL2236">
        <f t="shared" si="384"/>
        <v>0</v>
      </c>
    </row>
    <row r="2237" spans="1:38">
      <c r="A2237" t="s">
        <v>6838</v>
      </c>
      <c r="B2237" t="s">
        <v>6839</v>
      </c>
      <c r="C2237" s="1">
        <f t="shared" si="377"/>
        <v>45597</v>
      </c>
      <c r="D2237" t="s">
        <v>6840</v>
      </c>
      <c r="E2237">
        <v>192.7</v>
      </c>
      <c r="F2237">
        <v>8</v>
      </c>
      <c r="G2237" t="s">
        <v>30</v>
      </c>
      <c r="H2237" t="s">
        <v>159</v>
      </c>
      <c r="I2237" t="s">
        <v>32</v>
      </c>
      <c r="J2237">
        <v>240</v>
      </c>
      <c r="K2237" t="s">
        <v>49</v>
      </c>
      <c r="L2237" t="s">
        <v>34</v>
      </c>
      <c r="M2237" t="s">
        <v>35</v>
      </c>
      <c r="N2237" t="s">
        <v>138</v>
      </c>
      <c r="O2237" t="s">
        <v>51</v>
      </c>
      <c r="P2237" t="s">
        <v>39</v>
      </c>
      <c r="Q2237" t="s">
        <v>38</v>
      </c>
      <c r="R2237">
        <v>0</v>
      </c>
      <c r="S2237" t="s">
        <v>38</v>
      </c>
      <c r="T2237">
        <v>10</v>
      </c>
      <c r="U2237">
        <v>3.4</v>
      </c>
      <c r="V2237">
        <v>3.7</v>
      </c>
      <c r="W2237" t="s">
        <v>39</v>
      </c>
      <c r="X2237" t="s">
        <v>63</v>
      </c>
      <c r="Y2237" t="s">
        <v>39</v>
      </c>
      <c r="Z2237" t="s">
        <v>179</v>
      </c>
      <c r="AA2237" t="s">
        <v>103</v>
      </c>
      <c r="AB2237" t="s">
        <v>83</v>
      </c>
      <c r="AC2237">
        <f t="shared" si="374"/>
        <v>0</v>
      </c>
      <c r="AD2237" s="12">
        <f t="shared" si="378"/>
        <v>1</v>
      </c>
      <c r="AE2237" s="12">
        <f t="shared" si="379"/>
        <v>0</v>
      </c>
      <c r="AF2237">
        <f t="shared" si="375"/>
        <v>1</v>
      </c>
      <c r="AG2237">
        <f t="shared" si="380"/>
        <v>0</v>
      </c>
      <c r="AH2237">
        <f t="shared" si="381"/>
        <v>0</v>
      </c>
      <c r="AI2237">
        <f t="shared" si="382"/>
        <v>0</v>
      </c>
      <c r="AJ2237">
        <f t="shared" si="383"/>
        <v>1</v>
      </c>
      <c r="AK2237">
        <f t="shared" si="376"/>
        <v>1</v>
      </c>
      <c r="AL2237">
        <f t="shared" si="384"/>
        <v>0</v>
      </c>
    </row>
    <row r="2238" spans="1:38">
      <c r="A2238" t="s">
        <v>6841</v>
      </c>
      <c r="B2238" t="s">
        <v>6842</v>
      </c>
      <c r="C2238" s="1">
        <f t="shared" si="377"/>
        <v>45566</v>
      </c>
      <c r="D2238" t="s">
        <v>6843</v>
      </c>
      <c r="E2238">
        <v>98.6</v>
      </c>
      <c r="F2238">
        <v>4.0999999999999996</v>
      </c>
      <c r="G2238" t="s">
        <v>87</v>
      </c>
      <c r="H2238" t="s">
        <v>309</v>
      </c>
      <c r="I2238" t="s">
        <v>48</v>
      </c>
      <c r="J2238">
        <v>120</v>
      </c>
      <c r="K2238" t="s">
        <v>49</v>
      </c>
      <c r="L2238" t="s">
        <v>96</v>
      </c>
      <c r="M2238" t="s">
        <v>71</v>
      </c>
      <c r="N2238" t="s">
        <v>72</v>
      </c>
      <c r="O2238" t="s">
        <v>7232</v>
      </c>
      <c r="P2238" t="s">
        <v>38</v>
      </c>
      <c r="Q2238" t="s">
        <v>39</v>
      </c>
      <c r="R2238">
        <v>3</v>
      </c>
      <c r="S2238" t="s">
        <v>38</v>
      </c>
      <c r="T2238">
        <v>9</v>
      </c>
      <c r="U2238">
        <v>2</v>
      </c>
      <c r="V2238">
        <v>20.399999999999999</v>
      </c>
      <c r="W2238" t="s">
        <v>39</v>
      </c>
      <c r="X2238" t="s">
        <v>123</v>
      </c>
      <c r="Y2238" t="s">
        <v>38</v>
      </c>
      <c r="Z2238" t="s">
        <v>179</v>
      </c>
      <c r="AA2238" t="s">
        <v>54</v>
      </c>
      <c r="AB2238" t="s">
        <v>55</v>
      </c>
      <c r="AC2238">
        <f t="shared" si="374"/>
        <v>0</v>
      </c>
      <c r="AD2238" s="12">
        <f t="shared" si="378"/>
        <v>0</v>
      </c>
      <c r="AE2238" s="12">
        <f t="shared" si="379"/>
        <v>1</v>
      </c>
      <c r="AF2238">
        <f t="shared" si="375"/>
        <v>0</v>
      </c>
      <c r="AG2238">
        <f t="shared" si="380"/>
        <v>1</v>
      </c>
      <c r="AH2238">
        <f t="shared" si="381"/>
        <v>1</v>
      </c>
      <c r="AI2238">
        <f t="shared" si="382"/>
        <v>0</v>
      </c>
      <c r="AJ2238">
        <f t="shared" si="383"/>
        <v>0</v>
      </c>
      <c r="AK2238">
        <f t="shared" si="376"/>
        <v>0</v>
      </c>
      <c r="AL2238">
        <f t="shared" si="384"/>
        <v>1</v>
      </c>
    </row>
    <row r="2239" spans="1:38">
      <c r="A2239" t="s">
        <v>6844</v>
      </c>
      <c r="B2239" t="s">
        <v>6845</v>
      </c>
      <c r="C2239" s="1">
        <f t="shared" si="377"/>
        <v>45505</v>
      </c>
      <c r="D2239" t="s">
        <v>6846</v>
      </c>
      <c r="E2239">
        <v>151.19999999999999</v>
      </c>
      <c r="F2239">
        <v>6.3</v>
      </c>
      <c r="G2239" t="s">
        <v>68</v>
      </c>
      <c r="H2239" t="s">
        <v>212</v>
      </c>
      <c r="I2239" t="s">
        <v>32</v>
      </c>
      <c r="J2239">
        <v>240</v>
      </c>
      <c r="K2239" t="s">
        <v>49</v>
      </c>
      <c r="L2239" t="s">
        <v>96</v>
      </c>
      <c r="M2239" t="s">
        <v>35</v>
      </c>
      <c r="N2239" t="s">
        <v>299</v>
      </c>
      <c r="O2239" t="s">
        <v>7232</v>
      </c>
      <c r="P2239" t="s">
        <v>38</v>
      </c>
      <c r="Q2239" t="s">
        <v>38</v>
      </c>
      <c r="R2239">
        <v>1</v>
      </c>
      <c r="S2239" t="s">
        <v>39</v>
      </c>
      <c r="T2239">
        <v>8</v>
      </c>
      <c r="U2239">
        <v>0.1</v>
      </c>
      <c r="V2239">
        <v>12.2</v>
      </c>
      <c r="W2239" t="s">
        <v>39</v>
      </c>
      <c r="X2239" t="s">
        <v>123</v>
      </c>
      <c r="Y2239" t="s">
        <v>39</v>
      </c>
      <c r="Z2239" t="s">
        <v>81</v>
      </c>
      <c r="AA2239" t="s">
        <v>109</v>
      </c>
      <c r="AB2239" t="s">
        <v>83</v>
      </c>
      <c r="AC2239">
        <f t="shared" si="374"/>
        <v>0</v>
      </c>
      <c r="AD2239" s="12">
        <f t="shared" si="378"/>
        <v>0</v>
      </c>
      <c r="AE2239" s="12">
        <f t="shared" si="379"/>
        <v>1</v>
      </c>
      <c r="AF2239">
        <f t="shared" si="375"/>
        <v>0</v>
      </c>
      <c r="AG2239">
        <f t="shared" si="380"/>
        <v>1</v>
      </c>
      <c r="AH2239">
        <f t="shared" si="381"/>
        <v>0</v>
      </c>
      <c r="AI2239">
        <f t="shared" si="382"/>
        <v>0</v>
      </c>
      <c r="AJ2239">
        <f t="shared" si="383"/>
        <v>1</v>
      </c>
      <c r="AK2239">
        <f t="shared" si="376"/>
        <v>0</v>
      </c>
      <c r="AL2239">
        <f t="shared" si="384"/>
        <v>0</v>
      </c>
    </row>
    <row r="2240" spans="1:38">
      <c r="A2240" t="s">
        <v>6847</v>
      </c>
      <c r="B2240" t="s">
        <v>6848</v>
      </c>
      <c r="C2240" s="1">
        <f t="shared" si="377"/>
        <v>45536</v>
      </c>
      <c r="D2240" t="s">
        <v>6849</v>
      </c>
      <c r="E2240">
        <v>226.7</v>
      </c>
      <c r="F2240">
        <v>9.4</v>
      </c>
      <c r="G2240" t="s">
        <v>87</v>
      </c>
      <c r="H2240" t="s">
        <v>151</v>
      </c>
      <c r="I2240" t="s">
        <v>32</v>
      </c>
      <c r="J2240">
        <v>240</v>
      </c>
      <c r="K2240" t="s">
        <v>49</v>
      </c>
      <c r="L2240" t="s">
        <v>96</v>
      </c>
      <c r="M2240" t="s">
        <v>35</v>
      </c>
      <c r="N2240" t="s">
        <v>506</v>
      </c>
      <c r="O2240" t="s">
        <v>37</v>
      </c>
      <c r="P2240" t="s">
        <v>39</v>
      </c>
      <c r="Q2240" t="s">
        <v>38</v>
      </c>
      <c r="R2240">
        <v>0</v>
      </c>
      <c r="S2240" t="s">
        <v>38</v>
      </c>
      <c r="T2240">
        <v>10</v>
      </c>
      <c r="U2240">
        <v>6.5</v>
      </c>
      <c r="V2240">
        <v>8.6</v>
      </c>
      <c r="W2240" t="s">
        <v>39</v>
      </c>
      <c r="X2240" t="s">
        <v>63</v>
      </c>
      <c r="Y2240" t="s">
        <v>39</v>
      </c>
      <c r="Z2240" t="s">
        <v>53</v>
      </c>
      <c r="AA2240" t="s">
        <v>82</v>
      </c>
      <c r="AB2240" t="s">
        <v>43</v>
      </c>
      <c r="AC2240">
        <f t="shared" si="374"/>
        <v>0</v>
      </c>
      <c r="AD2240" s="12">
        <f t="shared" si="378"/>
        <v>1</v>
      </c>
      <c r="AE2240" s="12">
        <f t="shared" si="379"/>
        <v>0</v>
      </c>
      <c r="AF2240">
        <f t="shared" si="375"/>
        <v>0</v>
      </c>
      <c r="AG2240">
        <f t="shared" si="380"/>
        <v>0</v>
      </c>
      <c r="AH2240">
        <f t="shared" si="381"/>
        <v>0</v>
      </c>
      <c r="AI2240">
        <f t="shared" si="382"/>
        <v>0</v>
      </c>
      <c r="AJ2240">
        <f t="shared" si="383"/>
        <v>1</v>
      </c>
      <c r="AK2240">
        <f t="shared" si="376"/>
        <v>0</v>
      </c>
      <c r="AL2240">
        <f t="shared" si="384"/>
        <v>0</v>
      </c>
    </row>
    <row r="2241" spans="1:38">
      <c r="A2241" t="s">
        <v>6850</v>
      </c>
      <c r="B2241" t="s">
        <v>6851</v>
      </c>
      <c r="C2241" s="1">
        <f t="shared" si="377"/>
        <v>45352</v>
      </c>
      <c r="D2241" t="s">
        <v>6852</v>
      </c>
      <c r="E2241">
        <v>150.1</v>
      </c>
      <c r="F2241">
        <v>6.3</v>
      </c>
      <c r="G2241" t="s">
        <v>30</v>
      </c>
      <c r="H2241" t="s">
        <v>31</v>
      </c>
      <c r="I2241" t="s">
        <v>32</v>
      </c>
      <c r="J2241">
        <v>240</v>
      </c>
      <c r="K2241" t="s">
        <v>49</v>
      </c>
      <c r="L2241" t="s">
        <v>70</v>
      </c>
      <c r="M2241" t="s">
        <v>35</v>
      </c>
      <c r="N2241" t="s">
        <v>80</v>
      </c>
      <c r="O2241" t="s">
        <v>37</v>
      </c>
      <c r="P2241" t="s">
        <v>38</v>
      </c>
      <c r="Q2241" t="s">
        <v>38</v>
      </c>
      <c r="R2241">
        <v>1</v>
      </c>
      <c r="S2241" t="s">
        <v>38</v>
      </c>
      <c r="T2241">
        <v>8</v>
      </c>
      <c r="U2241">
        <v>1</v>
      </c>
      <c r="V2241">
        <v>5.2</v>
      </c>
      <c r="W2241" t="s">
        <v>39</v>
      </c>
      <c r="X2241" t="s">
        <v>40</v>
      </c>
      <c r="Y2241" t="s">
        <v>38</v>
      </c>
      <c r="Z2241" t="s">
        <v>115</v>
      </c>
      <c r="AA2241" t="s">
        <v>54</v>
      </c>
      <c r="AB2241" t="s">
        <v>83</v>
      </c>
      <c r="AC2241">
        <f t="shared" si="374"/>
        <v>0</v>
      </c>
      <c r="AD2241" s="12">
        <f t="shared" si="378"/>
        <v>0</v>
      </c>
      <c r="AE2241" s="12">
        <f t="shared" si="379"/>
        <v>0</v>
      </c>
      <c r="AF2241">
        <f t="shared" si="375"/>
        <v>0</v>
      </c>
      <c r="AG2241">
        <f t="shared" si="380"/>
        <v>0</v>
      </c>
      <c r="AH2241">
        <f t="shared" si="381"/>
        <v>0</v>
      </c>
      <c r="AI2241">
        <f t="shared" si="382"/>
        <v>0</v>
      </c>
      <c r="AJ2241">
        <f t="shared" si="383"/>
        <v>1</v>
      </c>
      <c r="AK2241">
        <f t="shared" si="376"/>
        <v>1</v>
      </c>
      <c r="AL2241">
        <f t="shared" si="384"/>
        <v>1</v>
      </c>
    </row>
    <row r="2242" spans="1:38">
      <c r="A2242" t="s">
        <v>6853</v>
      </c>
      <c r="B2242" t="s">
        <v>6854</v>
      </c>
      <c r="C2242" s="1">
        <f t="shared" si="377"/>
        <v>45627</v>
      </c>
      <c r="D2242" t="s">
        <v>6855</v>
      </c>
      <c r="E2242">
        <v>226.2</v>
      </c>
      <c r="F2242">
        <v>9.4</v>
      </c>
      <c r="G2242" t="s">
        <v>93</v>
      </c>
      <c r="H2242" t="s">
        <v>449</v>
      </c>
      <c r="I2242" t="s">
        <v>32</v>
      </c>
      <c r="J2242">
        <v>240</v>
      </c>
      <c r="K2242" t="s">
        <v>49</v>
      </c>
      <c r="L2242" t="s">
        <v>96</v>
      </c>
      <c r="M2242" t="s">
        <v>35</v>
      </c>
      <c r="N2242" t="s">
        <v>506</v>
      </c>
      <c r="O2242" t="s">
        <v>51</v>
      </c>
      <c r="P2242" t="s">
        <v>38</v>
      </c>
      <c r="Q2242" t="s">
        <v>38</v>
      </c>
      <c r="R2242">
        <v>1</v>
      </c>
      <c r="S2242" t="s">
        <v>38</v>
      </c>
      <c r="T2242">
        <v>9</v>
      </c>
      <c r="U2242">
        <v>1.9</v>
      </c>
      <c r="V2242">
        <v>18.8</v>
      </c>
      <c r="W2242" t="s">
        <v>38</v>
      </c>
      <c r="X2242" t="s">
        <v>52</v>
      </c>
      <c r="Y2242" t="s">
        <v>38</v>
      </c>
      <c r="Z2242" t="s">
        <v>179</v>
      </c>
      <c r="AA2242" t="s">
        <v>42</v>
      </c>
      <c r="AB2242" t="s">
        <v>43</v>
      </c>
      <c r="AC2242">
        <f t="shared" ref="AC2242:AC2305" si="385">IF(X2242="Poor", 1, 0)</f>
        <v>1</v>
      </c>
      <c r="AD2242" s="12">
        <f t="shared" si="378"/>
        <v>0</v>
      </c>
      <c r="AE2242" s="12">
        <f t="shared" si="379"/>
        <v>0</v>
      </c>
      <c r="AF2242">
        <f t="shared" ref="AF2242:AF2305" si="386">IF(O2242="Junior", 1, 0)</f>
        <v>1</v>
      </c>
      <c r="AG2242">
        <f t="shared" si="380"/>
        <v>0</v>
      </c>
      <c r="AH2242">
        <f t="shared" si="381"/>
        <v>0</v>
      </c>
      <c r="AI2242">
        <f t="shared" si="382"/>
        <v>0</v>
      </c>
      <c r="AJ2242">
        <f t="shared" si="383"/>
        <v>1</v>
      </c>
      <c r="AK2242">
        <f t="shared" ref="AK2242:AK2305" si="387">IF(G2242="Access Requests", 1, 0)</f>
        <v>0</v>
      </c>
      <c r="AL2242">
        <f t="shared" si="384"/>
        <v>1</v>
      </c>
    </row>
    <row r="2243" spans="1:38">
      <c r="A2243" t="s">
        <v>6856</v>
      </c>
      <c r="B2243" t="s">
        <v>6857</v>
      </c>
      <c r="C2243" s="1">
        <f t="shared" ref="C2243:C2306" si="388">DATE(YEAR(B2243),MONTH(B2243),1)</f>
        <v>45627</v>
      </c>
      <c r="D2243" t="s">
        <v>6858</v>
      </c>
      <c r="E2243">
        <v>201.8</v>
      </c>
      <c r="F2243">
        <v>8.4</v>
      </c>
      <c r="G2243" t="s">
        <v>68</v>
      </c>
      <c r="H2243" t="s">
        <v>69</v>
      </c>
      <c r="I2243" t="s">
        <v>32</v>
      </c>
      <c r="J2243">
        <v>240</v>
      </c>
      <c r="K2243" t="s">
        <v>49</v>
      </c>
      <c r="L2243" t="s">
        <v>113</v>
      </c>
      <c r="M2243" t="s">
        <v>71</v>
      </c>
      <c r="N2243" t="s">
        <v>144</v>
      </c>
      <c r="O2243" t="s">
        <v>51</v>
      </c>
      <c r="P2243" t="s">
        <v>38</v>
      </c>
      <c r="Q2243" t="s">
        <v>39</v>
      </c>
      <c r="R2243">
        <v>2</v>
      </c>
      <c r="S2243" t="s">
        <v>38</v>
      </c>
      <c r="T2243">
        <v>6</v>
      </c>
      <c r="U2243">
        <v>6.8</v>
      </c>
      <c r="V2243">
        <v>0</v>
      </c>
      <c r="W2243" t="s">
        <v>39</v>
      </c>
      <c r="X2243" t="s">
        <v>63</v>
      </c>
      <c r="Y2243" t="s">
        <v>38</v>
      </c>
      <c r="Z2243" t="s">
        <v>115</v>
      </c>
      <c r="AA2243" t="s">
        <v>109</v>
      </c>
      <c r="AB2243" t="s">
        <v>55</v>
      </c>
      <c r="AC2243">
        <f t="shared" si="385"/>
        <v>0</v>
      </c>
      <c r="AD2243" s="12">
        <f t="shared" ref="AD2243:AD2306" si="389">IF(X2243="Fair", 1, 0)</f>
        <v>1</v>
      </c>
      <c r="AE2243" s="12">
        <f t="shared" ref="AE2243:AE2306" si="390">IF(X2243="Good", 1, 0)</f>
        <v>0</v>
      </c>
      <c r="AF2243">
        <f t="shared" si="386"/>
        <v>1</v>
      </c>
      <c r="AG2243">
        <f t="shared" ref="AG2243:AG2306" si="391">IF(O2243="Mid", 1, 0)</f>
        <v>0</v>
      </c>
      <c r="AH2243">
        <f t="shared" ref="AH2243:AH2306" si="392">IF(I2243="High", 1, 0)</f>
        <v>0</v>
      </c>
      <c r="AI2243">
        <f t="shared" ref="AI2243:AI2306" si="393">IF(I2243="Critical", 1, 0)</f>
        <v>0</v>
      </c>
      <c r="AJ2243">
        <f t="shared" ref="AJ2243:AJ2306" si="394">IF(I2243="Medium", 1, 0)</f>
        <v>1</v>
      </c>
      <c r="AK2243">
        <f t="shared" si="387"/>
        <v>0</v>
      </c>
      <c r="AL2243">
        <f t="shared" ref="AL2243:AL2306" si="395">IF(Y2243="No", 1, 0)</f>
        <v>1</v>
      </c>
    </row>
    <row r="2244" spans="1:38">
      <c r="A2244" t="s">
        <v>6859</v>
      </c>
      <c r="B2244" t="s">
        <v>6860</v>
      </c>
      <c r="C2244" s="1">
        <f t="shared" si="388"/>
        <v>45505</v>
      </c>
      <c r="D2244" t="s">
        <v>6861</v>
      </c>
      <c r="E2244">
        <v>31.5</v>
      </c>
      <c r="F2244">
        <v>1.3</v>
      </c>
      <c r="G2244" t="s">
        <v>59</v>
      </c>
      <c r="H2244" t="s">
        <v>60</v>
      </c>
      <c r="I2244" t="s">
        <v>95</v>
      </c>
      <c r="J2244">
        <v>48</v>
      </c>
      <c r="K2244" t="s">
        <v>49</v>
      </c>
      <c r="L2244" t="s">
        <v>70</v>
      </c>
      <c r="M2244" t="s">
        <v>35</v>
      </c>
      <c r="N2244" t="s">
        <v>107</v>
      </c>
      <c r="O2244" t="s">
        <v>51</v>
      </c>
      <c r="P2244" t="s">
        <v>38</v>
      </c>
      <c r="Q2244" t="s">
        <v>38</v>
      </c>
      <c r="R2244">
        <v>1</v>
      </c>
      <c r="S2244" t="s">
        <v>38</v>
      </c>
      <c r="T2244">
        <v>10</v>
      </c>
      <c r="U2244">
        <v>4.8</v>
      </c>
      <c r="V2244">
        <v>12.1</v>
      </c>
      <c r="W2244" t="s">
        <v>39</v>
      </c>
      <c r="X2244" t="s">
        <v>52</v>
      </c>
      <c r="Y2244" t="s">
        <v>39</v>
      </c>
      <c r="Z2244" t="s">
        <v>53</v>
      </c>
      <c r="AA2244" t="s">
        <v>42</v>
      </c>
      <c r="AB2244" t="s">
        <v>83</v>
      </c>
      <c r="AC2244">
        <f t="shared" si="385"/>
        <v>1</v>
      </c>
      <c r="AD2244" s="12">
        <f t="shared" si="389"/>
        <v>0</v>
      </c>
      <c r="AE2244" s="12">
        <f t="shared" si="390"/>
        <v>0</v>
      </c>
      <c r="AF2244">
        <f t="shared" si="386"/>
        <v>1</v>
      </c>
      <c r="AG2244">
        <f t="shared" si="391"/>
        <v>0</v>
      </c>
      <c r="AH2244">
        <f t="shared" si="392"/>
        <v>0</v>
      </c>
      <c r="AI2244">
        <f t="shared" si="393"/>
        <v>1</v>
      </c>
      <c r="AJ2244">
        <f t="shared" si="394"/>
        <v>0</v>
      </c>
      <c r="AK2244">
        <f t="shared" si="387"/>
        <v>0</v>
      </c>
      <c r="AL2244">
        <f t="shared" si="395"/>
        <v>0</v>
      </c>
    </row>
    <row r="2245" spans="1:38">
      <c r="A2245" t="s">
        <v>6862</v>
      </c>
      <c r="B2245" t="s">
        <v>6863</v>
      </c>
      <c r="C2245" s="1">
        <f t="shared" si="388"/>
        <v>45444</v>
      </c>
      <c r="D2245" t="s">
        <v>6864</v>
      </c>
      <c r="E2245">
        <v>101.3</v>
      </c>
      <c r="F2245">
        <v>4.2</v>
      </c>
      <c r="G2245" t="s">
        <v>59</v>
      </c>
      <c r="H2245" t="s">
        <v>466</v>
      </c>
      <c r="I2245" t="s">
        <v>48</v>
      </c>
      <c r="J2245">
        <v>120</v>
      </c>
      <c r="K2245" t="s">
        <v>49</v>
      </c>
      <c r="L2245" t="s">
        <v>34</v>
      </c>
      <c r="M2245" t="s">
        <v>71</v>
      </c>
      <c r="N2245" t="s">
        <v>89</v>
      </c>
      <c r="O2245" t="s">
        <v>51</v>
      </c>
      <c r="P2245" t="s">
        <v>38</v>
      </c>
      <c r="Q2245" t="s">
        <v>39</v>
      </c>
      <c r="R2245">
        <v>4</v>
      </c>
      <c r="S2245" t="s">
        <v>38</v>
      </c>
      <c r="T2245">
        <v>10</v>
      </c>
      <c r="U2245">
        <v>2.7</v>
      </c>
      <c r="V2245">
        <v>20.399999999999999</v>
      </c>
      <c r="W2245" t="s">
        <v>39</v>
      </c>
      <c r="X2245" t="s">
        <v>52</v>
      </c>
      <c r="Y2245" t="s">
        <v>39</v>
      </c>
      <c r="Z2245" t="s">
        <v>64</v>
      </c>
      <c r="AA2245" t="s">
        <v>42</v>
      </c>
      <c r="AB2245" t="s">
        <v>83</v>
      </c>
      <c r="AC2245">
        <f t="shared" si="385"/>
        <v>1</v>
      </c>
      <c r="AD2245" s="12">
        <f t="shared" si="389"/>
        <v>0</v>
      </c>
      <c r="AE2245" s="12">
        <f t="shared" si="390"/>
        <v>0</v>
      </c>
      <c r="AF2245">
        <f t="shared" si="386"/>
        <v>1</v>
      </c>
      <c r="AG2245">
        <f t="shared" si="391"/>
        <v>0</v>
      </c>
      <c r="AH2245">
        <f t="shared" si="392"/>
        <v>1</v>
      </c>
      <c r="AI2245">
        <f t="shared" si="393"/>
        <v>0</v>
      </c>
      <c r="AJ2245">
        <f t="shared" si="394"/>
        <v>0</v>
      </c>
      <c r="AK2245">
        <f t="shared" si="387"/>
        <v>0</v>
      </c>
      <c r="AL2245">
        <f t="shared" si="395"/>
        <v>0</v>
      </c>
    </row>
    <row r="2246" spans="1:38">
      <c r="A2246" t="s">
        <v>6865</v>
      </c>
      <c r="B2246" t="s">
        <v>6866</v>
      </c>
      <c r="C2246" s="1">
        <f t="shared" si="388"/>
        <v>45566</v>
      </c>
      <c r="D2246" t="s">
        <v>6867</v>
      </c>
      <c r="E2246">
        <v>159.69999999999999</v>
      </c>
      <c r="F2246">
        <v>6.7</v>
      </c>
      <c r="G2246" t="s">
        <v>87</v>
      </c>
      <c r="H2246" t="s">
        <v>309</v>
      </c>
      <c r="I2246" t="s">
        <v>48</v>
      </c>
      <c r="J2246">
        <v>120</v>
      </c>
      <c r="K2246" t="s">
        <v>33</v>
      </c>
      <c r="L2246" t="s">
        <v>34</v>
      </c>
      <c r="M2246" t="s">
        <v>35</v>
      </c>
      <c r="N2246" t="s">
        <v>134</v>
      </c>
      <c r="O2246" t="s">
        <v>7232</v>
      </c>
      <c r="P2246" t="s">
        <v>38</v>
      </c>
      <c r="Q2246" t="s">
        <v>38</v>
      </c>
      <c r="R2246">
        <v>1</v>
      </c>
      <c r="S2246" t="s">
        <v>38</v>
      </c>
      <c r="T2246">
        <v>6</v>
      </c>
      <c r="U2246">
        <v>0.9</v>
      </c>
      <c r="V2246">
        <v>0</v>
      </c>
      <c r="W2246" t="s">
        <v>39</v>
      </c>
      <c r="X2246" t="s">
        <v>123</v>
      </c>
      <c r="Y2246" t="s">
        <v>39</v>
      </c>
      <c r="Z2246" t="s">
        <v>73</v>
      </c>
      <c r="AA2246" t="s">
        <v>109</v>
      </c>
      <c r="AB2246" t="s">
        <v>55</v>
      </c>
      <c r="AC2246">
        <f t="shared" si="385"/>
        <v>0</v>
      </c>
      <c r="AD2246" s="12">
        <f t="shared" si="389"/>
        <v>0</v>
      </c>
      <c r="AE2246" s="12">
        <f t="shared" si="390"/>
        <v>1</v>
      </c>
      <c r="AF2246">
        <f t="shared" si="386"/>
        <v>0</v>
      </c>
      <c r="AG2246">
        <f t="shared" si="391"/>
        <v>1</v>
      </c>
      <c r="AH2246">
        <f t="shared" si="392"/>
        <v>1</v>
      </c>
      <c r="AI2246">
        <f t="shared" si="393"/>
        <v>0</v>
      </c>
      <c r="AJ2246">
        <f t="shared" si="394"/>
        <v>0</v>
      </c>
      <c r="AK2246">
        <f t="shared" si="387"/>
        <v>0</v>
      </c>
      <c r="AL2246">
        <f t="shared" si="395"/>
        <v>0</v>
      </c>
    </row>
    <row r="2247" spans="1:38">
      <c r="A2247" t="s">
        <v>6868</v>
      </c>
      <c r="B2247" t="s">
        <v>6869</v>
      </c>
      <c r="C2247" s="1">
        <f t="shared" si="388"/>
        <v>45627</v>
      </c>
      <c r="D2247" t="s">
        <v>6870</v>
      </c>
      <c r="E2247">
        <v>197.5</v>
      </c>
      <c r="F2247">
        <v>8.1999999999999993</v>
      </c>
      <c r="G2247" t="s">
        <v>59</v>
      </c>
      <c r="H2247" t="s">
        <v>281</v>
      </c>
      <c r="I2247" t="s">
        <v>32</v>
      </c>
      <c r="J2247">
        <v>240</v>
      </c>
      <c r="K2247" t="s">
        <v>49</v>
      </c>
      <c r="L2247" t="s">
        <v>96</v>
      </c>
      <c r="M2247" t="s">
        <v>35</v>
      </c>
      <c r="N2247" t="s">
        <v>414</v>
      </c>
      <c r="O2247" t="s">
        <v>51</v>
      </c>
      <c r="P2247" t="s">
        <v>38</v>
      </c>
      <c r="Q2247" t="s">
        <v>38</v>
      </c>
      <c r="R2247">
        <v>1</v>
      </c>
      <c r="S2247" t="s">
        <v>38</v>
      </c>
      <c r="T2247">
        <v>10</v>
      </c>
      <c r="U2247">
        <v>2.2999999999999998</v>
      </c>
      <c r="V2247">
        <v>31.3</v>
      </c>
      <c r="W2247" t="s">
        <v>39</v>
      </c>
      <c r="X2247" t="s">
        <v>63</v>
      </c>
      <c r="Y2247" t="s">
        <v>39</v>
      </c>
      <c r="Z2247" t="s">
        <v>81</v>
      </c>
      <c r="AA2247" t="s">
        <v>82</v>
      </c>
      <c r="AB2247" t="s">
        <v>55</v>
      </c>
      <c r="AC2247">
        <f t="shared" si="385"/>
        <v>0</v>
      </c>
      <c r="AD2247" s="12">
        <f t="shared" si="389"/>
        <v>1</v>
      </c>
      <c r="AE2247" s="12">
        <f t="shared" si="390"/>
        <v>0</v>
      </c>
      <c r="AF2247">
        <f t="shared" si="386"/>
        <v>1</v>
      </c>
      <c r="AG2247">
        <f t="shared" si="391"/>
        <v>0</v>
      </c>
      <c r="AH2247">
        <f t="shared" si="392"/>
        <v>0</v>
      </c>
      <c r="AI2247">
        <f t="shared" si="393"/>
        <v>0</v>
      </c>
      <c r="AJ2247">
        <f t="shared" si="394"/>
        <v>1</v>
      </c>
      <c r="AK2247">
        <f t="shared" si="387"/>
        <v>0</v>
      </c>
      <c r="AL2247">
        <f t="shared" si="395"/>
        <v>0</v>
      </c>
    </row>
    <row r="2248" spans="1:38">
      <c r="A2248" t="s">
        <v>6871</v>
      </c>
      <c r="B2248" t="s">
        <v>6872</v>
      </c>
      <c r="C2248" s="1">
        <f t="shared" si="388"/>
        <v>45474</v>
      </c>
      <c r="D2248" t="s">
        <v>6873</v>
      </c>
      <c r="E2248">
        <v>203.2</v>
      </c>
      <c r="F2248">
        <v>8.5</v>
      </c>
      <c r="G2248" t="s">
        <v>30</v>
      </c>
      <c r="H2248" t="s">
        <v>47</v>
      </c>
      <c r="I2248" t="s">
        <v>32</v>
      </c>
      <c r="J2248">
        <v>240</v>
      </c>
      <c r="K2248" t="s">
        <v>49</v>
      </c>
      <c r="L2248" t="s">
        <v>113</v>
      </c>
      <c r="M2248" t="s">
        <v>35</v>
      </c>
      <c r="N2248" t="s">
        <v>414</v>
      </c>
      <c r="O2248" t="s">
        <v>7232</v>
      </c>
      <c r="P2248" t="s">
        <v>39</v>
      </c>
      <c r="Q2248" t="s">
        <v>38</v>
      </c>
      <c r="R2248">
        <v>0</v>
      </c>
      <c r="S2248" t="s">
        <v>38</v>
      </c>
      <c r="T2248">
        <v>9</v>
      </c>
      <c r="U2248">
        <v>5.2</v>
      </c>
      <c r="V2248">
        <v>34.6</v>
      </c>
      <c r="W2248" t="s">
        <v>39</v>
      </c>
      <c r="X2248" t="s">
        <v>63</v>
      </c>
      <c r="Y2248" t="s">
        <v>39</v>
      </c>
      <c r="Z2248" t="s">
        <v>115</v>
      </c>
      <c r="AA2248" t="s">
        <v>103</v>
      </c>
      <c r="AB2248" t="s">
        <v>43</v>
      </c>
      <c r="AC2248">
        <f t="shared" si="385"/>
        <v>0</v>
      </c>
      <c r="AD2248" s="12">
        <f t="shared" si="389"/>
        <v>1</v>
      </c>
      <c r="AE2248" s="12">
        <f t="shared" si="390"/>
        <v>0</v>
      </c>
      <c r="AF2248">
        <f t="shared" si="386"/>
        <v>0</v>
      </c>
      <c r="AG2248">
        <f t="shared" si="391"/>
        <v>1</v>
      </c>
      <c r="AH2248">
        <f t="shared" si="392"/>
        <v>0</v>
      </c>
      <c r="AI2248">
        <f t="shared" si="393"/>
        <v>0</v>
      </c>
      <c r="AJ2248">
        <f t="shared" si="394"/>
        <v>1</v>
      </c>
      <c r="AK2248">
        <f t="shared" si="387"/>
        <v>1</v>
      </c>
      <c r="AL2248">
        <f t="shared" si="395"/>
        <v>0</v>
      </c>
    </row>
    <row r="2249" spans="1:38">
      <c r="A2249" t="s">
        <v>6874</v>
      </c>
      <c r="B2249" t="s">
        <v>6875</v>
      </c>
      <c r="C2249" s="1">
        <f t="shared" si="388"/>
        <v>45536</v>
      </c>
      <c r="D2249" t="s">
        <v>6876</v>
      </c>
      <c r="E2249">
        <v>197.1</v>
      </c>
      <c r="F2249">
        <v>8.1999999999999993</v>
      </c>
      <c r="G2249" t="s">
        <v>142</v>
      </c>
      <c r="H2249" t="s">
        <v>240</v>
      </c>
      <c r="I2249" t="s">
        <v>32</v>
      </c>
      <c r="J2249">
        <v>240</v>
      </c>
      <c r="K2249" t="s">
        <v>49</v>
      </c>
      <c r="L2249" t="s">
        <v>34</v>
      </c>
      <c r="M2249" t="s">
        <v>71</v>
      </c>
      <c r="N2249" t="s">
        <v>119</v>
      </c>
      <c r="O2249" t="s">
        <v>7232</v>
      </c>
      <c r="P2249" t="s">
        <v>38</v>
      </c>
      <c r="Q2249" t="s">
        <v>39</v>
      </c>
      <c r="R2249">
        <v>4</v>
      </c>
      <c r="S2249" t="s">
        <v>39</v>
      </c>
      <c r="T2249">
        <v>8</v>
      </c>
      <c r="U2249">
        <v>2.6</v>
      </c>
      <c r="V2249">
        <v>16.100000000000001</v>
      </c>
      <c r="W2249" t="s">
        <v>39</v>
      </c>
      <c r="X2249" t="s">
        <v>52</v>
      </c>
      <c r="Y2249" t="s">
        <v>39</v>
      </c>
      <c r="Z2249" t="s">
        <v>53</v>
      </c>
      <c r="AA2249" t="s">
        <v>54</v>
      </c>
      <c r="AB2249" t="s">
        <v>55</v>
      </c>
      <c r="AC2249">
        <f t="shared" si="385"/>
        <v>1</v>
      </c>
      <c r="AD2249" s="12">
        <f t="shared" si="389"/>
        <v>0</v>
      </c>
      <c r="AE2249" s="12">
        <f t="shared" si="390"/>
        <v>0</v>
      </c>
      <c r="AF2249">
        <f t="shared" si="386"/>
        <v>0</v>
      </c>
      <c r="AG2249">
        <f t="shared" si="391"/>
        <v>1</v>
      </c>
      <c r="AH2249">
        <f t="shared" si="392"/>
        <v>0</v>
      </c>
      <c r="AI2249">
        <f t="shared" si="393"/>
        <v>0</v>
      </c>
      <c r="AJ2249">
        <f t="shared" si="394"/>
        <v>1</v>
      </c>
      <c r="AK2249">
        <f t="shared" si="387"/>
        <v>0</v>
      </c>
      <c r="AL2249">
        <f t="shared" si="395"/>
        <v>0</v>
      </c>
    </row>
    <row r="2250" spans="1:38">
      <c r="A2250" t="s">
        <v>6877</v>
      </c>
      <c r="B2250" t="s">
        <v>6878</v>
      </c>
      <c r="C2250" s="1">
        <f t="shared" si="388"/>
        <v>45627</v>
      </c>
      <c r="D2250" t="s">
        <v>6879</v>
      </c>
      <c r="E2250">
        <v>264.2</v>
      </c>
      <c r="F2250">
        <v>11</v>
      </c>
      <c r="G2250" t="s">
        <v>59</v>
      </c>
      <c r="H2250" t="s">
        <v>60</v>
      </c>
      <c r="I2250" t="s">
        <v>48</v>
      </c>
      <c r="J2250">
        <v>120</v>
      </c>
      <c r="K2250" t="s">
        <v>33</v>
      </c>
      <c r="L2250" t="s">
        <v>34</v>
      </c>
      <c r="M2250" t="s">
        <v>71</v>
      </c>
      <c r="N2250" t="s">
        <v>50</v>
      </c>
      <c r="O2250" t="s">
        <v>7232</v>
      </c>
      <c r="P2250" t="s">
        <v>38</v>
      </c>
      <c r="Q2250" t="s">
        <v>39</v>
      </c>
      <c r="R2250">
        <v>3</v>
      </c>
      <c r="S2250" t="s">
        <v>38</v>
      </c>
      <c r="T2250">
        <v>4</v>
      </c>
      <c r="U2250">
        <v>1.9</v>
      </c>
      <c r="V2250">
        <v>18.8</v>
      </c>
      <c r="W2250" t="s">
        <v>38</v>
      </c>
      <c r="X2250" t="s">
        <v>52</v>
      </c>
      <c r="Y2250" t="s">
        <v>39</v>
      </c>
      <c r="Z2250" t="s">
        <v>64</v>
      </c>
      <c r="AA2250" t="s">
        <v>42</v>
      </c>
      <c r="AB2250" t="s">
        <v>83</v>
      </c>
      <c r="AC2250">
        <f t="shared" si="385"/>
        <v>1</v>
      </c>
      <c r="AD2250" s="12">
        <f t="shared" si="389"/>
        <v>0</v>
      </c>
      <c r="AE2250" s="12">
        <f t="shared" si="390"/>
        <v>0</v>
      </c>
      <c r="AF2250">
        <f t="shared" si="386"/>
        <v>0</v>
      </c>
      <c r="AG2250">
        <f t="shared" si="391"/>
        <v>1</v>
      </c>
      <c r="AH2250">
        <f t="shared" si="392"/>
        <v>1</v>
      </c>
      <c r="AI2250">
        <f t="shared" si="393"/>
        <v>0</v>
      </c>
      <c r="AJ2250">
        <f t="shared" si="394"/>
        <v>0</v>
      </c>
      <c r="AK2250">
        <f t="shared" si="387"/>
        <v>0</v>
      </c>
      <c r="AL2250">
        <f t="shared" si="395"/>
        <v>0</v>
      </c>
    </row>
    <row r="2251" spans="1:38">
      <c r="A2251" t="s">
        <v>6880</v>
      </c>
      <c r="B2251" t="s">
        <v>6881</v>
      </c>
      <c r="C2251" s="1">
        <f t="shared" si="388"/>
        <v>45566</v>
      </c>
      <c r="D2251" t="s">
        <v>6882</v>
      </c>
      <c r="E2251">
        <v>601.29999999999995</v>
      </c>
      <c r="F2251">
        <v>25.1</v>
      </c>
      <c r="G2251" t="s">
        <v>101</v>
      </c>
      <c r="H2251" t="s">
        <v>368</v>
      </c>
      <c r="I2251" t="s">
        <v>32</v>
      </c>
      <c r="J2251">
        <v>240</v>
      </c>
      <c r="K2251" t="s">
        <v>33</v>
      </c>
      <c r="L2251" t="s">
        <v>34</v>
      </c>
      <c r="M2251" t="s">
        <v>71</v>
      </c>
      <c r="N2251" t="s">
        <v>114</v>
      </c>
      <c r="O2251" t="s">
        <v>7232</v>
      </c>
      <c r="P2251" t="s">
        <v>38</v>
      </c>
      <c r="Q2251" t="s">
        <v>39</v>
      </c>
      <c r="R2251">
        <v>4</v>
      </c>
      <c r="S2251" t="s">
        <v>38</v>
      </c>
      <c r="T2251">
        <v>4</v>
      </c>
      <c r="U2251">
        <v>1.5</v>
      </c>
      <c r="V2251">
        <v>37.6</v>
      </c>
      <c r="W2251" t="s">
        <v>38</v>
      </c>
      <c r="X2251" t="s">
        <v>123</v>
      </c>
      <c r="Y2251" t="s">
        <v>39</v>
      </c>
      <c r="Z2251" t="s">
        <v>81</v>
      </c>
      <c r="AA2251" t="s">
        <v>103</v>
      </c>
      <c r="AB2251" t="s">
        <v>43</v>
      </c>
      <c r="AC2251">
        <f t="shared" si="385"/>
        <v>0</v>
      </c>
      <c r="AD2251" s="12">
        <f t="shared" si="389"/>
        <v>0</v>
      </c>
      <c r="AE2251" s="12">
        <f t="shared" si="390"/>
        <v>1</v>
      </c>
      <c r="AF2251">
        <f t="shared" si="386"/>
        <v>0</v>
      </c>
      <c r="AG2251">
        <f t="shared" si="391"/>
        <v>1</v>
      </c>
      <c r="AH2251">
        <f t="shared" si="392"/>
        <v>0</v>
      </c>
      <c r="AI2251">
        <f t="shared" si="393"/>
        <v>0</v>
      </c>
      <c r="AJ2251">
        <f t="shared" si="394"/>
        <v>1</v>
      </c>
      <c r="AK2251">
        <f t="shared" si="387"/>
        <v>0</v>
      </c>
      <c r="AL2251">
        <f t="shared" si="395"/>
        <v>0</v>
      </c>
    </row>
    <row r="2252" spans="1:38">
      <c r="A2252" t="s">
        <v>6883</v>
      </c>
      <c r="B2252" t="s">
        <v>6884</v>
      </c>
      <c r="C2252" s="1">
        <f t="shared" si="388"/>
        <v>45505</v>
      </c>
      <c r="D2252" t="s">
        <v>6885</v>
      </c>
      <c r="E2252">
        <v>309.60000000000002</v>
      </c>
      <c r="F2252">
        <v>12.9</v>
      </c>
      <c r="G2252" t="s">
        <v>68</v>
      </c>
      <c r="H2252" t="s">
        <v>456</v>
      </c>
      <c r="I2252" t="s">
        <v>48</v>
      </c>
      <c r="J2252">
        <v>120</v>
      </c>
      <c r="K2252" t="s">
        <v>33</v>
      </c>
      <c r="L2252" t="s">
        <v>113</v>
      </c>
      <c r="M2252" t="s">
        <v>71</v>
      </c>
      <c r="N2252" t="s">
        <v>61</v>
      </c>
      <c r="O2252" t="s">
        <v>37</v>
      </c>
      <c r="P2252" t="s">
        <v>38</v>
      </c>
      <c r="Q2252" t="s">
        <v>39</v>
      </c>
      <c r="R2252">
        <v>3</v>
      </c>
      <c r="S2252" t="s">
        <v>38</v>
      </c>
      <c r="T2252">
        <v>5</v>
      </c>
      <c r="U2252">
        <v>2.8</v>
      </c>
      <c r="V2252">
        <v>24.4</v>
      </c>
      <c r="W2252" t="s">
        <v>39</v>
      </c>
      <c r="X2252" t="s">
        <v>40</v>
      </c>
      <c r="Y2252" t="s">
        <v>39</v>
      </c>
      <c r="Z2252" t="s">
        <v>179</v>
      </c>
      <c r="AA2252" t="s">
        <v>103</v>
      </c>
      <c r="AB2252" t="s">
        <v>83</v>
      </c>
      <c r="AC2252">
        <f t="shared" si="385"/>
        <v>0</v>
      </c>
      <c r="AD2252" s="12">
        <f t="shared" si="389"/>
        <v>0</v>
      </c>
      <c r="AE2252" s="12">
        <f t="shared" si="390"/>
        <v>0</v>
      </c>
      <c r="AF2252">
        <f t="shared" si="386"/>
        <v>0</v>
      </c>
      <c r="AG2252">
        <f t="shared" si="391"/>
        <v>0</v>
      </c>
      <c r="AH2252">
        <f t="shared" si="392"/>
        <v>1</v>
      </c>
      <c r="AI2252">
        <f t="shared" si="393"/>
        <v>0</v>
      </c>
      <c r="AJ2252">
        <f t="shared" si="394"/>
        <v>0</v>
      </c>
      <c r="AK2252">
        <f t="shared" si="387"/>
        <v>0</v>
      </c>
      <c r="AL2252">
        <f t="shared" si="395"/>
        <v>0</v>
      </c>
    </row>
    <row r="2253" spans="1:38">
      <c r="A2253" t="s">
        <v>6886</v>
      </c>
      <c r="B2253" t="s">
        <v>6887</v>
      </c>
      <c r="C2253" s="1">
        <f t="shared" si="388"/>
        <v>45505</v>
      </c>
      <c r="D2253" t="s">
        <v>6888</v>
      </c>
      <c r="E2253">
        <v>293.8</v>
      </c>
      <c r="F2253">
        <v>12.2</v>
      </c>
      <c r="G2253" t="s">
        <v>77</v>
      </c>
      <c r="H2253" t="s">
        <v>187</v>
      </c>
      <c r="I2253" t="s">
        <v>79</v>
      </c>
      <c r="J2253">
        <v>360</v>
      </c>
      <c r="K2253" t="s">
        <v>49</v>
      </c>
      <c r="L2253" t="s">
        <v>34</v>
      </c>
      <c r="M2253" t="s">
        <v>35</v>
      </c>
      <c r="N2253" t="s">
        <v>128</v>
      </c>
      <c r="O2253" t="s">
        <v>37</v>
      </c>
      <c r="P2253" t="s">
        <v>39</v>
      </c>
      <c r="Q2253" t="s">
        <v>38</v>
      </c>
      <c r="R2253">
        <v>0</v>
      </c>
      <c r="S2253" t="s">
        <v>38</v>
      </c>
      <c r="T2253">
        <v>9</v>
      </c>
      <c r="U2253">
        <v>3.4</v>
      </c>
      <c r="V2253">
        <v>38.299999999999997</v>
      </c>
      <c r="W2253" t="s">
        <v>39</v>
      </c>
      <c r="X2253" t="s">
        <v>123</v>
      </c>
      <c r="Y2253" t="s">
        <v>39</v>
      </c>
      <c r="Z2253" t="s">
        <v>53</v>
      </c>
      <c r="AA2253" t="s">
        <v>109</v>
      </c>
      <c r="AB2253" t="s">
        <v>83</v>
      </c>
      <c r="AC2253">
        <f t="shared" si="385"/>
        <v>0</v>
      </c>
      <c r="AD2253" s="12">
        <f t="shared" si="389"/>
        <v>0</v>
      </c>
      <c r="AE2253" s="12">
        <f t="shared" si="390"/>
        <v>1</v>
      </c>
      <c r="AF2253">
        <f t="shared" si="386"/>
        <v>0</v>
      </c>
      <c r="AG2253">
        <f t="shared" si="391"/>
        <v>0</v>
      </c>
      <c r="AH2253">
        <f t="shared" si="392"/>
        <v>0</v>
      </c>
      <c r="AI2253">
        <f t="shared" si="393"/>
        <v>0</v>
      </c>
      <c r="AJ2253">
        <f t="shared" si="394"/>
        <v>0</v>
      </c>
      <c r="AK2253">
        <f t="shared" si="387"/>
        <v>0</v>
      </c>
      <c r="AL2253">
        <f t="shared" si="395"/>
        <v>0</v>
      </c>
    </row>
    <row r="2254" spans="1:38">
      <c r="A2254" t="s">
        <v>6889</v>
      </c>
      <c r="B2254" t="s">
        <v>6890</v>
      </c>
      <c r="C2254" s="1">
        <f t="shared" si="388"/>
        <v>45444</v>
      </c>
      <c r="D2254" t="s">
        <v>6891</v>
      </c>
      <c r="E2254">
        <v>217.8</v>
      </c>
      <c r="F2254">
        <v>9.1</v>
      </c>
      <c r="G2254" t="s">
        <v>93</v>
      </c>
      <c r="H2254" t="s">
        <v>291</v>
      </c>
      <c r="I2254" t="s">
        <v>79</v>
      </c>
      <c r="J2254">
        <v>360</v>
      </c>
      <c r="K2254" t="s">
        <v>49</v>
      </c>
      <c r="L2254" t="s">
        <v>96</v>
      </c>
      <c r="M2254" t="s">
        <v>35</v>
      </c>
      <c r="N2254" t="s">
        <v>155</v>
      </c>
      <c r="O2254" t="s">
        <v>37</v>
      </c>
      <c r="P2254" t="s">
        <v>38</v>
      </c>
      <c r="Q2254" t="s">
        <v>38</v>
      </c>
      <c r="R2254">
        <v>1</v>
      </c>
      <c r="S2254" t="s">
        <v>38</v>
      </c>
      <c r="T2254">
        <v>7</v>
      </c>
      <c r="U2254">
        <v>5</v>
      </c>
      <c r="V2254">
        <v>19.8</v>
      </c>
      <c r="W2254" t="s">
        <v>38</v>
      </c>
      <c r="X2254" t="s">
        <v>63</v>
      </c>
      <c r="Y2254" t="s">
        <v>38</v>
      </c>
      <c r="Z2254" t="s">
        <v>108</v>
      </c>
      <c r="AA2254" t="s">
        <v>103</v>
      </c>
      <c r="AB2254" t="s">
        <v>55</v>
      </c>
      <c r="AC2254">
        <f t="shared" si="385"/>
        <v>0</v>
      </c>
      <c r="AD2254" s="12">
        <f t="shared" si="389"/>
        <v>1</v>
      </c>
      <c r="AE2254" s="12">
        <f t="shared" si="390"/>
        <v>0</v>
      </c>
      <c r="AF2254">
        <f t="shared" si="386"/>
        <v>0</v>
      </c>
      <c r="AG2254">
        <f t="shared" si="391"/>
        <v>0</v>
      </c>
      <c r="AH2254">
        <f t="shared" si="392"/>
        <v>0</v>
      </c>
      <c r="AI2254">
        <f t="shared" si="393"/>
        <v>0</v>
      </c>
      <c r="AJ2254">
        <f t="shared" si="394"/>
        <v>0</v>
      </c>
      <c r="AK2254">
        <f t="shared" si="387"/>
        <v>0</v>
      </c>
      <c r="AL2254">
        <f t="shared" si="395"/>
        <v>1</v>
      </c>
    </row>
    <row r="2255" spans="1:38">
      <c r="A2255" t="s">
        <v>6892</v>
      </c>
      <c r="B2255" t="s">
        <v>6893</v>
      </c>
      <c r="C2255" s="1">
        <f t="shared" si="388"/>
        <v>45352</v>
      </c>
      <c r="D2255" t="s">
        <v>6894</v>
      </c>
      <c r="E2255">
        <v>358.8</v>
      </c>
      <c r="F2255">
        <v>15</v>
      </c>
      <c r="G2255" t="s">
        <v>77</v>
      </c>
      <c r="H2255" t="s">
        <v>78</v>
      </c>
      <c r="I2255" t="s">
        <v>32</v>
      </c>
      <c r="J2255">
        <v>240</v>
      </c>
      <c r="K2255" t="s">
        <v>33</v>
      </c>
      <c r="L2255" t="s">
        <v>96</v>
      </c>
      <c r="M2255" t="s">
        <v>35</v>
      </c>
      <c r="N2255" t="s">
        <v>119</v>
      </c>
      <c r="O2255" t="s">
        <v>51</v>
      </c>
      <c r="P2255" t="s">
        <v>39</v>
      </c>
      <c r="Q2255" t="s">
        <v>38</v>
      </c>
      <c r="R2255">
        <v>0</v>
      </c>
      <c r="S2255" t="s">
        <v>38</v>
      </c>
      <c r="T2255">
        <v>7</v>
      </c>
      <c r="U2255">
        <v>0.4</v>
      </c>
      <c r="V2255">
        <v>17.5</v>
      </c>
      <c r="W2255" t="s">
        <v>38</v>
      </c>
      <c r="X2255" t="s">
        <v>63</v>
      </c>
      <c r="Y2255" t="s">
        <v>38</v>
      </c>
      <c r="Z2255" t="s">
        <v>115</v>
      </c>
      <c r="AA2255" t="s">
        <v>82</v>
      </c>
      <c r="AB2255" t="s">
        <v>83</v>
      </c>
      <c r="AC2255">
        <f t="shared" si="385"/>
        <v>0</v>
      </c>
      <c r="AD2255" s="12">
        <f t="shared" si="389"/>
        <v>1</v>
      </c>
      <c r="AE2255" s="12">
        <f t="shared" si="390"/>
        <v>0</v>
      </c>
      <c r="AF2255">
        <f t="shared" si="386"/>
        <v>1</v>
      </c>
      <c r="AG2255">
        <f t="shared" si="391"/>
        <v>0</v>
      </c>
      <c r="AH2255">
        <f t="shared" si="392"/>
        <v>0</v>
      </c>
      <c r="AI2255">
        <f t="shared" si="393"/>
        <v>0</v>
      </c>
      <c r="AJ2255">
        <f t="shared" si="394"/>
        <v>1</v>
      </c>
      <c r="AK2255">
        <f t="shared" si="387"/>
        <v>0</v>
      </c>
      <c r="AL2255">
        <f t="shared" si="395"/>
        <v>1</v>
      </c>
    </row>
    <row r="2256" spans="1:38">
      <c r="A2256" t="s">
        <v>6895</v>
      </c>
      <c r="B2256" t="s">
        <v>6896</v>
      </c>
      <c r="C2256" s="1">
        <f t="shared" si="388"/>
        <v>45352</v>
      </c>
      <c r="D2256" t="s">
        <v>6897</v>
      </c>
      <c r="E2256">
        <v>319.60000000000002</v>
      </c>
      <c r="F2256">
        <v>13.3</v>
      </c>
      <c r="G2256" t="s">
        <v>30</v>
      </c>
      <c r="H2256" t="s">
        <v>47</v>
      </c>
      <c r="I2256" t="s">
        <v>79</v>
      </c>
      <c r="J2256">
        <v>360</v>
      </c>
      <c r="K2256" t="s">
        <v>49</v>
      </c>
      <c r="L2256" t="s">
        <v>70</v>
      </c>
      <c r="M2256" t="s">
        <v>35</v>
      </c>
      <c r="N2256" t="s">
        <v>202</v>
      </c>
      <c r="O2256" t="s">
        <v>7232</v>
      </c>
      <c r="P2256" t="s">
        <v>39</v>
      </c>
      <c r="Q2256" t="s">
        <v>38</v>
      </c>
      <c r="R2256">
        <v>0</v>
      </c>
      <c r="S2256" t="s">
        <v>38</v>
      </c>
      <c r="T2256">
        <v>9</v>
      </c>
      <c r="U2256">
        <v>2.9</v>
      </c>
      <c r="V2256">
        <v>28.2</v>
      </c>
      <c r="W2256" t="s">
        <v>39</v>
      </c>
      <c r="X2256" t="s">
        <v>123</v>
      </c>
      <c r="Y2256" t="s">
        <v>39</v>
      </c>
      <c r="Z2256" t="s">
        <v>108</v>
      </c>
      <c r="AA2256" t="s">
        <v>109</v>
      </c>
      <c r="AB2256" t="s">
        <v>55</v>
      </c>
      <c r="AC2256">
        <f t="shared" si="385"/>
        <v>0</v>
      </c>
      <c r="AD2256" s="12">
        <f t="shared" si="389"/>
        <v>0</v>
      </c>
      <c r="AE2256" s="12">
        <f t="shared" si="390"/>
        <v>1</v>
      </c>
      <c r="AF2256">
        <f t="shared" si="386"/>
        <v>0</v>
      </c>
      <c r="AG2256">
        <f t="shared" si="391"/>
        <v>1</v>
      </c>
      <c r="AH2256">
        <f t="shared" si="392"/>
        <v>0</v>
      </c>
      <c r="AI2256">
        <f t="shared" si="393"/>
        <v>0</v>
      </c>
      <c r="AJ2256">
        <f t="shared" si="394"/>
        <v>0</v>
      </c>
      <c r="AK2256">
        <f t="shared" si="387"/>
        <v>1</v>
      </c>
      <c r="AL2256">
        <f t="shared" si="395"/>
        <v>0</v>
      </c>
    </row>
    <row r="2257" spans="1:38">
      <c r="A2257" t="s">
        <v>6898</v>
      </c>
      <c r="B2257" t="s">
        <v>6899</v>
      </c>
      <c r="C2257" s="1">
        <f t="shared" si="388"/>
        <v>45566</v>
      </c>
      <c r="D2257" t="s">
        <v>6900</v>
      </c>
      <c r="E2257">
        <v>268.39999999999998</v>
      </c>
      <c r="F2257">
        <v>11.2</v>
      </c>
      <c r="G2257" t="s">
        <v>142</v>
      </c>
      <c r="H2257" t="s">
        <v>260</v>
      </c>
      <c r="I2257" t="s">
        <v>32</v>
      </c>
      <c r="J2257">
        <v>240</v>
      </c>
      <c r="K2257" t="s">
        <v>33</v>
      </c>
      <c r="L2257" t="s">
        <v>133</v>
      </c>
      <c r="M2257" t="s">
        <v>71</v>
      </c>
      <c r="N2257" t="s">
        <v>192</v>
      </c>
      <c r="O2257" t="s">
        <v>7232</v>
      </c>
      <c r="P2257" t="s">
        <v>38</v>
      </c>
      <c r="Q2257" t="s">
        <v>39</v>
      </c>
      <c r="R2257">
        <v>1</v>
      </c>
      <c r="S2257" t="s">
        <v>39</v>
      </c>
      <c r="T2257">
        <v>4</v>
      </c>
      <c r="U2257">
        <v>3.2</v>
      </c>
      <c r="V2257">
        <v>43.1</v>
      </c>
      <c r="W2257" t="s">
        <v>38</v>
      </c>
      <c r="X2257" t="s">
        <v>123</v>
      </c>
      <c r="Y2257" t="s">
        <v>39</v>
      </c>
      <c r="Z2257" t="s">
        <v>64</v>
      </c>
      <c r="AA2257" t="s">
        <v>42</v>
      </c>
      <c r="AB2257" t="s">
        <v>55</v>
      </c>
      <c r="AC2257">
        <f t="shared" si="385"/>
        <v>0</v>
      </c>
      <c r="AD2257" s="12">
        <f t="shared" si="389"/>
        <v>0</v>
      </c>
      <c r="AE2257" s="12">
        <f t="shared" si="390"/>
        <v>1</v>
      </c>
      <c r="AF2257">
        <f t="shared" si="386"/>
        <v>0</v>
      </c>
      <c r="AG2257">
        <f t="shared" si="391"/>
        <v>1</v>
      </c>
      <c r="AH2257">
        <f t="shared" si="392"/>
        <v>0</v>
      </c>
      <c r="AI2257">
        <f t="shared" si="393"/>
        <v>0</v>
      </c>
      <c r="AJ2257">
        <f t="shared" si="394"/>
        <v>1</v>
      </c>
      <c r="AK2257">
        <f t="shared" si="387"/>
        <v>0</v>
      </c>
      <c r="AL2257">
        <f t="shared" si="395"/>
        <v>0</v>
      </c>
    </row>
    <row r="2258" spans="1:38">
      <c r="A2258" t="s">
        <v>6901</v>
      </c>
      <c r="B2258" t="s">
        <v>6902</v>
      </c>
      <c r="C2258" s="1">
        <f t="shared" si="388"/>
        <v>45352</v>
      </c>
      <c r="D2258" t="s">
        <v>6903</v>
      </c>
      <c r="E2258">
        <v>90</v>
      </c>
      <c r="F2258">
        <v>3.8</v>
      </c>
      <c r="G2258" t="s">
        <v>101</v>
      </c>
      <c r="H2258" t="s">
        <v>442</v>
      </c>
      <c r="I2258" t="s">
        <v>48</v>
      </c>
      <c r="J2258">
        <v>120</v>
      </c>
      <c r="K2258" t="s">
        <v>49</v>
      </c>
      <c r="L2258" t="s">
        <v>96</v>
      </c>
      <c r="M2258" t="s">
        <v>71</v>
      </c>
      <c r="N2258" t="s">
        <v>277</v>
      </c>
      <c r="O2258" t="s">
        <v>51</v>
      </c>
      <c r="P2258" t="s">
        <v>38</v>
      </c>
      <c r="Q2258" t="s">
        <v>39</v>
      </c>
      <c r="R2258">
        <v>2</v>
      </c>
      <c r="S2258" t="s">
        <v>38</v>
      </c>
      <c r="T2258">
        <v>10</v>
      </c>
      <c r="U2258">
        <v>1.9</v>
      </c>
      <c r="V2258">
        <v>3.6</v>
      </c>
      <c r="W2258" t="s">
        <v>38</v>
      </c>
      <c r="X2258" t="s">
        <v>63</v>
      </c>
      <c r="Y2258" t="s">
        <v>39</v>
      </c>
      <c r="Z2258" t="s">
        <v>81</v>
      </c>
      <c r="AA2258" t="s">
        <v>103</v>
      </c>
      <c r="AB2258" t="s">
        <v>55</v>
      </c>
      <c r="AC2258">
        <f t="shared" si="385"/>
        <v>0</v>
      </c>
      <c r="AD2258" s="12">
        <f t="shared" si="389"/>
        <v>1</v>
      </c>
      <c r="AE2258" s="12">
        <f t="shared" si="390"/>
        <v>0</v>
      </c>
      <c r="AF2258">
        <f t="shared" si="386"/>
        <v>1</v>
      </c>
      <c r="AG2258">
        <f t="shared" si="391"/>
        <v>0</v>
      </c>
      <c r="AH2258">
        <f t="shared" si="392"/>
        <v>1</v>
      </c>
      <c r="AI2258">
        <f t="shared" si="393"/>
        <v>0</v>
      </c>
      <c r="AJ2258">
        <f t="shared" si="394"/>
        <v>0</v>
      </c>
      <c r="AK2258">
        <f t="shared" si="387"/>
        <v>0</v>
      </c>
      <c r="AL2258">
        <f t="shared" si="395"/>
        <v>0</v>
      </c>
    </row>
    <row r="2259" spans="1:38">
      <c r="A2259" t="s">
        <v>6904</v>
      </c>
      <c r="B2259" t="s">
        <v>6905</v>
      </c>
      <c r="C2259" s="1">
        <f t="shared" si="388"/>
        <v>45536</v>
      </c>
      <c r="D2259" t="s">
        <v>6906</v>
      </c>
      <c r="E2259">
        <v>254.4</v>
      </c>
      <c r="F2259">
        <v>10.6</v>
      </c>
      <c r="G2259" t="s">
        <v>142</v>
      </c>
      <c r="H2259" t="s">
        <v>240</v>
      </c>
      <c r="I2259" t="s">
        <v>79</v>
      </c>
      <c r="J2259">
        <v>360</v>
      </c>
      <c r="K2259" t="s">
        <v>49</v>
      </c>
      <c r="L2259" t="s">
        <v>96</v>
      </c>
      <c r="M2259" t="s">
        <v>71</v>
      </c>
      <c r="N2259" t="s">
        <v>138</v>
      </c>
      <c r="O2259" t="s">
        <v>7232</v>
      </c>
      <c r="P2259" t="s">
        <v>38</v>
      </c>
      <c r="Q2259" t="s">
        <v>39</v>
      </c>
      <c r="R2259">
        <v>3</v>
      </c>
      <c r="S2259" t="s">
        <v>38</v>
      </c>
      <c r="T2259">
        <v>10</v>
      </c>
      <c r="U2259">
        <v>3.4</v>
      </c>
      <c r="V2259">
        <v>13.4</v>
      </c>
      <c r="W2259" t="s">
        <v>39</v>
      </c>
      <c r="X2259" t="s">
        <v>63</v>
      </c>
      <c r="Y2259" t="s">
        <v>39</v>
      </c>
      <c r="Z2259" t="s">
        <v>41</v>
      </c>
      <c r="AA2259" t="s">
        <v>42</v>
      </c>
      <c r="AB2259" t="s">
        <v>55</v>
      </c>
      <c r="AC2259">
        <f t="shared" si="385"/>
        <v>0</v>
      </c>
      <c r="AD2259" s="12">
        <f t="shared" si="389"/>
        <v>1</v>
      </c>
      <c r="AE2259" s="12">
        <f t="shared" si="390"/>
        <v>0</v>
      </c>
      <c r="AF2259">
        <f t="shared" si="386"/>
        <v>0</v>
      </c>
      <c r="AG2259">
        <f t="shared" si="391"/>
        <v>1</v>
      </c>
      <c r="AH2259">
        <f t="shared" si="392"/>
        <v>0</v>
      </c>
      <c r="AI2259">
        <f t="shared" si="393"/>
        <v>0</v>
      </c>
      <c r="AJ2259">
        <f t="shared" si="394"/>
        <v>0</v>
      </c>
      <c r="AK2259">
        <f t="shared" si="387"/>
        <v>0</v>
      </c>
      <c r="AL2259">
        <f t="shared" si="395"/>
        <v>0</v>
      </c>
    </row>
    <row r="2260" spans="1:38">
      <c r="A2260" t="s">
        <v>6907</v>
      </c>
      <c r="B2260" t="s">
        <v>6908</v>
      </c>
      <c r="C2260" s="1">
        <f t="shared" si="388"/>
        <v>45505</v>
      </c>
      <c r="D2260" t="s">
        <v>6909</v>
      </c>
      <c r="E2260">
        <v>206.6</v>
      </c>
      <c r="F2260">
        <v>8.6</v>
      </c>
      <c r="G2260" t="s">
        <v>93</v>
      </c>
      <c r="H2260" t="s">
        <v>291</v>
      </c>
      <c r="I2260" t="s">
        <v>32</v>
      </c>
      <c r="J2260">
        <v>240</v>
      </c>
      <c r="K2260" t="s">
        <v>49</v>
      </c>
      <c r="L2260" t="s">
        <v>70</v>
      </c>
      <c r="M2260" t="s">
        <v>35</v>
      </c>
      <c r="N2260" t="s">
        <v>36</v>
      </c>
      <c r="O2260" t="s">
        <v>7232</v>
      </c>
      <c r="P2260" t="s">
        <v>39</v>
      </c>
      <c r="Q2260" t="s">
        <v>38</v>
      </c>
      <c r="R2260">
        <v>0</v>
      </c>
      <c r="S2260" t="s">
        <v>39</v>
      </c>
      <c r="T2260">
        <v>10</v>
      </c>
      <c r="U2260">
        <v>1.2</v>
      </c>
      <c r="V2260">
        <v>12.3</v>
      </c>
      <c r="W2260" t="s">
        <v>38</v>
      </c>
      <c r="X2260" t="s">
        <v>123</v>
      </c>
      <c r="Y2260" t="s">
        <v>39</v>
      </c>
      <c r="Z2260" t="s">
        <v>108</v>
      </c>
      <c r="AA2260" t="s">
        <v>82</v>
      </c>
      <c r="AB2260" t="s">
        <v>83</v>
      </c>
      <c r="AC2260">
        <f t="shared" si="385"/>
        <v>0</v>
      </c>
      <c r="AD2260" s="12">
        <f t="shared" si="389"/>
        <v>0</v>
      </c>
      <c r="AE2260" s="12">
        <f t="shared" si="390"/>
        <v>1</v>
      </c>
      <c r="AF2260">
        <f t="shared" si="386"/>
        <v>0</v>
      </c>
      <c r="AG2260">
        <f t="shared" si="391"/>
        <v>1</v>
      </c>
      <c r="AH2260">
        <f t="shared" si="392"/>
        <v>0</v>
      </c>
      <c r="AI2260">
        <f t="shared" si="393"/>
        <v>0</v>
      </c>
      <c r="AJ2260">
        <f t="shared" si="394"/>
        <v>1</v>
      </c>
      <c r="AK2260">
        <f t="shared" si="387"/>
        <v>0</v>
      </c>
      <c r="AL2260">
        <f t="shared" si="395"/>
        <v>0</v>
      </c>
    </row>
    <row r="2261" spans="1:38">
      <c r="A2261" t="s">
        <v>6910</v>
      </c>
      <c r="B2261" t="s">
        <v>6911</v>
      </c>
      <c r="C2261" s="1">
        <f t="shared" si="388"/>
        <v>45627</v>
      </c>
      <c r="D2261" t="s">
        <v>6912</v>
      </c>
      <c r="E2261">
        <v>345.6</v>
      </c>
      <c r="F2261">
        <v>14.4</v>
      </c>
      <c r="G2261" t="s">
        <v>87</v>
      </c>
      <c r="H2261" t="s">
        <v>309</v>
      </c>
      <c r="I2261" t="s">
        <v>32</v>
      </c>
      <c r="J2261">
        <v>240</v>
      </c>
      <c r="K2261" t="s">
        <v>33</v>
      </c>
      <c r="L2261" t="s">
        <v>34</v>
      </c>
      <c r="M2261" t="s">
        <v>71</v>
      </c>
      <c r="N2261" t="s">
        <v>114</v>
      </c>
      <c r="O2261" t="s">
        <v>7232</v>
      </c>
      <c r="P2261" t="s">
        <v>38</v>
      </c>
      <c r="Q2261" t="s">
        <v>39</v>
      </c>
      <c r="R2261">
        <v>1</v>
      </c>
      <c r="S2261" t="s">
        <v>39</v>
      </c>
      <c r="T2261">
        <v>4</v>
      </c>
      <c r="U2261">
        <v>3.5</v>
      </c>
      <c r="V2261">
        <v>11.9</v>
      </c>
      <c r="W2261" t="s">
        <v>39</v>
      </c>
      <c r="X2261" t="s">
        <v>63</v>
      </c>
      <c r="Y2261" t="s">
        <v>39</v>
      </c>
      <c r="Z2261" t="s">
        <v>115</v>
      </c>
      <c r="AA2261" t="s">
        <v>109</v>
      </c>
      <c r="AB2261" t="s">
        <v>55</v>
      </c>
      <c r="AC2261">
        <f t="shared" si="385"/>
        <v>0</v>
      </c>
      <c r="AD2261" s="12">
        <f t="shared" si="389"/>
        <v>1</v>
      </c>
      <c r="AE2261" s="12">
        <f t="shared" si="390"/>
        <v>0</v>
      </c>
      <c r="AF2261">
        <f t="shared" si="386"/>
        <v>0</v>
      </c>
      <c r="AG2261">
        <f t="shared" si="391"/>
        <v>1</v>
      </c>
      <c r="AH2261">
        <f t="shared" si="392"/>
        <v>0</v>
      </c>
      <c r="AI2261">
        <f t="shared" si="393"/>
        <v>0</v>
      </c>
      <c r="AJ2261">
        <f t="shared" si="394"/>
        <v>1</v>
      </c>
      <c r="AK2261">
        <f t="shared" si="387"/>
        <v>0</v>
      </c>
      <c r="AL2261">
        <f t="shared" si="395"/>
        <v>0</v>
      </c>
    </row>
    <row r="2262" spans="1:38">
      <c r="A2262" t="s">
        <v>6913</v>
      </c>
      <c r="B2262" t="s">
        <v>6914</v>
      </c>
      <c r="C2262" s="1">
        <f t="shared" si="388"/>
        <v>45323</v>
      </c>
      <c r="D2262" t="s">
        <v>6915</v>
      </c>
      <c r="E2262">
        <v>407.7</v>
      </c>
      <c r="F2262">
        <v>17</v>
      </c>
      <c r="G2262" t="s">
        <v>77</v>
      </c>
      <c r="H2262" t="s">
        <v>244</v>
      </c>
      <c r="I2262" t="s">
        <v>79</v>
      </c>
      <c r="J2262">
        <v>360</v>
      </c>
      <c r="K2262" t="s">
        <v>33</v>
      </c>
      <c r="L2262" t="s">
        <v>34</v>
      </c>
      <c r="M2262" t="s">
        <v>35</v>
      </c>
      <c r="N2262" t="s">
        <v>97</v>
      </c>
      <c r="O2262" t="s">
        <v>51</v>
      </c>
      <c r="P2262" t="s">
        <v>39</v>
      </c>
      <c r="Q2262" t="s">
        <v>38</v>
      </c>
      <c r="R2262">
        <v>0</v>
      </c>
      <c r="S2262" t="s">
        <v>38</v>
      </c>
      <c r="T2262">
        <v>8</v>
      </c>
      <c r="U2262">
        <v>1.9</v>
      </c>
      <c r="V2262">
        <v>30.3</v>
      </c>
      <c r="W2262" t="s">
        <v>38</v>
      </c>
      <c r="X2262" t="s">
        <v>63</v>
      </c>
      <c r="Y2262" t="s">
        <v>38</v>
      </c>
      <c r="Z2262" t="s">
        <v>81</v>
      </c>
      <c r="AA2262" t="s">
        <v>109</v>
      </c>
      <c r="AB2262" t="s">
        <v>55</v>
      </c>
      <c r="AC2262">
        <f t="shared" si="385"/>
        <v>0</v>
      </c>
      <c r="AD2262" s="12">
        <f t="shared" si="389"/>
        <v>1</v>
      </c>
      <c r="AE2262" s="12">
        <f t="shared" si="390"/>
        <v>0</v>
      </c>
      <c r="AF2262">
        <f t="shared" si="386"/>
        <v>1</v>
      </c>
      <c r="AG2262">
        <f t="shared" si="391"/>
        <v>0</v>
      </c>
      <c r="AH2262">
        <f t="shared" si="392"/>
        <v>0</v>
      </c>
      <c r="AI2262">
        <f t="shared" si="393"/>
        <v>0</v>
      </c>
      <c r="AJ2262">
        <f t="shared" si="394"/>
        <v>0</v>
      </c>
      <c r="AK2262">
        <f t="shared" si="387"/>
        <v>0</v>
      </c>
      <c r="AL2262">
        <f t="shared" si="395"/>
        <v>1</v>
      </c>
    </row>
    <row r="2263" spans="1:38">
      <c r="A2263" t="s">
        <v>6916</v>
      </c>
      <c r="B2263" t="s">
        <v>6917</v>
      </c>
      <c r="C2263" s="1">
        <f t="shared" si="388"/>
        <v>45536</v>
      </c>
      <c r="D2263" t="s">
        <v>6918</v>
      </c>
      <c r="E2263">
        <v>341</v>
      </c>
      <c r="F2263">
        <v>14.2</v>
      </c>
      <c r="G2263" t="s">
        <v>77</v>
      </c>
      <c r="H2263" t="s">
        <v>267</v>
      </c>
      <c r="I2263" t="s">
        <v>79</v>
      </c>
      <c r="J2263">
        <v>360</v>
      </c>
      <c r="K2263" t="s">
        <v>49</v>
      </c>
      <c r="L2263" t="s">
        <v>96</v>
      </c>
      <c r="M2263" t="s">
        <v>35</v>
      </c>
      <c r="N2263" t="s">
        <v>61</v>
      </c>
      <c r="O2263" t="s">
        <v>7232</v>
      </c>
      <c r="P2263" t="s">
        <v>39</v>
      </c>
      <c r="Q2263" t="s">
        <v>38</v>
      </c>
      <c r="R2263">
        <v>0</v>
      </c>
      <c r="S2263" t="s">
        <v>38</v>
      </c>
      <c r="T2263">
        <v>10</v>
      </c>
      <c r="U2263">
        <v>1.3</v>
      </c>
      <c r="V2263">
        <v>10.199999999999999</v>
      </c>
      <c r="W2263" t="s">
        <v>39</v>
      </c>
      <c r="X2263" t="s">
        <v>52</v>
      </c>
      <c r="Y2263" t="s">
        <v>39</v>
      </c>
      <c r="Z2263" t="s">
        <v>73</v>
      </c>
      <c r="AA2263" t="s">
        <v>82</v>
      </c>
      <c r="AB2263" t="s">
        <v>83</v>
      </c>
      <c r="AC2263">
        <f t="shared" si="385"/>
        <v>1</v>
      </c>
      <c r="AD2263" s="12">
        <f t="shared" si="389"/>
        <v>0</v>
      </c>
      <c r="AE2263" s="12">
        <f t="shared" si="390"/>
        <v>0</v>
      </c>
      <c r="AF2263">
        <f t="shared" si="386"/>
        <v>0</v>
      </c>
      <c r="AG2263">
        <f t="shared" si="391"/>
        <v>1</v>
      </c>
      <c r="AH2263">
        <f t="shared" si="392"/>
        <v>0</v>
      </c>
      <c r="AI2263">
        <f t="shared" si="393"/>
        <v>0</v>
      </c>
      <c r="AJ2263">
        <f t="shared" si="394"/>
        <v>0</v>
      </c>
      <c r="AK2263">
        <f t="shared" si="387"/>
        <v>0</v>
      </c>
      <c r="AL2263">
        <f t="shared" si="395"/>
        <v>0</v>
      </c>
    </row>
    <row r="2264" spans="1:38">
      <c r="A2264" t="s">
        <v>6919</v>
      </c>
      <c r="B2264" t="s">
        <v>6920</v>
      </c>
      <c r="C2264" s="1">
        <f t="shared" si="388"/>
        <v>45566</v>
      </c>
      <c r="D2264" t="s">
        <v>6921</v>
      </c>
      <c r="E2264">
        <v>269.5</v>
      </c>
      <c r="F2264">
        <v>11.2</v>
      </c>
      <c r="G2264" t="s">
        <v>87</v>
      </c>
      <c r="H2264" t="s">
        <v>309</v>
      </c>
      <c r="I2264" t="s">
        <v>79</v>
      </c>
      <c r="J2264">
        <v>360</v>
      </c>
      <c r="K2264" t="s">
        <v>49</v>
      </c>
      <c r="L2264" t="s">
        <v>96</v>
      </c>
      <c r="M2264" t="s">
        <v>71</v>
      </c>
      <c r="N2264" t="s">
        <v>220</v>
      </c>
      <c r="O2264" t="s">
        <v>51</v>
      </c>
      <c r="P2264" t="s">
        <v>38</v>
      </c>
      <c r="Q2264" t="s">
        <v>39</v>
      </c>
      <c r="R2264">
        <v>3</v>
      </c>
      <c r="S2264" t="s">
        <v>38</v>
      </c>
      <c r="T2264">
        <v>7</v>
      </c>
      <c r="U2264">
        <v>1.6</v>
      </c>
      <c r="V2264">
        <v>0</v>
      </c>
      <c r="W2264" t="s">
        <v>38</v>
      </c>
      <c r="X2264" t="s">
        <v>63</v>
      </c>
      <c r="Y2264" t="s">
        <v>39</v>
      </c>
      <c r="Z2264" t="s">
        <v>53</v>
      </c>
      <c r="AA2264" t="s">
        <v>42</v>
      </c>
      <c r="AB2264" t="s">
        <v>55</v>
      </c>
      <c r="AC2264">
        <f t="shared" si="385"/>
        <v>0</v>
      </c>
      <c r="AD2264" s="12">
        <f t="shared" si="389"/>
        <v>1</v>
      </c>
      <c r="AE2264" s="12">
        <f t="shared" si="390"/>
        <v>0</v>
      </c>
      <c r="AF2264">
        <f t="shared" si="386"/>
        <v>1</v>
      </c>
      <c r="AG2264">
        <f t="shared" si="391"/>
        <v>0</v>
      </c>
      <c r="AH2264">
        <f t="shared" si="392"/>
        <v>0</v>
      </c>
      <c r="AI2264">
        <f t="shared" si="393"/>
        <v>0</v>
      </c>
      <c r="AJ2264">
        <f t="shared" si="394"/>
        <v>0</v>
      </c>
      <c r="AK2264">
        <f t="shared" si="387"/>
        <v>0</v>
      </c>
      <c r="AL2264">
        <f t="shared" si="395"/>
        <v>0</v>
      </c>
    </row>
    <row r="2265" spans="1:38">
      <c r="A2265" t="s">
        <v>6922</v>
      </c>
      <c r="B2265" t="s">
        <v>6923</v>
      </c>
      <c r="C2265" s="1">
        <f t="shared" si="388"/>
        <v>45505</v>
      </c>
      <c r="D2265" t="s">
        <v>6924</v>
      </c>
      <c r="E2265">
        <v>336.9</v>
      </c>
      <c r="F2265">
        <v>14</v>
      </c>
      <c r="G2265" t="s">
        <v>77</v>
      </c>
      <c r="H2265" t="s">
        <v>267</v>
      </c>
      <c r="I2265" t="s">
        <v>79</v>
      </c>
      <c r="J2265">
        <v>360</v>
      </c>
      <c r="K2265" t="s">
        <v>49</v>
      </c>
      <c r="L2265" t="s">
        <v>133</v>
      </c>
      <c r="M2265" t="s">
        <v>35</v>
      </c>
      <c r="N2265" t="s">
        <v>168</v>
      </c>
      <c r="O2265" t="s">
        <v>7232</v>
      </c>
      <c r="P2265" t="s">
        <v>38</v>
      </c>
      <c r="Q2265" t="s">
        <v>38</v>
      </c>
      <c r="R2265">
        <v>1</v>
      </c>
      <c r="S2265" t="s">
        <v>38</v>
      </c>
      <c r="T2265">
        <v>9</v>
      </c>
      <c r="U2265">
        <v>4.2</v>
      </c>
      <c r="V2265">
        <v>23.5</v>
      </c>
      <c r="W2265" t="s">
        <v>38</v>
      </c>
      <c r="X2265" t="s">
        <v>123</v>
      </c>
      <c r="Y2265" t="s">
        <v>39</v>
      </c>
      <c r="Z2265" t="s">
        <v>115</v>
      </c>
      <c r="AA2265" t="s">
        <v>54</v>
      </c>
      <c r="AB2265" t="s">
        <v>55</v>
      </c>
      <c r="AC2265">
        <f t="shared" si="385"/>
        <v>0</v>
      </c>
      <c r="AD2265" s="12">
        <f t="shared" si="389"/>
        <v>0</v>
      </c>
      <c r="AE2265" s="12">
        <f t="shared" si="390"/>
        <v>1</v>
      </c>
      <c r="AF2265">
        <f t="shared" si="386"/>
        <v>0</v>
      </c>
      <c r="AG2265">
        <f t="shared" si="391"/>
        <v>1</v>
      </c>
      <c r="AH2265">
        <f t="shared" si="392"/>
        <v>0</v>
      </c>
      <c r="AI2265">
        <f t="shared" si="393"/>
        <v>0</v>
      </c>
      <c r="AJ2265">
        <f t="shared" si="394"/>
        <v>0</v>
      </c>
      <c r="AK2265">
        <f t="shared" si="387"/>
        <v>0</v>
      </c>
      <c r="AL2265">
        <f t="shared" si="395"/>
        <v>0</v>
      </c>
    </row>
    <row r="2266" spans="1:38">
      <c r="A2266" t="s">
        <v>6925</v>
      </c>
      <c r="B2266" t="s">
        <v>6926</v>
      </c>
      <c r="C2266" s="1">
        <f t="shared" si="388"/>
        <v>45474</v>
      </c>
      <c r="D2266" t="s">
        <v>6927</v>
      </c>
      <c r="E2266">
        <v>221.2</v>
      </c>
      <c r="F2266">
        <v>9.1999999999999993</v>
      </c>
      <c r="G2266" t="s">
        <v>93</v>
      </c>
      <c r="H2266" t="s">
        <v>94</v>
      </c>
      <c r="I2266" t="s">
        <v>79</v>
      </c>
      <c r="J2266">
        <v>360</v>
      </c>
      <c r="K2266" t="s">
        <v>49</v>
      </c>
      <c r="L2266" t="s">
        <v>96</v>
      </c>
      <c r="M2266" t="s">
        <v>71</v>
      </c>
      <c r="N2266" t="s">
        <v>202</v>
      </c>
      <c r="O2266" t="s">
        <v>51</v>
      </c>
      <c r="P2266" t="s">
        <v>38</v>
      </c>
      <c r="Q2266" t="s">
        <v>39</v>
      </c>
      <c r="R2266">
        <v>1</v>
      </c>
      <c r="S2266" t="s">
        <v>38</v>
      </c>
      <c r="T2266">
        <v>10</v>
      </c>
      <c r="U2266">
        <v>3.4</v>
      </c>
      <c r="V2266">
        <v>2.5</v>
      </c>
      <c r="W2266" t="s">
        <v>39</v>
      </c>
      <c r="X2266" t="s">
        <v>52</v>
      </c>
      <c r="Y2266" t="s">
        <v>39</v>
      </c>
      <c r="Z2266" t="s">
        <v>108</v>
      </c>
      <c r="AA2266" t="s">
        <v>54</v>
      </c>
      <c r="AB2266" t="s">
        <v>55</v>
      </c>
      <c r="AC2266">
        <f t="shared" si="385"/>
        <v>1</v>
      </c>
      <c r="AD2266" s="12">
        <f t="shared" si="389"/>
        <v>0</v>
      </c>
      <c r="AE2266" s="12">
        <f t="shared" si="390"/>
        <v>0</v>
      </c>
      <c r="AF2266">
        <f t="shared" si="386"/>
        <v>1</v>
      </c>
      <c r="AG2266">
        <f t="shared" si="391"/>
        <v>0</v>
      </c>
      <c r="AH2266">
        <f t="shared" si="392"/>
        <v>0</v>
      </c>
      <c r="AI2266">
        <f t="shared" si="393"/>
        <v>0</v>
      </c>
      <c r="AJ2266">
        <f t="shared" si="394"/>
        <v>0</v>
      </c>
      <c r="AK2266">
        <f t="shared" si="387"/>
        <v>0</v>
      </c>
      <c r="AL2266">
        <f t="shared" si="395"/>
        <v>0</v>
      </c>
    </row>
    <row r="2267" spans="1:38">
      <c r="A2267" t="s">
        <v>6928</v>
      </c>
      <c r="B2267" t="s">
        <v>6929</v>
      </c>
      <c r="C2267" s="1">
        <f t="shared" si="388"/>
        <v>45383</v>
      </c>
      <c r="D2267" t="s">
        <v>6930</v>
      </c>
      <c r="E2267">
        <v>172.5</v>
      </c>
      <c r="F2267">
        <v>7.2</v>
      </c>
      <c r="G2267" t="s">
        <v>142</v>
      </c>
      <c r="H2267" t="s">
        <v>260</v>
      </c>
      <c r="I2267" t="s">
        <v>32</v>
      </c>
      <c r="J2267">
        <v>240</v>
      </c>
      <c r="K2267" t="s">
        <v>49</v>
      </c>
      <c r="L2267" t="s">
        <v>96</v>
      </c>
      <c r="M2267" t="s">
        <v>71</v>
      </c>
      <c r="N2267" t="s">
        <v>277</v>
      </c>
      <c r="O2267" t="s">
        <v>7232</v>
      </c>
      <c r="P2267" t="s">
        <v>38</v>
      </c>
      <c r="Q2267" t="s">
        <v>39</v>
      </c>
      <c r="R2267">
        <v>1</v>
      </c>
      <c r="S2267" t="s">
        <v>38</v>
      </c>
      <c r="T2267">
        <v>7</v>
      </c>
      <c r="U2267">
        <v>3</v>
      </c>
      <c r="V2267">
        <v>7.3</v>
      </c>
      <c r="W2267" t="s">
        <v>38</v>
      </c>
      <c r="X2267" t="s">
        <v>63</v>
      </c>
      <c r="Y2267" t="s">
        <v>38</v>
      </c>
      <c r="Z2267" t="s">
        <v>179</v>
      </c>
      <c r="AA2267" t="s">
        <v>109</v>
      </c>
      <c r="AB2267" t="s">
        <v>83</v>
      </c>
      <c r="AC2267">
        <f t="shared" si="385"/>
        <v>0</v>
      </c>
      <c r="AD2267" s="12">
        <f t="shared" si="389"/>
        <v>1</v>
      </c>
      <c r="AE2267" s="12">
        <f t="shared" si="390"/>
        <v>0</v>
      </c>
      <c r="AF2267">
        <f t="shared" si="386"/>
        <v>0</v>
      </c>
      <c r="AG2267">
        <f t="shared" si="391"/>
        <v>1</v>
      </c>
      <c r="AH2267">
        <f t="shared" si="392"/>
        <v>0</v>
      </c>
      <c r="AI2267">
        <f t="shared" si="393"/>
        <v>0</v>
      </c>
      <c r="AJ2267">
        <f t="shared" si="394"/>
        <v>1</v>
      </c>
      <c r="AK2267">
        <f t="shared" si="387"/>
        <v>0</v>
      </c>
      <c r="AL2267">
        <f t="shared" si="395"/>
        <v>1</v>
      </c>
    </row>
    <row r="2268" spans="1:38">
      <c r="A2268" t="s">
        <v>6931</v>
      </c>
      <c r="B2268" t="s">
        <v>6932</v>
      </c>
      <c r="C2268" s="1">
        <f t="shared" si="388"/>
        <v>45505</v>
      </c>
      <c r="D2268" t="s">
        <v>6933</v>
      </c>
      <c r="E2268">
        <v>110.2</v>
      </c>
      <c r="F2268">
        <v>4.5999999999999996</v>
      </c>
      <c r="G2268" t="s">
        <v>68</v>
      </c>
      <c r="H2268" t="s">
        <v>219</v>
      </c>
      <c r="I2268" t="s">
        <v>48</v>
      </c>
      <c r="J2268">
        <v>120</v>
      </c>
      <c r="K2268" t="s">
        <v>49</v>
      </c>
      <c r="L2268" t="s">
        <v>96</v>
      </c>
      <c r="M2268" t="s">
        <v>71</v>
      </c>
      <c r="N2268" t="s">
        <v>138</v>
      </c>
      <c r="O2268" t="s">
        <v>51</v>
      </c>
      <c r="P2268" t="s">
        <v>38</v>
      </c>
      <c r="Q2268" t="s">
        <v>39</v>
      </c>
      <c r="R2268">
        <v>2</v>
      </c>
      <c r="S2268" t="s">
        <v>38</v>
      </c>
      <c r="T2268">
        <v>8</v>
      </c>
      <c r="U2268">
        <v>4.0999999999999996</v>
      </c>
      <c r="V2268">
        <v>44.1</v>
      </c>
      <c r="W2268" t="s">
        <v>39</v>
      </c>
      <c r="X2268" t="s">
        <v>63</v>
      </c>
      <c r="Y2268" t="s">
        <v>38</v>
      </c>
      <c r="Z2268" t="s">
        <v>53</v>
      </c>
      <c r="AA2268" t="s">
        <v>42</v>
      </c>
      <c r="AB2268" t="s">
        <v>55</v>
      </c>
      <c r="AC2268">
        <f t="shared" si="385"/>
        <v>0</v>
      </c>
      <c r="AD2268" s="12">
        <f t="shared" si="389"/>
        <v>1</v>
      </c>
      <c r="AE2268" s="12">
        <f t="shared" si="390"/>
        <v>0</v>
      </c>
      <c r="AF2268">
        <f t="shared" si="386"/>
        <v>1</v>
      </c>
      <c r="AG2268">
        <f t="shared" si="391"/>
        <v>0</v>
      </c>
      <c r="AH2268">
        <f t="shared" si="392"/>
        <v>1</v>
      </c>
      <c r="AI2268">
        <f t="shared" si="393"/>
        <v>0</v>
      </c>
      <c r="AJ2268">
        <f t="shared" si="394"/>
        <v>0</v>
      </c>
      <c r="AK2268">
        <f t="shared" si="387"/>
        <v>0</v>
      </c>
      <c r="AL2268">
        <f t="shared" si="395"/>
        <v>1</v>
      </c>
    </row>
    <row r="2269" spans="1:38">
      <c r="A2269" t="s">
        <v>6934</v>
      </c>
      <c r="B2269" t="s">
        <v>6935</v>
      </c>
      <c r="C2269" s="1">
        <f t="shared" si="388"/>
        <v>45383</v>
      </c>
      <c r="D2269" t="s">
        <v>6936</v>
      </c>
      <c r="E2269">
        <v>104.7</v>
      </c>
      <c r="F2269">
        <v>4.4000000000000004</v>
      </c>
      <c r="G2269" t="s">
        <v>68</v>
      </c>
      <c r="H2269" t="s">
        <v>212</v>
      </c>
      <c r="I2269" t="s">
        <v>48</v>
      </c>
      <c r="J2269">
        <v>120</v>
      </c>
      <c r="K2269" t="s">
        <v>49</v>
      </c>
      <c r="L2269" t="s">
        <v>96</v>
      </c>
      <c r="M2269" t="s">
        <v>35</v>
      </c>
      <c r="N2269" t="s">
        <v>192</v>
      </c>
      <c r="O2269" t="s">
        <v>7232</v>
      </c>
      <c r="P2269" t="s">
        <v>38</v>
      </c>
      <c r="Q2269" t="s">
        <v>38</v>
      </c>
      <c r="R2269">
        <v>1</v>
      </c>
      <c r="S2269" t="s">
        <v>38</v>
      </c>
      <c r="T2269">
        <v>10</v>
      </c>
      <c r="U2269">
        <v>0.3</v>
      </c>
      <c r="V2269">
        <v>0</v>
      </c>
      <c r="W2269" t="s">
        <v>39</v>
      </c>
      <c r="X2269" t="s">
        <v>63</v>
      </c>
      <c r="Y2269" t="s">
        <v>39</v>
      </c>
      <c r="Z2269" t="s">
        <v>179</v>
      </c>
      <c r="AA2269" t="s">
        <v>103</v>
      </c>
      <c r="AB2269" t="s">
        <v>83</v>
      </c>
      <c r="AC2269">
        <f t="shared" si="385"/>
        <v>0</v>
      </c>
      <c r="AD2269" s="12">
        <f t="shared" si="389"/>
        <v>1</v>
      </c>
      <c r="AE2269" s="12">
        <f t="shared" si="390"/>
        <v>0</v>
      </c>
      <c r="AF2269">
        <f t="shared" si="386"/>
        <v>0</v>
      </c>
      <c r="AG2269">
        <f t="shared" si="391"/>
        <v>1</v>
      </c>
      <c r="AH2269">
        <f t="shared" si="392"/>
        <v>1</v>
      </c>
      <c r="AI2269">
        <f t="shared" si="393"/>
        <v>0</v>
      </c>
      <c r="AJ2269">
        <f t="shared" si="394"/>
        <v>0</v>
      </c>
      <c r="AK2269">
        <f t="shared" si="387"/>
        <v>0</v>
      </c>
      <c r="AL2269">
        <f t="shared" si="395"/>
        <v>0</v>
      </c>
    </row>
    <row r="2270" spans="1:38">
      <c r="A2270" t="s">
        <v>6937</v>
      </c>
      <c r="B2270" t="s">
        <v>6938</v>
      </c>
      <c r="C2270" s="1">
        <f t="shared" si="388"/>
        <v>45597</v>
      </c>
      <c r="D2270" t="s">
        <v>6939</v>
      </c>
      <c r="E2270">
        <v>110.6</v>
      </c>
      <c r="F2270">
        <v>4.5999999999999996</v>
      </c>
      <c r="G2270" t="s">
        <v>30</v>
      </c>
      <c r="H2270" t="s">
        <v>47</v>
      </c>
      <c r="I2270" t="s">
        <v>48</v>
      </c>
      <c r="J2270">
        <v>120</v>
      </c>
      <c r="K2270" t="s">
        <v>49</v>
      </c>
      <c r="L2270" t="s">
        <v>96</v>
      </c>
      <c r="M2270" t="s">
        <v>35</v>
      </c>
      <c r="N2270" t="s">
        <v>89</v>
      </c>
      <c r="O2270" t="s">
        <v>7232</v>
      </c>
      <c r="P2270" t="s">
        <v>39</v>
      </c>
      <c r="Q2270" t="s">
        <v>38</v>
      </c>
      <c r="R2270">
        <v>0</v>
      </c>
      <c r="S2270" t="s">
        <v>38</v>
      </c>
      <c r="T2270">
        <v>10</v>
      </c>
      <c r="U2270">
        <v>2.7</v>
      </c>
      <c r="V2270">
        <v>23.5</v>
      </c>
      <c r="W2270" t="s">
        <v>38</v>
      </c>
      <c r="X2270" t="s">
        <v>123</v>
      </c>
      <c r="Y2270" t="s">
        <v>38</v>
      </c>
      <c r="Z2270" t="s">
        <v>64</v>
      </c>
      <c r="AA2270" t="s">
        <v>82</v>
      </c>
      <c r="AB2270" t="s">
        <v>55</v>
      </c>
      <c r="AC2270">
        <f t="shared" si="385"/>
        <v>0</v>
      </c>
      <c r="AD2270" s="12">
        <f t="shared" si="389"/>
        <v>0</v>
      </c>
      <c r="AE2270" s="12">
        <f t="shared" si="390"/>
        <v>1</v>
      </c>
      <c r="AF2270">
        <f t="shared" si="386"/>
        <v>0</v>
      </c>
      <c r="AG2270">
        <f t="shared" si="391"/>
        <v>1</v>
      </c>
      <c r="AH2270">
        <f t="shared" si="392"/>
        <v>1</v>
      </c>
      <c r="AI2270">
        <f t="shared" si="393"/>
        <v>0</v>
      </c>
      <c r="AJ2270">
        <f t="shared" si="394"/>
        <v>0</v>
      </c>
      <c r="AK2270">
        <f t="shared" si="387"/>
        <v>1</v>
      </c>
      <c r="AL2270">
        <f t="shared" si="395"/>
        <v>1</v>
      </c>
    </row>
    <row r="2271" spans="1:38">
      <c r="A2271" t="s">
        <v>6940</v>
      </c>
      <c r="B2271" t="s">
        <v>6941</v>
      </c>
      <c r="C2271" s="1">
        <f t="shared" si="388"/>
        <v>45383</v>
      </c>
      <c r="D2271" t="s">
        <v>6942</v>
      </c>
      <c r="E2271">
        <v>211.6</v>
      </c>
      <c r="F2271">
        <v>8.8000000000000007</v>
      </c>
      <c r="G2271" t="s">
        <v>30</v>
      </c>
      <c r="H2271" t="s">
        <v>159</v>
      </c>
      <c r="I2271" t="s">
        <v>32</v>
      </c>
      <c r="J2271">
        <v>240</v>
      </c>
      <c r="K2271" t="s">
        <v>49</v>
      </c>
      <c r="L2271" t="s">
        <v>34</v>
      </c>
      <c r="M2271" t="s">
        <v>35</v>
      </c>
      <c r="N2271" t="s">
        <v>107</v>
      </c>
      <c r="O2271" t="s">
        <v>37</v>
      </c>
      <c r="P2271" t="s">
        <v>38</v>
      </c>
      <c r="Q2271" t="s">
        <v>38</v>
      </c>
      <c r="R2271">
        <v>1</v>
      </c>
      <c r="S2271" t="s">
        <v>38</v>
      </c>
      <c r="T2271">
        <v>7</v>
      </c>
      <c r="U2271">
        <v>4.8</v>
      </c>
      <c r="V2271">
        <v>19.2</v>
      </c>
      <c r="W2271" t="s">
        <v>39</v>
      </c>
      <c r="X2271" t="s">
        <v>40</v>
      </c>
      <c r="Y2271" t="s">
        <v>38</v>
      </c>
      <c r="Z2271" t="s">
        <v>53</v>
      </c>
      <c r="AA2271" t="s">
        <v>103</v>
      </c>
      <c r="AB2271" t="s">
        <v>55</v>
      </c>
      <c r="AC2271">
        <f t="shared" si="385"/>
        <v>0</v>
      </c>
      <c r="AD2271" s="12">
        <f t="shared" si="389"/>
        <v>0</v>
      </c>
      <c r="AE2271" s="12">
        <f t="shared" si="390"/>
        <v>0</v>
      </c>
      <c r="AF2271">
        <f t="shared" si="386"/>
        <v>0</v>
      </c>
      <c r="AG2271">
        <f t="shared" si="391"/>
        <v>0</v>
      </c>
      <c r="AH2271">
        <f t="shared" si="392"/>
        <v>0</v>
      </c>
      <c r="AI2271">
        <f t="shared" si="393"/>
        <v>0</v>
      </c>
      <c r="AJ2271">
        <f t="shared" si="394"/>
        <v>1</v>
      </c>
      <c r="AK2271">
        <f t="shared" si="387"/>
        <v>1</v>
      </c>
      <c r="AL2271">
        <f t="shared" si="395"/>
        <v>1</v>
      </c>
    </row>
    <row r="2272" spans="1:38">
      <c r="A2272" t="s">
        <v>6943</v>
      </c>
      <c r="B2272" t="s">
        <v>6944</v>
      </c>
      <c r="C2272" s="1">
        <f t="shared" si="388"/>
        <v>45536</v>
      </c>
      <c r="D2272" t="s">
        <v>6945</v>
      </c>
      <c r="E2272">
        <v>150.1</v>
      </c>
      <c r="F2272">
        <v>6.3</v>
      </c>
      <c r="G2272" t="s">
        <v>59</v>
      </c>
      <c r="H2272" t="s">
        <v>281</v>
      </c>
      <c r="I2272" t="s">
        <v>48</v>
      </c>
      <c r="J2272">
        <v>120</v>
      </c>
      <c r="K2272" t="s">
        <v>33</v>
      </c>
      <c r="L2272" t="s">
        <v>96</v>
      </c>
      <c r="M2272" t="s">
        <v>71</v>
      </c>
      <c r="N2272" t="s">
        <v>202</v>
      </c>
      <c r="O2272" t="s">
        <v>51</v>
      </c>
      <c r="P2272" t="s">
        <v>38</v>
      </c>
      <c r="Q2272" t="s">
        <v>39</v>
      </c>
      <c r="R2272">
        <v>3</v>
      </c>
      <c r="S2272" t="s">
        <v>38</v>
      </c>
      <c r="T2272">
        <v>5</v>
      </c>
      <c r="U2272">
        <v>2.2999999999999998</v>
      </c>
      <c r="V2272">
        <v>13.7</v>
      </c>
      <c r="W2272" t="s">
        <v>39</v>
      </c>
      <c r="X2272" t="s">
        <v>52</v>
      </c>
      <c r="Y2272" t="s">
        <v>38</v>
      </c>
      <c r="Z2272" t="s">
        <v>41</v>
      </c>
      <c r="AA2272" t="s">
        <v>54</v>
      </c>
      <c r="AB2272" t="s">
        <v>83</v>
      </c>
      <c r="AC2272">
        <f t="shared" si="385"/>
        <v>1</v>
      </c>
      <c r="AD2272" s="12">
        <f t="shared" si="389"/>
        <v>0</v>
      </c>
      <c r="AE2272" s="12">
        <f t="shared" si="390"/>
        <v>0</v>
      </c>
      <c r="AF2272">
        <f t="shared" si="386"/>
        <v>1</v>
      </c>
      <c r="AG2272">
        <f t="shared" si="391"/>
        <v>0</v>
      </c>
      <c r="AH2272">
        <f t="shared" si="392"/>
        <v>1</v>
      </c>
      <c r="AI2272">
        <f t="shared" si="393"/>
        <v>0</v>
      </c>
      <c r="AJ2272">
        <f t="shared" si="394"/>
        <v>0</v>
      </c>
      <c r="AK2272">
        <f t="shared" si="387"/>
        <v>0</v>
      </c>
      <c r="AL2272">
        <f t="shared" si="395"/>
        <v>1</v>
      </c>
    </row>
    <row r="2273" spans="1:38">
      <c r="A2273" t="s">
        <v>6946</v>
      </c>
      <c r="B2273" t="s">
        <v>6947</v>
      </c>
      <c r="C2273" s="1">
        <f t="shared" si="388"/>
        <v>45536</v>
      </c>
      <c r="D2273" t="s">
        <v>6948</v>
      </c>
      <c r="E2273">
        <v>269.8</v>
      </c>
      <c r="F2273">
        <v>11.2</v>
      </c>
      <c r="G2273" t="s">
        <v>93</v>
      </c>
      <c r="H2273" t="s">
        <v>94</v>
      </c>
      <c r="I2273" t="s">
        <v>79</v>
      </c>
      <c r="J2273">
        <v>360</v>
      </c>
      <c r="K2273" t="s">
        <v>49</v>
      </c>
      <c r="L2273" t="s">
        <v>34</v>
      </c>
      <c r="M2273" t="s">
        <v>35</v>
      </c>
      <c r="N2273" t="s">
        <v>89</v>
      </c>
      <c r="O2273" t="s">
        <v>51</v>
      </c>
      <c r="P2273" t="s">
        <v>39</v>
      </c>
      <c r="Q2273" t="s">
        <v>38</v>
      </c>
      <c r="R2273">
        <v>0</v>
      </c>
      <c r="S2273" t="s">
        <v>38</v>
      </c>
      <c r="T2273">
        <v>10</v>
      </c>
      <c r="U2273">
        <v>3.3</v>
      </c>
      <c r="V2273">
        <v>21.5</v>
      </c>
      <c r="W2273" t="s">
        <v>38</v>
      </c>
      <c r="X2273" t="s">
        <v>123</v>
      </c>
      <c r="Y2273" t="s">
        <v>39</v>
      </c>
      <c r="Z2273" t="s">
        <v>81</v>
      </c>
      <c r="AA2273" t="s">
        <v>109</v>
      </c>
      <c r="AB2273" t="s">
        <v>55</v>
      </c>
      <c r="AC2273">
        <f t="shared" si="385"/>
        <v>0</v>
      </c>
      <c r="AD2273" s="12">
        <f t="shared" si="389"/>
        <v>0</v>
      </c>
      <c r="AE2273" s="12">
        <f t="shared" si="390"/>
        <v>1</v>
      </c>
      <c r="AF2273">
        <f t="shared" si="386"/>
        <v>1</v>
      </c>
      <c r="AG2273">
        <f t="shared" si="391"/>
        <v>0</v>
      </c>
      <c r="AH2273">
        <f t="shared" si="392"/>
        <v>0</v>
      </c>
      <c r="AI2273">
        <f t="shared" si="393"/>
        <v>0</v>
      </c>
      <c r="AJ2273">
        <f t="shared" si="394"/>
        <v>0</v>
      </c>
      <c r="AK2273">
        <f t="shared" si="387"/>
        <v>0</v>
      </c>
      <c r="AL2273">
        <f t="shared" si="395"/>
        <v>0</v>
      </c>
    </row>
    <row r="2274" spans="1:38">
      <c r="A2274" t="s">
        <v>6949</v>
      </c>
      <c r="B2274" t="s">
        <v>6950</v>
      </c>
      <c r="C2274" s="1">
        <f t="shared" si="388"/>
        <v>45352</v>
      </c>
      <c r="D2274" t="s">
        <v>6951</v>
      </c>
      <c r="E2274">
        <v>77.5</v>
      </c>
      <c r="F2274">
        <v>3.2</v>
      </c>
      <c r="G2274" t="s">
        <v>59</v>
      </c>
      <c r="H2274" t="s">
        <v>132</v>
      </c>
      <c r="I2274" t="s">
        <v>48</v>
      </c>
      <c r="J2274">
        <v>120</v>
      </c>
      <c r="K2274" t="s">
        <v>49</v>
      </c>
      <c r="L2274" t="s">
        <v>34</v>
      </c>
      <c r="M2274" t="s">
        <v>71</v>
      </c>
      <c r="N2274" t="s">
        <v>164</v>
      </c>
      <c r="O2274" t="s">
        <v>51</v>
      </c>
      <c r="P2274" t="s">
        <v>38</v>
      </c>
      <c r="Q2274" t="s">
        <v>39</v>
      </c>
      <c r="R2274">
        <v>3</v>
      </c>
      <c r="S2274" t="s">
        <v>38</v>
      </c>
      <c r="T2274">
        <v>9</v>
      </c>
      <c r="U2274">
        <v>4.8</v>
      </c>
      <c r="V2274">
        <v>37.6</v>
      </c>
      <c r="W2274" t="s">
        <v>39</v>
      </c>
      <c r="X2274" t="s">
        <v>52</v>
      </c>
      <c r="Y2274" t="s">
        <v>39</v>
      </c>
      <c r="Z2274" t="s">
        <v>179</v>
      </c>
      <c r="AA2274" t="s">
        <v>42</v>
      </c>
      <c r="AB2274" t="s">
        <v>83</v>
      </c>
      <c r="AC2274">
        <f t="shared" si="385"/>
        <v>1</v>
      </c>
      <c r="AD2274" s="12">
        <f t="shared" si="389"/>
        <v>0</v>
      </c>
      <c r="AE2274" s="12">
        <f t="shared" si="390"/>
        <v>0</v>
      </c>
      <c r="AF2274">
        <f t="shared" si="386"/>
        <v>1</v>
      </c>
      <c r="AG2274">
        <f t="shared" si="391"/>
        <v>0</v>
      </c>
      <c r="AH2274">
        <f t="shared" si="392"/>
        <v>1</v>
      </c>
      <c r="AI2274">
        <f t="shared" si="393"/>
        <v>0</v>
      </c>
      <c r="AJ2274">
        <f t="shared" si="394"/>
        <v>0</v>
      </c>
      <c r="AK2274">
        <f t="shared" si="387"/>
        <v>0</v>
      </c>
      <c r="AL2274">
        <f t="shared" si="395"/>
        <v>0</v>
      </c>
    </row>
    <row r="2275" spans="1:38">
      <c r="A2275" t="s">
        <v>6952</v>
      </c>
      <c r="B2275" t="s">
        <v>6953</v>
      </c>
      <c r="C2275" s="1">
        <f t="shared" si="388"/>
        <v>45474</v>
      </c>
      <c r="D2275" t="s">
        <v>6954</v>
      </c>
      <c r="E2275">
        <v>273.7</v>
      </c>
      <c r="F2275">
        <v>11.4</v>
      </c>
      <c r="G2275" t="s">
        <v>93</v>
      </c>
      <c r="H2275" t="s">
        <v>163</v>
      </c>
      <c r="I2275" t="s">
        <v>79</v>
      </c>
      <c r="J2275">
        <v>360</v>
      </c>
      <c r="K2275" t="s">
        <v>49</v>
      </c>
      <c r="L2275" t="s">
        <v>113</v>
      </c>
      <c r="M2275" t="s">
        <v>35</v>
      </c>
      <c r="N2275" t="s">
        <v>506</v>
      </c>
      <c r="O2275" t="s">
        <v>7232</v>
      </c>
      <c r="P2275" t="s">
        <v>38</v>
      </c>
      <c r="Q2275" t="s">
        <v>38</v>
      </c>
      <c r="R2275">
        <v>1</v>
      </c>
      <c r="S2275" t="s">
        <v>38</v>
      </c>
      <c r="T2275">
        <v>8</v>
      </c>
      <c r="U2275">
        <v>1.7</v>
      </c>
      <c r="V2275">
        <v>23.1</v>
      </c>
      <c r="W2275" t="s">
        <v>39</v>
      </c>
      <c r="X2275" t="s">
        <v>63</v>
      </c>
      <c r="Y2275" t="s">
        <v>39</v>
      </c>
      <c r="Z2275" t="s">
        <v>53</v>
      </c>
      <c r="AA2275" t="s">
        <v>109</v>
      </c>
      <c r="AB2275" t="s">
        <v>83</v>
      </c>
      <c r="AC2275">
        <f t="shared" si="385"/>
        <v>0</v>
      </c>
      <c r="AD2275" s="12">
        <f t="shared" si="389"/>
        <v>1</v>
      </c>
      <c r="AE2275" s="12">
        <f t="shared" si="390"/>
        <v>0</v>
      </c>
      <c r="AF2275">
        <f t="shared" si="386"/>
        <v>0</v>
      </c>
      <c r="AG2275">
        <f t="shared" si="391"/>
        <v>1</v>
      </c>
      <c r="AH2275">
        <f t="shared" si="392"/>
        <v>0</v>
      </c>
      <c r="AI2275">
        <f t="shared" si="393"/>
        <v>0</v>
      </c>
      <c r="AJ2275">
        <f t="shared" si="394"/>
        <v>0</v>
      </c>
      <c r="AK2275">
        <f t="shared" si="387"/>
        <v>0</v>
      </c>
      <c r="AL2275">
        <f t="shared" si="395"/>
        <v>0</v>
      </c>
    </row>
    <row r="2276" spans="1:38">
      <c r="A2276" t="s">
        <v>6955</v>
      </c>
      <c r="B2276" t="s">
        <v>6956</v>
      </c>
      <c r="C2276" s="1">
        <f t="shared" si="388"/>
        <v>45597</v>
      </c>
      <c r="D2276" t="s">
        <v>6957</v>
      </c>
      <c r="E2276">
        <v>100.5</v>
      </c>
      <c r="F2276">
        <v>4.2</v>
      </c>
      <c r="G2276" t="s">
        <v>101</v>
      </c>
      <c r="H2276" t="s">
        <v>295</v>
      </c>
      <c r="I2276" t="s">
        <v>48</v>
      </c>
      <c r="J2276">
        <v>120</v>
      </c>
      <c r="K2276" t="s">
        <v>49</v>
      </c>
      <c r="L2276" t="s">
        <v>34</v>
      </c>
      <c r="M2276" t="s">
        <v>35</v>
      </c>
      <c r="N2276" t="s">
        <v>164</v>
      </c>
      <c r="O2276" t="s">
        <v>7232</v>
      </c>
      <c r="P2276" t="s">
        <v>39</v>
      </c>
      <c r="Q2276" t="s">
        <v>38</v>
      </c>
      <c r="R2276">
        <v>0</v>
      </c>
      <c r="S2276" t="s">
        <v>38</v>
      </c>
      <c r="T2276">
        <v>8</v>
      </c>
      <c r="U2276">
        <v>0.4</v>
      </c>
      <c r="V2276">
        <v>21.1</v>
      </c>
      <c r="W2276" t="s">
        <v>38</v>
      </c>
      <c r="X2276" t="s">
        <v>40</v>
      </c>
      <c r="Y2276" t="s">
        <v>39</v>
      </c>
      <c r="Z2276" t="s">
        <v>108</v>
      </c>
      <c r="AA2276" t="s">
        <v>42</v>
      </c>
      <c r="AB2276" t="s">
        <v>83</v>
      </c>
      <c r="AC2276">
        <f t="shared" si="385"/>
        <v>0</v>
      </c>
      <c r="AD2276" s="12">
        <f t="shared" si="389"/>
        <v>0</v>
      </c>
      <c r="AE2276" s="12">
        <f t="shared" si="390"/>
        <v>0</v>
      </c>
      <c r="AF2276">
        <f t="shared" si="386"/>
        <v>0</v>
      </c>
      <c r="AG2276">
        <f t="shared" si="391"/>
        <v>1</v>
      </c>
      <c r="AH2276">
        <f t="shared" si="392"/>
        <v>1</v>
      </c>
      <c r="AI2276">
        <f t="shared" si="393"/>
        <v>0</v>
      </c>
      <c r="AJ2276">
        <f t="shared" si="394"/>
        <v>0</v>
      </c>
      <c r="AK2276">
        <f t="shared" si="387"/>
        <v>0</v>
      </c>
      <c r="AL2276">
        <f t="shared" si="395"/>
        <v>0</v>
      </c>
    </row>
    <row r="2277" spans="1:38">
      <c r="A2277" t="s">
        <v>6958</v>
      </c>
      <c r="B2277" t="s">
        <v>6959</v>
      </c>
      <c r="C2277" s="1">
        <f t="shared" si="388"/>
        <v>45323</v>
      </c>
      <c r="D2277" t="s">
        <v>6960</v>
      </c>
      <c r="E2277">
        <v>201.4</v>
      </c>
      <c r="F2277">
        <v>8.4</v>
      </c>
      <c r="G2277" t="s">
        <v>77</v>
      </c>
      <c r="H2277" t="s">
        <v>267</v>
      </c>
      <c r="I2277" t="s">
        <v>32</v>
      </c>
      <c r="J2277">
        <v>240</v>
      </c>
      <c r="K2277" t="s">
        <v>49</v>
      </c>
      <c r="L2277" t="s">
        <v>96</v>
      </c>
      <c r="M2277" t="s">
        <v>35</v>
      </c>
      <c r="N2277" t="s">
        <v>168</v>
      </c>
      <c r="O2277" t="s">
        <v>51</v>
      </c>
      <c r="P2277" t="s">
        <v>38</v>
      </c>
      <c r="Q2277" t="s">
        <v>38</v>
      </c>
      <c r="R2277">
        <v>1</v>
      </c>
      <c r="S2277" t="s">
        <v>39</v>
      </c>
      <c r="T2277">
        <v>8</v>
      </c>
      <c r="U2277">
        <v>3</v>
      </c>
      <c r="V2277">
        <v>31.6</v>
      </c>
      <c r="W2277" t="s">
        <v>39</v>
      </c>
      <c r="X2277" t="s">
        <v>63</v>
      </c>
      <c r="Y2277" t="s">
        <v>38</v>
      </c>
      <c r="Z2277" t="s">
        <v>41</v>
      </c>
      <c r="AA2277" t="s">
        <v>103</v>
      </c>
      <c r="AB2277" t="s">
        <v>55</v>
      </c>
      <c r="AC2277">
        <f t="shared" si="385"/>
        <v>0</v>
      </c>
      <c r="AD2277" s="12">
        <f t="shared" si="389"/>
        <v>1</v>
      </c>
      <c r="AE2277" s="12">
        <f t="shared" si="390"/>
        <v>0</v>
      </c>
      <c r="AF2277">
        <f t="shared" si="386"/>
        <v>1</v>
      </c>
      <c r="AG2277">
        <f t="shared" si="391"/>
        <v>0</v>
      </c>
      <c r="AH2277">
        <f t="shared" si="392"/>
        <v>0</v>
      </c>
      <c r="AI2277">
        <f t="shared" si="393"/>
        <v>0</v>
      </c>
      <c r="AJ2277">
        <f t="shared" si="394"/>
        <v>1</v>
      </c>
      <c r="AK2277">
        <f t="shared" si="387"/>
        <v>0</v>
      </c>
      <c r="AL2277">
        <f t="shared" si="395"/>
        <v>1</v>
      </c>
    </row>
    <row r="2278" spans="1:38">
      <c r="A2278" t="s">
        <v>6961</v>
      </c>
      <c r="B2278" t="s">
        <v>6962</v>
      </c>
      <c r="C2278" s="1">
        <f t="shared" si="388"/>
        <v>45597</v>
      </c>
      <c r="D2278" t="s">
        <v>6963</v>
      </c>
      <c r="E2278">
        <v>256.3</v>
      </c>
      <c r="F2278">
        <v>10.7</v>
      </c>
      <c r="G2278" t="s">
        <v>77</v>
      </c>
      <c r="H2278" t="s">
        <v>244</v>
      </c>
      <c r="I2278" t="s">
        <v>79</v>
      </c>
      <c r="J2278">
        <v>360</v>
      </c>
      <c r="K2278" t="s">
        <v>49</v>
      </c>
      <c r="L2278" t="s">
        <v>96</v>
      </c>
      <c r="M2278" t="s">
        <v>35</v>
      </c>
      <c r="N2278" t="s">
        <v>220</v>
      </c>
      <c r="O2278" t="s">
        <v>7232</v>
      </c>
      <c r="P2278" t="s">
        <v>38</v>
      </c>
      <c r="Q2278" t="s">
        <v>38</v>
      </c>
      <c r="R2278">
        <v>1</v>
      </c>
      <c r="S2278" t="s">
        <v>38</v>
      </c>
      <c r="T2278">
        <v>9</v>
      </c>
      <c r="U2278">
        <v>3.4</v>
      </c>
      <c r="V2278">
        <v>20.7</v>
      </c>
      <c r="W2278" t="s">
        <v>39</v>
      </c>
      <c r="X2278" t="s">
        <v>63</v>
      </c>
      <c r="Y2278" t="s">
        <v>39</v>
      </c>
      <c r="Z2278" t="s">
        <v>115</v>
      </c>
      <c r="AA2278" t="s">
        <v>42</v>
      </c>
      <c r="AB2278" t="s">
        <v>55</v>
      </c>
      <c r="AC2278">
        <f t="shared" si="385"/>
        <v>0</v>
      </c>
      <c r="AD2278" s="12">
        <f t="shared" si="389"/>
        <v>1</v>
      </c>
      <c r="AE2278" s="12">
        <f t="shared" si="390"/>
        <v>0</v>
      </c>
      <c r="AF2278">
        <f t="shared" si="386"/>
        <v>0</v>
      </c>
      <c r="AG2278">
        <f t="shared" si="391"/>
        <v>1</v>
      </c>
      <c r="AH2278">
        <f t="shared" si="392"/>
        <v>0</v>
      </c>
      <c r="AI2278">
        <f t="shared" si="393"/>
        <v>0</v>
      </c>
      <c r="AJ2278">
        <f t="shared" si="394"/>
        <v>0</v>
      </c>
      <c r="AK2278">
        <f t="shared" si="387"/>
        <v>0</v>
      </c>
      <c r="AL2278">
        <f t="shared" si="395"/>
        <v>0</v>
      </c>
    </row>
    <row r="2279" spans="1:38">
      <c r="A2279" t="s">
        <v>6964</v>
      </c>
      <c r="B2279" t="s">
        <v>6965</v>
      </c>
      <c r="C2279" s="1">
        <f t="shared" si="388"/>
        <v>45352</v>
      </c>
      <c r="D2279" t="s">
        <v>6966</v>
      </c>
      <c r="E2279">
        <v>331.6</v>
      </c>
      <c r="F2279">
        <v>13.8</v>
      </c>
      <c r="G2279" t="s">
        <v>30</v>
      </c>
      <c r="H2279" t="s">
        <v>172</v>
      </c>
      <c r="I2279" t="s">
        <v>48</v>
      </c>
      <c r="J2279">
        <v>120</v>
      </c>
      <c r="K2279" t="s">
        <v>33</v>
      </c>
      <c r="L2279" t="s">
        <v>113</v>
      </c>
      <c r="M2279" t="s">
        <v>35</v>
      </c>
      <c r="N2279" t="s">
        <v>119</v>
      </c>
      <c r="O2279" t="s">
        <v>7232</v>
      </c>
      <c r="P2279" t="s">
        <v>39</v>
      </c>
      <c r="Q2279" t="s">
        <v>38</v>
      </c>
      <c r="R2279">
        <v>0</v>
      </c>
      <c r="S2279" t="s">
        <v>38</v>
      </c>
      <c r="T2279">
        <v>7</v>
      </c>
      <c r="U2279">
        <v>1.4</v>
      </c>
      <c r="V2279">
        <v>27.8</v>
      </c>
      <c r="W2279" t="s">
        <v>39</v>
      </c>
      <c r="X2279" t="s">
        <v>52</v>
      </c>
      <c r="Y2279" t="s">
        <v>39</v>
      </c>
      <c r="Z2279" t="s">
        <v>53</v>
      </c>
      <c r="AA2279" t="s">
        <v>54</v>
      </c>
      <c r="AB2279" t="s">
        <v>83</v>
      </c>
      <c r="AC2279">
        <f t="shared" si="385"/>
        <v>1</v>
      </c>
      <c r="AD2279" s="12">
        <f t="shared" si="389"/>
        <v>0</v>
      </c>
      <c r="AE2279" s="12">
        <f t="shared" si="390"/>
        <v>0</v>
      </c>
      <c r="AF2279">
        <f t="shared" si="386"/>
        <v>0</v>
      </c>
      <c r="AG2279">
        <f t="shared" si="391"/>
        <v>1</v>
      </c>
      <c r="AH2279">
        <f t="shared" si="392"/>
        <v>1</v>
      </c>
      <c r="AI2279">
        <f t="shared" si="393"/>
        <v>0</v>
      </c>
      <c r="AJ2279">
        <f t="shared" si="394"/>
        <v>0</v>
      </c>
      <c r="AK2279">
        <f t="shared" si="387"/>
        <v>1</v>
      </c>
      <c r="AL2279">
        <f t="shared" si="395"/>
        <v>0</v>
      </c>
    </row>
    <row r="2280" spans="1:38">
      <c r="A2280" t="s">
        <v>6967</v>
      </c>
      <c r="B2280" t="s">
        <v>6968</v>
      </c>
      <c r="C2280" s="1">
        <f t="shared" si="388"/>
        <v>45536</v>
      </c>
      <c r="D2280" t="s">
        <v>6969</v>
      </c>
      <c r="E2280">
        <v>188.6</v>
      </c>
      <c r="F2280">
        <v>7.9</v>
      </c>
      <c r="G2280" t="s">
        <v>142</v>
      </c>
      <c r="H2280" t="s">
        <v>729</v>
      </c>
      <c r="I2280" t="s">
        <v>32</v>
      </c>
      <c r="J2280">
        <v>240</v>
      </c>
      <c r="K2280" t="s">
        <v>49</v>
      </c>
      <c r="L2280" t="s">
        <v>34</v>
      </c>
      <c r="M2280" t="s">
        <v>35</v>
      </c>
      <c r="N2280" t="s">
        <v>188</v>
      </c>
      <c r="O2280" t="s">
        <v>51</v>
      </c>
      <c r="P2280" t="s">
        <v>38</v>
      </c>
      <c r="Q2280" t="s">
        <v>38</v>
      </c>
      <c r="R2280">
        <v>1</v>
      </c>
      <c r="S2280" t="s">
        <v>38</v>
      </c>
      <c r="T2280">
        <v>7</v>
      </c>
      <c r="U2280">
        <v>2.9</v>
      </c>
      <c r="V2280">
        <v>22.5</v>
      </c>
      <c r="W2280" t="s">
        <v>39</v>
      </c>
      <c r="X2280" t="s">
        <v>63</v>
      </c>
      <c r="Y2280" t="s">
        <v>39</v>
      </c>
      <c r="Z2280" t="s">
        <v>179</v>
      </c>
      <c r="AA2280" t="s">
        <v>54</v>
      </c>
      <c r="AB2280" t="s">
        <v>83</v>
      </c>
      <c r="AC2280">
        <f t="shared" si="385"/>
        <v>0</v>
      </c>
      <c r="AD2280" s="12">
        <f t="shared" si="389"/>
        <v>1</v>
      </c>
      <c r="AE2280" s="12">
        <f t="shared" si="390"/>
        <v>0</v>
      </c>
      <c r="AF2280">
        <f t="shared" si="386"/>
        <v>1</v>
      </c>
      <c r="AG2280">
        <f t="shared" si="391"/>
        <v>0</v>
      </c>
      <c r="AH2280">
        <f t="shared" si="392"/>
        <v>0</v>
      </c>
      <c r="AI2280">
        <f t="shared" si="393"/>
        <v>0</v>
      </c>
      <c r="AJ2280">
        <f t="shared" si="394"/>
        <v>1</v>
      </c>
      <c r="AK2280">
        <f t="shared" si="387"/>
        <v>0</v>
      </c>
      <c r="AL2280">
        <f t="shared" si="395"/>
        <v>0</v>
      </c>
    </row>
    <row r="2281" spans="1:38">
      <c r="A2281" t="s">
        <v>6970</v>
      </c>
      <c r="B2281" t="s">
        <v>6971</v>
      </c>
      <c r="C2281" s="1">
        <f t="shared" si="388"/>
        <v>45352</v>
      </c>
      <c r="D2281" t="s">
        <v>6972</v>
      </c>
      <c r="E2281">
        <v>264.89999999999998</v>
      </c>
      <c r="F2281">
        <v>11</v>
      </c>
      <c r="G2281" t="s">
        <v>93</v>
      </c>
      <c r="H2281" t="s">
        <v>163</v>
      </c>
      <c r="I2281" t="s">
        <v>79</v>
      </c>
      <c r="J2281">
        <v>360</v>
      </c>
      <c r="K2281" t="s">
        <v>49</v>
      </c>
      <c r="L2281" t="s">
        <v>96</v>
      </c>
      <c r="M2281" t="s">
        <v>71</v>
      </c>
      <c r="N2281" t="s">
        <v>72</v>
      </c>
      <c r="O2281" t="s">
        <v>7232</v>
      </c>
      <c r="P2281" t="s">
        <v>38</v>
      </c>
      <c r="Q2281" t="s">
        <v>39</v>
      </c>
      <c r="R2281">
        <v>2</v>
      </c>
      <c r="S2281" t="s">
        <v>38</v>
      </c>
      <c r="T2281">
        <v>9</v>
      </c>
      <c r="U2281">
        <v>4.8</v>
      </c>
      <c r="V2281">
        <v>11.9</v>
      </c>
      <c r="W2281" t="s">
        <v>38</v>
      </c>
      <c r="X2281" t="s">
        <v>52</v>
      </c>
      <c r="Y2281" t="s">
        <v>39</v>
      </c>
      <c r="Z2281" t="s">
        <v>73</v>
      </c>
      <c r="AA2281" t="s">
        <v>54</v>
      </c>
      <c r="AB2281" t="s">
        <v>83</v>
      </c>
      <c r="AC2281">
        <f t="shared" si="385"/>
        <v>1</v>
      </c>
      <c r="AD2281" s="12">
        <f t="shared" si="389"/>
        <v>0</v>
      </c>
      <c r="AE2281" s="12">
        <f t="shared" si="390"/>
        <v>0</v>
      </c>
      <c r="AF2281">
        <f t="shared" si="386"/>
        <v>0</v>
      </c>
      <c r="AG2281">
        <f t="shared" si="391"/>
        <v>1</v>
      </c>
      <c r="AH2281">
        <f t="shared" si="392"/>
        <v>0</v>
      </c>
      <c r="AI2281">
        <f t="shared" si="393"/>
        <v>0</v>
      </c>
      <c r="AJ2281">
        <f t="shared" si="394"/>
        <v>0</v>
      </c>
      <c r="AK2281">
        <f t="shared" si="387"/>
        <v>0</v>
      </c>
      <c r="AL2281">
        <f t="shared" si="395"/>
        <v>0</v>
      </c>
    </row>
    <row r="2282" spans="1:38">
      <c r="A2282" t="s">
        <v>6973</v>
      </c>
      <c r="B2282" t="s">
        <v>6974</v>
      </c>
      <c r="C2282" s="1">
        <f t="shared" si="388"/>
        <v>45383</v>
      </c>
      <c r="D2282" t="s">
        <v>6975</v>
      </c>
      <c r="E2282">
        <v>275.8</v>
      </c>
      <c r="F2282">
        <v>11.5</v>
      </c>
      <c r="G2282" t="s">
        <v>59</v>
      </c>
      <c r="H2282" t="s">
        <v>132</v>
      </c>
      <c r="I2282" t="s">
        <v>79</v>
      </c>
      <c r="J2282">
        <v>360</v>
      </c>
      <c r="K2282" t="s">
        <v>49</v>
      </c>
      <c r="L2282" t="s">
        <v>34</v>
      </c>
      <c r="M2282" t="s">
        <v>71</v>
      </c>
      <c r="N2282" t="s">
        <v>72</v>
      </c>
      <c r="O2282" t="s">
        <v>37</v>
      </c>
      <c r="P2282" t="s">
        <v>38</v>
      </c>
      <c r="Q2282" t="s">
        <v>39</v>
      </c>
      <c r="R2282">
        <v>4</v>
      </c>
      <c r="S2282" t="s">
        <v>38</v>
      </c>
      <c r="T2282">
        <v>9</v>
      </c>
      <c r="U2282">
        <v>3.2</v>
      </c>
      <c r="V2282">
        <v>0</v>
      </c>
      <c r="W2282" t="s">
        <v>39</v>
      </c>
      <c r="X2282" t="s">
        <v>52</v>
      </c>
      <c r="Y2282" t="s">
        <v>39</v>
      </c>
      <c r="Z2282" t="s">
        <v>115</v>
      </c>
      <c r="AA2282" t="s">
        <v>82</v>
      </c>
      <c r="AB2282" t="s">
        <v>83</v>
      </c>
      <c r="AC2282">
        <f t="shared" si="385"/>
        <v>1</v>
      </c>
      <c r="AD2282" s="12">
        <f t="shared" si="389"/>
        <v>0</v>
      </c>
      <c r="AE2282" s="12">
        <f t="shared" si="390"/>
        <v>0</v>
      </c>
      <c r="AF2282">
        <f t="shared" si="386"/>
        <v>0</v>
      </c>
      <c r="AG2282">
        <f t="shared" si="391"/>
        <v>0</v>
      </c>
      <c r="AH2282">
        <f t="shared" si="392"/>
        <v>0</v>
      </c>
      <c r="AI2282">
        <f t="shared" si="393"/>
        <v>0</v>
      </c>
      <c r="AJ2282">
        <f t="shared" si="394"/>
        <v>0</v>
      </c>
      <c r="AK2282">
        <f t="shared" si="387"/>
        <v>0</v>
      </c>
      <c r="AL2282">
        <f t="shared" si="395"/>
        <v>0</v>
      </c>
    </row>
    <row r="2283" spans="1:38">
      <c r="A2283" t="s">
        <v>6976</v>
      </c>
      <c r="B2283" t="s">
        <v>6977</v>
      </c>
      <c r="C2283" s="1">
        <f t="shared" si="388"/>
        <v>45383</v>
      </c>
      <c r="D2283" t="s">
        <v>6978</v>
      </c>
      <c r="E2283">
        <v>166.6</v>
      </c>
      <c r="F2283">
        <v>6.9</v>
      </c>
      <c r="G2283" t="s">
        <v>59</v>
      </c>
      <c r="H2283" t="s">
        <v>227</v>
      </c>
      <c r="I2283" t="s">
        <v>32</v>
      </c>
      <c r="J2283">
        <v>240</v>
      </c>
      <c r="K2283" t="s">
        <v>49</v>
      </c>
      <c r="L2283" t="s">
        <v>70</v>
      </c>
      <c r="M2283" t="s">
        <v>35</v>
      </c>
      <c r="N2283" t="s">
        <v>277</v>
      </c>
      <c r="O2283" t="s">
        <v>51</v>
      </c>
      <c r="P2283" t="s">
        <v>38</v>
      </c>
      <c r="Q2283" t="s">
        <v>38</v>
      </c>
      <c r="R2283">
        <v>1</v>
      </c>
      <c r="S2283" t="s">
        <v>38</v>
      </c>
      <c r="T2283">
        <v>8</v>
      </c>
      <c r="U2283">
        <v>2</v>
      </c>
      <c r="V2283">
        <v>30.7</v>
      </c>
      <c r="W2283" t="s">
        <v>39</v>
      </c>
      <c r="X2283" t="s">
        <v>40</v>
      </c>
      <c r="Y2283" t="s">
        <v>39</v>
      </c>
      <c r="Z2283" t="s">
        <v>108</v>
      </c>
      <c r="AA2283" t="s">
        <v>54</v>
      </c>
      <c r="AB2283" t="s">
        <v>55</v>
      </c>
      <c r="AC2283">
        <f t="shared" si="385"/>
        <v>0</v>
      </c>
      <c r="AD2283" s="12">
        <f t="shared" si="389"/>
        <v>0</v>
      </c>
      <c r="AE2283" s="12">
        <f t="shared" si="390"/>
        <v>0</v>
      </c>
      <c r="AF2283">
        <f t="shared" si="386"/>
        <v>1</v>
      </c>
      <c r="AG2283">
        <f t="shared" si="391"/>
        <v>0</v>
      </c>
      <c r="AH2283">
        <f t="shared" si="392"/>
        <v>0</v>
      </c>
      <c r="AI2283">
        <f t="shared" si="393"/>
        <v>0</v>
      </c>
      <c r="AJ2283">
        <f t="shared" si="394"/>
        <v>1</v>
      </c>
      <c r="AK2283">
        <f t="shared" si="387"/>
        <v>0</v>
      </c>
      <c r="AL2283">
        <f t="shared" si="395"/>
        <v>0</v>
      </c>
    </row>
    <row r="2284" spans="1:38">
      <c r="A2284" t="s">
        <v>6979</v>
      </c>
      <c r="B2284" t="s">
        <v>6980</v>
      </c>
      <c r="C2284" s="1">
        <f t="shared" si="388"/>
        <v>45292</v>
      </c>
      <c r="D2284" t="s">
        <v>6981</v>
      </c>
      <c r="E2284">
        <v>192.2</v>
      </c>
      <c r="F2284">
        <v>8</v>
      </c>
      <c r="G2284" t="s">
        <v>93</v>
      </c>
      <c r="H2284" t="s">
        <v>94</v>
      </c>
      <c r="I2284" t="s">
        <v>32</v>
      </c>
      <c r="J2284">
        <v>240</v>
      </c>
      <c r="K2284" t="s">
        <v>49</v>
      </c>
      <c r="L2284" t="s">
        <v>96</v>
      </c>
      <c r="M2284" t="s">
        <v>71</v>
      </c>
      <c r="N2284" t="s">
        <v>80</v>
      </c>
      <c r="O2284" t="s">
        <v>37</v>
      </c>
      <c r="P2284" t="s">
        <v>38</v>
      </c>
      <c r="Q2284" t="s">
        <v>39</v>
      </c>
      <c r="R2284">
        <v>3</v>
      </c>
      <c r="S2284" t="s">
        <v>38</v>
      </c>
      <c r="T2284">
        <v>8</v>
      </c>
      <c r="U2284">
        <v>4.7</v>
      </c>
      <c r="V2284">
        <v>11.2</v>
      </c>
      <c r="W2284" t="s">
        <v>39</v>
      </c>
      <c r="X2284" t="s">
        <v>123</v>
      </c>
      <c r="Y2284" t="s">
        <v>39</v>
      </c>
      <c r="Z2284" t="s">
        <v>115</v>
      </c>
      <c r="AA2284" t="s">
        <v>109</v>
      </c>
      <c r="AB2284" t="s">
        <v>83</v>
      </c>
      <c r="AC2284">
        <f t="shared" si="385"/>
        <v>0</v>
      </c>
      <c r="AD2284" s="12">
        <f t="shared" si="389"/>
        <v>0</v>
      </c>
      <c r="AE2284" s="12">
        <f t="shared" si="390"/>
        <v>1</v>
      </c>
      <c r="AF2284">
        <f t="shared" si="386"/>
        <v>0</v>
      </c>
      <c r="AG2284">
        <f t="shared" si="391"/>
        <v>0</v>
      </c>
      <c r="AH2284">
        <f t="shared" si="392"/>
        <v>0</v>
      </c>
      <c r="AI2284">
        <f t="shared" si="393"/>
        <v>0</v>
      </c>
      <c r="AJ2284">
        <f t="shared" si="394"/>
        <v>1</v>
      </c>
      <c r="AK2284">
        <f t="shared" si="387"/>
        <v>0</v>
      </c>
      <c r="AL2284">
        <f t="shared" si="395"/>
        <v>0</v>
      </c>
    </row>
    <row r="2285" spans="1:38">
      <c r="A2285" t="s">
        <v>6982</v>
      </c>
      <c r="B2285" t="s">
        <v>6983</v>
      </c>
      <c r="C2285" s="1">
        <f t="shared" si="388"/>
        <v>45505</v>
      </c>
      <c r="D2285" t="s">
        <v>6984</v>
      </c>
      <c r="E2285">
        <v>152.5</v>
      </c>
      <c r="F2285">
        <v>6.4</v>
      </c>
      <c r="G2285" t="s">
        <v>30</v>
      </c>
      <c r="H2285" t="s">
        <v>47</v>
      </c>
      <c r="I2285" t="s">
        <v>32</v>
      </c>
      <c r="J2285">
        <v>240</v>
      </c>
      <c r="K2285" t="s">
        <v>49</v>
      </c>
      <c r="L2285" t="s">
        <v>70</v>
      </c>
      <c r="M2285" t="s">
        <v>35</v>
      </c>
      <c r="N2285" t="s">
        <v>202</v>
      </c>
      <c r="O2285" t="s">
        <v>51</v>
      </c>
      <c r="P2285" t="s">
        <v>39</v>
      </c>
      <c r="Q2285" t="s">
        <v>38</v>
      </c>
      <c r="R2285">
        <v>0</v>
      </c>
      <c r="S2285" t="s">
        <v>38</v>
      </c>
      <c r="T2285">
        <v>10</v>
      </c>
      <c r="U2285">
        <v>1.4</v>
      </c>
      <c r="V2285">
        <v>5.2</v>
      </c>
      <c r="W2285" t="s">
        <v>39</v>
      </c>
      <c r="X2285" t="s">
        <v>52</v>
      </c>
      <c r="Y2285" t="s">
        <v>39</v>
      </c>
      <c r="Z2285" t="s">
        <v>115</v>
      </c>
      <c r="AA2285" t="s">
        <v>54</v>
      </c>
      <c r="AB2285" t="s">
        <v>55</v>
      </c>
      <c r="AC2285">
        <f t="shared" si="385"/>
        <v>1</v>
      </c>
      <c r="AD2285" s="12">
        <f t="shared" si="389"/>
        <v>0</v>
      </c>
      <c r="AE2285" s="12">
        <f t="shared" si="390"/>
        <v>0</v>
      </c>
      <c r="AF2285">
        <f t="shared" si="386"/>
        <v>1</v>
      </c>
      <c r="AG2285">
        <f t="shared" si="391"/>
        <v>0</v>
      </c>
      <c r="AH2285">
        <f t="shared" si="392"/>
        <v>0</v>
      </c>
      <c r="AI2285">
        <f t="shared" si="393"/>
        <v>0</v>
      </c>
      <c r="AJ2285">
        <f t="shared" si="394"/>
        <v>1</v>
      </c>
      <c r="AK2285">
        <f t="shared" si="387"/>
        <v>1</v>
      </c>
      <c r="AL2285">
        <f t="shared" si="395"/>
        <v>0</v>
      </c>
    </row>
    <row r="2286" spans="1:38">
      <c r="A2286" t="s">
        <v>6985</v>
      </c>
      <c r="B2286" t="s">
        <v>6986</v>
      </c>
      <c r="C2286" s="1">
        <f t="shared" si="388"/>
        <v>45444</v>
      </c>
      <c r="D2286" t="s">
        <v>6987</v>
      </c>
      <c r="E2286">
        <v>161.80000000000001</v>
      </c>
      <c r="F2286">
        <v>6.7</v>
      </c>
      <c r="G2286" t="s">
        <v>77</v>
      </c>
      <c r="H2286" t="s">
        <v>187</v>
      </c>
      <c r="I2286" t="s">
        <v>32</v>
      </c>
      <c r="J2286">
        <v>240</v>
      </c>
      <c r="K2286" t="s">
        <v>49</v>
      </c>
      <c r="L2286" t="s">
        <v>133</v>
      </c>
      <c r="M2286" t="s">
        <v>35</v>
      </c>
      <c r="N2286" t="s">
        <v>506</v>
      </c>
      <c r="O2286" t="s">
        <v>51</v>
      </c>
      <c r="P2286" t="s">
        <v>39</v>
      </c>
      <c r="Q2286" t="s">
        <v>38</v>
      </c>
      <c r="R2286">
        <v>0</v>
      </c>
      <c r="S2286" t="s">
        <v>38</v>
      </c>
      <c r="T2286">
        <v>10</v>
      </c>
      <c r="U2286">
        <v>3.7</v>
      </c>
      <c r="V2286">
        <v>0</v>
      </c>
      <c r="W2286" t="s">
        <v>39</v>
      </c>
      <c r="X2286" t="s">
        <v>63</v>
      </c>
      <c r="Y2286" t="s">
        <v>39</v>
      </c>
      <c r="Z2286" t="s">
        <v>179</v>
      </c>
      <c r="AA2286" t="s">
        <v>82</v>
      </c>
      <c r="AB2286" t="s">
        <v>55</v>
      </c>
      <c r="AC2286">
        <f t="shared" si="385"/>
        <v>0</v>
      </c>
      <c r="AD2286" s="12">
        <f t="shared" si="389"/>
        <v>1</v>
      </c>
      <c r="AE2286" s="12">
        <f t="shared" si="390"/>
        <v>0</v>
      </c>
      <c r="AF2286">
        <f t="shared" si="386"/>
        <v>1</v>
      </c>
      <c r="AG2286">
        <f t="shared" si="391"/>
        <v>0</v>
      </c>
      <c r="AH2286">
        <f t="shared" si="392"/>
        <v>0</v>
      </c>
      <c r="AI2286">
        <f t="shared" si="393"/>
        <v>0</v>
      </c>
      <c r="AJ2286">
        <f t="shared" si="394"/>
        <v>1</v>
      </c>
      <c r="AK2286">
        <f t="shared" si="387"/>
        <v>0</v>
      </c>
      <c r="AL2286">
        <f t="shared" si="395"/>
        <v>0</v>
      </c>
    </row>
    <row r="2287" spans="1:38">
      <c r="A2287" t="s">
        <v>6988</v>
      </c>
      <c r="B2287" t="s">
        <v>6989</v>
      </c>
      <c r="C2287" s="1">
        <f t="shared" si="388"/>
        <v>45597</v>
      </c>
      <c r="D2287" t="s">
        <v>6990</v>
      </c>
      <c r="E2287">
        <v>93.9</v>
      </c>
      <c r="F2287">
        <v>3.9</v>
      </c>
      <c r="G2287" t="s">
        <v>101</v>
      </c>
      <c r="H2287" t="s">
        <v>368</v>
      </c>
      <c r="I2287" t="s">
        <v>48</v>
      </c>
      <c r="J2287">
        <v>120</v>
      </c>
      <c r="K2287" t="s">
        <v>49</v>
      </c>
      <c r="L2287" t="s">
        <v>70</v>
      </c>
      <c r="M2287" t="s">
        <v>35</v>
      </c>
      <c r="N2287" t="s">
        <v>36</v>
      </c>
      <c r="O2287" t="s">
        <v>51</v>
      </c>
      <c r="P2287" t="s">
        <v>38</v>
      </c>
      <c r="Q2287" t="s">
        <v>38</v>
      </c>
      <c r="R2287">
        <v>1</v>
      </c>
      <c r="S2287" t="s">
        <v>39</v>
      </c>
      <c r="T2287">
        <v>7</v>
      </c>
      <c r="U2287">
        <v>0.1</v>
      </c>
      <c r="V2287">
        <v>23.4</v>
      </c>
      <c r="W2287" t="s">
        <v>39</v>
      </c>
      <c r="X2287" t="s">
        <v>63</v>
      </c>
      <c r="Y2287" t="s">
        <v>38</v>
      </c>
      <c r="Z2287" t="s">
        <v>179</v>
      </c>
      <c r="AA2287" t="s">
        <v>109</v>
      </c>
      <c r="AB2287" t="s">
        <v>55</v>
      </c>
      <c r="AC2287">
        <f t="shared" si="385"/>
        <v>0</v>
      </c>
      <c r="AD2287" s="12">
        <f t="shared" si="389"/>
        <v>1</v>
      </c>
      <c r="AE2287" s="12">
        <f t="shared" si="390"/>
        <v>0</v>
      </c>
      <c r="AF2287">
        <f t="shared" si="386"/>
        <v>1</v>
      </c>
      <c r="AG2287">
        <f t="shared" si="391"/>
        <v>0</v>
      </c>
      <c r="AH2287">
        <f t="shared" si="392"/>
        <v>1</v>
      </c>
      <c r="AI2287">
        <f t="shared" si="393"/>
        <v>0</v>
      </c>
      <c r="AJ2287">
        <f t="shared" si="394"/>
        <v>0</v>
      </c>
      <c r="AK2287">
        <f t="shared" si="387"/>
        <v>0</v>
      </c>
      <c r="AL2287">
        <f t="shared" si="395"/>
        <v>1</v>
      </c>
    </row>
    <row r="2288" spans="1:38">
      <c r="A2288" t="s">
        <v>6991</v>
      </c>
      <c r="B2288" t="s">
        <v>6992</v>
      </c>
      <c r="C2288" s="1">
        <f t="shared" si="388"/>
        <v>45474</v>
      </c>
      <c r="D2288" t="s">
        <v>6993</v>
      </c>
      <c r="E2288">
        <v>85.8</v>
      </c>
      <c r="F2288">
        <v>3.6</v>
      </c>
      <c r="G2288" t="s">
        <v>87</v>
      </c>
      <c r="H2288" t="s">
        <v>151</v>
      </c>
      <c r="I2288" t="s">
        <v>48</v>
      </c>
      <c r="J2288">
        <v>120</v>
      </c>
      <c r="K2288" t="s">
        <v>49</v>
      </c>
      <c r="L2288" t="s">
        <v>70</v>
      </c>
      <c r="M2288" t="s">
        <v>71</v>
      </c>
      <c r="N2288" t="s">
        <v>192</v>
      </c>
      <c r="O2288" t="s">
        <v>7232</v>
      </c>
      <c r="P2288" t="s">
        <v>38</v>
      </c>
      <c r="Q2288" t="s">
        <v>39</v>
      </c>
      <c r="R2288">
        <v>2</v>
      </c>
      <c r="S2288" t="s">
        <v>38</v>
      </c>
      <c r="T2288">
        <v>8</v>
      </c>
      <c r="U2288">
        <v>5.5</v>
      </c>
      <c r="V2288">
        <v>23.8</v>
      </c>
      <c r="W2288" t="s">
        <v>39</v>
      </c>
      <c r="X2288" t="s">
        <v>63</v>
      </c>
      <c r="Y2288" t="s">
        <v>39</v>
      </c>
      <c r="Z2288" t="s">
        <v>53</v>
      </c>
      <c r="AA2288" t="s">
        <v>42</v>
      </c>
      <c r="AB2288" t="s">
        <v>83</v>
      </c>
      <c r="AC2288">
        <f t="shared" si="385"/>
        <v>0</v>
      </c>
      <c r="AD2288" s="12">
        <f t="shared" si="389"/>
        <v>1</v>
      </c>
      <c r="AE2288" s="12">
        <f t="shared" si="390"/>
        <v>0</v>
      </c>
      <c r="AF2288">
        <f t="shared" si="386"/>
        <v>0</v>
      </c>
      <c r="AG2288">
        <f t="shared" si="391"/>
        <v>1</v>
      </c>
      <c r="AH2288">
        <f t="shared" si="392"/>
        <v>1</v>
      </c>
      <c r="AI2288">
        <f t="shared" si="393"/>
        <v>0</v>
      </c>
      <c r="AJ2288">
        <f t="shared" si="394"/>
        <v>0</v>
      </c>
      <c r="AK2288">
        <f t="shared" si="387"/>
        <v>0</v>
      </c>
      <c r="AL2288">
        <f t="shared" si="395"/>
        <v>0</v>
      </c>
    </row>
    <row r="2289" spans="1:38">
      <c r="A2289" t="s">
        <v>6994</v>
      </c>
      <c r="B2289" t="s">
        <v>6995</v>
      </c>
      <c r="C2289" s="1">
        <f t="shared" si="388"/>
        <v>45292</v>
      </c>
      <c r="D2289" t="s">
        <v>6996</v>
      </c>
      <c r="E2289">
        <v>234.7</v>
      </c>
      <c r="F2289">
        <v>9.8000000000000007</v>
      </c>
      <c r="G2289" t="s">
        <v>87</v>
      </c>
      <c r="H2289" t="s">
        <v>309</v>
      </c>
      <c r="I2289" t="s">
        <v>79</v>
      </c>
      <c r="J2289">
        <v>360</v>
      </c>
      <c r="K2289" t="s">
        <v>49</v>
      </c>
      <c r="L2289" t="s">
        <v>34</v>
      </c>
      <c r="M2289" t="s">
        <v>71</v>
      </c>
      <c r="N2289" t="s">
        <v>138</v>
      </c>
      <c r="O2289" t="s">
        <v>7232</v>
      </c>
      <c r="P2289" t="s">
        <v>38</v>
      </c>
      <c r="Q2289" t="s">
        <v>39</v>
      </c>
      <c r="R2289">
        <v>1</v>
      </c>
      <c r="S2289" t="s">
        <v>38</v>
      </c>
      <c r="T2289">
        <v>8</v>
      </c>
      <c r="U2289">
        <v>3.4</v>
      </c>
      <c r="V2289">
        <v>20.9</v>
      </c>
      <c r="W2289" t="s">
        <v>39</v>
      </c>
      <c r="X2289" t="s">
        <v>63</v>
      </c>
      <c r="Y2289" t="s">
        <v>39</v>
      </c>
      <c r="Z2289" t="s">
        <v>53</v>
      </c>
      <c r="AA2289" t="s">
        <v>42</v>
      </c>
      <c r="AB2289" t="s">
        <v>83</v>
      </c>
      <c r="AC2289">
        <f t="shared" si="385"/>
        <v>0</v>
      </c>
      <c r="AD2289" s="12">
        <f t="shared" si="389"/>
        <v>1</v>
      </c>
      <c r="AE2289" s="12">
        <f t="shared" si="390"/>
        <v>0</v>
      </c>
      <c r="AF2289">
        <f t="shared" si="386"/>
        <v>0</v>
      </c>
      <c r="AG2289">
        <f t="shared" si="391"/>
        <v>1</v>
      </c>
      <c r="AH2289">
        <f t="shared" si="392"/>
        <v>0</v>
      </c>
      <c r="AI2289">
        <f t="shared" si="393"/>
        <v>0</v>
      </c>
      <c r="AJ2289">
        <f t="shared" si="394"/>
        <v>0</v>
      </c>
      <c r="AK2289">
        <f t="shared" si="387"/>
        <v>0</v>
      </c>
      <c r="AL2289">
        <f t="shared" si="395"/>
        <v>0</v>
      </c>
    </row>
    <row r="2290" spans="1:38">
      <c r="A2290" t="s">
        <v>6997</v>
      </c>
      <c r="B2290" t="s">
        <v>6998</v>
      </c>
      <c r="C2290" s="1">
        <f t="shared" si="388"/>
        <v>45292</v>
      </c>
      <c r="D2290" t="s">
        <v>6999</v>
      </c>
      <c r="E2290">
        <v>173.2</v>
      </c>
      <c r="F2290">
        <v>7.2</v>
      </c>
      <c r="G2290" t="s">
        <v>87</v>
      </c>
      <c r="H2290" t="s">
        <v>88</v>
      </c>
      <c r="I2290" t="s">
        <v>32</v>
      </c>
      <c r="J2290">
        <v>240</v>
      </c>
      <c r="K2290" t="s">
        <v>49</v>
      </c>
      <c r="L2290" t="s">
        <v>113</v>
      </c>
      <c r="M2290" t="s">
        <v>35</v>
      </c>
      <c r="N2290" t="s">
        <v>277</v>
      </c>
      <c r="O2290" t="s">
        <v>51</v>
      </c>
      <c r="P2290" t="s">
        <v>38</v>
      </c>
      <c r="Q2290" t="s">
        <v>38</v>
      </c>
      <c r="R2290">
        <v>1</v>
      </c>
      <c r="S2290" t="s">
        <v>38</v>
      </c>
      <c r="T2290">
        <v>8</v>
      </c>
      <c r="U2290">
        <v>4.5999999999999996</v>
      </c>
      <c r="V2290">
        <v>25.3</v>
      </c>
      <c r="W2290" t="s">
        <v>39</v>
      </c>
      <c r="X2290" t="s">
        <v>52</v>
      </c>
      <c r="Y2290" t="s">
        <v>38</v>
      </c>
      <c r="Z2290" t="s">
        <v>81</v>
      </c>
      <c r="AA2290" t="s">
        <v>82</v>
      </c>
      <c r="AB2290" t="s">
        <v>83</v>
      </c>
      <c r="AC2290">
        <f t="shared" si="385"/>
        <v>1</v>
      </c>
      <c r="AD2290" s="12">
        <f t="shared" si="389"/>
        <v>0</v>
      </c>
      <c r="AE2290" s="12">
        <f t="shared" si="390"/>
        <v>0</v>
      </c>
      <c r="AF2290">
        <f t="shared" si="386"/>
        <v>1</v>
      </c>
      <c r="AG2290">
        <f t="shared" si="391"/>
        <v>0</v>
      </c>
      <c r="AH2290">
        <f t="shared" si="392"/>
        <v>0</v>
      </c>
      <c r="AI2290">
        <f t="shared" si="393"/>
        <v>0</v>
      </c>
      <c r="AJ2290">
        <f t="shared" si="394"/>
        <v>1</v>
      </c>
      <c r="AK2290">
        <f t="shared" si="387"/>
        <v>0</v>
      </c>
      <c r="AL2290">
        <f t="shared" si="395"/>
        <v>1</v>
      </c>
    </row>
    <row r="2291" spans="1:38">
      <c r="A2291" t="s">
        <v>7000</v>
      </c>
      <c r="B2291" t="s">
        <v>7001</v>
      </c>
      <c r="C2291" s="1">
        <f t="shared" si="388"/>
        <v>45292</v>
      </c>
      <c r="D2291" t="s">
        <v>7002</v>
      </c>
      <c r="E2291">
        <v>40.5</v>
      </c>
      <c r="F2291">
        <v>1.7</v>
      </c>
      <c r="G2291" t="s">
        <v>68</v>
      </c>
      <c r="H2291" t="s">
        <v>212</v>
      </c>
      <c r="I2291" t="s">
        <v>95</v>
      </c>
      <c r="J2291">
        <v>48</v>
      </c>
      <c r="K2291" t="s">
        <v>49</v>
      </c>
      <c r="L2291" t="s">
        <v>113</v>
      </c>
      <c r="M2291" t="s">
        <v>35</v>
      </c>
      <c r="N2291" t="s">
        <v>220</v>
      </c>
      <c r="O2291" t="s">
        <v>7232</v>
      </c>
      <c r="P2291" t="s">
        <v>39</v>
      </c>
      <c r="Q2291" t="s">
        <v>38</v>
      </c>
      <c r="R2291">
        <v>0</v>
      </c>
      <c r="S2291" t="s">
        <v>38</v>
      </c>
      <c r="T2291">
        <v>10</v>
      </c>
      <c r="U2291">
        <v>0.1</v>
      </c>
      <c r="V2291">
        <v>13.5</v>
      </c>
      <c r="W2291" t="s">
        <v>38</v>
      </c>
      <c r="X2291" t="s">
        <v>52</v>
      </c>
      <c r="Y2291" t="s">
        <v>39</v>
      </c>
      <c r="Z2291" t="s">
        <v>108</v>
      </c>
      <c r="AA2291" t="s">
        <v>109</v>
      </c>
      <c r="AB2291" t="s">
        <v>83</v>
      </c>
      <c r="AC2291">
        <f t="shared" si="385"/>
        <v>1</v>
      </c>
      <c r="AD2291" s="12">
        <f t="shared" si="389"/>
        <v>0</v>
      </c>
      <c r="AE2291" s="12">
        <f t="shared" si="390"/>
        <v>0</v>
      </c>
      <c r="AF2291">
        <f t="shared" si="386"/>
        <v>0</v>
      </c>
      <c r="AG2291">
        <f t="shared" si="391"/>
        <v>1</v>
      </c>
      <c r="AH2291">
        <f t="shared" si="392"/>
        <v>0</v>
      </c>
      <c r="AI2291">
        <f t="shared" si="393"/>
        <v>1</v>
      </c>
      <c r="AJ2291">
        <f t="shared" si="394"/>
        <v>0</v>
      </c>
      <c r="AK2291">
        <f t="shared" si="387"/>
        <v>0</v>
      </c>
      <c r="AL2291">
        <f t="shared" si="395"/>
        <v>0</v>
      </c>
    </row>
    <row r="2292" spans="1:38">
      <c r="A2292" t="s">
        <v>7003</v>
      </c>
      <c r="B2292" t="s">
        <v>7004</v>
      </c>
      <c r="C2292" s="1">
        <f t="shared" si="388"/>
        <v>45323</v>
      </c>
      <c r="D2292" t="s">
        <v>7005</v>
      </c>
      <c r="E2292">
        <v>337.9</v>
      </c>
      <c r="F2292">
        <v>14.1</v>
      </c>
      <c r="G2292" t="s">
        <v>101</v>
      </c>
      <c r="H2292" t="s">
        <v>368</v>
      </c>
      <c r="I2292" t="s">
        <v>48</v>
      </c>
      <c r="J2292">
        <v>120</v>
      </c>
      <c r="K2292" t="s">
        <v>33</v>
      </c>
      <c r="L2292" t="s">
        <v>96</v>
      </c>
      <c r="M2292" t="s">
        <v>35</v>
      </c>
      <c r="N2292" t="s">
        <v>164</v>
      </c>
      <c r="O2292" t="s">
        <v>51</v>
      </c>
      <c r="P2292" t="s">
        <v>38</v>
      </c>
      <c r="Q2292" t="s">
        <v>38</v>
      </c>
      <c r="R2292">
        <v>1</v>
      </c>
      <c r="S2292" t="s">
        <v>38</v>
      </c>
      <c r="T2292">
        <v>7</v>
      </c>
      <c r="U2292">
        <v>6.2</v>
      </c>
      <c r="V2292">
        <v>29.4</v>
      </c>
      <c r="W2292" t="s">
        <v>39</v>
      </c>
      <c r="X2292" t="s">
        <v>63</v>
      </c>
      <c r="Y2292" t="s">
        <v>39</v>
      </c>
      <c r="Z2292" t="s">
        <v>64</v>
      </c>
      <c r="AA2292" t="s">
        <v>82</v>
      </c>
      <c r="AB2292" t="s">
        <v>55</v>
      </c>
      <c r="AC2292">
        <f t="shared" si="385"/>
        <v>0</v>
      </c>
      <c r="AD2292" s="12">
        <f t="shared" si="389"/>
        <v>1</v>
      </c>
      <c r="AE2292" s="12">
        <f t="shared" si="390"/>
        <v>0</v>
      </c>
      <c r="AF2292">
        <f t="shared" si="386"/>
        <v>1</v>
      </c>
      <c r="AG2292">
        <f t="shared" si="391"/>
        <v>0</v>
      </c>
      <c r="AH2292">
        <f t="shared" si="392"/>
        <v>1</v>
      </c>
      <c r="AI2292">
        <f t="shared" si="393"/>
        <v>0</v>
      </c>
      <c r="AJ2292">
        <f t="shared" si="394"/>
        <v>0</v>
      </c>
      <c r="AK2292">
        <f t="shared" si="387"/>
        <v>0</v>
      </c>
      <c r="AL2292">
        <f t="shared" si="395"/>
        <v>0</v>
      </c>
    </row>
    <row r="2293" spans="1:38">
      <c r="A2293" t="s">
        <v>7006</v>
      </c>
      <c r="B2293" t="s">
        <v>7007</v>
      </c>
      <c r="C2293" s="1">
        <f t="shared" si="388"/>
        <v>45444</v>
      </c>
      <c r="D2293" t="s">
        <v>7008</v>
      </c>
      <c r="E2293">
        <v>44.2</v>
      </c>
      <c r="F2293">
        <v>1.8</v>
      </c>
      <c r="G2293" t="s">
        <v>59</v>
      </c>
      <c r="H2293" t="s">
        <v>132</v>
      </c>
      <c r="I2293" t="s">
        <v>95</v>
      </c>
      <c r="J2293">
        <v>48</v>
      </c>
      <c r="K2293" t="s">
        <v>49</v>
      </c>
      <c r="L2293" t="s">
        <v>113</v>
      </c>
      <c r="M2293" t="s">
        <v>71</v>
      </c>
      <c r="N2293" t="s">
        <v>50</v>
      </c>
      <c r="O2293" t="s">
        <v>7232</v>
      </c>
      <c r="P2293" t="s">
        <v>38</v>
      </c>
      <c r="Q2293" t="s">
        <v>39</v>
      </c>
      <c r="R2293">
        <v>1</v>
      </c>
      <c r="S2293" t="s">
        <v>39</v>
      </c>
      <c r="T2293">
        <v>8</v>
      </c>
      <c r="U2293">
        <v>0.1</v>
      </c>
      <c r="V2293">
        <v>6.7</v>
      </c>
      <c r="W2293" t="s">
        <v>39</v>
      </c>
      <c r="X2293" t="s">
        <v>40</v>
      </c>
      <c r="Y2293" t="s">
        <v>38</v>
      </c>
      <c r="Z2293" t="s">
        <v>41</v>
      </c>
      <c r="AA2293" t="s">
        <v>54</v>
      </c>
      <c r="AB2293" t="s">
        <v>55</v>
      </c>
      <c r="AC2293">
        <f t="shared" si="385"/>
        <v>0</v>
      </c>
      <c r="AD2293" s="12">
        <f t="shared" si="389"/>
        <v>0</v>
      </c>
      <c r="AE2293" s="12">
        <f t="shared" si="390"/>
        <v>0</v>
      </c>
      <c r="AF2293">
        <f t="shared" si="386"/>
        <v>0</v>
      </c>
      <c r="AG2293">
        <f t="shared" si="391"/>
        <v>1</v>
      </c>
      <c r="AH2293">
        <f t="shared" si="392"/>
        <v>0</v>
      </c>
      <c r="AI2293">
        <f t="shared" si="393"/>
        <v>1</v>
      </c>
      <c r="AJ2293">
        <f t="shared" si="394"/>
        <v>0</v>
      </c>
      <c r="AK2293">
        <f t="shared" si="387"/>
        <v>0</v>
      </c>
      <c r="AL2293">
        <f t="shared" si="395"/>
        <v>1</v>
      </c>
    </row>
    <row r="2294" spans="1:38">
      <c r="A2294" t="s">
        <v>7009</v>
      </c>
      <c r="B2294" t="s">
        <v>7010</v>
      </c>
      <c r="C2294" s="1">
        <f t="shared" si="388"/>
        <v>45566</v>
      </c>
      <c r="D2294" t="s">
        <v>7011</v>
      </c>
      <c r="E2294">
        <v>96.9</v>
      </c>
      <c r="F2294">
        <v>4</v>
      </c>
      <c r="G2294" t="s">
        <v>68</v>
      </c>
      <c r="H2294" t="s">
        <v>212</v>
      </c>
      <c r="I2294" t="s">
        <v>48</v>
      </c>
      <c r="J2294">
        <v>120</v>
      </c>
      <c r="K2294" t="s">
        <v>49</v>
      </c>
      <c r="L2294" t="s">
        <v>96</v>
      </c>
      <c r="M2294" t="s">
        <v>71</v>
      </c>
      <c r="N2294" t="s">
        <v>119</v>
      </c>
      <c r="O2294" t="s">
        <v>51</v>
      </c>
      <c r="P2294" t="s">
        <v>38</v>
      </c>
      <c r="Q2294" t="s">
        <v>39</v>
      </c>
      <c r="R2294">
        <v>2</v>
      </c>
      <c r="S2294" t="s">
        <v>39</v>
      </c>
      <c r="T2294">
        <v>7</v>
      </c>
      <c r="U2294">
        <v>2</v>
      </c>
      <c r="V2294">
        <v>19.5</v>
      </c>
      <c r="W2294" t="s">
        <v>38</v>
      </c>
      <c r="X2294" t="s">
        <v>63</v>
      </c>
      <c r="Y2294" t="s">
        <v>38</v>
      </c>
      <c r="Z2294" t="s">
        <v>64</v>
      </c>
      <c r="AA2294" t="s">
        <v>103</v>
      </c>
      <c r="AB2294" t="s">
        <v>55</v>
      </c>
      <c r="AC2294">
        <f t="shared" si="385"/>
        <v>0</v>
      </c>
      <c r="AD2294" s="12">
        <f t="shared" si="389"/>
        <v>1</v>
      </c>
      <c r="AE2294" s="12">
        <f t="shared" si="390"/>
        <v>0</v>
      </c>
      <c r="AF2294">
        <f t="shared" si="386"/>
        <v>1</v>
      </c>
      <c r="AG2294">
        <f t="shared" si="391"/>
        <v>0</v>
      </c>
      <c r="AH2294">
        <f t="shared" si="392"/>
        <v>1</v>
      </c>
      <c r="AI2294">
        <f t="shared" si="393"/>
        <v>0</v>
      </c>
      <c r="AJ2294">
        <f t="shared" si="394"/>
        <v>0</v>
      </c>
      <c r="AK2294">
        <f t="shared" si="387"/>
        <v>0</v>
      </c>
      <c r="AL2294">
        <f t="shared" si="395"/>
        <v>1</v>
      </c>
    </row>
    <row r="2295" spans="1:38">
      <c r="A2295" t="s">
        <v>7012</v>
      </c>
      <c r="B2295" t="s">
        <v>7013</v>
      </c>
      <c r="C2295" s="1">
        <f t="shared" si="388"/>
        <v>45566</v>
      </c>
      <c r="D2295" t="s">
        <v>7014</v>
      </c>
      <c r="E2295">
        <v>325.89999999999998</v>
      </c>
      <c r="F2295">
        <v>13.6</v>
      </c>
      <c r="G2295" t="s">
        <v>142</v>
      </c>
      <c r="H2295" t="s">
        <v>319</v>
      </c>
      <c r="I2295" t="s">
        <v>32</v>
      </c>
      <c r="J2295">
        <v>240</v>
      </c>
      <c r="K2295" t="s">
        <v>33</v>
      </c>
      <c r="L2295" t="s">
        <v>96</v>
      </c>
      <c r="M2295" t="s">
        <v>35</v>
      </c>
      <c r="N2295" t="s">
        <v>134</v>
      </c>
      <c r="O2295" t="s">
        <v>7232</v>
      </c>
      <c r="P2295" t="s">
        <v>39</v>
      </c>
      <c r="Q2295" t="s">
        <v>38</v>
      </c>
      <c r="R2295">
        <v>0</v>
      </c>
      <c r="S2295" t="s">
        <v>38</v>
      </c>
      <c r="T2295">
        <v>7</v>
      </c>
      <c r="U2295">
        <v>1.1000000000000001</v>
      </c>
      <c r="V2295">
        <v>9.9</v>
      </c>
      <c r="W2295" t="s">
        <v>39</v>
      </c>
      <c r="X2295" t="s">
        <v>63</v>
      </c>
      <c r="Y2295" t="s">
        <v>39</v>
      </c>
      <c r="Z2295" t="s">
        <v>41</v>
      </c>
      <c r="AA2295" t="s">
        <v>42</v>
      </c>
      <c r="AB2295" t="s">
        <v>83</v>
      </c>
      <c r="AC2295">
        <f t="shared" si="385"/>
        <v>0</v>
      </c>
      <c r="AD2295" s="12">
        <f t="shared" si="389"/>
        <v>1</v>
      </c>
      <c r="AE2295" s="12">
        <f t="shared" si="390"/>
        <v>0</v>
      </c>
      <c r="AF2295">
        <f t="shared" si="386"/>
        <v>0</v>
      </c>
      <c r="AG2295">
        <f t="shared" si="391"/>
        <v>1</v>
      </c>
      <c r="AH2295">
        <f t="shared" si="392"/>
        <v>0</v>
      </c>
      <c r="AI2295">
        <f t="shared" si="393"/>
        <v>0</v>
      </c>
      <c r="AJ2295">
        <f t="shared" si="394"/>
        <v>1</v>
      </c>
      <c r="AK2295">
        <f t="shared" si="387"/>
        <v>0</v>
      </c>
      <c r="AL2295">
        <f t="shared" si="395"/>
        <v>0</v>
      </c>
    </row>
    <row r="2296" spans="1:38">
      <c r="A2296" t="s">
        <v>7015</v>
      </c>
      <c r="B2296" t="s">
        <v>7016</v>
      </c>
      <c r="C2296" s="1">
        <f t="shared" si="388"/>
        <v>45383</v>
      </c>
      <c r="D2296" t="s">
        <v>7017</v>
      </c>
      <c r="E2296">
        <v>102.4</v>
      </c>
      <c r="F2296">
        <v>4.3</v>
      </c>
      <c r="G2296" t="s">
        <v>30</v>
      </c>
      <c r="H2296" t="s">
        <v>47</v>
      </c>
      <c r="I2296" t="s">
        <v>48</v>
      </c>
      <c r="J2296">
        <v>120</v>
      </c>
      <c r="K2296" t="s">
        <v>49</v>
      </c>
      <c r="L2296" t="s">
        <v>96</v>
      </c>
      <c r="M2296" t="s">
        <v>35</v>
      </c>
      <c r="N2296" t="s">
        <v>414</v>
      </c>
      <c r="O2296" t="s">
        <v>7232</v>
      </c>
      <c r="P2296" t="s">
        <v>39</v>
      </c>
      <c r="Q2296" t="s">
        <v>38</v>
      </c>
      <c r="R2296">
        <v>0</v>
      </c>
      <c r="S2296" t="s">
        <v>38</v>
      </c>
      <c r="T2296">
        <v>10</v>
      </c>
      <c r="U2296">
        <v>1.7</v>
      </c>
      <c r="V2296">
        <v>24.7</v>
      </c>
      <c r="W2296" t="s">
        <v>38</v>
      </c>
      <c r="X2296" t="s">
        <v>123</v>
      </c>
      <c r="Y2296" t="s">
        <v>39</v>
      </c>
      <c r="Z2296" t="s">
        <v>108</v>
      </c>
      <c r="AA2296" t="s">
        <v>82</v>
      </c>
      <c r="AB2296" t="s">
        <v>55</v>
      </c>
      <c r="AC2296">
        <f t="shared" si="385"/>
        <v>0</v>
      </c>
      <c r="AD2296" s="12">
        <f t="shared" si="389"/>
        <v>0</v>
      </c>
      <c r="AE2296" s="12">
        <f t="shared" si="390"/>
        <v>1</v>
      </c>
      <c r="AF2296">
        <f t="shared" si="386"/>
        <v>0</v>
      </c>
      <c r="AG2296">
        <f t="shared" si="391"/>
        <v>1</v>
      </c>
      <c r="AH2296">
        <f t="shared" si="392"/>
        <v>1</v>
      </c>
      <c r="AI2296">
        <f t="shared" si="393"/>
        <v>0</v>
      </c>
      <c r="AJ2296">
        <f t="shared" si="394"/>
        <v>0</v>
      </c>
      <c r="AK2296">
        <f t="shared" si="387"/>
        <v>1</v>
      </c>
      <c r="AL2296">
        <f t="shared" si="395"/>
        <v>0</v>
      </c>
    </row>
    <row r="2297" spans="1:38">
      <c r="A2297" t="s">
        <v>7018</v>
      </c>
      <c r="B2297" t="s">
        <v>7019</v>
      </c>
      <c r="C2297" s="1">
        <f t="shared" si="388"/>
        <v>45536</v>
      </c>
      <c r="D2297" t="s">
        <v>7020</v>
      </c>
      <c r="E2297">
        <v>108.3</v>
      </c>
      <c r="F2297">
        <v>4.5</v>
      </c>
      <c r="G2297" t="s">
        <v>87</v>
      </c>
      <c r="H2297" t="s">
        <v>151</v>
      </c>
      <c r="I2297" t="s">
        <v>48</v>
      </c>
      <c r="J2297">
        <v>120</v>
      </c>
      <c r="K2297" t="s">
        <v>49</v>
      </c>
      <c r="L2297" t="s">
        <v>96</v>
      </c>
      <c r="M2297" t="s">
        <v>35</v>
      </c>
      <c r="N2297" t="s">
        <v>114</v>
      </c>
      <c r="O2297" t="s">
        <v>51</v>
      </c>
      <c r="P2297" t="s">
        <v>39</v>
      </c>
      <c r="Q2297" t="s">
        <v>38</v>
      </c>
      <c r="R2297">
        <v>0</v>
      </c>
      <c r="S2297" t="s">
        <v>38</v>
      </c>
      <c r="T2297">
        <v>8</v>
      </c>
      <c r="U2297">
        <v>0.4</v>
      </c>
      <c r="V2297">
        <v>36.200000000000003</v>
      </c>
      <c r="W2297" t="s">
        <v>38</v>
      </c>
      <c r="X2297" t="s">
        <v>63</v>
      </c>
      <c r="Y2297" t="s">
        <v>39</v>
      </c>
      <c r="Z2297" t="s">
        <v>108</v>
      </c>
      <c r="AA2297" t="s">
        <v>82</v>
      </c>
      <c r="AB2297" t="s">
        <v>55</v>
      </c>
      <c r="AC2297">
        <f t="shared" si="385"/>
        <v>0</v>
      </c>
      <c r="AD2297" s="12">
        <f t="shared" si="389"/>
        <v>1</v>
      </c>
      <c r="AE2297" s="12">
        <f t="shared" si="390"/>
        <v>0</v>
      </c>
      <c r="AF2297">
        <f t="shared" si="386"/>
        <v>1</v>
      </c>
      <c r="AG2297">
        <f t="shared" si="391"/>
        <v>0</v>
      </c>
      <c r="AH2297">
        <f t="shared" si="392"/>
        <v>1</v>
      </c>
      <c r="AI2297">
        <f t="shared" si="393"/>
        <v>0</v>
      </c>
      <c r="AJ2297">
        <f t="shared" si="394"/>
        <v>0</v>
      </c>
      <c r="AK2297">
        <f t="shared" si="387"/>
        <v>0</v>
      </c>
      <c r="AL2297">
        <f t="shared" si="395"/>
        <v>0</v>
      </c>
    </row>
    <row r="2298" spans="1:38">
      <c r="A2298" t="s">
        <v>7021</v>
      </c>
      <c r="B2298" t="s">
        <v>7022</v>
      </c>
      <c r="C2298" s="1">
        <f t="shared" si="388"/>
        <v>45352</v>
      </c>
      <c r="D2298" t="s">
        <v>7023</v>
      </c>
      <c r="E2298">
        <v>223.6</v>
      </c>
      <c r="F2298">
        <v>9.3000000000000007</v>
      </c>
      <c r="G2298" t="s">
        <v>68</v>
      </c>
      <c r="H2298" t="s">
        <v>69</v>
      </c>
      <c r="I2298" t="s">
        <v>32</v>
      </c>
      <c r="J2298">
        <v>240</v>
      </c>
      <c r="K2298" t="s">
        <v>49</v>
      </c>
      <c r="L2298" t="s">
        <v>96</v>
      </c>
      <c r="M2298" t="s">
        <v>35</v>
      </c>
      <c r="N2298" t="s">
        <v>36</v>
      </c>
      <c r="O2298" t="s">
        <v>7232</v>
      </c>
      <c r="P2298" t="s">
        <v>38</v>
      </c>
      <c r="Q2298" t="s">
        <v>38</v>
      </c>
      <c r="R2298">
        <v>1</v>
      </c>
      <c r="S2298" t="s">
        <v>38</v>
      </c>
      <c r="T2298">
        <v>10</v>
      </c>
      <c r="U2298">
        <v>2.4</v>
      </c>
      <c r="V2298">
        <v>15.8</v>
      </c>
      <c r="W2298" t="s">
        <v>39</v>
      </c>
      <c r="X2298" t="s">
        <v>52</v>
      </c>
      <c r="Y2298" t="s">
        <v>38</v>
      </c>
      <c r="Z2298" t="s">
        <v>81</v>
      </c>
      <c r="AA2298" t="s">
        <v>109</v>
      </c>
      <c r="AB2298" t="s">
        <v>83</v>
      </c>
      <c r="AC2298">
        <f t="shared" si="385"/>
        <v>1</v>
      </c>
      <c r="AD2298" s="12">
        <f t="shared" si="389"/>
        <v>0</v>
      </c>
      <c r="AE2298" s="12">
        <f t="shared" si="390"/>
        <v>0</v>
      </c>
      <c r="AF2298">
        <f t="shared" si="386"/>
        <v>0</v>
      </c>
      <c r="AG2298">
        <f t="shared" si="391"/>
        <v>1</v>
      </c>
      <c r="AH2298">
        <f t="shared" si="392"/>
        <v>0</v>
      </c>
      <c r="AI2298">
        <f t="shared" si="393"/>
        <v>0</v>
      </c>
      <c r="AJ2298">
        <f t="shared" si="394"/>
        <v>1</v>
      </c>
      <c r="AK2298">
        <f t="shared" si="387"/>
        <v>0</v>
      </c>
      <c r="AL2298">
        <f t="shared" si="395"/>
        <v>1</v>
      </c>
    </row>
    <row r="2299" spans="1:38">
      <c r="A2299" t="s">
        <v>7024</v>
      </c>
      <c r="B2299" t="s">
        <v>7025</v>
      </c>
      <c r="C2299" s="1">
        <f t="shared" si="388"/>
        <v>45383</v>
      </c>
      <c r="D2299" t="s">
        <v>7026</v>
      </c>
      <c r="E2299">
        <v>419.1</v>
      </c>
      <c r="F2299">
        <v>17.5</v>
      </c>
      <c r="G2299" t="s">
        <v>30</v>
      </c>
      <c r="H2299" t="s">
        <v>172</v>
      </c>
      <c r="I2299" t="s">
        <v>32</v>
      </c>
      <c r="J2299">
        <v>240</v>
      </c>
      <c r="K2299" t="s">
        <v>33</v>
      </c>
      <c r="L2299" t="s">
        <v>34</v>
      </c>
      <c r="M2299" t="s">
        <v>35</v>
      </c>
      <c r="N2299" t="s">
        <v>97</v>
      </c>
      <c r="O2299" t="s">
        <v>7232</v>
      </c>
      <c r="P2299" t="s">
        <v>38</v>
      </c>
      <c r="Q2299" t="s">
        <v>38</v>
      </c>
      <c r="R2299">
        <v>1</v>
      </c>
      <c r="S2299" t="s">
        <v>39</v>
      </c>
      <c r="T2299">
        <v>5</v>
      </c>
      <c r="U2299">
        <v>4.5999999999999996</v>
      </c>
      <c r="V2299">
        <v>28.3</v>
      </c>
      <c r="W2299" t="s">
        <v>39</v>
      </c>
      <c r="X2299" t="s">
        <v>52</v>
      </c>
      <c r="Y2299" t="s">
        <v>39</v>
      </c>
      <c r="Z2299" t="s">
        <v>108</v>
      </c>
      <c r="AA2299" t="s">
        <v>54</v>
      </c>
      <c r="AB2299" t="s">
        <v>43</v>
      </c>
      <c r="AC2299">
        <f t="shared" si="385"/>
        <v>1</v>
      </c>
      <c r="AD2299" s="12">
        <f t="shared" si="389"/>
        <v>0</v>
      </c>
      <c r="AE2299" s="12">
        <f t="shared" si="390"/>
        <v>0</v>
      </c>
      <c r="AF2299">
        <f t="shared" si="386"/>
        <v>0</v>
      </c>
      <c r="AG2299">
        <f t="shared" si="391"/>
        <v>1</v>
      </c>
      <c r="AH2299">
        <f t="shared" si="392"/>
        <v>0</v>
      </c>
      <c r="AI2299">
        <f t="shared" si="393"/>
        <v>0</v>
      </c>
      <c r="AJ2299">
        <f t="shared" si="394"/>
        <v>1</v>
      </c>
      <c r="AK2299">
        <f t="shared" si="387"/>
        <v>1</v>
      </c>
      <c r="AL2299">
        <f t="shared" si="395"/>
        <v>0</v>
      </c>
    </row>
    <row r="2300" spans="1:38">
      <c r="A2300" t="s">
        <v>7027</v>
      </c>
      <c r="B2300" t="s">
        <v>7028</v>
      </c>
      <c r="C2300" s="1">
        <f t="shared" si="388"/>
        <v>45597</v>
      </c>
      <c r="D2300" t="s">
        <v>7029</v>
      </c>
      <c r="E2300">
        <v>315.7</v>
      </c>
      <c r="F2300">
        <v>13.2</v>
      </c>
      <c r="G2300" t="s">
        <v>87</v>
      </c>
      <c r="H2300" t="s">
        <v>309</v>
      </c>
      <c r="I2300" t="s">
        <v>48</v>
      </c>
      <c r="J2300">
        <v>120</v>
      </c>
      <c r="K2300" t="s">
        <v>33</v>
      </c>
      <c r="L2300" t="s">
        <v>96</v>
      </c>
      <c r="M2300" t="s">
        <v>71</v>
      </c>
      <c r="N2300" t="s">
        <v>119</v>
      </c>
      <c r="O2300" t="s">
        <v>37</v>
      </c>
      <c r="P2300" t="s">
        <v>38</v>
      </c>
      <c r="Q2300" t="s">
        <v>39</v>
      </c>
      <c r="R2300">
        <v>2</v>
      </c>
      <c r="S2300" t="s">
        <v>38</v>
      </c>
      <c r="T2300">
        <v>5</v>
      </c>
      <c r="U2300">
        <v>2.2999999999999998</v>
      </c>
      <c r="V2300">
        <v>3.8</v>
      </c>
      <c r="W2300" t="s">
        <v>38</v>
      </c>
      <c r="X2300" t="s">
        <v>52</v>
      </c>
      <c r="Y2300" t="s">
        <v>38</v>
      </c>
      <c r="Z2300" t="s">
        <v>64</v>
      </c>
      <c r="AA2300" t="s">
        <v>82</v>
      </c>
      <c r="AB2300" t="s">
        <v>83</v>
      </c>
      <c r="AC2300">
        <f t="shared" si="385"/>
        <v>1</v>
      </c>
      <c r="AD2300" s="12">
        <f t="shared" si="389"/>
        <v>0</v>
      </c>
      <c r="AE2300" s="12">
        <f t="shared" si="390"/>
        <v>0</v>
      </c>
      <c r="AF2300">
        <f t="shared" si="386"/>
        <v>0</v>
      </c>
      <c r="AG2300">
        <f t="shared" si="391"/>
        <v>0</v>
      </c>
      <c r="AH2300">
        <f t="shared" si="392"/>
        <v>1</v>
      </c>
      <c r="AI2300">
        <f t="shared" si="393"/>
        <v>0</v>
      </c>
      <c r="AJ2300">
        <f t="shared" si="394"/>
        <v>0</v>
      </c>
      <c r="AK2300">
        <f t="shared" si="387"/>
        <v>0</v>
      </c>
      <c r="AL2300">
        <f t="shared" si="395"/>
        <v>1</v>
      </c>
    </row>
    <row r="2301" spans="1:38">
      <c r="A2301" t="s">
        <v>7030</v>
      </c>
      <c r="B2301" t="s">
        <v>7031</v>
      </c>
      <c r="C2301" s="1">
        <f t="shared" si="388"/>
        <v>45474</v>
      </c>
      <c r="D2301" t="s">
        <v>7032</v>
      </c>
      <c r="E2301">
        <v>526.6</v>
      </c>
      <c r="F2301">
        <v>21.9</v>
      </c>
      <c r="G2301" t="s">
        <v>142</v>
      </c>
      <c r="H2301" t="s">
        <v>319</v>
      </c>
      <c r="I2301" t="s">
        <v>32</v>
      </c>
      <c r="J2301">
        <v>240</v>
      </c>
      <c r="K2301" t="s">
        <v>33</v>
      </c>
      <c r="L2301" t="s">
        <v>96</v>
      </c>
      <c r="M2301" t="s">
        <v>71</v>
      </c>
      <c r="N2301" t="s">
        <v>168</v>
      </c>
      <c r="O2301" t="s">
        <v>7232</v>
      </c>
      <c r="P2301" t="s">
        <v>38</v>
      </c>
      <c r="Q2301" t="s">
        <v>39</v>
      </c>
      <c r="R2301">
        <v>1</v>
      </c>
      <c r="S2301" t="s">
        <v>38</v>
      </c>
      <c r="T2301">
        <v>6</v>
      </c>
      <c r="U2301">
        <v>0.1</v>
      </c>
      <c r="V2301">
        <v>30.4</v>
      </c>
      <c r="W2301" t="s">
        <v>39</v>
      </c>
      <c r="X2301" t="s">
        <v>123</v>
      </c>
      <c r="Y2301" t="s">
        <v>39</v>
      </c>
      <c r="Z2301" t="s">
        <v>41</v>
      </c>
      <c r="AA2301" t="s">
        <v>82</v>
      </c>
      <c r="AB2301" t="s">
        <v>83</v>
      </c>
      <c r="AC2301">
        <f t="shared" si="385"/>
        <v>0</v>
      </c>
      <c r="AD2301" s="12">
        <f t="shared" si="389"/>
        <v>0</v>
      </c>
      <c r="AE2301" s="12">
        <f t="shared" si="390"/>
        <v>1</v>
      </c>
      <c r="AF2301">
        <f t="shared" si="386"/>
        <v>0</v>
      </c>
      <c r="AG2301">
        <f t="shared" si="391"/>
        <v>1</v>
      </c>
      <c r="AH2301">
        <f t="shared" si="392"/>
        <v>0</v>
      </c>
      <c r="AI2301">
        <f t="shared" si="393"/>
        <v>0</v>
      </c>
      <c r="AJ2301">
        <f t="shared" si="394"/>
        <v>1</v>
      </c>
      <c r="AK2301">
        <f t="shared" si="387"/>
        <v>0</v>
      </c>
      <c r="AL2301">
        <f t="shared" si="395"/>
        <v>0</v>
      </c>
    </row>
    <row r="2302" spans="1:38">
      <c r="A2302" t="s">
        <v>7033</v>
      </c>
      <c r="B2302" t="s">
        <v>7034</v>
      </c>
      <c r="C2302" s="1">
        <f t="shared" si="388"/>
        <v>45474</v>
      </c>
      <c r="D2302" t="s">
        <v>7035</v>
      </c>
      <c r="E2302">
        <v>419</v>
      </c>
      <c r="F2302">
        <v>17.5</v>
      </c>
      <c r="G2302" t="s">
        <v>77</v>
      </c>
      <c r="H2302" t="s">
        <v>187</v>
      </c>
      <c r="I2302" t="s">
        <v>79</v>
      </c>
      <c r="J2302">
        <v>360</v>
      </c>
      <c r="K2302" t="s">
        <v>33</v>
      </c>
      <c r="L2302" t="s">
        <v>34</v>
      </c>
      <c r="M2302" t="s">
        <v>35</v>
      </c>
      <c r="N2302" t="s">
        <v>128</v>
      </c>
      <c r="O2302" t="s">
        <v>37</v>
      </c>
      <c r="P2302" t="s">
        <v>39</v>
      </c>
      <c r="Q2302" t="s">
        <v>38</v>
      </c>
      <c r="R2302">
        <v>0</v>
      </c>
      <c r="S2302" t="s">
        <v>38</v>
      </c>
      <c r="T2302">
        <v>7</v>
      </c>
      <c r="U2302">
        <v>2.9</v>
      </c>
      <c r="V2302">
        <v>2.1</v>
      </c>
      <c r="W2302" t="s">
        <v>39</v>
      </c>
      <c r="X2302" t="s">
        <v>123</v>
      </c>
      <c r="Y2302" t="s">
        <v>38</v>
      </c>
      <c r="Z2302" t="s">
        <v>179</v>
      </c>
      <c r="AA2302" t="s">
        <v>54</v>
      </c>
      <c r="AB2302" t="s">
        <v>83</v>
      </c>
      <c r="AC2302">
        <f t="shared" si="385"/>
        <v>0</v>
      </c>
      <c r="AD2302" s="12">
        <f t="shared" si="389"/>
        <v>0</v>
      </c>
      <c r="AE2302" s="12">
        <f t="shared" si="390"/>
        <v>1</v>
      </c>
      <c r="AF2302">
        <f t="shared" si="386"/>
        <v>0</v>
      </c>
      <c r="AG2302">
        <f t="shared" si="391"/>
        <v>0</v>
      </c>
      <c r="AH2302">
        <f t="shared" si="392"/>
        <v>0</v>
      </c>
      <c r="AI2302">
        <f t="shared" si="393"/>
        <v>0</v>
      </c>
      <c r="AJ2302">
        <f t="shared" si="394"/>
        <v>0</v>
      </c>
      <c r="AK2302">
        <f t="shared" si="387"/>
        <v>0</v>
      </c>
      <c r="AL2302">
        <f t="shared" si="395"/>
        <v>1</v>
      </c>
    </row>
    <row r="2303" spans="1:38">
      <c r="A2303" t="s">
        <v>7036</v>
      </c>
      <c r="B2303" t="s">
        <v>7037</v>
      </c>
      <c r="C2303" s="1">
        <f t="shared" si="388"/>
        <v>45505</v>
      </c>
      <c r="D2303" t="s">
        <v>7038</v>
      </c>
      <c r="E2303">
        <v>195.7</v>
      </c>
      <c r="F2303">
        <v>8.1999999999999993</v>
      </c>
      <c r="G2303" t="s">
        <v>93</v>
      </c>
      <c r="H2303" t="s">
        <v>94</v>
      </c>
      <c r="I2303" t="s">
        <v>32</v>
      </c>
      <c r="J2303">
        <v>240</v>
      </c>
      <c r="K2303" t="s">
        <v>49</v>
      </c>
      <c r="L2303" t="s">
        <v>70</v>
      </c>
      <c r="M2303" t="s">
        <v>35</v>
      </c>
      <c r="N2303" t="s">
        <v>138</v>
      </c>
      <c r="O2303" t="s">
        <v>37</v>
      </c>
      <c r="P2303" t="s">
        <v>39</v>
      </c>
      <c r="Q2303" t="s">
        <v>38</v>
      </c>
      <c r="R2303">
        <v>0</v>
      </c>
      <c r="S2303" t="s">
        <v>38</v>
      </c>
      <c r="T2303">
        <v>9</v>
      </c>
      <c r="U2303">
        <v>3.7</v>
      </c>
      <c r="V2303">
        <v>11.2</v>
      </c>
      <c r="W2303" t="s">
        <v>39</v>
      </c>
      <c r="X2303" t="s">
        <v>52</v>
      </c>
      <c r="Y2303" t="s">
        <v>39</v>
      </c>
      <c r="Z2303" t="s">
        <v>108</v>
      </c>
      <c r="AA2303" t="s">
        <v>109</v>
      </c>
      <c r="AB2303" t="s">
        <v>83</v>
      </c>
      <c r="AC2303">
        <f t="shared" si="385"/>
        <v>1</v>
      </c>
      <c r="AD2303" s="12">
        <f t="shared" si="389"/>
        <v>0</v>
      </c>
      <c r="AE2303" s="12">
        <f t="shared" si="390"/>
        <v>0</v>
      </c>
      <c r="AF2303">
        <f t="shared" si="386"/>
        <v>0</v>
      </c>
      <c r="AG2303">
        <f t="shared" si="391"/>
        <v>0</v>
      </c>
      <c r="AH2303">
        <f t="shared" si="392"/>
        <v>0</v>
      </c>
      <c r="AI2303">
        <f t="shared" si="393"/>
        <v>0</v>
      </c>
      <c r="AJ2303">
        <f t="shared" si="394"/>
        <v>1</v>
      </c>
      <c r="AK2303">
        <f t="shared" si="387"/>
        <v>0</v>
      </c>
      <c r="AL2303">
        <f t="shared" si="395"/>
        <v>0</v>
      </c>
    </row>
    <row r="2304" spans="1:38">
      <c r="A2304" t="s">
        <v>7039</v>
      </c>
      <c r="B2304" t="s">
        <v>7040</v>
      </c>
      <c r="C2304" s="1">
        <f t="shared" si="388"/>
        <v>45383</v>
      </c>
      <c r="D2304" t="s">
        <v>7041</v>
      </c>
      <c r="E2304">
        <v>1034.5</v>
      </c>
      <c r="F2304">
        <v>43.1</v>
      </c>
      <c r="G2304" t="s">
        <v>77</v>
      </c>
      <c r="H2304" t="s">
        <v>267</v>
      </c>
      <c r="I2304" t="s">
        <v>79</v>
      </c>
      <c r="J2304">
        <v>360</v>
      </c>
      <c r="K2304" t="s">
        <v>33</v>
      </c>
      <c r="L2304" t="s">
        <v>34</v>
      </c>
      <c r="M2304" t="s">
        <v>35</v>
      </c>
      <c r="N2304" t="s">
        <v>164</v>
      </c>
      <c r="O2304" t="s">
        <v>51</v>
      </c>
      <c r="P2304" t="s">
        <v>38</v>
      </c>
      <c r="Q2304" t="s">
        <v>38</v>
      </c>
      <c r="R2304">
        <v>1</v>
      </c>
      <c r="S2304" t="s">
        <v>39</v>
      </c>
      <c r="T2304">
        <v>5</v>
      </c>
      <c r="U2304">
        <v>2.2000000000000002</v>
      </c>
      <c r="V2304">
        <v>19.8</v>
      </c>
      <c r="W2304" t="s">
        <v>39</v>
      </c>
      <c r="X2304" t="s">
        <v>63</v>
      </c>
      <c r="Y2304" t="s">
        <v>39</v>
      </c>
      <c r="Z2304" t="s">
        <v>179</v>
      </c>
      <c r="AA2304" t="s">
        <v>82</v>
      </c>
      <c r="AB2304" t="s">
        <v>83</v>
      </c>
      <c r="AC2304">
        <f t="shared" si="385"/>
        <v>0</v>
      </c>
      <c r="AD2304" s="12">
        <f t="shared" si="389"/>
        <v>1</v>
      </c>
      <c r="AE2304" s="12">
        <f t="shared" si="390"/>
        <v>0</v>
      </c>
      <c r="AF2304">
        <f t="shared" si="386"/>
        <v>1</v>
      </c>
      <c r="AG2304">
        <f t="shared" si="391"/>
        <v>0</v>
      </c>
      <c r="AH2304">
        <f t="shared" si="392"/>
        <v>0</v>
      </c>
      <c r="AI2304">
        <f t="shared" si="393"/>
        <v>0</v>
      </c>
      <c r="AJ2304">
        <f t="shared" si="394"/>
        <v>0</v>
      </c>
      <c r="AK2304">
        <f t="shared" si="387"/>
        <v>0</v>
      </c>
      <c r="AL2304">
        <f t="shared" si="395"/>
        <v>0</v>
      </c>
    </row>
    <row r="2305" spans="1:38">
      <c r="A2305" t="s">
        <v>7042</v>
      </c>
      <c r="B2305" t="s">
        <v>7043</v>
      </c>
      <c r="C2305" s="1">
        <f t="shared" si="388"/>
        <v>45474</v>
      </c>
      <c r="D2305" t="s">
        <v>7044</v>
      </c>
      <c r="E2305">
        <v>43</v>
      </c>
      <c r="F2305">
        <v>1.8</v>
      </c>
      <c r="G2305" t="s">
        <v>59</v>
      </c>
      <c r="H2305" t="s">
        <v>466</v>
      </c>
      <c r="I2305" t="s">
        <v>95</v>
      </c>
      <c r="J2305">
        <v>48</v>
      </c>
      <c r="K2305" t="s">
        <v>49</v>
      </c>
      <c r="L2305" t="s">
        <v>70</v>
      </c>
      <c r="M2305" t="s">
        <v>71</v>
      </c>
      <c r="N2305" t="s">
        <v>36</v>
      </c>
      <c r="O2305" t="s">
        <v>51</v>
      </c>
      <c r="P2305" t="s">
        <v>38</v>
      </c>
      <c r="Q2305" t="s">
        <v>39</v>
      </c>
      <c r="R2305">
        <v>2</v>
      </c>
      <c r="S2305" t="s">
        <v>38</v>
      </c>
      <c r="T2305">
        <v>8</v>
      </c>
      <c r="U2305">
        <v>2.1</v>
      </c>
      <c r="V2305">
        <v>14.8</v>
      </c>
      <c r="W2305" t="s">
        <v>39</v>
      </c>
      <c r="X2305" t="s">
        <v>123</v>
      </c>
      <c r="Y2305" t="s">
        <v>39</v>
      </c>
      <c r="Z2305" t="s">
        <v>115</v>
      </c>
      <c r="AA2305" t="s">
        <v>109</v>
      </c>
      <c r="AB2305" t="s">
        <v>55</v>
      </c>
      <c r="AC2305">
        <f t="shared" si="385"/>
        <v>0</v>
      </c>
      <c r="AD2305" s="12">
        <f t="shared" si="389"/>
        <v>0</v>
      </c>
      <c r="AE2305" s="12">
        <f t="shared" si="390"/>
        <v>1</v>
      </c>
      <c r="AF2305">
        <f t="shared" si="386"/>
        <v>1</v>
      </c>
      <c r="AG2305">
        <f t="shared" si="391"/>
        <v>0</v>
      </c>
      <c r="AH2305">
        <f t="shared" si="392"/>
        <v>0</v>
      </c>
      <c r="AI2305">
        <f t="shared" si="393"/>
        <v>1</v>
      </c>
      <c r="AJ2305">
        <f t="shared" si="394"/>
        <v>0</v>
      </c>
      <c r="AK2305">
        <f t="shared" si="387"/>
        <v>0</v>
      </c>
      <c r="AL2305">
        <f t="shared" si="395"/>
        <v>0</v>
      </c>
    </row>
    <row r="2306" spans="1:38">
      <c r="A2306" t="s">
        <v>7045</v>
      </c>
      <c r="B2306" t="s">
        <v>7046</v>
      </c>
      <c r="C2306" s="1">
        <f t="shared" si="388"/>
        <v>45383</v>
      </c>
      <c r="D2306" t="s">
        <v>7047</v>
      </c>
      <c r="E2306">
        <v>87.1</v>
      </c>
      <c r="F2306">
        <v>3.6</v>
      </c>
      <c r="G2306" t="s">
        <v>68</v>
      </c>
      <c r="H2306" t="s">
        <v>219</v>
      </c>
      <c r="I2306" t="s">
        <v>48</v>
      </c>
      <c r="J2306">
        <v>120</v>
      </c>
      <c r="K2306" t="s">
        <v>49</v>
      </c>
      <c r="L2306" t="s">
        <v>70</v>
      </c>
      <c r="M2306" t="s">
        <v>71</v>
      </c>
      <c r="N2306" t="s">
        <v>61</v>
      </c>
      <c r="O2306" t="s">
        <v>51</v>
      </c>
      <c r="P2306" t="s">
        <v>38</v>
      </c>
      <c r="Q2306" t="s">
        <v>39</v>
      </c>
      <c r="R2306">
        <v>1</v>
      </c>
      <c r="S2306" t="s">
        <v>38</v>
      </c>
      <c r="T2306">
        <v>7</v>
      </c>
      <c r="U2306">
        <v>8.1</v>
      </c>
      <c r="V2306">
        <v>26.3</v>
      </c>
      <c r="W2306" t="s">
        <v>38</v>
      </c>
      <c r="X2306" t="s">
        <v>123</v>
      </c>
      <c r="Y2306" t="s">
        <v>39</v>
      </c>
      <c r="Z2306" t="s">
        <v>81</v>
      </c>
      <c r="AA2306" t="s">
        <v>109</v>
      </c>
      <c r="AB2306" t="s">
        <v>83</v>
      </c>
      <c r="AC2306">
        <f t="shared" ref="AC2306:AC2348" si="396">IF(X2306="Poor", 1, 0)</f>
        <v>0</v>
      </c>
      <c r="AD2306" s="12">
        <f t="shared" si="389"/>
        <v>0</v>
      </c>
      <c r="AE2306" s="12">
        <f t="shared" si="390"/>
        <v>1</v>
      </c>
      <c r="AF2306">
        <f t="shared" ref="AF2306:AF2348" si="397">IF(O2306="Junior", 1, 0)</f>
        <v>1</v>
      </c>
      <c r="AG2306">
        <f t="shared" si="391"/>
        <v>0</v>
      </c>
      <c r="AH2306">
        <f t="shared" si="392"/>
        <v>1</v>
      </c>
      <c r="AI2306">
        <f t="shared" si="393"/>
        <v>0</v>
      </c>
      <c r="AJ2306">
        <f t="shared" si="394"/>
        <v>0</v>
      </c>
      <c r="AK2306">
        <f t="shared" ref="AK2306:AK2348" si="398">IF(G2306="Access Requests", 1, 0)</f>
        <v>0</v>
      </c>
      <c r="AL2306">
        <f t="shared" si="395"/>
        <v>0</v>
      </c>
    </row>
    <row r="2307" spans="1:38">
      <c r="A2307" t="s">
        <v>7048</v>
      </c>
      <c r="B2307" t="s">
        <v>7049</v>
      </c>
      <c r="C2307" s="1">
        <f t="shared" ref="C2307:C2348" si="399">DATE(YEAR(B2307),MONTH(B2307),1)</f>
        <v>45597</v>
      </c>
      <c r="D2307" t="s">
        <v>7050</v>
      </c>
      <c r="E2307">
        <v>156.19999999999999</v>
      </c>
      <c r="F2307">
        <v>6.5</v>
      </c>
      <c r="G2307" t="s">
        <v>93</v>
      </c>
      <c r="H2307" t="s">
        <v>449</v>
      </c>
      <c r="I2307" t="s">
        <v>32</v>
      </c>
      <c r="J2307">
        <v>240</v>
      </c>
      <c r="K2307" t="s">
        <v>49</v>
      </c>
      <c r="L2307" t="s">
        <v>70</v>
      </c>
      <c r="M2307" t="s">
        <v>35</v>
      </c>
      <c r="N2307" t="s">
        <v>128</v>
      </c>
      <c r="O2307" t="s">
        <v>51</v>
      </c>
      <c r="P2307" t="s">
        <v>39</v>
      </c>
      <c r="Q2307" t="s">
        <v>38</v>
      </c>
      <c r="R2307">
        <v>0</v>
      </c>
      <c r="S2307" t="s">
        <v>38</v>
      </c>
      <c r="T2307">
        <v>9</v>
      </c>
      <c r="U2307">
        <v>1.2</v>
      </c>
      <c r="V2307">
        <v>0.5</v>
      </c>
      <c r="W2307" t="s">
        <v>38</v>
      </c>
      <c r="X2307" t="s">
        <v>40</v>
      </c>
      <c r="Y2307" t="s">
        <v>39</v>
      </c>
      <c r="Z2307" t="s">
        <v>73</v>
      </c>
      <c r="AA2307" t="s">
        <v>109</v>
      </c>
      <c r="AB2307" t="s">
        <v>55</v>
      </c>
      <c r="AC2307">
        <f t="shared" si="396"/>
        <v>0</v>
      </c>
      <c r="AD2307" s="12">
        <f t="shared" ref="AD2307:AD2348" si="400">IF(X2307="Fair", 1, 0)</f>
        <v>0</v>
      </c>
      <c r="AE2307" s="12">
        <f t="shared" ref="AE2307:AE2348" si="401">IF(X2307="Good", 1, 0)</f>
        <v>0</v>
      </c>
      <c r="AF2307">
        <f t="shared" si="397"/>
        <v>1</v>
      </c>
      <c r="AG2307">
        <f t="shared" ref="AG2307:AG2348" si="402">IF(O2307="Mid", 1, 0)</f>
        <v>0</v>
      </c>
      <c r="AH2307">
        <f t="shared" ref="AH2307:AH2348" si="403">IF(I2307="High", 1, 0)</f>
        <v>0</v>
      </c>
      <c r="AI2307">
        <f t="shared" ref="AI2307:AI2348" si="404">IF(I2307="Critical", 1, 0)</f>
        <v>0</v>
      </c>
      <c r="AJ2307">
        <f t="shared" ref="AJ2307:AJ2348" si="405">IF(I2307="Medium", 1, 0)</f>
        <v>1</v>
      </c>
      <c r="AK2307">
        <f t="shared" si="398"/>
        <v>0</v>
      </c>
      <c r="AL2307">
        <f t="shared" ref="AL2307:AL2348" si="406">IF(Y2307="No", 1, 0)</f>
        <v>0</v>
      </c>
    </row>
    <row r="2308" spans="1:38">
      <c r="A2308" t="s">
        <v>7051</v>
      </c>
      <c r="B2308" t="s">
        <v>7052</v>
      </c>
      <c r="C2308" s="1">
        <f t="shared" si="399"/>
        <v>45597</v>
      </c>
      <c r="D2308" t="s">
        <v>7053</v>
      </c>
      <c r="E2308">
        <v>310.39999999999998</v>
      </c>
      <c r="F2308">
        <v>12.9</v>
      </c>
      <c r="G2308" t="s">
        <v>68</v>
      </c>
      <c r="H2308" t="s">
        <v>212</v>
      </c>
      <c r="I2308" t="s">
        <v>32</v>
      </c>
      <c r="J2308">
        <v>240</v>
      </c>
      <c r="K2308" t="s">
        <v>33</v>
      </c>
      <c r="L2308" t="s">
        <v>70</v>
      </c>
      <c r="M2308" t="s">
        <v>71</v>
      </c>
      <c r="N2308" t="s">
        <v>134</v>
      </c>
      <c r="O2308" t="s">
        <v>37</v>
      </c>
      <c r="P2308" t="s">
        <v>38</v>
      </c>
      <c r="Q2308" t="s">
        <v>39</v>
      </c>
      <c r="R2308">
        <v>2</v>
      </c>
      <c r="S2308" t="s">
        <v>38</v>
      </c>
      <c r="T2308">
        <v>6</v>
      </c>
      <c r="U2308">
        <v>2.7</v>
      </c>
      <c r="V2308">
        <v>12.9</v>
      </c>
      <c r="W2308" t="s">
        <v>38</v>
      </c>
      <c r="X2308" t="s">
        <v>63</v>
      </c>
      <c r="Y2308" t="s">
        <v>39</v>
      </c>
      <c r="Z2308" t="s">
        <v>115</v>
      </c>
      <c r="AA2308" t="s">
        <v>103</v>
      </c>
      <c r="AB2308" t="s">
        <v>83</v>
      </c>
      <c r="AC2308">
        <f t="shared" si="396"/>
        <v>0</v>
      </c>
      <c r="AD2308" s="12">
        <f t="shared" si="400"/>
        <v>1</v>
      </c>
      <c r="AE2308" s="12">
        <f t="shared" si="401"/>
        <v>0</v>
      </c>
      <c r="AF2308">
        <f t="shared" si="397"/>
        <v>0</v>
      </c>
      <c r="AG2308">
        <f t="shared" si="402"/>
        <v>0</v>
      </c>
      <c r="AH2308">
        <f t="shared" si="403"/>
        <v>0</v>
      </c>
      <c r="AI2308">
        <f t="shared" si="404"/>
        <v>0</v>
      </c>
      <c r="AJ2308">
        <f t="shared" si="405"/>
        <v>1</v>
      </c>
      <c r="AK2308">
        <f t="shared" si="398"/>
        <v>0</v>
      </c>
      <c r="AL2308">
        <f t="shared" si="406"/>
        <v>0</v>
      </c>
    </row>
    <row r="2309" spans="1:38">
      <c r="A2309" t="s">
        <v>7054</v>
      </c>
      <c r="B2309" t="s">
        <v>7055</v>
      </c>
      <c r="C2309" s="1">
        <f t="shared" si="399"/>
        <v>45413</v>
      </c>
      <c r="D2309" t="s">
        <v>7056</v>
      </c>
      <c r="E2309">
        <v>183.6</v>
      </c>
      <c r="F2309">
        <v>7.7</v>
      </c>
      <c r="G2309" t="s">
        <v>68</v>
      </c>
      <c r="H2309" t="s">
        <v>219</v>
      </c>
      <c r="I2309" t="s">
        <v>32</v>
      </c>
      <c r="J2309">
        <v>240</v>
      </c>
      <c r="K2309" t="s">
        <v>49</v>
      </c>
      <c r="L2309" t="s">
        <v>113</v>
      </c>
      <c r="M2309" t="s">
        <v>71</v>
      </c>
      <c r="N2309" t="s">
        <v>144</v>
      </c>
      <c r="O2309" t="s">
        <v>37</v>
      </c>
      <c r="P2309" t="s">
        <v>38</v>
      </c>
      <c r="Q2309" t="s">
        <v>39</v>
      </c>
      <c r="R2309">
        <v>3</v>
      </c>
      <c r="S2309" t="s">
        <v>39</v>
      </c>
      <c r="T2309">
        <v>9</v>
      </c>
      <c r="U2309">
        <v>4.2</v>
      </c>
      <c r="V2309">
        <v>18.5</v>
      </c>
      <c r="W2309" t="s">
        <v>39</v>
      </c>
      <c r="X2309" t="s">
        <v>123</v>
      </c>
      <c r="Y2309" t="s">
        <v>39</v>
      </c>
      <c r="Z2309" t="s">
        <v>179</v>
      </c>
      <c r="AA2309" t="s">
        <v>109</v>
      </c>
      <c r="AB2309" t="s">
        <v>83</v>
      </c>
      <c r="AC2309">
        <f t="shared" si="396"/>
        <v>0</v>
      </c>
      <c r="AD2309" s="12">
        <f t="shared" si="400"/>
        <v>0</v>
      </c>
      <c r="AE2309" s="12">
        <f t="shared" si="401"/>
        <v>1</v>
      </c>
      <c r="AF2309">
        <f t="shared" si="397"/>
        <v>0</v>
      </c>
      <c r="AG2309">
        <f t="shared" si="402"/>
        <v>0</v>
      </c>
      <c r="AH2309">
        <f t="shared" si="403"/>
        <v>0</v>
      </c>
      <c r="AI2309">
        <f t="shared" si="404"/>
        <v>0</v>
      </c>
      <c r="AJ2309">
        <f t="shared" si="405"/>
        <v>1</v>
      </c>
      <c r="AK2309">
        <f t="shared" si="398"/>
        <v>0</v>
      </c>
      <c r="AL2309">
        <f t="shared" si="406"/>
        <v>0</v>
      </c>
    </row>
    <row r="2310" spans="1:38">
      <c r="A2310" t="s">
        <v>7057</v>
      </c>
      <c r="B2310" t="s">
        <v>7058</v>
      </c>
      <c r="C2310" s="1">
        <f t="shared" si="399"/>
        <v>45352</v>
      </c>
      <c r="D2310" t="s">
        <v>7059</v>
      </c>
      <c r="E2310">
        <v>92.4</v>
      </c>
      <c r="F2310">
        <v>3.9</v>
      </c>
      <c r="G2310" t="s">
        <v>87</v>
      </c>
      <c r="H2310" t="s">
        <v>183</v>
      </c>
      <c r="I2310" t="s">
        <v>48</v>
      </c>
      <c r="J2310">
        <v>120</v>
      </c>
      <c r="K2310" t="s">
        <v>49</v>
      </c>
      <c r="L2310" t="s">
        <v>70</v>
      </c>
      <c r="M2310" t="s">
        <v>35</v>
      </c>
      <c r="N2310" t="s">
        <v>128</v>
      </c>
      <c r="O2310" t="s">
        <v>51</v>
      </c>
      <c r="P2310" t="s">
        <v>39</v>
      </c>
      <c r="Q2310" t="s">
        <v>38</v>
      </c>
      <c r="R2310">
        <v>0</v>
      </c>
      <c r="S2310" t="s">
        <v>38</v>
      </c>
      <c r="T2310">
        <v>10</v>
      </c>
      <c r="U2310">
        <v>0.5</v>
      </c>
      <c r="V2310">
        <v>11.9</v>
      </c>
      <c r="W2310" t="s">
        <v>38</v>
      </c>
      <c r="X2310" t="s">
        <v>63</v>
      </c>
      <c r="Y2310" t="s">
        <v>39</v>
      </c>
      <c r="Z2310" t="s">
        <v>73</v>
      </c>
      <c r="AA2310" t="s">
        <v>103</v>
      </c>
      <c r="AB2310" t="s">
        <v>43</v>
      </c>
      <c r="AC2310">
        <f t="shared" si="396"/>
        <v>0</v>
      </c>
      <c r="AD2310" s="12">
        <f t="shared" si="400"/>
        <v>1</v>
      </c>
      <c r="AE2310" s="12">
        <f t="shared" si="401"/>
        <v>0</v>
      </c>
      <c r="AF2310">
        <f t="shared" si="397"/>
        <v>1</v>
      </c>
      <c r="AG2310">
        <f t="shared" si="402"/>
        <v>0</v>
      </c>
      <c r="AH2310">
        <f t="shared" si="403"/>
        <v>1</v>
      </c>
      <c r="AI2310">
        <f t="shared" si="404"/>
        <v>0</v>
      </c>
      <c r="AJ2310">
        <f t="shared" si="405"/>
        <v>0</v>
      </c>
      <c r="AK2310">
        <f t="shared" si="398"/>
        <v>0</v>
      </c>
      <c r="AL2310">
        <f t="shared" si="406"/>
        <v>0</v>
      </c>
    </row>
    <row r="2311" spans="1:38">
      <c r="A2311" t="s">
        <v>7060</v>
      </c>
      <c r="B2311" t="s">
        <v>7061</v>
      </c>
      <c r="C2311" s="1">
        <f t="shared" si="399"/>
        <v>45505</v>
      </c>
      <c r="D2311" t="s">
        <v>7062</v>
      </c>
      <c r="E2311">
        <v>196.1</v>
      </c>
      <c r="F2311">
        <v>8.1999999999999993</v>
      </c>
      <c r="G2311" t="s">
        <v>30</v>
      </c>
      <c r="H2311" t="s">
        <v>31</v>
      </c>
      <c r="I2311" t="s">
        <v>32</v>
      </c>
      <c r="J2311">
        <v>240</v>
      </c>
      <c r="K2311" t="s">
        <v>49</v>
      </c>
      <c r="L2311" t="s">
        <v>70</v>
      </c>
      <c r="M2311" t="s">
        <v>35</v>
      </c>
      <c r="N2311" t="s">
        <v>61</v>
      </c>
      <c r="O2311" t="s">
        <v>37</v>
      </c>
      <c r="P2311" t="s">
        <v>38</v>
      </c>
      <c r="Q2311" t="s">
        <v>38</v>
      </c>
      <c r="R2311">
        <v>1</v>
      </c>
      <c r="S2311" t="s">
        <v>38</v>
      </c>
      <c r="T2311">
        <v>9</v>
      </c>
      <c r="U2311">
        <v>1</v>
      </c>
      <c r="V2311">
        <v>10.7</v>
      </c>
      <c r="W2311" t="s">
        <v>39</v>
      </c>
      <c r="X2311" t="s">
        <v>40</v>
      </c>
      <c r="Y2311" t="s">
        <v>39</v>
      </c>
      <c r="Z2311" t="s">
        <v>108</v>
      </c>
      <c r="AA2311" t="s">
        <v>109</v>
      </c>
      <c r="AB2311" t="s">
        <v>83</v>
      </c>
      <c r="AC2311">
        <f t="shared" si="396"/>
        <v>0</v>
      </c>
      <c r="AD2311" s="12">
        <f t="shared" si="400"/>
        <v>0</v>
      </c>
      <c r="AE2311" s="12">
        <f t="shared" si="401"/>
        <v>0</v>
      </c>
      <c r="AF2311">
        <f t="shared" si="397"/>
        <v>0</v>
      </c>
      <c r="AG2311">
        <f t="shared" si="402"/>
        <v>0</v>
      </c>
      <c r="AH2311">
        <f t="shared" si="403"/>
        <v>0</v>
      </c>
      <c r="AI2311">
        <f t="shared" si="404"/>
        <v>0</v>
      </c>
      <c r="AJ2311">
        <f t="shared" si="405"/>
        <v>1</v>
      </c>
      <c r="AK2311">
        <f t="shared" si="398"/>
        <v>1</v>
      </c>
      <c r="AL2311">
        <f t="shared" si="406"/>
        <v>0</v>
      </c>
    </row>
    <row r="2312" spans="1:38">
      <c r="A2312" t="s">
        <v>7063</v>
      </c>
      <c r="B2312" t="s">
        <v>7064</v>
      </c>
      <c r="C2312" s="1">
        <f t="shared" si="399"/>
        <v>45352</v>
      </c>
      <c r="D2312" t="s">
        <v>7065</v>
      </c>
      <c r="E2312">
        <v>249.3</v>
      </c>
      <c r="F2312">
        <v>10.4</v>
      </c>
      <c r="G2312" t="s">
        <v>142</v>
      </c>
      <c r="H2312" t="s">
        <v>143</v>
      </c>
      <c r="I2312" t="s">
        <v>79</v>
      </c>
      <c r="J2312">
        <v>360</v>
      </c>
      <c r="K2312" t="s">
        <v>49</v>
      </c>
      <c r="L2312" t="s">
        <v>70</v>
      </c>
      <c r="M2312" t="s">
        <v>71</v>
      </c>
      <c r="N2312" t="s">
        <v>107</v>
      </c>
      <c r="O2312" t="s">
        <v>51</v>
      </c>
      <c r="P2312" t="s">
        <v>38</v>
      </c>
      <c r="Q2312" t="s">
        <v>39</v>
      </c>
      <c r="R2312">
        <v>4</v>
      </c>
      <c r="S2312" t="s">
        <v>39</v>
      </c>
      <c r="T2312">
        <v>6</v>
      </c>
      <c r="U2312">
        <v>1.3</v>
      </c>
      <c r="V2312">
        <v>25.1</v>
      </c>
      <c r="W2312" t="s">
        <v>39</v>
      </c>
      <c r="X2312" t="s">
        <v>63</v>
      </c>
      <c r="Y2312" t="s">
        <v>38</v>
      </c>
      <c r="Z2312" t="s">
        <v>179</v>
      </c>
      <c r="AA2312" t="s">
        <v>109</v>
      </c>
      <c r="AB2312" t="s">
        <v>55</v>
      </c>
      <c r="AC2312">
        <f t="shared" si="396"/>
        <v>0</v>
      </c>
      <c r="AD2312" s="12">
        <f t="shared" si="400"/>
        <v>1</v>
      </c>
      <c r="AE2312" s="12">
        <f t="shared" si="401"/>
        <v>0</v>
      </c>
      <c r="AF2312">
        <f t="shared" si="397"/>
        <v>1</v>
      </c>
      <c r="AG2312">
        <f t="shared" si="402"/>
        <v>0</v>
      </c>
      <c r="AH2312">
        <f t="shared" si="403"/>
        <v>0</v>
      </c>
      <c r="AI2312">
        <f t="shared" si="404"/>
        <v>0</v>
      </c>
      <c r="AJ2312">
        <f t="shared" si="405"/>
        <v>0</v>
      </c>
      <c r="AK2312">
        <f t="shared" si="398"/>
        <v>0</v>
      </c>
      <c r="AL2312">
        <f t="shared" si="406"/>
        <v>1</v>
      </c>
    </row>
    <row r="2313" spans="1:38">
      <c r="A2313" t="s">
        <v>7066</v>
      </c>
      <c r="B2313" t="s">
        <v>7067</v>
      </c>
      <c r="C2313" s="1">
        <f t="shared" si="399"/>
        <v>45536</v>
      </c>
      <c r="D2313" t="s">
        <v>7068</v>
      </c>
      <c r="E2313">
        <v>172.4</v>
      </c>
      <c r="F2313">
        <v>7.2</v>
      </c>
      <c r="G2313" t="s">
        <v>77</v>
      </c>
      <c r="H2313" t="s">
        <v>267</v>
      </c>
      <c r="I2313" t="s">
        <v>32</v>
      </c>
      <c r="J2313">
        <v>240</v>
      </c>
      <c r="K2313" t="s">
        <v>49</v>
      </c>
      <c r="L2313" t="s">
        <v>70</v>
      </c>
      <c r="M2313" t="s">
        <v>35</v>
      </c>
      <c r="N2313" t="s">
        <v>506</v>
      </c>
      <c r="O2313" t="s">
        <v>51</v>
      </c>
      <c r="P2313" t="s">
        <v>39</v>
      </c>
      <c r="Q2313" t="s">
        <v>38</v>
      </c>
      <c r="R2313">
        <v>0</v>
      </c>
      <c r="S2313" t="s">
        <v>38</v>
      </c>
      <c r="T2313">
        <v>10</v>
      </c>
      <c r="U2313">
        <v>2</v>
      </c>
      <c r="V2313">
        <v>24</v>
      </c>
      <c r="W2313" t="s">
        <v>39</v>
      </c>
      <c r="X2313" t="s">
        <v>123</v>
      </c>
      <c r="Y2313" t="s">
        <v>39</v>
      </c>
      <c r="Z2313" t="s">
        <v>115</v>
      </c>
      <c r="AA2313" t="s">
        <v>54</v>
      </c>
      <c r="AB2313" t="s">
        <v>55</v>
      </c>
      <c r="AC2313">
        <f t="shared" si="396"/>
        <v>0</v>
      </c>
      <c r="AD2313" s="12">
        <f t="shared" si="400"/>
        <v>0</v>
      </c>
      <c r="AE2313" s="12">
        <f t="shared" si="401"/>
        <v>1</v>
      </c>
      <c r="AF2313">
        <f t="shared" si="397"/>
        <v>1</v>
      </c>
      <c r="AG2313">
        <f t="shared" si="402"/>
        <v>0</v>
      </c>
      <c r="AH2313">
        <f t="shared" si="403"/>
        <v>0</v>
      </c>
      <c r="AI2313">
        <f t="shared" si="404"/>
        <v>0</v>
      </c>
      <c r="AJ2313">
        <f t="shared" si="405"/>
        <v>1</v>
      </c>
      <c r="AK2313">
        <f t="shared" si="398"/>
        <v>0</v>
      </c>
      <c r="AL2313">
        <f t="shared" si="406"/>
        <v>0</v>
      </c>
    </row>
    <row r="2314" spans="1:38">
      <c r="A2314" t="s">
        <v>7069</v>
      </c>
      <c r="B2314" t="s">
        <v>7070</v>
      </c>
      <c r="C2314" s="1">
        <f t="shared" si="399"/>
        <v>45627</v>
      </c>
      <c r="D2314" t="s">
        <v>7071</v>
      </c>
      <c r="E2314">
        <v>153.6</v>
      </c>
      <c r="F2314">
        <v>6.4</v>
      </c>
      <c r="G2314" t="s">
        <v>68</v>
      </c>
      <c r="H2314" t="s">
        <v>212</v>
      </c>
      <c r="I2314" t="s">
        <v>32</v>
      </c>
      <c r="J2314">
        <v>240</v>
      </c>
      <c r="K2314" t="s">
        <v>49</v>
      </c>
      <c r="L2314" t="s">
        <v>34</v>
      </c>
      <c r="M2314" t="s">
        <v>35</v>
      </c>
      <c r="N2314" t="s">
        <v>506</v>
      </c>
      <c r="O2314" t="s">
        <v>37</v>
      </c>
      <c r="P2314" t="s">
        <v>38</v>
      </c>
      <c r="Q2314" t="s">
        <v>38</v>
      </c>
      <c r="R2314">
        <v>1</v>
      </c>
      <c r="S2314" t="s">
        <v>38</v>
      </c>
      <c r="T2314">
        <v>9</v>
      </c>
      <c r="U2314">
        <v>0.1</v>
      </c>
      <c r="V2314">
        <v>6.1</v>
      </c>
      <c r="W2314" t="s">
        <v>39</v>
      </c>
      <c r="X2314" t="s">
        <v>123</v>
      </c>
      <c r="Y2314" t="s">
        <v>39</v>
      </c>
      <c r="Z2314" t="s">
        <v>53</v>
      </c>
      <c r="AA2314" t="s">
        <v>82</v>
      </c>
      <c r="AB2314" t="s">
        <v>83</v>
      </c>
      <c r="AC2314">
        <f t="shared" si="396"/>
        <v>0</v>
      </c>
      <c r="AD2314" s="12">
        <f t="shared" si="400"/>
        <v>0</v>
      </c>
      <c r="AE2314" s="12">
        <f t="shared" si="401"/>
        <v>1</v>
      </c>
      <c r="AF2314">
        <f t="shared" si="397"/>
        <v>0</v>
      </c>
      <c r="AG2314">
        <f t="shared" si="402"/>
        <v>0</v>
      </c>
      <c r="AH2314">
        <f t="shared" si="403"/>
        <v>0</v>
      </c>
      <c r="AI2314">
        <f t="shared" si="404"/>
        <v>0</v>
      </c>
      <c r="AJ2314">
        <f t="shared" si="405"/>
        <v>1</v>
      </c>
      <c r="AK2314">
        <f t="shared" si="398"/>
        <v>0</v>
      </c>
      <c r="AL2314">
        <f t="shared" si="406"/>
        <v>0</v>
      </c>
    </row>
    <row r="2315" spans="1:38">
      <c r="A2315" t="s">
        <v>7072</v>
      </c>
      <c r="B2315" t="s">
        <v>7073</v>
      </c>
      <c r="C2315" s="1">
        <f t="shared" si="399"/>
        <v>45536</v>
      </c>
      <c r="D2315" t="s">
        <v>7074</v>
      </c>
      <c r="E2315">
        <v>488.6</v>
      </c>
      <c r="F2315">
        <v>20.399999999999999</v>
      </c>
      <c r="G2315" t="s">
        <v>77</v>
      </c>
      <c r="H2315" t="s">
        <v>267</v>
      </c>
      <c r="I2315" t="s">
        <v>79</v>
      </c>
      <c r="J2315">
        <v>360</v>
      </c>
      <c r="K2315" t="s">
        <v>33</v>
      </c>
      <c r="L2315" t="s">
        <v>34</v>
      </c>
      <c r="M2315" t="s">
        <v>35</v>
      </c>
      <c r="N2315" t="s">
        <v>114</v>
      </c>
      <c r="O2315" t="s">
        <v>7232</v>
      </c>
      <c r="P2315" t="s">
        <v>39</v>
      </c>
      <c r="Q2315" t="s">
        <v>38</v>
      </c>
      <c r="R2315">
        <v>0</v>
      </c>
      <c r="S2315" t="s">
        <v>38</v>
      </c>
      <c r="T2315">
        <v>9</v>
      </c>
      <c r="U2315">
        <v>0.4</v>
      </c>
      <c r="V2315">
        <v>6.2</v>
      </c>
      <c r="W2315" t="s">
        <v>39</v>
      </c>
      <c r="X2315" t="s">
        <v>63</v>
      </c>
      <c r="Y2315" t="s">
        <v>39</v>
      </c>
      <c r="Z2315" t="s">
        <v>41</v>
      </c>
      <c r="AA2315" t="s">
        <v>82</v>
      </c>
      <c r="AB2315" t="s">
        <v>83</v>
      </c>
      <c r="AC2315">
        <f t="shared" si="396"/>
        <v>0</v>
      </c>
      <c r="AD2315" s="12">
        <f t="shared" si="400"/>
        <v>1</v>
      </c>
      <c r="AE2315" s="12">
        <f t="shared" si="401"/>
        <v>0</v>
      </c>
      <c r="AF2315">
        <f t="shared" si="397"/>
        <v>0</v>
      </c>
      <c r="AG2315">
        <f t="shared" si="402"/>
        <v>1</v>
      </c>
      <c r="AH2315">
        <f t="shared" si="403"/>
        <v>0</v>
      </c>
      <c r="AI2315">
        <f t="shared" si="404"/>
        <v>0</v>
      </c>
      <c r="AJ2315">
        <f t="shared" si="405"/>
        <v>0</v>
      </c>
      <c r="AK2315">
        <f t="shared" si="398"/>
        <v>0</v>
      </c>
      <c r="AL2315">
        <f t="shared" si="406"/>
        <v>0</v>
      </c>
    </row>
    <row r="2316" spans="1:38">
      <c r="A2316" t="s">
        <v>7075</v>
      </c>
      <c r="B2316" t="s">
        <v>7076</v>
      </c>
      <c r="C2316" s="1">
        <f t="shared" si="399"/>
        <v>45566</v>
      </c>
      <c r="D2316" t="s">
        <v>7077</v>
      </c>
      <c r="E2316">
        <v>180.9</v>
      </c>
      <c r="F2316">
        <v>7.5</v>
      </c>
      <c r="G2316" t="s">
        <v>30</v>
      </c>
      <c r="H2316" t="s">
        <v>159</v>
      </c>
      <c r="I2316" t="s">
        <v>32</v>
      </c>
      <c r="J2316">
        <v>240</v>
      </c>
      <c r="K2316" t="s">
        <v>49</v>
      </c>
      <c r="L2316" t="s">
        <v>96</v>
      </c>
      <c r="M2316" t="s">
        <v>35</v>
      </c>
      <c r="N2316" t="s">
        <v>220</v>
      </c>
      <c r="O2316" t="s">
        <v>51</v>
      </c>
      <c r="P2316" t="s">
        <v>38</v>
      </c>
      <c r="Q2316" t="s">
        <v>38</v>
      </c>
      <c r="R2316">
        <v>1</v>
      </c>
      <c r="S2316" t="s">
        <v>38</v>
      </c>
      <c r="T2316">
        <v>6</v>
      </c>
      <c r="U2316">
        <v>1.5</v>
      </c>
      <c r="V2316">
        <v>2.2000000000000002</v>
      </c>
      <c r="W2316" t="s">
        <v>39</v>
      </c>
      <c r="X2316" t="s">
        <v>63</v>
      </c>
      <c r="Y2316" t="s">
        <v>39</v>
      </c>
      <c r="Z2316" t="s">
        <v>64</v>
      </c>
      <c r="AA2316" t="s">
        <v>42</v>
      </c>
      <c r="AB2316" t="s">
        <v>55</v>
      </c>
      <c r="AC2316">
        <f t="shared" si="396"/>
        <v>0</v>
      </c>
      <c r="AD2316" s="12">
        <f t="shared" si="400"/>
        <v>1</v>
      </c>
      <c r="AE2316" s="12">
        <f t="shared" si="401"/>
        <v>0</v>
      </c>
      <c r="AF2316">
        <f t="shared" si="397"/>
        <v>1</v>
      </c>
      <c r="AG2316">
        <f t="shared" si="402"/>
        <v>0</v>
      </c>
      <c r="AH2316">
        <f t="shared" si="403"/>
        <v>0</v>
      </c>
      <c r="AI2316">
        <f t="shared" si="404"/>
        <v>0</v>
      </c>
      <c r="AJ2316">
        <f t="shared" si="405"/>
        <v>1</v>
      </c>
      <c r="AK2316">
        <f t="shared" si="398"/>
        <v>1</v>
      </c>
      <c r="AL2316">
        <f t="shared" si="406"/>
        <v>0</v>
      </c>
    </row>
    <row r="2317" spans="1:38">
      <c r="A2317" t="s">
        <v>7078</v>
      </c>
      <c r="B2317" t="s">
        <v>7079</v>
      </c>
      <c r="C2317" s="1">
        <f t="shared" si="399"/>
        <v>45627</v>
      </c>
      <c r="D2317" t="s">
        <v>7080</v>
      </c>
      <c r="E2317">
        <v>111.8</v>
      </c>
      <c r="F2317">
        <v>4.7</v>
      </c>
      <c r="G2317" t="s">
        <v>87</v>
      </c>
      <c r="H2317" t="s">
        <v>309</v>
      </c>
      <c r="I2317" t="s">
        <v>48</v>
      </c>
      <c r="J2317">
        <v>120</v>
      </c>
      <c r="K2317" t="s">
        <v>49</v>
      </c>
      <c r="L2317" t="s">
        <v>96</v>
      </c>
      <c r="M2317" t="s">
        <v>35</v>
      </c>
      <c r="N2317" t="s">
        <v>80</v>
      </c>
      <c r="O2317" t="s">
        <v>51</v>
      </c>
      <c r="P2317" t="s">
        <v>38</v>
      </c>
      <c r="Q2317" t="s">
        <v>38</v>
      </c>
      <c r="R2317">
        <v>1</v>
      </c>
      <c r="S2317" t="s">
        <v>39</v>
      </c>
      <c r="T2317">
        <v>8</v>
      </c>
      <c r="U2317">
        <v>3.2</v>
      </c>
      <c r="V2317">
        <v>20.3</v>
      </c>
      <c r="W2317" t="s">
        <v>39</v>
      </c>
      <c r="X2317" t="s">
        <v>63</v>
      </c>
      <c r="Y2317" t="s">
        <v>38</v>
      </c>
      <c r="Z2317" t="s">
        <v>115</v>
      </c>
      <c r="AA2317" t="s">
        <v>42</v>
      </c>
      <c r="AB2317" t="s">
        <v>55</v>
      </c>
      <c r="AC2317">
        <f t="shared" si="396"/>
        <v>0</v>
      </c>
      <c r="AD2317" s="12">
        <f t="shared" si="400"/>
        <v>1</v>
      </c>
      <c r="AE2317" s="12">
        <f t="shared" si="401"/>
        <v>0</v>
      </c>
      <c r="AF2317">
        <f t="shared" si="397"/>
        <v>1</v>
      </c>
      <c r="AG2317">
        <f t="shared" si="402"/>
        <v>0</v>
      </c>
      <c r="AH2317">
        <f t="shared" si="403"/>
        <v>1</v>
      </c>
      <c r="AI2317">
        <f t="shared" si="404"/>
        <v>0</v>
      </c>
      <c r="AJ2317">
        <f t="shared" si="405"/>
        <v>0</v>
      </c>
      <c r="AK2317">
        <f t="shared" si="398"/>
        <v>0</v>
      </c>
      <c r="AL2317">
        <f t="shared" si="406"/>
        <v>1</v>
      </c>
    </row>
    <row r="2318" spans="1:38">
      <c r="A2318" t="s">
        <v>7081</v>
      </c>
      <c r="B2318" t="s">
        <v>7082</v>
      </c>
      <c r="C2318" s="1">
        <f t="shared" si="399"/>
        <v>45292</v>
      </c>
      <c r="D2318" t="s">
        <v>7083</v>
      </c>
      <c r="E2318">
        <v>306.89999999999998</v>
      </c>
      <c r="F2318">
        <v>12.8</v>
      </c>
      <c r="G2318" t="s">
        <v>142</v>
      </c>
      <c r="H2318" t="s">
        <v>240</v>
      </c>
      <c r="I2318" t="s">
        <v>79</v>
      </c>
      <c r="J2318">
        <v>360</v>
      </c>
      <c r="K2318" t="s">
        <v>49</v>
      </c>
      <c r="L2318" t="s">
        <v>34</v>
      </c>
      <c r="M2318" t="s">
        <v>71</v>
      </c>
      <c r="N2318" t="s">
        <v>80</v>
      </c>
      <c r="O2318" t="s">
        <v>51</v>
      </c>
      <c r="P2318" t="s">
        <v>38</v>
      </c>
      <c r="Q2318" t="s">
        <v>39</v>
      </c>
      <c r="R2318">
        <v>3</v>
      </c>
      <c r="S2318" t="s">
        <v>38</v>
      </c>
      <c r="T2318">
        <v>10</v>
      </c>
      <c r="U2318">
        <v>1</v>
      </c>
      <c r="V2318">
        <v>11.4</v>
      </c>
      <c r="W2318" t="s">
        <v>39</v>
      </c>
      <c r="X2318" t="s">
        <v>123</v>
      </c>
      <c r="Y2318" t="s">
        <v>39</v>
      </c>
      <c r="Z2318" t="s">
        <v>179</v>
      </c>
      <c r="AA2318" t="s">
        <v>109</v>
      </c>
      <c r="AB2318" t="s">
        <v>55</v>
      </c>
      <c r="AC2318">
        <f t="shared" si="396"/>
        <v>0</v>
      </c>
      <c r="AD2318" s="12">
        <f t="shared" si="400"/>
        <v>0</v>
      </c>
      <c r="AE2318" s="12">
        <f t="shared" si="401"/>
        <v>1</v>
      </c>
      <c r="AF2318">
        <f t="shared" si="397"/>
        <v>1</v>
      </c>
      <c r="AG2318">
        <f t="shared" si="402"/>
        <v>0</v>
      </c>
      <c r="AH2318">
        <f t="shared" si="403"/>
        <v>0</v>
      </c>
      <c r="AI2318">
        <f t="shared" si="404"/>
        <v>0</v>
      </c>
      <c r="AJ2318">
        <f t="shared" si="405"/>
        <v>0</v>
      </c>
      <c r="AK2318">
        <f t="shared" si="398"/>
        <v>0</v>
      </c>
      <c r="AL2318">
        <f t="shared" si="406"/>
        <v>0</v>
      </c>
    </row>
    <row r="2319" spans="1:38">
      <c r="A2319" t="s">
        <v>7084</v>
      </c>
      <c r="B2319" t="s">
        <v>7085</v>
      </c>
      <c r="C2319" s="1">
        <f t="shared" si="399"/>
        <v>45352</v>
      </c>
      <c r="D2319" t="s">
        <v>7086</v>
      </c>
      <c r="E2319">
        <v>212.6</v>
      </c>
      <c r="F2319">
        <v>8.9</v>
      </c>
      <c r="G2319" t="s">
        <v>87</v>
      </c>
      <c r="H2319" t="s">
        <v>309</v>
      </c>
      <c r="I2319" t="s">
        <v>32</v>
      </c>
      <c r="J2319">
        <v>240</v>
      </c>
      <c r="K2319" t="s">
        <v>49</v>
      </c>
      <c r="L2319" t="s">
        <v>34</v>
      </c>
      <c r="M2319" t="s">
        <v>35</v>
      </c>
      <c r="N2319" t="s">
        <v>168</v>
      </c>
      <c r="O2319" t="s">
        <v>7232</v>
      </c>
      <c r="P2319" t="s">
        <v>38</v>
      </c>
      <c r="Q2319" t="s">
        <v>38</v>
      </c>
      <c r="R2319">
        <v>1</v>
      </c>
      <c r="S2319" t="s">
        <v>38</v>
      </c>
      <c r="T2319">
        <v>7</v>
      </c>
      <c r="U2319">
        <v>0.4</v>
      </c>
      <c r="V2319">
        <v>5.6</v>
      </c>
      <c r="W2319" t="s">
        <v>39</v>
      </c>
      <c r="X2319" t="s">
        <v>123</v>
      </c>
      <c r="Y2319" t="s">
        <v>38</v>
      </c>
      <c r="Z2319" t="s">
        <v>81</v>
      </c>
      <c r="AA2319" t="s">
        <v>42</v>
      </c>
      <c r="AB2319" t="s">
        <v>55</v>
      </c>
      <c r="AC2319">
        <f t="shared" si="396"/>
        <v>0</v>
      </c>
      <c r="AD2319" s="12">
        <f t="shared" si="400"/>
        <v>0</v>
      </c>
      <c r="AE2319" s="12">
        <f t="shared" si="401"/>
        <v>1</v>
      </c>
      <c r="AF2319">
        <f t="shared" si="397"/>
        <v>0</v>
      </c>
      <c r="AG2319">
        <f t="shared" si="402"/>
        <v>1</v>
      </c>
      <c r="AH2319">
        <f t="shared" si="403"/>
        <v>0</v>
      </c>
      <c r="AI2319">
        <f t="shared" si="404"/>
        <v>0</v>
      </c>
      <c r="AJ2319">
        <f t="shared" si="405"/>
        <v>1</v>
      </c>
      <c r="AK2319">
        <f t="shared" si="398"/>
        <v>0</v>
      </c>
      <c r="AL2319">
        <f t="shared" si="406"/>
        <v>1</v>
      </c>
    </row>
    <row r="2320" spans="1:38">
      <c r="A2320" t="s">
        <v>7087</v>
      </c>
      <c r="B2320" t="s">
        <v>7088</v>
      </c>
      <c r="C2320" s="1">
        <f t="shared" si="399"/>
        <v>45474</v>
      </c>
      <c r="D2320" t="s">
        <v>7089</v>
      </c>
      <c r="E2320">
        <v>285.7</v>
      </c>
      <c r="F2320">
        <v>11.9</v>
      </c>
      <c r="G2320" t="s">
        <v>77</v>
      </c>
      <c r="H2320" t="s">
        <v>187</v>
      </c>
      <c r="I2320" t="s">
        <v>79</v>
      </c>
      <c r="J2320">
        <v>360</v>
      </c>
      <c r="K2320" t="s">
        <v>49</v>
      </c>
      <c r="L2320" t="s">
        <v>70</v>
      </c>
      <c r="M2320" t="s">
        <v>35</v>
      </c>
      <c r="N2320" t="s">
        <v>414</v>
      </c>
      <c r="O2320" t="s">
        <v>37</v>
      </c>
      <c r="P2320" t="s">
        <v>39</v>
      </c>
      <c r="Q2320" t="s">
        <v>38</v>
      </c>
      <c r="R2320">
        <v>0</v>
      </c>
      <c r="S2320" t="s">
        <v>38</v>
      </c>
      <c r="T2320">
        <v>10</v>
      </c>
      <c r="U2320">
        <v>0.8</v>
      </c>
      <c r="V2320">
        <v>5.6</v>
      </c>
      <c r="W2320" t="s">
        <v>39</v>
      </c>
      <c r="X2320" t="s">
        <v>52</v>
      </c>
      <c r="Y2320" t="s">
        <v>38</v>
      </c>
      <c r="Z2320" t="s">
        <v>53</v>
      </c>
      <c r="AA2320" t="s">
        <v>82</v>
      </c>
      <c r="AB2320" t="s">
        <v>43</v>
      </c>
      <c r="AC2320">
        <f t="shared" si="396"/>
        <v>1</v>
      </c>
      <c r="AD2320" s="12">
        <f t="shared" si="400"/>
        <v>0</v>
      </c>
      <c r="AE2320" s="12">
        <f t="shared" si="401"/>
        <v>0</v>
      </c>
      <c r="AF2320">
        <f t="shared" si="397"/>
        <v>0</v>
      </c>
      <c r="AG2320">
        <f t="shared" si="402"/>
        <v>0</v>
      </c>
      <c r="AH2320">
        <f t="shared" si="403"/>
        <v>0</v>
      </c>
      <c r="AI2320">
        <f t="shared" si="404"/>
        <v>0</v>
      </c>
      <c r="AJ2320">
        <f t="shared" si="405"/>
        <v>0</v>
      </c>
      <c r="AK2320">
        <f t="shared" si="398"/>
        <v>0</v>
      </c>
      <c r="AL2320">
        <f t="shared" si="406"/>
        <v>1</v>
      </c>
    </row>
    <row r="2321" spans="1:38">
      <c r="A2321" t="s">
        <v>7090</v>
      </c>
      <c r="B2321" t="s">
        <v>7091</v>
      </c>
      <c r="C2321" s="1">
        <f t="shared" si="399"/>
        <v>45323</v>
      </c>
      <c r="D2321" t="s">
        <v>7092</v>
      </c>
      <c r="E2321">
        <v>152.4</v>
      </c>
      <c r="F2321">
        <v>6.4</v>
      </c>
      <c r="G2321" t="s">
        <v>87</v>
      </c>
      <c r="H2321" t="s">
        <v>88</v>
      </c>
      <c r="I2321" t="s">
        <v>48</v>
      </c>
      <c r="J2321">
        <v>120</v>
      </c>
      <c r="K2321" t="s">
        <v>33</v>
      </c>
      <c r="L2321" t="s">
        <v>96</v>
      </c>
      <c r="M2321" t="s">
        <v>35</v>
      </c>
      <c r="N2321" t="s">
        <v>80</v>
      </c>
      <c r="O2321" t="s">
        <v>37</v>
      </c>
      <c r="P2321" t="s">
        <v>38</v>
      </c>
      <c r="Q2321" t="s">
        <v>38</v>
      </c>
      <c r="R2321">
        <v>1</v>
      </c>
      <c r="S2321" t="s">
        <v>38</v>
      </c>
      <c r="T2321">
        <v>5</v>
      </c>
      <c r="U2321">
        <v>0.7</v>
      </c>
      <c r="V2321">
        <v>19.399999999999999</v>
      </c>
      <c r="W2321" t="s">
        <v>38</v>
      </c>
      <c r="X2321" t="s">
        <v>63</v>
      </c>
      <c r="Y2321" t="s">
        <v>38</v>
      </c>
      <c r="Z2321" t="s">
        <v>108</v>
      </c>
      <c r="AA2321" t="s">
        <v>42</v>
      </c>
      <c r="AB2321" t="s">
        <v>83</v>
      </c>
      <c r="AC2321">
        <f t="shared" si="396"/>
        <v>0</v>
      </c>
      <c r="AD2321" s="12">
        <f t="shared" si="400"/>
        <v>1</v>
      </c>
      <c r="AE2321" s="12">
        <f t="shared" si="401"/>
        <v>0</v>
      </c>
      <c r="AF2321">
        <f t="shared" si="397"/>
        <v>0</v>
      </c>
      <c r="AG2321">
        <f t="shared" si="402"/>
        <v>0</v>
      </c>
      <c r="AH2321">
        <f t="shared" si="403"/>
        <v>1</v>
      </c>
      <c r="AI2321">
        <f t="shared" si="404"/>
        <v>0</v>
      </c>
      <c r="AJ2321">
        <f t="shared" si="405"/>
        <v>0</v>
      </c>
      <c r="AK2321">
        <f t="shared" si="398"/>
        <v>0</v>
      </c>
      <c r="AL2321">
        <f t="shared" si="406"/>
        <v>1</v>
      </c>
    </row>
    <row r="2322" spans="1:38">
      <c r="A2322" t="s">
        <v>7093</v>
      </c>
      <c r="B2322" t="s">
        <v>7094</v>
      </c>
      <c r="C2322" s="1">
        <f t="shared" si="399"/>
        <v>45474</v>
      </c>
      <c r="D2322" t="s">
        <v>7095</v>
      </c>
      <c r="E2322">
        <v>112.5</v>
      </c>
      <c r="F2322">
        <v>4.7</v>
      </c>
      <c r="G2322" t="s">
        <v>59</v>
      </c>
      <c r="H2322" t="s">
        <v>466</v>
      </c>
      <c r="I2322" t="s">
        <v>48</v>
      </c>
      <c r="J2322">
        <v>120</v>
      </c>
      <c r="K2322" t="s">
        <v>49</v>
      </c>
      <c r="L2322" t="s">
        <v>34</v>
      </c>
      <c r="M2322" t="s">
        <v>71</v>
      </c>
      <c r="N2322" t="s">
        <v>134</v>
      </c>
      <c r="O2322" t="s">
        <v>51</v>
      </c>
      <c r="P2322" t="s">
        <v>38</v>
      </c>
      <c r="Q2322" t="s">
        <v>39</v>
      </c>
      <c r="R2322">
        <v>1</v>
      </c>
      <c r="S2322" t="s">
        <v>38</v>
      </c>
      <c r="T2322">
        <v>7</v>
      </c>
      <c r="U2322">
        <v>1.5</v>
      </c>
      <c r="V2322">
        <v>23.2</v>
      </c>
      <c r="W2322" t="s">
        <v>39</v>
      </c>
      <c r="X2322" t="s">
        <v>63</v>
      </c>
      <c r="Y2322" t="s">
        <v>39</v>
      </c>
      <c r="Z2322" t="s">
        <v>53</v>
      </c>
      <c r="AA2322" t="s">
        <v>42</v>
      </c>
      <c r="AB2322" t="s">
        <v>83</v>
      </c>
      <c r="AC2322">
        <f t="shared" si="396"/>
        <v>0</v>
      </c>
      <c r="AD2322" s="12">
        <f t="shared" si="400"/>
        <v>1</v>
      </c>
      <c r="AE2322" s="12">
        <f t="shared" si="401"/>
        <v>0</v>
      </c>
      <c r="AF2322">
        <f t="shared" si="397"/>
        <v>1</v>
      </c>
      <c r="AG2322">
        <f t="shared" si="402"/>
        <v>0</v>
      </c>
      <c r="AH2322">
        <f t="shared" si="403"/>
        <v>1</v>
      </c>
      <c r="AI2322">
        <f t="shared" si="404"/>
        <v>0</v>
      </c>
      <c r="AJ2322">
        <f t="shared" si="405"/>
        <v>0</v>
      </c>
      <c r="AK2322">
        <f t="shared" si="398"/>
        <v>0</v>
      </c>
      <c r="AL2322">
        <f t="shared" si="406"/>
        <v>0</v>
      </c>
    </row>
    <row r="2323" spans="1:38">
      <c r="A2323" t="s">
        <v>7096</v>
      </c>
      <c r="B2323" t="s">
        <v>7097</v>
      </c>
      <c r="C2323" s="1">
        <f t="shared" si="399"/>
        <v>45352</v>
      </c>
      <c r="D2323" t="s">
        <v>7098</v>
      </c>
      <c r="E2323">
        <v>39.6</v>
      </c>
      <c r="F2323">
        <v>1.7</v>
      </c>
      <c r="G2323" t="s">
        <v>101</v>
      </c>
      <c r="H2323" t="s">
        <v>442</v>
      </c>
      <c r="I2323" t="s">
        <v>95</v>
      </c>
      <c r="J2323">
        <v>48</v>
      </c>
      <c r="K2323" t="s">
        <v>49</v>
      </c>
      <c r="L2323" t="s">
        <v>96</v>
      </c>
      <c r="M2323" t="s">
        <v>35</v>
      </c>
      <c r="N2323" t="s">
        <v>61</v>
      </c>
      <c r="O2323" t="s">
        <v>37</v>
      </c>
      <c r="P2323" t="s">
        <v>38</v>
      </c>
      <c r="Q2323" t="s">
        <v>38</v>
      </c>
      <c r="R2323">
        <v>1</v>
      </c>
      <c r="S2323" t="s">
        <v>38</v>
      </c>
      <c r="T2323">
        <v>6</v>
      </c>
      <c r="U2323">
        <v>0.8</v>
      </c>
      <c r="V2323">
        <v>5.9</v>
      </c>
      <c r="W2323" t="s">
        <v>39</v>
      </c>
      <c r="X2323" t="s">
        <v>52</v>
      </c>
      <c r="Y2323" t="s">
        <v>38</v>
      </c>
      <c r="Z2323" t="s">
        <v>73</v>
      </c>
      <c r="AA2323" t="s">
        <v>109</v>
      </c>
      <c r="AB2323" t="s">
        <v>83</v>
      </c>
      <c r="AC2323">
        <f t="shared" si="396"/>
        <v>1</v>
      </c>
      <c r="AD2323" s="12">
        <f t="shared" si="400"/>
        <v>0</v>
      </c>
      <c r="AE2323" s="12">
        <f t="shared" si="401"/>
        <v>0</v>
      </c>
      <c r="AF2323">
        <f t="shared" si="397"/>
        <v>0</v>
      </c>
      <c r="AG2323">
        <f t="shared" si="402"/>
        <v>0</v>
      </c>
      <c r="AH2323">
        <f t="shared" si="403"/>
        <v>0</v>
      </c>
      <c r="AI2323">
        <f t="shared" si="404"/>
        <v>1</v>
      </c>
      <c r="AJ2323">
        <f t="shared" si="405"/>
        <v>0</v>
      </c>
      <c r="AK2323">
        <f t="shared" si="398"/>
        <v>0</v>
      </c>
      <c r="AL2323">
        <f t="shared" si="406"/>
        <v>1</v>
      </c>
    </row>
    <row r="2324" spans="1:38">
      <c r="A2324" t="s">
        <v>7099</v>
      </c>
      <c r="B2324" t="s">
        <v>7100</v>
      </c>
      <c r="C2324" s="1">
        <f t="shared" si="399"/>
        <v>45292</v>
      </c>
      <c r="D2324" t="s">
        <v>7101</v>
      </c>
      <c r="E2324">
        <v>286.7</v>
      </c>
      <c r="F2324">
        <v>11.9</v>
      </c>
      <c r="G2324" t="s">
        <v>87</v>
      </c>
      <c r="H2324" t="s">
        <v>183</v>
      </c>
      <c r="I2324" t="s">
        <v>32</v>
      </c>
      <c r="J2324">
        <v>240</v>
      </c>
      <c r="K2324" t="s">
        <v>33</v>
      </c>
      <c r="L2324" t="s">
        <v>113</v>
      </c>
      <c r="M2324" t="s">
        <v>71</v>
      </c>
      <c r="N2324" t="s">
        <v>277</v>
      </c>
      <c r="O2324" t="s">
        <v>37</v>
      </c>
      <c r="P2324" t="s">
        <v>38</v>
      </c>
      <c r="Q2324" t="s">
        <v>39</v>
      </c>
      <c r="R2324">
        <v>4</v>
      </c>
      <c r="S2324" t="s">
        <v>38</v>
      </c>
      <c r="T2324">
        <v>5</v>
      </c>
      <c r="U2324">
        <v>5.6</v>
      </c>
      <c r="V2324">
        <v>27.2</v>
      </c>
      <c r="W2324" t="s">
        <v>39</v>
      </c>
      <c r="X2324" t="s">
        <v>52</v>
      </c>
      <c r="Y2324" t="s">
        <v>39</v>
      </c>
      <c r="Z2324" t="s">
        <v>53</v>
      </c>
      <c r="AA2324" t="s">
        <v>54</v>
      </c>
      <c r="AB2324" t="s">
        <v>43</v>
      </c>
      <c r="AC2324">
        <f t="shared" si="396"/>
        <v>1</v>
      </c>
      <c r="AD2324" s="12">
        <f t="shared" si="400"/>
        <v>0</v>
      </c>
      <c r="AE2324" s="12">
        <f t="shared" si="401"/>
        <v>0</v>
      </c>
      <c r="AF2324">
        <f t="shared" si="397"/>
        <v>0</v>
      </c>
      <c r="AG2324">
        <f t="shared" si="402"/>
        <v>0</v>
      </c>
      <c r="AH2324">
        <f t="shared" si="403"/>
        <v>0</v>
      </c>
      <c r="AI2324">
        <f t="shared" si="404"/>
        <v>0</v>
      </c>
      <c r="AJ2324">
        <f t="shared" si="405"/>
        <v>1</v>
      </c>
      <c r="AK2324">
        <f t="shared" si="398"/>
        <v>0</v>
      </c>
      <c r="AL2324">
        <f t="shared" si="406"/>
        <v>0</v>
      </c>
    </row>
    <row r="2325" spans="1:38">
      <c r="A2325" t="s">
        <v>7102</v>
      </c>
      <c r="B2325" t="s">
        <v>7103</v>
      </c>
      <c r="C2325" s="1">
        <f t="shared" si="399"/>
        <v>45383</v>
      </c>
      <c r="D2325" t="s">
        <v>7104</v>
      </c>
      <c r="E2325">
        <v>99.9</v>
      </c>
      <c r="F2325">
        <v>4.2</v>
      </c>
      <c r="G2325" t="s">
        <v>68</v>
      </c>
      <c r="H2325" t="s">
        <v>219</v>
      </c>
      <c r="I2325" t="s">
        <v>48</v>
      </c>
      <c r="J2325">
        <v>120</v>
      </c>
      <c r="K2325" t="s">
        <v>49</v>
      </c>
      <c r="L2325" t="s">
        <v>70</v>
      </c>
      <c r="M2325" t="s">
        <v>71</v>
      </c>
      <c r="N2325" t="s">
        <v>119</v>
      </c>
      <c r="O2325" t="s">
        <v>51</v>
      </c>
      <c r="P2325" t="s">
        <v>38</v>
      </c>
      <c r="Q2325" t="s">
        <v>39</v>
      </c>
      <c r="R2325">
        <v>2</v>
      </c>
      <c r="S2325" t="s">
        <v>38</v>
      </c>
      <c r="T2325">
        <v>9</v>
      </c>
      <c r="U2325">
        <v>3</v>
      </c>
      <c r="V2325">
        <v>1.2</v>
      </c>
      <c r="W2325" t="s">
        <v>39</v>
      </c>
      <c r="X2325" t="s">
        <v>123</v>
      </c>
      <c r="Y2325" t="s">
        <v>39</v>
      </c>
      <c r="Z2325" t="s">
        <v>115</v>
      </c>
      <c r="AA2325" t="s">
        <v>42</v>
      </c>
      <c r="AB2325" t="s">
        <v>83</v>
      </c>
      <c r="AC2325">
        <f t="shared" si="396"/>
        <v>0</v>
      </c>
      <c r="AD2325" s="12">
        <f t="shared" si="400"/>
        <v>0</v>
      </c>
      <c r="AE2325" s="12">
        <f t="shared" si="401"/>
        <v>1</v>
      </c>
      <c r="AF2325">
        <f t="shared" si="397"/>
        <v>1</v>
      </c>
      <c r="AG2325">
        <f t="shared" si="402"/>
        <v>0</v>
      </c>
      <c r="AH2325">
        <f t="shared" si="403"/>
        <v>1</v>
      </c>
      <c r="AI2325">
        <f t="shared" si="404"/>
        <v>0</v>
      </c>
      <c r="AJ2325">
        <f t="shared" si="405"/>
        <v>0</v>
      </c>
      <c r="AK2325">
        <f t="shared" si="398"/>
        <v>0</v>
      </c>
      <c r="AL2325">
        <f t="shared" si="406"/>
        <v>0</v>
      </c>
    </row>
    <row r="2326" spans="1:38">
      <c r="A2326" t="s">
        <v>7105</v>
      </c>
      <c r="B2326" t="s">
        <v>7106</v>
      </c>
      <c r="C2326" s="1">
        <f t="shared" si="399"/>
        <v>45413</v>
      </c>
      <c r="D2326" t="s">
        <v>7107</v>
      </c>
      <c r="E2326">
        <v>479.5</v>
      </c>
      <c r="F2326">
        <v>20</v>
      </c>
      <c r="G2326" t="s">
        <v>30</v>
      </c>
      <c r="H2326" t="s">
        <v>172</v>
      </c>
      <c r="I2326" t="s">
        <v>32</v>
      </c>
      <c r="J2326">
        <v>240</v>
      </c>
      <c r="K2326" t="s">
        <v>33</v>
      </c>
      <c r="L2326" t="s">
        <v>70</v>
      </c>
      <c r="M2326" t="s">
        <v>35</v>
      </c>
      <c r="N2326" t="s">
        <v>107</v>
      </c>
      <c r="O2326" t="s">
        <v>51</v>
      </c>
      <c r="P2326" t="s">
        <v>39</v>
      </c>
      <c r="Q2326" t="s">
        <v>38</v>
      </c>
      <c r="R2326">
        <v>0</v>
      </c>
      <c r="S2326" t="s">
        <v>39</v>
      </c>
      <c r="T2326">
        <v>6</v>
      </c>
      <c r="U2326">
        <v>3.7</v>
      </c>
      <c r="V2326">
        <v>13.3</v>
      </c>
      <c r="W2326" t="s">
        <v>38</v>
      </c>
      <c r="X2326" t="s">
        <v>123</v>
      </c>
      <c r="Y2326" t="s">
        <v>39</v>
      </c>
      <c r="Z2326" t="s">
        <v>81</v>
      </c>
      <c r="AA2326" t="s">
        <v>42</v>
      </c>
      <c r="AB2326" t="s">
        <v>83</v>
      </c>
      <c r="AC2326">
        <f t="shared" si="396"/>
        <v>0</v>
      </c>
      <c r="AD2326" s="12">
        <f t="shared" si="400"/>
        <v>0</v>
      </c>
      <c r="AE2326" s="12">
        <f t="shared" si="401"/>
        <v>1</v>
      </c>
      <c r="AF2326">
        <f t="shared" si="397"/>
        <v>1</v>
      </c>
      <c r="AG2326">
        <f t="shared" si="402"/>
        <v>0</v>
      </c>
      <c r="AH2326">
        <f t="shared" si="403"/>
        <v>0</v>
      </c>
      <c r="AI2326">
        <f t="shared" si="404"/>
        <v>0</v>
      </c>
      <c r="AJ2326">
        <f t="shared" si="405"/>
        <v>1</v>
      </c>
      <c r="AK2326">
        <f t="shared" si="398"/>
        <v>1</v>
      </c>
      <c r="AL2326">
        <f t="shared" si="406"/>
        <v>0</v>
      </c>
    </row>
    <row r="2327" spans="1:38">
      <c r="A2327" t="s">
        <v>7108</v>
      </c>
      <c r="B2327" t="s">
        <v>7109</v>
      </c>
      <c r="C2327" s="1">
        <f t="shared" si="399"/>
        <v>45536</v>
      </c>
      <c r="D2327" t="s">
        <v>7110</v>
      </c>
      <c r="E2327">
        <v>93.9</v>
      </c>
      <c r="F2327">
        <v>3.9</v>
      </c>
      <c r="G2327" t="s">
        <v>59</v>
      </c>
      <c r="H2327" t="s">
        <v>60</v>
      </c>
      <c r="I2327" t="s">
        <v>48</v>
      </c>
      <c r="J2327">
        <v>120</v>
      </c>
      <c r="K2327" t="s">
        <v>49</v>
      </c>
      <c r="L2327" t="s">
        <v>96</v>
      </c>
      <c r="M2327" t="s">
        <v>71</v>
      </c>
      <c r="N2327" t="s">
        <v>138</v>
      </c>
      <c r="O2327" t="s">
        <v>7232</v>
      </c>
      <c r="P2327" t="s">
        <v>38</v>
      </c>
      <c r="Q2327" t="s">
        <v>39</v>
      </c>
      <c r="R2327">
        <v>1</v>
      </c>
      <c r="S2327" t="s">
        <v>38</v>
      </c>
      <c r="T2327">
        <v>9</v>
      </c>
      <c r="U2327">
        <v>5.3</v>
      </c>
      <c r="V2327">
        <v>7.7</v>
      </c>
      <c r="W2327" t="s">
        <v>38</v>
      </c>
      <c r="X2327" t="s">
        <v>52</v>
      </c>
      <c r="Y2327" t="s">
        <v>39</v>
      </c>
      <c r="Z2327" t="s">
        <v>64</v>
      </c>
      <c r="AA2327" t="s">
        <v>42</v>
      </c>
      <c r="AB2327" t="s">
        <v>55</v>
      </c>
      <c r="AC2327">
        <f t="shared" si="396"/>
        <v>1</v>
      </c>
      <c r="AD2327" s="12">
        <f t="shared" si="400"/>
        <v>0</v>
      </c>
      <c r="AE2327" s="12">
        <f t="shared" si="401"/>
        <v>0</v>
      </c>
      <c r="AF2327">
        <f t="shared" si="397"/>
        <v>0</v>
      </c>
      <c r="AG2327">
        <f t="shared" si="402"/>
        <v>1</v>
      </c>
      <c r="AH2327">
        <f t="shared" si="403"/>
        <v>1</v>
      </c>
      <c r="AI2327">
        <f t="shared" si="404"/>
        <v>0</v>
      </c>
      <c r="AJ2327">
        <f t="shared" si="405"/>
        <v>0</v>
      </c>
      <c r="AK2327">
        <f t="shared" si="398"/>
        <v>0</v>
      </c>
      <c r="AL2327">
        <f t="shared" si="406"/>
        <v>0</v>
      </c>
    </row>
    <row r="2328" spans="1:38">
      <c r="A2328" t="s">
        <v>7111</v>
      </c>
      <c r="B2328" t="s">
        <v>7112</v>
      </c>
      <c r="C2328" s="1">
        <f t="shared" si="399"/>
        <v>45505</v>
      </c>
      <c r="D2328" t="s">
        <v>7113</v>
      </c>
      <c r="E2328">
        <v>302.3</v>
      </c>
      <c r="F2328">
        <v>12.6</v>
      </c>
      <c r="G2328" t="s">
        <v>87</v>
      </c>
      <c r="H2328" t="s">
        <v>88</v>
      </c>
      <c r="I2328" t="s">
        <v>79</v>
      </c>
      <c r="J2328">
        <v>360</v>
      </c>
      <c r="K2328" t="s">
        <v>49</v>
      </c>
      <c r="L2328" t="s">
        <v>96</v>
      </c>
      <c r="M2328" t="s">
        <v>35</v>
      </c>
      <c r="N2328" t="s">
        <v>50</v>
      </c>
      <c r="O2328" t="s">
        <v>51</v>
      </c>
      <c r="P2328" t="s">
        <v>38</v>
      </c>
      <c r="Q2328" t="s">
        <v>38</v>
      </c>
      <c r="R2328">
        <v>1</v>
      </c>
      <c r="S2328" t="s">
        <v>38</v>
      </c>
      <c r="T2328">
        <v>6</v>
      </c>
      <c r="U2328">
        <v>0.1</v>
      </c>
      <c r="V2328">
        <v>33.6</v>
      </c>
      <c r="W2328" t="s">
        <v>39</v>
      </c>
      <c r="X2328" t="s">
        <v>63</v>
      </c>
      <c r="Y2328" t="s">
        <v>38</v>
      </c>
      <c r="Z2328" t="s">
        <v>115</v>
      </c>
      <c r="AA2328" t="s">
        <v>103</v>
      </c>
      <c r="AB2328" t="s">
        <v>55</v>
      </c>
      <c r="AC2328">
        <f t="shared" si="396"/>
        <v>0</v>
      </c>
      <c r="AD2328" s="12">
        <f t="shared" si="400"/>
        <v>1</v>
      </c>
      <c r="AE2328" s="12">
        <f t="shared" si="401"/>
        <v>0</v>
      </c>
      <c r="AF2328">
        <f t="shared" si="397"/>
        <v>1</v>
      </c>
      <c r="AG2328">
        <f t="shared" si="402"/>
        <v>0</v>
      </c>
      <c r="AH2328">
        <f t="shared" si="403"/>
        <v>0</v>
      </c>
      <c r="AI2328">
        <f t="shared" si="404"/>
        <v>0</v>
      </c>
      <c r="AJ2328">
        <f t="shared" si="405"/>
        <v>0</v>
      </c>
      <c r="AK2328">
        <f t="shared" si="398"/>
        <v>0</v>
      </c>
      <c r="AL2328">
        <f t="shared" si="406"/>
        <v>1</v>
      </c>
    </row>
    <row r="2329" spans="1:38">
      <c r="A2329" t="s">
        <v>7114</v>
      </c>
      <c r="B2329" t="s">
        <v>7115</v>
      </c>
      <c r="C2329" s="1">
        <f t="shared" si="399"/>
        <v>45323</v>
      </c>
      <c r="D2329" t="s">
        <v>7116</v>
      </c>
      <c r="E2329">
        <v>533</v>
      </c>
      <c r="F2329">
        <v>22.2</v>
      </c>
      <c r="G2329" t="s">
        <v>142</v>
      </c>
      <c r="H2329" t="s">
        <v>729</v>
      </c>
      <c r="I2329" t="s">
        <v>32</v>
      </c>
      <c r="J2329">
        <v>240</v>
      </c>
      <c r="K2329" t="s">
        <v>33</v>
      </c>
      <c r="L2329" t="s">
        <v>34</v>
      </c>
      <c r="M2329" t="s">
        <v>35</v>
      </c>
      <c r="N2329" t="s">
        <v>220</v>
      </c>
      <c r="O2329" t="s">
        <v>7232</v>
      </c>
      <c r="P2329" t="s">
        <v>38</v>
      </c>
      <c r="Q2329" t="s">
        <v>38</v>
      </c>
      <c r="R2329">
        <v>1</v>
      </c>
      <c r="S2329" t="s">
        <v>38</v>
      </c>
      <c r="T2329">
        <v>7</v>
      </c>
      <c r="U2329">
        <v>2.1</v>
      </c>
      <c r="V2329">
        <v>26.5</v>
      </c>
      <c r="W2329" t="s">
        <v>39</v>
      </c>
      <c r="X2329" t="s">
        <v>63</v>
      </c>
      <c r="Y2329" t="s">
        <v>38</v>
      </c>
      <c r="Z2329" t="s">
        <v>53</v>
      </c>
      <c r="AA2329" t="s">
        <v>54</v>
      </c>
      <c r="AB2329" t="s">
        <v>55</v>
      </c>
      <c r="AC2329">
        <f t="shared" si="396"/>
        <v>0</v>
      </c>
      <c r="AD2329" s="12">
        <f t="shared" si="400"/>
        <v>1</v>
      </c>
      <c r="AE2329" s="12">
        <f t="shared" si="401"/>
        <v>0</v>
      </c>
      <c r="AF2329">
        <f t="shared" si="397"/>
        <v>0</v>
      </c>
      <c r="AG2329">
        <f t="shared" si="402"/>
        <v>1</v>
      </c>
      <c r="AH2329">
        <f t="shared" si="403"/>
        <v>0</v>
      </c>
      <c r="AI2329">
        <f t="shared" si="404"/>
        <v>0</v>
      </c>
      <c r="AJ2329">
        <f t="shared" si="405"/>
        <v>1</v>
      </c>
      <c r="AK2329">
        <f t="shared" si="398"/>
        <v>0</v>
      </c>
      <c r="AL2329">
        <f t="shared" si="406"/>
        <v>1</v>
      </c>
    </row>
    <row r="2330" spans="1:38">
      <c r="A2330" t="s">
        <v>7117</v>
      </c>
      <c r="B2330" t="s">
        <v>7118</v>
      </c>
      <c r="C2330" s="1">
        <f t="shared" si="399"/>
        <v>45566</v>
      </c>
      <c r="D2330" t="s">
        <v>7119</v>
      </c>
      <c r="E2330">
        <v>355.6</v>
      </c>
      <c r="F2330">
        <v>14.8</v>
      </c>
      <c r="G2330" t="s">
        <v>87</v>
      </c>
      <c r="H2330" t="s">
        <v>183</v>
      </c>
      <c r="I2330" t="s">
        <v>32</v>
      </c>
      <c r="J2330">
        <v>240</v>
      </c>
      <c r="K2330" t="s">
        <v>33</v>
      </c>
      <c r="L2330" t="s">
        <v>34</v>
      </c>
      <c r="M2330" t="s">
        <v>35</v>
      </c>
      <c r="N2330" t="s">
        <v>114</v>
      </c>
      <c r="O2330" t="s">
        <v>51</v>
      </c>
      <c r="P2330" t="s">
        <v>38</v>
      </c>
      <c r="Q2330" t="s">
        <v>38</v>
      </c>
      <c r="R2330">
        <v>1</v>
      </c>
      <c r="S2330" t="s">
        <v>38</v>
      </c>
      <c r="T2330">
        <v>6</v>
      </c>
      <c r="U2330">
        <v>0.3</v>
      </c>
      <c r="V2330">
        <v>54.1</v>
      </c>
      <c r="W2330" t="s">
        <v>39</v>
      </c>
      <c r="X2330" t="s">
        <v>40</v>
      </c>
      <c r="Y2330" t="s">
        <v>39</v>
      </c>
      <c r="Z2330" t="s">
        <v>108</v>
      </c>
      <c r="AA2330" t="s">
        <v>103</v>
      </c>
      <c r="AB2330" t="s">
        <v>55</v>
      </c>
      <c r="AC2330">
        <f t="shared" si="396"/>
        <v>0</v>
      </c>
      <c r="AD2330" s="12">
        <f t="shared" si="400"/>
        <v>0</v>
      </c>
      <c r="AE2330" s="12">
        <f t="shared" si="401"/>
        <v>0</v>
      </c>
      <c r="AF2330">
        <f t="shared" si="397"/>
        <v>1</v>
      </c>
      <c r="AG2330">
        <f t="shared" si="402"/>
        <v>0</v>
      </c>
      <c r="AH2330">
        <f t="shared" si="403"/>
        <v>0</v>
      </c>
      <c r="AI2330">
        <f t="shared" si="404"/>
        <v>0</v>
      </c>
      <c r="AJ2330">
        <f t="shared" si="405"/>
        <v>1</v>
      </c>
      <c r="AK2330">
        <f t="shared" si="398"/>
        <v>0</v>
      </c>
      <c r="AL2330">
        <f t="shared" si="406"/>
        <v>0</v>
      </c>
    </row>
    <row r="2331" spans="1:38">
      <c r="A2331" t="s">
        <v>7120</v>
      </c>
      <c r="B2331" t="s">
        <v>7121</v>
      </c>
      <c r="C2331" s="1">
        <f t="shared" si="399"/>
        <v>45474</v>
      </c>
      <c r="D2331" t="s">
        <v>7122</v>
      </c>
      <c r="E2331">
        <v>189.7</v>
      </c>
      <c r="F2331">
        <v>7.9</v>
      </c>
      <c r="G2331" t="s">
        <v>30</v>
      </c>
      <c r="H2331" t="s">
        <v>31</v>
      </c>
      <c r="I2331" t="s">
        <v>32</v>
      </c>
      <c r="J2331">
        <v>240</v>
      </c>
      <c r="K2331" t="s">
        <v>49</v>
      </c>
      <c r="L2331" t="s">
        <v>34</v>
      </c>
      <c r="M2331" t="s">
        <v>35</v>
      </c>
      <c r="N2331" t="s">
        <v>61</v>
      </c>
      <c r="O2331" t="s">
        <v>51</v>
      </c>
      <c r="P2331" t="s">
        <v>38</v>
      </c>
      <c r="Q2331" t="s">
        <v>38</v>
      </c>
      <c r="R2331">
        <v>1</v>
      </c>
      <c r="S2331" t="s">
        <v>38</v>
      </c>
      <c r="T2331">
        <v>7</v>
      </c>
      <c r="U2331">
        <v>3.4</v>
      </c>
      <c r="V2331">
        <v>29.1</v>
      </c>
      <c r="W2331" t="s">
        <v>38</v>
      </c>
      <c r="X2331" t="s">
        <v>40</v>
      </c>
      <c r="Y2331" t="s">
        <v>39</v>
      </c>
      <c r="Z2331" t="s">
        <v>179</v>
      </c>
      <c r="AA2331" t="s">
        <v>103</v>
      </c>
      <c r="AB2331" t="s">
        <v>83</v>
      </c>
      <c r="AC2331">
        <f t="shared" si="396"/>
        <v>0</v>
      </c>
      <c r="AD2331" s="12">
        <f t="shared" si="400"/>
        <v>0</v>
      </c>
      <c r="AE2331" s="12">
        <f t="shared" si="401"/>
        <v>0</v>
      </c>
      <c r="AF2331">
        <f t="shared" si="397"/>
        <v>1</v>
      </c>
      <c r="AG2331">
        <f t="shared" si="402"/>
        <v>0</v>
      </c>
      <c r="AH2331">
        <f t="shared" si="403"/>
        <v>0</v>
      </c>
      <c r="AI2331">
        <f t="shared" si="404"/>
        <v>0</v>
      </c>
      <c r="AJ2331">
        <f t="shared" si="405"/>
        <v>1</v>
      </c>
      <c r="AK2331">
        <f t="shared" si="398"/>
        <v>1</v>
      </c>
      <c r="AL2331">
        <f t="shared" si="406"/>
        <v>0</v>
      </c>
    </row>
    <row r="2332" spans="1:38">
      <c r="A2332" t="s">
        <v>7123</v>
      </c>
      <c r="B2332" t="s">
        <v>7124</v>
      </c>
      <c r="C2332" s="1">
        <f t="shared" si="399"/>
        <v>45323</v>
      </c>
      <c r="D2332" t="s">
        <v>7125</v>
      </c>
      <c r="E2332">
        <v>237.8</v>
      </c>
      <c r="F2332">
        <v>9.9</v>
      </c>
      <c r="G2332" t="s">
        <v>77</v>
      </c>
      <c r="H2332" t="s">
        <v>78</v>
      </c>
      <c r="I2332" t="s">
        <v>79</v>
      </c>
      <c r="J2332">
        <v>360</v>
      </c>
      <c r="K2332" t="s">
        <v>49</v>
      </c>
      <c r="L2332" t="s">
        <v>70</v>
      </c>
      <c r="M2332" t="s">
        <v>35</v>
      </c>
      <c r="N2332" t="s">
        <v>168</v>
      </c>
      <c r="O2332" t="s">
        <v>7232</v>
      </c>
      <c r="P2332" t="s">
        <v>39</v>
      </c>
      <c r="Q2332" t="s">
        <v>38</v>
      </c>
      <c r="R2332">
        <v>0</v>
      </c>
      <c r="S2332" t="s">
        <v>39</v>
      </c>
      <c r="T2332">
        <v>10</v>
      </c>
      <c r="U2332">
        <v>2.9</v>
      </c>
      <c r="V2332">
        <v>9.3000000000000007</v>
      </c>
      <c r="W2332" t="s">
        <v>38</v>
      </c>
      <c r="X2332" t="s">
        <v>123</v>
      </c>
      <c r="Y2332" t="s">
        <v>38</v>
      </c>
      <c r="Z2332" t="s">
        <v>115</v>
      </c>
      <c r="AA2332" t="s">
        <v>82</v>
      </c>
      <c r="AB2332" t="s">
        <v>83</v>
      </c>
      <c r="AC2332">
        <f t="shared" si="396"/>
        <v>0</v>
      </c>
      <c r="AD2332" s="12">
        <f t="shared" si="400"/>
        <v>0</v>
      </c>
      <c r="AE2332" s="12">
        <f t="shared" si="401"/>
        <v>1</v>
      </c>
      <c r="AF2332">
        <f t="shared" si="397"/>
        <v>0</v>
      </c>
      <c r="AG2332">
        <f t="shared" si="402"/>
        <v>1</v>
      </c>
      <c r="AH2332">
        <f t="shared" si="403"/>
        <v>0</v>
      </c>
      <c r="AI2332">
        <f t="shared" si="404"/>
        <v>0</v>
      </c>
      <c r="AJ2332">
        <f t="shared" si="405"/>
        <v>0</v>
      </c>
      <c r="AK2332">
        <f t="shared" si="398"/>
        <v>0</v>
      </c>
      <c r="AL2332">
        <f t="shared" si="406"/>
        <v>1</v>
      </c>
    </row>
    <row r="2333" spans="1:38">
      <c r="A2333" t="s">
        <v>7126</v>
      </c>
      <c r="B2333" t="s">
        <v>7127</v>
      </c>
      <c r="C2333" s="1">
        <f t="shared" si="399"/>
        <v>45474</v>
      </c>
      <c r="D2333" t="s">
        <v>7128</v>
      </c>
      <c r="E2333">
        <v>156.80000000000001</v>
      </c>
      <c r="F2333">
        <v>6.5</v>
      </c>
      <c r="G2333" t="s">
        <v>142</v>
      </c>
      <c r="H2333" t="s">
        <v>260</v>
      </c>
      <c r="I2333" t="s">
        <v>32</v>
      </c>
      <c r="J2333">
        <v>240</v>
      </c>
      <c r="K2333" t="s">
        <v>49</v>
      </c>
      <c r="L2333" t="s">
        <v>34</v>
      </c>
      <c r="M2333" t="s">
        <v>35</v>
      </c>
      <c r="N2333" t="s">
        <v>138</v>
      </c>
      <c r="O2333" t="s">
        <v>37</v>
      </c>
      <c r="P2333" t="s">
        <v>39</v>
      </c>
      <c r="Q2333" t="s">
        <v>38</v>
      </c>
      <c r="R2333">
        <v>0</v>
      </c>
      <c r="S2333" t="s">
        <v>39</v>
      </c>
      <c r="T2333">
        <v>9</v>
      </c>
      <c r="U2333">
        <v>1.9</v>
      </c>
      <c r="V2333">
        <v>0</v>
      </c>
      <c r="W2333" t="s">
        <v>38</v>
      </c>
      <c r="X2333" t="s">
        <v>40</v>
      </c>
      <c r="Y2333" t="s">
        <v>39</v>
      </c>
      <c r="Z2333" t="s">
        <v>41</v>
      </c>
      <c r="AA2333" t="s">
        <v>82</v>
      </c>
      <c r="AB2333" t="s">
        <v>55</v>
      </c>
      <c r="AC2333">
        <f t="shared" si="396"/>
        <v>0</v>
      </c>
      <c r="AD2333" s="12">
        <f t="shared" si="400"/>
        <v>0</v>
      </c>
      <c r="AE2333" s="12">
        <f t="shared" si="401"/>
        <v>0</v>
      </c>
      <c r="AF2333">
        <f t="shared" si="397"/>
        <v>0</v>
      </c>
      <c r="AG2333">
        <f t="shared" si="402"/>
        <v>0</v>
      </c>
      <c r="AH2333">
        <f t="shared" si="403"/>
        <v>0</v>
      </c>
      <c r="AI2333">
        <f t="shared" si="404"/>
        <v>0</v>
      </c>
      <c r="AJ2333">
        <f t="shared" si="405"/>
        <v>1</v>
      </c>
      <c r="AK2333">
        <f t="shared" si="398"/>
        <v>0</v>
      </c>
      <c r="AL2333">
        <f t="shared" si="406"/>
        <v>0</v>
      </c>
    </row>
    <row r="2334" spans="1:38">
      <c r="A2334" t="s">
        <v>7129</v>
      </c>
      <c r="B2334" t="s">
        <v>7130</v>
      </c>
      <c r="C2334" s="1">
        <f t="shared" si="399"/>
        <v>45323</v>
      </c>
      <c r="D2334" t="s">
        <v>7131</v>
      </c>
      <c r="E2334">
        <v>234.1</v>
      </c>
      <c r="F2334">
        <v>9.8000000000000007</v>
      </c>
      <c r="G2334" t="s">
        <v>77</v>
      </c>
      <c r="H2334" t="s">
        <v>267</v>
      </c>
      <c r="I2334" t="s">
        <v>79</v>
      </c>
      <c r="J2334">
        <v>360</v>
      </c>
      <c r="K2334" t="s">
        <v>49</v>
      </c>
      <c r="L2334" t="s">
        <v>96</v>
      </c>
      <c r="M2334" t="s">
        <v>35</v>
      </c>
      <c r="N2334" t="s">
        <v>72</v>
      </c>
      <c r="O2334" t="s">
        <v>51</v>
      </c>
      <c r="P2334" t="s">
        <v>39</v>
      </c>
      <c r="Q2334" t="s">
        <v>38</v>
      </c>
      <c r="R2334">
        <v>0</v>
      </c>
      <c r="S2334" t="s">
        <v>39</v>
      </c>
      <c r="T2334">
        <v>10</v>
      </c>
      <c r="U2334">
        <v>3</v>
      </c>
      <c r="V2334">
        <v>11.3</v>
      </c>
      <c r="W2334" t="s">
        <v>39</v>
      </c>
      <c r="X2334" t="s">
        <v>40</v>
      </c>
      <c r="Y2334" t="s">
        <v>38</v>
      </c>
      <c r="Z2334" t="s">
        <v>179</v>
      </c>
      <c r="AA2334" t="s">
        <v>109</v>
      </c>
      <c r="AB2334" t="s">
        <v>55</v>
      </c>
      <c r="AC2334">
        <f t="shared" si="396"/>
        <v>0</v>
      </c>
      <c r="AD2334" s="12">
        <f t="shared" si="400"/>
        <v>0</v>
      </c>
      <c r="AE2334" s="12">
        <f t="shared" si="401"/>
        <v>0</v>
      </c>
      <c r="AF2334">
        <f t="shared" si="397"/>
        <v>1</v>
      </c>
      <c r="AG2334">
        <f t="shared" si="402"/>
        <v>0</v>
      </c>
      <c r="AH2334">
        <f t="shared" si="403"/>
        <v>0</v>
      </c>
      <c r="AI2334">
        <f t="shared" si="404"/>
        <v>0</v>
      </c>
      <c r="AJ2334">
        <f t="shared" si="405"/>
        <v>0</v>
      </c>
      <c r="AK2334">
        <f t="shared" si="398"/>
        <v>0</v>
      </c>
      <c r="AL2334">
        <f t="shared" si="406"/>
        <v>1</v>
      </c>
    </row>
    <row r="2335" spans="1:38">
      <c r="A2335" t="s">
        <v>7132</v>
      </c>
      <c r="B2335" t="s">
        <v>7133</v>
      </c>
      <c r="C2335" s="1">
        <f t="shared" si="399"/>
        <v>45474</v>
      </c>
      <c r="D2335" t="s">
        <v>7134</v>
      </c>
      <c r="E2335">
        <v>246.8</v>
      </c>
      <c r="F2335">
        <v>10.3</v>
      </c>
      <c r="G2335" t="s">
        <v>87</v>
      </c>
      <c r="H2335" t="s">
        <v>88</v>
      </c>
      <c r="I2335" t="s">
        <v>79</v>
      </c>
      <c r="J2335">
        <v>360</v>
      </c>
      <c r="K2335" t="s">
        <v>49</v>
      </c>
      <c r="L2335" t="s">
        <v>70</v>
      </c>
      <c r="M2335" t="s">
        <v>35</v>
      </c>
      <c r="N2335" t="s">
        <v>202</v>
      </c>
      <c r="O2335" t="s">
        <v>51</v>
      </c>
      <c r="P2335" t="s">
        <v>38</v>
      </c>
      <c r="Q2335" t="s">
        <v>38</v>
      </c>
      <c r="R2335">
        <v>1</v>
      </c>
      <c r="S2335" t="s">
        <v>39</v>
      </c>
      <c r="T2335">
        <v>6</v>
      </c>
      <c r="U2335">
        <v>2.8</v>
      </c>
      <c r="V2335">
        <v>26.4</v>
      </c>
      <c r="W2335" t="s">
        <v>38</v>
      </c>
      <c r="X2335" t="s">
        <v>63</v>
      </c>
      <c r="Y2335" t="s">
        <v>38</v>
      </c>
      <c r="Z2335" t="s">
        <v>53</v>
      </c>
      <c r="AA2335" t="s">
        <v>42</v>
      </c>
      <c r="AB2335" t="s">
        <v>55</v>
      </c>
      <c r="AC2335">
        <f t="shared" si="396"/>
        <v>0</v>
      </c>
      <c r="AD2335" s="12">
        <f t="shared" si="400"/>
        <v>1</v>
      </c>
      <c r="AE2335" s="12">
        <f t="shared" si="401"/>
        <v>0</v>
      </c>
      <c r="AF2335">
        <f t="shared" si="397"/>
        <v>1</v>
      </c>
      <c r="AG2335">
        <f t="shared" si="402"/>
        <v>0</v>
      </c>
      <c r="AH2335">
        <f t="shared" si="403"/>
        <v>0</v>
      </c>
      <c r="AI2335">
        <f t="shared" si="404"/>
        <v>0</v>
      </c>
      <c r="AJ2335">
        <f t="shared" si="405"/>
        <v>0</v>
      </c>
      <c r="AK2335">
        <f t="shared" si="398"/>
        <v>0</v>
      </c>
      <c r="AL2335">
        <f t="shared" si="406"/>
        <v>1</v>
      </c>
    </row>
    <row r="2336" spans="1:38">
      <c r="A2336" t="s">
        <v>7135</v>
      </c>
      <c r="B2336" t="s">
        <v>7136</v>
      </c>
      <c r="C2336" s="1">
        <f t="shared" si="399"/>
        <v>45474</v>
      </c>
      <c r="D2336" t="s">
        <v>7137</v>
      </c>
      <c r="E2336">
        <v>162.19999999999999</v>
      </c>
      <c r="F2336">
        <v>6.8</v>
      </c>
      <c r="G2336" t="s">
        <v>30</v>
      </c>
      <c r="H2336" t="s">
        <v>31</v>
      </c>
      <c r="I2336" t="s">
        <v>32</v>
      </c>
      <c r="J2336">
        <v>240</v>
      </c>
      <c r="K2336" t="s">
        <v>49</v>
      </c>
      <c r="L2336" t="s">
        <v>113</v>
      </c>
      <c r="M2336" t="s">
        <v>71</v>
      </c>
      <c r="N2336" t="s">
        <v>414</v>
      </c>
      <c r="O2336" t="s">
        <v>7232</v>
      </c>
      <c r="P2336" t="s">
        <v>38</v>
      </c>
      <c r="Q2336" t="s">
        <v>39</v>
      </c>
      <c r="R2336">
        <v>1</v>
      </c>
      <c r="S2336" t="s">
        <v>38</v>
      </c>
      <c r="T2336">
        <v>6</v>
      </c>
      <c r="U2336">
        <v>0.5</v>
      </c>
      <c r="V2336">
        <v>14.4</v>
      </c>
      <c r="W2336" t="s">
        <v>39</v>
      </c>
      <c r="X2336" t="s">
        <v>123</v>
      </c>
      <c r="Y2336" t="s">
        <v>39</v>
      </c>
      <c r="Z2336" t="s">
        <v>179</v>
      </c>
      <c r="AA2336" t="s">
        <v>103</v>
      </c>
      <c r="AB2336" t="s">
        <v>55</v>
      </c>
      <c r="AC2336">
        <f t="shared" si="396"/>
        <v>0</v>
      </c>
      <c r="AD2336" s="12">
        <f t="shared" si="400"/>
        <v>0</v>
      </c>
      <c r="AE2336" s="12">
        <f t="shared" si="401"/>
        <v>1</v>
      </c>
      <c r="AF2336">
        <f t="shared" si="397"/>
        <v>0</v>
      </c>
      <c r="AG2336">
        <f t="shared" si="402"/>
        <v>1</v>
      </c>
      <c r="AH2336">
        <f t="shared" si="403"/>
        <v>0</v>
      </c>
      <c r="AI2336">
        <f t="shared" si="404"/>
        <v>0</v>
      </c>
      <c r="AJ2336">
        <f t="shared" si="405"/>
        <v>1</v>
      </c>
      <c r="AK2336">
        <f t="shared" si="398"/>
        <v>1</v>
      </c>
      <c r="AL2336">
        <f t="shared" si="406"/>
        <v>0</v>
      </c>
    </row>
    <row r="2337" spans="1:38">
      <c r="A2337" t="s">
        <v>7138</v>
      </c>
      <c r="B2337" t="s">
        <v>7139</v>
      </c>
      <c r="C2337" s="1">
        <f t="shared" si="399"/>
        <v>45383</v>
      </c>
      <c r="D2337" t="s">
        <v>7140</v>
      </c>
      <c r="E2337">
        <v>349.9</v>
      </c>
      <c r="F2337">
        <v>14.6</v>
      </c>
      <c r="G2337" t="s">
        <v>59</v>
      </c>
      <c r="H2337" t="s">
        <v>227</v>
      </c>
      <c r="I2337" t="s">
        <v>48</v>
      </c>
      <c r="J2337">
        <v>120</v>
      </c>
      <c r="K2337" t="s">
        <v>33</v>
      </c>
      <c r="L2337" t="s">
        <v>70</v>
      </c>
      <c r="M2337" t="s">
        <v>71</v>
      </c>
      <c r="N2337" t="s">
        <v>80</v>
      </c>
      <c r="O2337" t="s">
        <v>37</v>
      </c>
      <c r="P2337" t="s">
        <v>38</v>
      </c>
      <c r="Q2337" t="s">
        <v>39</v>
      </c>
      <c r="R2337">
        <v>2</v>
      </c>
      <c r="S2337" t="s">
        <v>38</v>
      </c>
      <c r="T2337">
        <v>5</v>
      </c>
      <c r="U2337">
        <v>2.7</v>
      </c>
      <c r="V2337">
        <v>12.9</v>
      </c>
      <c r="W2337" t="s">
        <v>39</v>
      </c>
      <c r="X2337" t="s">
        <v>63</v>
      </c>
      <c r="Y2337" t="s">
        <v>39</v>
      </c>
      <c r="Z2337" t="s">
        <v>73</v>
      </c>
      <c r="AA2337" t="s">
        <v>82</v>
      </c>
      <c r="AB2337" t="s">
        <v>55</v>
      </c>
      <c r="AC2337">
        <f t="shared" si="396"/>
        <v>0</v>
      </c>
      <c r="AD2337" s="12">
        <f t="shared" si="400"/>
        <v>1</v>
      </c>
      <c r="AE2337" s="12">
        <f t="shared" si="401"/>
        <v>0</v>
      </c>
      <c r="AF2337">
        <f t="shared" si="397"/>
        <v>0</v>
      </c>
      <c r="AG2337">
        <f t="shared" si="402"/>
        <v>0</v>
      </c>
      <c r="AH2337">
        <f t="shared" si="403"/>
        <v>1</v>
      </c>
      <c r="AI2337">
        <f t="shared" si="404"/>
        <v>0</v>
      </c>
      <c r="AJ2337">
        <f t="shared" si="405"/>
        <v>0</v>
      </c>
      <c r="AK2337">
        <f t="shared" si="398"/>
        <v>0</v>
      </c>
      <c r="AL2337">
        <f t="shared" si="406"/>
        <v>0</v>
      </c>
    </row>
    <row r="2338" spans="1:38">
      <c r="A2338" t="s">
        <v>7141</v>
      </c>
      <c r="B2338" t="s">
        <v>7142</v>
      </c>
      <c r="C2338" s="1">
        <f t="shared" si="399"/>
        <v>45323</v>
      </c>
      <c r="D2338" t="s">
        <v>7143</v>
      </c>
      <c r="E2338">
        <v>150</v>
      </c>
      <c r="F2338">
        <v>6.3</v>
      </c>
      <c r="G2338" t="s">
        <v>68</v>
      </c>
      <c r="H2338" t="s">
        <v>456</v>
      </c>
      <c r="I2338" t="s">
        <v>32</v>
      </c>
      <c r="J2338">
        <v>240</v>
      </c>
      <c r="K2338" t="s">
        <v>49</v>
      </c>
      <c r="L2338" t="s">
        <v>133</v>
      </c>
      <c r="M2338" t="s">
        <v>71</v>
      </c>
      <c r="N2338" t="s">
        <v>506</v>
      </c>
      <c r="O2338" t="s">
        <v>7232</v>
      </c>
      <c r="P2338" t="s">
        <v>38</v>
      </c>
      <c r="Q2338" t="s">
        <v>39</v>
      </c>
      <c r="R2338">
        <v>3</v>
      </c>
      <c r="S2338" t="s">
        <v>38</v>
      </c>
      <c r="T2338">
        <v>7</v>
      </c>
      <c r="U2338">
        <v>1</v>
      </c>
      <c r="V2338">
        <v>15.4</v>
      </c>
      <c r="W2338" t="s">
        <v>39</v>
      </c>
      <c r="X2338" t="s">
        <v>52</v>
      </c>
      <c r="Y2338" t="s">
        <v>39</v>
      </c>
      <c r="Z2338" t="s">
        <v>41</v>
      </c>
      <c r="AA2338" t="s">
        <v>109</v>
      </c>
      <c r="AB2338" t="s">
        <v>43</v>
      </c>
      <c r="AC2338">
        <f t="shared" si="396"/>
        <v>1</v>
      </c>
      <c r="AD2338" s="12">
        <f t="shared" si="400"/>
        <v>0</v>
      </c>
      <c r="AE2338" s="12">
        <f t="shared" si="401"/>
        <v>0</v>
      </c>
      <c r="AF2338">
        <f t="shared" si="397"/>
        <v>0</v>
      </c>
      <c r="AG2338">
        <f t="shared" si="402"/>
        <v>1</v>
      </c>
      <c r="AH2338">
        <f t="shared" si="403"/>
        <v>0</v>
      </c>
      <c r="AI2338">
        <f t="shared" si="404"/>
        <v>0</v>
      </c>
      <c r="AJ2338">
        <f t="shared" si="405"/>
        <v>1</v>
      </c>
      <c r="AK2338">
        <f t="shared" si="398"/>
        <v>0</v>
      </c>
      <c r="AL2338">
        <f t="shared" si="406"/>
        <v>0</v>
      </c>
    </row>
    <row r="2339" spans="1:38">
      <c r="A2339" t="s">
        <v>7144</v>
      </c>
      <c r="B2339" t="s">
        <v>7145</v>
      </c>
      <c r="C2339" s="1">
        <f t="shared" si="399"/>
        <v>45505</v>
      </c>
      <c r="D2339" t="s">
        <v>7146</v>
      </c>
      <c r="E2339">
        <v>274.39999999999998</v>
      </c>
      <c r="F2339">
        <v>11.4</v>
      </c>
      <c r="G2339" t="s">
        <v>142</v>
      </c>
      <c r="H2339" t="s">
        <v>143</v>
      </c>
      <c r="I2339" t="s">
        <v>32</v>
      </c>
      <c r="J2339">
        <v>240</v>
      </c>
      <c r="K2339" t="s">
        <v>33</v>
      </c>
      <c r="L2339" t="s">
        <v>96</v>
      </c>
      <c r="M2339" t="s">
        <v>35</v>
      </c>
      <c r="N2339" t="s">
        <v>36</v>
      </c>
      <c r="O2339" t="s">
        <v>37</v>
      </c>
      <c r="P2339" t="s">
        <v>38</v>
      </c>
      <c r="Q2339" t="s">
        <v>38</v>
      </c>
      <c r="R2339">
        <v>1</v>
      </c>
      <c r="S2339" t="s">
        <v>39</v>
      </c>
      <c r="T2339">
        <v>8</v>
      </c>
      <c r="U2339">
        <v>0.1</v>
      </c>
      <c r="V2339">
        <v>20.2</v>
      </c>
      <c r="W2339" t="s">
        <v>38</v>
      </c>
      <c r="X2339" t="s">
        <v>63</v>
      </c>
      <c r="Y2339" t="s">
        <v>38</v>
      </c>
      <c r="Z2339" t="s">
        <v>108</v>
      </c>
      <c r="AA2339" t="s">
        <v>82</v>
      </c>
      <c r="AB2339" t="s">
        <v>55</v>
      </c>
      <c r="AC2339">
        <f t="shared" si="396"/>
        <v>0</v>
      </c>
      <c r="AD2339" s="12">
        <f t="shared" si="400"/>
        <v>1</v>
      </c>
      <c r="AE2339" s="12">
        <f t="shared" si="401"/>
        <v>0</v>
      </c>
      <c r="AF2339">
        <f t="shared" si="397"/>
        <v>0</v>
      </c>
      <c r="AG2339">
        <f t="shared" si="402"/>
        <v>0</v>
      </c>
      <c r="AH2339">
        <f t="shared" si="403"/>
        <v>0</v>
      </c>
      <c r="AI2339">
        <f t="shared" si="404"/>
        <v>0</v>
      </c>
      <c r="AJ2339">
        <f t="shared" si="405"/>
        <v>1</v>
      </c>
      <c r="AK2339">
        <f t="shared" si="398"/>
        <v>0</v>
      </c>
      <c r="AL2339">
        <f t="shared" si="406"/>
        <v>1</v>
      </c>
    </row>
    <row r="2340" spans="1:38">
      <c r="A2340" t="s">
        <v>7147</v>
      </c>
      <c r="B2340" t="s">
        <v>7148</v>
      </c>
      <c r="C2340" s="1">
        <f t="shared" si="399"/>
        <v>45566</v>
      </c>
      <c r="D2340" t="s">
        <v>7149</v>
      </c>
      <c r="E2340">
        <v>221.7</v>
      </c>
      <c r="F2340">
        <v>9.1999999999999993</v>
      </c>
      <c r="G2340" t="s">
        <v>101</v>
      </c>
      <c r="H2340" t="s">
        <v>368</v>
      </c>
      <c r="I2340" t="s">
        <v>32</v>
      </c>
      <c r="J2340">
        <v>240</v>
      </c>
      <c r="K2340" t="s">
        <v>49</v>
      </c>
      <c r="L2340" t="s">
        <v>70</v>
      </c>
      <c r="M2340" t="s">
        <v>35</v>
      </c>
      <c r="N2340" t="s">
        <v>128</v>
      </c>
      <c r="O2340" t="s">
        <v>7232</v>
      </c>
      <c r="P2340" t="s">
        <v>38</v>
      </c>
      <c r="Q2340" t="s">
        <v>38</v>
      </c>
      <c r="R2340">
        <v>1</v>
      </c>
      <c r="S2340" t="s">
        <v>38</v>
      </c>
      <c r="T2340">
        <v>7</v>
      </c>
      <c r="U2340">
        <v>2.7</v>
      </c>
      <c r="V2340">
        <v>10</v>
      </c>
      <c r="W2340" t="s">
        <v>38</v>
      </c>
      <c r="X2340" t="s">
        <v>52</v>
      </c>
      <c r="Y2340" t="s">
        <v>38</v>
      </c>
      <c r="Z2340" t="s">
        <v>179</v>
      </c>
      <c r="AA2340" t="s">
        <v>82</v>
      </c>
      <c r="AB2340" t="s">
        <v>55</v>
      </c>
      <c r="AC2340">
        <f t="shared" si="396"/>
        <v>1</v>
      </c>
      <c r="AD2340" s="12">
        <f t="shared" si="400"/>
        <v>0</v>
      </c>
      <c r="AE2340" s="12">
        <f t="shared" si="401"/>
        <v>0</v>
      </c>
      <c r="AF2340">
        <f t="shared" si="397"/>
        <v>0</v>
      </c>
      <c r="AG2340">
        <f t="shared" si="402"/>
        <v>1</v>
      </c>
      <c r="AH2340">
        <f t="shared" si="403"/>
        <v>0</v>
      </c>
      <c r="AI2340">
        <f t="shared" si="404"/>
        <v>0</v>
      </c>
      <c r="AJ2340">
        <f t="shared" si="405"/>
        <v>1</v>
      </c>
      <c r="AK2340">
        <f t="shared" si="398"/>
        <v>0</v>
      </c>
      <c r="AL2340">
        <f t="shared" si="406"/>
        <v>1</v>
      </c>
    </row>
    <row r="2341" spans="1:38">
      <c r="A2341" t="s">
        <v>7150</v>
      </c>
      <c r="B2341" t="s">
        <v>7151</v>
      </c>
      <c r="C2341" s="1">
        <f t="shared" si="399"/>
        <v>45566</v>
      </c>
      <c r="D2341" t="s">
        <v>7152</v>
      </c>
      <c r="E2341">
        <v>481.6</v>
      </c>
      <c r="F2341">
        <v>20.100000000000001</v>
      </c>
      <c r="G2341" t="s">
        <v>142</v>
      </c>
      <c r="H2341" t="s">
        <v>260</v>
      </c>
      <c r="I2341" t="s">
        <v>79</v>
      </c>
      <c r="J2341">
        <v>360</v>
      </c>
      <c r="K2341" t="s">
        <v>33</v>
      </c>
      <c r="L2341" t="s">
        <v>70</v>
      </c>
      <c r="M2341" t="s">
        <v>35</v>
      </c>
      <c r="N2341" t="s">
        <v>144</v>
      </c>
      <c r="O2341" t="s">
        <v>37</v>
      </c>
      <c r="P2341" t="s">
        <v>38</v>
      </c>
      <c r="Q2341" t="s">
        <v>38</v>
      </c>
      <c r="R2341">
        <v>1</v>
      </c>
      <c r="S2341" t="s">
        <v>38</v>
      </c>
      <c r="T2341">
        <v>6</v>
      </c>
      <c r="U2341">
        <v>1.1000000000000001</v>
      </c>
      <c r="V2341">
        <v>13</v>
      </c>
      <c r="W2341" t="s">
        <v>38</v>
      </c>
      <c r="X2341" t="s">
        <v>63</v>
      </c>
      <c r="Y2341" t="s">
        <v>39</v>
      </c>
      <c r="Z2341" t="s">
        <v>179</v>
      </c>
      <c r="AA2341" t="s">
        <v>103</v>
      </c>
      <c r="AB2341" t="s">
        <v>83</v>
      </c>
      <c r="AC2341">
        <f t="shared" si="396"/>
        <v>0</v>
      </c>
      <c r="AD2341" s="12">
        <f t="shared" si="400"/>
        <v>1</v>
      </c>
      <c r="AE2341" s="12">
        <f t="shared" si="401"/>
        <v>0</v>
      </c>
      <c r="AF2341">
        <f t="shared" si="397"/>
        <v>0</v>
      </c>
      <c r="AG2341">
        <f t="shared" si="402"/>
        <v>0</v>
      </c>
      <c r="AH2341">
        <f t="shared" si="403"/>
        <v>0</v>
      </c>
      <c r="AI2341">
        <f t="shared" si="404"/>
        <v>0</v>
      </c>
      <c r="AJ2341">
        <f t="shared" si="405"/>
        <v>0</v>
      </c>
      <c r="AK2341">
        <f t="shared" si="398"/>
        <v>0</v>
      </c>
      <c r="AL2341">
        <f t="shared" si="406"/>
        <v>0</v>
      </c>
    </row>
    <row r="2342" spans="1:38">
      <c r="A2342" t="s">
        <v>7153</v>
      </c>
      <c r="B2342" t="s">
        <v>7154</v>
      </c>
      <c r="C2342" s="1">
        <f t="shared" si="399"/>
        <v>45505</v>
      </c>
      <c r="D2342" t="s">
        <v>7155</v>
      </c>
      <c r="E2342">
        <v>108.8</v>
      </c>
      <c r="F2342">
        <v>4.5</v>
      </c>
      <c r="G2342" t="s">
        <v>59</v>
      </c>
      <c r="H2342" t="s">
        <v>227</v>
      </c>
      <c r="I2342" t="s">
        <v>48</v>
      </c>
      <c r="J2342">
        <v>120</v>
      </c>
      <c r="K2342" t="s">
        <v>49</v>
      </c>
      <c r="L2342" t="s">
        <v>96</v>
      </c>
      <c r="M2342" t="s">
        <v>71</v>
      </c>
      <c r="N2342" t="s">
        <v>61</v>
      </c>
      <c r="O2342" t="s">
        <v>37</v>
      </c>
      <c r="P2342" t="s">
        <v>38</v>
      </c>
      <c r="Q2342" t="s">
        <v>39</v>
      </c>
      <c r="R2342">
        <v>2</v>
      </c>
      <c r="S2342" t="s">
        <v>38</v>
      </c>
      <c r="T2342">
        <v>10</v>
      </c>
      <c r="U2342">
        <v>1.6</v>
      </c>
      <c r="V2342">
        <v>6.5</v>
      </c>
      <c r="W2342" t="s">
        <v>38</v>
      </c>
      <c r="X2342" t="s">
        <v>123</v>
      </c>
      <c r="Y2342" t="s">
        <v>38</v>
      </c>
      <c r="Z2342" t="s">
        <v>41</v>
      </c>
      <c r="AA2342" t="s">
        <v>82</v>
      </c>
      <c r="AB2342" t="s">
        <v>55</v>
      </c>
      <c r="AC2342">
        <f t="shared" si="396"/>
        <v>0</v>
      </c>
      <c r="AD2342" s="12">
        <f t="shared" si="400"/>
        <v>0</v>
      </c>
      <c r="AE2342" s="12">
        <f t="shared" si="401"/>
        <v>1</v>
      </c>
      <c r="AF2342">
        <f t="shared" si="397"/>
        <v>0</v>
      </c>
      <c r="AG2342">
        <f t="shared" si="402"/>
        <v>0</v>
      </c>
      <c r="AH2342">
        <f t="shared" si="403"/>
        <v>1</v>
      </c>
      <c r="AI2342">
        <f t="shared" si="404"/>
        <v>0</v>
      </c>
      <c r="AJ2342">
        <f t="shared" si="405"/>
        <v>0</v>
      </c>
      <c r="AK2342">
        <f t="shared" si="398"/>
        <v>0</v>
      </c>
      <c r="AL2342">
        <f t="shared" si="406"/>
        <v>1</v>
      </c>
    </row>
    <row r="2343" spans="1:38">
      <c r="A2343" t="s">
        <v>7156</v>
      </c>
      <c r="B2343" t="s">
        <v>7157</v>
      </c>
      <c r="C2343" s="1">
        <f t="shared" si="399"/>
        <v>45597</v>
      </c>
      <c r="D2343" t="s">
        <v>7158</v>
      </c>
      <c r="E2343">
        <v>905.3</v>
      </c>
      <c r="F2343">
        <v>37.700000000000003</v>
      </c>
      <c r="G2343" t="s">
        <v>77</v>
      </c>
      <c r="H2343" t="s">
        <v>187</v>
      </c>
      <c r="I2343" t="s">
        <v>79</v>
      </c>
      <c r="J2343">
        <v>360</v>
      </c>
      <c r="K2343" t="s">
        <v>33</v>
      </c>
      <c r="L2343" t="s">
        <v>133</v>
      </c>
      <c r="M2343" t="s">
        <v>35</v>
      </c>
      <c r="N2343" t="s">
        <v>188</v>
      </c>
      <c r="O2343" t="s">
        <v>7232</v>
      </c>
      <c r="P2343" t="s">
        <v>39</v>
      </c>
      <c r="Q2343" t="s">
        <v>38</v>
      </c>
      <c r="R2343">
        <v>0</v>
      </c>
      <c r="S2343" t="s">
        <v>39</v>
      </c>
      <c r="T2343">
        <v>7</v>
      </c>
      <c r="U2343">
        <v>0.8</v>
      </c>
      <c r="V2343">
        <v>44.3</v>
      </c>
      <c r="W2343" t="s">
        <v>38</v>
      </c>
      <c r="X2343" t="s">
        <v>40</v>
      </c>
      <c r="Y2343" t="s">
        <v>38</v>
      </c>
      <c r="Z2343" t="s">
        <v>53</v>
      </c>
      <c r="AA2343" t="s">
        <v>42</v>
      </c>
      <c r="AB2343" t="s">
        <v>43</v>
      </c>
      <c r="AC2343">
        <f t="shared" si="396"/>
        <v>0</v>
      </c>
      <c r="AD2343" s="12">
        <f t="shared" si="400"/>
        <v>0</v>
      </c>
      <c r="AE2343" s="12">
        <f t="shared" si="401"/>
        <v>0</v>
      </c>
      <c r="AF2343">
        <f t="shared" si="397"/>
        <v>0</v>
      </c>
      <c r="AG2343">
        <f t="shared" si="402"/>
        <v>1</v>
      </c>
      <c r="AH2343">
        <f t="shared" si="403"/>
        <v>0</v>
      </c>
      <c r="AI2343">
        <f t="shared" si="404"/>
        <v>0</v>
      </c>
      <c r="AJ2343">
        <f t="shared" si="405"/>
        <v>0</v>
      </c>
      <c r="AK2343">
        <f t="shared" si="398"/>
        <v>0</v>
      </c>
      <c r="AL2343">
        <f t="shared" si="406"/>
        <v>1</v>
      </c>
    </row>
    <row r="2344" spans="1:38">
      <c r="A2344" t="s">
        <v>7159</v>
      </c>
      <c r="B2344" t="s">
        <v>7160</v>
      </c>
      <c r="C2344" s="1">
        <f t="shared" si="399"/>
        <v>45474</v>
      </c>
      <c r="D2344" t="s">
        <v>7161</v>
      </c>
      <c r="E2344">
        <v>180.9</v>
      </c>
      <c r="F2344">
        <v>7.5</v>
      </c>
      <c r="G2344" t="s">
        <v>59</v>
      </c>
      <c r="H2344" t="s">
        <v>132</v>
      </c>
      <c r="I2344" t="s">
        <v>32</v>
      </c>
      <c r="J2344">
        <v>240</v>
      </c>
      <c r="K2344" t="s">
        <v>49</v>
      </c>
      <c r="L2344" t="s">
        <v>70</v>
      </c>
      <c r="M2344" t="s">
        <v>71</v>
      </c>
      <c r="N2344" t="s">
        <v>192</v>
      </c>
      <c r="O2344" t="s">
        <v>7232</v>
      </c>
      <c r="P2344" t="s">
        <v>38</v>
      </c>
      <c r="Q2344" t="s">
        <v>39</v>
      </c>
      <c r="R2344">
        <v>4</v>
      </c>
      <c r="S2344" t="s">
        <v>39</v>
      </c>
      <c r="T2344">
        <v>9</v>
      </c>
      <c r="U2344">
        <v>2</v>
      </c>
      <c r="V2344">
        <v>25.1</v>
      </c>
      <c r="W2344" t="s">
        <v>39</v>
      </c>
      <c r="X2344" t="s">
        <v>123</v>
      </c>
      <c r="Y2344" t="s">
        <v>39</v>
      </c>
      <c r="Z2344" t="s">
        <v>108</v>
      </c>
      <c r="AA2344" t="s">
        <v>54</v>
      </c>
      <c r="AB2344" t="s">
        <v>83</v>
      </c>
      <c r="AC2344">
        <f t="shared" si="396"/>
        <v>0</v>
      </c>
      <c r="AD2344" s="12">
        <f t="shared" si="400"/>
        <v>0</v>
      </c>
      <c r="AE2344" s="12">
        <f t="shared" si="401"/>
        <v>1</v>
      </c>
      <c r="AF2344">
        <f t="shared" si="397"/>
        <v>0</v>
      </c>
      <c r="AG2344">
        <f t="shared" si="402"/>
        <v>1</v>
      </c>
      <c r="AH2344">
        <f t="shared" si="403"/>
        <v>0</v>
      </c>
      <c r="AI2344">
        <f t="shared" si="404"/>
        <v>0</v>
      </c>
      <c r="AJ2344">
        <f t="shared" si="405"/>
        <v>1</v>
      </c>
      <c r="AK2344">
        <f t="shared" si="398"/>
        <v>0</v>
      </c>
      <c r="AL2344">
        <f t="shared" si="406"/>
        <v>0</v>
      </c>
    </row>
    <row r="2345" spans="1:38">
      <c r="A2345" t="s">
        <v>7162</v>
      </c>
      <c r="B2345" t="s">
        <v>7163</v>
      </c>
      <c r="C2345" s="1">
        <f t="shared" si="399"/>
        <v>45352</v>
      </c>
      <c r="D2345" t="s">
        <v>7164</v>
      </c>
      <c r="E2345">
        <v>239.9</v>
      </c>
      <c r="F2345">
        <v>10</v>
      </c>
      <c r="G2345" t="s">
        <v>77</v>
      </c>
      <c r="H2345" t="s">
        <v>78</v>
      </c>
      <c r="I2345" t="s">
        <v>79</v>
      </c>
      <c r="J2345">
        <v>360</v>
      </c>
      <c r="K2345" t="s">
        <v>49</v>
      </c>
      <c r="L2345" t="s">
        <v>34</v>
      </c>
      <c r="M2345" t="s">
        <v>35</v>
      </c>
      <c r="N2345" t="s">
        <v>134</v>
      </c>
      <c r="O2345" t="s">
        <v>7232</v>
      </c>
      <c r="P2345" t="s">
        <v>38</v>
      </c>
      <c r="Q2345" t="s">
        <v>38</v>
      </c>
      <c r="R2345">
        <v>1</v>
      </c>
      <c r="S2345" t="s">
        <v>39</v>
      </c>
      <c r="T2345">
        <v>7</v>
      </c>
      <c r="U2345">
        <v>3.2</v>
      </c>
      <c r="V2345">
        <v>29.4</v>
      </c>
      <c r="W2345" t="s">
        <v>39</v>
      </c>
      <c r="X2345" t="s">
        <v>63</v>
      </c>
      <c r="Y2345" t="s">
        <v>39</v>
      </c>
      <c r="Z2345" t="s">
        <v>108</v>
      </c>
      <c r="AA2345" t="s">
        <v>42</v>
      </c>
      <c r="AB2345" t="s">
        <v>83</v>
      </c>
      <c r="AC2345">
        <f t="shared" si="396"/>
        <v>0</v>
      </c>
      <c r="AD2345" s="12">
        <f t="shared" si="400"/>
        <v>1</v>
      </c>
      <c r="AE2345" s="12">
        <f t="shared" si="401"/>
        <v>0</v>
      </c>
      <c r="AF2345">
        <f t="shared" si="397"/>
        <v>0</v>
      </c>
      <c r="AG2345">
        <f t="shared" si="402"/>
        <v>1</v>
      </c>
      <c r="AH2345">
        <f t="shared" si="403"/>
        <v>0</v>
      </c>
      <c r="AI2345">
        <f t="shared" si="404"/>
        <v>0</v>
      </c>
      <c r="AJ2345">
        <f t="shared" si="405"/>
        <v>0</v>
      </c>
      <c r="AK2345">
        <f t="shared" si="398"/>
        <v>0</v>
      </c>
      <c r="AL2345">
        <f t="shared" si="406"/>
        <v>0</v>
      </c>
    </row>
    <row r="2346" spans="1:38">
      <c r="A2346" t="s">
        <v>7165</v>
      </c>
      <c r="B2346" t="s">
        <v>7166</v>
      </c>
      <c r="C2346" s="1">
        <f t="shared" si="399"/>
        <v>45383</v>
      </c>
      <c r="D2346" t="s">
        <v>7167</v>
      </c>
      <c r="E2346">
        <v>171.1</v>
      </c>
      <c r="F2346">
        <v>7.1</v>
      </c>
      <c r="G2346" t="s">
        <v>142</v>
      </c>
      <c r="H2346" t="s">
        <v>240</v>
      </c>
      <c r="I2346" t="s">
        <v>32</v>
      </c>
      <c r="J2346">
        <v>240</v>
      </c>
      <c r="K2346" t="s">
        <v>49</v>
      </c>
      <c r="L2346" t="s">
        <v>70</v>
      </c>
      <c r="M2346" t="s">
        <v>71</v>
      </c>
      <c r="N2346" t="s">
        <v>97</v>
      </c>
      <c r="O2346" t="s">
        <v>7232</v>
      </c>
      <c r="P2346" t="s">
        <v>38</v>
      </c>
      <c r="Q2346" t="s">
        <v>39</v>
      </c>
      <c r="R2346">
        <v>1</v>
      </c>
      <c r="S2346" t="s">
        <v>39</v>
      </c>
      <c r="T2346">
        <v>9</v>
      </c>
      <c r="U2346">
        <v>2.5</v>
      </c>
      <c r="V2346">
        <v>29.3</v>
      </c>
      <c r="W2346" t="s">
        <v>39</v>
      </c>
      <c r="X2346" t="s">
        <v>52</v>
      </c>
      <c r="Y2346" t="s">
        <v>38</v>
      </c>
      <c r="Z2346" t="s">
        <v>53</v>
      </c>
      <c r="AA2346" t="s">
        <v>82</v>
      </c>
      <c r="AB2346" t="s">
        <v>83</v>
      </c>
      <c r="AC2346">
        <f t="shared" si="396"/>
        <v>1</v>
      </c>
      <c r="AD2346" s="12">
        <f t="shared" si="400"/>
        <v>0</v>
      </c>
      <c r="AE2346" s="12">
        <f t="shared" si="401"/>
        <v>0</v>
      </c>
      <c r="AF2346">
        <f t="shared" si="397"/>
        <v>0</v>
      </c>
      <c r="AG2346">
        <f t="shared" si="402"/>
        <v>1</v>
      </c>
      <c r="AH2346">
        <f t="shared" si="403"/>
        <v>0</v>
      </c>
      <c r="AI2346">
        <f t="shared" si="404"/>
        <v>0</v>
      </c>
      <c r="AJ2346">
        <f t="shared" si="405"/>
        <v>1</v>
      </c>
      <c r="AK2346">
        <f t="shared" si="398"/>
        <v>0</v>
      </c>
      <c r="AL2346">
        <f t="shared" si="406"/>
        <v>1</v>
      </c>
    </row>
    <row r="2347" spans="1:38">
      <c r="A2347" t="s">
        <v>7168</v>
      </c>
      <c r="B2347" t="s">
        <v>7169</v>
      </c>
      <c r="C2347" s="1">
        <f t="shared" si="399"/>
        <v>45413</v>
      </c>
      <c r="D2347" t="s">
        <v>7170</v>
      </c>
      <c r="E2347">
        <v>191.4</v>
      </c>
      <c r="F2347">
        <v>8</v>
      </c>
      <c r="G2347" t="s">
        <v>101</v>
      </c>
      <c r="H2347" t="s">
        <v>102</v>
      </c>
      <c r="I2347" t="s">
        <v>32</v>
      </c>
      <c r="J2347">
        <v>240</v>
      </c>
      <c r="K2347" t="s">
        <v>49</v>
      </c>
      <c r="L2347" t="s">
        <v>70</v>
      </c>
      <c r="M2347" t="s">
        <v>71</v>
      </c>
      <c r="N2347" t="s">
        <v>506</v>
      </c>
      <c r="O2347" t="s">
        <v>7232</v>
      </c>
      <c r="P2347" t="s">
        <v>38</v>
      </c>
      <c r="Q2347" t="s">
        <v>39</v>
      </c>
      <c r="R2347">
        <v>4</v>
      </c>
      <c r="S2347" t="s">
        <v>39</v>
      </c>
      <c r="T2347">
        <v>6</v>
      </c>
      <c r="U2347">
        <v>0.4</v>
      </c>
      <c r="V2347">
        <v>2.6</v>
      </c>
      <c r="W2347" t="s">
        <v>38</v>
      </c>
      <c r="X2347" t="s">
        <v>63</v>
      </c>
      <c r="Y2347" t="s">
        <v>39</v>
      </c>
      <c r="Z2347" t="s">
        <v>81</v>
      </c>
      <c r="AA2347" t="s">
        <v>42</v>
      </c>
      <c r="AB2347" t="s">
        <v>55</v>
      </c>
      <c r="AC2347">
        <f t="shared" si="396"/>
        <v>0</v>
      </c>
      <c r="AD2347" s="12">
        <f t="shared" si="400"/>
        <v>1</v>
      </c>
      <c r="AE2347" s="12">
        <f t="shared" si="401"/>
        <v>0</v>
      </c>
      <c r="AF2347">
        <f t="shared" si="397"/>
        <v>0</v>
      </c>
      <c r="AG2347">
        <f t="shared" si="402"/>
        <v>1</v>
      </c>
      <c r="AH2347">
        <f t="shared" si="403"/>
        <v>0</v>
      </c>
      <c r="AI2347">
        <f t="shared" si="404"/>
        <v>0</v>
      </c>
      <c r="AJ2347">
        <f t="shared" si="405"/>
        <v>1</v>
      </c>
      <c r="AK2347">
        <f t="shared" si="398"/>
        <v>0</v>
      </c>
      <c r="AL2347">
        <f t="shared" si="406"/>
        <v>0</v>
      </c>
    </row>
    <row r="2348" spans="1:38">
      <c r="A2348" t="s">
        <v>7171</v>
      </c>
      <c r="B2348" t="s">
        <v>7172</v>
      </c>
      <c r="C2348" s="1">
        <f t="shared" si="399"/>
        <v>45292</v>
      </c>
      <c r="D2348" t="s">
        <v>7173</v>
      </c>
      <c r="E2348">
        <v>223.5</v>
      </c>
      <c r="F2348">
        <v>9.3000000000000007</v>
      </c>
      <c r="G2348" t="s">
        <v>77</v>
      </c>
      <c r="H2348" t="s">
        <v>267</v>
      </c>
      <c r="I2348" t="s">
        <v>48</v>
      </c>
      <c r="J2348">
        <v>120</v>
      </c>
      <c r="K2348" t="s">
        <v>33</v>
      </c>
      <c r="L2348" t="s">
        <v>34</v>
      </c>
      <c r="M2348" t="s">
        <v>35</v>
      </c>
      <c r="N2348" t="s">
        <v>80</v>
      </c>
      <c r="O2348" t="s">
        <v>37</v>
      </c>
      <c r="P2348" t="s">
        <v>39</v>
      </c>
      <c r="Q2348" t="s">
        <v>38</v>
      </c>
      <c r="R2348">
        <v>0</v>
      </c>
      <c r="S2348" t="s">
        <v>38</v>
      </c>
      <c r="T2348">
        <v>7</v>
      </c>
      <c r="U2348">
        <v>3.2</v>
      </c>
      <c r="V2348">
        <v>0</v>
      </c>
      <c r="W2348" t="s">
        <v>39</v>
      </c>
      <c r="X2348" t="s">
        <v>63</v>
      </c>
      <c r="Y2348" t="s">
        <v>39</v>
      </c>
      <c r="Z2348" t="s">
        <v>115</v>
      </c>
      <c r="AA2348" t="s">
        <v>109</v>
      </c>
      <c r="AB2348" t="s">
        <v>43</v>
      </c>
      <c r="AC2348">
        <f t="shared" si="396"/>
        <v>0</v>
      </c>
      <c r="AD2348" s="12">
        <f t="shared" si="400"/>
        <v>1</v>
      </c>
      <c r="AE2348" s="12">
        <f t="shared" si="401"/>
        <v>0</v>
      </c>
      <c r="AF2348">
        <f t="shared" si="397"/>
        <v>0</v>
      </c>
      <c r="AG2348">
        <f t="shared" si="402"/>
        <v>0</v>
      </c>
      <c r="AH2348">
        <f t="shared" si="403"/>
        <v>1</v>
      </c>
      <c r="AI2348">
        <f t="shared" si="404"/>
        <v>0</v>
      </c>
      <c r="AJ2348">
        <f t="shared" si="405"/>
        <v>0</v>
      </c>
      <c r="AK2348">
        <f t="shared" si="398"/>
        <v>0</v>
      </c>
      <c r="AL2348">
        <f t="shared" si="406"/>
        <v>0</v>
      </c>
    </row>
  </sheetData>
  <autoFilter ref="A1:AB2348" xr:uid="{00000000-0001-0000-0000-000000000000}"/>
  <pageMargins left="0.7" right="0.7" top="0.75" bottom="0.75" header="0.3" footer="0.3"/>
  <ignoredErrors>
    <ignoredError sqref="A1:B2348 D1 P32:W32 Y16:AB2348 Z15:AB15 Y12:AB14 Y11:Z11 AB11 F1:M1 Y1:AB10 O1 D2:O3 P33:X2348 P1:X31 D12:O15 D11:N11 D5:O5 D4:N4 D7:O9 D6:N6 D10:N10 D18:O19 D16:N16 D17:N17 D21:O21 D20:N20 D23:O23 D22:N22 D26:O27 D24:N24 D25:N25 D31:O35 D28:N28 D29:N29 D30:N30 D38:O40 D36:N36 D37:N37 D42:O42 D41:N41 D44:O44 D43:N43 D46:O48 D45:N45 D51:O52 D49:N49 D50:N50 D54:O54 D53:N53 D57:O61 D55:N55 D56:N56 D64:O64 D62:N62 D63:N63 D66:O78 D65:N65 D80:O80 D79:N79 D83:O92 D81:N81 D82:N82 D96:O97 D93:N93 D94:N94 D95:N95 D99:O101 D98:N98 D104:O114 D102:N102 D103:N103 D117:O117 D115:N115 D116:N116 D119:O119 D118:N118 D121:O123 D120:N120 D130:O130 D124:N124 D125:N125 D126:N126 D127:N127 D128:N128 D129:N129 D132:O132 D131:N131 D134:O139 D133:N133 D141:O142 D140:N140 D144:O144 D143:N143 D147:O147 D145:N145 D146:N146 D150:O153 D148:N148 D149:N149 D155:O156 D154:N154 D159:O162 D157:N157 D158:N158 D166:O167 D163:N163 D164:N164 D165:N165 D170:O173 D168:N168 D169:N169 D175:O176 D174:N174 D179:O179 D177:N177 D178:N178 D182:O182 D180:N180 D181:N181 D184:O187 D183:N183 D193:O194 D188:N188 D189:N189 D190:N190 D191:N191 D192:N192 D198:O198 D195:N195 D196:N196 D197:N197 D201:O201 D199:N199 D200:N200 D204:O206 D202:N202 D203:N203 D208:O211 D207:N207 D213:O213 D212:N212 D215:O215 D214:N214 D218:O220 D216:N216 D217:N217 D222:O225 D221:N221 D227:O228 D226:N226 D230:O234 D229:N229 D236:O236 D235:N235 D239:O239 D237:N237 D238:N238 D242:O243 D240:N240 D241:N241 D245:O245 D244:N244 D247:O247 D246:N246 D249:O250 D248:N248 D252:O257 D251:N251 D259:O260 D258:N258 D262:O263 D261:N261 D265:O267 D264:N264 D271:O273 D268:N268 D269:N269 D270:N270 D275:O275 D274:N274 D281:O283 D276:N276 D277:N277 D278:N278 D279:N279 D280:N280 D286:O287 D284:N284 D285:N285 D290:O295 D288:N288 D289:N289 D300:O300 D296:N296 D297:N297 D298:N298 D299:N299 D304:O309 D301:N301 D302:N302 D303:N303 D311:O311 D310:N310 D313:O313 D312:N312 D317:O317 D314:N314 D315:N315 D316:N316 D319:O319 D318:N318 D321:O328 D320:N320 D330:O330 D329:N329 D332:O333 D331:N331 D336:O336 D334:N334 D335:N335 D341:O345 D337:N337 D338:N338 D339:N339 D340:N340 D347:O347 D346:N346 D351:O353 D348:N348 D349:N349 D350:N350 D357:O357 D354:N354 D355:N355 D356:N356 D359:O359 D358:N358 D366:O367 D360:N360 D361:N361 D362:N362 D363:N363 D364:N364 D365:N365 D369:O370 D368:N368 D373:O373 D371:N371 D372:N372 D375:O376 D374:N374 D378:O379 D377:N377 D383:O383 D380:N380 D381:N381 D382:N382 D385:O385 D384:N384 D388:O388 D386:N386 D387:N387 D392:O393 D389:N389 D390:N390 D391:N391 D399:O400 D394:N394 D395:N395 D396:N396 D397:N397 D398:N398 D402:O402 D401:N401 D404:O404 D403:N403 D409:O412 D405:N405 D406:N406 D407:N407 D408:N408 D414:O416 D413:N413 D418:O418 D417:N417 D420:O420 D419:N419 D422:O422 D421:N421 D424:O426 D423:N423 D428:O428 D427:N427 D433:O433 D429:N429 D430:N430 D431:N431 D432:N432 D442:O444 D434:N434 D435:N435 D436:N436 D437:N437 D438:N438 D439:N439 D440:N440 D441:N441 D447:O447 D445:N445 D446:N446 D451:O451 D448:N448 D449:N449 D450:N450 D454:O454 D452:N452 D453:N453 D458:O458 D455:N455 D456:N456 D457:N457 D461:O462 D459:N459 D460:N460 D464:O465 D463:N463 D467:O468 D466:N466 D470:O473 D469:N469 D480:O482 D474:N474 D475:N475 D476:N476 D477:N477 D478:N478 D479:N479 D487:O489 D483:N483 D484:N484 D485:N485 D486:N486 D493:O497 D490:N490 D491:N491 D492:N492 D500:O505 D498:N498 D499:N499 D507:O510 D506:N506 D512:O512 D511:N511 D514:O515 D513:N513 D517:O519 D516:N516 D523:O523 D520:N520 D521:N521 D522:N522 D526:O526 D524:N524 D525:N525 D528:O529 D527:N527 D532:O532 D530:N530 D531:N531 D534:O534 D533:N533 D536:O536 D535:N535 D539:O541 D537:N537 D538:N538 D543:O544 D542:N542 D546:O546 D545:N545 D549:O550 D547:N547 D548:N548 D552:O552 D551:N551 D554:O560 D553:N553 D562:O562 D561:N561 D565:O567 D563:N563 D564:N564 D571:O572 D568:N568 D569:N569 D570:N570 D575:O577 D573:N573 D574:N574 D582:O585 D578:N578 D579:N579 D580:N580 D581:N581 D587:O587 D586:N586 D589:O591 D588:N588 D593:O596 D592:N592 D599:O602 D597:N597 D598:N598 D606:O607 D603:N603 D604:N604 D605:N605 D609:O609 D608:N608 D611:O612 D610:N610 D614:O618 D613:N613 D620:O621 D619:N619 D623:O625 D622:N622 D627:O627 D626:N626 D631:O631 D628:N628 D629:N629 D630:N630 D635:O636 D632:N632 D633:N633 D634:N634 D642:O642 D637:N637 D638:N638 D639:N639 D640:N640 D641:N641 D644:O644 D643:N643 D646:O649 D645:N645 D651:O653 D650:N650 D655:O656 D654:N654 D658:O662 D657:N657 D664:O664 D663:N663 D667:O669 D665:N665 D666:N666 D671:O672 D670:N670 D679:O680 D673:N673 D674:N674 D675:N675 D676:N676 D677:N677 D678:N678 D682:O683 D681:N681 D685:O685 D684:N684 D687:O689 D686:N686 D692:O693 D690:N690 D691:N691 D695:O699 D694:N694 D701:O701 D700:N700 D704:O704 D702:N702 D703:N703 D706:O706 D705:N705 D709:O710 D707:N707 D708:N708 D715:O718 D711:N711 D712:N712 D713:N713 D714:N714 D720:O721 D719:N719 D724:O725 D722:N722 D723:N723 D728:O728 D726:N726 D727:N727 D731:O733 D729:N729 D730:N730 D735:O737 D734:N734 D739:O739 D738:N738 D743:O743 D740:N740 D741:N741 D742:N742 D745:O748 D744:N744 D752:O759 D749:N749 D750:N750 D751:N751 D762:O762 D760:N760 D761:N761 D764:O764 D763:N763 D770:O770 D765:N765 D766:N766 D767:N767 D768:N768 D769:N769 D774:O774 D771:N771 D772:N772 D773:N773 D776:O776 D775:N775 D778:O779 D777:N777 D781:O781 D780:N780 D784:O788 D782:N782 D783:N783 D790:O791 D789:N789 D793:O794 D792:N792 D796:O796 D795:N795 D800:O801 D797:N797 D798:N798 D799:N799 D805:O805 D802:N802 D803:N803 D804:N804 D807:O809 D806:N806 D812:O812 D810:N810 D811:N811 D815:O815 D813:N813 D814:N814 D817:O821 D816:N816 D823:O823 D822:N822 D825:O825 D824:N824 D827:O829 D826:N826 D831:O831 D830:N830 D833:O836 D832:N832 D839:O843 D837:N837 D838:N838 D846:O846 D844:N844 D845:N845 D848:O848 D847:N847 D851:O852 D849:N849 D850:N850 D857:O857 D853:N853 D854:N854 D855:N855 D856:N856 D859:O859 D858:N858 D861:O862 D860:N860 D865:O865 D863:N863 D864:N864 D867:O867 D866:N866 D869:O869 D868:N868 D871:O871 D870:N870 D874:O875 D872:N872 D873:N873 D877:O879 D876:N876 D881:O881 D880:N880 D883:O885 D882:N882 D887:O887 D886:N886 D889:O889 D888:N888 D892:O893 D890:N890 D891:N891 D897:O900 D894:N894 D895:N895 D896:N896 D903:O904 D901:N901 D902:N902 D906:O906 D905:N905 D909:O910 D907:N907 D908:N908 D913:O913 D911:N911 D912:N912 D915:O915 D914:N914 D921:O924 D916:N916 D917:N917 D918:N918 D919:N919 D920:N920 D926:O927 D925:N925 D929:O929 D928:N928 D932:O932 D930:N930 D931:N931 D934:O934 D933:N933 D937:O939 D935:N935 D936:N936 D942:O943 D940:N940 D941:N941 D946:O948 D944:N944 D945:N945 D951:O951 D949:N949 D950:N950 D956:O959 D952:N952 D953:N953 D954:N954 D955:N955 D961:O964 D960:N960 D967:O968 D965:N965 D966:N966 D973:O973 D969:N969 D970:N970 D971:N971 D972:N972 D975:O975 D974:N974 D977:O977 D976:N976 D979:O980 D978:N978 D984:O994 D981:N981 D982:N982 D983:N983 D1000:O1000 D995:N995 D996:N996 D997:N997 D998:N998 D999:N999 D1003:O1006 D1001:N1001 D1002:N1002 D1008:O1008 D1007:N1007 D1013:O1016 D1009:N1009 D1010:N1010 D1011:N1011 D1012:N1012 D1018:O1018 D1017:N1017 D1020:O1020 D1019:N1019 D1022:O1023 D1021:N1021 D1025:O1025 D1024:N1024 D1028:O1028 D1026:N1026 D1027:N1027 D1030:O1034 D1029:N1029 D1036:O1037 D1035:N1035 D1039:O1039 D1038:N1038 D1042:O1043 D1040:N1040 D1041:N1041 D1045:O1046 D1044:N1044 D1048:O1048 D1047:N1047 D1052:O1053 D1049:N1049 D1050:N1050 D1051:N1051 D1055:O1055 D1054:N1054 D1057:O1059 D1056:N1056 D1061:O1061 D1060:N1060 D1063:O1067 D1062:N1062 D1069:O1069 D1068:N1068 D1071:O1071 D1070:N1070 D1073:O1073 D1072:N1072 D1075:O1075 D1074:N1074 D1078:O1082 D1076:N1076 D1077:N1077 D1084:O1084 D1083:N1083 D1087:O1089 D1085:N1085 D1086:N1086 D1091:O1091 D1090:N1090 D1093:O1094 D1092:N1092 D1096:O1099 D1095:N1095 D1101:O1103 D1100:N1100 D1106:O1106 D1104:N1104 D1105:N1105 D1108:O1109 D1107:N1107 D1112:O1116 D1110:N1110 D1111:N1111 D1118:O1119 D1117:N1117 D1121:O1124 D1120:N1120 D1128:O1128 D1125:N1125 D1126:N1126 D1127:N1127 D1130:O1130 D1129:N1129 D1132:O1132 D1131:N1131 D1135:O1135 D1133:N1133 D1134:N1134 D1139:O1139 D1136:N1136 D1137:N1137 D1138:N1138 D1145:O1145 D1140:N1140 D1141:N1141 D1142:N1142 D1143:N1143 D1144:N1144 D1147:O1148 D1146:N1146 D1150:O1152 D1149:N1149 D1155:O1155 D1153:N1153 D1154:N1154 D1158:O1158 D1156:N1156 D1157:N1157 D1160:O1160 D1159:N1159 D1162:O1163 D1161:N1161 D1165:O1170 D1164:N1164 D1172:O1172 D1171:N1171 D1174:O1176 D1173:N1173 D1179:O1181 D1177:N1177 D1178:N1178 D1183:O1185 D1182:N1182 D1187:O1187 D1186:N1186 D1189:O1189 D1188:N1188 D1191:O1192 D1190:N1190 D1194:O1196 D1193:N1193 D1199:O1199 D1197:N1197 D1198:N1198 D1201:O1201 D1200:N1200 D1203:O1203 D1202:N1202 D1205:O1206 D1204:N1204 D1209:O1210 D1207:N1207 D1208:N1208 D1212:O1213 D1211:N1211 D1215:O1216 D1214:N1214 D1220:O1224 D1217:N1217 D1218:N1218 D1219:N1219 D1226:O1228 D1225:N1225 D1230:O1230 D1229:N1229 D1232:O1234 D1231:N1231 D1237:O1238 D1235:N1235 D1236:N1236 D1240:O1240 D1239:N1239 D1245:O1246 D1241:N1241 D1242:N1242 D1243:N1243 D1244:N1244 D1254:O1257 D1247:N1247 D1248:N1248 D1249:N1249 D1250:N1250 D1251:N1251 D1252:N1252 D1253:N1253 D1261:O1261 D1258:N1258 D1259:N1259 D1260:N1260 D1263:O1263 D1262:N1262 D1266:O1266 D1264:N1264 D1265:N1265 D1268:O1268 D1267:N1267 D1270:O1274 D1269:N1269 D1277:O1281 D1275:N1275 D1276:N1276 D1283:O1286 D1282:N1282 D1288:O1288 D1287:N1287 D1290:O1295 D1289:N1289 D1298:O1298 D1296:N1296 D1297:N1297 D1300:O1300 D1299:N1299 D1302:O1302 D1301:N1301 D1304:O1306 D1303:N1303 D1308:O1308 D1307:N1307 D1310:O1310 D1309:N1309 D1312:O1313 D1311:N1311 D1315:O1315 D1314:N1314 D1317:O1319 D1316:N1316 D1321:O1323 D1320:N1320 D1327:O1327 D1324:N1324 D1325:N1325 D1326:N1326 D1330:O1330 D1328:N1328 D1329:N1329 D1335:O1335 D1331:N1331 D1332:N1332 D1333:N1333 D1334:N1334 D1337:O1337 D1336:N1336 D1340:O1340 D1338:N1338 D1339:N1339 D1344:O1345 D1341:N1341 D1342:N1342 D1343:N1343 D1348:O1349 D1346:N1346 D1347:N1347 D1351:O1351 D1350:N1350 D1357:O1359 D1352:N1352 D1353:N1353 D1354:N1354 D1355:N1355 D1356:N1356 D1362:O1362 D1360:N1360 D1361:N1361 D1365:O1370 D1363:N1363 D1364:N1364 D1372:O1373 D1371:N1371 D1375:O1375 D1374:N1374 D1377:O1377 D1376:N1376 D1380:O1380 D1378:N1378 D1379:N1379 D1382:O1387 D1381:N1381 D1389:O1389 D1388:N1388 D1392:O1394 D1390:N1390 D1391:N1391 D1397:O1403 D1395:N1395 D1396:N1396 D1405:O1405 D1404:N1404 D1408:O1408 D1406:N1406 D1407:N1407 D1411:O1411 D1409:N1409 D1410:N1410 D1413:O1413 D1412:N1412 D1415:O1416 D1414:N1414 D1418:O1419 D1417:N1417 D1421:O1423 D1420:N1420 D1427:O1429 D1424:N1424 D1425:N1425 D1426:N1426 D1431:O1432 D1430:N1430 D1436:O1437 D1433:N1433 D1434:N1434 D1435:N1435 D1440:O1440 D1438:N1438 D1439:N1439 D1442:O1443 D1441:N1441 D1445:O1445 D1444:N1444 D1447:O1448 D1446:N1446 D1450:O1451 D1449:N1449 D1455:O1460 D1452:N1452 D1453:N1453 D1454:N1454 D1464:O1464 D1461:N1461 D1462:N1462 D1463:N1463 D1466:O1468 D1465:N1465 D1470:O1478 D1469:N1469 D1480:O1481 D1479:N1479 D1483:O1483 D1482:N1482 D1485:O1487 D1484:N1484 D1489:O1492 D1488:N1488 D1494:O1495 D1493:N1493 D1498:O1498 D1496:N1496 D1497:N1497 D1500:O1501 D1499:N1499 D1504:O1504 D1502:N1502 D1503:N1503 D1507:O1508 D1505:N1505 D1506:N1506 D1510:O1516 D1509:N1509 D1520:O1520 D1517:N1517 D1518:N1518 D1519:N1519 D1524:O1524 D1521:N1521 D1522:N1522 D1523:N1523 D1527:O1529 D1525:N1525 D1526:N1526 D1534:O1537 D1530:N1530 D1531:N1531 D1532:N1532 D1533:N1533 D1539:O1540 D1538:N1538 D1545:O1547 D1541:N1541 D1542:N1542 D1543:N1543 D1544:N1544 D1557:O1559 D1548:N1548 D1549:N1549 D1550:N1550 D1551:N1551 D1552:N1552 D1553:N1553 D1554:N1554 D1555:N1555 D1556:N1556 D1561:O1562 D1560:N1560 D1564:O1564 D1563:N1563 D1567:O1569 D1565:N1565 D1566:N1566 D1573:O1573 D1570:N1570 D1571:N1571 D1572:N1572 D1580:O1580 D1574:N1574 D1575:N1575 D1576:N1576 D1577:N1577 D1578:N1578 D1579:N1579 D1582:O1587 D1581:N1581 D1591:O1592 D1588:N1588 D1589:N1589 D1590:N1590 D1594:O1597 D1593:N1593 D1599:O1601 D1598:N1598 D1603:O1604 D1602:N1602 D1606:O1606 D1605:N1605 D1612:O1614 D1607:N1607 D1608:N1608 D1609:N1609 D1610:N1610 D1611:N1611 D1616:O1616 D1615:N1615 D1618:O1619 D1617:N1617 D1623:O1624 D1620:N1620 D1621:N1621 D1622:N1622 D1627:O1627 D1625:N1625 D1626:N1626 D1631:O1631 D1628:N1628 D1629:N1629 D1630:N1630 D1634:O1634 D1632:N1632 D1633:N1633 D1636:O1637 D1635:N1635 D1640:O1641 D1638:N1638 D1639:N1639 D1645:O1645 D1642:N1642 D1643:N1643 D1644:N1644 D1649:O1652 D1646:N1646 D1647:N1647 D1648:N1648 D1655:O1656 D1653:N1653 D1654:N1654 D1659:O1659 D1657:N1657 D1658:N1658 D1664:O1670 D1660:N1660 D1661:N1661 D1662:N1662 D1663:N1663 D1673:O1675 D1671:N1671 D1672:N1672 D1677:O1678 D1676:N1676 D1680:O1683 D1679:N1679 D1685:O1685 D1684:N1684 D1689:O1689 D1686:N1686 D1687:N1687 D1688:N1688 D1691:O1691 D1690:N1690 D1697:O1700 D1692:N1692 D1693:N1693 D1694:N1694 D1695:N1695 D1696:N1696 D1704:O1704 D1701:N1701 D1702:N1702 D1703:N1703 D1707:O1707 D1705:N1705 D1706:N1706 D1710:O1710 D1708:N1708 D1709:N1709 D1713:O1715 D1711:N1711 D1712:N1712 D1720:O1720 D1716:N1716 D1717:N1717 D1718:N1718 D1719:N1719 D1723:O1723 D1721:N1721 D1722:N1722 D1725:O1725 D1724:N1724 D1727:O1727 D1726:N1726 D1730:O1733 D1728:N1728 D1729:N1729 D1735:O1737 D1734:N1734 D1739:O1747 D1738:N1738 D1749:O1752 D1748:N1748 D1756:O1757 D1753:N1753 D1754:N1754 D1755:N1755 D1759:O1760 D1758:N1758 D1762:O1766 D1761:N1761 D1769:O1772 D1767:N1767 D1768:N1768 D1776:O1777 D1773:N1773 D1774:N1774 D1775:N1775 D1785:O1785 D1778:N1778 D1779:N1779 D1780:N1780 D1781:N1781 D1782:N1782 D1783:N1783 D1784:N1784 D1787:O1787 D1786:N1786 D1789:O1789 D1788:N1788 D1792:O1794 D1790:N1790 D1791:N1791 D1796:O1797 D1795:N1795 D1799:O1799 D1798:N1798 D1801:O1801 D1800:N1800 D1811:O1811 D1802:N1802 D1803:N1803 D1804:N1804 D1805:N1805 D1806:N1806 D1807:N1807 D1808:N1808 D1809:N1809 D1810:N1810 D1813:O1813 D1812:N1812 D1815:O1815 D1814:N1814 D1817:O1817 D1816:N1816 D1819:O1822 D1818:N1818 D1825:O1827 D1823:N1823 D1824:N1824 D1829:O1829 D1828:N1828 D1831:O1833 D1830:N1830 D1836:O1838 D1834:N1834 D1835:N1835 D1841:O1841 D1839:N1839 D1840:N1840 D1843:O1844 D1842:N1842 D1846:O1852 D1845:N1845 D1855:O1855 D1853:N1853 D1854:N1854 D1857:O1860 D1856:N1856 D1862:O1862 D1861:N1861 D1864:O1864 D1863:N1863 D1866:O1866 D1865:N1865 D1868:O1868 D1867:N1867 D1870:O1870 D1869:N1869 D1872:O1872 D1871:N1871 D1875:O1875 D1873:N1873 D1874:N1874 D1878:O1878 D1876:N1876 D1877:N1877 D1882:O1884 D1879:N1879 D1880:N1880 D1881:N1881 D1886:O1886 D1885:N1885 D1889:O1891 D1887:N1887 D1888:N1888 D1895:O1895 D1892:N1892 D1893:N1893 D1894:N1894 D1897:O1898 D1896:N1896 D1900:O1900 D1899:N1899 D1902:O1904 D1901:N1901 D1906:O1909 D1905:N1905 D1912:O1913 D1910:N1910 D1911:N1911 D1915:O1916 D1914:N1914 D1918:O1918 D1917:N1917 D1920:O1920 D1919:N1919 D1923:O1926 D1921:N1921 D1922:N1922 D1928:O1928 D1927:N1927 D1932:O1936 D1929:N1929 D1930:N1930 D1931:N1931 D1940:O1943 D1937:N1937 D1938:N1938 D1939:N1939 D1945:O1948 D1944:N1944 D1950:O1950 D1949:N1949 D1952:O1954 D1951:N1951 D1956:O1956 D1955:N1955 D1959:O1959 D1957:N1957 D1958:N1958 D1961:O1961 D1960:N1960 D1964:O1965 D1962:N1962 D1963:N1963 D1968:O1968 D1966:N1966 D1967:N1967 D1972:O1973 D1969:N1969 D1970:N1970 D1971:N1971 D1975:O1976 D1974:N1974 D1978:O1985 D1977:N1977 D1993:O1993 D1986:N1986 D1987:N1987 D1988:N1988 D1989:N1989 D1990:N1990 D1991:N1991 D1992:N1992 D1995:O1996 D1994:N1994 D1998:O1999 D1997:N1997 D2001:O2001 D2000:N2000 D2004:O2005 D2002:N2002 D2003:N2003 D2007:O2007 D2006:N2006 D2012:O2012 D2008:N2008 D2009:N2009 D2010:N2010 D2011:N2011 D2014:O2015 D2013:N2013 D2017:O2017 D2016:N2016 D2022:O2022 D2018:N2018 D2019:N2019 D2020:N2020 D2021:N2021 D2024:O2031 D2023:N2023 D2033:O2033 D2032:N2032 D2035:O2036 D2034:N2034 D2038:O2041 D2037:N2037 D2043:O2047 D2042:N2042 D2050:O2050 D2048:N2048 D2049:N2049 D2052:O2052 D2051:N2051 D2055:O2059 D2053:N2053 D2054:N2054 D2061:O2067 D2060:N2060 D2069:O2071 D2068:N2068 D2073:O2074 D2072:N2072 D2076:O2080 D2075:N2075 D2082:O2083 D2081:N2081 D2085:O2085 D2084:N2084 D2090:O2091 D2086:N2086 D2087:N2087 D2088:N2088 D2089:N2089 D2093:O2094 D2092:N2092 D2097:O2098 D2095:N2095 D2096:N2096 D2102:O2102 D2099:N2099 D2100:N2100 D2101:N2101 D2104:O2106 D2103:N2103 D2114:O2114 D2107:N2107 D2108:N2108 D2109:N2109 D2110:N2110 D2111:N2111 D2112:N2112 D2113:N2113 D2121:O2121 D2115:N2115 D2116:N2116 D2117:N2117 D2118:N2118 D2119:N2119 D2120:N2120 D2123:O2123 D2122:N2122 D2127:O2129 D2124:N2124 D2125:N2125 D2126:N2126 D2131:O2131 D2130:N2130 D2136:O2137 D2132:N2132 D2133:N2133 D2134:N2134 D2135:N2135 D2139:O2139 D2138:N2138 D2148:O2148 D2140:N2140 D2141:N2141 D2142:N2142 D2143:N2143 D2144:N2144 D2145:N2145 D2146:N2146 D2147:N2147 D2150:O2153 D2149:N2149 D2156:O2156 D2154:N2154 D2155:N2155 D2160:O2160 D2157:N2157 D2158:N2158 D2159:N2159 D2167:O2173 D2161:N2161 D2162:N2162 D2163:N2163 D2164:N2164 D2165:N2165 D2166:N2166 D2177:O2178 D2174:N2174 D2175:N2175 D2176:N2176 D2182:O2183 D2179:N2179 D2180:N2180 D2181:N2181 D2185:O2187 D2184:N2184 D2189:O2189 D2188:N2188 D2191:O2194 D2190:N2190 D2197:O2203 D2195:N2195 D2196:N2196 D2205:O2206 D2204:N2204 D2209:O2209 D2207:N2207 D2208:N2208 D2213:O2213 D2210:N2210 D2211:N2211 D2212:N2212 D2216:O2217 D2214:N2214 D2215:N2215 D2220:O2220 D2218:N2218 D2219:N2219 D2223:O2224 D2221:N2221 D2222:N2222 D2228:O2229 D2225:N2225 D2226:N2226 D2227:N2227 D2231:O2232 D2230:N2230 D2237:O2237 D2233:N2233 D2234:N2234 D2235:N2235 D2236:N2236 D2240:O2245 D2238:N2238 D2239:N2239 D2247:O2247 D2246:N2246 D2252:O2255 D2248:N2248 D2249:N2249 D2250:N2250 D2251:N2251 D2258:O2258 D2256:N2256 D2257:N2257 D2262:O2262 D2259:N2259 D2260:N2260 D2261:N2261 D2264:O2264 D2263:N2263 D2266:O2266 D2265:N2265 D2268:O2268 D2267:N2267 D2271:O2274 D2269:N2269 D2270:N2270 D2277:O2277 D2275:N2275 D2276:N2276 D2280:O2280 D2278:N2278 D2279:N2279 D2282:O2287 D2281:N2281 D2290:O2290 D2288:N2288 D2289:N2289 D2292:O2292 D2291:N2291 D2294:O2294 D2293:N2293 D2297:O2297 D2295:N2295 D2296:N2296 D2300:O2300 D2298:N2298 D2299:N2299 D2302:O2314 D2301:N2301 D2316:O2318 D2315:N2315 D2320:O2326 D2319:N2319 D2328:O2328 D2327:N2327 D2330:O2331 D2329:N2329 D2333:O2335 D2332:N2332 D2337:O2337 D2336:N2336 D2339:O2339 D2338:N2338 D2341:O2342 D2340:N2340 D2348:O2348 D2343:N2343 D2344:N2344 D2345:N2345 D2346:N2346 D2347:N23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3053-394C-0F4A-A2D9-5A7CA2394EBC}">
  <dimension ref="A3:N18"/>
  <sheetViews>
    <sheetView workbookViewId="0">
      <selection activeCell="M8" sqref="M8"/>
    </sheetView>
  </sheetViews>
  <sheetFormatPr baseColWidth="10" defaultRowHeight="16"/>
  <cols>
    <col min="1" max="1" width="13" bestFit="1" customWidth="1"/>
    <col min="2" max="2" width="10.83203125" customWidth="1"/>
    <col min="3" max="3" width="27.5" hidden="1" customWidth="1"/>
    <col min="4" max="4" width="30.5" hidden="1" customWidth="1"/>
    <col min="5" max="5" width="29.5" hidden="1" customWidth="1"/>
    <col min="6" max="6" width="16" hidden="1" customWidth="1"/>
    <col min="7" max="7" width="20.33203125" hidden="1" customWidth="1"/>
    <col min="8" max="8" width="30.5" hidden="1" customWidth="1"/>
    <col min="9" max="9" width="29.5" hidden="1" customWidth="1"/>
    <col min="10" max="10" width="13.33203125" customWidth="1"/>
    <col min="11" max="11" width="8.5" customWidth="1"/>
    <col min="12" max="12" width="12.1640625" customWidth="1"/>
    <col min="13" max="13" width="8.6640625" customWidth="1"/>
  </cols>
  <sheetData>
    <row r="3" spans="1:14">
      <c r="B3" s="2" t="s">
        <v>7196</v>
      </c>
    </row>
    <row r="4" spans="1:14" ht="85">
      <c r="B4" t="s">
        <v>7199</v>
      </c>
      <c r="F4" t="s">
        <v>49</v>
      </c>
      <c r="J4" s="6" t="s">
        <v>7197</v>
      </c>
      <c r="K4" s="7" t="s">
        <v>7193</v>
      </c>
      <c r="L4" s="7" t="s">
        <v>7194</v>
      </c>
      <c r="M4" s="6" t="s">
        <v>7195</v>
      </c>
      <c r="N4" s="6" t="s">
        <v>7201</v>
      </c>
    </row>
    <row r="5" spans="1:14">
      <c r="A5" s="2" t="s">
        <v>7200</v>
      </c>
      <c r="B5" t="s">
        <v>7198</v>
      </c>
      <c r="C5" t="s">
        <v>7190</v>
      </c>
      <c r="D5" t="s">
        <v>7191</v>
      </c>
      <c r="E5" t="s">
        <v>7189</v>
      </c>
      <c r="F5" t="s">
        <v>7198</v>
      </c>
      <c r="G5" t="s">
        <v>7190</v>
      </c>
      <c r="H5" t="s">
        <v>7191</v>
      </c>
      <c r="I5" t="s">
        <v>7189</v>
      </c>
      <c r="K5" s="4"/>
      <c r="L5" s="4"/>
    </row>
    <row r="6" spans="1:14">
      <c r="A6" s="3" t="s">
        <v>7177</v>
      </c>
      <c r="B6">
        <v>46</v>
      </c>
      <c r="C6">
        <v>5.6086956521739131</v>
      </c>
      <c r="D6">
        <v>283.89347826086953</v>
      </c>
      <c r="E6">
        <v>46</v>
      </c>
      <c r="F6">
        <v>134</v>
      </c>
      <c r="G6">
        <v>8.4925373134328357</v>
      </c>
      <c r="H6">
        <v>185.84925373134331</v>
      </c>
      <c r="I6">
        <v>134</v>
      </c>
      <c r="J6">
        <v>180</v>
      </c>
      <c r="K6" s="4">
        <v>7.7555555555555555</v>
      </c>
      <c r="L6" s="4">
        <v>210.90499999999992</v>
      </c>
      <c r="M6">
        <v>180</v>
      </c>
      <c r="N6" s="5" cm="1">
        <f t="array" ref="N6:N17">B6:B17/J6:J17</f>
        <v>0.25555555555555554</v>
      </c>
    </row>
    <row r="7" spans="1:14">
      <c r="A7" s="3" t="s">
        <v>7178</v>
      </c>
      <c r="B7">
        <v>73</v>
      </c>
      <c r="C7">
        <v>5.8493150684931505</v>
      </c>
      <c r="D7">
        <v>378.13698630137003</v>
      </c>
      <c r="E7">
        <v>73</v>
      </c>
      <c r="F7">
        <v>111</v>
      </c>
      <c r="G7">
        <v>8.576576576576576</v>
      </c>
      <c r="H7">
        <v>178.84684684684686</v>
      </c>
      <c r="I7">
        <v>111</v>
      </c>
      <c r="J7">
        <v>184</v>
      </c>
      <c r="K7" s="4">
        <v>7.4945652173913047</v>
      </c>
      <c r="L7" s="4">
        <v>257.91304347826099</v>
      </c>
      <c r="M7">
        <v>184</v>
      </c>
      <c r="N7" s="5">
        <v>0.39673913043478259</v>
      </c>
    </row>
    <row r="8" spans="1:14">
      <c r="A8" s="3" t="s">
        <v>7179</v>
      </c>
      <c r="B8">
        <v>58</v>
      </c>
      <c r="C8">
        <v>5.8275862068965516</v>
      </c>
      <c r="D8">
        <v>357.30172413793093</v>
      </c>
      <c r="E8">
        <v>58</v>
      </c>
      <c r="F8">
        <v>148</v>
      </c>
      <c r="G8">
        <v>8.3378378378378386</v>
      </c>
      <c r="H8">
        <v>176.42702702702695</v>
      </c>
      <c r="I8">
        <v>148</v>
      </c>
      <c r="J8">
        <v>206</v>
      </c>
      <c r="K8" s="4">
        <v>7.6310679611650487</v>
      </c>
      <c r="L8" s="4">
        <v>227.35291262135911</v>
      </c>
      <c r="M8">
        <v>206</v>
      </c>
      <c r="N8" s="5">
        <v>0.28155339805825241</v>
      </c>
    </row>
    <row r="9" spans="1:14">
      <c r="A9" s="3" t="s">
        <v>7180</v>
      </c>
      <c r="B9">
        <v>57</v>
      </c>
      <c r="C9">
        <v>6.0877192982456139</v>
      </c>
      <c r="D9">
        <v>390.76666666666682</v>
      </c>
      <c r="E9">
        <v>57</v>
      </c>
      <c r="F9">
        <v>160</v>
      </c>
      <c r="G9">
        <v>8.46875</v>
      </c>
      <c r="H9">
        <v>180.14937499999991</v>
      </c>
      <c r="I9">
        <v>160</v>
      </c>
      <c r="J9">
        <v>217</v>
      </c>
      <c r="K9" s="4">
        <v>7.8433179723502304</v>
      </c>
      <c r="L9" s="4">
        <v>235.47281105990783</v>
      </c>
      <c r="M9">
        <v>217</v>
      </c>
      <c r="N9" s="5">
        <v>0.26267281105990781</v>
      </c>
    </row>
    <row r="10" spans="1:14">
      <c r="A10" s="3" t="s">
        <v>7181</v>
      </c>
      <c r="B10">
        <v>60</v>
      </c>
      <c r="C10">
        <v>6.3</v>
      </c>
      <c r="D10">
        <v>383.21833333333331</v>
      </c>
      <c r="E10">
        <v>60</v>
      </c>
      <c r="F10">
        <v>144</v>
      </c>
      <c r="G10">
        <v>8.3888888888888893</v>
      </c>
      <c r="H10">
        <v>191.16874999999987</v>
      </c>
      <c r="I10">
        <v>144</v>
      </c>
      <c r="J10">
        <v>204</v>
      </c>
      <c r="K10" s="4">
        <v>7.7745098039215685</v>
      </c>
      <c r="L10" s="4">
        <v>247.65392156862748</v>
      </c>
      <c r="M10">
        <v>204</v>
      </c>
      <c r="N10" s="5">
        <v>0.29411764705882354</v>
      </c>
    </row>
    <row r="11" spans="1:14">
      <c r="A11" s="3" t="s">
        <v>7182</v>
      </c>
      <c r="B11">
        <v>54</v>
      </c>
      <c r="C11">
        <v>5.833333333333333</v>
      </c>
      <c r="D11">
        <v>416.89444444444445</v>
      </c>
      <c r="E11">
        <v>54</v>
      </c>
      <c r="F11">
        <v>141</v>
      </c>
      <c r="G11">
        <v>8.3687943262411348</v>
      </c>
      <c r="H11">
        <v>173.58368794326233</v>
      </c>
      <c r="I11">
        <v>141</v>
      </c>
      <c r="J11">
        <v>195</v>
      </c>
      <c r="K11" s="4">
        <v>7.666666666666667</v>
      </c>
      <c r="L11" s="4">
        <v>240.96205128205136</v>
      </c>
      <c r="M11">
        <v>195</v>
      </c>
      <c r="N11" s="5">
        <v>0.27692307692307694</v>
      </c>
    </row>
    <row r="12" spans="1:14">
      <c r="A12" s="3" t="s">
        <v>7183</v>
      </c>
      <c r="B12">
        <v>60</v>
      </c>
      <c r="C12">
        <v>5.95</v>
      </c>
      <c r="D12">
        <v>353.79333333333341</v>
      </c>
      <c r="E12">
        <v>60</v>
      </c>
      <c r="F12">
        <v>135</v>
      </c>
      <c r="G12">
        <v>8.4370370370370367</v>
      </c>
      <c r="H12">
        <v>171.13111111111115</v>
      </c>
      <c r="I12">
        <v>135</v>
      </c>
      <c r="J12">
        <v>195</v>
      </c>
      <c r="K12" s="4">
        <v>7.6717948717948721</v>
      </c>
      <c r="L12" s="4">
        <v>227.33487179487173</v>
      </c>
      <c r="M12">
        <v>195</v>
      </c>
      <c r="N12" s="5">
        <v>0.30769230769230771</v>
      </c>
    </row>
    <row r="13" spans="1:14">
      <c r="A13" s="3" t="s">
        <v>7184</v>
      </c>
      <c r="B13">
        <v>45</v>
      </c>
      <c r="C13">
        <v>5.6444444444444448</v>
      </c>
      <c r="D13">
        <v>402.5911111111111</v>
      </c>
      <c r="E13">
        <v>45</v>
      </c>
      <c r="F13">
        <v>138</v>
      </c>
      <c r="G13">
        <v>8.3985507246376816</v>
      </c>
      <c r="H13">
        <v>183.86376811594209</v>
      </c>
      <c r="I13">
        <v>138</v>
      </c>
      <c r="J13">
        <v>183</v>
      </c>
      <c r="K13" s="4">
        <v>7.721311475409836</v>
      </c>
      <c r="L13" s="4">
        <v>237.64918032786886</v>
      </c>
      <c r="M13">
        <v>183</v>
      </c>
      <c r="N13" s="5">
        <v>0.24590163934426229</v>
      </c>
    </row>
    <row r="14" spans="1:14">
      <c r="A14" s="3" t="s">
        <v>7185</v>
      </c>
      <c r="B14">
        <v>49</v>
      </c>
      <c r="C14">
        <v>5.9591836734693882</v>
      </c>
      <c r="D14">
        <v>348.4816326530613</v>
      </c>
      <c r="E14">
        <v>49</v>
      </c>
      <c r="F14">
        <v>154</v>
      </c>
      <c r="G14">
        <v>8.4870129870129869</v>
      </c>
      <c r="H14">
        <v>189.0181818181818</v>
      </c>
      <c r="I14">
        <v>154</v>
      </c>
      <c r="J14">
        <v>203</v>
      </c>
      <c r="K14" s="4">
        <v>7.8768472906403941</v>
      </c>
      <c r="L14" s="4">
        <v>227.50935960591138</v>
      </c>
      <c r="M14">
        <v>203</v>
      </c>
      <c r="N14" s="5">
        <v>0.2413793103448276</v>
      </c>
    </row>
    <row r="15" spans="1:14">
      <c r="A15" s="3" t="s">
        <v>7186</v>
      </c>
      <c r="B15">
        <v>60</v>
      </c>
      <c r="C15">
        <v>5.5666666666666664</v>
      </c>
      <c r="D15">
        <v>320.49833333333328</v>
      </c>
      <c r="E15">
        <v>60</v>
      </c>
      <c r="F15">
        <v>153</v>
      </c>
      <c r="G15">
        <v>8.3790849673202619</v>
      </c>
      <c r="H15">
        <v>191.05424836601307</v>
      </c>
      <c r="I15">
        <v>153</v>
      </c>
      <c r="J15">
        <v>213</v>
      </c>
      <c r="K15" s="4">
        <v>7.586854460093897</v>
      </c>
      <c r="L15" s="4">
        <v>227.51737089201887</v>
      </c>
      <c r="M15">
        <v>213</v>
      </c>
      <c r="N15" s="5">
        <v>0.28169014084507044</v>
      </c>
    </row>
    <row r="16" spans="1:14">
      <c r="A16" s="3" t="s">
        <v>7187</v>
      </c>
      <c r="B16">
        <v>56</v>
      </c>
      <c r="C16">
        <v>5.6964285714285712</v>
      </c>
      <c r="D16">
        <v>339.11785714285713</v>
      </c>
      <c r="E16">
        <v>56</v>
      </c>
      <c r="F16">
        <v>138</v>
      </c>
      <c r="G16">
        <v>8.4927536231884062</v>
      </c>
      <c r="H16">
        <v>178.99782608695642</v>
      </c>
      <c r="I16">
        <v>138</v>
      </c>
      <c r="J16">
        <v>194</v>
      </c>
      <c r="K16" s="4">
        <v>7.6855670103092786</v>
      </c>
      <c r="L16" s="4">
        <v>225.21804123711331</v>
      </c>
      <c r="M16">
        <v>194</v>
      </c>
      <c r="N16" s="5">
        <v>0.28865979381443296</v>
      </c>
    </row>
    <row r="17" spans="1:14">
      <c r="A17" s="3" t="s">
        <v>7188</v>
      </c>
      <c r="B17">
        <v>55</v>
      </c>
      <c r="C17">
        <v>5.4545454545454541</v>
      </c>
      <c r="D17">
        <v>367.95272727272726</v>
      </c>
      <c r="E17">
        <v>55</v>
      </c>
      <c r="F17">
        <v>118</v>
      </c>
      <c r="G17">
        <v>8.4237288135593218</v>
      </c>
      <c r="H17">
        <v>185.77118644067792</v>
      </c>
      <c r="I17">
        <v>118</v>
      </c>
      <c r="J17">
        <v>173</v>
      </c>
      <c r="K17" s="4">
        <v>7.4797687861271678</v>
      </c>
      <c r="L17" s="4">
        <v>243.69017341040455</v>
      </c>
      <c r="M17">
        <v>173</v>
      </c>
      <c r="N17" s="5">
        <v>0.31791907514450868</v>
      </c>
    </row>
    <row r="18" spans="1:14">
      <c r="A18" s="3" t="s">
        <v>7176</v>
      </c>
      <c r="B18">
        <v>673</v>
      </c>
      <c r="C18">
        <v>5.8231797919762256</v>
      </c>
      <c r="D18">
        <v>362.6202080237743</v>
      </c>
      <c r="E18">
        <v>673</v>
      </c>
      <c r="F18">
        <v>1674</v>
      </c>
      <c r="G18">
        <v>8.4348864994026282</v>
      </c>
      <c r="H18">
        <v>182.27789725209067</v>
      </c>
      <c r="I18">
        <v>1674</v>
      </c>
      <c r="J18">
        <v>2347</v>
      </c>
      <c r="K18" s="4">
        <v>7.6859821048146566</v>
      </c>
      <c r="L18" s="4">
        <v>233.99088197699189</v>
      </c>
      <c r="M18">
        <v>2347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C90A-2EFE-8640-AF4D-C97BEFDAB904}">
  <dimension ref="A3:E13"/>
  <sheetViews>
    <sheetView workbookViewId="0">
      <selection activeCell="D29" sqref="D29"/>
    </sheetView>
  </sheetViews>
  <sheetFormatPr baseColWidth="10" defaultRowHeight="16"/>
  <cols>
    <col min="1" max="1" width="18.6640625" bestFit="1" customWidth="1"/>
    <col min="2" max="2" width="15.5" bestFit="1" customWidth="1"/>
    <col min="3" max="3" width="10.83203125" style="5" bestFit="1" customWidth="1"/>
    <col min="4" max="4" width="10.83203125" style="5"/>
    <col min="5" max="5" width="17.1640625" customWidth="1"/>
  </cols>
  <sheetData>
    <row r="3" spans="1:5">
      <c r="A3" s="2" t="s">
        <v>7203</v>
      </c>
      <c r="B3" s="2" t="s">
        <v>7192</v>
      </c>
      <c r="C3"/>
      <c r="D3"/>
    </row>
    <row r="4" spans="1:5">
      <c r="A4" s="2" t="s">
        <v>7175</v>
      </c>
      <c r="B4" t="s">
        <v>33</v>
      </c>
      <c r="C4" t="s">
        <v>7176</v>
      </c>
      <c r="D4" s="5" t="s">
        <v>7202</v>
      </c>
      <c r="E4" t="s">
        <v>7204</v>
      </c>
    </row>
    <row r="5" spans="1:5">
      <c r="A5" s="3" t="s">
        <v>77</v>
      </c>
      <c r="B5">
        <v>134</v>
      </c>
      <c r="C5">
        <v>134</v>
      </c>
      <c r="D5" s="5">
        <f>B5/SUM($B$5:$B$12)</f>
        <v>0.19910846953937592</v>
      </c>
      <c r="E5" s="5">
        <f>D5</f>
        <v>0.19910846953937592</v>
      </c>
    </row>
    <row r="6" spans="1:5">
      <c r="A6" s="3" t="s">
        <v>30</v>
      </c>
      <c r="B6">
        <v>100</v>
      </c>
      <c r="C6">
        <v>100</v>
      </c>
      <c r="D6" s="5">
        <f t="shared" ref="D6:D12" si="0">B6/SUM($B$5:$B$12)</f>
        <v>0.14858841010401189</v>
      </c>
      <c r="E6" s="5">
        <f>D6+E5</f>
        <v>0.3476968796433878</v>
      </c>
    </row>
    <row r="7" spans="1:5">
      <c r="A7" s="3" t="s">
        <v>142</v>
      </c>
      <c r="B7">
        <v>93</v>
      </c>
      <c r="C7">
        <v>93</v>
      </c>
      <c r="D7" s="5">
        <f t="shared" si="0"/>
        <v>0.13818722139673106</v>
      </c>
      <c r="E7" s="5">
        <f t="shared" ref="E7:E12" si="1">D7+E6</f>
        <v>0.48588410104011887</v>
      </c>
    </row>
    <row r="8" spans="1:5">
      <c r="A8" s="3" t="s">
        <v>87</v>
      </c>
      <c r="B8">
        <v>91</v>
      </c>
      <c r="C8">
        <v>91</v>
      </c>
      <c r="D8" s="5">
        <f t="shared" si="0"/>
        <v>0.13521545319465081</v>
      </c>
      <c r="E8" s="5">
        <f t="shared" si="1"/>
        <v>0.6210995542347697</v>
      </c>
    </row>
    <row r="9" spans="1:5">
      <c r="A9" s="3" t="s">
        <v>101</v>
      </c>
      <c r="B9">
        <v>79</v>
      </c>
      <c r="C9">
        <v>79</v>
      </c>
      <c r="D9" s="5">
        <f t="shared" si="0"/>
        <v>0.11738484398216939</v>
      </c>
      <c r="E9" s="5">
        <f t="shared" si="1"/>
        <v>0.73848439821693912</v>
      </c>
    </row>
    <row r="10" spans="1:5">
      <c r="A10" s="3" t="s">
        <v>59</v>
      </c>
      <c r="B10">
        <v>66</v>
      </c>
      <c r="C10">
        <v>66</v>
      </c>
      <c r="D10" s="5">
        <f t="shared" si="0"/>
        <v>9.8068350668647844E-2</v>
      </c>
      <c r="E10" s="5">
        <f t="shared" si="1"/>
        <v>0.83655274888558695</v>
      </c>
    </row>
    <row r="11" spans="1:5">
      <c r="A11" s="3" t="s">
        <v>68</v>
      </c>
      <c r="B11">
        <v>63</v>
      </c>
      <c r="C11">
        <v>63</v>
      </c>
      <c r="D11" s="5">
        <f t="shared" si="0"/>
        <v>9.3610698365527489E-2</v>
      </c>
      <c r="E11" s="5">
        <f t="shared" si="1"/>
        <v>0.93016344725111444</v>
      </c>
    </row>
    <row r="12" spans="1:5">
      <c r="A12" s="3" t="s">
        <v>93</v>
      </c>
      <c r="B12">
        <v>47</v>
      </c>
      <c r="C12">
        <v>47</v>
      </c>
      <c r="D12" s="5">
        <f t="shared" si="0"/>
        <v>6.9836552748885589E-2</v>
      </c>
      <c r="E12" s="5">
        <f t="shared" si="1"/>
        <v>1</v>
      </c>
    </row>
    <row r="13" spans="1:5">
      <c r="A13" s="3" t="s">
        <v>7176</v>
      </c>
      <c r="B13">
        <v>673</v>
      </c>
      <c r="C13">
        <v>673</v>
      </c>
      <c r="D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6900-B547-384E-A335-B6CBCDE04008}">
  <dimension ref="A3:D7"/>
  <sheetViews>
    <sheetView workbookViewId="0">
      <selection activeCell="E26" sqref="E26"/>
    </sheetView>
  </sheetViews>
  <sheetFormatPr baseColWidth="10" defaultRowHeight="16"/>
  <cols>
    <col min="1" max="1" width="13" bestFit="1" customWidth="1"/>
    <col min="2" max="2" width="16" bestFit="1" customWidth="1"/>
    <col min="3" max="3" width="30.5" bestFit="1" customWidth="1"/>
    <col min="4" max="4" width="20.33203125" bestFit="1" customWidth="1"/>
    <col min="5" max="5" width="19.1640625" bestFit="1" customWidth="1"/>
    <col min="6" max="6" width="4.6640625" bestFit="1" customWidth="1"/>
    <col min="7" max="8" width="4.1640625" bestFit="1" customWidth="1"/>
    <col min="9" max="9" width="4.33203125" bestFit="1" customWidth="1"/>
    <col min="10" max="11" width="4.1640625" bestFit="1" customWidth="1"/>
    <col min="12" max="12" width="4.33203125" bestFit="1" customWidth="1"/>
    <col min="13" max="13" width="4.1640625" bestFit="1" customWidth="1"/>
    <col min="14" max="14" width="30.5" bestFit="1" customWidth="1"/>
    <col min="15" max="25" width="12.1640625" bestFit="1" customWidth="1"/>
    <col min="26" max="26" width="20.33203125" bestFit="1" customWidth="1"/>
    <col min="27" max="37" width="4.6640625" bestFit="1" customWidth="1"/>
    <col min="38" max="38" width="20.83203125" bestFit="1" customWidth="1"/>
    <col min="39" max="39" width="35.33203125" bestFit="1" customWidth="1"/>
    <col min="40" max="40" width="25.1640625" bestFit="1" customWidth="1"/>
  </cols>
  <sheetData>
    <row r="3" spans="1:4">
      <c r="A3" s="2" t="s">
        <v>7175</v>
      </c>
      <c r="B3" t="s">
        <v>7209</v>
      </c>
      <c r="C3" t="s">
        <v>7191</v>
      </c>
      <c r="D3" t="s">
        <v>7190</v>
      </c>
    </row>
    <row r="4" spans="1:4">
      <c r="A4" s="3" t="s">
        <v>51</v>
      </c>
      <c r="B4">
        <v>724</v>
      </c>
      <c r="C4">
        <v>223.89433701657438</v>
      </c>
      <c r="D4" s="4">
        <v>7.7430939226519335</v>
      </c>
    </row>
    <row r="5" spans="1:4">
      <c r="A5" s="3" t="s">
        <v>62</v>
      </c>
      <c r="B5">
        <v>1043</v>
      </c>
      <c r="C5">
        <v>239.63499520613621</v>
      </c>
      <c r="D5" s="4">
        <v>7.6749760306807291</v>
      </c>
    </row>
    <row r="6" spans="1:4">
      <c r="A6" s="3" t="s">
        <v>37</v>
      </c>
      <c r="B6">
        <v>580</v>
      </c>
      <c r="C6">
        <v>236.44448275862081</v>
      </c>
      <c r="D6" s="4">
        <v>7.63448275862069</v>
      </c>
    </row>
    <row r="7" spans="1:4">
      <c r="A7" s="3" t="s">
        <v>7176</v>
      </c>
      <c r="B7">
        <v>2347</v>
      </c>
      <c r="C7">
        <v>233.99088197699169</v>
      </c>
      <c r="D7" s="4">
        <v>7.6859821048146566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FB00-E13E-5046-BE52-DA35CC05CA44}">
  <dimension ref="A4:E12"/>
  <sheetViews>
    <sheetView workbookViewId="0">
      <selection activeCell="D5" sqref="D5"/>
    </sheetView>
  </sheetViews>
  <sheetFormatPr baseColWidth="10" defaultRowHeight="16"/>
  <cols>
    <col min="3" max="3" width="0" hidden="1" customWidth="1"/>
    <col min="4" max="4" width="10.83203125" customWidth="1"/>
  </cols>
  <sheetData>
    <row r="4" spans="1:5">
      <c r="A4" t="s">
        <v>7175</v>
      </c>
      <c r="B4" t="s">
        <v>33</v>
      </c>
      <c r="C4" t="s">
        <v>7176</v>
      </c>
      <c r="D4" s="5" t="s">
        <v>7202</v>
      </c>
      <c r="E4" t="s">
        <v>7204</v>
      </c>
    </row>
    <row r="5" spans="1:5">
      <c r="A5" s="3" t="s">
        <v>77</v>
      </c>
      <c r="B5">
        <v>134</v>
      </c>
      <c r="C5">
        <v>134</v>
      </c>
      <c r="D5" s="5">
        <f>B5/SUM($B$5:$B$12)</f>
        <v>0.19910846953937592</v>
      </c>
      <c r="E5" s="5">
        <f>D5</f>
        <v>0.19910846953937592</v>
      </c>
    </row>
    <row r="6" spans="1:5">
      <c r="A6" s="3" t="s">
        <v>30</v>
      </c>
      <c r="B6">
        <v>100</v>
      </c>
      <c r="C6">
        <v>100</v>
      </c>
      <c r="D6" s="5">
        <f t="shared" ref="D6:D12" si="0">B6/SUM($B$5:$B$12)</f>
        <v>0.14858841010401189</v>
      </c>
      <c r="E6" s="5">
        <f>D6+E5</f>
        <v>0.3476968796433878</v>
      </c>
    </row>
    <row r="7" spans="1:5">
      <c r="A7" s="3" t="s">
        <v>142</v>
      </c>
      <c r="B7">
        <v>93</v>
      </c>
      <c r="C7">
        <v>93</v>
      </c>
      <c r="D7" s="5">
        <f t="shared" si="0"/>
        <v>0.13818722139673106</v>
      </c>
      <c r="E7" s="5">
        <f t="shared" ref="E7:E12" si="1">D7+E6</f>
        <v>0.48588410104011887</v>
      </c>
    </row>
    <row r="8" spans="1:5">
      <c r="A8" s="3" t="s">
        <v>87</v>
      </c>
      <c r="B8">
        <v>91</v>
      </c>
      <c r="C8">
        <v>91</v>
      </c>
      <c r="D8" s="5">
        <f t="shared" si="0"/>
        <v>0.13521545319465081</v>
      </c>
      <c r="E8" s="5">
        <f t="shared" si="1"/>
        <v>0.6210995542347697</v>
      </c>
    </row>
    <row r="9" spans="1:5">
      <c r="A9" s="3" t="s">
        <v>101</v>
      </c>
      <c r="B9">
        <v>79</v>
      </c>
      <c r="C9">
        <v>79</v>
      </c>
      <c r="D9" s="5">
        <f t="shared" si="0"/>
        <v>0.11738484398216939</v>
      </c>
      <c r="E9" s="5">
        <f t="shared" si="1"/>
        <v>0.73848439821693912</v>
      </c>
    </row>
    <row r="10" spans="1:5">
      <c r="A10" s="3" t="s">
        <v>59</v>
      </c>
      <c r="B10">
        <v>66</v>
      </c>
      <c r="C10">
        <v>66</v>
      </c>
      <c r="D10" s="5">
        <f t="shared" si="0"/>
        <v>9.8068350668647844E-2</v>
      </c>
      <c r="E10" s="5">
        <f t="shared" si="1"/>
        <v>0.83655274888558695</v>
      </c>
    </row>
    <row r="11" spans="1:5">
      <c r="A11" s="3" t="s">
        <v>68</v>
      </c>
      <c r="B11">
        <v>63</v>
      </c>
      <c r="C11">
        <v>63</v>
      </c>
      <c r="D11" s="5">
        <f t="shared" si="0"/>
        <v>9.3610698365527489E-2</v>
      </c>
      <c r="E11" s="5">
        <f t="shared" si="1"/>
        <v>0.93016344725111444</v>
      </c>
    </row>
    <row r="12" spans="1:5">
      <c r="A12" s="3" t="s">
        <v>93</v>
      </c>
      <c r="B12">
        <v>47</v>
      </c>
      <c r="C12">
        <v>47</v>
      </c>
      <c r="D12" s="5">
        <f t="shared" si="0"/>
        <v>6.9836552748885589E-2</v>
      </c>
      <c r="E12" s="5">
        <f t="shared" si="1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360A-1AA7-9A46-BEDA-BB60A8DB8A69}">
  <dimension ref="A3:F10"/>
  <sheetViews>
    <sheetView workbookViewId="0">
      <selection activeCell="B5" sqref="B5"/>
    </sheetView>
  </sheetViews>
  <sheetFormatPr baseColWidth="10" defaultRowHeight="16"/>
  <cols>
    <col min="1" max="1" width="13" bestFit="1" customWidth="1"/>
    <col min="2" max="2" width="17.83203125" bestFit="1" customWidth="1"/>
    <col min="3" max="3" width="30.5" style="5" bestFit="1" customWidth="1"/>
    <col min="4" max="4" width="29.5" bestFit="1" customWidth="1"/>
    <col min="5" max="5" width="27.5" bestFit="1" customWidth="1"/>
    <col min="6" max="6" width="27.83203125" bestFit="1" customWidth="1"/>
    <col min="7" max="7" width="12.1640625" bestFit="1" customWidth="1"/>
    <col min="8" max="8" width="27.5" bestFit="1" customWidth="1"/>
    <col min="9" max="9" width="6.1640625" bestFit="1" customWidth="1"/>
    <col min="10" max="10" width="27.83203125" bestFit="1" customWidth="1"/>
    <col min="11" max="11" width="6.1640625" bestFit="1" customWidth="1"/>
    <col min="12" max="12" width="22.6640625" bestFit="1" customWidth="1"/>
    <col min="13" max="13" width="35.33203125" bestFit="1" customWidth="1"/>
    <col min="14" max="14" width="34.33203125" bestFit="1" customWidth="1"/>
    <col min="15" max="15" width="32.33203125" bestFit="1" customWidth="1"/>
    <col min="16" max="16" width="32.6640625" bestFit="1" customWidth="1"/>
  </cols>
  <sheetData>
    <row r="3" spans="1:6">
      <c r="A3" s="2" t="s">
        <v>7175</v>
      </c>
      <c r="B3" t="s">
        <v>7205</v>
      </c>
      <c r="C3" t="s">
        <v>7191</v>
      </c>
      <c r="D3" t="s">
        <v>7206</v>
      </c>
      <c r="E3" t="s">
        <v>7207</v>
      </c>
      <c r="F3" t="s">
        <v>7208</v>
      </c>
    </row>
    <row r="4" spans="1:6">
      <c r="A4" s="3" t="s">
        <v>95</v>
      </c>
      <c r="B4">
        <v>112</v>
      </c>
      <c r="C4">
        <v>49.21250000000002</v>
      </c>
      <c r="D4">
        <v>22.127847706999045</v>
      </c>
      <c r="E4">
        <v>28.9</v>
      </c>
      <c r="F4">
        <v>131.9</v>
      </c>
    </row>
    <row r="5" spans="1:6">
      <c r="A5" s="3" t="s">
        <v>48</v>
      </c>
      <c r="B5">
        <v>637</v>
      </c>
      <c r="C5">
        <v>122.46248037676624</v>
      </c>
      <c r="D5">
        <v>58.954290913456539</v>
      </c>
      <c r="E5">
        <v>72.2</v>
      </c>
      <c r="F5">
        <v>359.5</v>
      </c>
    </row>
    <row r="6" spans="1:6">
      <c r="A6" s="3" t="s">
        <v>79</v>
      </c>
      <c r="B6">
        <v>653</v>
      </c>
      <c r="C6">
        <v>357.98437978560474</v>
      </c>
      <c r="D6">
        <v>170.83491556255925</v>
      </c>
      <c r="E6">
        <v>216.5</v>
      </c>
      <c r="F6">
        <v>1054.8</v>
      </c>
    </row>
    <row r="7" spans="1:6">
      <c r="A7" s="3" t="s">
        <v>32</v>
      </c>
      <c r="B7">
        <v>945</v>
      </c>
      <c r="C7">
        <v>245.38878306878348</v>
      </c>
      <c r="D7">
        <v>116.83237685173816</v>
      </c>
      <c r="E7">
        <v>144.19999999999999</v>
      </c>
      <c r="F7">
        <v>719.3</v>
      </c>
    </row>
    <row r="8" spans="1:6">
      <c r="A8" s="3" t="s">
        <v>7176</v>
      </c>
      <c r="B8">
        <v>2347</v>
      </c>
      <c r="C8">
        <v>233.99088197699186</v>
      </c>
      <c r="D8">
        <v>154.62220948552985</v>
      </c>
      <c r="E8">
        <v>28.9</v>
      </c>
      <c r="F8">
        <v>1054.8</v>
      </c>
    </row>
    <row r="9" spans="1:6">
      <c r="C9"/>
    </row>
    <row r="10" spans="1:6">
      <c r="C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B9C9-BA93-C642-B9FB-D0D77117928B}">
  <dimension ref="A2:B6"/>
  <sheetViews>
    <sheetView workbookViewId="0">
      <selection activeCell="A2" sqref="A2:B6"/>
    </sheetView>
  </sheetViews>
  <sheetFormatPr baseColWidth="10" defaultRowHeight="16"/>
  <sheetData>
    <row r="2" spans="1:2">
      <c r="A2" t="s">
        <v>7</v>
      </c>
      <c r="B2" t="s">
        <v>7223</v>
      </c>
    </row>
    <row r="3" spans="1:2">
      <c r="A3" t="s">
        <v>95</v>
      </c>
      <c r="B3" s="5">
        <v>0.32140000000000002</v>
      </c>
    </row>
    <row r="4" spans="1:2">
      <c r="A4" t="s">
        <v>48</v>
      </c>
      <c r="B4" s="5">
        <v>0.29349999999999998</v>
      </c>
    </row>
    <row r="5" spans="1:2">
      <c r="A5" t="s">
        <v>32</v>
      </c>
      <c r="B5" s="5">
        <v>0.29730000000000001</v>
      </c>
    </row>
    <row r="6" spans="1:2">
      <c r="A6" t="s">
        <v>79</v>
      </c>
      <c r="B6" s="5">
        <v>0.25879999999999997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07F9-7A95-CF4A-9ECF-D55D0E549083}">
  <dimension ref="A1:D7"/>
  <sheetViews>
    <sheetView workbookViewId="0">
      <selection sqref="A1:D7"/>
    </sheetView>
  </sheetViews>
  <sheetFormatPr baseColWidth="10" defaultRowHeight="16"/>
  <cols>
    <col min="1" max="1" width="29.33203125" customWidth="1"/>
    <col min="3" max="3" width="10.83203125" style="5"/>
    <col min="4" max="4" width="16.6640625" customWidth="1"/>
  </cols>
  <sheetData>
    <row r="1" spans="1:4">
      <c r="A1" t="s">
        <v>7214</v>
      </c>
      <c r="B1" t="s">
        <v>7215</v>
      </c>
      <c r="C1" s="5" t="s">
        <v>7202</v>
      </c>
      <c r="D1" t="s">
        <v>7222</v>
      </c>
    </row>
    <row r="2" spans="1:4">
      <c r="A2" t="s">
        <v>7221</v>
      </c>
      <c r="B2">
        <v>902</v>
      </c>
      <c r="C2" s="5">
        <f>B2/SUM($B$2:$B$7)</f>
        <v>0.29946879150066402</v>
      </c>
      <c r="D2" s="5">
        <f>C2</f>
        <v>0.29946879150066402</v>
      </c>
    </row>
    <row r="3" spans="1:4">
      <c r="A3" t="s">
        <v>7219</v>
      </c>
      <c r="B3">
        <v>724</v>
      </c>
      <c r="C3" s="5">
        <f t="shared" ref="C3:C7" si="0">B3/SUM($B$2:$B$7)</f>
        <v>0.2403718459495352</v>
      </c>
      <c r="D3" s="5">
        <f>C3+D2</f>
        <v>0.53984063745019917</v>
      </c>
    </row>
    <row r="4" spans="1:4">
      <c r="A4" t="s">
        <v>7218</v>
      </c>
      <c r="B4">
        <v>592</v>
      </c>
      <c r="C4" s="5">
        <f t="shared" si="0"/>
        <v>0.19654714475431606</v>
      </c>
      <c r="D4" s="5">
        <f t="shared" ref="D4:D7" si="1">C4+D3</f>
        <v>0.73638778220451528</v>
      </c>
    </row>
    <row r="5" spans="1:4">
      <c r="A5" t="s">
        <v>7220</v>
      </c>
      <c r="B5">
        <v>591</v>
      </c>
      <c r="C5" s="5">
        <f t="shared" si="0"/>
        <v>0.19621513944223107</v>
      </c>
      <c r="D5" s="5">
        <f t="shared" si="1"/>
        <v>0.93260292164674641</v>
      </c>
    </row>
    <row r="6" spans="1:4">
      <c r="A6" t="s">
        <v>7217</v>
      </c>
      <c r="B6">
        <v>129</v>
      </c>
      <c r="C6" s="5">
        <f t="shared" si="0"/>
        <v>4.282868525896414E-2</v>
      </c>
      <c r="D6" s="5">
        <f t="shared" si="1"/>
        <v>0.97543160690571051</v>
      </c>
    </row>
    <row r="7" spans="1:4">
      <c r="A7" t="s">
        <v>7216</v>
      </c>
      <c r="B7">
        <v>74</v>
      </c>
      <c r="C7" s="5">
        <f t="shared" si="0"/>
        <v>2.4568393094289508E-2</v>
      </c>
      <c r="D7" s="5">
        <f t="shared" si="1"/>
        <v>1</v>
      </c>
    </row>
  </sheetData>
  <sortState xmlns:xlrd2="http://schemas.microsoft.com/office/spreadsheetml/2017/richdata2" ref="A2:C7">
    <sortCondition descending="1" ref="B1:B7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4D38-B26C-9F4F-AA79-E5BF8CE0AFF3}">
  <dimension ref="A1:R8"/>
  <sheetViews>
    <sheetView workbookViewId="0">
      <selection activeCell="P6" sqref="P6"/>
    </sheetView>
  </sheetViews>
  <sheetFormatPr baseColWidth="10" defaultRowHeight="16"/>
  <cols>
    <col min="5" max="5" width="21.1640625" customWidth="1"/>
    <col min="6" max="6" width="13.6640625" customWidth="1"/>
    <col min="18" max="18" width="10.83203125" customWidth="1"/>
  </cols>
  <sheetData>
    <row r="1" spans="1:18">
      <c r="A1" s="9">
        <v>61</v>
      </c>
      <c r="B1" s="9">
        <v>56</v>
      </c>
      <c r="C1" s="9">
        <v>61</v>
      </c>
      <c r="D1" s="9">
        <v>75</v>
      </c>
      <c r="E1" s="9">
        <v>56</v>
      </c>
      <c r="F1" s="9">
        <v>50</v>
      </c>
      <c r="G1" s="9">
        <v>63</v>
      </c>
      <c r="H1" s="9">
        <v>57</v>
      </c>
      <c r="I1" s="9">
        <v>48</v>
      </c>
      <c r="J1" s="9">
        <v>68</v>
      </c>
      <c r="K1" s="9">
        <v>73</v>
      </c>
      <c r="L1" s="9">
        <v>56</v>
      </c>
      <c r="M1">
        <f>AVERAGE(A1:L1)</f>
        <v>60.333333333333336</v>
      </c>
    </row>
    <row r="2" spans="1:18">
      <c r="A2" s="9">
        <v>74</v>
      </c>
      <c r="B2" s="9">
        <v>75</v>
      </c>
      <c r="C2" s="9">
        <v>98</v>
      </c>
      <c r="D2" s="9">
        <v>94</v>
      </c>
      <c r="E2" s="9">
        <v>98</v>
      </c>
      <c r="F2" s="9">
        <v>97</v>
      </c>
      <c r="G2" s="9">
        <v>87</v>
      </c>
      <c r="H2" s="9">
        <v>85</v>
      </c>
      <c r="I2" s="9">
        <v>98</v>
      </c>
      <c r="J2" s="9">
        <v>92</v>
      </c>
      <c r="K2" s="9">
        <v>76</v>
      </c>
      <c r="L2" s="9">
        <v>69</v>
      </c>
      <c r="M2">
        <f>AVERAGE(A2:L2)</f>
        <v>86.916666666666671</v>
      </c>
    </row>
    <row r="3" spans="1:18">
      <c r="A3" s="9">
        <v>45</v>
      </c>
      <c r="B3" s="9">
        <v>53</v>
      </c>
      <c r="C3" s="9">
        <v>47</v>
      </c>
      <c r="D3" s="9">
        <v>48</v>
      </c>
      <c r="E3" s="9">
        <v>50</v>
      </c>
      <c r="F3" s="9">
        <v>48</v>
      </c>
      <c r="G3" s="9">
        <v>45</v>
      </c>
      <c r="H3" s="9">
        <v>41</v>
      </c>
      <c r="I3" s="9">
        <v>57</v>
      </c>
      <c r="J3" s="9">
        <v>53</v>
      </c>
      <c r="K3" s="9">
        <v>45</v>
      </c>
      <c r="L3" s="9">
        <v>48</v>
      </c>
      <c r="M3">
        <f>AVERAGE(A3:L3)</f>
        <v>48.333333333333336</v>
      </c>
    </row>
    <row r="5" spans="1:18">
      <c r="O5" t="s">
        <v>7212</v>
      </c>
      <c r="P5" s="8" t="s">
        <v>7213</v>
      </c>
      <c r="Q5" s="8" t="s">
        <v>7211</v>
      </c>
      <c r="R5" s="8" t="s">
        <v>7210</v>
      </c>
    </row>
    <row r="6" spans="1:18">
      <c r="O6" s="10" t="s">
        <v>51</v>
      </c>
      <c r="P6" s="9">
        <v>724</v>
      </c>
      <c r="Q6" s="9">
        <v>223.89433701657438</v>
      </c>
      <c r="R6" s="11">
        <v>7.7430939226519335</v>
      </c>
    </row>
    <row r="7" spans="1:18">
      <c r="O7" s="10" t="s">
        <v>62</v>
      </c>
      <c r="P7" s="9">
        <v>1043</v>
      </c>
      <c r="Q7" s="9">
        <v>239.63499520613621</v>
      </c>
      <c r="R7" s="11">
        <v>7.6749760306807291</v>
      </c>
    </row>
    <row r="8" spans="1:18">
      <c r="O8" s="10" t="s">
        <v>37</v>
      </c>
      <c r="P8" s="9">
        <v>580</v>
      </c>
      <c r="Q8" s="9">
        <v>236.44448275862081</v>
      </c>
      <c r="R8" s="11">
        <v>7.63448275862069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4941-356E-2545-ACF8-A3C1D3C312D1}">
  <dimension ref="R2:Y24"/>
  <sheetViews>
    <sheetView topLeftCell="Q1" workbookViewId="0">
      <selection activeCell="W23" sqref="W23"/>
    </sheetView>
  </sheetViews>
  <sheetFormatPr baseColWidth="10" defaultRowHeight="16"/>
  <sheetData>
    <row r="2" spans="18:25" ht="17">
      <c r="R2" s="13" t="s">
        <v>7235</v>
      </c>
      <c r="S2" s="14"/>
      <c r="T2" s="14"/>
    </row>
    <row r="3" spans="18:25" ht="17">
      <c r="R3" s="13" t="s">
        <v>7236</v>
      </c>
      <c r="S3" s="14"/>
      <c r="T3" s="14"/>
    </row>
    <row r="4" spans="18:25" ht="17">
      <c r="R4" s="13" t="s">
        <v>7237</v>
      </c>
      <c r="S4" s="14"/>
      <c r="T4" s="14"/>
    </row>
    <row r="5" spans="18:25" ht="17">
      <c r="R5" s="13" t="s">
        <v>7238</v>
      </c>
      <c r="S5" s="14"/>
      <c r="T5" s="14"/>
    </row>
    <row r="6" spans="18:25" ht="17">
      <c r="R6" s="13" t="s">
        <v>7239</v>
      </c>
      <c r="S6" s="14"/>
      <c r="T6" s="14"/>
    </row>
    <row r="7" spans="18:25" ht="17">
      <c r="R7" s="13" t="s">
        <v>7240</v>
      </c>
      <c r="S7" s="14"/>
      <c r="T7" s="14"/>
    </row>
    <row r="8" spans="18:25" ht="17">
      <c r="R8" s="13" t="s">
        <v>7241</v>
      </c>
      <c r="S8" s="14"/>
      <c r="T8" s="14"/>
    </row>
    <row r="9" spans="18:25" ht="17">
      <c r="R9" s="13" t="s">
        <v>7242</v>
      </c>
      <c r="S9" s="14"/>
      <c r="T9" s="14"/>
    </row>
    <row r="11" spans="18:25" ht="17">
      <c r="R11" s="13" t="s">
        <v>7243</v>
      </c>
      <c r="S11" s="14"/>
      <c r="T11" s="14"/>
      <c r="U11" s="14"/>
      <c r="V11" s="14"/>
      <c r="W11" s="14"/>
      <c r="X11" s="14"/>
      <c r="Y11" s="14"/>
    </row>
    <row r="12" spans="18:25" ht="17">
      <c r="R12" s="13" t="s">
        <v>7244</v>
      </c>
      <c r="S12" s="14"/>
      <c r="T12" s="14"/>
      <c r="U12" s="14"/>
      <c r="V12" s="14"/>
      <c r="W12" s="14"/>
      <c r="X12" s="14"/>
      <c r="Y12" s="14"/>
    </row>
    <row r="13" spans="18:25" ht="17">
      <c r="R13" s="13" t="s">
        <v>7245</v>
      </c>
      <c r="S13" s="14"/>
      <c r="T13" s="14"/>
      <c r="U13" s="14"/>
      <c r="V13" s="14"/>
      <c r="W13" s="14"/>
      <c r="X13" s="14"/>
      <c r="Y13" s="14"/>
    </row>
    <row r="14" spans="18:25" ht="17">
      <c r="R14" s="13" t="s">
        <v>7246</v>
      </c>
      <c r="S14" s="14"/>
      <c r="T14" s="14"/>
      <c r="U14" s="14"/>
      <c r="V14" s="14"/>
      <c r="W14" s="14"/>
      <c r="X14" s="14"/>
      <c r="Y14" s="14"/>
    </row>
    <row r="15" spans="18:25" ht="17">
      <c r="R15" s="13" t="s">
        <v>7247</v>
      </c>
      <c r="S15" s="14"/>
      <c r="T15" s="14"/>
      <c r="U15" s="14"/>
      <c r="V15" s="14"/>
      <c r="W15" s="14"/>
      <c r="X15" s="14"/>
      <c r="Y15" s="14"/>
    </row>
    <row r="17" spans="18:24" ht="17">
      <c r="R17" s="13" t="s">
        <v>7248</v>
      </c>
      <c r="S17" s="14"/>
      <c r="T17" s="14"/>
      <c r="U17" s="14"/>
      <c r="V17" s="14"/>
      <c r="W17" s="14"/>
      <c r="X17" s="14"/>
    </row>
    <row r="18" spans="18:24" ht="17">
      <c r="R18" s="13" t="s">
        <v>7249</v>
      </c>
      <c r="S18" s="14"/>
      <c r="T18" s="14"/>
      <c r="U18" s="14"/>
      <c r="V18" s="14"/>
      <c r="W18" s="14"/>
      <c r="X18" s="14"/>
    </row>
    <row r="19" spans="18:24" ht="17">
      <c r="R19" s="13" t="s">
        <v>7250</v>
      </c>
      <c r="S19" s="14"/>
      <c r="T19" s="14"/>
      <c r="U19" s="14"/>
      <c r="V19" s="14"/>
      <c r="W19" s="14"/>
      <c r="X19" s="14"/>
    </row>
    <row r="20" spans="18:24" ht="17">
      <c r="R20" s="13" t="s">
        <v>7251</v>
      </c>
      <c r="S20" s="14"/>
      <c r="T20" s="14"/>
      <c r="U20" s="14"/>
      <c r="V20" s="14"/>
      <c r="W20" s="14"/>
      <c r="X20" s="14"/>
    </row>
    <row r="21" spans="18:24" ht="17">
      <c r="R21" s="13" t="s">
        <v>7252</v>
      </c>
      <c r="S21" s="14"/>
      <c r="T21" s="14"/>
      <c r="U21" s="14"/>
      <c r="V21" s="14"/>
      <c r="W21" s="14"/>
      <c r="X21" s="14"/>
    </row>
    <row r="22" spans="18:24" ht="17">
      <c r="R22" s="13" t="s">
        <v>7253</v>
      </c>
      <c r="S22" s="14"/>
      <c r="T22" s="14"/>
      <c r="U22" s="14"/>
      <c r="V22" s="14"/>
      <c r="W22" s="14"/>
      <c r="X22" s="14"/>
    </row>
    <row r="23" spans="18:24" ht="17">
      <c r="R23" s="13" t="s">
        <v>7254</v>
      </c>
      <c r="S23" s="14"/>
      <c r="T23" s="14"/>
      <c r="U23" s="14"/>
      <c r="V23" s="14"/>
      <c r="W23" s="14"/>
      <c r="X23" s="14"/>
    </row>
    <row r="24" spans="18:24" ht="17">
      <c r="R24" s="13" t="s">
        <v>7255</v>
      </c>
      <c r="S24" s="14"/>
      <c r="T24" s="14"/>
      <c r="U24" s="14"/>
      <c r="V24" s="14"/>
      <c r="W24" s="14"/>
      <c r="X24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263C-113C-E84A-B2C5-4457593C2F85}">
  <dimension ref="B5:F11"/>
  <sheetViews>
    <sheetView workbookViewId="0">
      <selection activeCell="B5" sqref="B5:F11"/>
    </sheetView>
  </sheetViews>
  <sheetFormatPr baseColWidth="10" defaultRowHeight="16"/>
  <cols>
    <col min="2" max="2" width="19.33203125" customWidth="1"/>
    <col min="3" max="3" width="46.5" customWidth="1"/>
  </cols>
  <sheetData>
    <row r="5" spans="2:6" ht="17">
      <c r="B5" s="16" t="s">
        <v>7256</v>
      </c>
      <c r="C5" s="16" t="s">
        <v>7257</v>
      </c>
      <c r="D5" s="16" t="s">
        <v>7258</v>
      </c>
      <c r="E5" s="16" t="s">
        <v>7259</v>
      </c>
      <c r="F5" s="16" t="s">
        <v>7</v>
      </c>
    </row>
    <row r="6" spans="2:6" ht="17">
      <c r="B6" s="16" t="s">
        <v>7260</v>
      </c>
      <c r="C6" s="15" t="s">
        <v>7261</v>
      </c>
      <c r="D6" s="15" t="s">
        <v>7262</v>
      </c>
      <c r="E6" s="15" t="s">
        <v>32</v>
      </c>
      <c r="F6" s="15" t="s">
        <v>48</v>
      </c>
    </row>
    <row r="7" spans="2:6" ht="17">
      <c r="B7" s="16" t="s">
        <v>7263</v>
      </c>
      <c r="C7" s="15" t="s">
        <v>7264</v>
      </c>
      <c r="D7" s="15" t="s">
        <v>7265</v>
      </c>
      <c r="E7" s="15" t="s">
        <v>79</v>
      </c>
      <c r="F7" s="15" t="s">
        <v>48</v>
      </c>
    </row>
    <row r="8" spans="2:6" ht="17">
      <c r="B8" s="16" t="s">
        <v>7266</v>
      </c>
      <c r="C8" s="15" t="s">
        <v>7267</v>
      </c>
      <c r="D8" s="15" t="s">
        <v>7268</v>
      </c>
      <c r="E8" s="15" t="s">
        <v>48</v>
      </c>
      <c r="F8" s="15" t="s">
        <v>48</v>
      </c>
    </row>
    <row r="9" spans="2:6" ht="17">
      <c r="B9" s="16" t="s">
        <v>7269</v>
      </c>
      <c r="C9" s="15" t="s">
        <v>7270</v>
      </c>
      <c r="D9" s="15" t="s">
        <v>7271</v>
      </c>
      <c r="E9" s="15" t="s">
        <v>79</v>
      </c>
      <c r="F9" s="15" t="s">
        <v>32</v>
      </c>
    </row>
    <row r="10" spans="2:6" ht="17">
      <c r="B10" s="16" t="s">
        <v>7272</v>
      </c>
      <c r="C10" s="15" t="s">
        <v>7273</v>
      </c>
      <c r="D10" s="15" t="s">
        <v>7274</v>
      </c>
      <c r="E10" s="15" t="s">
        <v>32</v>
      </c>
      <c r="F10" s="15" t="s">
        <v>32</v>
      </c>
    </row>
    <row r="11" spans="2:6" ht="17">
      <c r="B11" s="16" t="s">
        <v>7275</v>
      </c>
      <c r="C11" s="15" t="s">
        <v>7276</v>
      </c>
      <c r="D11" s="15" t="s">
        <v>7277</v>
      </c>
      <c r="E11" s="15" t="s">
        <v>79</v>
      </c>
      <c r="F11" s="15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60A7-01B4-CE4C-8CE9-F5B80642D058}">
  <dimension ref="A1"/>
  <sheetViews>
    <sheetView tabSelected="1" workbookViewId="0">
      <selection activeCell="C3" sqref="C3"/>
    </sheetView>
  </sheetViews>
  <sheetFormatPr baseColWidth="10" defaultRowHeight="16"/>
  <cols>
    <col min="3" max="5" width="10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Helpdesk Tickets 2024</vt:lpstr>
      <vt:lpstr>Baseline performance</vt:lpstr>
      <vt:lpstr>Pivot table for delay</vt:lpstr>
      <vt:lpstr>Technician level</vt:lpstr>
      <vt:lpstr>Pareto Analysis for delay reaso</vt:lpstr>
      <vt:lpstr>Resolution by ticket priority</vt:lpstr>
      <vt:lpstr>Data Insight</vt:lpstr>
      <vt:lpstr>Top Contributing Factors</vt:lpstr>
      <vt:lpstr>Sheet1</vt:lpstr>
      <vt:lpstr>Sheet9</vt:lpstr>
      <vt:lpstr>Solution Design</vt:lpstr>
      <vt:lpstr>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Chippy Pillai</cp:lastModifiedBy>
  <dcterms:created xsi:type="dcterms:W3CDTF">2026-01-11T18:05:22Z</dcterms:created>
  <dcterms:modified xsi:type="dcterms:W3CDTF">2026-01-12T19:12:33Z</dcterms:modified>
</cp:coreProperties>
</file>